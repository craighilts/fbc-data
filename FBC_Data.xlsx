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raighilts/Library/CloudStorage/Dropbox/FBC/FBC Data &amp; Apps/"/>
    </mc:Choice>
  </mc:AlternateContent>
  <xr:revisionPtr revIDLastSave="0" documentId="13_ncr:1_{58FB10EC-F1AE-524F-9C5B-5F0D9221A2E4}" xr6:coauthVersionLast="47" xr6:coauthVersionMax="47" xr10:uidLastSave="{00000000-0000-0000-0000-000000000000}"/>
  <bookViews>
    <workbookView xWindow="8200" yWindow="600" windowWidth="38600" windowHeight="24740" tabRatio="500" activeTab="2" xr2:uid="{00000000-000D-0000-FFFF-FFFF00000000}"/>
  </bookViews>
  <sheets>
    <sheet name="Runbook" sheetId="1" r:id="rId1"/>
    <sheet name="Archives" sheetId="2" r:id="rId2"/>
    <sheet name="Cups" sheetId="3" r:id="rId3"/>
    <sheet name="Handicaps" sheetId="4" r:id="rId4"/>
    <sheet name="Points" sheetId="5" r:id="rId5"/>
    <sheet name="LifetimeLeaderboard" sheetId="6" r:id="rId6"/>
    <sheet name="Bounties" sheetId="7" r:id="rId7"/>
    <sheet name="CAPA PPC" sheetId="8" r:id="rId8"/>
    <sheet name="Sandbagger Index" sheetId="9" r:id="rId9"/>
    <sheet name="Stroke Data" sheetId="30" r:id="rId34"/>
    <sheet name="Chemistry Index" sheetId="10" r:id="rId10"/>
    <sheet name="Clutch Rating" sheetId="11" r:id="rId11"/>
    <sheet name="Pythagorean Luck" sheetId="12" r:id="rId12"/>
    <sheet name="Form Guide" sheetId="13" r:id="rId13"/>
    <sheet name="MVP Hall of Fame" sheetId="14" r:id="rId14"/>
    <sheet name="Nemesis &amp; Patsy" sheetId="15" r:id="rId15"/>
    <sheet name="Streak Tracker" sheetId="16" r:id="rId16"/>
    <sheet name="RecordBook" sheetId="17" r:id="rId17"/>
    <sheet name="NHI" sheetId="18" r:id="rId18"/>
    <sheet name="Singles_Doubles records" sheetId="19" r:id="rId19"/>
    <sheet name="7yrFund" sheetId="20" r:id="rId20"/>
    <sheet name="Ratings" sheetId="21" r:id="rId21"/>
    <sheet name="Cup Info" sheetId="29" r:id="rId33"/>
    <sheet name="FBC3" sheetId="22" r:id="rId22"/>
    <sheet name="Lifetime Mulligans" sheetId="23" r:id="rId23"/>
    <sheet name="Rookies" sheetId="24" r:id="rId24"/>
    <sheet name="Cyber Monday" sheetId="25" r:id="rId25"/>
    <sheet name="Difficulty Graph" sheetId="26" r:id="rId26"/>
    <sheet name="Size Analysis" sheetId="27" r:id="rId27"/>
    <sheet name="North Analysis" sheetId="28" r:id="rId28"/>
  </sheets>
  <definedNames>
    <definedName name="_xlnm._FilterDatabase" localSheetId="2" hidden="1">Cups!$B$3:$S$33</definedName>
  </definedName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<sst xmlns="http://schemas.openxmlformats.org/spreadsheetml/2006/main" count="18112" uniqueCount="1310">
  <si>
    <t>FBC Workbook — Adding a New Cup</t>
  </si>
  <si>
    <t>Runbook for adding a completed FBC (e.g., FBC 13). Most of the workbook updates itself — the manual steps are listed below.</t>
  </si>
  <si>
    <t xml:space="preserve">  THE 30-SECOND VERSION</t>
  </si>
  <si>
    <t>Fastest path: in the scoring app press Admin → Export CSV once every match is reported, then hand that file to Claude with the prompt in the README (“Importing a cup with Claude”). Claude runs tools/import_cup.py, which appends the Archives rows, fills the Cups column and checks Data Health. Manual path: paste the new cup’s match results into the Archives tab. The live tabs — Leaderboard, Points, Singles &amp; Doubles records, Rookies, and most of RecordBook — recalculate automatically. Then handle the manual items: add a row for any first-time player, and fill the per-cup input tabs (Cups, Handicaps, Ratings, Cup Info). Finally, ask Claude to recompute CAPA and the analytics tabs.</t>
  </si>
  <si>
    <t xml:space="preserve">  STEP 1  —  ENTER RESULTS IN ARCHIVES</t>
  </si>
  <si>
    <t>This is the only data entry that drives the automatic tabs.</t>
  </si>
  <si>
    <t xml:space="preserve">     •   Append the new cup’s matches to the bottom of the Archives tab (below the last row).</t>
  </si>
  <si>
    <t xml:space="preserve">     •   Fill the same columns as existing rows: Match #, FBC #, UniqueMatchID (FBC13-D1…, FBC13-S-Name-Name, FBC13-FT), Day, Date (a real Excel date), Geographic Location, Course, Format, Singles/Doubles (exactly Singles, Doubles or FTAS), Captain Size, Team (captain’s surname), Player 1, Player 2 (doubles), handicaps, Points at stake, W/L/T, Points earned, the numeric W / L / T flag columns (1 or 0), and the opponent columns.</t>
  </si>
  <si>
    <t xml:space="preserve">     •   Each head-to-head match = 2 rows (one per side). Whole-field (FTAS) events = one row per player.</t>
  </si>
  <si>
    <t xml:space="preserve">     •   Put the cup number (e.g., 13) in the FBC column, and use W, L, or T (uppercase) for the result.</t>
  </si>
  <si>
    <t xml:space="preserve">  STEP 2  —  ADD A ROW FOR ANY FIRST-TIME PLAYER</t>
  </si>
  <si>
    <t>A debuting player’s matches still count correctly for everyone else, but the live tabs won’t show the new player until you give them a row.</t>
  </si>
  <si>
    <t xml:space="preserve">     •   On the Leaderboard, Points, Singles &amp; Doubles records, and Rookies tabs: INSERT a row inside the existing list (above the “Grand Total” row), then copy the formula pattern from the row above.</t>
  </si>
  <si>
    <t xml:space="preserve">     •   Inserting WITHIN the block lets the totals and record formulas extend automatically. Do not add players below the Grand Total row.</t>
  </si>
  <si>
    <t xml:space="preserve">     •   New doubles pairings work the same way on the Singles &amp; Doubles records tab (add a tandem row).</t>
  </si>
  <si>
    <t xml:space="preserve">  STEP 3  —  FILL THE PER-CUP INPUT TABS</t>
  </si>
  <si>
    <t>These hold information that isn’t in the match results, so they need manual entry:</t>
  </si>
  <si>
    <t xml:space="preserve">     •   Cups: add a new “FBC 13” column; mark 1 (on winning team), 0 (played, lost), or X (didn’t play). Extend the Total / Played / % / Lost formulas to the new column. The header must read exactly “FBC 13” (with a space) — the app finds the column by that label. Put a first-time player on a row inside the list, above the Total row.</t>
  </si>
  <si>
    <t xml:space="preserve">     •   Handicaps: add a new “FBC 13” column with each player’s index. The Average updates on its own.</t>
  </si>
  <si>
    <t xml:space="preserve">     •   Ratings: add a row for the new venue with your category scores.</t>
  </si>
  <si>
    <t xml:space="preserve">     •   Difficulty Graph: add the new course row(s) — FBC, course, city, state, yardage, slope, designer.</t>
  </si>
  <si>
    <t xml:space="preserve">  STEP 4  —  RECOMPUTE THE ANALYTICS TABS</t>
  </si>
  <si>
    <t>CAPA PPC and the eight analytics tabs (Sandbagger, Chemistry, Clutch, Pythagorean Luck, Form Guide, MVP Hall of Fame, Nemesis &amp; Patsy, Streak Tracker) are models/computed snapshots, not simple counts, so they must be recalculated when a cup is added. Ask Claude to recompute them — it re-runs each across the full Archives.</t>
  </si>
  <si>
    <t xml:space="preserve">  STEP 5  —  VERIFY</t>
  </si>
  <si>
    <t xml:space="preserve">     •   Spot-check a known player (e.g., the points leader) on the Leaderboard.</t>
  </si>
  <si>
    <t xml:space="preserve">     •   Confirm the Grand Total rows look sensible.</t>
  </si>
  <si>
    <t xml:space="preserve">     •   The Points tab already has FBC 13–15 columns ready; after FBC 15, add more columns.</t>
  </si>
  <si>
    <t xml:space="preserve">  REFERENCE  —  AUTOMATIC vs MANUAL</t>
  </si>
  <si>
    <t>Tab</t>
  </si>
  <si>
    <t>On Archives update</t>
  </si>
  <si>
    <t>Your action</t>
  </si>
  <si>
    <t>Archives</t>
  </si>
  <si>
    <t>—</t>
  </si>
  <si>
    <t>Paste the new cup’s match rows here (Step 1).</t>
  </si>
  <si>
    <t>Leaderboard</t>
  </si>
  <si>
    <t>Automatic</t>
  </si>
  <si>
    <t>Add a row only for a first-time player.</t>
  </si>
  <si>
    <t>Points</t>
  </si>
  <si>
    <t>FBC 13–15 prebuilt. Add a row for new players; add columns after FBC 15.</t>
  </si>
  <si>
    <t>Singles_Doubles records</t>
  </si>
  <si>
    <t>Add a row for a new player or a new tandem.</t>
  </si>
  <si>
    <t>Rookies</t>
  </si>
  <si>
    <t>Add a row for a new player.</t>
  </si>
  <si>
    <t>RecordBook</t>
  </si>
  <si>
    <t>Mostly automatic</t>
  </si>
  <si>
    <t>Margin records (8&amp;7, 5&amp;4, streaks) are entered by hand.</t>
  </si>
  <si>
    <t>CAPA PPC</t>
  </si>
  <si>
    <t>Recompute</t>
  </si>
  <si>
    <t>Ask Claude — regression recalibration.</t>
  </si>
  <si>
    <t>Sandbagger · Chemistry · Clutch · Pythagorean Luck · Form Guide · MVP Hall of Fame · Nemesis &amp; Patsy · Streak Tracker</t>
  </si>
  <si>
    <t>Ask Claude — computed analytics (same as CAPA).</t>
  </si>
  <si>
    <t>Cups</t>
  </si>
  <si>
    <t>Manual</t>
  </si>
  <si>
    <t>New 1 / 0 / X column each cup.</t>
  </si>
  <si>
    <t>Handicaps</t>
  </si>
  <si>
    <t>New handicap-index column each cup.</t>
  </si>
  <si>
    <t>Ratings</t>
  </si>
  <si>
    <t>New venue-score row each cup.</t>
  </si>
  <si>
    <t>Difficulty Graph</t>
  </si>
  <si>
    <t>New course row(s) each cup.</t>
  </si>
  <si>
    <t>Bounties · 7yrFund · Lifetime Mulligans · Cyber Monday · NHI</t>
  </si>
  <si>
    <t>Maintain as you always have.</t>
  </si>
  <si>
    <t xml:space="preserve">  NOTES</t>
  </si>
  <si>
    <t xml:space="preserve">     •   Win % everywhere = (W + ½T) ÷ matches.</t>
  </si>
  <si>
    <t xml:space="preserve">     •   The result column accepts lowercase “t”, but enter “T” for clean data.</t>
  </si>
  <si>
    <t xml:space="preserve">     •   The web app (freddiebcup.streamlit.app) reads UniqueMatchID, Team, Date, Geographic Location, Course, Singles/Doubles and the numeric W / L / T flag columns — fill them all in. A blank UniqueMatchID silently drops the FTAS from the team totals. Only SingleEntity is legacy/unused. The app’s Data Health box (bottom of every page) lists anything it finds wrong after you upload.</t>
  </si>
  <si>
    <t xml:space="preserve">     •   "Live" tabs recompute from Archives automatically. "Computed" tabs — CAPA and the eight analytics tabs — are refreshed by Claude.</t>
  </si>
  <si>
    <t>Built June 2026 · current through FBC 12.</t>
  </si>
  <si>
    <t>Match #</t>
  </si>
  <si>
    <t>Match of Session</t>
  </si>
  <si>
    <t>FBC</t>
  </si>
  <si>
    <t>UniqueMatchID</t>
  </si>
  <si>
    <t>Day</t>
  </si>
  <si>
    <t>Date</t>
  </si>
  <si>
    <t>AM/PM</t>
  </si>
  <si>
    <t>Geographic Location</t>
  </si>
  <si>
    <t>Region</t>
  </si>
  <si>
    <t>Holes</t>
  </si>
  <si>
    <t>Front / Back / Full</t>
  </si>
  <si>
    <t>Course</t>
  </si>
  <si>
    <t>Tees</t>
  </si>
  <si>
    <t>Rating</t>
  </si>
  <si>
    <t>Slope</t>
  </si>
  <si>
    <t>Yds</t>
  </si>
  <si>
    <t>Format</t>
  </si>
  <si>
    <t>Singles/Doubles</t>
  </si>
  <si>
    <t>Captain Size</t>
  </si>
  <si>
    <t>Team</t>
  </si>
  <si>
    <t>Player 1</t>
  </si>
  <si>
    <t>Shirt</t>
  </si>
  <si>
    <t>Player 1 HCP</t>
  </si>
  <si>
    <t>Player 2</t>
  </si>
  <si>
    <t>Player 2 HCP</t>
  </si>
  <si>
    <t>Points at stake</t>
  </si>
  <si>
    <t>W/L/T</t>
  </si>
  <si>
    <t>Result</t>
  </si>
  <si>
    <t>Singles Opponent</t>
  </si>
  <si>
    <t>SingleEntity</t>
  </si>
  <si>
    <t>Points earned</t>
  </si>
  <si>
    <t>W</t>
  </si>
  <si>
    <t>L</t>
  </si>
  <si>
    <t>T</t>
  </si>
  <si>
    <t>W%</t>
  </si>
  <si>
    <t>Opponent1</t>
  </si>
  <si>
    <t>Opponent1 Win%</t>
  </si>
  <si>
    <t>Opponent2</t>
  </si>
  <si>
    <t>Opponent2 Win%</t>
  </si>
  <si>
    <t>FBC1-D1</t>
  </si>
  <si>
    <t>Saturday</t>
  </si>
  <si>
    <t>AM</t>
  </si>
  <si>
    <t>Saratoga, NY</t>
  </si>
  <si>
    <t>Northeast</t>
  </si>
  <si>
    <t>Front</t>
  </si>
  <si>
    <t>Saratoga National</t>
  </si>
  <si>
    <t>White</t>
  </si>
  <si>
    <t>Best Ball</t>
  </si>
  <si>
    <t>Doubles</t>
  </si>
  <si>
    <t>Under 6'</t>
  </si>
  <si>
    <t>Jackson</t>
  </si>
  <si>
    <t>Grise</t>
  </si>
  <si>
    <t>Hickerson</t>
  </si>
  <si>
    <t>3 &amp; 2</t>
  </si>
  <si>
    <t>Hilts</t>
  </si>
  <si>
    <t>Lynch</t>
  </si>
  <si>
    <t>Over 6'</t>
  </si>
  <si>
    <t>Red</t>
  </si>
  <si>
    <t>FBC1-D2</t>
  </si>
  <si>
    <t>Ferrin</t>
  </si>
  <si>
    <t>2 &amp; 1</t>
  </si>
  <si>
    <t>Macklin</t>
  </si>
  <si>
    <t>Poirier</t>
  </si>
  <si>
    <t>FBC1-D3</t>
  </si>
  <si>
    <t>Flanders</t>
  </si>
  <si>
    <t>Mangold</t>
  </si>
  <si>
    <t>5 &amp; 4</t>
  </si>
  <si>
    <t>Shively</t>
  </si>
  <si>
    <t>FBC1-D4</t>
  </si>
  <si>
    <t>Back</t>
  </si>
  <si>
    <t>Scramble</t>
  </si>
  <si>
    <t>Halved</t>
  </si>
  <si>
    <t>FBC1-D5</t>
  </si>
  <si>
    <t>FBC1-D6</t>
  </si>
  <si>
    <t>1UP</t>
  </si>
  <si>
    <t>FBC1-D7</t>
  </si>
  <si>
    <t>PM</t>
  </si>
  <si>
    <t>Pinehurst</t>
  </si>
  <si>
    <t>FBC1-D8</t>
  </si>
  <si>
    <t>FBC1-D9</t>
  </si>
  <si>
    <t>FBC1-D10</t>
  </si>
  <si>
    <t>FBC1-D11</t>
  </si>
  <si>
    <t>2 Up</t>
  </si>
  <si>
    <t>FBC1-D12</t>
  </si>
  <si>
    <t>FBC1-S-Hilts-Mangold</t>
  </si>
  <si>
    <t>Sunday</t>
  </si>
  <si>
    <t>Full</t>
  </si>
  <si>
    <t>Saratoga Spa</t>
  </si>
  <si>
    <t>Blue</t>
  </si>
  <si>
    <t>Match Play</t>
  </si>
  <si>
    <t>Singles</t>
  </si>
  <si>
    <t>4 &amp; 3</t>
  </si>
  <si>
    <t>FBC1-S-Hickerson-Lynch</t>
  </si>
  <si>
    <t>FBC1-S-Ferrin-Shively</t>
  </si>
  <si>
    <t>FBC1-S-Flanders-Macklin</t>
  </si>
  <si>
    <t>FBC1-S-Connolly-Jackson</t>
  </si>
  <si>
    <t>5 &amp; 3</t>
  </si>
  <si>
    <t>FBC1-S-Grise-Poirier</t>
  </si>
  <si>
    <t>6 &amp; 5</t>
  </si>
  <si>
    <t>FBC2-D1</t>
  </si>
  <si>
    <t>Verona, NY (Turning Stone)</t>
  </si>
  <si>
    <t>Atunyote</t>
  </si>
  <si>
    <t>Green</t>
  </si>
  <si>
    <t>3 &amp; 1</t>
  </si>
  <si>
    <t>Fogan</t>
  </si>
  <si>
    <t>Blue/White</t>
  </si>
  <si>
    <t>FBC2-D2</t>
  </si>
  <si>
    <t>Weisberger</t>
  </si>
  <si>
    <t>Forster</t>
  </si>
  <si>
    <t>FBC2-D3</t>
  </si>
  <si>
    <t>Connors</t>
  </si>
  <si>
    <t>Cole</t>
  </si>
  <si>
    <t>FBC2-D4</t>
  </si>
  <si>
    <t>2 UP</t>
  </si>
  <si>
    <t>FBC2-D5</t>
  </si>
  <si>
    <t>Shamble</t>
  </si>
  <si>
    <t>FBC2-D6</t>
  </si>
  <si>
    <t>FBC2-D7</t>
  </si>
  <si>
    <t>FBC2-D8</t>
  </si>
  <si>
    <t>FBC2-D9</t>
  </si>
  <si>
    <t>Shenendoah</t>
  </si>
  <si>
    <t>Hi-Lo</t>
  </si>
  <si>
    <t>7UP</t>
  </si>
  <si>
    <t>FBC2-D10</t>
  </si>
  <si>
    <t>2UP</t>
  </si>
  <si>
    <t>FBC2-D11</t>
  </si>
  <si>
    <t>FBC2-D12</t>
  </si>
  <si>
    <t>4UP</t>
  </si>
  <si>
    <t>FBC2-D13</t>
  </si>
  <si>
    <t>Scramble-Stableford</t>
  </si>
  <si>
    <t>11.5-7</t>
  </si>
  <si>
    <t>FBC2-D14</t>
  </si>
  <si>
    <t>22.5-10</t>
  </si>
  <si>
    <t>FBC2-D15</t>
  </si>
  <si>
    <t>12.5-8</t>
  </si>
  <si>
    <t>FBC2-D16</t>
  </si>
  <si>
    <t>20-11</t>
  </si>
  <si>
    <t>FBC2-S-Ferrin-Flanders</t>
  </si>
  <si>
    <t>Kaluhyat</t>
  </si>
  <si>
    <t>6 &amp; 4</t>
  </si>
  <si>
    <t>FBC2-S-Connors-Fogan</t>
  </si>
  <si>
    <t>7 &amp; 5</t>
  </si>
  <si>
    <t>FBC2-S-Connolly-Shively</t>
  </si>
  <si>
    <t>1 UP</t>
  </si>
  <si>
    <t>FBC2-S-Cole-Grise</t>
  </si>
  <si>
    <t>8 &amp; 6</t>
  </si>
  <si>
    <t>FBC2-S-Lynch-Weisberger</t>
  </si>
  <si>
    <t>FBC2-S-Forster-Hickerson</t>
  </si>
  <si>
    <t>FBC2-S-Hilts-Mangold</t>
  </si>
  <si>
    <t>FBC3-D1</t>
  </si>
  <si>
    <t>Sea Island, GA</t>
  </si>
  <si>
    <t>South</t>
  </si>
  <si>
    <t>Seaside</t>
  </si>
  <si>
    <t xml:space="preserve">Steel </t>
  </si>
  <si>
    <t>4&amp;3</t>
  </si>
  <si>
    <t>FBC3-D2</t>
  </si>
  <si>
    <t>FBC3-D3</t>
  </si>
  <si>
    <t>2&amp;1</t>
  </si>
  <si>
    <t>Gray</t>
  </si>
  <si>
    <t>Zimmer</t>
  </si>
  <si>
    <t>FBC3-D4</t>
  </si>
  <si>
    <t>FBC3-D5</t>
  </si>
  <si>
    <t>Norat</t>
  </si>
  <si>
    <t>McInerney</t>
  </si>
  <si>
    <t>FBC3-D6</t>
  </si>
  <si>
    <t>FBC3-D7</t>
  </si>
  <si>
    <t>3UP</t>
  </si>
  <si>
    <t>FBC3-D8</t>
  </si>
  <si>
    <t>FBC3-D9</t>
  </si>
  <si>
    <t>FBC3-D10</t>
  </si>
  <si>
    <t>FBC3-D11</t>
  </si>
  <si>
    <t>3&amp;2</t>
  </si>
  <si>
    <t>FBC3-D12</t>
  </si>
  <si>
    <t>FBC3-D13</t>
  </si>
  <si>
    <t>FBC3-D14</t>
  </si>
  <si>
    <t>FBC3-D15</t>
  </si>
  <si>
    <t>FBC3-D16</t>
  </si>
  <si>
    <t>18-15</t>
  </si>
  <si>
    <t>FBC3-D17</t>
  </si>
  <si>
    <t>17-14</t>
  </si>
  <si>
    <t>FBC3-D18</t>
  </si>
  <si>
    <t>16-12</t>
  </si>
  <si>
    <t>FBC3-D19</t>
  </si>
  <si>
    <t>14-12</t>
  </si>
  <si>
    <t>FBC3-D20</t>
  </si>
  <si>
    <t>13-13</t>
  </si>
  <si>
    <t>FBC3-S-Hickerson-Norat</t>
  </si>
  <si>
    <t>Plantation</t>
  </si>
  <si>
    <t>FBC3-S-Connors-Fogan</t>
  </si>
  <si>
    <t>5&amp;4</t>
  </si>
  <si>
    <t>FBC3-S-Flanders-Gray</t>
  </si>
  <si>
    <t>5&amp;3</t>
  </si>
  <si>
    <t>FBC3-S-Forster-Hilts</t>
  </si>
  <si>
    <t>FBC3-S-Cole-Mangold</t>
  </si>
  <si>
    <t>FBC3-S-Jackson-McInerney</t>
  </si>
  <si>
    <t>1Up</t>
  </si>
  <si>
    <t>FBC3-S-Connolly-Grise</t>
  </si>
  <si>
    <t>FBC3-S-Ferrin-Weisberger</t>
  </si>
  <si>
    <t>FBC3-S-Lynch-Shively</t>
  </si>
  <si>
    <t>FBC4-D1</t>
  </si>
  <si>
    <t>Friday</t>
  </si>
  <si>
    <t>French Lick, IN</t>
  </si>
  <si>
    <t>Midwest</t>
  </si>
  <si>
    <t>Dye</t>
  </si>
  <si>
    <t>Welker</t>
  </si>
  <si>
    <t>FBC4-D2</t>
  </si>
  <si>
    <t>FBC4-D3</t>
  </si>
  <si>
    <t>FBC4-D4</t>
  </si>
  <si>
    <t>4&amp;2</t>
  </si>
  <si>
    <t>FBC4-D5</t>
  </si>
  <si>
    <t>FBC4-D6</t>
  </si>
  <si>
    <t>FBC4-D7</t>
  </si>
  <si>
    <t>FBC4-D8</t>
  </si>
  <si>
    <t>FBC4-D9</t>
  </si>
  <si>
    <t>FBC4-D10</t>
  </si>
  <si>
    <t>FBC4-D11</t>
  </si>
  <si>
    <t>FBC4-D12</t>
  </si>
  <si>
    <t>FBC4-D13</t>
  </si>
  <si>
    <t>Push</t>
  </si>
  <si>
    <t>FBC4-D14</t>
  </si>
  <si>
    <t>3&amp;1</t>
  </si>
  <si>
    <t>FBC4-D15</t>
  </si>
  <si>
    <t>FBC4-D16</t>
  </si>
  <si>
    <t>18-16</t>
  </si>
  <si>
    <t>FBC4-D17</t>
  </si>
  <si>
    <t>15-10</t>
  </si>
  <si>
    <t>FBC4-D18</t>
  </si>
  <si>
    <t>24-12</t>
  </si>
  <si>
    <t>FBC4-D19</t>
  </si>
  <si>
    <t>23-13</t>
  </si>
  <si>
    <t>FBC4-D20</t>
  </si>
  <si>
    <t>16-8</t>
  </si>
  <si>
    <t>FT1</t>
  </si>
  <si>
    <t>FBC4-FT</t>
  </si>
  <si>
    <t>First 6</t>
  </si>
  <si>
    <t>FTAS</t>
  </si>
  <si>
    <t>2Up</t>
  </si>
  <si>
    <t>FBC4-S-Connolly-Gray</t>
  </si>
  <si>
    <t>Ross</t>
  </si>
  <si>
    <t>FBC4-S-Flanders-Welker</t>
  </si>
  <si>
    <t>FBC4-S-Grise-Weisberger</t>
  </si>
  <si>
    <t>6&amp;4</t>
  </si>
  <si>
    <t>FBC4-S-Cole-Lynch</t>
  </si>
  <si>
    <t>FBC4-S-Ferrin-McInerney</t>
  </si>
  <si>
    <t>FBC4-S-Mangold-Zimmer</t>
  </si>
  <si>
    <t>6&amp;5</t>
  </si>
  <si>
    <t>FBC4-S-Forster-Shively</t>
  </si>
  <si>
    <t>FBC4-S-Connors-Hickerson</t>
  </si>
  <si>
    <t>FBC4-S-Fogan-Norat</t>
  </si>
  <si>
    <t>FBC5-D1</t>
  </si>
  <si>
    <t>Hilton Head, SC</t>
  </si>
  <si>
    <t>Harbour Town</t>
  </si>
  <si>
    <t>Sea Pines</t>
  </si>
  <si>
    <t>Delaney</t>
  </si>
  <si>
    <t>FBC5-D2</t>
  </si>
  <si>
    <t>FBC5-D3</t>
  </si>
  <si>
    <t>FBC5-D4</t>
  </si>
  <si>
    <t>FBC5-D5</t>
  </si>
  <si>
    <t>FBC5-D6</t>
  </si>
  <si>
    <t>FBC5-D7</t>
  </si>
  <si>
    <t>FBC5-D8</t>
  </si>
  <si>
    <t>5&amp;2</t>
  </si>
  <si>
    <t>FBC5-D9</t>
  </si>
  <si>
    <t>FBC5-D10</t>
  </si>
  <si>
    <t>FBC5-D11</t>
  </si>
  <si>
    <t>FBC5-D12</t>
  </si>
  <si>
    <t>FBC5-D13</t>
  </si>
  <si>
    <t>FBC5-D14</t>
  </si>
  <si>
    <t>FBC5-D15</t>
  </si>
  <si>
    <t>FBC5-D16</t>
  </si>
  <si>
    <t>17-16</t>
  </si>
  <si>
    <t>FBC5-D17</t>
  </si>
  <si>
    <t>14-14</t>
  </si>
  <si>
    <t>FBC5-D18</t>
  </si>
  <si>
    <t>22-17</t>
  </si>
  <si>
    <t>FBC5-D19</t>
  </si>
  <si>
    <t>13-9</t>
  </si>
  <si>
    <t>FBC5-D20</t>
  </si>
  <si>
    <t>18-14</t>
  </si>
  <si>
    <t>FBC5-FT</t>
  </si>
  <si>
    <t>FBC5-S-Grise-Poirier</t>
  </si>
  <si>
    <t>Atlantic Dunes</t>
  </si>
  <si>
    <t>FBC5-S-Flanders-McInerney</t>
  </si>
  <si>
    <t>FBC5-S-Gray-Zimmer</t>
  </si>
  <si>
    <t>FBC5-S-Connolly-Welker</t>
  </si>
  <si>
    <t>FBC5-S-Delaney-Hilts</t>
  </si>
  <si>
    <t>FBC5-S-Ferrin-Shively</t>
  </si>
  <si>
    <t>FBC5-S-Jackson-Lynch</t>
  </si>
  <si>
    <t>FBC5-S-Fogan-Norat</t>
  </si>
  <si>
    <t>FBC5-S-Cole-Forster</t>
  </si>
  <si>
    <t>FBC5-S-Connors-Mangold</t>
  </si>
  <si>
    <t>FBC6-D1</t>
  </si>
  <si>
    <t>Arcadia, MI</t>
  </si>
  <si>
    <t>Bluffs</t>
  </si>
  <si>
    <t>Pelican</t>
  </si>
  <si>
    <t>FBC6-D2</t>
  </si>
  <si>
    <t>FBC6-D3</t>
  </si>
  <si>
    <t>FBC6-D4</t>
  </si>
  <si>
    <t>FBC6-D5</t>
  </si>
  <si>
    <t>FBC6-D6</t>
  </si>
  <si>
    <t>Vegas</t>
  </si>
  <si>
    <t>FBC6-D7</t>
  </si>
  <si>
    <t>FBC6-D8</t>
  </si>
  <si>
    <t>FBC6-D9</t>
  </si>
  <si>
    <t>FBC6-D10</t>
  </si>
  <si>
    <t>FBC6-D11</t>
  </si>
  <si>
    <t>FBC6-D12</t>
  </si>
  <si>
    <t>FBC6-D13</t>
  </si>
  <si>
    <t>FBC6-D14</t>
  </si>
  <si>
    <t>FBC6-D15</t>
  </si>
  <si>
    <t>FBC6-D16</t>
  </si>
  <si>
    <t>22-20</t>
  </si>
  <si>
    <t>FBC6-D17</t>
  </si>
  <si>
    <t>22-18</t>
  </si>
  <si>
    <t>FBC6-D18</t>
  </si>
  <si>
    <t>23-14</t>
  </si>
  <si>
    <t>FBC6-D19</t>
  </si>
  <si>
    <t>FBC6-D20</t>
  </si>
  <si>
    <t>20-13</t>
  </si>
  <si>
    <t>FBC6-FT</t>
  </si>
  <si>
    <t>FBC6-S-Fogan-Norat</t>
  </si>
  <si>
    <t>Black</t>
  </si>
  <si>
    <t>FBC6-S-Forster-Lynch</t>
  </si>
  <si>
    <t>FBC6-S-Hilts-Poirier</t>
  </si>
  <si>
    <t>FBC6-S-Ferrin-Grise</t>
  </si>
  <si>
    <t>FBC6-S-Connors-Shively</t>
  </si>
  <si>
    <t>FBC6-S-Jackson-Zimmer</t>
  </si>
  <si>
    <t>FBC6-S-Cole-Mangold</t>
  </si>
  <si>
    <t>8&amp;7</t>
  </si>
  <si>
    <t>FBC6-S-Connolly-Gray</t>
  </si>
  <si>
    <t>FBC6-S-Flanders-McInerney</t>
  </si>
  <si>
    <t>FBC7-D1</t>
  </si>
  <si>
    <t>Thursday</t>
  </si>
  <si>
    <t>Monterey, CA</t>
  </si>
  <si>
    <t>West</t>
  </si>
  <si>
    <t>Pebble Beach</t>
  </si>
  <si>
    <t>Gold</t>
  </si>
  <si>
    <t>Mix</t>
  </si>
  <si>
    <t>Ferrin/Jax</t>
  </si>
  <si>
    <t>over 6'</t>
  </si>
  <si>
    <t>Connolly/Hilts</t>
  </si>
  <si>
    <t>FBC7-D2</t>
  </si>
  <si>
    <t>2up</t>
  </si>
  <si>
    <t>FBC7-D3</t>
  </si>
  <si>
    <t>FBC7-D4</t>
  </si>
  <si>
    <t>FBC7-D5</t>
  </si>
  <si>
    <t>FBC7-D6</t>
  </si>
  <si>
    <t>FBC7-D7</t>
  </si>
  <si>
    <t>FBC7-D8</t>
  </si>
  <si>
    <t>FBC7-D9</t>
  </si>
  <si>
    <t>FBC7-D10</t>
  </si>
  <si>
    <t>FBC7-D11</t>
  </si>
  <si>
    <t>Spyglass Hill</t>
  </si>
  <si>
    <t>FBC7-D12</t>
  </si>
  <si>
    <t>FBC7-D13</t>
  </si>
  <si>
    <t>FBC7-D14</t>
  </si>
  <si>
    <t>FBC7-D15</t>
  </si>
  <si>
    <t>1up</t>
  </si>
  <si>
    <t>FBC7-D16</t>
  </si>
  <si>
    <t>FBC7-D17</t>
  </si>
  <si>
    <t>FBC7-D18</t>
  </si>
  <si>
    <t>FBC7-D19</t>
  </si>
  <si>
    <t>FBC7-D20</t>
  </si>
  <si>
    <t>FBC7-D21</t>
  </si>
  <si>
    <t>Pacific Grove</t>
  </si>
  <si>
    <t>FBC7-D22</t>
  </si>
  <si>
    <t>FBC7-D23</t>
  </si>
  <si>
    <t>FBC7-D24</t>
  </si>
  <si>
    <t>FBC7-D25</t>
  </si>
  <si>
    <t>FBC7-FT</t>
  </si>
  <si>
    <t>Spanish Bay</t>
  </si>
  <si>
    <t>FBC7-S-Ferrin-Forster</t>
  </si>
  <si>
    <t>FBC7-S-Hilts-Zimmer</t>
  </si>
  <si>
    <t>FBC7-S-Gray-Welker</t>
  </si>
  <si>
    <t>FBC7-S-Grise-Mangold</t>
  </si>
  <si>
    <t>FBC7-S-Flanders-Poirier</t>
  </si>
  <si>
    <t>FBC7-S-Lynch-Shively</t>
  </si>
  <si>
    <t>FBC7-S-Jackson-McInerney</t>
  </si>
  <si>
    <t>FBC7-S-Cole-Norat</t>
  </si>
  <si>
    <t>FBC7-S-Connors-Fogan</t>
  </si>
  <si>
    <t>FBC8-S-Delneky-McInerney-1</t>
  </si>
  <si>
    <t>Nekoosa, WI</t>
  </si>
  <si>
    <t>Sand Valley</t>
  </si>
  <si>
    <t>Orange</t>
  </si>
  <si>
    <t>Delneky</t>
  </si>
  <si>
    <t>UPS Brown</t>
  </si>
  <si>
    <t>FBC8-D2</t>
  </si>
  <si>
    <t>FBC8-D3</t>
  </si>
  <si>
    <t>Perkins</t>
  </si>
  <si>
    <t>Piegari</t>
  </si>
  <si>
    <t>FBC8-D4</t>
  </si>
  <si>
    <t>FBC8-D5</t>
  </si>
  <si>
    <t>Ramsay</t>
  </si>
  <si>
    <t>FBC8-D6</t>
  </si>
  <si>
    <t>FBC8-S-Delneky-McInerney-2</t>
  </si>
  <si>
    <t>FBC8-D8</t>
  </si>
  <si>
    <t>FBC8-D9</t>
  </si>
  <si>
    <t>FBC8-D10</t>
  </si>
  <si>
    <t>FBC8-D11</t>
  </si>
  <si>
    <t>FBC8-D12</t>
  </si>
  <si>
    <t>FBC8-S-Forster-Zimmer-1</t>
  </si>
  <si>
    <t>Mammoth Dunes</t>
  </si>
  <si>
    <t>FBC8-D14</t>
  </si>
  <si>
    <t>FBC8-D15</t>
  </si>
  <si>
    <t>FBC8-D16</t>
  </si>
  <si>
    <t>FBC8-D17</t>
  </si>
  <si>
    <t>FBC8-D18</t>
  </si>
  <si>
    <t>FBC8-S-Forster-Zimmer-2</t>
  </si>
  <si>
    <t>FBC8-D20</t>
  </si>
  <si>
    <t>FBC8-D21</t>
  </si>
  <si>
    <t>FBC8-D22</t>
  </si>
  <si>
    <t>FBC8-D23</t>
  </si>
  <si>
    <t>FBC8-D24</t>
  </si>
  <si>
    <t>FBC8-FT</t>
  </si>
  <si>
    <t>Sandbox</t>
  </si>
  <si>
    <t>Standard</t>
  </si>
  <si>
    <t>FBC8-S-Delaney-Fogan</t>
  </si>
  <si>
    <t>Charlotte, NC</t>
  </si>
  <si>
    <t>Carmel</t>
  </si>
  <si>
    <t>FBC8-S-Ferrin-Lynch</t>
  </si>
  <si>
    <t>Isle of Palms, SC</t>
  </si>
  <si>
    <t>Wild Dunes</t>
  </si>
  <si>
    <t>FBC8-S-Jackson-Zimmer</t>
  </si>
  <si>
    <t>FBC8-S-Connolly-McInerney</t>
  </si>
  <si>
    <t>FBC8-S-Cole-Connors</t>
  </si>
  <si>
    <t>FBC8-S-Grise-Shively</t>
  </si>
  <si>
    <t>FBC8-S-Flanders-Welker</t>
  </si>
  <si>
    <t>Fort Lauderdale, FL</t>
  </si>
  <si>
    <t>Lauderdale</t>
  </si>
  <si>
    <t>FBC8-S-Perkins-Piegari</t>
  </si>
  <si>
    <t>San Diego, CA</t>
  </si>
  <si>
    <t>Torrey Pines South</t>
  </si>
  <si>
    <t>FBC9-D1</t>
  </si>
  <si>
    <t>FBC9-D2</t>
  </si>
  <si>
    <t>FBC9-D3</t>
  </si>
  <si>
    <t>FBC9-D4</t>
  </si>
  <si>
    <t>FBC9-D5</t>
  </si>
  <si>
    <t>FBC9-D6</t>
  </si>
  <si>
    <t>FBC9-D7</t>
  </si>
  <si>
    <t>FBC9-D8</t>
  </si>
  <si>
    <t>FBC9-D9</t>
  </si>
  <si>
    <t>FBC9-D10</t>
  </si>
  <si>
    <t>FBC9-D11</t>
  </si>
  <si>
    <t>FBC9-D12</t>
  </si>
  <si>
    <t>FBC9-D13</t>
  </si>
  <si>
    <t>FBC9-D14</t>
  </si>
  <si>
    <t>FBC9-D15</t>
  </si>
  <si>
    <t>FBC9-D16</t>
  </si>
  <si>
    <t>FBC9-D17</t>
  </si>
  <si>
    <t>FBC9-D18</t>
  </si>
  <si>
    <t>FBC9-D19</t>
  </si>
  <si>
    <t>2uo</t>
  </si>
  <si>
    <t>FBC9-D20</t>
  </si>
  <si>
    <t>FBC9-FT</t>
  </si>
  <si>
    <t>FBC9-S-Jackson-Lynch</t>
  </si>
  <si>
    <t>FBC9-S-Cole-Ferrin</t>
  </si>
  <si>
    <t>FBC9-S-Shively-Zimmer</t>
  </si>
  <si>
    <t>FBC9-S-Forster-Perkins</t>
  </si>
  <si>
    <t>7&amp;5</t>
  </si>
  <si>
    <t>FBC9-S-Connolly-Welker</t>
  </si>
  <si>
    <t>FBC9-S-Grise-McInerney</t>
  </si>
  <si>
    <t>FBC9-S-Fogan-Hilts</t>
  </si>
  <si>
    <t>FBC9-S-Flanders-Poirier</t>
  </si>
  <si>
    <t>FBC9-S-Delaney-Delneky</t>
  </si>
  <si>
    <t>FBC10-D1</t>
  </si>
  <si>
    <t>Dublin, IE</t>
  </si>
  <si>
    <t>Europe</t>
  </si>
  <si>
    <t>The Island</t>
  </si>
  <si>
    <t>Pink</t>
  </si>
  <si>
    <t>Turtle Pattern</t>
  </si>
  <si>
    <t>FBC10-D2</t>
  </si>
  <si>
    <t>FBC10-D3</t>
  </si>
  <si>
    <t>FBC10-D4</t>
  </si>
  <si>
    <t>R. Connolly</t>
  </si>
  <si>
    <t>FBC10-D5</t>
  </si>
  <si>
    <t>3-man Stableford</t>
  </si>
  <si>
    <t>-34 to -11</t>
  </si>
  <si>
    <t>FBC10-D6</t>
  </si>
  <si>
    <t>FBC10-D7</t>
  </si>
  <si>
    <t>FBC10-D8</t>
  </si>
  <si>
    <t>FBC10-D9</t>
  </si>
  <si>
    <t>FBC10-D10</t>
  </si>
  <si>
    <t>FBC10-D11</t>
  </si>
  <si>
    <t>Portmarnock Red</t>
  </si>
  <si>
    <t>Dice Pattern</t>
  </si>
  <si>
    <t>White/Green</t>
  </si>
  <si>
    <t>FBC10-D12</t>
  </si>
  <si>
    <t>FBC10-D13</t>
  </si>
  <si>
    <t>FBC10-D14</t>
  </si>
  <si>
    <t>FBC10-D15</t>
  </si>
  <si>
    <t>FBC10-D16</t>
  </si>
  <si>
    <t>Portmarnock Blue</t>
  </si>
  <si>
    <t>FBC10-D17</t>
  </si>
  <si>
    <t>FBC10-D18</t>
  </si>
  <si>
    <t>FBC10-D19</t>
  </si>
  <si>
    <t>FBC10-D20</t>
  </si>
  <si>
    <t>FBC10-D21</t>
  </si>
  <si>
    <t>Portmarnock Yellow</t>
  </si>
  <si>
    <t>FBC10-D22</t>
  </si>
  <si>
    <t>FBC10-D23</t>
  </si>
  <si>
    <t>FBC10-D24</t>
  </si>
  <si>
    <t>FBC10-D25</t>
  </si>
  <si>
    <t>FBC10-S-Delaney-Jackson</t>
  </si>
  <si>
    <t>European Club</t>
  </si>
  <si>
    <t>Yellow</t>
  </si>
  <si>
    <t>Yellow/Black</t>
  </si>
  <si>
    <t>FBC10-S-Connolly-Zimmer</t>
  </si>
  <si>
    <t>7&amp;6</t>
  </si>
  <si>
    <t>FBC10-S-Delneky-Hilts</t>
  </si>
  <si>
    <t>FBC10-S-Fogan-R. Connolly</t>
  </si>
  <si>
    <t>FBC10-S-Flanders-Gray</t>
  </si>
  <si>
    <t>FBC10-S-McInerney-Perkins</t>
  </si>
  <si>
    <t>FBC10-S-Cole-Connors</t>
  </si>
  <si>
    <t>FBC10-S-Lynch-Welker</t>
  </si>
  <si>
    <t>FBC10-S-Ferrin-Mangold</t>
  </si>
  <si>
    <t>FBC10-S-Forster-Grise</t>
  </si>
  <si>
    <t>FBC11-D1</t>
  </si>
  <si>
    <t>Pinehurst, NC</t>
  </si>
  <si>
    <t>Pinehurst No. 2</t>
  </si>
  <si>
    <t>1Dn</t>
  </si>
  <si>
    <t>FBC11-D2</t>
  </si>
  <si>
    <t>FBC11-D3</t>
  </si>
  <si>
    <t>FBC11-D4</t>
  </si>
  <si>
    <t>1dn</t>
  </si>
  <si>
    <t>FBC11-D5</t>
  </si>
  <si>
    <t>FBC11-D6</t>
  </si>
  <si>
    <t>FBC11-D7</t>
  </si>
  <si>
    <t>FBC11-D8</t>
  </si>
  <si>
    <t>FBC11-D9</t>
  </si>
  <si>
    <t>FBC11-D10</t>
  </si>
  <si>
    <t>FBC11-D11</t>
  </si>
  <si>
    <t>Pinehurst No. 3</t>
  </si>
  <si>
    <t>FBC11-D12</t>
  </si>
  <si>
    <t>FBC11-D13</t>
  </si>
  <si>
    <t>FBC11-D14</t>
  </si>
  <si>
    <t>FBC11-D15</t>
  </si>
  <si>
    <t>FBC11-D16</t>
  </si>
  <si>
    <t>FBC11-D17</t>
  </si>
  <si>
    <t>FBC11-D18</t>
  </si>
  <si>
    <t>FBC11-D19</t>
  </si>
  <si>
    <t>FBC11-D20</t>
  </si>
  <si>
    <t>FBC11-FT</t>
  </si>
  <si>
    <t>Pinehurst Cradle</t>
  </si>
  <si>
    <t>White confetti</t>
  </si>
  <si>
    <t>White ninja</t>
  </si>
  <si>
    <t>FBC11-S-Lynch-Poirier</t>
  </si>
  <si>
    <t>Pinehurst No. 10</t>
  </si>
  <si>
    <t>FBC11-S-Gray-Hilts</t>
  </si>
  <si>
    <t>FBC11-S-Ferrin-Grise</t>
  </si>
  <si>
    <t>FBC11-S-Jackson-Zimmer</t>
  </si>
  <si>
    <t>FBC11-S-Connors-Fogan</t>
  </si>
  <si>
    <t>FBC11-S-Forster-Welker</t>
  </si>
  <si>
    <t>FBC11-S-Cole-Shively</t>
  </si>
  <si>
    <t>FBC11-S-Delneky-Mangold</t>
  </si>
  <si>
    <t>FBC11-S-Flanders-Norat</t>
  </si>
  <si>
    <t>FBC11-S-Connolly-Delaney</t>
  </si>
  <si>
    <t>FBC12-D1</t>
  </si>
  <si>
    <t>Killarney, IE</t>
  </si>
  <si>
    <t>Tralee</t>
  </si>
  <si>
    <t>1 up</t>
  </si>
  <si>
    <t>FBC12-D2</t>
  </si>
  <si>
    <t>FBC12-D3</t>
  </si>
  <si>
    <t>FBC12-D4</t>
  </si>
  <si>
    <t>2 up</t>
  </si>
  <si>
    <t>Snyder</t>
  </si>
  <si>
    <t>FBC12-D5</t>
  </si>
  <si>
    <t>FBC12-D6</t>
  </si>
  <si>
    <t>FBC12-D7</t>
  </si>
  <si>
    <t>FBC12-D8</t>
  </si>
  <si>
    <t>FBC12-D9</t>
  </si>
  <si>
    <t>FBC12-D10</t>
  </si>
  <si>
    <t>FBC12-D11</t>
  </si>
  <si>
    <t>Ballybunion Cashen</t>
  </si>
  <si>
    <t>FBC12-D12</t>
  </si>
  <si>
    <t>FBC12-D13</t>
  </si>
  <si>
    <t>FBC12-D14</t>
  </si>
  <si>
    <t>FBC12-D15</t>
  </si>
  <si>
    <t>FBC12-D16</t>
  </si>
  <si>
    <t>FBC12-D17</t>
  </si>
  <si>
    <t>FBC12-D18</t>
  </si>
  <si>
    <t>FBC12-D19</t>
  </si>
  <si>
    <t>FBC12-D20</t>
  </si>
  <si>
    <t>FBC12-D26</t>
  </si>
  <si>
    <t>Ballybunion Old</t>
  </si>
  <si>
    <t>FBC12-D27</t>
  </si>
  <si>
    <t>FBC12-D28</t>
  </si>
  <si>
    <t>FBC12-D29</t>
  </si>
  <si>
    <t>FBC12-D30</t>
  </si>
  <si>
    <t>FBC12-D21</t>
  </si>
  <si>
    <t>FBC12-D22</t>
  </si>
  <si>
    <t>FBC12-D23</t>
  </si>
  <si>
    <t>FBC12-D24</t>
  </si>
  <si>
    <t>FBC12-D25</t>
  </si>
  <si>
    <t>FBC12-S-Connolly-Grise</t>
  </si>
  <si>
    <t>Dooks</t>
  </si>
  <si>
    <t>FBC12-S-Delneky-Lynch</t>
  </si>
  <si>
    <t>FBC12-S-R. Connolly-Shively</t>
  </si>
  <si>
    <t>FBC12-S-Flanders-Piegari</t>
  </si>
  <si>
    <t>FBC12-S-Jackson-Poirier</t>
  </si>
  <si>
    <t>FBC12-S-Fogan-Forster</t>
  </si>
  <si>
    <t>FBC12-S-Perkins-Zimmer</t>
  </si>
  <si>
    <t>FBC12-S-Ferrin-Hilts</t>
  </si>
  <si>
    <t>FBC12-S-Delaney-Mangold</t>
  </si>
  <si>
    <t>FBC8-S-Hilts-Mangold</t>
  </si>
  <si>
    <t>Aiken, SC</t>
  </si>
  <si>
    <t>Old Barnwell</t>
  </si>
  <si>
    <t>Player</t>
  </si>
  <si>
    <t>FBC 1</t>
  </si>
  <si>
    <t>FBC 2</t>
  </si>
  <si>
    <t>FBC 3</t>
  </si>
  <si>
    <t>FBC 4</t>
  </si>
  <si>
    <t>FBC 5</t>
  </si>
  <si>
    <t>FBC 6</t>
  </si>
  <si>
    <t>FBC 7</t>
  </si>
  <si>
    <t>FBC 8</t>
  </si>
  <si>
    <t>FBC 9</t>
  </si>
  <si>
    <t>FBC 10</t>
  </si>
  <si>
    <t>FBC 11</t>
  </si>
  <si>
    <t>FBC 12</t>
  </si>
  <si>
    <t>Total</t>
  </si>
  <si>
    <t>Played</t>
  </si>
  <si>
    <t>%</t>
  </si>
  <si>
    <t>Lost</t>
  </si>
  <si>
    <t>Connolly, B</t>
  </si>
  <si>
    <t>X</t>
  </si>
  <si>
    <t>Bussiculo</t>
  </si>
  <si>
    <t>Tab shows whether the players was on the winning team with a "1" meaning they were on the winning team, a "0" meaning they were on the losing team, and "X" meaning they did not participate</t>
  </si>
  <si>
    <t>FBC Handicap Index by Cup (master)</t>
  </si>
  <si>
    <t>Source: Handicaps &amp; Points (Historical) FBC2–13; FBC1 from Archives. 'X' = did not play. Blank = no record.</t>
  </si>
  <si>
    <t>FBC1</t>
  </si>
  <si>
    <t>FBC2</t>
  </si>
  <si>
    <t>FBC3</t>
  </si>
  <si>
    <t>FBC4</t>
  </si>
  <si>
    <t>FBC5</t>
  </si>
  <si>
    <t>FBC6</t>
  </si>
  <si>
    <t>FBC7</t>
  </si>
  <si>
    <t>FBC8</t>
  </si>
  <si>
    <t>FBC9</t>
  </si>
  <si>
    <t>FBC10</t>
  </si>
  <si>
    <t>FBC11</t>
  </si>
  <si>
    <t>FBC12</t>
  </si>
  <si>
    <t>Average</t>
  </si>
  <si>
    <t>Points by Cup</t>
  </si>
  <si>
    <t>Live from Archives. FBC 13–15 columns are pre-built — they auto-populate when those cups are added to Archives.</t>
  </si>
  <si>
    <t>FBC 13</t>
  </si>
  <si>
    <t>FBC 14</t>
  </si>
  <si>
    <t>FBC 15</t>
  </si>
  <si>
    <t>Lifetime Leaderboard</t>
  </si>
  <si>
    <t>Live from Archives — points, record, and per-cup rate across all FBCs. Win % = (W + ½T) ÷ matches.</t>
  </si>
  <si>
    <t>Win %</t>
  </si>
  <si>
    <t>Matches</t>
  </si>
  <si>
    <t>Pts/Cup</t>
  </si>
  <si>
    <t>Grand Total</t>
  </si>
  <si>
    <t>The Hunted</t>
  </si>
  <si>
    <t>Sum of W</t>
  </si>
  <si>
    <t>Bounty</t>
  </si>
  <si>
    <t>Hunters</t>
  </si>
  <si>
    <t>CAPA PPC — Competitor-Adjusted, Partner-Adjusted Points Per Cup</t>
  </si>
  <si>
    <t>What it measures</t>
  </si>
  <si>
    <t>Expected points-per-cup with an average-skill partner against average-skill opponents (FIP-style), adjusting for both win% skill and HANDICAP of partners/opponents. Through FBC12.</t>
  </si>
  <si>
    <t>Model</t>
  </si>
  <si>
    <t>Match point-share ≈ 0.50 + 1.757×SkillDiff + 0.0078×HcpAdv (R²=0.138, n=582). Skill = career Win%−0.5; HcpAdv = opp index − own index (from the Handicaps tab).</t>
  </si>
  <si>
    <t>Neutral pts / match</t>
  </si>
  <si>
    <t>Actual − Stake×[β_skill×(partner &amp; opp skill context) + β_hcp×(handicap context)]. CAPA PPC = Σ neutral ÷ effective cups.</t>
  </si>
  <si>
    <t>Handicap source</t>
  </si>
  <si>
    <t>Other settings</t>
  </si>
  <si>
    <t>Skill shrunk by n/(n+20). FBC8 partial credit via stake share (6 players @ 4.5/6.5).</t>
  </si>
  <si>
    <t>Eff. Cups</t>
  </si>
  <si>
    <t>UnAdj PPC</t>
  </si>
  <si>
    <t>Partner Adj</t>
  </si>
  <si>
    <t>Opponent Adj</t>
  </si>
  <si>
    <t>Hcp Adj</t>
  </si>
  <si>
    <t>Delta</t>
  </si>
  <si>
    <t>Belts (through FBC12)</t>
  </si>
  <si>
    <t>🐉 DragonSlayer</t>
  </si>
  <si>
    <t>Toughest opponents (largest opponent-skill boost)</t>
  </si>
  <si>
    <t>🥄 Silver Spoon</t>
  </si>
  <si>
    <t>Best partners — born on third base, thinks he hit a triple</t>
  </si>
  <si>
    <t>🪨 Sisyphus</t>
  </si>
  <si>
    <t>Worst partners — pushing a rock uphill for eternity</t>
  </si>
  <si>
    <t>🎒 Billy Madison</t>
  </si>
  <si>
    <t>Easiest opponents — beating up on gradeschoolers</t>
  </si>
  <si>
    <t>Sandbagger Index</t>
  </si>
  <si>
    <t>Who plays above their card. Sandbag Score = (Win% − 50%) × Avg Handicap. High = wins well despite a high handicap; negative = struggles despite getting strokes. Computed from Archives; min 10 matches.</t>
  </si>
  <si>
    <t>Avg Hcp</t>
  </si>
  <si>
    <t>Beats Card</t>
  </si>
  <si>
    <t>Sandbag Score</t>
  </si>
  <si>
    <t>Chemistry Index</t>
  </si>
  <si>
    <t>Doubles pairings that beat (or fall short of) their combined talent. Chemistry = tandem win% − the average of the two partners’ individual career win%. Min 4 matches together.</t>
  </si>
  <si>
    <t>Tandem</t>
  </si>
  <si>
    <t>Tandem Win %</t>
  </si>
  <si>
    <t>Expected</t>
  </si>
  <si>
    <t>Chemistry</t>
  </si>
  <si>
    <t>Ferrin / Flanders</t>
  </si>
  <si>
    <t>Delaney / Perkins</t>
  </si>
  <si>
    <t>Connolly / Jackson</t>
  </si>
  <si>
    <t>Connolly / Forster</t>
  </si>
  <si>
    <t>Connors / Welker</t>
  </si>
  <si>
    <t>Delaney / Mangold</t>
  </si>
  <si>
    <t>Connolly / R. Connolly</t>
  </si>
  <si>
    <t>Grise / Jackson</t>
  </si>
  <si>
    <t>Grise / Hickerson</t>
  </si>
  <si>
    <t>Hilts / Lynch</t>
  </si>
  <si>
    <t>Connolly / Shively</t>
  </si>
  <si>
    <t>Mangold / Welker</t>
  </si>
  <si>
    <t>Cole / McInerney</t>
  </si>
  <si>
    <t>Connolly / Connors</t>
  </si>
  <si>
    <t>Flanders / Poirier</t>
  </si>
  <si>
    <t>Delneky / Fogan</t>
  </si>
  <si>
    <t>Norat / Welker</t>
  </si>
  <si>
    <t>Grise / Poirier</t>
  </si>
  <si>
    <t>Norat / Zimmer</t>
  </si>
  <si>
    <t>Ferrin / Grise</t>
  </si>
  <si>
    <t>Fogan / Weisberger</t>
  </si>
  <si>
    <t>Hickerson / Lynch</t>
  </si>
  <si>
    <t>Delaney / Hilts</t>
  </si>
  <si>
    <t>Connors / Jackson</t>
  </si>
  <si>
    <t>Connolly / Hilts</t>
  </si>
  <si>
    <t>Gray / Zimmer</t>
  </si>
  <si>
    <t>Lynch / Mangold</t>
  </si>
  <si>
    <t>Ferrin / Jackson</t>
  </si>
  <si>
    <t>Hilts / Poirier</t>
  </si>
  <si>
    <t>Gray / Norat</t>
  </si>
  <si>
    <t>Connors / Mangold</t>
  </si>
  <si>
    <t>Cole / Ferrin</t>
  </si>
  <si>
    <t>Cole / Jackson</t>
  </si>
  <si>
    <t>Macklin / Poirier</t>
  </si>
  <si>
    <t>Connolly / Zimmer</t>
  </si>
  <si>
    <t>Forster / Norat</t>
  </si>
  <si>
    <t>Flanders / Forster</t>
  </si>
  <si>
    <t>Cole / Lynch</t>
  </si>
  <si>
    <t>Flanders / Mangold</t>
  </si>
  <si>
    <t>Connolly / Delneky</t>
  </si>
  <si>
    <t>McInerney / Shively</t>
  </si>
  <si>
    <t>Lynch / Perkins</t>
  </si>
  <si>
    <t>Fogan / Lynch</t>
  </si>
  <si>
    <t>Flanders / Hilts</t>
  </si>
  <si>
    <t>Grise / Mangold</t>
  </si>
  <si>
    <t>Connors / Grise</t>
  </si>
  <si>
    <t>Fogan / Hilts</t>
  </si>
  <si>
    <t>Cole / Connors</t>
  </si>
  <si>
    <t>Fogan / McInerney</t>
  </si>
  <si>
    <t>Clutch Rating</t>
  </si>
  <si>
    <t>Performance weighted by what’s at stake (Saturday singles = 2 pts, Friday = 1, FTAS = 0.5). Clutch Δ = stakes-weighted win% − flat win%. Positive = raises their game when more is on the line. Min 10 matches.</t>
  </si>
  <si>
    <t>High-Leverage Win %</t>
  </si>
  <si>
    <t>Clutch Δ</t>
  </si>
  <si>
    <t>Pythagorean Luck</t>
  </si>
  <si>
    <t>Cups won vs. cups deserved. Expected wins from each cup’s team points for/against (Pythagorean expectation, exp. 2). Luck = actual − expected. Positive = won more cups than margins predict (clutch/fortunate in tight cups); negative = strong margins, unlucky finishes. Min 4 cups.</t>
  </si>
  <si>
    <t>Cups Won</t>
  </si>
  <si>
    <t>Luck</t>
  </si>
  <si>
    <t>Form Guide</t>
  </si>
  <si>
    <t>Who’s heating up going into FBC 13. PPC = points per cup. Last 3 = the three most recent cups each player appeared in. Form = recent − career. Sorted by current form. Min 4 cups.</t>
  </si>
  <si>
    <t>Career PPC</t>
  </si>
  <si>
    <t>Last 3 PPC</t>
  </si>
  <si>
    <t>Form Δ</t>
  </si>
  <si>
    <t>Trend</t>
  </si>
  <si>
    <t>▲  Hot</t>
  </si>
  <si>
    <t>—  Steady</t>
  </si>
  <si>
    <t>▼  Cold</t>
  </si>
  <si>
    <t>MVP Hall of Fame</t>
  </si>
  <si>
    <t>Every undefeated individual cup in FBC history — zero match losses, ties allowed (min 3 matches). Ranked by points earned.</t>
  </si>
  <si>
    <t>Rank</t>
  </si>
  <si>
    <t>Cup</t>
  </si>
  <si>
    <t>Nemesis &amp; Patsy</t>
  </si>
  <si>
    <t>Head-to-head ownership across singles and as doubles opponents. Patsy = the opponent each player owns most (best W–L–T against); Nemesis = the opponent who owns them. Records from the player’s perspective; min 3 meetings.</t>
  </si>
  <si>
    <t>Biggest Patsy</t>
  </si>
  <si>
    <t>Record</t>
  </si>
  <si>
    <t>Biggest Nemesis</t>
  </si>
  <si>
    <t>3–1–0</t>
  </si>
  <si>
    <t>1–3–0</t>
  </si>
  <si>
    <t>5–1–2</t>
  </si>
  <si>
    <t>1–5–1</t>
  </si>
  <si>
    <t>6–0–0</t>
  </si>
  <si>
    <t>3–6–2</t>
  </si>
  <si>
    <t>2–1–1</t>
  </si>
  <si>
    <t>2–7–1</t>
  </si>
  <si>
    <t>3–1–2</t>
  </si>
  <si>
    <t>0–2–1</t>
  </si>
  <si>
    <t>5–1–0</t>
  </si>
  <si>
    <t>1–3–1</t>
  </si>
  <si>
    <t>0–2–2</t>
  </si>
  <si>
    <t>7–1–0</t>
  </si>
  <si>
    <t>0–4–0</t>
  </si>
  <si>
    <t>4–0–0</t>
  </si>
  <si>
    <t>2–7–0</t>
  </si>
  <si>
    <t>7–2–1</t>
  </si>
  <si>
    <t>0–8–0</t>
  </si>
  <si>
    <t>5–0–1</t>
  </si>
  <si>
    <t>2–5–1</t>
  </si>
  <si>
    <t>7–2–0</t>
  </si>
  <si>
    <t>0–3–0</t>
  </si>
  <si>
    <t>6–2–1</t>
  </si>
  <si>
    <t>2–6–0</t>
  </si>
  <si>
    <t>3–2–1</t>
  </si>
  <si>
    <t>6–2–2</t>
  </si>
  <si>
    <t>7–1–1</t>
  </si>
  <si>
    <t>8–0–0</t>
  </si>
  <si>
    <t>4–6–2</t>
  </si>
  <si>
    <t>3–0–1</t>
  </si>
  <si>
    <t>1–6–1</t>
  </si>
  <si>
    <t>0–5–1</t>
  </si>
  <si>
    <t>1–5–2</t>
  </si>
  <si>
    <t>5–0–0</t>
  </si>
  <si>
    <t>0–5–0</t>
  </si>
  <si>
    <t>6–1–1</t>
  </si>
  <si>
    <t>1–7–0</t>
  </si>
  <si>
    <t>3–2–0</t>
  </si>
  <si>
    <t>4–1–1</t>
  </si>
  <si>
    <t>1–7–1</t>
  </si>
  <si>
    <t>Streak Tracker</t>
  </si>
  <si>
    <t>Longest consecutive runs in head-to-head matches (singles + doubles), in chronological order across all cups. A tie breaks a streak. Current = the active run as of each player’s most recent cup. Min 10 matches.</t>
  </si>
  <si>
    <t>Longest Win Streak</t>
  </si>
  <si>
    <t>Longest Loss Streak</t>
  </si>
  <si>
    <t>Current</t>
  </si>
  <si>
    <t>L2</t>
  </si>
  <si>
    <t>W2</t>
  </si>
  <si>
    <t>L1</t>
  </si>
  <si>
    <t>W1</t>
  </si>
  <si>
    <t>L3</t>
  </si>
  <si>
    <t>W3</t>
  </si>
  <si>
    <t>L5</t>
  </si>
  <si>
    <t>Record Book</t>
  </si>
  <si>
    <t>All Time Records</t>
  </si>
  <si>
    <t>Most Cups</t>
  </si>
  <si>
    <t>Highest Cup Win %</t>
  </si>
  <si>
    <t>Lowest Cup Win % (&gt;1 tourney)</t>
  </si>
  <si>
    <t>Most Total Points</t>
  </si>
  <si>
    <t>Highest Points per Cup (&gt;3 FBCs)</t>
  </si>
  <si>
    <t>Highest Tandem Win % (&gt;2 matches)</t>
  </si>
  <si>
    <t>Largest Margin of Victory</t>
  </si>
  <si>
    <t>Team Welker over Team Flanders (FBC VIII)</t>
  </si>
  <si>
    <t>Cole def. Mangold (FBC VI)
Delneky def. Hilts (FBC X)</t>
  </si>
  <si>
    <t>ConnollyShively def. FlandersMangold (FBC I)
FoganLynch def. GrayNorat (FBC IV)</t>
  </si>
  <si>
    <t>Hi Lo</t>
  </si>
  <si>
    <t>7&amp;3</t>
  </si>
  <si>
    <t>ForsterLynch def. ColeFerrin (FBC II)
GrayNorat def. LynchFogan (FBC IV)</t>
  </si>
  <si>
    <t>ConnollyShively def. FlandersMangold (FBCI)
ConnollyForster def. FerrinJackson (FBC V)
NoratZimmer def. ColeConnors (FBC V)</t>
  </si>
  <si>
    <t>ConnollyJackson def. FoganWeisberger</t>
  </si>
  <si>
    <t>Most Scramble Points</t>
  </si>
  <si>
    <t>ConnollyMcInerney (FBC IV)</t>
  </si>
  <si>
    <t>Most Consecutive Craps Points</t>
  </si>
  <si>
    <t>Fogan (FBC VI)</t>
  </si>
  <si>
    <t>Live records (Most Cups, Most Total Points, Highest Tandem) update from Archives. Margin records below are entered manually.</t>
  </si>
  <si>
    <t>Nerd-Hooligan Index</t>
  </si>
  <si>
    <t xml:space="preserve">Lifetime Dunkaroos + Times Arrested + [Table Dives / 2] + [0.5*Legitimate Children + 1.5*Illegitimate Children] - </t>
  </si>
  <si>
    <t>Divided by</t>
  </si>
  <si>
    <t>CB</t>
  </si>
  <si>
    <t>[Advanced degrees + Books read in last 5 years] + Sq Rt(New Sabermetrics Created)</t>
  </si>
  <si>
    <t>DB</t>
  </si>
  <si>
    <t>Singles &amp; Doubles Records</t>
  </si>
  <si>
    <t>Live from Archives — recomputes automatically, including future cups. Win % = (W + ½T) ÷ matches. Through FBC 12.</t>
  </si>
  <si>
    <t>Cole / Weisberger</t>
  </si>
  <si>
    <t>Connolly / Perkins</t>
  </si>
  <si>
    <t>Connolly / Grise</t>
  </si>
  <si>
    <t>Delaney / Lynch</t>
  </si>
  <si>
    <t>Delneky / Forster</t>
  </si>
  <si>
    <t>Ferrin / Fogan</t>
  </si>
  <si>
    <t>Flanders / Lynch</t>
  </si>
  <si>
    <t>Fogan / Poirier</t>
  </si>
  <si>
    <t>Forster / Lynch</t>
  </si>
  <si>
    <t>Forster / Poirier</t>
  </si>
  <si>
    <t>Gray / Welker</t>
  </si>
  <si>
    <t>Gray / Grise</t>
  </si>
  <si>
    <t>Grise / Welker</t>
  </si>
  <si>
    <t>Hilts / Welker</t>
  </si>
  <si>
    <t>Jackson / McInerney</t>
  </si>
  <si>
    <t>Lynch / Zimmer</t>
  </si>
  <si>
    <t>Mangold / Perkins</t>
  </si>
  <si>
    <t>McInerney / Perkins</t>
  </si>
  <si>
    <t>Cole / Connolly</t>
  </si>
  <si>
    <t>Connors / Delneky</t>
  </si>
  <si>
    <t>Fogan / Mangold</t>
  </si>
  <si>
    <t>Gray / Jackson</t>
  </si>
  <si>
    <t>McInerney / Norat</t>
  </si>
  <si>
    <t>Cole / Hilts</t>
  </si>
  <si>
    <t>Cole / Welker</t>
  </si>
  <si>
    <t>Connolly / McInerney</t>
  </si>
  <si>
    <t>Connors / Perkins</t>
  </si>
  <si>
    <t>Connors / Flanders</t>
  </si>
  <si>
    <t>Delaney / Fogan</t>
  </si>
  <si>
    <t>Delneky / Gray</t>
  </si>
  <si>
    <t>Ferrin / Forster</t>
  </si>
  <si>
    <t>Grise / Snyder</t>
  </si>
  <si>
    <t>Mangold / Poirier</t>
  </si>
  <si>
    <t>Shively / Welker</t>
  </si>
  <si>
    <t>Gray / Lynch</t>
  </si>
  <si>
    <t>Cole / Flanders</t>
  </si>
  <si>
    <t>Connolly / Ferrin</t>
  </si>
  <si>
    <t>Connors / Zimmer</t>
  </si>
  <si>
    <t>Delaney / Shively</t>
  </si>
  <si>
    <t>Delneky / Ferrin</t>
  </si>
  <si>
    <t>Delneky / Jackson</t>
  </si>
  <si>
    <t>Delneky / R. Connolly</t>
  </si>
  <si>
    <t>Delneky / Zimmer</t>
  </si>
  <si>
    <t>Ferrin / Shively</t>
  </si>
  <si>
    <t>Forster / McInerney</t>
  </si>
  <si>
    <t>Forster / Hilts</t>
  </si>
  <si>
    <t>Forster / Grise</t>
  </si>
  <si>
    <t>Forster / Shively</t>
  </si>
  <si>
    <t>Gray / Hilts</t>
  </si>
  <si>
    <t>Gray / McInerney</t>
  </si>
  <si>
    <t>Grise / Shively</t>
  </si>
  <si>
    <t>Grise / Lynch</t>
  </si>
  <si>
    <t>Grise / Zimmer</t>
  </si>
  <si>
    <t>Jackson / Shively</t>
  </si>
  <si>
    <t>Jackson / Zimmer</t>
  </si>
  <si>
    <t>Jackson / R. Connolly</t>
  </si>
  <si>
    <t>Lynch / Ramsay</t>
  </si>
  <si>
    <t>Mangold / Shively</t>
  </si>
  <si>
    <t>McInerney / Ramsay</t>
  </si>
  <si>
    <t>Piegari / Shively</t>
  </si>
  <si>
    <t>Fogan / Welker</t>
  </si>
  <si>
    <t>Forster / Welker</t>
  </si>
  <si>
    <t>Cole / Mangold</t>
  </si>
  <si>
    <t>Delaney / Piegari</t>
  </si>
  <si>
    <t>Ferrin / Weisberger</t>
  </si>
  <si>
    <t>Flanders / Shively</t>
  </si>
  <si>
    <t>Flanders / Fogan</t>
  </si>
  <si>
    <t>Fogan / Piegari</t>
  </si>
  <si>
    <t>Gray / Poirier</t>
  </si>
  <si>
    <t>Hilts / Shively</t>
  </si>
  <si>
    <t>Jackson / Welker</t>
  </si>
  <si>
    <t>Lynch / Snyder</t>
  </si>
  <si>
    <t>Mangold / Weisberger</t>
  </si>
  <si>
    <t>Shively / Zimmer</t>
  </si>
  <si>
    <t>Poirier / Shively</t>
  </si>
  <si>
    <t>Flanders / Grise</t>
  </si>
  <si>
    <t>Cole / Poirier</t>
  </si>
  <si>
    <t>Cole / Fogan</t>
  </si>
  <si>
    <t>Cole / R. Connolly</t>
  </si>
  <si>
    <t>Connolly / Fogan</t>
  </si>
  <si>
    <t>Connolly / Mangold</t>
  </si>
  <si>
    <t>Connors / Norat</t>
  </si>
  <si>
    <t>Connors / McInerney</t>
  </si>
  <si>
    <t>Connors / Shively</t>
  </si>
  <si>
    <t>Delaney / Flanders</t>
  </si>
  <si>
    <t>Ferrin / Zimmer</t>
  </si>
  <si>
    <t>Fogan / Hickerson</t>
  </si>
  <si>
    <t>Fogan / Gray</t>
  </si>
  <si>
    <t>Forster / Zimmer</t>
  </si>
  <si>
    <t>Forster / Snyder</t>
  </si>
  <si>
    <t>Hickerson / Shively</t>
  </si>
  <si>
    <t>Hickerson / McInerney</t>
  </si>
  <si>
    <t>Mangold / Piegari</t>
  </si>
  <si>
    <t>Norat / Poirier</t>
  </si>
  <si>
    <t>Perkins / Shively</t>
  </si>
  <si>
    <t>Piegari / Zimmer</t>
  </si>
  <si>
    <t>Welker / Zimmer</t>
  </si>
  <si>
    <t>Delaney / Ferrin</t>
  </si>
  <si>
    <t>Flanders / Zimmer</t>
  </si>
  <si>
    <t>Forster / Mangold</t>
  </si>
  <si>
    <t>McInerney / Zimmer</t>
  </si>
  <si>
    <t>Perkins / R. Connolly</t>
  </si>
  <si>
    <t>Last updated: 8/1/2017</t>
  </si>
  <si>
    <t>Conservative Plan</t>
  </si>
  <si>
    <t>Estimated Annual Return</t>
  </si>
  <si>
    <t>Estimated FBC Contributions</t>
  </si>
  <si>
    <t>FBC II</t>
  </si>
  <si>
    <t>2019 Pebble Estimator</t>
  </si>
  <si>
    <t>Losing Contribution ($125 * 8)</t>
  </si>
  <si>
    <t>2017-2018</t>
  </si>
  <si>
    <t>2018-2019 (1/2 year)</t>
  </si>
  <si>
    <t>Caddie Refund</t>
  </si>
  <si>
    <t>Beg Bal (Sept)</t>
  </si>
  <si>
    <t>Forster tax-deductible pledge</t>
  </si>
  <si>
    <t>2017 per person package costs for 2 nights/2 rounds (inc Pebble)</t>
  </si>
  <si>
    <t>Gain</t>
  </si>
  <si>
    <t>Mikey CTP</t>
  </si>
  <si>
    <t>Inflation add on (est. 2% per year)</t>
  </si>
  <si>
    <t>EOY Contributions</t>
  </si>
  <si>
    <t>Jackson CTP</t>
  </si>
  <si>
    <t>Group discount</t>
  </si>
  <si>
    <t>End Bal (Jun)</t>
  </si>
  <si>
    <t>Fogan LD</t>
  </si>
  <si>
    <t>Estimated 2019 Golf/Lodging per person Cost</t>
  </si>
  <si>
    <t>Lynch LD</t>
  </si>
  <si>
    <t>Connolly CTP</t>
  </si>
  <si>
    <t>people multiplier</t>
  </si>
  <si>
    <t>20 player group Golf/Lodging cost</t>
  </si>
  <si>
    <t>Moderate Plan</t>
  </si>
  <si>
    <t>Hilts CTP</t>
  </si>
  <si>
    <t>Flanders CTP</t>
  </si>
  <si>
    <t>2017 FBCOF-I Funds</t>
  </si>
  <si>
    <t>TOTAL FBC II Contribution</t>
  </si>
  <si>
    <t>Discount</t>
  </si>
  <si>
    <t>Jun 2014 Balance</t>
  </si>
  <si>
    <t>Total net due from group in Conservative Plan</t>
  </si>
  <si>
    <t>Per Player cost in Conservative Plan</t>
  </si>
  <si>
    <t>FBC III</t>
  </si>
  <si>
    <t>Sat Mulligan Amount</t>
  </si>
  <si>
    <t>Total net due from group in Moderate Plan</t>
  </si>
  <si>
    <t>Sun Mulligan Amount</t>
  </si>
  <si>
    <t>Per Player cost in Moderate Plan</t>
  </si>
  <si>
    <t>Loser Cont ($150*10)</t>
  </si>
  <si>
    <t>Aggressive Plan</t>
  </si>
  <si>
    <t>CBC Win/(Loss)</t>
  </si>
  <si>
    <t>Total net due from group inAggressive Plan</t>
  </si>
  <si>
    <t>FBC Donation</t>
  </si>
  <si>
    <t>Per Player cost in Aggressive Plan</t>
  </si>
  <si>
    <t>Deferred Credits</t>
  </si>
  <si>
    <t>TOTAL FBC III Contribution</t>
  </si>
  <si>
    <t>FY15 FBCOF-I Gain</t>
  </si>
  <si>
    <t>Aug 2015 Balance</t>
  </si>
  <si>
    <t>FBC IV</t>
  </si>
  <si>
    <t>Fri Mulligan Amount</t>
  </si>
  <si>
    <t>Loser Cont ($300*10)</t>
  </si>
  <si>
    <t>FTAS Loser Cont</t>
  </si>
  <si>
    <t>Holdover Credits Redeemed</t>
  </si>
  <si>
    <t>TOTAL FBC IV Contribution</t>
  </si>
  <si>
    <t>FY16 FBCOF-I Gain</t>
  </si>
  <si>
    <t>Aug 2016 Balance</t>
  </si>
  <si>
    <t>FBC V</t>
  </si>
  <si>
    <t>ProForma 
FBCOF-I Value at FBC VII</t>
  </si>
  <si>
    <t>CTP/LD Prizes</t>
  </si>
  <si>
    <t>Rate of Return</t>
  </si>
  <si>
    <t>Net Credits Redeemed</t>
  </si>
  <si>
    <t>Belt Revenue</t>
  </si>
  <si>
    <t>Cyber Monday Revenue</t>
  </si>
  <si>
    <t>TOTAL FBC V Contribution</t>
  </si>
  <si>
    <t>Annual Cont.</t>
  </si>
  <si>
    <t>FY17 FBCOF-I Gain</t>
  </si>
  <si>
    <t>FBC VI</t>
  </si>
  <si>
    <t>Aug 2017 Balance</t>
  </si>
  <si>
    <t>Estimated per person discount off Package</t>
  </si>
  <si>
    <t>Location</t>
  </si>
  <si>
    <t>Golf Courses</t>
  </si>
  <si>
    <t>Service / Staff</t>
  </si>
  <si>
    <t>Lodging Facilities</t>
  </si>
  <si>
    <t>Practice Facilities</t>
  </si>
  <si>
    <t>Convenience</t>
  </si>
  <si>
    <t>Intangibles</t>
  </si>
  <si>
    <t>Entertainment</t>
  </si>
  <si>
    <t>Overall FBC Rating</t>
  </si>
  <si>
    <t>Saratoga 
(Saratoga National 2x, Saratoga Spa)</t>
  </si>
  <si>
    <t>Saratoga National 5; Spa 2</t>
  </si>
  <si>
    <t>Not full resort so not fair comparison</t>
  </si>
  <si>
    <t>Downtown Saratoga</t>
  </si>
  <si>
    <t>-</t>
  </si>
  <si>
    <t>No pure golf resort</t>
  </si>
  <si>
    <t>Downtown Saratoga great nightlife</t>
  </si>
  <si>
    <t>Turning Stone 
(Atunyote, Shenandoah, Kahluyat)</t>
  </si>
  <si>
    <t>Atunyote worth doing again</t>
  </si>
  <si>
    <t>Fair amount of attention paid to golf trips (food/bev packages, etc.); very accommodating
Casino staff slightly less so</t>
  </si>
  <si>
    <t>Standard Casino Lodging</t>
  </si>
  <si>
    <t>Great facilities; little bit of a walk from the lodging area</t>
  </si>
  <si>
    <t>All courses onsite; shuttle to Atunyote</t>
  </si>
  <si>
    <t>Red delicious apples; Mike Tyson</t>
  </si>
  <si>
    <t>Casino onsite</t>
  </si>
  <si>
    <t>Sea Island 
(Seaside 2x, Plantation)</t>
  </si>
  <si>
    <t>We were their guests all weekend, set the bar for guys golf trips</t>
  </si>
  <si>
    <t>The Lodge is the perfect guys trip hotel; Can't imagine anything will beat this on the East coast</t>
  </si>
  <si>
    <t>Everything is onsite if you stay at the lodge; Shuttles to the cloister if you want to go to bars/restaurants</t>
  </si>
  <si>
    <t>Milk and cookies every night delivered to room;  nothing parallels the men's locker room bar yet</t>
  </si>
  <si>
    <t>Pretty quiet after 10-11PM</t>
  </si>
  <si>
    <t>French Lick 
(Dye 2x, Ross)</t>
  </si>
  <si>
    <t>Dye was a 5, ross was a 3</t>
  </si>
  <si>
    <t>Shuttles to and from courses (nearby but not onsite)</t>
  </si>
  <si>
    <t>Hilton Head 
(Harbor Town 2x, Atlantic Dunes)</t>
  </si>
  <si>
    <t>Could not care less we were there; we were a nuisance to them opposed to their guests</t>
  </si>
  <si>
    <t>Sea Pines 4 person villa rental was old; uncomfortable twin beds</t>
  </si>
  <si>
    <t>Wouldn't let you use range day before round</t>
  </si>
  <si>
    <t>Had to drive to courses; no shuttles</t>
  </si>
  <si>
    <t>Unique final holes; PGA cache</t>
  </si>
  <si>
    <t>Decent nightlife; Quarterdeck was a cool spot; lots of tourist foot-traffic</t>
  </si>
  <si>
    <t>Arcadia Bluffs 
(Bluffs 3x)</t>
  </si>
  <si>
    <t>Some fantastic (Ketty); but tried to nickel and dime us the entire trip.  Tried to charge us a room rental fee every time we wanted to eat.  Weird restrictions on cartgirls "zones".</t>
  </si>
  <si>
    <t>Everything onsite</t>
  </si>
  <si>
    <t>Grass range open all hours just a short walk from hotel; good short game area</t>
  </si>
  <si>
    <t>Everything is onsite</t>
  </si>
  <si>
    <t xml:space="preserve">Holes 10-13 over Lake Michigan; 18th hole viewing gallery </t>
  </si>
  <si>
    <t>Pretty quiet; Casino 20m away will provide free shuttles (but nothing past 11PM)</t>
  </si>
  <si>
    <t>Pebble Beach
(Pebble, Spyglass, Spanish Bay)</t>
  </si>
  <si>
    <t>Pretty amazing avec or sans gerrymandering</t>
  </si>
  <si>
    <t>Self explanatory</t>
  </si>
  <si>
    <t>Sand Valley (Sand Valley, Mammoth Dunes, Sandbox)</t>
  </si>
  <si>
    <t>Difficult to get to but very captive/easy once there</t>
  </si>
  <si>
    <t>Sea Island 2021 Vintage (Seaside x3)</t>
  </si>
  <si>
    <t>Massive step down vs. original stay</t>
  </si>
  <si>
    <t>Sum of Points earned</t>
  </si>
  <si>
    <t>Sum of L</t>
  </si>
  <si>
    <t>Sum of T</t>
  </si>
  <si>
    <t>Do not erase</t>
  </si>
  <si>
    <t>Points Leaderboard</t>
  </si>
  <si>
    <t>FBC III Win %</t>
  </si>
  <si>
    <t>Name</t>
  </si>
  <si>
    <t>Pts</t>
  </si>
  <si>
    <t>Events</t>
  </si>
  <si>
    <t>Points/Event</t>
  </si>
  <si>
    <t>Benji</t>
  </si>
  <si>
    <t>Straps</t>
  </si>
  <si>
    <t>McInerny</t>
  </si>
  <si>
    <t>Day 1 Mulligans</t>
  </si>
  <si>
    <t>Day 2 Mulligans</t>
  </si>
  <si>
    <t>Total Mulligans</t>
  </si>
  <si>
    <t>CBC</t>
  </si>
  <si>
    <t>Lifetime Mulligans</t>
  </si>
  <si>
    <t>Players</t>
  </si>
  <si>
    <t>Sat Mulligan Amt</t>
  </si>
  <si>
    <t>Sun Mulligan Amt</t>
  </si>
  <si>
    <t>Loser Contribution</t>
  </si>
  <si>
    <t xml:space="preserve">CBC </t>
  </si>
  <si>
    <t>Total Balance</t>
  </si>
  <si>
    <t>Vinny</t>
  </si>
  <si>
    <t>Tanners</t>
  </si>
  <si>
    <t>Joel</t>
  </si>
  <si>
    <t>Q</t>
  </si>
  <si>
    <t>TOTAL</t>
  </si>
  <si>
    <t>Fri Mulligan Amt</t>
  </si>
  <si>
    <t>FTAS Loser Contribution</t>
  </si>
  <si>
    <t>FBC Loser Contribution</t>
  </si>
  <si>
    <t>Holdover Credits</t>
  </si>
  <si>
    <t>PAID</t>
  </si>
  <si>
    <t>Total FBC Fund Balance (Pay to Brent)</t>
  </si>
  <si>
    <t>FBC Shirts</t>
  </si>
  <si>
    <t>Sinclairs</t>
  </si>
  <si>
    <t>Master Acct Bal (caddies, etc)</t>
  </si>
  <si>
    <t>Total Due to Joe</t>
  </si>
  <si>
    <t>Lunch at Ross</t>
  </si>
  <si>
    <t>Total due to Mikey</t>
  </si>
  <si>
    <t>Sobey</t>
  </si>
  <si>
    <t>Belts</t>
  </si>
  <si>
    <t>CTP Winner</t>
  </si>
  <si>
    <t>LD Winner</t>
  </si>
  <si>
    <t xml:space="preserve">Redeemed Credits </t>
  </si>
  <si>
    <t>Deferred Losses Applied</t>
  </si>
  <si>
    <t>Deferred Credits
FBC VI</t>
  </si>
  <si>
    <t>Master account (Sat lunch, Links dinner)</t>
  </si>
  <si>
    <t>Total Due to Connolly</t>
  </si>
  <si>
    <t>Saturday Vans</t>
  </si>
  <si>
    <t>Total due to Q</t>
  </si>
  <si>
    <t>Deferred Credits
FBC VII</t>
  </si>
  <si>
    <t>Master account (dinners, Fri lunch)</t>
  </si>
  <si>
    <t>Total Due to Norat</t>
  </si>
  <si>
    <t>Rookie Performance</t>
  </si>
  <si>
    <t>Each player’s record in their debut FBC. W/L/T live from Archives; Class is a manual designation.</t>
  </si>
  <si>
    <t>Class</t>
  </si>
  <si>
    <t>Rookie Cup</t>
  </si>
  <si>
    <t>A</t>
  </si>
  <si>
    <t>C</t>
  </si>
  <si>
    <t>B</t>
  </si>
  <si>
    <t>FBC CYBER MONDAY SALES</t>
  </si>
  <si>
    <t>CYBER MONDAY Item</t>
  </si>
  <si>
    <t>Amount to FBC</t>
  </si>
  <si>
    <t>Eddie Auto Pick</t>
  </si>
  <si>
    <t>Eddie $100 mulligans</t>
  </si>
  <si>
    <t>Hilts $100 mulligans</t>
  </si>
  <si>
    <t>Q $160 mulligans</t>
  </si>
  <si>
    <t>Jackson $160 mulligans</t>
  </si>
  <si>
    <t>Jackson Belt</t>
  </si>
  <si>
    <t>Forster Belt</t>
  </si>
  <si>
    <t>Hilts Belt</t>
  </si>
  <si>
    <t>Connolly Belt</t>
  </si>
  <si>
    <t>Brent Belt</t>
  </si>
  <si>
    <t>FBC Hero Belts Costs</t>
  </si>
  <si>
    <t>Cyber Monday Sales</t>
  </si>
  <si>
    <t>Reimbursement from entry fee</t>
  </si>
  <si>
    <t>Amount Due to Jackson</t>
  </si>
  <si>
    <t>Belt balance reimbursement</t>
  </si>
  <si>
    <t>Amount transferred to Fund</t>
  </si>
  <si>
    <t>FBC Course List &amp; Difficulty</t>
  </si>
  <si>
    <t>Courses played each FBC (FBC 1–11). Yardage/Slope/Designer from course list; Rating carried from prior data where available.</t>
  </si>
  <si>
    <t>City</t>
  </si>
  <si>
    <t>State</t>
  </si>
  <si>
    <t>Yardage</t>
  </si>
  <si>
    <t>Designer</t>
  </si>
  <si>
    <t>Saratoga</t>
  </si>
  <si>
    <t>NY</t>
  </si>
  <si>
    <t>Roger Rulewich</t>
  </si>
  <si>
    <t>Saratoga Spa State Park</t>
  </si>
  <si>
    <t>William Mitchell</t>
  </si>
  <si>
    <t>Verona</t>
  </si>
  <si>
    <t>Rick Smith</t>
  </si>
  <si>
    <t>Robert Trent Jones, Jr.</t>
  </si>
  <si>
    <t>Tom Fazio</t>
  </si>
  <si>
    <t>Sea Island</t>
  </si>
  <si>
    <t>GA</t>
  </si>
  <si>
    <t>Harry Colt + Charles Alison / Tom Fazio</t>
  </si>
  <si>
    <t>Walter Travis / Rees Jones</t>
  </si>
  <si>
    <t>Dye Course</t>
  </si>
  <si>
    <t>French Lick</t>
  </si>
  <si>
    <t>IN</t>
  </si>
  <si>
    <t>Pete Dye</t>
  </si>
  <si>
    <t>Ross Course</t>
  </si>
  <si>
    <t>Donald Ross</t>
  </si>
  <si>
    <t>Hilton Head Island</t>
  </si>
  <si>
    <t>SC</t>
  </si>
  <si>
    <t>Davis Love + Mark Love</t>
  </si>
  <si>
    <t>Arcadia Bluffs</t>
  </si>
  <si>
    <t>Arcadia</t>
  </si>
  <si>
    <t>MI</t>
  </si>
  <si>
    <t>Warren Henderson</t>
  </si>
  <si>
    <t>CA</t>
  </si>
  <si>
    <t>Jack Neville + Douglas Grant / Chandler Egan</t>
  </si>
  <si>
    <t>Robert Trent Jones, Sr.</t>
  </si>
  <si>
    <t>The Links at Spanish Bay</t>
  </si>
  <si>
    <t>Chandler Egan / Jack Neville</t>
  </si>
  <si>
    <t>Nekoosa</t>
  </si>
  <si>
    <t>WI</t>
  </si>
  <si>
    <t>Bill Coore + Ben Crenshaw</t>
  </si>
  <si>
    <t>David McLay-Kidd</t>
  </si>
  <si>
    <t>Dublin</t>
  </si>
  <si>
    <t>Ireland</t>
  </si>
  <si>
    <t>Eddie Hackett and others</t>
  </si>
  <si>
    <t>Portmarnock</t>
  </si>
  <si>
    <t>William Pickeman</t>
  </si>
  <si>
    <t>The European Club</t>
  </si>
  <si>
    <t>Wicklow</t>
  </si>
  <si>
    <t>Pat Ruddy</t>
  </si>
  <si>
    <t>NC</t>
  </si>
  <si>
    <t>Tom Doak</t>
  </si>
  <si>
    <t>Average (rated courses)</t>
  </si>
  <si>
    <t>Lifetime Win% w/ Captain Over 6' Tall</t>
  </si>
  <si>
    <t>Lifetime Win % w/ Captain Under 6' Tall</t>
  </si>
  <si>
    <t>Wins</t>
  </si>
  <si>
    <t>(blank)</t>
  </si>
  <si>
    <t>Avg. Win %</t>
  </si>
  <si>
    <t>Lifetime Performance North of the Mason Dixon Line</t>
  </si>
  <si>
    <t>DeOteris</t>
  </si>
  <si>
    <t>FBC9-S-Connors-DeOteris</t>
  </si>
  <si>
    <t>FBC12-S-DeOteris-Snyder</t>
  </si>
  <si>
    <t>DeOteris / Ferrin</t>
  </si>
  <si>
    <t>DeOteris / Zimmer</t>
  </si>
  <si>
    <t>DeOterisFerrin def FlandersForster (FBC VIII)
HiltsWelker def ColeFogan (FBC VIII)</t>
  </si>
  <si>
    <t>DeOteris / Welker</t>
  </si>
  <si>
    <t>DeOteris / Grise</t>
  </si>
  <si>
    <t>Delaney / DeOteris</t>
  </si>
  <si>
    <t>FBC2-S-Bussiculo-Jackson</t>
  </si>
  <si>
    <t>FBC3-S-Bussiculo-Zimmer</t>
  </si>
  <si>
    <t>FBC4-S-Bussiculo-Jackson</t>
  </si>
  <si>
    <t>FBC6-S-Bussiculo-Welker</t>
  </si>
  <si>
    <t>FBC7-S-Bussiculo-Connolly</t>
  </si>
  <si>
    <t>Handicaps tab (FBC1–12, all cups). Bussiculo lacks index data, so his Hcp Adj = 0.</t>
  </si>
  <si>
    <t>Bussiculo / Shively</t>
  </si>
  <si>
    <t>Bussiculo / Mangold</t>
  </si>
  <si>
    <t>Bussiculo / Hickerson</t>
  </si>
  <si>
    <t>Bussiculo / Flanders</t>
  </si>
  <si>
    <t>Bussiculo / Lynch</t>
  </si>
  <si>
    <t>Bussiculo / Connors</t>
  </si>
  <si>
    <t>Bussiculo / Fogan</t>
  </si>
  <si>
    <t>Bussiculo / Cole</t>
  </si>
  <si>
    <t>Connolly</t>
  </si>
  <si>
    <t>FBC13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</si>
</sst>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h:mm:ss"/>
    <numFmt numFmtId="165" formatCode="0.0"/>
    <numFmt numFmtId="166" formatCode="0.#"/>
    <numFmt numFmtId="167" formatCode="0.0%"/>
    <numFmt numFmtId="168" formatCode="\+0.00;\-0.00;0.00"/>
    <numFmt numFmtId="169" formatCode="\+0.0%;\-0.0%"/>
    <numFmt numFmtId="170" formatCode="\+0.00;\-0.00"/>
  </numFmts>
  <fonts count="31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20"/>
      <color rgb="FF15324F"/>
      <name val="Cambria"/>
      <family val="1"/>
    </font>
    <font>
      <i/>
      <sz val="11"/>
      <color rgb="FF6B7785"/>
      <name val="Cambria"/>
      <family val="1"/>
    </font>
    <font>
      <b/>
      <sz val="12"/>
      <color rgb="FFFFFFFF"/>
      <name val="Cambria"/>
      <family val="1"/>
    </font>
    <font>
      <sz val="10"/>
      <color rgb="FF1C2733"/>
      <name val="Cambria"/>
      <family val="1"/>
    </font>
    <font>
      <b/>
      <sz val="10"/>
      <color rgb="FFFFFFFF"/>
      <name val="Cambria"/>
      <family val="1"/>
    </font>
    <font>
      <b/>
      <sz val="10"/>
      <color rgb="FF2E7D4F"/>
      <name val="Cambria"/>
      <family val="1"/>
    </font>
    <font>
      <b/>
      <sz val="10"/>
      <color rgb="FFB06A00"/>
      <name val="Cambria"/>
      <family val="1"/>
    </font>
    <font>
      <i/>
      <sz val="9"/>
      <color rgb="FF6B7785"/>
      <name val="Cambria"/>
      <family val="1"/>
    </font>
    <font>
      <b/>
      <sz val="1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u/>
      <sz val="10"/>
      <color theme="1"/>
      <name val="Calibri"/>
      <family val="2"/>
      <charset val="1"/>
    </font>
    <font>
      <b/>
      <u/>
      <sz val="10"/>
      <color theme="1"/>
      <name val="Calibri"/>
      <family val="2"/>
      <charset val="1"/>
    </font>
    <font>
      <b/>
      <sz val="13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color rgb="FF6B7785"/>
      <name val="Cambria"/>
      <family val="1"/>
    </font>
    <font>
      <b/>
      <sz val="10.5"/>
      <color rgb="FFFFFFFF"/>
      <name val="Cambria"/>
      <family val="1"/>
    </font>
    <font>
      <b/>
      <sz val="10"/>
      <color rgb="FF1C2733"/>
      <name val="Cambria"/>
      <family val="1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15324F"/>
      <name val="Cambria"/>
      <family val="1"/>
    </font>
    <font>
      <sz val="10"/>
      <color rgb="FF6B7785"/>
      <name val="Cambria"/>
      <family val="1"/>
    </font>
    <font>
      <b/>
      <sz val="10"/>
      <color rgb="FFC0392B"/>
      <name val="Cambria"/>
      <family val="1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5324F"/>
        <bgColor rgb="FF1C2733"/>
      </patternFill>
    </fill>
    <fill>
      <patternFill patternType="solid">
        <fgColor rgb="FFF5F8FA"/>
        <bgColor rgb="FFFFFFFF"/>
      </patternFill>
    </fill>
    <fill>
      <patternFill patternType="solid">
        <fgColor rgb="FF1F4E79"/>
        <bgColor rgb="FF15324F"/>
      </patternFill>
    </fill>
    <fill>
      <patternFill patternType="solid">
        <fgColor rgb="FFDBE7DF"/>
        <bgColor rgb="FFD8DEE4"/>
      </patternFill>
    </fill>
    <fill>
      <patternFill patternType="solid">
        <fgColor rgb="FF5B9BD5"/>
        <bgColor rgb="FF2E8B8B"/>
      </patternFill>
    </fill>
    <fill>
      <patternFill patternType="solid">
        <fgColor rgb="FF2E8B8B"/>
        <bgColor rgb="FF2E7D4F"/>
      </patternFill>
    </fill>
    <fill>
      <patternFill patternType="solid">
        <fgColor rgb="FF808080"/>
        <bgColor rgb="FF6B7785"/>
      </patternFill>
    </fill>
  </fills>
  <borders count="9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8DEE4"/>
      </bottom>
      <diagonal/>
    </border>
    <border>
      <left/>
      <right/>
      <top style="thin">
        <color rgb="FF9AA7B2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9" fontId="1" fillId="0" borderId="0"/>
  </cellStyleXfs>
  <cellXfs count="97">
    <xf numFmtId="0" fontId="0" fillId="0" borderId="0" xfId="0"/>
    <xf numFmtId="0" fontId="9" fillId="0" borderId="0" xfId="0" applyFont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0" borderId="5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4" borderId="6" xfId="0" applyFont="1" applyFill="1" applyBorder="1" applyAlignment="1">
      <alignment horizontal="center"/>
    </xf>
    <xf numFmtId="0" fontId="18" fillId="0" borderId="0" xfId="0" applyFont="1"/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19" fillId="0" borderId="0" xfId="0" applyFont="1"/>
    <xf numFmtId="0" fontId="20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left"/>
    </xf>
    <xf numFmtId="166" fontId="5" fillId="3" borderId="7" xfId="0" applyNumberFormat="1" applyFont="1" applyFill="1" applyBorder="1" applyAlignment="1">
      <alignment horizontal="center"/>
    </xf>
    <xf numFmtId="0" fontId="21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  <xf numFmtId="166" fontId="5" fillId="0" borderId="7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5" borderId="0" xfId="0" applyFont="1" applyFill="1" applyAlignment="1">
      <alignment horizontal="left"/>
    </xf>
    <xf numFmtId="166" fontId="21" fillId="5" borderId="0" xfId="0" applyNumberFormat="1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167" fontId="5" fillId="3" borderId="7" xfId="0" applyNumberFormat="1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21" fillId="5" borderId="8" xfId="0" applyFont="1" applyFill="1" applyBorder="1" applyAlignment="1">
      <alignment horizontal="left"/>
    </xf>
    <xf numFmtId="0" fontId="21" fillId="5" borderId="8" xfId="0" applyFont="1" applyFill="1" applyBorder="1" applyAlignment="1">
      <alignment horizontal="center"/>
    </xf>
    <xf numFmtId="167" fontId="21" fillId="5" borderId="8" xfId="0" applyNumberFormat="1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17" fillId="4" borderId="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8" fillId="0" borderId="6" xfId="0" applyFont="1" applyBorder="1"/>
    <xf numFmtId="1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2" fontId="18" fillId="0" borderId="6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left"/>
    </xf>
    <xf numFmtId="0" fontId="27" fillId="0" borderId="0" xfId="0" applyFont="1"/>
    <xf numFmtId="165" fontId="5" fillId="3" borderId="7" xfId="0" applyNumberFormat="1" applyFont="1" applyFill="1" applyBorder="1" applyAlignment="1">
      <alignment horizontal="center"/>
    </xf>
    <xf numFmtId="169" fontId="5" fillId="3" borderId="7" xfId="0" applyNumberFormat="1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9" fontId="5" fillId="0" borderId="7" xfId="0" applyNumberFormat="1" applyFont="1" applyBorder="1" applyAlignment="1">
      <alignment horizontal="center"/>
    </xf>
    <xf numFmtId="170" fontId="5" fillId="3" borderId="7" xfId="0" applyNumberFormat="1" applyFont="1" applyFill="1" applyBorder="1" applyAlignment="1">
      <alignment horizontal="center"/>
    </xf>
    <xf numFmtId="170" fontId="5" fillId="0" borderId="7" xfId="0" applyNumberFormat="1" applyFont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3" borderId="7" xfId="0" applyFont="1" applyFill="1" applyBorder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29" fillId="0" borderId="7" xfId="0" applyFont="1" applyBorder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9" fillId="0" borderId="0" xfId="0" applyFont="1"/>
    <xf numFmtId="0" fontId="0" fillId="5" borderId="0" xfId="0" applyFill="1"/>
    <xf numFmtId="165" fontId="21" fillId="5" borderId="0" xfId="0" applyNumberFormat="1" applyFont="1" applyFill="1" applyAlignment="1">
      <alignment horizontal="center"/>
    </xf>
    <xf numFmtId="0" fontId="30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0" borderId="0" xfId="0"/>
    <xf numFmtId="0" fontId="24" fillId="0" borderId="0" xfId="0" applyFont="1"/>
    <xf numFmtId="0" fontId="24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4" fontId="5" fillId="3" borderId="7" xfId="0" applyNumberFormat="1" applyFont="1" applyFill="1" applyBorder="1" applyAlignment="1">
      <alignment horizontal="center"/>
    </xf>
    <xf numFmtId="0" fontId="23" fillId="0" borderId="0" xfId="0" applyFont="1" applyAlignment="1">
      <alignment vertical="top"/>
    </xf>
  </cellXfs>
  <cellStyles count="5">
    <cellStyle name="Normal" xfId="0" builtinId="0"/>
    <cellStyle name="Normal 2" xfId="1" xr:uid="{00000000-0005-0000-0000-000006000000}"/>
    <cellStyle name="Normal 3" xfId="2" xr:uid="{00000000-0005-0000-0000-000007000000}"/>
    <cellStyle name="Percent 2" xfId="3" xr:uid="{00000000-0005-0000-0000-000008000000}"/>
    <cellStyle name="Percent 3" xfId="4" xr:uid="{00000000-0005-0000-0000-000009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06A00"/>
      <rgbColor rgb="FF800080"/>
      <rgbColor rgb="FF2E7D4F"/>
      <rgbColor rgb="FFC0C0C0"/>
      <rgbColor rgb="FF808080"/>
      <rgbColor rgb="FF5B9BD5"/>
      <rgbColor rgb="FF993366"/>
      <rgbColor rgb="FFF5F8FA"/>
      <rgbColor rgb="FFDBE7D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EE4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785"/>
      <rgbColor rgb="FF9AA7B2"/>
      <rgbColor rgb="FF15324F"/>
      <rgbColor rgb="FF2E8B8B"/>
      <rgbColor rgb="FF003300"/>
      <rgbColor rgb="FF333300"/>
      <rgbColor rgb="FFC0392B"/>
      <rgbColor rgb="FF993366"/>
      <rgbColor rgb="FF1F4E79"/>
      <rgbColor rgb="FF1C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324F"/>
  </sheetPr>
  <dimension ref="B1:H59"/>
  <sheetViews>
    <sheetView showGridLines="0" zoomScaleNormal="100" workbookViewId="0"/>
  </sheetViews>
  <sheetFormatPr baseColWidth="10" defaultColWidth="8.6640625" defaultRowHeight="15" x14ac:dyDescent="0.2"/>
  <cols>
    <col min="1" max="1" width="2.5" customWidth="1"/>
    <col min="2" max="2" width="22" customWidth="1"/>
    <col min="3" max="3" width="16" customWidth="1"/>
    <col min="4" max="4" width="14" customWidth="1"/>
    <col min="5" max="8" width="12" customWidth="1"/>
  </cols>
  <sheetData>
    <row r="1" spans="2:8" ht="27.75" customHeight="1" x14ac:dyDescent="0.25">
      <c r="B1" s="83" t="s">
        <v>0</v>
      </c>
      <c r="C1" s="83"/>
      <c r="D1" s="83"/>
      <c r="E1" s="83"/>
      <c r="F1" s="83"/>
      <c r="G1" s="83"/>
      <c r="H1" s="83"/>
    </row>
    <row r="2" spans="2:8" ht="30" customHeight="1" x14ac:dyDescent="0.2">
      <c r="B2" s="84" t="s">
        <v>1</v>
      </c>
      <c r="C2" s="84"/>
      <c r="D2" s="84"/>
      <c r="E2" s="84"/>
      <c r="F2" s="84"/>
      <c r="G2" s="84"/>
      <c r="H2" s="84"/>
    </row>
    <row r="4" spans="2:8" ht="21.75" customHeight="1" x14ac:dyDescent="0.2">
      <c r="B4" s="85" t="s">
        <v>2</v>
      </c>
      <c r="C4" s="85"/>
      <c r="D4" s="85"/>
      <c r="E4" s="85"/>
      <c r="F4" s="85"/>
      <c r="G4" s="85"/>
      <c r="H4" s="85"/>
    </row>
    <row r="5" spans="2:8" ht="57.75" customHeight="1" x14ac:dyDescent="0.2">
      <c r="B5" s="86" t="s">
        <v>3</v>
      </c>
      <c r="C5" s="86"/>
      <c r="D5" s="86"/>
      <c r="E5" s="86"/>
      <c r="F5" s="86"/>
      <c r="G5" s="86"/>
      <c r="H5" s="86"/>
    </row>
    <row r="7" spans="2:8" ht="21.75" customHeight="1" x14ac:dyDescent="0.2">
      <c r="B7" s="85" t="s">
        <v>4</v>
      </c>
      <c r="C7" s="85"/>
      <c r="D7" s="85"/>
      <c r="E7" s="85"/>
      <c r="F7" s="85"/>
      <c r="G7" s="85"/>
      <c r="H7" s="85"/>
    </row>
    <row r="8" spans="2:8" ht="15.75" customHeight="1" x14ac:dyDescent="0.2">
      <c r="B8" s="86" t="s">
        <v>5</v>
      </c>
      <c r="C8" s="86"/>
      <c r="D8" s="86"/>
      <c r="E8" s="86"/>
      <c r="F8" s="86"/>
      <c r="G8" s="86"/>
      <c r="H8" s="86"/>
    </row>
    <row r="9" spans="2:8" ht="33" customHeight="1" x14ac:dyDescent="0.2">
      <c r="B9" s="86" t="s">
        <v>6</v>
      </c>
      <c r="C9" s="86"/>
      <c r="D9" s="86"/>
      <c r="E9" s="86"/>
      <c r="F9" s="86"/>
      <c r="G9" s="86"/>
      <c r="H9" s="86"/>
    </row>
    <row r="10" spans="2:8" ht="48" customHeight="1" x14ac:dyDescent="0.2">
      <c r="B10" s="86" t="s">
        <v>7</v>
      </c>
      <c r="C10" s="86"/>
      <c r="D10" s="86"/>
      <c r="E10" s="86"/>
      <c r="F10" s="86"/>
      <c r="G10" s="86"/>
      <c r="H10" s="86"/>
    </row>
    <row r="11" spans="2:8" ht="33" customHeight="1" x14ac:dyDescent="0.2">
      <c r="B11" s="86" t="s">
        <v>8</v>
      </c>
      <c r="C11" s="86"/>
      <c r="D11" s="86"/>
      <c r="E11" s="86"/>
      <c r="F11" s="86"/>
      <c r="G11" s="86"/>
      <c r="H11" s="86"/>
    </row>
    <row r="12" spans="2:8" ht="33" customHeight="1" x14ac:dyDescent="0.2">
      <c r="B12" s="86" t="s">
        <v>9</v>
      </c>
      <c r="C12" s="86"/>
      <c r="D12" s="86"/>
      <c r="E12" s="86"/>
      <c r="F12" s="86"/>
      <c r="G12" s="86"/>
      <c r="H12" s="86"/>
    </row>
    <row r="14" spans="2:8" ht="21.75" customHeight="1" x14ac:dyDescent="0.2">
      <c r="B14" s="85" t="s">
        <v>10</v>
      </c>
      <c r="C14" s="85"/>
      <c r="D14" s="85"/>
      <c r="E14" s="85"/>
      <c r="F14" s="85"/>
      <c r="G14" s="85"/>
      <c r="H14" s="85"/>
    </row>
    <row r="15" spans="2:8" ht="30" customHeight="1" x14ac:dyDescent="0.2">
      <c r="B15" s="86" t="s">
        <v>11</v>
      </c>
      <c r="C15" s="86"/>
      <c r="D15" s="86"/>
      <c r="E15" s="86"/>
      <c r="F15" s="86"/>
      <c r="G15" s="86"/>
      <c r="H15" s="86"/>
    </row>
    <row r="16" spans="2:8" ht="48" customHeight="1" x14ac:dyDescent="0.2">
      <c r="B16" s="86" t="s">
        <v>12</v>
      </c>
      <c r="C16" s="86"/>
      <c r="D16" s="86"/>
      <c r="E16" s="86"/>
      <c r="F16" s="86"/>
      <c r="G16" s="86"/>
      <c r="H16" s="86"/>
    </row>
    <row r="17" spans="2:8" ht="33" customHeight="1" x14ac:dyDescent="0.2">
      <c r="B17" s="86" t="s">
        <v>13</v>
      </c>
      <c r="C17" s="86"/>
      <c r="D17" s="86"/>
      <c r="E17" s="86"/>
      <c r="F17" s="86"/>
      <c r="G17" s="86"/>
      <c r="H17" s="86"/>
    </row>
    <row r="18" spans="2:8" ht="33" customHeight="1" x14ac:dyDescent="0.2">
      <c r="B18" s="86" t="s">
        <v>14</v>
      </c>
      <c r="C18" s="86"/>
      <c r="D18" s="86"/>
      <c r="E18" s="86"/>
      <c r="F18" s="86"/>
      <c r="G18" s="86"/>
      <c r="H18" s="86"/>
    </row>
    <row r="20" spans="2:8" ht="21.75" customHeight="1" x14ac:dyDescent="0.2">
      <c r="B20" s="85" t="s">
        <v>15</v>
      </c>
      <c r="C20" s="85"/>
      <c r="D20" s="85"/>
      <c r="E20" s="85"/>
      <c r="F20" s="85"/>
      <c r="G20" s="85"/>
      <c r="H20" s="85"/>
    </row>
    <row r="21" spans="2:8" ht="15.75" customHeight="1" x14ac:dyDescent="0.2">
      <c r="B21" s="86" t="s">
        <v>16</v>
      </c>
      <c r="C21" s="86"/>
      <c r="D21" s="86"/>
      <c r="E21" s="86"/>
      <c r="F21" s="86"/>
      <c r="G21" s="86"/>
      <c r="H21" s="86"/>
    </row>
    <row r="22" spans="2:8" ht="33" customHeight="1" x14ac:dyDescent="0.2">
      <c r="B22" s="86" t="s">
        <v>17</v>
      </c>
      <c r="C22" s="86"/>
      <c r="D22" s="86"/>
      <c r="E22" s="86"/>
      <c r="F22" s="86"/>
      <c r="G22" s="86"/>
      <c r="H22" s="86"/>
    </row>
    <row r="23" spans="2:8" ht="33" customHeight="1" x14ac:dyDescent="0.2">
      <c r="B23" s="86" t="s">
        <v>18</v>
      </c>
      <c r="C23" s="86"/>
      <c r="D23" s="86"/>
      <c r="E23" s="86"/>
      <c r="F23" s="86"/>
      <c r="G23" s="86"/>
      <c r="H23" s="86"/>
    </row>
    <row r="24" spans="2:8" ht="18" customHeight="1" x14ac:dyDescent="0.2">
      <c r="B24" s="86" t="s">
        <v>19</v>
      </c>
      <c r="C24" s="86"/>
      <c r="D24" s="86"/>
      <c r="E24" s="86"/>
      <c r="F24" s="86"/>
      <c r="G24" s="86"/>
      <c r="H24" s="86"/>
    </row>
    <row r="25" spans="2:8" ht="33" customHeight="1" x14ac:dyDescent="0.2">
      <c r="B25" s="86" t="s">
        <v>20</v>
      </c>
      <c r="C25" s="86"/>
      <c r="D25" s="86"/>
      <c r="E25" s="86"/>
      <c r="F25" s="86"/>
      <c r="G25" s="86"/>
      <c r="H25" s="86"/>
    </row>
    <row r="26" spans="2:8" ht="18" customHeight="1">
      <c r="B26" s="86" t="inlineStr">
        <is>
          <t xml:space="preserve">     •   Cup Info: add a row for the new cup — FBC, year, dates, location, region, and Rain (Yes/No).</t>
        </is>
      </c>
      <c r="C26" s="86"/>
      <c r="D26" s="86"/>
      <c r="E26" s="86"/>
      <c r="F26" s="86"/>
      <c r="G26" s="86"/>
      <c r="H26" s="86"/>
    </row>
    <row r="28" spans="2:8" ht="21.75" customHeight="1" x14ac:dyDescent="0.2">
      <c r="B28" s="85" t="s">
        <v>21</v>
      </c>
      <c r="C28" s="85"/>
      <c r="D28" s="85"/>
      <c r="E28" s="85"/>
      <c r="F28" s="85"/>
      <c r="G28" s="85"/>
      <c r="H28" s="85"/>
    </row>
    <row r="29" spans="2:8" ht="30" customHeight="1" x14ac:dyDescent="0.2">
      <c r="B29" s="86" t="s">
        <v>22</v>
      </c>
      <c r="C29" s="86"/>
      <c r="D29" s="86"/>
      <c r="E29" s="86"/>
      <c r="F29" s="86"/>
      <c r="G29" s="86"/>
      <c r="H29" s="86"/>
    </row>
    <row r="31" spans="2:8" ht="21.75" customHeight="1" x14ac:dyDescent="0.2">
      <c r="B31" s="85" t="s">
        <v>23</v>
      </c>
      <c r="C31" s="85"/>
      <c r="D31" s="85"/>
      <c r="E31" s="85"/>
      <c r="F31" s="85"/>
      <c r="G31" s="85"/>
      <c r="H31" s="85"/>
    </row>
    <row r="32" spans="2:8" ht="18" customHeight="1" x14ac:dyDescent="0.2">
      <c r="B32" s="86" t="s">
        <v>24</v>
      </c>
      <c r="C32" s="86"/>
      <c r="D32" s="86"/>
      <c r="E32" s="86"/>
      <c r="F32" s="86"/>
      <c r="G32" s="86"/>
      <c r="H32" s="86"/>
    </row>
    <row r="33" spans="2:8" ht="18" customHeight="1" x14ac:dyDescent="0.2">
      <c r="B33" s="86" t="s">
        <v>25</v>
      </c>
      <c r="C33" s="86"/>
      <c r="D33" s="86"/>
      <c r="E33" s="86"/>
      <c r="F33" s="86"/>
      <c r="G33" s="86"/>
      <c r="H33" s="86"/>
    </row>
    <row r="34" spans="2:8" ht="33" customHeight="1" x14ac:dyDescent="0.2">
      <c r="B34" s="86" t="s">
        <v>26</v>
      </c>
      <c r="C34" s="86"/>
      <c r="D34" s="86"/>
      <c r="E34" s="86"/>
      <c r="F34" s="86"/>
      <c r="G34" s="86"/>
      <c r="H34" s="86"/>
    </row>
    <row r="36" spans="2:8" ht="21.75" customHeight="1" x14ac:dyDescent="0.2">
      <c r="B36" s="85" t="s">
        <v>27</v>
      </c>
      <c r="C36" s="85"/>
      <c r="D36" s="85"/>
      <c r="E36" s="85"/>
      <c r="F36" s="85"/>
      <c r="G36" s="85"/>
      <c r="H36" s="85"/>
    </row>
    <row r="37" spans="2:8" ht="18" customHeight="1" x14ac:dyDescent="0.2">
      <c r="B37" s="4" t="s">
        <v>28</v>
      </c>
      <c r="C37" s="4" t="s">
        <v>29</v>
      </c>
      <c r="D37" s="87" t="s">
        <v>30</v>
      </c>
      <c r="E37" s="87"/>
      <c r="F37" s="87"/>
      <c r="G37" s="87"/>
      <c r="H37" s="87"/>
    </row>
    <row r="38" spans="2:8" ht="25.5" customHeight="1" x14ac:dyDescent="0.2">
      <c r="B38" s="3" t="s">
        <v>31</v>
      </c>
      <c r="C38" s="7" t="s">
        <v>32</v>
      </c>
      <c r="D38" s="88" t="s">
        <v>33</v>
      </c>
      <c r="E38" s="88"/>
      <c r="F38" s="88"/>
      <c r="G38" s="88"/>
      <c r="H38" s="88"/>
    </row>
    <row r="39" spans="2:8" ht="25.5" customHeight="1" x14ac:dyDescent="0.2">
      <c r="B39" s="2" t="s">
        <v>34</v>
      </c>
      <c r="C39" s="8" t="s">
        <v>35</v>
      </c>
      <c r="D39" s="89" t="s">
        <v>36</v>
      </c>
      <c r="E39" s="89"/>
      <c r="F39" s="89"/>
      <c r="G39" s="89"/>
      <c r="H39" s="89"/>
    </row>
    <row r="40" spans="2:8" ht="25.5" customHeight="1" x14ac:dyDescent="0.2">
      <c r="B40" s="3" t="s">
        <v>37</v>
      </c>
      <c r="C40" s="9" t="s">
        <v>35</v>
      </c>
      <c r="D40" s="88" t="s">
        <v>38</v>
      </c>
      <c r="E40" s="88"/>
      <c r="F40" s="88"/>
      <c r="G40" s="88"/>
      <c r="H40" s="88"/>
    </row>
    <row r="41" spans="2:8" ht="25.5" customHeight="1" x14ac:dyDescent="0.2">
      <c r="B41" s="2" t="s">
        <v>39</v>
      </c>
      <c r="C41" s="8" t="s">
        <v>35</v>
      </c>
      <c r="D41" s="89" t="s">
        <v>40</v>
      </c>
      <c r="E41" s="89"/>
      <c r="F41" s="89"/>
      <c r="G41" s="89"/>
      <c r="H41" s="89"/>
    </row>
    <row r="42" spans="2:8" ht="25.5" customHeight="1" x14ac:dyDescent="0.2">
      <c r="B42" s="3" t="s">
        <v>41</v>
      </c>
      <c r="C42" s="9" t="s">
        <v>35</v>
      </c>
      <c r="D42" s="88" t="s">
        <v>42</v>
      </c>
      <c r="E42" s="88"/>
      <c r="F42" s="88"/>
      <c r="G42" s="88"/>
      <c r="H42" s="88"/>
    </row>
    <row r="43" spans="2:8" ht="25.5" customHeight="1" x14ac:dyDescent="0.2">
      <c r="B43" s="2" t="s">
        <v>43</v>
      </c>
      <c r="C43" s="8" t="s">
        <v>44</v>
      </c>
      <c r="D43" s="89" t="s">
        <v>45</v>
      </c>
      <c r="E43" s="89"/>
      <c r="F43" s="89"/>
      <c r="G43" s="89"/>
      <c r="H43" s="89"/>
    </row>
    <row r="44" spans="2:8" ht="25.5" customHeight="1" x14ac:dyDescent="0.2">
      <c r="B44" s="3" t="s">
        <v>46</v>
      </c>
      <c r="C44" s="10" t="s">
        <v>47</v>
      </c>
      <c r="D44" s="88" t="s">
        <v>48</v>
      </c>
      <c r="E44" s="88"/>
      <c r="F44" s="88"/>
      <c r="G44" s="88"/>
      <c r="H44" s="88"/>
    </row>
    <row r="45" spans="2:8" ht="25.5" customHeight="1" x14ac:dyDescent="0.2">
      <c r="B45" s="3" t="s">
        <v>49</v>
      </c>
      <c r="C45" s="10" t="s">
        <v>47</v>
      </c>
      <c r="D45" s="90" t="s">
        <v>50</v>
      </c>
      <c r="E45" s="90"/>
      <c r="F45" s="90"/>
      <c r="G45" s="90"/>
      <c r="H45" s="90"/>
    </row>
    <row r="46" spans="2:8" ht="25.5" customHeight="1" x14ac:dyDescent="0.2">
      <c r="B46" s="2" t="s">
        <v>51</v>
      </c>
      <c r="C46" s="11" t="s">
        <v>52</v>
      </c>
      <c r="D46" s="89" t="s">
        <v>53</v>
      </c>
      <c r="E46" s="89"/>
      <c r="F46" s="89"/>
      <c r="G46" s="89"/>
      <c r="H46" s="89"/>
    </row>
    <row r="47" spans="2:8" ht="25.5" customHeight="1" x14ac:dyDescent="0.2">
      <c r="B47" s="3" t="s">
        <v>54</v>
      </c>
      <c r="C47" s="7" t="s">
        <v>52</v>
      </c>
      <c r="D47" s="88" t="s">
        <v>55</v>
      </c>
      <c r="E47" s="88"/>
      <c r="F47" s="88"/>
      <c r="G47" s="88"/>
      <c r="H47" s="88"/>
    </row>
    <row r="48" spans="2:8" ht="25.5" customHeight="1" x14ac:dyDescent="0.2">
      <c r="B48" s="2" t="s">
        <v>56</v>
      </c>
      <c r="C48" s="11" t="s">
        <v>52</v>
      </c>
      <c r="D48" s="89" t="s">
        <v>57</v>
      </c>
      <c r="E48" s="89"/>
      <c r="F48" s="89"/>
      <c r="G48" s="89"/>
      <c r="H48" s="89"/>
    </row>
    <row r="49" spans="2:8" ht="30" customHeight="1" x14ac:dyDescent="0.2">
      <c r="B49" s="3" t="s">
        <v>58</v>
      </c>
      <c r="C49" s="7" t="s">
        <v>52</v>
      </c>
      <c r="D49" s="88" t="s">
        <v>59</v>
      </c>
      <c r="E49" s="88"/>
      <c r="F49" s="88"/>
      <c r="G49" s="88"/>
      <c r="H49" s="88"/>
    </row>
    <row r="50" spans="2:8" ht="25.5" customHeight="1">
      <c r="B50" s="2" t="inlineStr">
        <is>
          <t xml:space="preserve">Cup Info</t>
        </is>
      </c>
      <c r="C50" s="11" t="inlineStr">
        <is>
          <t xml:space="preserve">Manual</t>
        </is>
      </c>
      <c r="D50" s="89" t="inlineStr">
        <is>
          <t xml:space="preserve">New row each cup, including Rain (Yes/No).</t>
        </is>
      </c>
      <c r="E50" s="89"/>
      <c r="F50" s="89"/>
      <c r="G50" s="89"/>
      <c r="H50" s="89"/>
    </row>
    <row r="51" spans="2:8" ht="34.5" customHeight="1" x14ac:dyDescent="0.2">
      <c r="B51" s="3" t="s">
        <v>60</v>
      </c>
      <c r="C51" s="7" t="s">
        <v>52</v>
      </c>
      <c r="D51" s="88" t="s">
        <v>61</v>
      </c>
      <c r="E51" s="88"/>
      <c r="F51" s="88"/>
      <c r="G51" s="88"/>
      <c r="H51" s="88"/>
    </row>
    <row r="52" spans="2:8" ht="21.75" customHeight="1" x14ac:dyDescent="0.2">
      <c r="B52" s="91"/>
      <c r="C52" s="91"/>
      <c r="D52" s="91"/>
      <c r="E52" s="91"/>
      <c r="F52" s="91"/>
      <c r="G52" s="91"/>
      <c r="H52" s="91"/>
    </row>
    <row r="53" spans="2:8" ht="18" customHeight="1" x14ac:dyDescent="0.2">
      <c r="B53" s="85" t="s">
        <v>62</v>
      </c>
      <c r="C53" s="85"/>
      <c r="D53" s="85"/>
      <c r="E53" s="85"/>
      <c r="F53" s="85"/>
      <c r="G53" s="85"/>
      <c r="H53" s="85"/>
    </row>
    <row r="54" spans="2:8" ht="18" customHeight="1" x14ac:dyDescent="0.2">
      <c r="B54" s="86" t="s">
        <v>63</v>
      </c>
      <c r="C54" s="86"/>
      <c r="D54" s="86"/>
      <c r="E54" s="86"/>
      <c r="F54" s="86"/>
      <c r="G54" s="86"/>
      <c r="H54" s="86"/>
    </row>
    <row r="55" spans="2:8" ht="33" customHeight="1" x14ac:dyDescent="0.2">
      <c r="B55" s="86" t="s">
        <v>64</v>
      </c>
      <c r="C55" s="86"/>
      <c r="D55" s="86"/>
      <c r="E55" s="86"/>
      <c r="F55" s="86"/>
      <c r="G55" s="86"/>
      <c r="H55" s="86"/>
    </row>
    <row r="56" spans="2:8" ht="33" customHeight="1" x14ac:dyDescent="0.2">
      <c r="B56" s="86" t="s">
        <v>65</v>
      </c>
      <c r="C56" s="86"/>
      <c r="D56" s="86"/>
      <c r="E56" s="86"/>
      <c r="F56" s="86"/>
      <c r="G56" s="86"/>
      <c r="H56" s="86"/>
    </row>
    <row r="57" spans="2:8" ht="6" customHeight="1" x14ac:dyDescent="0.2">
      <c r="B57" s="5" t="s">
        <v>66</v>
      </c>
    </row>
    <row r="58" spans="2:8" ht="13.5" customHeight="1" x14ac:dyDescent="0.2">
      <c r="B58" s="91"/>
      <c r="C58" s="91"/>
      <c r="D58" s="91"/>
      <c r="E58" s="91"/>
      <c r="F58" s="91"/>
      <c r="G58" s="91"/>
      <c r="H58" s="91"/>
    </row>
    <row r="59" spans="2:8" ht="21.75" customHeight="1" x14ac:dyDescent="0.2">
      <c r="B59" s="1" t="s">
        <v>67</v>
      </c>
    </row>
  </sheetData>
  <mergeCells count="50">
    <mergeCell ref="D51:H51"/>
    <mergeCell ref="D50:H50"/>
    <mergeCell ref="B26:H26"/>
    <mergeCell ref="B56:H56"/>
    <mergeCell ref="B58:H58"/>
    <mergeCell ref="D49:H49"/>
    <mergeCell ref="B52:H52"/>
    <mergeCell ref="B53:H53"/>
    <mergeCell ref="B54:H54"/>
    <mergeCell ref="B55:H55"/>
    <mergeCell ref="D44:H44"/>
    <mergeCell ref="D45:H45"/>
    <mergeCell ref="D46:H46"/>
    <mergeCell ref="D47:H47"/>
    <mergeCell ref="D48:H48"/>
    <mergeCell ref="D39:H39"/>
    <mergeCell ref="D40:H40"/>
    <mergeCell ref="D41:H41"/>
    <mergeCell ref="D42:H42"/>
    <mergeCell ref="D43:H43"/>
    <mergeCell ref="B33:H33"/>
    <mergeCell ref="B34:H34"/>
    <mergeCell ref="B36:H36"/>
    <mergeCell ref="D37:H37"/>
    <mergeCell ref="D38:H38"/>
    <mergeCell ref="B25:H25"/>
    <mergeCell ref="B28:H28"/>
    <mergeCell ref="B29:H29"/>
    <mergeCell ref="B31:H31"/>
    <mergeCell ref="B32:H32"/>
    <mergeCell ref="B20:H20"/>
    <mergeCell ref="B21:H21"/>
    <mergeCell ref="B22:H22"/>
    <mergeCell ref="B23:H23"/>
    <mergeCell ref="B24:H24"/>
    <mergeCell ref="B14:H14"/>
    <mergeCell ref="B15:H15"/>
    <mergeCell ref="B16:H16"/>
    <mergeCell ref="B17:H17"/>
    <mergeCell ref="B18:H18"/>
    <mergeCell ref="B8:H8"/>
    <mergeCell ref="B9:H9"/>
    <mergeCell ref="B10:H10"/>
    <mergeCell ref="B11:H11"/>
    <mergeCell ref="B12:H12"/>
    <mergeCell ref="B1:H1"/>
    <mergeCell ref="B2:H2"/>
    <mergeCell ref="B4:H4"/>
    <mergeCell ref="B5:H5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69"/>
  <sheetViews>
    <sheetView topLeftCell="T1" zoomScaleNormal="100" workbookViewId="0">
      <selection activeCell="AK35" sqref="AK35"/>
    </sheetView>
  </sheetViews>
  <sheetFormatPr baseColWidth="10" defaultColWidth="8.83203125" defaultRowHeight="15" x14ac:dyDescent="0.2"/>
  <cols>
    <col min="7" max="7" width="26" customWidth="1"/>
    <col min="13" max="13" width="16.33203125" customWidth="1"/>
  </cols>
  <sheetData>
    <row r="1" spans="1:40" ht="15" customHeight="1" x14ac:dyDescent="0.2">
      <c r="A1" s="14"/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 t="s">
        <v>79</v>
      </c>
      <c r="N1" s="14" t="s">
        <v>80</v>
      </c>
      <c r="O1" s="14" t="s">
        <v>81</v>
      </c>
      <c r="P1" s="14" t="s">
        <v>82</v>
      </c>
      <c r="Q1" s="14" t="s">
        <v>83</v>
      </c>
      <c r="R1" s="14" t="s">
        <v>84</v>
      </c>
      <c r="S1" s="14" t="s">
        <v>85</v>
      </c>
      <c r="T1" s="14" t="s">
        <v>86</v>
      </c>
      <c r="U1" s="14" t="s">
        <v>87</v>
      </c>
      <c r="V1" s="14" t="s">
        <v>88</v>
      </c>
      <c r="W1" s="14" t="s">
        <v>89</v>
      </c>
      <c r="X1" s="14" t="s">
        <v>90</v>
      </c>
      <c r="Y1" s="14" t="s">
        <v>91</v>
      </c>
      <c r="Z1" s="14" t="s">
        <v>92</v>
      </c>
      <c r="AA1" s="14" t="s">
        <v>93</v>
      </c>
      <c r="AB1" s="14" t="s">
        <v>94</v>
      </c>
      <c r="AC1" s="14" t="s">
        <v>95</v>
      </c>
      <c r="AD1" s="14" t="s">
        <v>96</v>
      </c>
      <c r="AE1" s="14" t="s">
        <v>97</v>
      </c>
      <c r="AF1" s="14" t="s">
        <v>98</v>
      </c>
      <c r="AG1" s="14" t="s">
        <v>99</v>
      </c>
      <c r="AH1" s="14" t="s">
        <v>100</v>
      </c>
      <c r="AI1" s="14" t="s">
        <v>101</v>
      </c>
      <c r="AJ1" s="14" t="s">
        <v>102</v>
      </c>
      <c r="AK1" s="14" t="s">
        <v>103</v>
      </c>
      <c r="AL1" s="14" t="s">
        <v>104</v>
      </c>
      <c r="AM1" s="14" t="s">
        <v>105</v>
      </c>
      <c r="AN1" s="14" t="s">
        <v>106</v>
      </c>
    </row>
    <row r="2" spans="1:40" ht="15" customHeight="1" x14ac:dyDescent="0.2">
      <c r="B2">
        <v>1</v>
      </c>
      <c r="C2">
        <v>1</v>
      </c>
      <c r="D2">
        <v>1</v>
      </c>
      <c r="E2" t="s">
        <v>107</v>
      </c>
      <c r="F2" t="s">
        <v>108</v>
      </c>
      <c r="G2" s="15">
        <v>41447</v>
      </c>
      <c r="H2" t="s">
        <v>109</v>
      </c>
      <c r="I2" t="s">
        <v>110</v>
      </c>
      <c r="J2" t="s">
        <v>111</v>
      </c>
      <c r="K2">
        <v>9</v>
      </c>
      <c r="L2" t="s">
        <v>112</v>
      </c>
      <c r="M2" t="s">
        <v>113</v>
      </c>
      <c r="N2" t="s">
        <v>114</v>
      </c>
      <c r="O2">
        <v>71.3</v>
      </c>
      <c r="P2">
        <v>130</v>
      </c>
      <c r="Q2">
        <v>6225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114</v>
      </c>
      <c r="X2">
        <v>15</v>
      </c>
      <c r="Y2" t="s">
        <v>120</v>
      </c>
      <c r="Z2">
        <v>20</v>
      </c>
      <c r="AA2">
        <v>1</v>
      </c>
      <c r="AB2" t="s">
        <v>99</v>
      </c>
      <c r="AC2" t="s">
        <v>121</v>
      </c>
      <c r="AE2" t="str">
        <f t="shared" ref="AE2:AE65" si="0">$V2&amp;$Y2</f>
        <v>GriseHickerson</v>
      </c>
      <c r="AF2">
        <v>1</v>
      </c>
      <c r="AG2">
        <v>1</v>
      </c>
      <c r="AH2">
        <v>0</v>
      </c>
      <c r="AI2">
        <v>0</v>
      </c>
      <c r="AJ2">
        <v>1</v>
      </c>
      <c r="AK2" t="s">
        <v>122</v>
      </c>
      <c r="AL2">
        <v>0.47321428571428598</v>
      </c>
      <c r="AM2" t="s">
        <v>123</v>
      </c>
      <c r="AN2">
        <v>0.5546875</v>
      </c>
    </row>
    <row r="3" spans="1:40" ht="15" customHeight="1" x14ac:dyDescent="0.2">
      <c r="B3">
        <v>1</v>
      </c>
      <c r="C3">
        <v>1</v>
      </c>
      <c r="D3">
        <v>1</v>
      </c>
      <c r="E3" t="s">
        <v>107</v>
      </c>
      <c r="F3" t="s">
        <v>108</v>
      </c>
      <c r="G3" s="15">
        <v>41447</v>
      </c>
      <c r="H3" t="s">
        <v>109</v>
      </c>
      <c r="I3" t="s">
        <v>110</v>
      </c>
      <c r="J3" t="s">
        <v>111</v>
      </c>
      <c r="K3">
        <v>9</v>
      </c>
      <c r="L3" t="s">
        <v>112</v>
      </c>
      <c r="M3" t="s">
        <v>113</v>
      </c>
      <c r="N3" t="s">
        <v>114</v>
      </c>
      <c r="O3">
        <v>71.3</v>
      </c>
      <c r="P3">
        <v>130</v>
      </c>
      <c r="Q3">
        <v>6225</v>
      </c>
      <c r="R3" t="s">
        <v>115</v>
      </c>
      <c r="S3" t="s">
        <v>116</v>
      </c>
      <c r="T3" t="s">
        <v>124</v>
      </c>
      <c r="U3" t="s">
        <v>122</v>
      </c>
      <c r="V3" t="s">
        <v>122</v>
      </c>
      <c r="W3" t="s">
        <v>125</v>
      </c>
      <c r="X3">
        <v>18</v>
      </c>
      <c r="Y3" t="s">
        <v>123</v>
      </c>
      <c r="Z3">
        <v>20</v>
      </c>
      <c r="AA3">
        <v>1</v>
      </c>
      <c r="AB3" t="s">
        <v>100</v>
      </c>
      <c r="AC3" t="s">
        <v>121</v>
      </c>
      <c r="AE3" t="str">
        <f t="shared" si="0"/>
        <v>HiltsLynch</v>
      </c>
      <c r="AF3">
        <v>0</v>
      </c>
      <c r="AG3">
        <v>0</v>
      </c>
      <c r="AH3">
        <v>1</v>
      </c>
      <c r="AI3">
        <v>0</v>
      </c>
      <c r="AJ3">
        <v>0</v>
      </c>
      <c r="AK3" t="s">
        <v>119</v>
      </c>
      <c r="AL3">
        <v>0.546875</v>
      </c>
      <c r="AM3" t="s">
        <v>120</v>
      </c>
      <c r="AN3">
        <v>0.35714285714285698</v>
      </c>
    </row>
    <row r="4" spans="1:40" ht="15" customHeight="1" x14ac:dyDescent="0.2">
      <c r="B4">
        <v>2</v>
      </c>
      <c r="C4">
        <v>2</v>
      </c>
      <c r="D4">
        <v>1</v>
      </c>
      <c r="E4" t="s">
        <v>126</v>
      </c>
      <c r="F4" t="s">
        <v>108</v>
      </c>
      <c r="G4" s="15">
        <v>41447</v>
      </c>
      <c r="H4" t="s">
        <v>109</v>
      </c>
      <c r="I4" t="s">
        <v>110</v>
      </c>
      <c r="J4" t="s">
        <v>111</v>
      </c>
      <c r="K4">
        <v>9</v>
      </c>
      <c r="L4" t="s">
        <v>112</v>
      </c>
      <c r="M4" t="s">
        <v>113</v>
      </c>
      <c r="N4" t="s">
        <v>114</v>
      </c>
      <c r="O4">
        <v>71.3</v>
      </c>
      <c r="P4">
        <v>130</v>
      </c>
      <c r="Q4">
        <v>6225</v>
      </c>
      <c r="R4" t="s">
        <v>115</v>
      </c>
      <c r="S4" t="s">
        <v>116</v>
      </c>
      <c r="T4" t="s">
        <v>117</v>
      </c>
      <c r="U4" t="s">
        <v>118</v>
      </c>
      <c r="V4" t="s">
        <v>127</v>
      </c>
      <c r="W4" t="s">
        <v>114</v>
      </c>
      <c r="X4">
        <v>28</v>
      </c>
      <c r="Y4" t="s">
        <v>118</v>
      </c>
      <c r="Z4">
        <v>15</v>
      </c>
      <c r="AA4">
        <v>1</v>
      </c>
      <c r="AB4" t="s">
        <v>99</v>
      </c>
      <c r="AC4" t="s">
        <v>128</v>
      </c>
      <c r="AE4" t="str">
        <f t="shared" si="0"/>
        <v>FerrinJackson</v>
      </c>
      <c r="AF4">
        <v>1</v>
      </c>
      <c r="AG4">
        <v>1</v>
      </c>
      <c r="AH4">
        <v>0</v>
      </c>
      <c r="AI4">
        <v>0</v>
      </c>
      <c r="AJ4">
        <v>1</v>
      </c>
      <c r="AK4" t="s">
        <v>129</v>
      </c>
      <c r="AL4">
        <v>0.3</v>
      </c>
      <c r="AM4" t="s">
        <v>130</v>
      </c>
      <c r="AN4">
        <v>0.48611111111111099</v>
      </c>
    </row>
    <row r="5" spans="1:40" ht="15" customHeight="1" x14ac:dyDescent="0.2">
      <c r="B5">
        <v>2</v>
      </c>
      <c r="C5">
        <v>2</v>
      </c>
      <c r="D5">
        <v>1</v>
      </c>
      <c r="E5" t="s">
        <v>126</v>
      </c>
      <c r="F5" t="s">
        <v>108</v>
      </c>
      <c r="G5" s="15">
        <v>41447</v>
      </c>
      <c r="H5" t="s">
        <v>109</v>
      </c>
      <c r="I5" t="s">
        <v>110</v>
      </c>
      <c r="J5" t="s">
        <v>111</v>
      </c>
      <c r="K5">
        <v>9</v>
      </c>
      <c r="L5" t="s">
        <v>112</v>
      </c>
      <c r="M5" t="s">
        <v>113</v>
      </c>
      <c r="N5" t="s">
        <v>114</v>
      </c>
      <c r="O5">
        <v>71.3</v>
      </c>
      <c r="P5">
        <v>130</v>
      </c>
      <c r="Q5">
        <v>6225</v>
      </c>
      <c r="R5" t="s">
        <v>115</v>
      </c>
      <c r="S5" t="s">
        <v>116</v>
      </c>
      <c r="T5" t="s">
        <v>124</v>
      </c>
      <c r="U5" t="s">
        <v>122</v>
      </c>
      <c r="V5" t="s">
        <v>129</v>
      </c>
      <c r="W5" t="s">
        <v>125</v>
      </c>
      <c r="X5">
        <v>15</v>
      </c>
      <c r="Y5" t="s">
        <v>130</v>
      </c>
      <c r="Z5">
        <v>10</v>
      </c>
      <c r="AA5">
        <v>1</v>
      </c>
      <c r="AB5" t="s">
        <v>100</v>
      </c>
      <c r="AC5" t="s">
        <v>128</v>
      </c>
      <c r="AE5" t="str">
        <f t="shared" si="0"/>
        <v>MacklinPoirier</v>
      </c>
      <c r="AF5">
        <v>0</v>
      </c>
      <c r="AG5">
        <v>0</v>
      </c>
      <c r="AH5">
        <v>1</v>
      </c>
      <c r="AI5">
        <v>0</v>
      </c>
      <c r="AJ5">
        <v>0</v>
      </c>
      <c r="AK5" t="s">
        <v>127</v>
      </c>
      <c r="AL5">
        <v>0.59523809523809501</v>
      </c>
      <c r="AM5" t="s">
        <v>118</v>
      </c>
      <c r="AN5">
        <v>0.6171875</v>
      </c>
    </row>
    <row r="6" spans="1:40" ht="15" customHeight="1" x14ac:dyDescent="0.2">
      <c r="B6">
        <v>3</v>
      </c>
      <c r="C6">
        <v>3</v>
      </c>
      <c r="D6">
        <v>1</v>
      </c>
      <c r="E6" t="s">
        <v>131</v>
      </c>
      <c r="F6" t="s">
        <v>108</v>
      </c>
      <c r="G6" s="15">
        <v>41447</v>
      </c>
      <c r="H6" t="s">
        <v>109</v>
      </c>
      <c r="I6" t="s">
        <v>110</v>
      </c>
      <c r="J6" t="s">
        <v>111</v>
      </c>
      <c r="K6">
        <v>9</v>
      </c>
      <c r="L6" t="s">
        <v>112</v>
      </c>
      <c r="M6" t="s">
        <v>113</v>
      </c>
      <c r="N6" t="s">
        <v>114</v>
      </c>
      <c r="O6">
        <v>71.3</v>
      </c>
      <c r="P6">
        <v>130</v>
      </c>
      <c r="Q6">
        <v>6225</v>
      </c>
      <c r="R6" t="s">
        <v>115</v>
      </c>
      <c r="S6" t="s">
        <v>116</v>
      </c>
      <c r="T6" t="s">
        <v>117</v>
      </c>
      <c r="U6" t="s">
        <v>118</v>
      </c>
      <c r="V6" t="s">
        <v>132</v>
      </c>
      <c r="W6" t="s">
        <v>114</v>
      </c>
      <c r="X6">
        <v>15</v>
      </c>
      <c r="Y6" t="s">
        <v>133</v>
      </c>
      <c r="Z6">
        <v>15</v>
      </c>
      <c r="AA6">
        <v>1</v>
      </c>
      <c r="AB6" t="s">
        <v>100</v>
      </c>
      <c r="AC6" t="s">
        <v>134</v>
      </c>
      <c r="AE6" t="str">
        <f t="shared" si="0"/>
        <v>FlandersMangold</v>
      </c>
      <c r="AF6">
        <v>0</v>
      </c>
      <c r="AG6">
        <v>0</v>
      </c>
      <c r="AH6">
        <v>1</v>
      </c>
      <c r="AI6">
        <v>0</v>
      </c>
      <c r="AJ6">
        <v>0</v>
      </c>
      <c r="AK6" t="s">
        <v>1308</v>
      </c>
      <c r="AL6">
        <v>0.59375</v>
      </c>
      <c r="AM6" t="s">
        <v>135</v>
      </c>
    </row>
    <row r="7" spans="1:40" ht="15" customHeight="1" x14ac:dyDescent="0.2">
      <c r="B7">
        <v>3</v>
      </c>
      <c r="C7">
        <v>3</v>
      </c>
      <c r="D7">
        <v>1</v>
      </c>
      <c r="E7" t="s">
        <v>131</v>
      </c>
      <c r="F7" t="s">
        <v>108</v>
      </c>
      <c r="G7" s="15">
        <v>41447</v>
      </c>
      <c r="H7" t="s">
        <v>109</v>
      </c>
      <c r="I7" t="s">
        <v>110</v>
      </c>
      <c r="J7" t="s">
        <v>111</v>
      </c>
      <c r="K7">
        <v>9</v>
      </c>
      <c r="L7" t="s">
        <v>112</v>
      </c>
      <c r="M7" t="s">
        <v>113</v>
      </c>
      <c r="N7" t="s">
        <v>114</v>
      </c>
      <c r="O7">
        <v>71.3</v>
      </c>
      <c r="P7">
        <v>130</v>
      </c>
      <c r="Q7">
        <v>6225</v>
      </c>
      <c r="R7" t="s">
        <v>115</v>
      </c>
      <c r="S7" t="s">
        <v>116</v>
      </c>
      <c r="T7" t="s">
        <v>124</v>
      </c>
      <c r="U7" t="s">
        <v>122</v>
      </c>
      <c r="V7" t="s">
        <v>1308</v>
      </c>
      <c r="W7" t="s">
        <v>125</v>
      </c>
      <c r="X7">
        <v>15</v>
      </c>
      <c r="Y7" t="s">
        <v>135</v>
      </c>
      <c r="Z7">
        <v>30</v>
      </c>
      <c r="AA7">
        <v>1</v>
      </c>
      <c r="AB7" t="s">
        <v>99</v>
      </c>
      <c r="AC7" t="s">
        <v>134</v>
      </c>
      <c r="AE7" t="str">
        <f t="shared" si="0"/>
        <v>ConnollyShively</v>
      </c>
      <c r="AF7">
        <v>1</v>
      </c>
      <c r="AG7">
        <v>1</v>
      </c>
      <c r="AH7">
        <v>0</v>
      </c>
      <c r="AI7">
        <v>0</v>
      </c>
      <c r="AJ7">
        <v>1</v>
      </c>
      <c r="AK7" t="s">
        <v>132</v>
      </c>
      <c r="AL7">
        <v>0.4296875</v>
      </c>
      <c r="AM7" t="s">
        <v>133</v>
      </c>
      <c r="AN7">
        <v>0.38392857142857201</v>
      </c>
    </row>
    <row r="8" spans="1:40" ht="15" customHeight="1" x14ac:dyDescent="0.2">
      <c r="B8">
        <v>4</v>
      </c>
      <c r="C8">
        <v>1</v>
      </c>
      <c r="D8">
        <v>1</v>
      </c>
      <c r="E8" t="s">
        <v>136</v>
      </c>
      <c r="F8" t="s">
        <v>108</v>
      </c>
      <c r="G8" s="15">
        <v>41447</v>
      </c>
      <c r="H8" t="s">
        <v>109</v>
      </c>
      <c r="I8" t="s">
        <v>110</v>
      </c>
      <c r="J8" t="s">
        <v>111</v>
      </c>
      <c r="K8">
        <v>9</v>
      </c>
      <c r="L8" t="s">
        <v>137</v>
      </c>
      <c r="M8" t="s">
        <v>113</v>
      </c>
      <c r="N8" t="s">
        <v>114</v>
      </c>
      <c r="O8">
        <v>71.3</v>
      </c>
      <c r="P8">
        <v>130</v>
      </c>
      <c r="Q8">
        <v>6225</v>
      </c>
      <c r="R8" t="s">
        <v>138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>
        <v>15</v>
      </c>
      <c r="Y8" t="s">
        <v>120</v>
      </c>
      <c r="Z8">
        <v>20</v>
      </c>
      <c r="AA8">
        <v>1</v>
      </c>
      <c r="AB8" t="s">
        <v>101</v>
      </c>
      <c r="AC8" t="s">
        <v>139</v>
      </c>
      <c r="AE8" t="str">
        <f t="shared" si="0"/>
        <v>GriseHickerson</v>
      </c>
      <c r="AF8">
        <v>0.5</v>
      </c>
      <c r="AG8">
        <v>0</v>
      </c>
      <c r="AH8">
        <v>0</v>
      </c>
      <c r="AI8">
        <v>1</v>
      </c>
      <c r="AJ8">
        <v>0.5</v>
      </c>
      <c r="AK8" t="s">
        <v>122</v>
      </c>
      <c r="AL8">
        <v>0.47321428571428598</v>
      </c>
      <c r="AM8" t="s">
        <v>123</v>
      </c>
      <c r="AN8">
        <v>0.5546875</v>
      </c>
    </row>
    <row r="9" spans="1:40" ht="15" customHeight="1" x14ac:dyDescent="0.2">
      <c r="B9">
        <v>4</v>
      </c>
      <c r="C9">
        <v>1</v>
      </c>
      <c r="D9">
        <v>1</v>
      </c>
      <c r="E9" t="s">
        <v>136</v>
      </c>
      <c r="F9" t="s">
        <v>108</v>
      </c>
      <c r="G9" s="15">
        <v>41447</v>
      </c>
      <c r="H9" t="s">
        <v>109</v>
      </c>
      <c r="I9" t="s">
        <v>110</v>
      </c>
      <c r="J9" t="s">
        <v>111</v>
      </c>
      <c r="K9">
        <v>9</v>
      </c>
      <c r="L9" t="s">
        <v>137</v>
      </c>
      <c r="M9" t="s">
        <v>113</v>
      </c>
      <c r="N9" t="s">
        <v>114</v>
      </c>
      <c r="O9">
        <v>71.3</v>
      </c>
      <c r="P9">
        <v>130</v>
      </c>
      <c r="Q9">
        <v>6225</v>
      </c>
      <c r="R9" t="s">
        <v>138</v>
      </c>
      <c r="S9" t="s">
        <v>116</v>
      </c>
      <c r="T9" t="s">
        <v>124</v>
      </c>
      <c r="U9" t="s">
        <v>122</v>
      </c>
      <c r="V9" t="s">
        <v>122</v>
      </c>
      <c r="W9" t="s">
        <v>125</v>
      </c>
      <c r="X9">
        <v>18</v>
      </c>
      <c r="Y9" t="s">
        <v>123</v>
      </c>
      <c r="Z9">
        <v>20</v>
      </c>
      <c r="AA9">
        <v>1</v>
      </c>
      <c r="AB9" t="s">
        <v>101</v>
      </c>
      <c r="AC9" t="s">
        <v>139</v>
      </c>
      <c r="AE9" t="str">
        <f t="shared" si="0"/>
        <v>HiltsLynch</v>
      </c>
      <c r="AF9">
        <v>0.5</v>
      </c>
      <c r="AG9">
        <v>0</v>
      </c>
      <c r="AH9">
        <v>0</v>
      </c>
      <c r="AI9">
        <v>1</v>
      </c>
      <c r="AJ9">
        <v>0.5</v>
      </c>
      <c r="AK9" t="s">
        <v>119</v>
      </c>
      <c r="AL9">
        <v>0.546875</v>
      </c>
      <c r="AM9" t="s">
        <v>120</v>
      </c>
      <c r="AN9">
        <v>0.35714285714285698</v>
      </c>
    </row>
    <row r="10" spans="1:40" ht="15" customHeight="1" x14ac:dyDescent="0.2">
      <c r="B10">
        <v>5</v>
      </c>
      <c r="C10">
        <v>2</v>
      </c>
      <c r="D10">
        <v>1</v>
      </c>
      <c r="E10" t="s">
        <v>140</v>
      </c>
      <c r="F10" t="s">
        <v>108</v>
      </c>
      <c r="G10" s="15">
        <v>41447</v>
      </c>
      <c r="H10" t="s">
        <v>109</v>
      </c>
      <c r="I10" t="s">
        <v>110</v>
      </c>
      <c r="J10" t="s">
        <v>111</v>
      </c>
      <c r="K10">
        <v>9</v>
      </c>
      <c r="L10" t="s">
        <v>137</v>
      </c>
      <c r="M10" t="s">
        <v>113</v>
      </c>
      <c r="N10" t="s">
        <v>114</v>
      </c>
      <c r="O10">
        <v>71.3</v>
      </c>
      <c r="P10">
        <v>130</v>
      </c>
      <c r="Q10">
        <v>6225</v>
      </c>
      <c r="R10" t="s">
        <v>138</v>
      </c>
      <c r="S10" t="s">
        <v>116</v>
      </c>
      <c r="T10" t="s">
        <v>117</v>
      </c>
      <c r="U10" t="s">
        <v>118</v>
      </c>
      <c r="V10" t="s">
        <v>127</v>
      </c>
      <c r="W10" t="s">
        <v>114</v>
      </c>
      <c r="X10">
        <v>28</v>
      </c>
      <c r="Y10" t="s">
        <v>118</v>
      </c>
      <c r="Z10">
        <v>15</v>
      </c>
      <c r="AA10">
        <v>1</v>
      </c>
      <c r="AB10" t="s">
        <v>101</v>
      </c>
      <c r="AC10" t="s">
        <v>139</v>
      </c>
      <c r="AE10" t="str">
        <f t="shared" si="0"/>
        <v>FerrinJackson</v>
      </c>
      <c r="AF10">
        <v>0.5</v>
      </c>
      <c r="AG10">
        <v>0</v>
      </c>
      <c r="AH10">
        <v>0</v>
      </c>
      <c r="AI10">
        <v>1</v>
      </c>
      <c r="AJ10">
        <v>0.5</v>
      </c>
      <c r="AK10" t="s">
        <v>129</v>
      </c>
      <c r="AL10">
        <v>0.3</v>
      </c>
      <c r="AM10" t="s">
        <v>130</v>
      </c>
      <c r="AN10">
        <v>0.48611111111111099</v>
      </c>
    </row>
    <row r="11" spans="1:40" ht="15" customHeight="1" x14ac:dyDescent="0.2">
      <c r="B11">
        <v>5</v>
      </c>
      <c r="C11">
        <v>2</v>
      </c>
      <c r="D11">
        <v>1</v>
      </c>
      <c r="E11" t="s">
        <v>140</v>
      </c>
      <c r="F11" t="s">
        <v>108</v>
      </c>
      <c r="G11" s="15">
        <v>41447</v>
      </c>
      <c r="H11" t="s">
        <v>109</v>
      </c>
      <c r="I11" t="s">
        <v>110</v>
      </c>
      <c r="J11" t="s">
        <v>111</v>
      </c>
      <c r="K11">
        <v>9</v>
      </c>
      <c r="L11" t="s">
        <v>137</v>
      </c>
      <c r="M11" t="s">
        <v>113</v>
      </c>
      <c r="N11" t="s">
        <v>114</v>
      </c>
      <c r="O11">
        <v>71.3</v>
      </c>
      <c r="P11">
        <v>130</v>
      </c>
      <c r="Q11">
        <v>6225</v>
      </c>
      <c r="R11" t="s">
        <v>138</v>
      </c>
      <c r="S11" t="s">
        <v>116</v>
      </c>
      <c r="T11" t="s">
        <v>124</v>
      </c>
      <c r="U11" t="s">
        <v>122</v>
      </c>
      <c r="V11" t="s">
        <v>129</v>
      </c>
      <c r="W11" t="s">
        <v>125</v>
      </c>
      <c r="X11">
        <v>15</v>
      </c>
      <c r="Y11" t="s">
        <v>130</v>
      </c>
      <c r="Z11">
        <v>10</v>
      </c>
      <c r="AA11">
        <v>1</v>
      </c>
      <c r="AB11" t="s">
        <v>101</v>
      </c>
      <c r="AC11" t="s">
        <v>139</v>
      </c>
      <c r="AE11" t="str">
        <f t="shared" si="0"/>
        <v>MacklinPoirier</v>
      </c>
      <c r="AF11">
        <v>0.5</v>
      </c>
      <c r="AG11">
        <v>0</v>
      </c>
      <c r="AH11">
        <v>0</v>
      </c>
      <c r="AI11">
        <v>1</v>
      </c>
      <c r="AJ11">
        <v>0.5</v>
      </c>
      <c r="AK11" t="s">
        <v>127</v>
      </c>
      <c r="AL11">
        <v>0.59523809523809501</v>
      </c>
      <c r="AM11" t="s">
        <v>118</v>
      </c>
      <c r="AN11">
        <v>0.6171875</v>
      </c>
    </row>
    <row r="12" spans="1:40" ht="15" customHeight="1" x14ac:dyDescent="0.2">
      <c r="B12">
        <v>6</v>
      </c>
      <c r="C12">
        <v>3</v>
      </c>
      <c r="D12">
        <v>1</v>
      </c>
      <c r="E12" t="s">
        <v>141</v>
      </c>
      <c r="F12" t="s">
        <v>108</v>
      </c>
      <c r="G12" s="15">
        <v>41447</v>
      </c>
      <c r="H12" t="s">
        <v>109</v>
      </c>
      <c r="I12" t="s">
        <v>110</v>
      </c>
      <c r="J12" t="s">
        <v>111</v>
      </c>
      <c r="K12">
        <v>9</v>
      </c>
      <c r="L12" t="s">
        <v>137</v>
      </c>
      <c r="M12" t="s">
        <v>113</v>
      </c>
      <c r="N12" t="s">
        <v>114</v>
      </c>
      <c r="O12">
        <v>71.3</v>
      </c>
      <c r="P12">
        <v>130</v>
      </c>
      <c r="Q12">
        <v>6225</v>
      </c>
      <c r="R12" t="s">
        <v>138</v>
      </c>
      <c r="S12" t="s">
        <v>116</v>
      </c>
      <c r="T12" t="s">
        <v>117</v>
      </c>
      <c r="U12" t="s">
        <v>118</v>
      </c>
      <c r="V12" t="s">
        <v>132</v>
      </c>
      <c r="W12" t="s">
        <v>114</v>
      </c>
      <c r="X12">
        <v>15</v>
      </c>
      <c r="Y12" t="s">
        <v>133</v>
      </c>
      <c r="Z12">
        <v>15</v>
      </c>
      <c r="AA12">
        <v>1</v>
      </c>
      <c r="AB12" t="s">
        <v>100</v>
      </c>
      <c r="AC12" t="s">
        <v>142</v>
      </c>
      <c r="AE12" t="str">
        <f t="shared" si="0"/>
        <v>FlandersMangold</v>
      </c>
      <c r="AF12">
        <v>0</v>
      </c>
      <c r="AG12">
        <v>0</v>
      </c>
      <c r="AH12">
        <v>1</v>
      </c>
      <c r="AI12">
        <v>0</v>
      </c>
      <c r="AJ12">
        <v>0</v>
      </c>
      <c r="AK12" t="s">
        <v>1308</v>
      </c>
      <c r="AL12">
        <v>0.59375</v>
      </c>
      <c r="AM12" t="s">
        <v>135</v>
      </c>
    </row>
    <row r="13" spans="1:40" ht="15" customHeight="1" x14ac:dyDescent="0.2">
      <c r="B13">
        <v>6</v>
      </c>
      <c r="C13">
        <v>3</v>
      </c>
      <c r="D13">
        <v>1</v>
      </c>
      <c r="E13" t="s">
        <v>141</v>
      </c>
      <c r="F13" t="s">
        <v>108</v>
      </c>
      <c r="G13" s="15">
        <v>41447</v>
      </c>
      <c r="H13" t="s">
        <v>109</v>
      </c>
      <c r="I13" t="s">
        <v>110</v>
      </c>
      <c r="J13" t="s">
        <v>111</v>
      </c>
      <c r="K13">
        <v>9</v>
      </c>
      <c r="L13" t="s">
        <v>137</v>
      </c>
      <c r="M13" t="s">
        <v>113</v>
      </c>
      <c r="N13" t="s">
        <v>114</v>
      </c>
      <c r="O13">
        <v>71.3</v>
      </c>
      <c r="P13">
        <v>130</v>
      </c>
      <c r="Q13">
        <v>6225</v>
      </c>
      <c r="R13" t="s">
        <v>138</v>
      </c>
      <c r="S13" t="s">
        <v>116</v>
      </c>
      <c r="T13" t="s">
        <v>124</v>
      </c>
      <c r="U13" t="s">
        <v>122</v>
      </c>
      <c r="V13" t="s">
        <v>1308</v>
      </c>
      <c r="W13" t="s">
        <v>125</v>
      </c>
      <c r="X13">
        <v>15</v>
      </c>
      <c r="Y13" t="s">
        <v>135</v>
      </c>
      <c r="Z13">
        <v>30</v>
      </c>
      <c r="AA13">
        <v>1</v>
      </c>
      <c r="AB13" t="s">
        <v>99</v>
      </c>
      <c r="AC13" t="s">
        <v>142</v>
      </c>
      <c r="AE13" t="str">
        <f t="shared" si="0"/>
        <v>ConnollyShively</v>
      </c>
      <c r="AF13">
        <v>1</v>
      </c>
      <c r="AG13">
        <v>1</v>
      </c>
      <c r="AH13">
        <v>0</v>
      </c>
      <c r="AI13">
        <v>0</v>
      </c>
      <c r="AJ13">
        <v>1</v>
      </c>
      <c r="AK13" t="s">
        <v>132</v>
      </c>
      <c r="AL13">
        <v>0.4296875</v>
      </c>
      <c r="AM13" t="s">
        <v>133</v>
      </c>
      <c r="AN13">
        <v>0.38392857142857201</v>
      </c>
    </row>
    <row r="14" spans="1:40" ht="15" customHeight="1" x14ac:dyDescent="0.2">
      <c r="B14">
        <v>7</v>
      </c>
      <c r="C14">
        <v>1</v>
      </c>
      <c r="D14">
        <v>1</v>
      </c>
      <c r="E14" t="s">
        <v>143</v>
      </c>
      <c r="F14" t="s">
        <v>108</v>
      </c>
      <c r="G14" s="15">
        <v>41447</v>
      </c>
      <c r="H14" t="s">
        <v>144</v>
      </c>
      <c r="I14" t="s">
        <v>110</v>
      </c>
      <c r="J14" t="s">
        <v>111</v>
      </c>
      <c r="K14">
        <v>9</v>
      </c>
      <c r="L14" t="s">
        <v>112</v>
      </c>
      <c r="M14" t="s">
        <v>113</v>
      </c>
      <c r="N14" t="s">
        <v>114</v>
      </c>
      <c r="O14">
        <v>71.3</v>
      </c>
      <c r="P14">
        <v>130</v>
      </c>
      <c r="Q14">
        <v>6225</v>
      </c>
      <c r="R14" t="s">
        <v>145</v>
      </c>
      <c r="S14" t="s">
        <v>116</v>
      </c>
      <c r="T14" t="s">
        <v>124</v>
      </c>
      <c r="U14" t="s">
        <v>122</v>
      </c>
      <c r="V14" t="s">
        <v>129</v>
      </c>
      <c r="W14" t="s">
        <v>125</v>
      </c>
      <c r="X14">
        <v>15</v>
      </c>
      <c r="Y14" t="s">
        <v>130</v>
      </c>
      <c r="Z14">
        <v>10</v>
      </c>
      <c r="AA14">
        <v>1</v>
      </c>
      <c r="AB14" t="s">
        <v>99</v>
      </c>
      <c r="AC14" t="s">
        <v>128</v>
      </c>
      <c r="AE14" t="str">
        <f t="shared" si="0"/>
        <v>MacklinPoirier</v>
      </c>
      <c r="AF14">
        <v>1</v>
      </c>
      <c r="AG14">
        <v>1</v>
      </c>
      <c r="AH14">
        <v>0</v>
      </c>
      <c r="AI14">
        <v>0</v>
      </c>
      <c r="AJ14">
        <v>1</v>
      </c>
      <c r="AK14" t="s">
        <v>119</v>
      </c>
      <c r="AL14">
        <v>0.546875</v>
      </c>
      <c r="AM14" t="s">
        <v>120</v>
      </c>
      <c r="AN14">
        <v>0.35714285714285698</v>
      </c>
    </row>
    <row r="15" spans="1:40" ht="15" customHeight="1" x14ac:dyDescent="0.2">
      <c r="B15">
        <v>7</v>
      </c>
      <c r="C15">
        <v>1</v>
      </c>
      <c r="D15">
        <v>1</v>
      </c>
      <c r="E15" t="s">
        <v>143</v>
      </c>
      <c r="F15" t="s">
        <v>108</v>
      </c>
      <c r="G15" s="15">
        <v>41447</v>
      </c>
      <c r="H15" t="s">
        <v>144</v>
      </c>
      <c r="I15" t="s">
        <v>110</v>
      </c>
      <c r="J15" t="s">
        <v>111</v>
      </c>
      <c r="K15">
        <v>9</v>
      </c>
      <c r="L15" t="s">
        <v>112</v>
      </c>
      <c r="M15" t="s">
        <v>113</v>
      </c>
      <c r="N15" t="s">
        <v>114</v>
      </c>
      <c r="O15">
        <v>71.3</v>
      </c>
      <c r="P15">
        <v>130</v>
      </c>
      <c r="Q15">
        <v>6225</v>
      </c>
      <c r="R15" t="s">
        <v>145</v>
      </c>
      <c r="S15" t="s">
        <v>116</v>
      </c>
      <c r="T15" t="s">
        <v>117</v>
      </c>
      <c r="U15" t="s">
        <v>118</v>
      </c>
      <c r="V15" t="s">
        <v>119</v>
      </c>
      <c r="W15" t="s">
        <v>114</v>
      </c>
      <c r="X15">
        <v>15</v>
      </c>
      <c r="Y15" t="s">
        <v>120</v>
      </c>
      <c r="Z15">
        <v>20</v>
      </c>
      <c r="AA15">
        <v>1</v>
      </c>
      <c r="AB15" t="s">
        <v>100</v>
      </c>
      <c r="AC15" t="s">
        <v>128</v>
      </c>
      <c r="AE15" t="str">
        <f t="shared" si="0"/>
        <v>GriseHickerson</v>
      </c>
      <c r="AF15">
        <v>0</v>
      </c>
      <c r="AG15">
        <v>0</v>
      </c>
      <c r="AH15">
        <v>1</v>
      </c>
      <c r="AI15">
        <v>0</v>
      </c>
      <c r="AJ15">
        <v>0</v>
      </c>
      <c r="AK15" t="s">
        <v>129</v>
      </c>
      <c r="AL15">
        <v>0.3</v>
      </c>
      <c r="AM15" t="s">
        <v>130</v>
      </c>
      <c r="AN15">
        <v>0.48611111111111099</v>
      </c>
    </row>
    <row r="16" spans="1:40" ht="15" customHeight="1" x14ac:dyDescent="0.2">
      <c r="B16">
        <v>8</v>
      </c>
      <c r="C16">
        <v>2</v>
      </c>
      <c r="D16">
        <v>1</v>
      </c>
      <c r="E16" t="s">
        <v>146</v>
      </c>
      <c r="F16" t="s">
        <v>108</v>
      </c>
      <c r="G16" s="15">
        <v>41447</v>
      </c>
      <c r="H16" t="s">
        <v>144</v>
      </c>
      <c r="I16" t="s">
        <v>110</v>
      </c>
      <c r="J16" t="s">
        <v>111</v>
      </c>
      <c r="K16">
        <v>9</v>
      </c>
      <c r="L16" t="s">
        <v>112</v>
      </c>
      <c r="M16" t="s">
        <v>113</v>
      </c>
      <c r="N16" t="s">
        <v>114</v>
      </c>
      <c r="O16">
        <v>71.3</v>
      </c>
      <c r="P16">
        <v>130</v>
      </c>
      <c r="Q16">
        <v>6225</v>
      </c>
      <c r="R16" t="s">
        <v>145</v>
      </c>
      <c r="S16" t="s">
        <v>116</v>
      </c>
      <c r="T16" t="s">
        <v>124</v>
      </c>
      <c r="U16" t="s">
        <v>122</v>
      </c>
      <c r="V16" t="s">
        <v>122</v>
      </c>
      <c r="W16" t="s">
        <v>125</v>
      </c>
      <c r="X16">
        <v>18</v>
      </c>
      <c r="Y16" t="s">
        <v>123</v>
      </c>
      <c r="Z16">
        <v>20</v>
      </c>
      <c r="AA16">
        <v>1</v>
      </c>
      <c r="AB16" t="s">
        <v>100</v>
      </c>
      <c r="AC16" t="s">
        <v>121</v>
      </c>
      <c r="AE16" t="str">
        <f t="shared" si="0"/>
        <v>HiltsLynch</v>
      </c>
      <c r="AF16">
        <v>0</v>
      </c>
      <c r="AG16">
        <v>0</v>
      </c>
      <c r="AH16">
        <v>1</v>
      </c>
      <c r="AI16">
        <v>0</v>
      </c>
      <c r="AJ16">
        <v>0</v>
      </c>
      <c r="AK16" t="s">
        <v>127</v>
      </c>
      <c r="AL16">
        <v>0.59523809523809501</v>
      </c>
      <c r="AM16" t="s">
        <v>118</v>
      </c>
      <c r="AN16">
        <v>0.6171875</v>
      </c>
    </row>
    <row r="17" spans="2:40" ht="15" customHeight="1" x14ac:dyDescent="0.2">
      <c r="B17">
        <v>8</v>
      </c>
      <c r="C17">
        <v>2</v>
      </c>
      <c r="D17">
        <v>1</v>
      </c>
      <c r="E17" t="s">
        <v>146</v>
      </c>
      <c r="F17" t="s">
        <v>108</v>
      </c>
      <c r="G17" s="15">
        <v>41447</v>
      </c>
      <c r="H17" t="s">
        <v>144</v>
      </c>
      <c r="I17" t="s">
        <v>110</v>
      </c>
      <c r="J17" t="s">
        <v>111</v>
      </c>
      <c r="K17">
        <v>9</v>
      </c>
      <c r="L17" t="s">
        <v>112</v>
      </c>
      <c r="M17" t="s">
        <v>113</v>
      </c>
      <c r="N17" t="s">
        <v>114</v>
      </c>
      <c r="O17">
        <v>71.3</v>
      </c>
      <c r="P17">
        <v>130</v>
      </c>
      <c r="Q17">
        <v>6225</v>
      </c>
      <c r="R17" t="s">
        <v>145</v>
      </c>
      <c r="S17" t="s">
        <v>116</v>
      </c>
      <c r="T17" t="s">
        <v>117</v>
      </c>
      <c r="U17" t="s">
        <v>118</v>
      </c>
      <c r="V17" t="s">
        <v>127</v>
      </c>
      <c r="W17" t="s">
        <v>114</v>
      </c>
      <c r="X17">
        <v>28</v>
      </c>
      <c r="Y17" t="s">
        <v>118</v>
      </c>
      <c r="Z17">
        <v>15</v>
      </c>
      <c r="AA17">
        <v>1</v>
      </c>
      <c r="AB17" t="s">
        <v>99</v>
      </c>
      <c r="AC17" t="s">
        <v>121</v>
      </c>
      <c r="AE17" t="str">
        <f t="shared" si="0"/>
        <v>FerrinJackson</v>
      </c>
      <c r="AF17">
        <v>1</v>
      </c>
      <c r="AG17">
        <v>1</v>
      </c>
      <c r="AH17">
        <v>0</v>
      </c>
      <c r="AI17">
        <v>0</v>
      </c>
      <c r="AJ17">
        <v>1</v>
      </c>
      <c r="AK17" t="s">
        <v>122</v>
      </c>
      <c r="AL17">
        <v>0.47321428571428598</v>
      </c>
      <c r="AM17" t="s">
        <v>123</v>
      </c>
      <c r="AN17">
        <v>0.5546875</v>
      </c>
    </row>
    <row r="18" spans="2:40" ht="15" customHeight="1" x14ac:dyDescent="0.2">
      <c r="B18">
        <v>9</v>
      </c>
      <c r="C18">
        <v>3</v>
      </c>
      <c r="D18">
        <v>1</v>
      </c>
      <c r="E18" t="s">
        <v>147</v>
      </c>
      <c r="F18" t="s">
        <v>108</v>
      </c>
      <c r="G18" s="15">
        <v>41447</v>
      </c>
      <c r="H18" t="s">
        <v>144</v>
      </c>
      <c r="I18" t="s">
        <v>110</v>
      </c>
      <c r="J18" t="s">
        <v>111</v>
      </c>
      <c r="K18">
        <v>9</v>
      </c>
      <c r="L18" t="s">
        <v>112</v>
      </c>
      <c r="M18" t="s">
        <v>113</v>
      </c>
      <c r="N18" t="s">
        <v>114</v>
      </c>
      <c r="O18">
        <v>71.3</v>
      </c>
      <c r="P18">
        <v>130</v>
      </c>
      <c r="Q18">
        <v>6225</v>
      </c>
      <c r="R18" t="s">
        <v>145</v>
      </c>
      <c r="S18" t="s">
        <v>116</v>
      </c>
      <c r="T18" t="s">
        <v>124</v>
      </c>
      <c r="U18" t="s">
        <v>122</v>
      </c>
      <c r="V18" t="s">
        <v>1308</v>
      </c>
      <c r="W18" t="s">
        <v>125</v>
      </c>
      <c r="X18">
        <v>15</v>
      </c>
      <c r="Y18" t="s">
        <v>135</v>
      </c>
      <c r="Z18">
        <v>30</v>
      </c>
      <c r="AA18">
        <v>1</v>
      </c>
      <c r="AB18" t="s">
        <v>99</v>
      </c>
      <c r="AC18" t="s">
        <v>134</v>
      </c>
      <c r="AE18" t="str">
        <f t="shared" si="0"/>
        <v>ConnollyShively</v>
      </c>
      <c r="AF18">
        <v>1</v>
      </c>
      <c r="AG18">
        <v>1</v>
      </c>
      <c r="AH18">
        <v>0</v>
      </c>
      <c r="AI18">
        <v>0</v>
      </c>
      <c r="AJ18">
        <v>1</v>
      </c>
      <c r="AK18" t="s">
        <v>132</v>
      </c>
      <c r="AL18">
        <v>0.4296875</v>
      </c>
      <c r="AM18" t="s">
        <v>133</v>
      </c>
      <c r="AN18">
        <v>0.38392857142857201</v>
      </c>
    </row>
    <row r="19" spans="2:40" ht="15" customHeight="1" x14ac:dyDescent="0.2">
      <c r="B19">
        <v>9</v>
      </c>
      <c r="C19">
        <v>3</v>
      </c>
      <c r="D19">
        <v>1</v>
      </c>
      <c r="E19" t="s">
        <v>147</v>
      </c>
      <c r="F19" t="s">
        <v>108</v>
      </c>
      <c r="G19" s="15">
        <v>41447</v>
      </c>
      <c r="H19" t="s">
        <v>144</v>
      </c>
      <c r="I19" t="s">
        <v>110</v>
      </c>
      <c r="J19" t="s">
        <v>111</v>
      </c>
      <c r="K19">
        <v>9</v>
      </c>
      <c r="L19" t="s">
        <v>112</v>
      </c>
      <c r="M19" t="s">
        <v>113</v>
      </c>
      <c r="N19" t="s">
        <v>114</v>
      </c>
      <c r="O19">
        <v>71.3</v>
      </c>
      <c r="P19">
        <v>130</v>
      </c>
      <c r="Q19">
        <v>6225</v>
      </c>
      <c r="R19" t="s">
        <v>145</v>
      </c>
      <c r="S19" t="s">
        <v>116</v>
      </c>
      <c r="T19" t="s">
        <v>117</v>
      </c>
      <c r="U19" t="s">
        <v>118</v>
      </c>
      <c r="V19" t="s">
        <v>132</v>
      </c>
      <c r="W19" t="s">
        <v>114</v>
      </c>
      <c r="X19">
        <v>15</v>
      </c>
      <c r="Y19" t="s">
        <v>133</v>
      </c>
      <c r="Z19">
        <v>15</v>
      </c>
      <c r="AA19">
        <v>1</v>
      </c>
      <c r="AB19" t="s">
        <v>100</v>
      </c>
      <c r="AC19" t="s">
        <v>134</v>
      </c>
      <c r="AE19" t="str">
        <f t="shared" si="0"/>
        <v>FlandersMangold</v>
      </c>
      <c r="AF19">
        <v>0</v>
      </c>
      <c r="AG19">
        <v>0</v>
      </c>
      <c r="AH19">
        <v>1</v>
      </c>
      <c r="AI19">
        <v>0</v>
      </c>
      <c r="AJ19">
        <v>0</v>
      </c>
      <c r="AK19" t="s">
        <v>1308</v>
      </c>
      <c r="AL19">
        <v>0.59375</v>
      </c>
      <c r="AM19" t="s">
        <v>135</v>
      </c>
    </row>
    <row r="20" spans="2:40" ht="15" customHeight="1" x14ac:dyDescent="0.2">
      <c r="B20">
        <v>10</v>
      </c>
      <c r="C20">
        <v>1</v>
      </c>
      <c r="D20">
        <v>1</v>
      </c>
      <c r="E20" t="s">
        <v>148</v>
      </c>
      <c r="F20" t="s">
        <v>108</v>
      </c>
      <c r="G20" s="15">
        <v>41447</v>
      </c>
      <c r="H20" t="s">
        <v>144</v>
      </c>
      <c r="I20" t="s">
        <v>110</v>
      </c>
      <c r="J20" t="s">
        <v>111</v>
      </c>
      <c r="K20">
        <v>9</v>
      </c>
      <c r="L20" t="s">
        <v>137</v>
      </c>
      <c r="M20" t="s">
        <v>113</v>
      </c>
      <c r="N20" t="s">
        <v>114</v>
      </c>
      <c r="O20">
        <v>71.3</v>
      </c>
      <c r="P20">
        <v>130</v>
      </c>
      <c r="Q20">
        <v>6225</v>
      </c>
      <c r="R20" t="s">
        <v>115</v>
      </c>
      <c r="S20" t="s">
        <v>116</v>
      </c>
      <c r="T20" t="s">
        <v>124</v>
      </c>
      <c r="U20" t="s">
        <v>122</v>
      </c>
      <c r="V20" t="s">
        <v>129</v>
      </c>
      <c r="W20" t="s">
        <v>125</v>
      </c>
      <c r="X20">
        <v>15</v>
      </c>
      <c r="Y20" t="s">
        <v>130</v>
      </c>
      <c r="Z20">
        <v>10</v>
      </c>
      <c r="AA20">
        <v>1</v>
      </c>
      <c r="AB20" t="s">
        <v>100</v>
      </c>
      <c r="AC20" t="s">
        <v>128</v>
      </c>
      <c r="AE20" t="str">
        <f t="shared" si="0"/>
        <v>MacklinPoirier</v>
      </c>
      <c r="AF20">
        <v>0</v>
      </c>
      <c r="AG20">
        <v>0</v>
      </c>
      <c r="AH20">
        <v>1</v>
      </c>
      <c r="AI20">
        <v>0</v>
      </c>
      <c r="AJ20">
        <v>0</v>
      </c>
      <c r="AK20" t="s">
        <v>119</v>
      </c>
      <c r="AL20">
        <v>0.546875</v>
      </c>
      <c r="AM20" t="s">
        <v>120</v>
      </c>
      <c r="AN20">
        <v>0.35714285714285698</v>
      </c>
    </row>
    <row r="21" spans="2:40" ht="15" customHeight="1" x14ac:dyDescent="0.2">
      <c r="B21">
        <v>10</v>
      </c>
      <c r="C21">
        <v>1</v>
      </c>
      <c r="D21">
        <v>1</v>
      </c>
      <c r="E21" t="s">
        <v>148</v>
      </c>
      <c r="F21" t="s">
        <v>108</v>
      </c>
      <c r="G21" s="15">
        <v>41447</v>
      </c>
      <c r="H21" t="s">
        <v>144</v>
      </c>
      <c r="I21" t="s">
        <v>110</v>
      </c>
      <c r="J21" t="s">
        <v>111</v>
      </c>
      <c r="K21">
        <v>9</v>
      </c>
      <c r="L21" t="s">
        <v>137</v>
      </c>
      <c r="M21" t="s">
        <v>113</v>
      </c>
      <c r="N21" t="s">
        <v>114</v>
      </c>
      <c r="O21">
        <v>71.3</v>
      </c>
      <c r="P21">
        <v>130</v>
      </c>
      <c r="Q21">
        <v>6225</v>
      </c>
      <c r="R21" t="s">
        <v>115</v>
      </c>
      <c r="S21" t="s">
        <v>116</v>
      </c>
      <c r="T21" t="s">
        <v>117</v>
      </c>
      <c r="U21" t="s">
        <v>118</v>
      </c>
      <c r="V21" t="s">
        <v>119</v>
      </c>
      <c r="W21" t="s">
        <v>114</v>
      </c>
      <c r="X21">
        <v>15</v>
      </c>
      <c r="Y21" t="s">
        <v>120</v>
      </c>
      <c r="Z21">
        <v>20</v>
      </c>
      <c r="AA21">
        <v>1</v>
      </c>
      <c r="AB21" t="s">
        <v>99</v>
      </c>
      <c r="AC21" t="s">
        <v>128</v>
      </c>
      <c r="AE21" t="str">
        <f t="shared" si="0"/>
        <v>GriseHickerson</v>
      </c>
      <c r="AF21">
        <v>1</v>
      </c>
      <c r="AG21">
        <v>1</v>
      </c>
      <c r="AH21">
        <v>0</v>
      </c>
      <c r="AI21">
        <v>0</v>
      </c>
      <c r="AJ21">
        <v>1</v>
      </c>
      <c r="AK21" t="s">
        <v>129</v>
      </c>
      <c r="AL21">
        <v>0.3</v>
      </c>
      <c r="AM21" t="s">
        <v>130</v>
      </c>
      <c r="AN21">
        <v>0.48611111111111099</v>
      </c>
    </row>
    <row r="22" spans="2:40" ht="15" customHeight="1" x14ac:dyDescent="0.2">
      <c r="B22">
        <v>11</v>
      </c>
      <c r="C22">
        <v>2</v>
      </c>
      <c r="D22">
        <v>1</v>
      </c>
      <c r="E22" t="s">
        <v>149</v>
      </c>
      <c r="F22" t="s">
        <v>108</v>
      </c>
      <c r="G22" s="15">
        <v>41447</v>
      </c>
      <c r="H22" t="s">
        <v>144</v>
      </c>
      <c r="I22" t="s">
        <v>110</v>
      </c>
      <c r="J22" t="s">
        <v>111</v>
      </c>
      <c r="K22">
        <v>9</v>
      </c>
      <c r="L22" t="s">
        <v>137</v>
      </c>
      <c r="M22" t="s">
        <v>113</v>
      </c>
      <c r="N22" t="s">
        <v>114</v>
      </c>
      <c r="O22">
        <v>71.3</v>
      </c>
      <c r="P22">
        <v>130</v>
      </c>
      <c r="Q22">
        <v>6225</v>
      </c>
      <c r="R22" t="s">
        <v>115</v>
      </c>
      <c r="S22" t="s">
        <v>116</v>
      </c>
      <c r="T22" t="s">
        <v>124</v>
      </c>
      <c r="U22" t="s">
        <v>122</v>
      </c>
      <c r="V22" t="s">
        <v>122</v>
      </c>
      <c r="W22" t="s">
        <v>125</v>
      </c>
      <c r="X22">
        <v>18</v>
      </c>
      <c r="Y22" t="s">
        <v>123</v>
      </c>
      <c r="Z22">
        <v>20</v>
      </c>
      <c r="AA22">
        <v>1</v>
      </c>
      <c r="AB22" t="s">
        <v>100</v>
      </c>
      <c r="AC22" t="s">
        <v>150</v>
      </c>
      <c r="AE22" t="str">
        <f t="shared" si="0"/>
        <v>HiltsLynch</v>
      </c>
      <c r="AF22">
        <v>0</v>
      </c>
      <c r="AG22">
        <v>0</v>
      </c>
      <c r="AH22">
        <v>1</v>
      </c>
      <c r="AI22">
        <v>0</v>
      </c>
      <c r="AJ22">
        <v>0</v>
      </c>
      <c r="AK22" t="s">
        <v>127</v>
      </c>
      <c r="AL22">
        <v>0.59523809523809501</v>
      </c>
      <c r="AM22" t="s">
        <v>118</v>
      </c>
      <c r="AN22">
        <v>0.6171875</v>
      </c>
    </row>
    <row r="23" spans="2:40" ht="15" customHeight="1" x14ac:dyDescent="0.2">
      <c r="B23">
        <v>11</v>
      </c>
      <c r="C23">
        <v>2</v>
      </c>
      <c r="D23">
        <v>1</v>
      </c>
      <c r="E23" t="s">
        <v>149</v>
      </c>
      <c r="F23" t="s">
        <v>108</v>
      </c>
      <c r="G23" s="15">
        <v>41447</v>
      </c>
      <c r="H23" t="s">
        <v>144</v>
      </c>
      <c r="I23" t="s">
        <v>110</v>
      </c>
      <c r="J23" t="s">
        <v>111</v>
      </c>
      <c r="K23">
        <v>9</v>
      </c>
      <c r="L23" t="s">
        <v>137</v>
      </c>
      <c r="M23" t="s">
        <v>113</v>
      </c>
      <c r="N23" t="s">
        <v>114</v>
      </c>
      <c r="O23">
        <v>71.3</v>
      </c>
      <c r="P23">
        <v>130</v>
      </c>
      <c r="Q23">
        <v>6225</v>
      </c>
      <c r="R23" t="s">
        <v>115</v>
      </c>
      <c r="S23" t="s">
        <v>116</v>
      </c>
      <c r="T23" t="s">
        <v>117</v>
      </c>
      <c r="U23" t="s">
        <v>118</v>
      </c>
      <c r="V23" t="s">
        <v>127</v>
      </c>
      <c r="W23" t="s">
        <v>114</v>
      </c>
      <c r="X23">
        <v>28</v>
      </c>
      <c r="Y23" t="s">
        <v>118</v>
      </c>
      <c r="Z23">
        <v>15</v>
      </c>
      <c r="AA23">
        <v>1</v>
      </c>
      <c r="AB23" t="s">
        <v>99</v>
      </c>
      <c r="AC23" t="s">
        <v>150</v>
      </c>
      <c r="AE23" t="str">
        <f t="shared" si="0"/>
        <v>FerrinJackson</v>
      </c>
      <c r="AF23">
        <v>1</v>
      </c>
      <c r="AG23">
        <v>1</v>
      </c>
      <c r="AH23">
        <v>0</v>
      </c>
      <c r="AI23">
        <v>0</v>
      </c>
      <c r="AJ23">
        <v>1</v>
      </c>
      <c r="AK23" t="s">
        <v>122</v>
      </c>
      <c r="AL23">
        <v>0.47321428571428598</v>
      </c>
      <c r="AM23" t="s">
        <v>123</v>
      </c>
      <c r="AN23">
        <v>0.5546875</v>
      </c>
    </row>
    <row r="24" spans="2:40" ht="15" customHeight="1" x14ac:dyDescent="0.2">
      <c r="B24">
        <v>12</v>
      </c>
      <c r="C24">
        <v>3</v>
      </c>
      <c r="D24">
        <v>1</v>
      </c>
      <c r="E24" t="s">
        <v>151</v>
      </c>
      <c r="F24" t="s">
        <v>108</v>
      </c>
      <c r="G24" s="15">
        <v>41447</v>
      </c>
      <c r="H24" t="s">
        <v>144</v>
      </c>
      <c r="I24" t="s">
        <v>110</v>
      </c>
      <c r="J24" t="s">
        <v>111</v>
      </c>
      <c r="K24">
        <v>9</v>
      </c>
      <c r="L24" t="s">
        <v>137</v>
      </c>
      <c r="M24" t="s">
        <v>113</v>
      </c>
      <c r="N24" t="s">
        <v>114</v>
      </c>
      <c r="O24">
        <v>71.3</v>
      </c>
      <c r="P24">
        <v>130</v>
      </c>
      <c r="Q24">
        <v>6225</v>
      </c>
      <c r="R24" t="s">
        <v>115</v>
      </c>
      <c r="S24" t="s">
        <v>116</v>
      </c>
      <c r="T24" t="s">
        <v>124</v>
      </c>
      <c r="U24" t="s">
        <v>122</v>
      </c>
      <c r="V24" t="s">
        <v>1308</v>
      </c>
      <c r="W24" t="s">
        <v>125</v>
      </c>
      <c r="X24">
        <v>15</v>
      </c>
      <c r="Y24" t="s">
        <v>135</v>
      </c>
      <c r="Z24">
        <v>30</v>
      </c>
      <c r="AA24">
        <v>1</v>
      </c>
      <c r="AB24" t="s">
        <v>99</v>
      </c>
      <c r="AC24" t="s">
        <v>121</v>
      </c>
      <c r="AE24" t="str">
        <f t="shared" si="0"/>
        <v>ConnollyShively</v>
      </c>
      <c r="AF24">
        <v>1</v>
      </c>
      <c r="AG24">
        <v>1</v>
      </c>
      <c r="AH24">
        <v>0</v>
      </c>
      <c r="AI24">
        <v>0</v>
      </c>
      <c r="AJ24">
        <v>1</v>
      </c>
      <c r="AK24" t="s">
        <v>132</v>
      </c>
      <c r="AL24">
        <v>0.4296875</v>
      </c>
      <c r="AM24" t="s">
        <v>133</v>
      </c>
      <c r="AN24">
        <v>0.38392857142857201</v>
      </c>
    </row>
    <row r="25" spans="2:40" ht="15" customHeight="1" x14ac:dyDescent="0.2">
      <c r="B25">
        <v>12</v>
      </c>
      <c r="C25">
        <v>3</v>
      </c>
      <c r="D25">
        <v>1</v>
      </c>
      <c r="E25" t="s">
        <v>151</v>
      </c>
      <c r="F25" t="s">
        <v>108</v>
      </c>
      <c r="G25" s="15">
        <v>41447</v>
      </c>
      <c r="H25" t="s">
        <v>144</v>
      </c>
      <c r="I25" t="s">
        <v>110</v>
      </c>
      <c r="J25" t="s">
        <v>111</v>
      </c>
      <c r="K25">
        <v>9</v>
      </c>
      <c r="L25" t="s">
        <v>137</v>
      </c>
      <c r="M25" t="s">
        <v>113</v>
      </c>
      <c r="N25" t="s">
        <v>114</v>
      </c>
      <c r="O25">
        <v>71.3</v>
      </c>
      <c r="P25">
        <v>130</v>
      </c>
      <c r="Q25">
        <v>6225</v>
      </c>
      <c r="R25" t="s">
        <v>115</v>
      </c>
      <c r="S25" t="s">
        <v>116</v>
      </c>
      <c r="T25" t="s">
        <v>117</v>
      </c>
      <c r="U25" t="s">
        <v>118</v>
      </c>
      <c r="V25" t="s">
        <v>132</v>
      </c>
      <c r="W25" t="s">
        <v>114</v>
      </c>
      <c r="X25">
        <v>15</v>
      </c>
      <c r="Y25" t="s">
        <v>133</v>
      </c>
      <c r="Z25">
        <v>15</v>
      </c>
      <c r="AA25">
        <v>1</v>
      </c>
      <c r="AB25" t="s">
        <v>100</v>
      </c>
      <c r="AC25" t="s">
        <v>121</v>
      </c>
      <c r="AE25" t="str">
        <f t="shared" si="0"/>
        <v>FlandersMangold</v>
      </c>
      <c r="AF25">
        <v>0</v>
      </c>
      <c r="AG25">
        <v>0</v>
      </c>
      <c r="AH25">
        <v>1</v>
      </c>
      <c r="AI25">
        <v>0</v>
      </c>
      <c r="AJ25">
        <v>0</v>
      </c>
      <c r="AK25" t="s">
        <v>1308</v>
      </c>
      <c r="AL25">
        <v>0.59375</v>
      </c>
      <c r="AM25" t="s">
        <v>135</v>
      </c>
    </row>
    <row r="26" spans="2:40" ht="15" customHeight="1" x14ac:dyDescent="0.2">
      <c r="B26">
        <v>13</v>
      </c>
      <c r="C26">
        <v>1</v>
      </c>
      <c r="D26">
        <v>1</v>
      </c>
      <c r="E26" t="s">
        <v>152</v>
      </c>
      <c r="F26" t="s">
        <v>153</v>
      </c>
      <c r="G26" s="15">
        <v>41448</v>
      </c>
      <c r="H26" t="s">
        <v>109</v>
      </c>
      <c r="I26" t="s">
        <v>110</v>
      </c>
      <c r="J26" t="s">
        <v>111</v>
      </c>
      <c r="K26">
        <v>18</v>
      </c>
      <c r="L26" t="s">
        <v>154</v>
      </c>
      <c r="M26" t="s">
        <v>155</v>
      </c>
      <c r="N26" t="s">
        <v>156</v>
      </c>
      <c r="O26">
        <v>72.2</v>
      </c>
      <c r="P26">
        <v>128</v>
      </c>
      <c r="Q26">
        <v>6772</v>
      </c>
      <c r="R26" t="s">
        <v>157</v>
      </c>
      <c r="S26" t="s">
        <v>158</v>
      </c>
      <c r="T26" t="s">
        <v>124</v>
      </c>
      <c r="U26" t="s">
        <v>122</v>
      </c>
      <c r="V26" t="s">
        <v>122</v>
      </c>
      <c r="W26" t="s">
        <v>156</v>
      </c>
      <c r="X26">
        <v>18</v>
      </c>
      <c r="AA26">
        <v>2</v>
      </c>
      <c r="AB26" t="s">
        <v>99</v>
      </c>
      <c r="AC26" t="s">
        <v>159</v>
      </c>
      <c r="AD26" t="s">
        <v>133</v>
      </c>
      <c r="AE26" t="str">
        <f t="shared" si="0"/>
        <v>Hilts</v>
      </c>
      <c r="AF26">
        <v>2</v>
      </c>
      <c r="AG26">
        <v>1</v>
      </c>
      <c r="AH26">
        <v>0</v>
      </c>
      <c r="AI26">
        <v>0</v>
      </c>
      <c r="AJ26">
        <v>1</v>
      </c>
      <c r="AK26" t="s">
        <v>133</v>
      </c>
      <c r="AL26">
        <v>0.38392857142857201</v>
      </c>
    </row>
    <row r="27" spans="2:40" ht="15" customHeight="1" x14ac:dyDescent="0.2">
      <c r="B27">
        <v>13</v>
      </c>
      <c r="C27">
        <v>1</v>
      </c>
      <c r="D27">
        <v>1</v>
      </c>
      <c r="E27" t="s">
        <v>152</v>
      </c>
      <c r="F27" t="s">
        <v>153</v>
      </c>
      <c r="G27" s="15">
        <v>41448</v>
      </c>
      <c r="H27" t="s">
        <v>109</v>
      </c>
      <c r="I27" t="s">
        <v>110</v>
      </c>
      <c r="J27" t="s">
        <v>111</v>
      </c>
      <c r="K27">
        <v>18</v>
      </c>
      <c r="L27" t="s">
        <v>154</v>
      </c>
      <c r="M27" t="s">
        <v>155</v>
      </c>
      <c r="N27" t="s">
        <v>156</v>
      </c>
      <c r="O27">
        <v>72.2</v>
      </c>
      <c r="P27">
        <v>128</v>
      </c>
      <c r="Q27">
        <v>6772</v>
      </c>
      <c r="R27" t="s">
        <v>157</v>
      </c>
      <c r="S27" t="s">
        <v>158</v>
      </c>
      <c r="T27" t="s">
        <v>117</v>
      </c>
      <c r="U27" t="s">
        <v>118</v>
      </c>
      <c r="V27" t="s">
        <v>133</v>
      </c>
      <c r="W27" t="s">
        <v>156</v>
      </c>
      <c r="X27">
        <v>15</v>
      </c>
      <c r="AA27">
        <v>2</v>
      </c>
      <c r="AB27" t="s">
        <v>100</v>
      </c>
      <c r="AC27" t="s">
        <v>159</v>
      </c>
      <c r="AD27" t="s">
        <v>122</v>
      </c>
      <c r="AE27" t="str">
        <f t="shared" si="0"/>
        <v>Mangold</v>
      </c>
      <c r="AF27">
        <v>0</v>
      </c>
      <c r="AG27">
        <v>0</v>
      </c>
      <c r="AH27">
        <v>1</v>
      </c>
      <c r="AI27">
        <v>0</v>
      </c>
      <c r="AJ27">
        <v>0</v>
      </c>
      <c r="AK27" t="s">
        <v>122</v>
      </c>
      <c r="AL27">
        <v>0.47321428571428598</v>
      </c>
    </row>
    <row r="28" spans="2:40" ht="15" customHeight="1" x14ac:dyDescent="0.2">
      <c r="B28">
        <v>14</v>
      </c>
      <c r="C28">
        <v>2</v>
      </c>
      <c r="D28">
        <v>1</v>
      </c>
      <c r="E28" t="s">
        <v>160</v>
      </c>
      <c r="F28" t="s">
        <v>153</v>
      </c>
      <c r="G28" s="15">
        <v>41448</v>
      </c>
      <c r="H28" t="s">
        <v>109</v>
      </c>
      <c r="I28" t="s">
        <v>110</v>
      </c>
      <c r="J28" t="s">
        <v>111</v>
      </c>
      <c r="K28">
        <v>18</v>
      </c>
      <c r="L28" t="s">
        <v>154</v>
      </c>
      <c r="M28" t="s">
        <v>155</v>
      </c>
      <c r="N28" t="s">
        <v>156</v>
      </c>
      <c r="O28">
        <v>72.2</v>
      </c>
      <c r="P28">
        <v>128</v>
      </c>
      <c r="Q28">
        <v>6772</v>
      </c>
      <c r="R28" t="s">
        <v>157</v>
      </c>
      <c r="S28" t="s">
        <v>158</v>
      </c>
      <c r="T28" t="s">
        <v>117</v>
      </c>
      <c r="U28" t="s">
        <v>118</v>
      </c>
      <c r="V28" t="s">
        <v>120</v>
      </c>
      <c r="W28" t="s">
        <v>156</v>
      </c>
      <c r="X28">
        <v>20</v>
      </c>
      <c r="AA28">
        <v>2</v>
      </c>
      <c r="AB28" t="s">
        <v>101</v>
      </c>
      <c r="AC28" t="s">
        <v>139</v>
      </c>
      <c r="AD28" t="s">
        <v>123</v>
      </c>
      <c r="AE28" t="str">
        <f t="shared" si="0"/>
        <v>Hickerson</v>
      </c>
      <c r="AF28">
        <v>1</v>
      </c>
      <c r="AG28">
        <v>0</v>
      </c>
      <c r="AH28">
        <v>0</v>
      </c>
      <c r="AI28">
        <v>1</v>
      </c>
      <c r="AJ28">
        <v>0.5</v>
      </c>
      <c r="AK28" t="s">
        <v>123</v>
      </c>
      <c r="AL28">
        <v>0.5546875</v>
      </c>
    </row>
    <row r="29" spans="2:40" ht="15" customHeight="1" x14ac:dyDescent="0.2">
      <c r="B29">
        <v>14</v>
      </c>
      <c r="C29">
        <v>2</v>
      </c>
      <c r="D29">
        <v>1</v>
      </c>
      <c r="E29" t="s">
        <v>160</v>
      </c>
      <c r="F29" t="s">
        <v>153</v>
      </c>
      <c r="G29" s="15">
        <v>41448</v>
      </c>
      <c r="H29" t="s">
        <v>109</v>
      </c>
      <c r="I29" t="s">
        <v>110</v>
      </c>
      <c r="J29" t="s">
        <v>111</v>
      </c>
      <c r="K29">
        <v>18</v>
      </c>
      <c r="L29" t="s">
        <v>154</v>
      </c>
      <c r="M29" t="s">
        <v>155</v>
      </c>
      <c r="N29" t="s">
        <v>156</v>
      </c>
      <c r="O29">
        <v>72.2</v>
      </c>
      <c r="P29">
        <v>128</v>
      </c>
      <c r="Q29">
        <v>6772</v>
      </c>
      <c r="R29" t="s">
        <v>157</v>
      </c>
      <c r="S29" t="s">
        <v>158</v>
      </c>
      <c r="T29" t="s">
        <v>124</v>
      </c>
      <c r="U29" t="s">
        <v>122</v>
      </c>
      <c r="V29" t="s">
        <v>123</v>
      </c>
      <c r="W29" t="s">
        <v>156</v>
      </c>
      <c r="X29">
        <v>20</v>
      </c>
      <c r="AA29">
        <v>2</v>
      </c>
      <c r="AB29" t="s">
        <v>101</v>
      </c>
      <c r="AC29" t="s">
        <v>139</v>
      </c>
      <c r="AD29" t="s">
        <v>120</v>
      </c>
      <c r="AE29" t="str">
        <f t="shared" si="0"/>
        <v>Lynch</v>
      </c>
      <c r="AF29">
        <v>1</v>
      </c>
      <c r="AG29">
        <v>0</v>
      </c>
      <c r="AH29">
        <v>0</v>
      </c>
      <c r="AI29">
        <v>1</v>
      </c>
      <c r="AJ29">
        <v>0.5</v>
      </c>
      <c r="AK29" t="s">
        <v>120</v>
      </c>
      <c r="AL29">
        <v>0.35714285714285698</v>
      </c>
    </row>
    <row r="30" spans="2:40" ht="15" customHeight="1" x14ac:dyDescent="0.2">
      <c r="B30">
        <v>15</v>
      </c>
      <c r="C30">
        <v>3</v>
      </c>
      <c r="D30">
        <v>1</v>
      </c>
      <c r="E30" t="s">
        <v>161</v>
      </c>
      <c r="F30" t="s">
        <v>153</v>
      </c>
      <c r="G30" s="15">
        <v>41448</v>
      </c>
      <c r="H30" t="s">
        <v>109</v>
      </c>
      <c r="I30" t="s">
        <v>110</v>
      </c>
      <c r="J30" t="s">
        <v>111</v>
      </c>
      <c r="K30">
        <v>18</v>
      </c>
      <c r="L30" t="s">
        <v>154</v>
      </c>
      <c r="M30" t="s">
        <v>155</v>
      </c>
      <c r="N30" t="s">
        <v>156</v>
      </c>
      <c r="O30">
        <v>72.2</v>
      </c>
      <c r="P30">
        <v>128</v>
      </c>
      <c r="Q30">
        <v>6772</v>
      </c>
      <c r="R30" t="s">
        <v>157</v>
      </c>
      <c r="S30" t="s">
        <v>158</v>
      </c>
      <c r="T30" t="s">
        <v>124</v>
      </c>
      <c r="U30" t="s">
        <v>122</v>
      </c>
      <c r="V30" t="s">
        <v>135</v>
      </c>
      <c r="W30" t="s">
        <v>156</v>
      </c>
      <c r="X30">
        <v>30</v>
      </c>
      <c r="AA30">
        <v>2</v>
      </c>
      <c r="AB30" t="s">
        <v>100</v>
      </c>
      <c r="AC30" t="s">
        <v>121</v>
      </c>
      <c r="AD30" t="s">
        <v>127</v>
      </c>
      <c r="AE30" t="str">
        <f t="shared" si="0"/>
        <v>Shively</v>
      </c>
      <c r="AF30">
        <v>0</v>
      </c>
      <c r="AG30">
        <v>0</v>
      </c>
      <c r="AH30">
        <v>1</v>
      </c>
      <c r="AI30">
        <v>0</v>
      </c>
      <c r="AJ30">
        <v>0</v>
      </c>
      <c r="AK30" t="s">
        <v>127</v>
      </c>
      <c r="AL30">
        <v>0.59523809523809501</v>
      </c>
    </row>
    <row r="31" spans="2:40" ht="15" customHeight="1" x14ac:dyDescent="0.2">
      <c r="B31">
        <v>15</v>
      </c>
      <c r="C31">
        <v>3</v>
      </c>
      <c r="D31">
        <v>1</v>
      </c>
      <c r="E31" t="s">
        <v>161</v>
      </c>
      <c r="F31" t="s">
        <v>153</v>
      </c>
      <c r="G31" s="15">
        <v>41448</v>
      </c>
      <c r="H31" t="s">
        <v>109</v>
      </c>
      <c r="I31" t="s">
        <v>110</v>
      </c>
      <c r="J31" t="s">
        <v>111</v>
      </c>
      <c r="K31">
        <v>18</v>
      </c>
      <c r="L31" t="s">
        <v>154</v>
      </c>
      <c r="M31" t="s">
        <v>155</v>
      </c>
      <c r="N31" t="s">
        <v>156</v>
      </c>
      <c r="O31">
        <v>72.2</v>
      </c>
      <c r="P31">
        <v>128</v>
      </c>
      <c r="Q31">
        <v>6772</v>
      </c>
      <c r="R31" t="s">
        <v>157</v>
      </c>
      <c r="S31" t="s">
        <v>158</v>
      </c>
      <c r="T31" t="s">
        <v>117</v>
      </c>
      <c r="U31" t="s">
        <v>118</v>
      </c>
      <c r="V31" t="s">
        <v>127</v>
      </c>
      <c r="W31" t="s">
        <v>156</v>
      </c>
      <c r="X31">
        <v>28</v>
      </c>
      <c r="AA31">
        <v>2</v>
      </c>
      <c r="AB31" t="s">
        <v>99</v>
      </c>
      <c r="AC31" t="s">
        <v>121</v>
      </c>
      <c r="AD31" t="s">
        <v>135</v>
      </c>
      <c r="AE31" t="str">
        <f t="shared" si="0"/>
        <v>Ferrin</v>
      </c>
      <c r="AF31">
        <v>2</v>
      </c>
      <c r="AG31">
        <v>1</v>
      </c>
      <c r="AH31">
        <v>0</v>
      </c>
      <c r="AI31">
        <v>0</v>
      </c>
      <c r="AJ31">
        <v>1</v>
      </c>
      <c r="AK31" t="s">
        <v>135</v>
      </c>
    </row>
    <row r="32" spans="2:40" ht="15" customHeight="1" x14ac:dyDescent="0.2">
      <c r="B32">
        <v>16</v>
      </c>
      <c r="C32">
        <v>4</v>
      </c>
      <c r="D32">
        <v>1</v>
      </c>
      <c r="E32" t="s">
        <v>162</v>
      </c>
      <c r="F32" t="s">
        <v>153</v>
      </c>
      <c r="G32" s="15">
        <v>41448</v>
      </c>
      <c r="H32" t="s">
        <v>109</v>
      </c>
      <c r="I32" t="s">
        <v>110</v>
      </c>
      <c r="J32" t="s">
        <v>111</v>
      </c>
      <c r="K32">
        <v>18</v>
      </c>
      <c r="L32" t="s">
        <v>154</v>
      </c>
      <c r="M32" t="s">
        <v>155</v>
      </c>
      <c r="N32" t="s">
        <v>156</v>
      </c>
      <c r="O32">
        <v>72.2</v>
      </c>
      <c r="P32">
        <v>128</v>
      </c>
      <c r="Q32">
        <v>6772</v>
      </c>
      <c r="R32" t="s">
        <v>157</v>
      </c>
      <c r="S32" t="s">
        <v>158</v>
      </c>
      <c r="T32" t="s">
        <v>117</v>
      </c>
      <c r="U32" t="s">
        <v>118</v>
      </c>
      <c r="V32" t="s">
        <v>132</v>
      </c>
      <c r="W32" t="s">
        <v>156</v>
      </c>
      <c r="X32">
        <v>15</v>
      </c>
      <c r="AA32">
        <v>2</v>
      </c>
      <c r="AB32" t="s">
        <v>99</v>
      </c>
      <c r="AC32" t="s">
        <v>159</v>
      </c>
      <c r="AD32" t="s">
        <v>129</v>
      </c>
      <c r="AE32" t="str">
        <f t="shared" si="0"/>
        <v>Flanders</v>
      </c>
      <c r="AF32">
        <v>2</v>
      </c>
      <c r="AG32">
        <v>1</v>
      </c>
      <c r="AH32">
        <v>0</v>
      </c>
      <c r="AI32">
        <v>0</v>
      </c>
      <c r="AJ32">
        <v>1</v>
      </c>
      <c r="AK32" t="s">
        <v>129</v>
      </c>
      <c r="AL32">
        <v>0.3</v>
      </c>
    </row>
    <row r="33" spans="2:40" ht="15" customHeight="1" x14ac:dyDescent="0.2">
      <c r="B33">
        <v>16</v>
      </c>
      <c r="C33">
        <v>4</v>
      </c>
      <c r="D33">
        <v>1</v>
      </c>
      <c r="E33" t="s">
        <v>162</v>
      </c>
      <c r="F33" t="s">
        <v>153</v>
      </c>
      <c r="G33" s="15">
        <v>41448</v>
      </c>
      <c r="H33" t="s">
        <v>109</v>
      </c>
      <c r="I33" t="s">
        <v>110</v>
      </c>
      <c r="J33" t="s">
        <v>111</v>
      </c>
      <c r="K33">
        <v>18</v>
      </c>
      <c r="L33" t="s">
        <v>154</v>
      </c>
      <c r="M33" t="s">
        <v>155</v>
      </c>
      <c r="N33" t="s">
        <v>156</v>
      </c>
      <c r="O33">
        <v>72.2</v>
      </c>
      <c r="P33">
        <v>128</v>
      </c>
      <c r="Q33">
        <v>6772</v>
      </c>
      <c r="R33" t="s">
        <v>157</v>
      </c>
      <c r="S33" t="s">
        <v>158</v>
      </c>
      <c r="T33" t="s">
        <v>124</v>
      </c>
      <c r="U33" t="s">
        <v>122</v>
      </c>
      <c r="V33" t="s">
        <v>129</v>
      </c>
      <c r="W33" t="s">
        <v>156</v>
      </c>
      <c r="X33">
        <v>15</v>
      </c>
      <c r="AA33">
        <v>2</v>
      </c>
      <c r="AB33" t="s">
        <v>100</v>
      </c>
      <c r="AC33" t="s">
        <v>159</v>
      </c>
      <c r="AD33" t="s">
        <v>132</v>
      </c>
      <c r="AE33" t="str">
        <f t="shared" si="0"/>
        <v>Macklin</v>
      </c>
      <c r="AF33">
        <v>0</v>
      </c>
      <c r="AG33">
        <v>0</v>
      </c>
      <c r="AH33">
        <v>1</v>
      </c>
      <c r="AI33">
        <v>0</v>
      </c>
      <c r="AJ33">
        <v>0</v>
      </c>
      <c r="AK33" t="s">
        <v>132</v>
      </c>
      <c r="AL33">
        <v>0.4296875</v>
      </c>
    </row>
    <row r="34" spans="2:40" ht="15" customHeight="1" x14ac:dyDescent="0.2">
      <c r="B34">
        <v>17</v>
      </c>
      <c r="C34">
        <v>5</v>
      </c>
      <c r="D34">
        <v>1</v>
      </c>
      <c r="E34" t="s">
        <v>163</v>
      </c>
      <c r="F34" t="s">
        <v>153</v>
      </c>
      <c r="G34" s="15">
        <v>41448</v>
      </c>
      <c r="H34" t="s">
        <v>109</v>
      </c>
      <c r="I34" t="s">
        <v>110</v>
      </c>
      <c r="J34" t="s">
        <v>111</v>
      </c>
      <c r="K34">
        <v>18</v>
      </c>
      <c r="L34" t="s">
        <v>154</v>
      </c>
      <c r="M34" t="s">
        <v>155</v>
      </c>
      <c r="N34" t="s">
        <v>156</v>
      </c>
      <c r="O34">
        <v>72.2</v>
      </c>
      <c r="P34">
        <v>128</v>
      </c>
      <c r="Q34">
        <v>6772</v>
      </c>
      <c r="R34" t="s">
        <v>157</v>
      </c>
      <c r="S34" t="s">
        <v>158</v>
      </c>
      <c r="T34" t="s">
        <v>124</v>
      </c>
      <c r="U34" t="s">
        <v>122</v>
      </c>
      <c r="V34" t="s">
        <v>1308</v>
      </c>
      <c r="W34" t="s">
        <v>156</v>
      </c>
      <c r="X34">
        <v>15</v>
      </c>
      <c r="AA34">
        <v>2</v>
      </c>
      <c r="AB34" t="s">
        <v>99</v>
      </c>
      <c r="AC34" t="s">
        <v>164</v>
      </c>
      <c r="AD34" t="s">
        <v>118</v>
      </c>
      <c r="AE34" t="str">
        <f t="shared" si="0"/>
        <v>Connolly</v>
      </c>
      <c r="AF34">
        <v>2</v>
      </c>
      <c r="AG34">
        <v>1</v>
      </c>
      <c r="AH34">
        <v>0</v>
      </c>
      <c r="AI34">
        <v>0</v>
      </c>
      <c r="AJ34">
        <v>1</v>
      </c>
      <c r="AK34" t="s">
        <v>118</v>
      </c>
      <c r="AL34">
        <v>0.6171875</v>
      </c>
    </row>
    <row r="35" spans="2:40" ht="15" customHeight="1" x14ac:dyDescent="0.2">
      <c r="B35">
        <v>17</v>
      </c>
      <c r="C35">
        <v>5</v>
      </c>
      <c r="D35">
        <v>1</v>
      </c>
      <c r="E35" t="s">
        <v>163</v>
      </c>
      <c r="F35" t="s">
        <v>153</v>
      </c>
      <c r="G35" s="15">
        <v>41448</v>
      </c>
      <c r="H35" t="s">
        <v>109</v>
      </c>
      <c r="I35" t="s">
        <v>110</v>
      </c>
      <c r="J35" t="s">
        <v>111</v>
      </c>
      <c r="K35">
        <v>18</v>
      </c>
      <c r="L35" t="s">
        <v>154</v>
      </c>
      <c r="M35" t="s">
        <v>155</v>
      </c>
      <c r="N35" t="s">
        <v>156</v>
      </c>
      <c r="O35">
        <v>72.2</v>
      </c>
      <c r="P35">
        <v>128</v>
      </c>
      <c r="Q35">
        <v>6772</v>
      </c>
      <c r="R35" t="s">
        <v>157</v>
      </c>
      <c r="S35" t="s">
        <v>158</v>
      </c>
      <c r="T35" t="s">
        <v>117</v>
      </c>
      <c r="U35" t="s">
        <v>118</v>
      </c>
      <c r="V35" t="s">
        <v>118</v>
      </c>
      <c r="W35" t="s">
        <v>156</v>
      </c>
      <c r="X35">
        <v>15</v>
      </c>
      <c r="AA35">
        <v>2</v>
      </c>
      <c r="AB35" t="s">
        <v>100</v>
      </c>
      <c r="AC35" t="s">
        <v>164</v>
      </c>
      <c r="AD35" t="s">
        <v>1308</v>
      </c>
      <c r="AE35" t="str">
        <f t="shared" si="0"/>
        <v>Jackson</v>
      </c>
      <c r="AF35">
        <v>0</v>
      </c>
      <c r="AG35">
        <v>0</v>
      </c>
      <c r="AH35">
        <v>1</v>
      </c>
      <c r="AI35">
        <v>0</v>
      </c>
      <c r="AJ35">
        <v>0</v>
      </c>
      <c r="AK35" t="s">
        <v>1308</v>
      </c>
      <c r="AL35">
        <v>0.59375</v>
      </c>
    </row>
    <row r="36" spans="2:40" ht="15" customHeight="1" x14ac:dyDescent="0.2">
      <c r="B36">
        <v>18</v>
      </c>
      <c r="C36">
        <v>6</v>
      </c>
      <c r="D36">
        <v>1</v>
      </c>
      <c r="E36" t="s">
        <v>165</v>
      </c>
      <c r="F36" t="s">
        <v>153</v>
      </c>
      <c r="G36" s="15">
        <v>41448</v>
      </c>
      <c r="H36" t="s">
        <v>109</v>
      </c>
      <c r="I36" t="s">
        <v>110</v>
      </c>
      <c r="J36" t="s">
        <v>111</v>
      </c>
      <c r="K36">
        <v>18</v>
      </c>
      <c r="L36" t="s">
        <v>154</v>
      </c>
      <c r="M36" t="s">
        <v>155</v>
      </c>
      <c r="N36" t="s">
        <v>156</v>
      </c>
      <c r="O36">
        <v>72.2</v>
      </c>
      <c r="P36">
        <v>128</v>
      </c>
      <c r="Q36">
        <v>6772</v>
      </c>
      <c r="R36" t="s">
        <v>157</v>
      </c>
      <c r="S36" t="s">
        <v>158</v>
      </c>
      <c r="T36" t="s">
        <v>117</v>
      </c>
      <c r="U36" t="s">
        <v>118</v>
      </c>
      <c r="V36" t="s">
        <v>119</v>
      </c>
      <c r="W36" t="s">
        <v>156</v>
      </c>
      <c r="X36">
        <v>15</v>
      </c>
      <c r="AA36">
        <v>2</v>
      </c>
      <c r="AB36" t="s">
        <v>100</v>
      </c>
      <c r="AC36" t="s">
        <v>166</v>
      </c>
      <c r="AD36" t="s">
        <v>130</v>
      </c>
      <c r="AE36" t="str">
        <f t="shared" si="0"/>
        <v>Grise</v>
      </c>
      <c r="AF36">
        <v>0</v>
      </c>
      <c r="AG36">
        <v>0</v>
      </c>
      <c r="AH36">
        <v>1</v>
      </c>
      <c r="AI36">
        <v>0</v>
      </c>
      <c r="AJ36">
        <v>0</v>
      </c>
      <c r="AK36" t="s">
        <v>130</v>
      </c>
      <c r="AL36">
        <v>0.48611111111111099</v>
      </c>
    </row>
    <row r="37" spans="2:40" ht="15" customHeight="1" x14ac:dyDescent="0.2">
      <c r="B37">
        <v>18</v>
      </c>
      <c r="C37">
        <v>6</v>
      </c>
      <c r="D37">
        <v>1</v>
      </c>
      <c r="E37" t="s">
        <v>165</v>
      </c>
      <c r="F37" t="s">
        <v>153</v>
      </c>
      <c r="G37" s="15">
        <v>41448</v>
      </c>
      <c r="H37" t="s">
        <v>109</v>
      </c>
      <c r="I37" t="s">
        <v>110</v>
      </c>
      <c r="J37" t="s">
        <v>111</v>
      </c>
      <c r="K37">
        <v>18</v>
      </c>
      <c r="L37" t="s">
        <v>154</v>
      </c>
      <c r="M37" t="s">
        <v>155</v>
      </c>
      <c r="N37" t="s">
        <v>156</v>
      </c>
      <c r="O37">
        <v>72.2</v>
      </c>
      <c r="P37">
        <v>128</v>
      </c>
      <c r="Q37">
        <v>6772</v>
      </c>
      <c r="R37" t="s">
        <v>157</v>
      </c>
      <c r="S37" t="s">
        <v>158</v>
      </c>
      <c r="T37" t="s">
        <v>124</v>
      </c>
      <c r="U37" t="s">
        <v>122</v>
      </c>
      <c r="V37" t="s">
        <v>130</v>
      </c>
      <c r="W37" t="s">
        <v>156</v>
      </c>
      <c r="X37">
        <v>10</v>
      </c>
      <c r="AA37">
        <v>2</v>
      </c>
      <c r="AB37" t="s">
        <v>99</v>
      </c>
      <c r="AC37" t="s">
        <v>166</v>
      </c>
      <c r="AD37" t="s">
        <v>119</v>
      </c>
      <c r="AE37" t="str">
        <f t="shared" si="0"/>
        <v>Poirier</v>
      </c>
      <c r="AF37">
        <v>2</v>
      </c>
      <c r="AG37">
        <v>1</v>
      </c>
      <c r="AH37">
        <v>0</v>
      </c>
      <c r="AI37">
        <v>0</v>
      </c>
      <c r="AJ37">
        <v>1</v>
      </c>
      <c r="AK37" t="s">
        <v>119</v>
      </c>
      <c r="AL37">
        <v>0.546875</v>
      </c>
    </row>
    <row r="38" spans="2:40" ht="15" customHeight="1" x14ac:dyDescent="0.2">
      <c r="B38">
        <v>1</v>
      </c>
      <c r="C38">
        <v>1</v>
      </c>
      <c r="D38">
        <v>2</v>
      </c>
      <c r="E38" t="s">
        <v>167</v>
      </c>
      <c r="F38" t="s">
        <v>108</v>
      </c>
      <c r="G38" s="15">
        <v>41797</v>
      </c>
      <c r="H38" t="s">
        <v>109</v>
      </c>
      <c r="I38" t="s">
        <v>168</v>
      </c>
      <c r="J38" t="s">
        <v>111</v>
      </c>
      <c r="K38">
        <v>9</v>
      </c>
      <c r="L38" t="s">
        <v>112</v>
      </c>
      <c r="M38" t="s">
        <v>169</v>
      </c>
      <c r="N38" t="s">
        <v>114</v>
      </c>
      <c r="O38">
        <v>71.599999999999994</v>
      </c>
      <c r="P38">
        <v>131</v>
      </c>
      <c r="Q38">
        <v>6561</v>
      </c>
      <c r="R38" t="s">
        <v>115</v>
      </c>
      <c r="S38" t="s">
        <v>116</v>
      </c>
      <c r="T38" t="s">
        <v>124</v>
      </c>
      <c r="U38" t="s">
        <v>1308</v>
      </c>
      <c r="V38" t="s">
        <v>119</v>
      </c>
      <c r="W38" t="s">
        <v>170</v>
      </c>
      <c r="X38">
        <v>2</v>
      </c>
      <c r="Y38" t="s">
        <v>118</v>
      </c>
      <c r="Z38">
        <v>0</v>
      </c>
      <c r="AA38">
        <v>1</v>
      </c>
      <c r="AB38" t="s">
        <v>99</v>
      </c>
      <c r="AC38" t="s">
        <v>171</v>
      </c>
      <c r="AE38" t="str">
        <f t="shared" si="0"/>
        <v>GriseJackson</v>
      </c>
      <c r="AF38">
        <v>1</v>
      </c>
      <c r="AG38">
        <v>1</v>
      </c>
      <c r="AH38">
        <v>0</v>
      </c>
      <c r="AI38">
        <v>0</v>
      </c>
      <c r="AJ38">
        <v>1</v>
      </c>
      <c r="AK38" t="s">
        <v>693</v>
      </c>
      <c r="AL38">
        <v>0.44827586206896602</v>
      </c>
      <c r="AM38" t="s">
        <v>172</v>
      </c>
      <c r="AN38">
        <v>0.37288135593220301</v>
      </c>
    </row>
    <row r="39" spans="2:40" ht="15" customHeight="1" x14ac:dyDescent="0.2">
      <c r="B39">
        <v>1</v>
      </c>
      <c r="C39">
        <v>1</v>
      </c>
      <c r="D39">
        <v>2</v>
      </c>
      <c r="E39" t="s">
        <v>167</v>
      </c>
      <c r="F39" t="s">
        <v>108</v>
      </c>
      <c r="G39" s="15">
        <v>41797</v>
      </c>
      <c r="H39" t="s">
        <v>109</v>
      </c>
      <c r="I39" t="s">
        <v>168</v>
      </c>
      <c r="J39" t="s">
        <v>111</v>
      </c>
      <c r="K39">
        <v>9</v>
      </c>
      <c r="L39" t="s">
        <v>112</v>
      </c>
      <c r="M39" t="s">
        <v>169</v>
      </c>
      <c r="N39" t="s">
        <v>114</v>
      </c>
      <c r="O39">
        <v>71.599999999999994</v>
      </c>
      <c r="P39">
        <v>131</v>
      </c>
      <c r="Q39">
        <v>6561</v>
      </c>
      <c r="R39" t="s">
        <v>115</v>
      </c>
      <c r="S39" t="s">
        <v>116</v>
      </c>
      <c r="T39" t="s">
        <v>124</v>
      </c>
      <c r="U39" t="s">
        <v>127</v>
      </c>
      <c r="V39" t="s">
        <v>693</v>
      </c>
      <c r="W39" t="s">
        <v>173</v>
      </c>
      <c r="X39">
        <v>0</v>
      </c>
      <c r="Y39" t="s">
        <v>172</v>
      </c>
      <c r="Z39">
        <v>22</v>
      </c>
      <c r="AA39">
        <v>1</v>
      </c>
      <c r="AB39" t="s">
        <v>100</v>
      </c>
      <c r="AC39" t="s">
        <v>171</v>
      </c>
      <c r="AE39" t="str">
        <f t="shared" si="0"/>
        <v>BussiculoFogan</v>
      </c>
      <c r="AF39">
        <v>0</v>
      </c>
      <c r="AG39">
        <v>0</v>
      </c>
      <c r="AH39">
        <v>1</v>
      </c>
      <c r="AI39">
        <v>0</v>
      </c>
      <c r="AJ39">
        <v>0</v>
      </c>
      <c r="AK39" t="s">
        <v>119</v>
      </c>
      <c r="AL39">
        <v>0.546875</v>
      </c>
      <c r="AM39" t="s">
        <v>118</v>
      </c>
      <c r="AN39">
        <v>0.6171875</v>
      </c>
    </row>
    <row r="40" spans="2:40" ht="15" customHeight="1" x14ac:dyDescent="0.2">
      <c r="B40">
        <v>2</v>
      </c>
      <c r="C40">
        <v>2</v>
      </c>
      <c r="D40">
        <v>2</v>
      </c>
      <c r="E40" t="s">
        <v>174</v>
      </c>
      <c r="F40" t="s">
        <v>108</v>
      </c>
      <c r="G40" s="15">
        <v>41797</v>
      </c>
      <c r="H40" t="s">
        <v>109</v>
      </c>
      <c r="I40" t="s">
        <v>168</v>
      </c>
      <c r="J40" t="s">
        <v>111</v>
      </c>
      <c r="K40">
        <v>9</v>
      </c>
      <c r="L40" t="s">
        <v>112</v>
      </c>
      <c r="M40" t="s">
        <v>169</v>
      </c>
      <c r="N40" t="s">
        <v>114</v>
      </c>
      <c r="O40">
        <v>71.599999999999994</v>
      </c>
      <c r="P40">
        <v>131</v>
      </c>
      <c r="Q40">
        <v>6561</v>
      </c>
      <c r="R40" t="s">
        <v>115</v>
      </c>
      <c r="S40" t="s">
        <v>116</v>
      </c>
      <c r="T40" t="s">
        <v>124</v>
      </c>
      <c r="U40" t="s">
        <v>127</v>
      </c>
      <c r="V40" t="s">
        <v>127</v>
      </c>
      <c r="W40" t="s">
        <v>173</v>
      </c>
      <c r="X40">
        <v>12</v>
      </c>
      <c r="Y40" t="s">
        <v>175</v>
      </c>
      <c r="Z40">
        <v>5</v>
      </c>
      <c r="AA40">
        <v>1</v>
      </c>
      <c r="AB40" t="s">
        <v>101</v>
      </c>
      <c r="AC40" t="s">
        <v>139</v>
      </c>
      <c r="AE40" t="str">
        <f t="shared" si="0"/>
        <v>FerrinWeisberger</v>
      </c>
      <c r="AF40">
        <v>0.5</v>
      </c>
      <c r="AG40">
        <v>0</v>
      </c>
      <c r="AH40">
        <v>0</v>
      </c>
      <c r="AI40">
        <v>1</v>
      </c>
      <c r="AJ40">
        <v>0.5</v>
      </c>
      <c r="AK40" t="s">
        <v>132</v>
      </c>
      <c r="AL40">
        <v>0.4296875</v>
      </c>
      <c r="AM40" t="s">
        <v>176</v>
      </c>
      <c r="AN40">
        <v>0.59649122807017496</v>
      </c>
    </row>
    <row r="41" spans="2:40" ht="15" customHeight="1" x14ac:dyDescent="0.2">
      <c r="B41">
        <v>2</v>
      </c>
      <c r="C41">
        <v>2</v>
      </c>
      <c r="D41">
        <v>2</v>
      </c>
      <c r="E41" t="s">
        <v>174</v>
      </c>
      <c r="F41" t="s">
        <v>108</v>
      </c>
      <c r="G41" s="15">
        <v>41797</v>
      </c>
      <c r="H41" t="s">
        <v>109</v>
      </c>
      <c r="I41" t="s">
        <v>168</v>
      </c>
      <c r="J41" t="s">
        <v>111</v>
      </c>
      <c r="K41">
        <v>9</v>
      </c>
      <c r="L41" t="s">
        <v>112</v>
      </c>
      <c r="M41" t="s">
        <v>169</v>
      </c>
      <c r="N41" t="s">
        <v>114</v>
      </c>
      <c r="O41">
        <v>71.599999999999994</v>
      </c>
      <c r="P41">
        <v>131</v>
      </c>
      <c r="Q41">
        <v>6561</v>
      </c>
      <c r="R41" t="s">
        <v>115</v>
      </c>
      <c r="S41" t="s">
        <v>116</v>
      </c>
      <c r="T41" t="s">
        <v>124</v>
      </c>
      <c r="U41" t="s">
        <v>1308</v>
      </c>
      <c r="V41" t="s">
        <v>132</v>
      </c>
      <c r="W41" t="s">
        <v>170</v>
      </c>
      <c r="X41">
        <v>5</v>
      </c>
      <c r="Y41" t="s">
        <v>176</v>
      </c>
      <c r="Z41">
        <v>21</v>
      </c>
      <c r="AA41">
        <v>1</v>
      </c>
      <c r="AB41" t="s">
        <v>101</v>
      </c>
      <c r="AC41" t="s">
        <v>139</v>
      </c>
      <c r="AE41" t="str">
        <f t="shared" si="0"/>
        <v>FlandersForster</v>
      </c>
      <c r="AF41">
        <v>0.5</v>
      </c>
      <c r="AG41">
        <v>0</v>
      </c>
      <c r="AH41">
        <v>0</v>
      </c>
      <c r="AI41">
        <v>1</v>
      </c>
      <c r="AJ41">
        <v>0.5</v>
      </c>
      <c r="AK41" t="s">
        <v>127</v>
      </c>
      <c r="AL41">
        <v>0.59523809523809501</v>
      </c>
      <c r="AM41" t="s">
        <v>175</v>
      </c>
      <c r="AN41">
        <v>0.5</v>
      </c>
    </row>
    <row r="42" spans="2:40" ht="15" customHeight="1" x14ac:dyDescent="0.2">
      <c r="B42">
        <v>3</v>
      </c>
      <c r="C42">
        <v>3</v>
      </c>
      <c r="D42">
        <v>2</v>
      </c>
      <c r="E42" t="s">
        <v>177</v>
      </c>
      <c r="F42" t="s">
        <v>108</v>
      </c>
      <c r="G42" s="15">
        <v>41797</v>
      </c>
      <c r="H42" t="s">
        <v>109</v>
      </c>
      <c r="I42" t="s">
        <v>168</v>
      </c>
      <c r="J42" t="s">
        <v>111</v>
      </c>
      <c r="K42">
        <v>9</v>
      </c>
      <c r="L42" t="s">
        <v>112</v>
      </c>
      <c r="M42" t="s">
        <v>169</v>
      </c>
      <c r="N42" t="s">
        <v>114</v>
      </c>
      <c r="O42">
        <v>71.599999999999994</v>
      </c>
      <c r="P42">
        <v>131</v>
      </c>
      <c r="Q42">
        <v>6561</v>
      </c>
      <c r="R42" t="s">
        <v>115</v>
      </c>
      <c r="S42" t="s">
        <v>116</v>
      </c>
      <c r="T42" t="s">
        <v>124</v>
      </c>
      <c r="U42" t="s">
        <v>1308</v>
      </c>
      <c r="V42" t="s">
        <v>1308</v>
      </c>
      <c r="W42" t="s">
        <v>170</v>
      </c>
      <c r="X42">
        <v>0</v>
      </c>
      <c r="Y42" t="s">
        <v>178</v>
      </c>
      <c r="Z42">
        <v>8</v>
      </c>
      <c r="AA42">
        <v>1</v>
      </c>
      <c r="AB42" t="s">
        <v>101</v>
      </c>
      <c r="AC42" t="s">
        <v>139</v>
      </c>
      <c r="AE42" t="str">
        <f t="shared" si="0"/>
        <v>ConnollyConnors</v>
      </c>
      <c r="AF42">
        <v>0.5</v>
      </c>
      <c r="AG42">
        <v>0</v>
      </c>
      <c r="AH42">
        <v>0</v>
      </c>
      <c r="AI42">
        <v>1</v>
      </c>
      <c r="AJ42">
        <v>0.5</v>
      </c>
      <c r="AK42" t="s">
        <v>179</v>
      </c>
      <c r="AL42">
        <v>0.44067796610169502</v>
      </c>
      <c r="AM42" t="s">
        <v>133</v>
      </c>
      <c r="AN42">
        <v>0.38392857142857201</v>
      </c>
    </row>
    <row r="43" spans="2:40" ht="15" customHeight="1" x14ac:dyDescent="0.2">
      <c r="B43">
        <v>3</v>
      </c>
      <c r="C43">
        <v>3</v>
      </c>
      <c r="D43">
        <v>2</v>
      </c>
      <c r="E43" t="s">
        <v>177</v>
      </c>
      <c r="F43" t="s">
        <v>108</v>
      </c>
      <c r="G43" s="15">
        <v>41797</v>
      </c>
      <c r="H43" t="s">
        <v>109</v>
      </c>
      <c r="I43" t="s">
        <v>168</v>
      </c>
      <c r="J43" t="s">
        <v>111</v>
      </c>
      <c r="K43">
        <v>9</v>
      </c>
      <c r="L43" t="s">
        <v>112</v>
      </c>
      <c r="M43" t="s">
        <v>169</v>
      </c>
      <c r="N43" t="s">
        <v>114</v>
      </c>
      <c r="O43">
        <v>71.599999999999994</v>
      </c>
      <c r="P43">
        <v>131</v>
      </c>
      <c r="Q43">
        <v>6561</v>
      </c>
      <c r="R43" t="s">
        <v>115</v>
      </c>
      <c r="S43" t="s">
        <v>116</v>
      </c>
      <c r="T43" t="s">
        <v>124</v>
      </c>
      <c r="U43" t="s">
        <v>127</v>
      </c>
      <c r="V43" t="s">
        <v>179</v>
      </c>
      <c r="W43" t="s">
        <v>173</v>
      </c>
      <c r="X43">
        <v>24</v>
      </c>
      <c r="Y43" t="s">
        <v>133</v>
      </c>
      <c r="Z43">
        <v>4</v>
      </c>
      <c r="AA43">
        <v>1</v>
      </c>
      <c r="AB43" t="s">
        <v>101</v>
      </c>
      <c r="AC43" t="s">
        <v>139</v>
      </c>
      <c r="AE43" t="str">
        <f t="shared" si="0"/>
        <v>ColeMangold</v>
      </c>
      <c r="AF43">
        <v>0.5</v>
      </c>
      <c r="AG43">
        <v>0</v>
      </c>
      <c r="AH43">
        <v>0</v>
      </c>
      <c r="AI43">
        <v>1</v>
      </c>
      <c r="AJ43">
        <v>0.5</v>
      </c>
      <c r="AK43" t="s">
        <v>1308</v>
      </c>
      <c r="AL43">
        <v>0.59375</v>
      </c>
      <c r="AM43" t="s">
        <v>178</v>
      </c>
      <c r="AN43">
        <v>0.34745762711864397</v>
      </c>
    </row>
    <row r="44" spans="2:40" ht="15" customHeight="1" x14ac:dyDescent="0.2">
      <c r="B44">
        <v>4</v>
      </c>
      <c r="C44">
        <v>4</v>
      </c>
      <c r="D44">
        <v>2</v>
      </c>
      <c r="E44" t="s">
        <v>180</v>
      </c>
      <c r="F44" t="s">
        <v>108</v>
      </c>
      <c r="G44" s="15">
        <v>41797</v>
      </c>
      <c r="H44" t="s">
        <v>109</v>
      </c>
      <c r="I44" t="s">
        <v>168</v>
      </c>
      <c r="J44" t="s">
        <v>111</v>
      </c>
      <c r="K44">
        <v>9</v>
      </c>
      <c r="L44" t="s">
        <v>112</v>
      </c>
      <c r="M44" t="s">
        <v>169</v>
      </c>
      <c r="N44" t="s">
        <v>114</v>
      </c>
      <c r="O44">
        <v>71.599999999999994</v>
      </c>
      <c r="P44">
        <v>131</v>
      </c>
      <c r="Q44">
        <v>6561</v>
      </c>
      <c r="R44" t="s">
        <v>115</v>
      </c>
      <c r="S44" t="s">
        <v>116</v>
      </c>
      <c r="T44" t="s">
        <v>124</v>
      </c>
      <c r="U44" t="s">
        <v>127</v>
      </c>
      <c r="V44" t="s">
        <v>120</v>
      </c>
      <c r="W44" t="s">
        <v>173</v>
      </c>
      <c r="X44">
        <v>8</v>
      </c>
      <c r="Y44" t="s">
        <v>135</v>
      </c>
      <c r="Z44">
        <v>11</v>
      </c>
      <c r="AA44">
        <v>1</v>
      </c>
      <c r="AB44" t="s">
        <v>100</v>
      </c>
      <c r="AC44" t="s">
        <v>181</v>
      </c>
      <c r="AE44" t="str">
        <f t="shared" si="0"/>
        <v>HickersonShively</v>
      </c>
      <c r="AF44">
        <v>0</v>
      </c>
      <c r="AG44">
        <v>0</v>
      </c>
      <c r="AH44">
        <v>1</v>
      </c>
      <c r="AI44">
        <v>0</v>
      </c>
      <c r="AJ44">
        <v>0</v>
      </c>
      <c r="AK44" t="s">
        <v>122</v>
      </c>
      <c r="AL44">
        <v>0.47321428571428598</v>
      </c>
      <c r="AM44" t="s">
        <v>123</v>
      </c>
      <c r="AN44">
        <v>0.5546875</v>
      </c>
    </row>
    <row r="45" spans="2:40" ht="15" customHeight="1" x14ac:dyDescent="0.2">
      <c r="B45">
        <v>4</v>
      </c>
      <c r="C45">
        <v>4</v>
      </c>
      <c r="D45">
        <v>2</v>
      </c>
      <c r="E45" t="s">
        <v>180</v>
      </c>
      <c r="F45" t="s">
        <v>108</v>
      </c>
      <c r="G45" s="15">
        <v>41797</v>
      </c>
      <c r="H45" t="s">
        <v>109</v>
      </c>
      <c r="I45" t="s">
        <v>168</v>
      </c>
      <c r="J45" t="s">
        <v>111</v>
      </c>
      <c r="K45">
        <v>9</v>
      </c>
      <c r="L45" t="s">
        <v>112</v>
      </c>
      <c r="M45" t="s">
        <v>169</v>
      </c>
      <c r="N45" t="s">
        <v>114</v>
      </c>
      <c r="O45">
        <v>71.599999999999994</v>
      </c>
      <c r="P45">
        <v>131</v>
      </c>
      <c r="Q45">
        <v>6561</v>
      </c>
      <c r="R45" t="s">
        <v>115</v>
      </c>
      <c r="S45" t="s">
        <v>116</v>
      </c>
      <c r="T45" t="s">
        <v>124</v>
      </c>
      <c r="U45" t="s">
        <v>1308</v>
      </c>
      <c r="V45" t="s">
        <v>122</v>
      </c>
      <c r="W45" t="s">
        <v>170</v>
      </c>
      <c r="X45">
        <v>7</v>
      </c>
      <c r="Y45" t="s">
        <v>123</v>
      </c>
      <c r="Z45">
        <v>8</v>
      </c>
      <c r="AA45">
        <v>1</v>
      </c>
      <c r="AB45" t="s">
        <v>99</v>
      </c>
      <c r="AC45" t="s">
        <v>181</v>
      </c>
      <c r="AE45" t="str">
        <f t="shared" si="0"/>
        <v>HiltsLynch</v>
      </c>
      <c r="AF45">
        <v>1</v>
      </c>
      <c r="AG45">
        <v>1</v>
      </c>
      <c r="AH45">
        <v>0</v>
      </c>
      <c r="AI45">
        <v>0</v>
      </c>
      <c r="AJ45">
        <v>1</v>
      </c>
      <c r="AK45" t="s">
        <v>120</v>
      </c>
      <c r="AL45">
        <v>0.35714285714285698</v>
      </c>
      <c r="AM45" t="s">
        <v>135</v>
      </c>
    </row>
    <row r="46" spans="2:40" ht="15" customHeight="1" x14ac:dyDescent="0.2">
      <c r="B46">
        <v>5</v>
      </c>
      <c r="C46">
        <v>1</v>
      </c>
      <c r="D46">
        <v>2</v>
      </c>
      <c r="E46" t="s">
        <v>182</v>
      </c>
      <c r="F46" t="s">
        <v>108</v>
      </c>
      <c r="G46" s="15">
        <v>41797</v>
      </c>
      <c r="H46" t="s">
        <v>109</v>
      </c>
      <c r="I46" t="s">
        <v>168</v>
      </c>
      <c r="J46" t="s">
        <v>111</v>
      </c>
      <c r="K46">
        <v>9</v>
      </c>
      <c r="L46" t="s">
        <v>137</v>
      </c>
      <c r="M46" t="s">
        <v>169</v>
      </c>
      <c r="N46" t="s">
        <v>114</v>
      </c>
      <c r="O46">
        <v>71.599999999999994</v>
      </c>
      <c r="P46">
        <v>131</v>
      </c>
      <c r="Q46">
        <v>6561</v>
      </c>
      <c r="R46" t="s">
        <v>183</v>
      </c>
      <c r="S46" t="s">
        <v>116</v>
      </c>
      <c r="T46" t="s">
        <v>124</v>
      </c>
      <c r="U46" t="s">
        <v>1308</v>
      </c>
      <c r="V46" t="s">
        <v>119</v>
      </c>
      <c r="W46" t="s">
        <v>170</v>
      </c>
      <c r="X46">
        <v>2</v>
      </c>
      <c r="Y46" t="s">
        <v>118</v>
      </c>
      <c r="Z46">
        <v>0</v>
      </c>
      <c r="AA46">
        <v>1</v>
      </c>
      <c r="AB46" t="s">
        <v>99</v>
      </c>
      <c r="AC46" t="s">
        <v>159</v>
      </c>
      <c r="AE46" t="str">
        <f t="shared" si="0"/>
        <v>GriseJackson</v>
      </c>
      <c r="AF46">
        <v>1</v>
      </c>
      <c r="AG46">
        <v>1</v>
      </c>
      <c r="AH46">
        <v>0</v>
      </c>
      <c r="AI46">
        <v>0</v>
      </c>
      <c r="AJ46">
        <v>1</v>
      </c>
      <c r="AK46" t="s">
        <v>693</v>
      </c>
      <c r="AL46">
        <v>0.44827586206896602</v>
      </c>
      <c r="AM46" t="s">
        <v>172</v>
      </c>
      <c r="AN46">
        <v>0.37288135593220301</v>
      </c>
    </row>
    <row r="47" spans="2:40" ht="15" customHeight="1" x14ac:dyDescent="0.2">
      <c r="B47">
        <v>5</v>
      </c>
      <c r="C47">
        <v>1</v>
      </c>
      <c r="D47">
        <v>2</v>
      </c>
      <c r="E47" t="s">
        <v>182</v>
      </c>
      <c r="F47" t="s">
        <v>108</v>
      </c>
      <c r="G47" s="15">
        <v>41797</v>
      </c>
      <c r="H47" t="s">
        <v>109</v>
      </c>
      <c r="I47" t="s">
        <v>168</v>
      </c>
      <c r="J47" t="s">
        <v>111</v>
      </c>
      <c r="K47">
        <v>9</v>
      </c>
      <c r="L47" t="s">
        <v>137</v>
      </c>
      <c r="M47" t="s">
        <v>169</v>
      </c>
      <c r="N47" t="s">
        <v>114</v>
      </c>
      <c r="O47">
        <v>71.599999999999994</v>
      </c>
      <c r="P47">
        <v>131</v>
      </c>
      <c r="Q47">
        <v>6561</v>
      </c>
      <c r="R47" t="s">
        <v>183</v>
      </c>
      <c r="S47" t="s">
        <v>116</v>
      </c>
      <c r="T47" t="s">
        <v>124</v>
      </c>
      <c r="U47" t="s">
        <v>127</v>
      </c>
      <c r="V47" t="s">
        <v>693</v>
      </c>
      <c r="W47" t="s">
        <v>173</v>
      </c>
      <c r="X47">
        <v>0</v>
      </c>
      <c r="Y47" t="s">
        <v>172</v>
      </c>
      <c r="Z47">
        <v>22</v>
      </c>
      <c r="AA47">
        <v>1</v>
      </c>
      <c r="AB47" t="s">
        <v>100</v>
      </c>
      <c r="AC47" t="s">
        <v>159</v>
      </c>
      <c r="AE47" t="str">
        <f t="shared" si="0"/>
        <v>BussiculoFogan</v>
      </c>
      <c r="AF47">
        <v>0</v>
      </c>
      <c r="AG47">
        <v>0</v>
      </c>
      <c r="AH47">
        <v>1</v>
      </c>
      <c r="AI47">
        <v>0</v>
      </c>
      <c r="AJ47">
        <v>0</v>
      </c>
      <c r="AK47" t="s">
        <v>119</v>
      </c>
      <c r="AL47">
        <v>0.546875</v>
      </c>
      <c r="AM47" t="s">
        <v>118</v>
      </c>
      <c r="AN47">
        <v>0.6171875</v>
      </c>
    </row>
    <row r="48" spans="2:40" ht="15" customHeight="1" x14ac:dyDescent="0.2">
      <c r="B48">
        <v>6</v>
      </c>
      <c r="C48">
        <v>2</v>
      </c>
      <c r="D48">
        <v>2</v>
      </c>
      <c r="E48" t="s">
        <v>184</v>
      </c>
      <c r="F48" t="s">
        <v>108</v>
      </c>
      <c r="G48" s="15">
        <v>41797</v>
      </c>
      <c r="H48" t="s">
        <v>109</v>
      </c>
      <c r="I48" t="s">
        <v>168</v>
      </c>
      <c r="J48" t="s">
        <v>111</v>
      </c>
      <c r="K48">
        <v>9</v>
      </c>
      <c r="L48" t="s">
        <v>137</v>
      </c>
      <c r="M48" t="s">
        <v>169</v>
      </c>
      <c r="N48" t="s">
        <v>114</v>
      </c>
      <c r="O48">
        <v>71.599999999999994</v>
      </c>
      <c r="P48">
        <v>131</v>
      </c>
      <c r="Q48">
        <v>6561</v>
      </c>
      <c r="R48" t="s">
        <v>183</v>
      </c>
      <c r="S48" t="s">
        <v>116</v>
      </c>
      <c r="T48" t="s">
        <v>124</v>
      </c>
      <c r="U48" t="s">
        <v>127</v>
      </c>
      <c r="V48" t="s">
        <v>127</v>
      </c>
      <c r="W48" t="s">
        <v>173</v>
      </c>
      <c r="X48">
        <v>12</v>
      </c>
      <c r="Y48" t="s">
        <v>175</v>
      </c>
      <c r="Z48">
        <v>5</v>
      </c>
      <c r="AA48">
        <v>1</v>
      </c>
      <c r="AB48" t="s">
        <v>100</v>
      </c>
      <c r="AC48" t="s">
        <v>159</v>
      </c>
      <c r="AE48" t="str">
        <f t="shared" si="0"/>
        <v>FerrinWeisberger</v>
      </c>
      <c r="AF48">
        <v>0</v>
      </c>
      <c r="AG48">
        <v>0</v>
      </c>
      <c r="AH48">
        <v>1</v>
      </c>
      <c r="AI48">
        <v>0</v>
      </c>
      <c r="AJ48">
        <v>0</v>
      </c>
      <c r="AK48" t="s">
        <v>132</v>
      </c>
      <c r="AL48">
        <v>0.4296875</v>
      </c>
      <c r="AM48" t="s">
        <v>176</v>
      </c>
      <c r="AN48">
        <v>0.59649122807017496</v>
      </c>
    </row>
    <row r="49" spans="2:40" ht="15" customHeight="1" x14ac:dyDescent="0.2">
      <c r="B49">
        <v>6</v>
      </c>
      <c r="C49">
        <v>2</v>
      </c>
      <c r="D49">
        <v>2</v>
      </c>
      <c r="E49" t="s">
        <v>184</v>
      </c>
      <c r="F49" t="s">
        <v>108</v>
      </c>
      <c r="G49" s="15">
        <v>41797</v>
      </c>
      <c r="H49" t="s">
        <v>109</v>
      </c>
      <c r="I49" t="s">
        <v>168</v>
      </c>
      <c r="J49" t="s">
        <v>111</v>
      </c>
      <c r="K49">
        <v>9</v>
      </c>
      <c r="L49" t="s">
        <v>137</v>
      </c>
      <c r="M49" t="s">
        <v>169</v>
      </c>
      <c r="N49" t="s">
        <v>114</v>
      </c>
      <c r="O49">
        <v>71.599999999999994</v>
      </c>
      <c r="P49">
        <v>131</v>
      </c>
      <c r="Q49">
        <v>6561</v>
      </c>
      <c r="R49" t="s">
        <v>183</v>
      </c>
      <c r="S49" t="s">
        <v>116</v>
      </c>
      <c r="T49" t="s">
        <v>124</v>
      </c>
      <c r="U49" t="s">
        <v>1308</v>
      </c>
      <c r="V49" t="s">
        <v>132</v>
      </c>
      <c r="W49" t="s">
        <v>170</v>
      </c>
      <c r="X49">
        <v>5</v>
      </c>
      <c r="Y49" t="s">
        <v>176</v>
      </c>
      <c r="Z49">
        <v>21</v>
      </c>
      <c r="AA49">
        <v>1</v>
      </c>
      <c r="AB49" t="s">
        <v>99</v>
      </c>
      <c r="AC49" t="s">
        <v>159</v>
      </c>
      <c r="AE49" t="str">
        <f t="shared" si="0"/>
        <v>FlandersForster</v>
      </c>
      <c r="AF49">
        <v>1</v>
      </c>
      <c r="AG49">
        <v>1</v>
      </c>
      <c r="AH49">
        <v>0</v>
      </c>
      <c r="AI49">
        <v>0</v>
      </c>
      <c r="AJ49">
        <v>1</v>
      </c>
      <c r="AK49" t="s">
        <v>127</v>
      </c>
      <c r="AL49">
        <v>0.59523809523809501</v>
      </c>
      <c r="AM49" t="s">
        <v>175</v>
      </c>
      <c r="AN49">
        <v>0.5</v>
      </c>
    </row>
    <row r="50" spans="2:40" ht="15" customHeight="1" x14ac:dyDescent="0.2">
      <c r="B50">
        <v>7</v>
      </c>
      <c r="C50">
        <v>3</v>
      </c>
      <c r="D50">
        <v>2</v>
      </c>
      <c r="E50" t="s">
        <v>185</v>
      </c>
      <c r="F50" t="s">
        <v>108</v>
      </c>
      <c r="G50" s="15">
        <v>41797</v>
      </c>
      <c r="H50" t="s">
        <v>109</v>
      </c>
      <c r="I50" t="s">
        <v>168</v>
      </c>
      <c r="J50" t="s">
        <v>111</v>
      </c>
      <c r="K50">
        <v>9</v>
      </c>
      <c r="L50" t="s">
        <v>137</v>
      </c>
      <c r="M50" t="s">
        <v>169</v>
      </c>
      <c r="N50" t="s">
        <v>114</v>
      </c>
      <c r="O50">
        <v>71.599999999999994</v>
      </c>
      <c r="P50">
        <v>131</v>
      </c>
      <c r="Q50">
        <v>6561</v>
      </c>
      <c r="R50" t="s">
        <v>183</v>
      </c>
      <c r="S50" t="s">
        <v>116</v>
      </c>
      <c r="T50" t="s">
        <v>124</v>
      </c>
      <c r="U50" t="s">
        <v>1308</v>
      </c>
      <c r="V50" t="s">
        <v>1308</v>
      </c>
      <c r="W50" t="s">
        <v>170</v>
      </c>
      <c r="X50">
        <v>0</v>
      </c>
      <c r="Y50" t="s">
        <v>178</v>
      </c>
      <c r="Z50">
        <v>8</v>
      </c>
      <c r="AA50">
        <v>1</v>
      </c>
      <c r="AB50" t="s">
        <v>99</v>
      </c>
      <c r="AC50" t="s">
        <v>159</v>
      </c>
      <c r="AE50" t="str">
        <f t="shared" si="0"/>
        <v>ConnollyConnors</v>
      </c>
      <c r="AF50">
        <v>1</v>
      </c>
      <c r="AG50">
        <v>1</v>
      </c>
      <c r="AH50">
        <v>0</v>
      </c>
      <c r="AI50">
        <v>0</v>
      </c>
      <c r="AJ50">
        <v>1</v>
      </c>
      <c r="AK50" t="s">
        <v>179</v>
      </c>
      <c r="AL50">
        <v>0.44067796610169502</v>
      </c>
      <c r="AM50" t="s">
        <v>133</v>
      </c>
      <c r="AN50">
        <v>0.38392857142857201</v>
      </c>
    </row>
    <row r="51" spans="2:40" ht="15" customHeight="1" x14ac:dyDescent="0.2">
      <c r="B51">
        <v>7</v>
      </c>
      <c r="C51">
        <v>3</v>
      </c>
      <c r="D51">
        <v>2</v>
      </c>
      <c r="E51" t="s">
        <v>185</v>
      </c>
      <c r="F51" t="s">
        <v>108</v>
      </c>
      <c r="G51" s="15">
        <v>41797</v>
      </c>
      <c r="H51" t="s">
        <v>109</v>
      </c>
      <c r="I51" t="s">
        <v>168</v>
      </c>
      <c r="J51" t="s">
        <v>111</v>
      </c>
      <c r="K51">
        <v>9</v>
      </c>
      <c r="L51" t="s">
        <v>137</v>
      </c>
      <c r="M51" t="s">
        <v>169</v>
      </c>
      <c r="N51" t="s">
        <v>114</v>
      </c>
      <c r="O51">
        <v>71.599999999999994</v>
      </c>
      <c r="P51">
        <v>131</v>
      </c>
      <c r="Q51">
        <v>6561</v>
      </c>
      <c r="R51" t="s">
        <v>183</v>
      </c>
      <c r="S51" t="s">
        <v>116</v>
      </c>
      <c r="T51" t="s">
        <v>124</v>
      </c>
      <c r="U51" t="s">
        <v>127</v>
      </c>
      <c r="V51" t="s">
        <v>179</v>
      </c>
      <c r="W51" t="s">
        <v>173</v>
      </c>
      <c r="X51">
        <v>24</v>
      </c>
      <c r="Y51" t="s">
        <v>133</v>
      </c>
      <c r="Z51">
        <v>4</v>
      </c>
      <c r="AA51">
        <v>1</v>
      </c>
      <c r="AB51" t="s">
        <v>100</v>
      </c>
      <c r="AC51" t="s">
        <v>159</v>
      </c>
      <c r="AE51" t="str">
        <f t="shared" si="0"/>
        <v>ColeMangold</v>
      </c>
      <c r="AF51">
        <v>0</v>
      </c>
      <c r="AG51">
        <v>0</v>
      </c>
      <c r="AH51">
        <v>1</v>
      </c>
      <c r="AI51">
        <v>0</v>
      </c>
      <c r="AJ51">
        <v>0</v>
      </c>
      <c r="AK51" t="s">
        <v>1308</v>
      </c>
      <c r="AL51">
        <v>0.59375</v>
      </c>
      <c r="AM51" t="s">
        <v>178</v>
      </c>
      <c r="AN51">
        <v>0.34745762711864397</v>
      </c>
    </row>
    <row r="52" spans="2:40" ht="15" customHeight="1" x14ac:dyDescent="0.2">
      <c r="B52">
        <v>8</v>
      </c>
      <c r="C52">
        <v>4</v>
      </c>
      <c r="D52">
        <v>2</v>
      </c>
      <c r="E52" t="s">
        <v>186</v>
      </c>
      <c r="F52" t="s">
        <v>108</v>
      </c>
      <c r="G52" s="15">
        <v>41797</v>
      </c>
      <c r="H52" t="s">
        <v>109</v>
      </c>
      <c r="I52" t="s">
        <v>168</v>
      </c>
      <c r="J52" t="s">
        <v>111</v>
      </c>
      <c r="K52">
        <v>9</v>
      </c>
      <c r="L52" t="s">
        <v>137</v>
      </c>
      <c r="M52" t="s">
        <v>169</v>
      </c>
      <c r="N52" t="s">
        <v>114</v>
      </c>
      <c r="O52">
        <v>71.599999999999994</v>
      </c>
      <c r="P52">
        <v>131</v>
      </c>
      <c r="Q52">
        <v>6561</v>
      </c>
      <c r="R52" t="s">
        <v>183</v>
      </c>
      <c r="S52" t="s">
        <v>116</v>
      </c>
      <c r="T52" t="s">
        <v>124</v>
      </c>
      <c r="U52" t="s">
        <v>127</v>
      </c>
      <c r="V52" t="s">
        <v>120</v>
      </c>
      <c r="W52" t="s">
        <v>173</v>
      </c>
      <c r="X52">
        <v>8</v>
      </c>
      <c r="Y52" t="s">
        <v>135</v>
      </c>
      <c r="Z52">
        <v>11</v>
      </c>
      <c r="AA52">
        <v>1</v>
      </c>
      <c r="AB52" t="s">
        <v>100</v>
      </c>
      <c r="AC52" t="s">
        <v>121</v>
      </c>
      <c r="AE52" t="str">
        <f t="shared" si="0"/>
        <v>HickersonShively</v>
      </c>
      <c r="AF52">
        <v>0</v>
      </c>
      <c r="AG52">
        <v>0</v>
      </c>
      <c r="AH52">
        <v>1</v>
      </c>
      <c r="AI52">
        <v>0</v>
      </c>
      <c r="AJ52">
        <v>0</v>
      </c>
      <c r="AK52" t="s">
        <v>122</v>
      </c>
      <c r="AL52">
        <v>0.47321428571428598</v>
      </c>
      <c r="AM52" t="s">
        <v>123</v>
      </c>
      <c r="AN52">
        <v>0.5546875</v>
      </c>
    </row>
    <row r="53" spans="2:40" ht="15" customHeight="1" x14ac:dyDescent="0.2">
      <c r="B53">
        <v>8</v>
      </c>
      <c r="C53">
        <v>4</v>
      </c>
      <c r="D53">
        <v>2</v>
      </c>
      <c r="E53" t="s">
        <v>186</v>
      </c>
      <c r="F53" t="s">
        <v>108</v>
      </c>
      <c r="G53" s="15">
        <v>41797</v>
      </c>
      <c r="H53" t="s">
        <v>109</v>
      </c>
      <c r="I53" t="s">
        <v>168</v>
      </c>
      <c r="J53" t="s">
        <v>111</v>
      </c>
      <c r="K53">
        <v>9</v>
      </c>
      <c r="L53" t="s">
        <v>137</v>
      </c>
      <c r="M53" t="s">
        <v>169</v>
      </c>
      <c r="N53" t="s">
        <v>114</v>
      </c>
      <c r="O53">
        <v>71.599999999999994</v>
      </c>
      <c r="P53">
        <v>131</v>
      </c>
      <c r="Q53">
        <v>6561</v>
      </c>
      <c r="R53" t="s">
        <v>183</v>
      </c>
      <c r="S53" t="s">
        <v>116</v>
      </c>
      <c r="T53" t="s">
        <v>124</v>
      </c>
      <c r="U53" t="s">
        <v>1308</v>
      </c>
      <c r="V53" t="s">
        <v>122</v>
      </c>
      <c r="W53" t="s">
        <v>170</v>
      </c>
      <c r="X53">
        <v>7</v>
      </c>
      <c r="Y53" t="s">
        <v>123</v>
      </c>
      <c r="Z53">
        <v>8</v>
      </c>
      <c r="AA53">
        <v>1</v>
      </c>
      <c r="AB53" t="s">
        <v>99</v>
      </c>
      <c r="AC53" t="s">
        <v>121</v>
      </c>
      <c r="AE53" t="str">
        <f t="shared" si="0"/>
        <v>HiltsLynch</v>
      </c>
      <c r="AF53">
        <v>1</v>
      </c>
      <c r="AG53">
        <v>1</v>
      </c>
      <c r="AH53">
        <v>0</v>
      </c>
      <c r="AI53">
        <v>0</v>
      </c>
      <c r="AJ53">
        <v>1</v>
      </c>
      <c r="AK53" t="s">
        <v>120</v>
      </c>
      <c r="AL53">
        <v>0.35714285714285698</v>
      </c>
      <c r="AM53" t="s">
        <v>135</v>
      </c>
    </row>
    <row r="54" spans="2:40" ht="15" customHeight="1" x14ac:dyDescent="0.2">
      <c r="B54">
        <v>9</v>
      </c>
      <c r="C54">
        <v>1</v>
      </c>
      <c r="D54">
        <v>2</v>
      </c>
      <c r="E54" t="s">
        <v>187</v>
      </c>
      <c r="F54" t="s">
        <v>108</v>
      </c>
      <c r="G54" s="15">
        <v>41797</v>
      </c>
      <c r="H54" t="s">
        <v>144</v>
      </c>
      <c r="I54" t="s">
        <v>168</v>
      </c>
      <c r="J54" t="s">
        <v>111</v>
      </c>
      <c r="K54">
        <v>9</v>
      </c>
      <c r="L54" t="s">
        <v>112</v>
      </c>
      <c r="M54" t="s">
        <v>188</v>
      </c>
      <c r="N54" t="s">
        <v>114</v>
      </c>
      <c r="O54">
        <v>70.599999999999994</v>
      </c>
      <c r="P54">
        <v>133</v>
      </c>
      <c r="Q54">
        <v>6328</v>
      </c>
      <c r="R54" t="s">
        <v>189</v>
      </c>
      <c r="S54" t="s">
        <v>116</v>
      </c>
      <c r="T54" t="s">
        <v>124</v>
      </c>
      <c r="U54" t="s">
        <v>1308</v>
      </c>
      <c r="V54" t="s">
        <v>176</v>
      </c>
      <c r="W54" t="s">
        <v>170</v>
      </c>
      <c r="X54">
        <v>21</v>
      </c>
      <c r="Y54" t="s">
        <v>123</v>
      </c>
      <c r="Z54">
        <v>8</v>
      </c>
      <c r="AA54">
        <v>1</v>
      </c>
      <c r="AB54" t="s">
        <v>99</v>
      </c>
      <c r="AC54" t="s">
        <v>190</v>
      </c>
      <c r="AE54" t="str">
        <f t="shared" si="0"/>
        <v>ForsterLynch</v>
      </c>
      <c r="AF54">
        <v>1</v>
      </c>
      <c r="AG54">
        <v>1</v>
      </c>
      <c r="AH54">
        <v>0</v>
      </c>
      <c r="AI54">
        <v>0</v>
      </c>
      <c r="AJ54">
        <v>1</v>
      </c>
      <c r="AK54" t="s">
        <v>179</v>
      </c>
      <c r="AL54">
        <v>0.44067796610169502</v>
      </c>
      <c r="AM54" t="s">
        <v>127</v>
      </c>
      <c r="AN54">
        <v>0.59523809523809501</v>
      </c>
    </row>
    <row r="55" spans="2:40" ht="15" customHeight="1" x14ac:dyDescent="0.2">
      <c r="B55">
        <v>9</v>
      </c>
      <c r="C55">
        <v>1</v>
      </c>
      <c r="D55">
        <v>2</v>
      </c>
      <c r="E55" t="s">
        <v>187</v>
      </c>
      <c r="F55" t="s">
        <v>108</v>
      </c>
      <c r="G55" s="15">
        <v>41797</v>
      </c>
      <c r="H55" t="s">
        <v>144</v>
      </c>
      <c r="I55" t="s">
        <v>168</v>
      </c>
      <c r="J55" t="s">
        <v>111</v>
      </c>
      <c r="K55">
        <v>9</v>
      </c>
      <c r="L55" t="s">
        <v>112</v>
      </c>
      <c r="M55" t="s">
        <v>188</v>
      </c>
      <c r="N55" t="s">
        <v>114</v>
      </c>
      <c r="O55">
        <v>70.599999999999994</v>
      </c>
      <c r="P55">
        <v>133</v>
      </c>
      <c r="Q55">
        <v>6328</v>
      </c>
      <c r="R55" t="s">
        <v>189</v>
      </c>
      <c r="S55" t="s">
        <v>116</v>
      </c>
      <c r="T55" t="s">
        <v>124</v>
      </c>
      <c r="U55" t="s">
        <v>127</v>
      </c>
      <c r="V55" t="s">
        <v>179</v>
      </c>
      <c r="W55" t="s">
        <v>173</v>
      </c>
      <c r="X55">
        <v>24</v>
      </c>
      <c r="Y55" t="s">
        <v>127</v>
      </c>
      <c r="Z55">
        <v>12</v>
      </c>
      <c r="AA55">
        <v>1</v>
      </c>
      <c r="AB55" t="s">
        <v>100</v>
      </c>
      <c r="AC55" t="s">
        <v>190</v>
      </c>
      <c r="AE55" t="str">
        <f t="shared" si="0"/>
        <v>ColeFerrin</v>
      </c>
      <c r="AF55">
        <v>0</v>
      </c>
      <c r="AG55">
        <v>0</v>
      </c>
      <c r="AH55">
        <v>1</v>
      </c>
      <c r="AI55">
        <v>0</v>
      </c>
      <c r="AJ55">
        <v>0</v>
      </c>
      <c r="AK55" t="s">
        <v>176</v>
      </c>
      <c r="AL55">
        <v>0.59649122807017496</v>
      </c>
      <c r="AM55" t="s">
        <v>123</v>
      </c>
      <c r="AN55">
        <v>0.5546875</v>
      </c>
    </row>
    <row r="56" spans="2:40" ht="15" customHeight="1" x14ac:dyDescent="0.2">
      <c r="B56">
        <v>10</v>
      </c>
      <c r="C56">
        <v>2</v>
      </c>
      <c r="D56">
        <v>2</v>
      </c>
      <c r="E56" t="s">
        <v>191</v>
      </c>
      <c r="F56" t="s">
        <v>108</v>
      </c>
      <c r="G56" s="15">
        <v>41797</v>
      </c>
      <c r="H56" t="s">
        <v>144</v>
      </c>
      <c r="I56" t="s">
        <v>168</v>
      </c>
      <c r="J56" t="s">
        <v>111</v>
      </c>
      <c r="K56">
        <v>9</v>
      </c>
      <c r="L56" t="s">
        <v>112</v>
      </c>
      <c r="M56" t="s">
        <v>188</v>
      </c>
      <c r="N56" t="s">
        <v>114</v>
      </c>
      <c r="O56">
        <v>70.599999999999994</v>
      </c>
      <c r="P56">
        <v>133</v>
      </c>
      <c r="Q56">
        <v>6328</v>
      </c>
      <c r="R56" t="s">
        <v>189</v>
      </c>
      <c r="S56" t="s">
        <v>116</v>
      </c>
      <c r="T56" t="s">
        <v>124</v>
      </c>
      <c r="U56" t="s">
        <v>127</v>
      </c>
      <c r="V56" t="s">
        <v>172</v>
      </c>
      <c r="W56" t="s">
        <v>173</v>
      </c>
      <c r="X56">
        <v>22</v>
      </c>
      <c r="Y56" t="s">
        <v>175</v>
      </c>
      <c r="Z56">
        <v>5</v>
      </c>
      <c r="AA56">
        <v>1</v>
      </c>
      <c r="AB56" t="s">
        <v>100</v>
      </c>
      <c r="AC56" t="s">
        <v>192</v>
      </c>
      <c r="AE56" t="str">
        <f t="shared" si="0"/>
        <v>FoganWeisberger</v>
      </c>
      <c r="AF56">
        <v>0</v>
      </c>
      <c r="AG56">
        <v>0</v>
      </c>
      <c r="AH56">
        <v>1</v>
      </c>
      <c r="AI56">
        <v>0</v>
      </c>
      <c r="AJ56">
        <v>0</v>
      </c>
      <c r="AK56" t="s">
        <v>1308</v>
      </c>
      <c r="AL56">
        <v>0.59375</v>
      </c>
      <c r="AM56" t="s">
        <v>118</v>
      </c>
      <c r="AN56">
        <v>0.6171875</v>
      </c>
    </row>
    <row r="57" spans="2:40" ht="15" customHeight="1" x14ac:dyDescent="0.2">
      <c r="B57">
        <v>10</v>
      </c>
      <c r="C57">
        <v>2</v>
      </c>
      <c r="D57">
        <v>2</v>
      </c>
      <c r="E57" t="s">
        <v>191</v>
      </c>
      <c r="F57" t="s">
        <v>108</v>
      </c>
      <c r="G57" s="15">
        <v>41797</v>
      </c>
      <c r="H57" t="s">
        <v>144</v>
      </c>
      <c r="I57" t="s">
        <v>168</v>
      </c>
      <c r="J57" t="s">
        <v>111</v>
      </c>
      <c r="K57">
        <v>9</v>
      </c>
      <c r="L57" t="s">
        <v>112</v>
      </c>
      <c r="M57" t="s">
        <v>188</v>
      </c>
      <c r="N57" t="s">
        <v>114</v>
      </c>
      <c r="O57">
        <v>70.599999999999994</v>
      </c>
      <c r="P57">
        <v>133</v>
      </c>
      <c r="Q57">
        <v>6328</v>
      </c>
      <c r="R57" t="s">
        <v>189</v>
      </c>
      <c r="S57" t="s">
        <v>116</v>
      </c>
      <c r="T57" t="s">
        <v>124</v>
      </c>
      <c r="U57" t="s">
        <v>1308</v>
      </c>
      <c r="V57" t="s">
        <v>1308</v>
      </c>
      <c r="W57" t="s">
        <v>170</v>
      </c>
      <c r="X57">
        <v>0</v>
      </c>
      <c r="Y57" t="s">
        <v>118</v>
      </c>
      <c r="Z57">
        <v>0</v>
      </c>
      <c r="AA57">
        <v>1</v>
      </c>
      <c r="AB57" t="s">
        <v>99</v>
      </c>
      <c r="AC57" t="s">
        <v>192</v>
      </c>
      <c r="AE57" t="str">
        <f t="shared" si="0"/>
        <v>ConnollyJackson</v>
      </c>
      <c r="AF57">
        <v>1</v>
      </c>
      <c r="AG57">
        <v>1</v>
      </c>
      <c r="AH57">
        <v>0</v>
      </c>
      <c r="AI57">
        <v>0</v>
      </c>
      <c r="AJ57">
        <v>1</v>
      </c>
      <c r="AK57" t="s">
        <v>172</v>
      </c>
      <c r="AL57">
        <v>0.37288135593220301</v>
      </c>
      <c r="AM57" t="s">
        <v>175</v>
      </c>
      <c r="AN57">
        <v>0.5</v>
      </c>
    </row>
    <row r="58" spans="2:40" ht="15" customHeight="1" x14ac:dyDescent="0.2">
      <c r="B58">
        <v>11</v>
      </c>
      <c r="C58">
        <v>3</v>
      </c>
      <c r="D58">
        <v>2</v>
      </c>
      <c r="E58" t="s">
        <v>193</v>
      </c>
      <c r="F58" t="s">
        <v>108</v>
      </c>
      <c r="G58" s="15">
        <v>41797</v>
      </c>
      <c r="H58" t="s">
        <v>144</v>
      </c>
      <c r="I58" t="s">
        <v>168</v>
      </c>
      <c r="J58" t="s">
        <v>111</v>
      </c>
      <c r="K58">
        <v>9</v>
      </c>
      <c r="L58" t="s">
        <v>112</v>
      </c>
      <c r="M58" t="s">
        <v>188</v>
      </c>
      <c r="N58" t="s">
        <v>114</v>
      </c>
      <c r="O58">
        <v>70.599999999999994</v>
      </c>
      <c r="P58">
        <v>133</v>
      </c>
      <c r="Q58">
        <v>6328</v>
      </c>
      <c r="R58" t="s">
        <v>189</v>
      </c>
      <c r="S58" t="s">
        <v>116</v>
      </c>
      <c r="T58" t="s">
        <v>124</v>
      </c>
      <c r="U58" t="s">
        <v>1308</v>
      </c>
      <c r="V58" t="s">
        <v>132</v>
      </c>
      <c r="W58" t="s">
        <v>170</v>
      </c>
      <c r="X58">
        <v>5</v>
      </c>
      <c r="Y58" t="s">
        <v>122</v>
      </c>
      <c r="Z58">
        <v>7</v>
      </c>
      <c r="AA58">
        <v>1</v>
      </c>
      <c r="AB58" t="s">
        <v>100</v>
      </c>
      <c r="AC58" t="s">
        <v>142</v>
      </c>
      <c r="AE58" t="str">
        <f t="shared" si="0"/>
        <v>FlandersHilts</v>
      </c>
      <c r="AF58">
        <v>0</v>
      </c>
      <c r="AG58">
        <v>0</v>
      </c>
      <c r="AH58">
        <v>1</v>
      </c>
      <c r="AI58">
        <v>0</v>
      </c>
      <c r="AJ58">
        <v>0</v>
      </c>
      <c r="AK58" t="s">
        <v>693</v>
      </c>
      <c r="AL58">
        <v>0.44827586206896602</v>
      </c>
      <c r="AM58" t="s">
        <v>120</v>
      </c>
      <c r="AN58">
        <v>0.35714285714285698</v>
      </c>
    </row>
    <row r="59" spans="2:40" ht="15" customHeight="1" x14ac:dyDescent="0.2">
      <c r="B59">
        <v>11</v>
      </c>
      <c r="C59">
        <v>3</v>
      </c>
      <c r="D59">
        <v>2</v>
      </c>
      <c r="E59" t="s">
        <v>193</v>
      </c>
      <c r="F59" t="s">
        <v>108</v>
      </c>
      <c r="G59" s="15">
        <v>41797</v>
      </c>
      <c r="H59" t="s">
        <v>144</v>
      </c>
      <c r="I59" t="s">
        <v>168</v>
      </c>
      <c r="J59" t="s">
        <v>111</v>
      </c>
      <c r="K59">
        <v>9</v>
      </c>
      <c r="L59" t="s">
        <v>112</v>
      </c>
      <c r="M59" t="s">
        <v>188</v>
      </c>
      <c r="N59" t="s">
        <v>114</v>
      </c>
      <c r="O59">
        <v>70.599999999999994</v>
      </c>
      <c r="P59">
        <v>133</v>
      </c>
      <c r="Q59">
        <v>6328</v>
      </c>
      <c r="R59" t="s">
        <v>189</v>
      </c>
      <c r="S59" t="s">
        <v>116</v>
      </c>
      <c r="T59" t="s">
        <v>124</v>
      </c>
      <c r="U59" t="s">
        <v>127</v>
      </c>
      <c r="V59" t="s">
        <v>693</v>
      </c>
      <c r="W59" t="s">
        <v>173</v>
      </c>
      <c r="X59">
        <v>0</v>
      </c>
      <c r="Y59" t="s">
        <v>120</v>
      </c>
      <c r="Z59">
        <v>8</v>
      </c>
      <c r="AA59">
        <v>1</v>
      </c>
      <c r="AB59" t="s">
        <v>99</v>
      </c>
      <c r="AC59" t="s">
        <v>142</v>
      </c>
      <c r="AE59" t="str">
        <f t="shared" si="0"/>
        <v>BussiculoHickerson</v>
      </c>
      <c r="AF59">
        <v>1</v>
      </c>
      <c r="AG59">
        <v>1</v>
      </c>
      <c r="AH59">
        <v>0</v>
      </c>
      <c r="AI59">
        <v>0</v>
      </c>
      <c r="AJ59">
        <v>1</v>
      </c>
      <c r="AK59" t="s">
        <v>132</v>
      </c>
      <c r="AL59">
        <v>0.4296875</v>
      </c>
      <c r="AM59" t="s">
        <v>122</v>
      </c>
      <c r="AN59">
        <v>0.47321428571428598</v>
      </c>
    </row>
    <row r="60" spans="2:40" ht="15" customHeight="1" x14ac:dyDescent="0.2">
      <c r="B60">
        <v>12</v>
      </c>
      <c r="C60">
        <v>4</v>
      </c>
      <c r="D60">
        <v>2</v>
      </c>
      <c r="E60" t="s">
        <v>194</v>
      </c>
      <c r="F60" t="s">
        <v>108</v>
      </c>
      <c r="G60" s="15">
        <v>41797</v>
      </c>
      <c r="H60" t="s">
        <v>144</v>
      </c>
      <c r="I60" t="s">
        <v>168</v>
      </c>
      <c r="J60" t="s">
        <v>111</v>
      </c>
      <c r="K60">
        <v>9</v>
      </c>
      <c r="L60" t="s">
        <v>112</v>
      </c>
      <c r="M60" t="s">
        <v>188</v>
      </c>
      <c r="N60" t="s">
        <v>114</v>
      </c>
      <c r="O60">
        <v>70.599999999999994</v>
      </c>
      <c r="P60">
        <v>133</v>
      </c>
      <c r="Q60">
        <v>6328</v>
      </c>
      <c r="R60" t="s">
        <v>189</v>
      </c>
      <c r="S60" t="s">
        <v>116</v>
      </c>
      <c r="T60" t="s">
        <v>124</v>
      </c>
      <c r="U60" t="s">
        <v>127</v>
      </c>
      <c r="V60" t="s">
        <v>133</v>
      </c>
      <c r="W60" t="s">
        <v>173</v>
      </c>
      <c r="X60">
        <v>4</v>
      </c>
      <c r="Y60" t="s">
        <v>135</v>
      </c>
      <c r="Z60">
        <v>11</v>
      </c>
      <c r="AA60">
        <v>1</v>
      </c>
      <c r="AB60" t="s">
        <v>99</v>
      </c>
      <c r="AC60" t="s">
        <v>195</v>
      </c>
      <c r="AE60" t="str">
        <f t="shared" si="0"/>
        <v>MangoldShively</v>
      </c>
      <c r="AF60">
        <v>1</v>
      </c>
      <c r="AG60">
        <v>1</v>
      </c>
      <c r="AH60">
        <v>0</v>
      </c>
      <c r="AI60">
        <v>0</v>
      </c>
      <c r="AJ60">
        <v>1</v>
      </c>
      <c r="AK60" t="s">
        <v>178</v>
      </c>
      <c r="AL60">
        <v>0.34745762711864397</v>
      </c>
      <c r="AM60" t="s">
        <v>119</v>
      </c>
      <c r="AN60">
        <v>0.546875</v>
      </c>
    </row>
    <row r="61" spans="2:40" ht="15" customHeight="1" x14ac:dyDescent="0.2">
      <c r="B61">
        <v>12</v>
      </c>
      <c r="C61">
        <v>4</v>
      </c>
      <c r="D61">
        <v>2</v>
      </c>
      <c r="E61" t="s">
        <v>194</v>
      </c>
      <c r="F61" t="s">
        <v>108</v>
      </c>
      <c r="G61" s="15">
        <v>41797</v>
      </c>
      <c r="H61" t="s">
        <v>144</v>
      </c>
      <c r="I61" t="s">
        <v>168</v>
      </c>
      <c r="J61" t="s">
        <v>111</v>
      </c>
      <c r="K61">
        <v>9</v>
      </c>
      <c r="L61" t="s">
        <v>112</v>
      </c>
      <c r="M61" t="s">
        <v>188</v>
      </c>
      <c r="N61" t="s">
        <v>114</v>
      </c>
      <c r="O61">
        <v>70.599999999999994</v>
      </c>
      <c r="P61">
        <v>133</v>
      </c>
      <c r="Q61">
        <v>6328</v>
      </c>
      <c r="R61" t="s">
        <v>189</v>
      </c>
      <c r="S61" t="s">
        <v>116</v>
      </c>
      <c r="T61" t="s">
        <v>124</v>
      </c>
      <c r="U61" t="s">
        <v>1308</v>
      </c>
      <c r="V61" t="s">
        <v>178</v>
      </c>
      <c r="W61" t="s">
        <v>170</v>
      </c>
      <c r="X61">
        <v>8</v>
      </c>
      <c r="Y61" t="s">
        <v>119</v>
      </c>
      <c r="Z61">
        <v>2</v>
      </c>
      <c r="AA61">
        <v>1</v>
      </c>
      <c r="AB61" t="s">
        <v>100</v>
      </c>
      <c r="AC61" t="s">
        <v>195</v>
      </c>
      <c r="AE61" t="str">
        <f t="shared" si="0"/>
        <v>ConnorsGrise</v>
      </c>
      <c r="AF61">
        <v>0</v>
      </c>
      <c r="AG61">
        <v>0</v>
      </c>
      <c r="AH61">
        <v>1</v>
      </c>
      <c r="AI61">
        <v>0</v>
      </c>
      <c r="AJ61">
        <v>0</v>
      </c>
      <c r="AK61" t="s">
        <v>133</v>
      </c>
      <c r="AL61">
        <v>0.38392857142857201</v>
      </c>
      <c r="AM61" t="s">
        <v>135</v>
      </c>
    </row>
    <row r="62" spans="2:40" ht="15" customHeight="1" x14ac:dyDescent="0.2">
      <c r="B62">
        <v>13</v>
      </c>
      <c r="C62">
        <v>1</v>
      </c>
      <c r="D62">
        <v>2</v>
      </c>
      <c r="E62" t="s">
        <v>196</v>
      </c>
      <c r="F62" t="s">
        <v>108</v>
      </c>
      <c r="G62" s="15">
        <v>41797</v>
      </c>
      <c r="H62" t="s">
        <v>144</v>
      </c>
      <c r="I62" t="s">
        <v>168</v>
      </c>
      <c r="J62" t="s">
        <v>111</v>
      </c>
      <c r="K62">
        <v>9</v>
      </c>
      <c r="L62" t="s">
        <v>137</v>
      </c>
      <c r="M62" t="s">
        <v>188</v>
      </c>
      <c r="N62" t="s">
        <v>114</v>
      </c>
      <c r="O62">
        <v>70.599999999999994</v>
      </c>
      <c r="P62">
        <v>133</v>
      </c>
      <c r="Q62">
        <v>6328</v>
      </c>
      <c r="R62" t="s">
        <v>197</v>
      </c>
      <c r="S62" t="s">
        <v>116</v>
      </c>
      <c r="T62" t="s">
        <v>124</v>
      </c>
      <c r="U62" t="s">
        <v>1308</v>
      </c>
      <c r="V62" t="s">
        <v>176</v>
      </c>
      <c r="W62" t="s">
        <v>170</v>
      </c>
      <c r="X62">
        <v>21</v>
      </c>
      <c r="Y62" t="s">
        <v>123</v>
      </c>
      <c r="Z62">
        <v>8</v>
      </c>
      <c r="AA62">
        <v>1</v>
      </c>
      <c r="AB62" t="s">
        <v>99</v>
      </c>
      <c r="AC62" t="s">
        <v>198</v>
      </c>
      <c r="AE62" t="str">
        <f t="shared" si="0"/>
        <v>ForsterLynch</v>
      </c>
      <c r="AF62">
        <v>1</v>
      </c>
      <c r="AG62">
        <v>1</v>
      </c>
      <c r="AH62">
        <v>0</v>
      </c>
      <c r="AI62">
        <v>0</v>
      </c>
      <c r="AJ62">
        <v>1</v>
      </c>
      <c r="AK62" t="s">
        <v>179</v>
      </c>
      <c r="AL62">
        <v>0.44067796610169502</v>
      </c>
      <c r="AM62" t="s">
        <v>127</v>
      </c>
      <c r="AN62">
        <v>0.59523809523809501</v>
      </c>
    </row>
    <row r="63" spans="2:40" ht="15" customHeight="1" x14ac:dyDescent="0.2">
      <c r="B63">
        <v>13</v>
      </c>
      <c r="C63">
        <v>1</v>
      </c>
      <c r="D63">
        <v>2</v>
      </c>
      <c r="E63" t="s">
        <v>196</v>
      </c>
      <c r="F63" t="s">
        <v>108</v>
      </c>
      <c r="G63" s="15">
        <v>41797</v>
      </c>
      <c r="H63" t="s">
        <v>144</v>
      </c>
      <c r="I63" t="s">
        <v>168</v>
      </c>
      <c r="J63" t="s">
        <v>111</v>
      </c>
      <c r="K63">
        <v>9</v>
      </c>
      <c r="L63" t="s">
        <v>137</v>
      </c>
      <c r="M63" t="s">
        <v>188</v>
      </c>
      <c r="N63" t="s">
        <v>114</v>
      </c>
      <c r="O63">
        <v>70.599999999999994</v>
      </c>
      <c r="P63">
        <v>133</v>
      </c>
      <c r="Q63">
        <v>6328</v>
      </c>
      <c r="R63" t="s">
        <v>197</v>
      </c>
      <c r="S63" t="s">
        <v>116</v>
      </c>
      <c r="T63" t="s">
        <v>124</v>
      </c>
      <c r="U63" t="s">
        <v>127</v>
      </c>
      <c r="V63" t="s">
        <v>179</v>
      </c>
      <c r="W63" t="s">
        <v>173</v>
      </c>
      <c r="X63">
        <v>24</v>
      </c>
      <c r="Y63" t="s">
        <v>127</v>
      </c>
      <c r="Z63">
        <v>12</v>
      </c>
      <c r="AA63">
        <v>1</v>
      </c>
      <c r="AB63" t="s">
        <v>100</v>
      </c>
      <c r="AC63" t="s">
        <v>198</v>
      </c>
      <c r="AE63" t="str">
        <f t="shared" si="0"/>
        <v>ColeFerrin</v>
      </c>
      <c r="AF63">
        <v>0</v>
      </c>
      <c r="AG63">
        <v>0</v>
      </c>
      <c r="AH63">
        <v>1</v>
      </c>
      <c r="AI63">
        <v>0</v>
      </c>
      <c r="AJ63">
        <v>0</v>
      </c>
      <c r="AK63" t="s">
        <v>176</v>
      </c>
      <c r="AL63">
        <v>0.59649122807017496</v>
      </c>
      <c r="AM63" t="s">
        <v>123</v>
      </c>
      <c r="AN63">
        <v>0.5546875</v>
      </c>
    </row>
    <row r="64" spans="2:40" ht="15" customHeight="1" x14ac:dyDescent="0.2">
      <c r="B64">
        <v>14</v>
      </c>
      <c r="C64">
        <v>2</v>
      </c>
      <c r="D64">
        <v>2</v>
      </c>
      <c r="E64" t="s">
        <v>199</v>
      </c>
      <c r="F64" t="s">
        <v>108</v>
      </c>
      <c r="G64" s="15">
        <v>41797</v>
      </c>
      <c r="H64" t="s">
        <v>144</v>
      </c>
      <c r="I64" t="s">
        <v>168</v>
      </c>
      <c r="J64" t="s">
        <v>111</v>
      </c>
      <c r="K64">
        <v>9</v>
      </c>
      <c r="L64" t="s">
        <v>137</v>
      </c>
      <c r="M64" t="s">
        <v>188</v>
      </c>
      <c r="N64" t="s">
        <v>114</v>
      </c>
      <c r="O64">
        <v>70.599999999999994</v>
      </c>
      <c r="P64">
        <v>133</v>
      </c>
      <c r="Q64">
        <v>6328</v>
      </c>
      <c r="R64" t="s">
        <v>197</v>
      </c>
      <c r="S64" t="s">
        <v>116</v>
      </c>
      <c r="T64" t="s">
        <v>124</v>
      </c>
      <c r="U64" t="s">
        <v>127</v>
      </c>
      <c r="V64" t="s">
        <v>172</v>
      </c>
      <c r="W64" t="s">
        <v>173</v>
      </c>
      <c r="X64">
        <v>22</v>
      </c>
      <c r="Y64" t="s">
        <v>175</v>
      </c>
      <c r="Z64">
        <v>5</v>
      </c>
      <c r="AA64">
        <v>1</v>
      </c>
      <c r="AB64" t="s">
        <v>100</v>
      </c>
      <c r="AC64" t="s">
        <v>200</v>
      </c>
      <c r="AE64" t="str">
        <f t="shared" si="0"/>
        <v>FoganWeisberger</v>
      </c>
      <c r="AF64">
        <v>0</v>
      </c>
      <c r="AG64">
        <v>0</v>
      </c>
      <c r="AH64">
        <v>1</v>
      </c>
      <c r="AI64">
        <v>0</v>
      </c>
      <c r="AJ64">
        <v>0</v>
      </c>
      <c r="AK64" t="s">
        <v>1308</v>
      </c>
      <c r="AL64">
        <v>0.59375</v>
      </c>
      <c r="AM64" t="s">
        <v>118</v>
      </c>
      <c r="AN64">
        <v>0.6171875</v>
      </c>
    </row>
    <row r="65" spans="2:40" ht="15" customHeight="1" x14ac:dyDescent="0.2">
      <c r="B65">
        <v>14</v>
      </c>
      <c r="C65">
        <v>2</v>
      </c>
      <c r="D65">
        <v>2</v>
      </c>
      <c r="E65" t="s">
        <v>199</v>
      </c>
      <c r="F65" t="s">
        <v>108</v>
      </c>
      <c r="G65" s="15">
        <v>41797</v>
      </c>
      <c r="H65" t="s">
        <v>144</v>
      </c>
      <c r="I65" t="s">
        <v>168</v>
      </c>
      <c r="J65" t="s">
        <v>111</v>
      </c>
      <c r="K65">
        <v>9</v>
      </c>
      <c r="L65" t="s">
        <v>137</v>
      </c>
      <c r="M65" t="s">
        <v>188</v>
      </c>
      <c r="N65" t="s">
        <v>114</v>
      </c>
      <c r="O65">
        <v>70.599999999999994</v>
      </c>
      <c r="P65">
        <v>133</v>
      </c>
      <c r="Q65">
        <v>6328</v>
      </c>
      <c r="R65" t="s">
        <v>197</v>
      </c>
      <c r="S65" t="s">
        <v>116</v>
      </c>
      <c r="T65" t="s">
        <v>124</v>
      </c>
      <c r="U65" t="s">
        <v>1308</v>
      </c>
      <c r="V65" t="s">
        <v>1308</v>
      </c>
      <c r="W65" t="s">
        <v>170</v>
      </c>
      <c r="X65">
        <v>0</v>
      </c>
      <c r="Y65" t="s">
        <v>118</v>
      </c>
      <c r="Z65">
        <v>0</v>
      </c>
      <c r="AA65">
        <v>1</v>
      </c>
      <c r="AB65" t="s">
        <v>99</v>
      </c>
      <c r="AC65" t="s">
        <v>200</v>
      </c>
      <c r="AE65" t="str">
        <f t="shared" si="0"/>
        <v>ConnollyJackson</v>
      </c>
      <c r="AF65">
        <v>1</v>
      </c>
      <c r="AG65">
        <v>1</v>
      </c>
      <c r="AH65">
        <v>0</v>
      </c>
      <c r="AI65">
        <v>0</v>
      </c>
      <c r="AJ65">
        <v>1</v>
      </c>
      <c r="AK65" t="s">
        <v>172</v>
      </c>
      <c r="AL65">
        <v>0.37288135593220301</v>
      </c>
      <c r="AM65" t="s">
        <v>175</v>
      </c>
      <c r="AN65">
        <v>0.5</v>
      </c>
    </row>
    <row r="66" spans="2:40" ht="15" customHeight="1" x14ac:dyDescent="0.2">
      <c r="B66">
        <v>15</v>
      </c>
      <c r="C66">
        <v>3</v>
      </c>
      <c r="D66">
        <v>2</v>
      </c>
      <c r="E66" t="s">
        <v>201</v>
      </c>
      <c r="F66" t="s">
        <v>108</v>
      </c>
      <c r="G66" s="15">
        <v>41797</v>
      </c>
      <c r="H66" t="s">
        <v>144</v>
      </c>
      <c r="I66" t="s">
        <v>168</v>
      </c>
      <c r="J66" t="s">
        <v>111</v>
      </c>
      <c r="K66">
        <v>9</v>
      </c>
      <c r="L66" t="s">
        <v>137</v>
      </c>
      <c r="M66" t="s">
        <v>188</v>
      </c>
      <c r="N66" t="s">
        <v>114</v>
      </c>
      <c r="O66">
        <v>70.599999999999994</v>
      </c>
      <c r="P66">
        <v>133</v>
      </c>
      <c r="Q66">
        <v>6328</v>
      </c>
      <c r="R66" t="s">
        <v>197</v>
      </c>
      <c r="S66" t="s">
        <v>116</v>
      </c>
      <c r="T66" t="s">
        <v>124</v>
      </c>
      <c r="U66" t="s">
        <v>1308</v>
      </c>
      <c r="V66" t="s">
        <v>132</v>
      </c>
      <c r="W66" t="s">
        <v>170</v>
      </c>
      <c r="X66">
        <v>5</v>
      </c>
      <c r="Y66" t="s">
        <v>122</v>
      </c>
      <c r="Z66">
        <v>7</v>
      </c>
      <c r="AA66">
        <v>1</v>
      </c>
      <c r="AB66" t="s">
        <v>100</v>
      </c>
      <c r="AC66" t="s">
        <v>202</v>
      </c>
      <c r="AE66" t="str">
        <f t="shared" ref="AE66:AE129" si="1">$V66&amp;$Y66</f>
        <v>FlandersHilts</v>
      </c>
      <c r="AF66">
        <v>0</v>
      </c>
      <c r="AG66">
        <v>0</v>
      </c>
      <c r="AH66">
        <v>1</v>
      </c>
      <c r="AI66">
        <v>0</v>
      </c>
      <c r="AJ66">
        <v>0</v>
      </c>
      <c r="AK66" t="s">
        <v>693</v>
      </c>
      <c r="AL66">
        <v>0.44827586206896602</v>
      </c>
      <c r="AM66" t="s">
        <v>120</v>
      </c>
      <c r="AN66">
        <v>0.35714285714285698</v>
      </c>
    </row>
    <row r="67" spans="2:40" ht="15" customHeight="1" x14ac:dyDescent="0.2">
      <c r="B67">
        <v>15</v>
      </c>
      <c r="C67">
        <v>3</v>
      </c>
      <c r="D67">
        <v>2</v>
      </c>
      <c r="E67" t="s">
        <v>201</v>
      </c>
      <c r="F67" t="s">
        <v>108</v>
      </c>
      <c r="G67" s="15">
        <v>41797</v>
      </c>
      <c r="H67" t="s">
        <v>144</v>
      </c>
      <c r="I67" t="s">
        <v>168</v>
      </c>
      <c r="J67" t="s">
        <v>111</v>
      </c>
      <c r="K67">
        <v>9</v>
      </c>
      <c r="L67" t="s">
        <v>137</v>
      </c>
      <c r="M67" t="s">
        <v>188</v>
      </c>
      <c r="N67" t="s">
        <v>114</v>
      </c>
      <c r="O67">
        <v>70.599999999999994</v>
      </c>
      <c r="P67">
        <v>133</v>
      </c>
      <c r="Q67">
        <v>6328</v>
      </c>
      <c r="R67" t="s">
        <v>197</v>
      </c>
      <c r="S67" t="s">
        <v>116</v>
      </c>
      <c r="T67" t="s">
        <v>124</v>
      </c>
      <c r="U67" t="s">
        <v>127</v>
      </c>
      <c r="V67" t="s">
        <v>693</v>
      </c>
      <c r="W67" t="s">
        <v>173</v>
      </c>
      <c r="X67">
        <v>0</v>
      </c>
      <c r="Y67" t="s">
        <v>120</v>
      </c>
      <c r="Z67">
        <v>8</v>
      </c>
      <c r="AA67">
        <v>1</v>
      </c>
      <c r="AB67" t="s">
        <v>99</v>
      </c>
      <c r="AC67" t="s">
        <v>202</v>
      </c>
      <c r="AE67" t="str">
        <f t="shared" si="1"/>
        <v>BussiculoHickerson</v>
      </c>
      <c r="AF67">
        <v>1</v>
      </c>
      <c r="AG67">
        <v>1</v>
      </c>
      <c r="AH67">
        <v>0</v>
      </c>
      <c r="AI67">
        <v>0</v>
      </c>
      <c r="AJ67">
        <v>1</v>
      </c>
      <c r="AK67" t="s">
        <v>132</v>
      </c>
      <c r="AL67">
        <v>0.4296875</v>
      </c>
      <c r="AM67" t="s">
        <v>122</v>
      </c>
      <c r="AN67">
        <v>0.47321428571428598</v>
      </c>
    </row>
    <row r="68" spans="2:40" ht="15" customHeight="1" x14ac:dyDescent="0.2">
      <c r="B68">
        <v>16</v>
      </c>
      <c r="C68">
        <v>4</v>
      </c>
      <c r="D68">
        <v>2</v>
      </c>
      <c r="E68" t="s">
        <v>203</v>
      </c>
      <c r="F68" t="s">
        <v>108</v>
      </c>
      <c r="G68" s="15">
        <v>41797</v>
      </c>
      <c r="H68" t="s">
        <v>144</v>
      </c>
      <c r="I68" t="s">
        <v>168</v>
      </c>
      <c r="J68" t="s">
        <v>111</v>
      </c>
      <c r="K68">
        <v>9</v>
      </c>
      <c r="L68" t="s">
        <v>137</v>
      </c>
      <c r="M68" t="s">
        <v>188</v>
      </c>
      <c r="N68" t="s">
        <v>114</v>
      </c>
      <c r="O68">
        <v>70.599999999999994</v>
      </c>
      <c r="P68">
        <v>133</v>
      </c>
      <c r="Q68">
        <v>6328</v>
      </c>
      <c r="R68" t="s">
        <v>197</v>
      </c>
      <c r="S68" t="s">
        <v>116</v>
      </c>
      <c r="T68" t="s">
        <v>124</v>
      </c>
      <c r="U68" t="s">
        <v>127</v>
      </c>
      <c r="V68" t="s">
        <v>133</v>
      </c>
      <c r="W68" t="s">
        <v>173</v>
      </c>
      <c r="X68">
        <v>4</v>
      </c>
      <c r="Y68" t="s">
        <v>135</v>
      </c>
      <c r="Z68">
        <v>11</v>
      </c>
      <c r="AA68">
        <v>1</v>
      </c>
      <c r="AB68" t="s">
        <v>100</v>
      </c>
      <c r="AC68" t="s">
        <v>204</v>
      </c>
      <c r="AE68" t="str">
        <f t="shared" si="1"/>
        <v>MangoldShively</v>
      </c>
      <c r="AF68">
        <v>0</v>
      </c>
      <c r="AG68">
        <v>0</v>
      </c>
      <c r="AH68">
        <v>1</v>
      </c>
      <c r="AI68">
        <v>0</v>
      </c>
      <c r="AJ68">
        <v>0</v>
      </c>
      <c r="AK68" t="s">
        <v>178</v>
      </c>
      <c r="AL68">
        <v>0.34745762711864397</v>
      </c>
      <c r="AM68" t="s">
        <v>119</v>
      </c>
      <c r="AN68">
        <v>0.546875</v>
      </c>
    </row>
    <row r="69" spans="2:40" ht="15" customHeight="1" x14ac:dyDescent="0.2">
      <c r="B69">
        <v>16</v>
      </c>
      <c r="C69">
        <v>4</v>
      </c>
      <c r="D69">
        <v>2</v>
      </c>
      <c r="E69" t="s">
        <v>203</v>
      </c>
      <c r="F69" t="s">
        <v>108</v>
      </c>
      <c r="G69" s="15">
        <v>41797</v>
      </c>
      <c r="H69" t="s">
        <v>144</v>
      </c>
      <c r="I69" t="s">
        <v>168</v>
      </c>
      <c r="J69" t="s">
        <v>111</v>
      </c>
      <c r="K69">
        <v>9</v>
      </c>
      <c r="L69" t="s">
        <v>137</v>
      </c>
      <c r="M69" t="s">
        <v>188</v>
      </c>
      <c r="N69" t="s">
        <v>114</v>
      </c>
      <c r="O69">
        <v>70.599999999999994</v>
      </c>
      <c r="P69">
        <v>133</v>
      </c>
      <c r="Q69">
        <v>6328</v>
      </c>
      <c r="R69" t="s">
        <v>197</v>
      </c>
      <c r="S69" t="s">
        <v>116</v>
      </c>
      <c r="T69" t="s">
        <v>124</v>
      </c>
      <c r="U69" t="s">
        <v>1308</v>
      </c>
      <c r="V69" t="s">
        <v>178</v>
      </c>
      <c r="W69" t="s">
        <v>170</v>
      </c>
      <c r="X69">
        <v>8</v>
      </c>
      <c r="Y69" t="s">
        <v>119</v>
      </c>
      <c r="Z69">
        <v>2</v>
      </c>
      <c r="AA69">
        <v>1</v>
      </c>
      <c r="AB69" t="s">
        <v>99</v>
      </c>
      <c r="AC69" t="s">
        <v>204</v>
      </c>
      <c r="AE69" t="str">
        <f t="shared" si="1"/>
        <v>ConnorsGrise</v>
      </c>
      <c r="AF69">
        <v>1</v>
      </c>
      <c r="AG69">
        <v>1</v>
      </c>
      <c r="AH69">
        <v>0</v>
      </c>
      <c r="AI69">
        <v>0</v>
      </c>
      <c r="AJ69">
        <v>1</v>
      </c>
      <c r="AK69" t="s">
        <v>133</v>
      </c>
      <c r="AL69">
        <v>0.38392857142857201</v>
      </c>
      <c r="AM69" t="s">
        <v>135</v>
      </c>
    </row>
    <row r="70" spans="2:40" ht="15" customHeight="1" x14ac:dyDescent="0.2">
      <c r="B70">
        <v>17</v>
      </c>
      <c r="C70">
        <v>1</v>
      </c>
      <c r="D70">
        <v>2</v>
      </c>
      <c r="E70" t="s">
        <v>205</v>
      </c>
      <c r="F70" t="s">
        <v>153</v>
      </c>
      <c r="G70" s="15">
        <v>41798</v>
      </c>
      <c r="H70" t="s">
        <v>109</v>
      </c>
      <c r="I70" t="s">
        <v>168</v>
      </c>
      <c r="J70" t="s">
        <v>111</v>
      </c>
      <c r="K70">
        <v>18</v>
      </c>
      <c r="L70" t="s">
        <v>154</v>
      </c>
      <c r="M70" t="s">
        <v>206</v>
      </c>
      <c r="N70" t="s">
        <v>114</v>
      </c>
      <c r="O70">
        <v>70.900000000000006</v>
      </c>
      <c r="P70">
        <v>132</v>
      </c>
      <c r="Q70">
        <v>6183</v>
      </c>
      <c r="R70" t="s">
        <v>157</v>
      </c>
      <c r="S70" t="s">
        <v>158</v>
      </c>
      <c r="T70" t="s">
        <v>124</v>
      </c>
      <c r="U70" t="s">
        <v>1308</v>
      </c>
      <c r="V70" t="s">
        <v>132</v>
      </c>
      <c r="W70" t="s">
        <v>114</v>
      </c>
      <c r="X70">
        <v>5</v>
      </c>
      <c r="AA70">
        <v>2</v>
      </c>
      <c r="AB70" t="s">
        <v>100</v>
      </c>
      <c r="AC70" t="s">
        <v>207</v>
      </c>
      <c r="AD70" t="s">
        <v>127</v>
      </c>
      <c r="AE70" t="str">
        <f t="shared" si="1"/>
        <v>Flanders</v>
      </c>
      <c r="AF70">
        <v>0</v>
      </c>
      <c r="AG70">
        <v>0</v>
      </c>
      <c r="AH70">
        <v>1</v>
      </c>
      <c r="AI70">
        <v>0</v>
      </c>
      <c r="AJ70">
        <v>0</v>
      </c>
      <c r="AK70" t="s">
        <v>127</v>
      </c>
      <c r="AL70">
        <v>0.59523809523809501</v>
      </c>
    </row>
    <row r="71" spans="2:40" ht="15" customHeight="1" x14ac:dyDescent="0.2">
      <c r="B71">
        <v>18</v>
      </c>
      <c r="C71">
        <v>2</v>
      </c>
      <c r="D71">
        <v>2</v>
      </c>
      <c r="E71" t="s">
        <v>208</v>
      </c>
      <c r="F71" t="s">
        <v>153</v>
      </c>
      <c r="G71" s="15">
        <v>41798</v>
      </c>
      <c r="H71" t="s">
        <v>109</v>
      </c>
      <c r="I71" t="s">
        <v>168</v>
      </c>
      <c r="J71" t="s">
        <v>111</v>
      </c>
      <c r="K71">
        <v>18</v>
      </c>
      <c r="L71" t="s">
        <v>154</v>
      </c>
      <c r="M71" t="s">
        <v>206</v>
      </c>
      <c r="N71" t="s">
        <v>114</v>
      </c>
      <c r="O71">
        <v>70.900000000000006</v>
      </c>
      <c r="P71">
        <v>132</v>
      </c>
      <c r="Q71">
        <v>6183</v>
      </c>
      <c r="R71" t="s">
        <v>157</v>
      </c>
      <c r="S71" t="s">
        <v>158</v>
      </c>
      <c r="T71" t="s">
        <v>124</v>
      </c>
      <c r="U71" t="s">
        <v>1308</v>
      </c>
      <c r="V71" t="s">
        <v>178</v>
      </c>
      <c r="W71" t="s">
        <v>114</v>
      </c>
      <c r="X71">
        <v>8</v>
      </c>
      <c r="AA71">
        <v>2</v>
      </c>
      <c r="AB71" t="s">
        <v>100</v>
      </c>
      <c r="AC71" t="s">
        <v>209</v>
      </c>
      <c r="AD71" t="s">
        <v>172</v>
      </c>
      <c r="AE71" t="str">
        <f t="shared" si="1"/>
        <v>Connors</v>
      </c>
      <c r="AF71">
        <v>0</v>
      </c>
      <c r="AG71">
        <v>0</v>
      </c>
      <c r="AH71">
        <v>1</v>
      </c>
      <c r="AI71">
        <v>0</v>
      </c>
      <c r="AJ71">
        <v>0</v>
      </c>
      <c r="AK71" t="s">
        <v>172</v>
      </c>
      <c r="AL71">
        <v>0.37288135593220301</v>
      </c>
    </row>
    <row r="72" spans="2:40" ht="15" customHeight="1" x14ac:dyDescent="0.2">
      <c r="B72">
        <v>18</v>
      </c>
      <c r="C72">
        <v>3</v>
      </c>
      <c r="D72">
        <v>2</v>
      </c>
      <c r="E72" t="s">
        <v>210</v>
      </c>
      <c r="F72" t="s">
        <v>153</v>
      </c>
      <c r="G72" s="15">
        <v>41798</v>
      </c>
      <c r="H72" t="s">
        <v>109</v>
      </c>
      <c r="I72" t="s">
        <v>168</v>
      </c>
      <c r="J72" t="s">
        <v>111</v>
      </c>
      <c r="K72">
        <v>18</v>
      </c>
      <c r="L72" t="s">
        <v>154</v>
      </c>
      <c r="M72" t="s">
        <v>206</v>
      </c>
      <c r="N72" t="s">
        <v>114</v>
      </c>
      <c r="O72">
        <v>70.900000000000006</v>
      </c>
      <c r="P72">
        <v>132</v>
      </c>
      <c r="Q72">
        <v>6183</v>
      </c>
      <c r="R72" t="s">
        <v>157</v>
      </c>
      <c r="S72" t="s">
        <v>158</v>
      </c>
      <c r="T72" t="s">
        <v>124</v>
      </c>
      <c r="U72" t="s">
        <v>1308</v>
      </c>
      <c r="V72" t="s">
        <v>1308</v>
      </c>
      <c r="W72" t="s">
        <v>114</v>
      </c>
      <c r="X72">
        <v>0</v>
      </c>
      <c r="AA72">
        <v>2</v>
      </c>
      <c r="AB72" t="s">
        <v>100</v>
      </c>
      <c r="AC72" t="s">
        <v>211</v>
      </c>
      <c r="AD72" t="s">
        <v>135</v>
      </c>
      <c r="AE72" t="str">
        <f t="shared" si="1"/>
        <v>Connolly</v>
      </c>
      <c r="AF72">
        <v>0</v>
      </c>
      <c r="AG72">
        <v>0</v>
      </c>
      <c r="AH72">
        <v>1</v>
      </c>
      <c r="AI72">
        <v>0</v>
      </c>
      <c r="AJ72">
        <v>0</v>
      </c>
      <c r="AK72" t="s">
        <v>135</v>
      </c>
    </row>
    <row r="73" spans="2:40" ht="15" customHeight="1" x14ac:dyDescent="0.2">
      <c r="B73">
        <v>18</v>
      </c>
      <c r="C73">
        <v>4</v>
      </c>
      <c r="D73">
        <v>2</v>
      </c>
      <c r="E73" t="s">
        <v>212</v>
      </c>
      <c r="F73" t="s">
        <v>153</v>
      </c>
      <c r="G73" s="15">
        <v>41798</v>
      </c>
      <c r="H73" t="s">
        <v>109</v>
      </c>
      <c r="I73" t="s">
        <v>168</v>
      </c>
      <c r="J73" t="s">
        <v>111</v>
      </c>
      <c r="K73">
        <v>18</v>
      </c>
      <c r="L73" t="s">
        <v>154</v>
      </c>
      <c r="M73" t="s">
        <v>206</v>
      </c>
      <c r="N73" t="s">
        <v>114</v>
      </c>
      <c r="O73">
        <v>70.900000000000006</v>
      </c>
      <c r="P73">
        <v>132</v>
      </c>
      <c r="Q73">
        <v>6183</v>
      </c>
      <c r="R73" t="s">
        <v>157</v>
      </c>
      <c r="S73" t="s">
        <v>158</v>
      </c>
      <c r="T73" t="s">
        <v>124</v>
      </c>
      <c r="U73" t="s">
        <v>1308</v>
      </c>
      <c r="V73" t="s">
        <v>119</v>
      </c>
      <c r="W73" t="s">
        <v>114</v>
      </c>
      <c r="X73">
        <v>2</v>
      </c>
      <c r="AA73">
        <v>2</v>
      </c>
      <c r="AB73" t="s">
        <v>99</v>
      </c>
      <c r="AC73" t="s">
        <v>213</v>
      </c>
      <c r="AD73" t="s">
        <v>179</v>
      </c>
      <c r="AE73" t="str">
        <f t="shared" si="1"/>
        <v>Grise</v>
      </c>
      <c r="AF73">
        <v>2</v>
      </c>
      <c r="AG73">
        <v>1</v>
      </c>
      <c r="AH73">
        <v>0</v>
      </c>
      <c r="AI73">
        <v>0</v>
      </c>
      <c r="AJ73">
        <v>1</v>
      </c>
      <c r="AK73" t="s">
        <v>179</v>
      </c>
      <c r="AL73">
        <v>0.44067796610169502</v>
      </c>
    </row>
    <row r="74" spans="2:40" ht="15" customHeight="1" x14ac:dyDescent="0.2">
      <c r="B74">
        <v>19</v>
      </c>
      <c r="C74">
        <v>5</v>
      </c>
      <c r="D74">
        <v>2</v>
      </c>
      <c r="E74" t="s">
        <v>214</v>
      </c>
      <c r="F74" t="s">
        <v>153</v>
      </c>
      <c r="G74" s="15">
        <v>41798</v>
      </c>
      <c r="H74" t="s">
        <v>109</v>
      </c>
      <c r="I74" t="s">
        <v>168</v>
      </c>
      <c r="J74" t="s">
        <v>111</v>
      </c>
      <c r="K74">
        <v>18</v>
      </c>
      <c r="L74" t="s">
        <v>154</v>
      </c>
      <c r="M74" t="s">
        <v>206</v>
      </c>
      <c r="N74" t="s">
        <v>114</v>
      </c>
      <c r="O74">
        <v>70.900000000000006</v>
      </c>
      <c r="P74">
        <v>132</v>
      </c>
      <c r="Q74">
        <v>6183</v>
      </c>
      <c r="R74" t="s">
        <v>157</v>
      </c>
      <c r="S74" t="s">
        <v>158</v>
      </c>
      <c r="T74" t="s">
        <v>124</v>
      </c>
      <c r="U74" t="s">
        <v>1308</v>
      </c>
      <c r="V74" t="s">
        <v>123</v>
      </c>
      <c r="W74" t="s">
        <v>114</v>
      </c>
      <c r="X74">
        <v>8</v>
      </c>
      <c r="AA74">
        <v>2</v>
      </c>
      <c r="AB74" t="s">
        <v>100</v>
      </c>
      <c r="AC74" t="s">
        <v>164</v>
      </c>
      <c r="AD74" t="s">
        <v>175</v>
      </c>
      <c r="AE74" t="str">
        <f t="shared" si="1"/>
        <v>Lynch</v>
      </c>
      <c r="AF74">
        <v>0</v>
      </c>
      <c r="AG74">
        <v>0</v>
      </c>
      <c r="AH74">
        <v>1</v>
      </c>
      <c r="AI74">
        <v>0</v>
      </c>
      <c r="AJ74">
        <v>0</v>
      </c>
      <c r="AK74" t="s">
        <v>175</v>
      </c>
      <c r="AL74">
        <v>0.5</v>
      </c>
    </row>
    <row r="75" spans="2:40" ht="15" customHeight="1" x14ac:dyDescent="0.2">
      <c r="B75">
        <v>19</v>
      </c>
      <c r="C75">
        <v>6</v>
      </c>
      <c r="D75">
        <v>2</v>
      </c>
      <c r="E75" t="s">
        <v>215</v>
      </c>
      <c r="F75" t="s">
        <v>153</v>
      </c>
      <c r="G75" s="15">
        <v>41798</v>
      </c>
      <c r="H75" t="s">
        <v>109</v>
      </c>
      <c r="I75" t="s">
        <v>168</v>
      </c>
      <c r="J75" t="s">
        <v>111</v>
      </c>
      <c r="K75">
        <v>18</v>
      </c>
      <c r="L75" t="s">
        <v>154</v>
      </c>
      <c r="M75" t="s">
        <v>206</v>
      </c>
      <c r="N75" t="s">
        <v>114</v>
      </c>
      <c r="O75">
        <v>70.900000000000006</v>
      </c>
      <c r="P75">
        <v>132</v>
      </c>
      <c r="Q75">
        <v>6183</v>
      </c>
      <c r="R75" t="s">
        <v>157</v>
      </c>
      <c r="S75" t="s">
        <v>158</v>
      </c>
      <c r="T75" t="s">
        <v>124</v>
      </c>
      <c r="U75" t="s">
        <v>1308</v>
      </c>
      <c r="V75" t="s">
        <v>176</v>
      </c>
      <c r="W75" t="s">
        <v>114</v>
      </c>
      <c r="X75">
        <v>21</v>
      </c>
      <c r="AA75">
        <v>2</v>
      </c>
      <c r="AB75" t="s">
        <v>99</v>
      </c>
      <c r="AC75" t="s">
        <v>142</v>
      </c>
      <c r="AD75" t="s">
        <v>120</v>
      </c>
      <c r="AE75" t="str">
        <f t="shared" si="1"/>
        <v>Forster</v>
      </c>
      <c r="AF75">
        <v>2</v>
      </c>
      <c r="AG75">
        <v>1</v>
      </c>
      <c r="AH75">
        <v>0</v>
      </c>
      <c r="AI75">
        <v>0</v>
      </c>
      <c r="AJ75">
        <v>1</v>
      </c>
      <c r="AK75" t="s">
        <v>120</v>
      </c>
      <c r="AL75">
        <v>0.35714285714285698</v>
      </c>
    </row>
    <row r="76" spans="2:40" ht="15" customHeight="1" x14ac:dyDescent="0.2">
      <c r="B76">
        <v>20</v>
      </c>
      <c r="C76">
        <v>7</v>
      </c>
      <c r="D76">
        <v>2</v>
      </c>
      <c r="E76" t="s">
        <v>1294</v>
      </c>
      <c r="F76" t="s">
        <v>153</v>
      </c>
      <c r="G76" s="15">
        <v>41798</v>
      </c>
      <c r="H76" t="s">
        <v>109</v>
      </c>
      <c r="I76" t="s">
        <v>168</v>
      </c>
      <c r="J76" t="s">
        <v>111</v>
      </c>
      <c r="K76">
        <v>18</v>
      </c>
      <c r="L76" t="s">
        <v>154</v>
      </c>
      <c r="M76" t="s">
        <v>206</v>
      </c>
      <c r="N76" t="s">
        <v>114</v>
      </c>
      <c r="O76">
        <v>70.900000000000006</v>
      </c>
      <c r="P76">
        <v>132</v>
      </c>
      <c r="Q76">
        <v>6183</v>
      </c>
      <c r="R76" t="s">
        <v>157</v>
      </c>
      <c r="S76" t="s">
        <v>158</v>
      </c>
      <c r="T76" t="s">
        <v>124</v>
      </c>
      <c r="U76" t="s">
        <v>1308</v>
      </c>
      <c r="V76" t="s">
        <v>118</v>
      </c>
      <c r="W76" t="s">
        <v>114</v>
      </c>
      <c r="X76">
        <v>0</v>
      </c>
      <c r="AA76">
        <v>2</v>
      </c>
      <c r="AB76" t="s">
        <v>99</v>
      </c>
      <c r="AC76" t="s">
        <v>164</v>
      </c>
      <c r="AD76" t="s">
        <v>693</v>
      </c>
      <c r="AE76" t="str">
        <f t="shared" si="1"/>
        <v>Jackson</v>
      </c>
      <c r="AF76">
        <v>2</v>
      </c>
      <c r="AG76">
        <v>1</v>
      </c>
      <c r="AH76">
        <v>0</v>
      </c>
      <c r="AI76">
        <v>0</v>
      </c>
      <c r="AJ76">
        <v>1</v>
      </c>
      <c r="AK76" t="s">
        <v>693</v>
      </c>
      <c r="AL76">
        <v>0.44827586206896602</v>
      </c>
    </row>
    <row r="77" spans="2:40" ht="15" customHeight="1" x14ac:dyDescent="0.2">
      <c r="B77">
        <v>20</v>
      </c>
      <c r="C77">
        <v>8</v>
      </c>
      <c r="D77">
        <v>2</v>
      </c>
      <c r="E77" t="s">
        <v>216</v>
      </c>
      <c r="F77" t="s">
        <v>153</v>
      </c>
      <c r="G77" s="15">
        <v>41798</v>
      </c>
      <c r="H77" t="s">
        <v>109</v>
      </c>
      <c r="I77" t="s">
        <v>168</v>
      </c>
      <c r="J77" t="s">
        <v>111</v>
      </c>
      <c r="K77">
        <v>18</v>
      </c>
      <c r="L77" t="s">
        <v>154</v>
      </c>
      <c r="M77" t="s">
        <v>206</v>
      </c>
      <c r="N77" t="s">
        <v>114</v>
      </c>
      <c r="O77">
        <v>70.900000000000006</v>
      </c>
      <c r="P77">
        <v>132</v>
      </c>
      <c r="Q77">
        <v>6183</v>
      </c>
      <c r="R77" t="s">
        <v>157</v>
      </c>
      <c r="S77" t="s">
        <v>158</v>
      </c>
      <c r="T77" t="s">
        <v>124</v>
      </c>
      <c r="U77" t="s">
        <v>1308</v>
      </c>
      <c r="V77" t="s">
        <v>122</v>
      </c>
      <c r="W77" t="s">
        <v>114</v>
      </c>
      <c r="X77">
        <v>7</v>
      </c>
      <c r="AA77">
        <v>2</v>
      </c>
      <c r="AB77" t="s">
        <v>100</v>
      </c>
      <c r="AC77" t="s">
        <v>128</v>
      </c>
      <c r="AD77" t="s">
        <v>133</v>
      </c>
      <c r="AE77" t="str">
        <f t="shared" si="1"/>
        <v>Hilts</v>
      </c>
      <c r="AF77">
        <v>0</v>
      </c>
      <c r="AG77">
        <v>0</v>
      </c>
      <c r="AH77">
        <v>1</v>
      </c>
      <c r="AI77">
        <v>0</v>
      </c>
      <c r="AJ77">
        <v>0</v>
      </c>
      <c r="AK77" t="s">
        <v>133</v>
      </c>
      <c r="AL77">
        <v>0.38392857142857201</v>
      </c>
    </row>
    <row r="78" spans="2:40" ht="15" customHeight="1" x14ac:dyDescent="0.2">
      <c r="B78">
        <v>21</v>
      </c>
      <c r="C78">
        <v>1</v>
      </c>
      <c r="D78">
        <v>2</v>
      </c>
      <c r="E78" t="s">
        <v>205</v>
      </c>
      <c r="F78" t="s">
        <v>153</v>
      </c>
      <c r="G78" s="15">
        <v>41798</v>
      </c>
      <c r="H78" t="s">
        <v>109</v>
      </c>
      <c r="I78" t="s">
        <v>168</v>
      </c>
      <c r="J78" t="s">
        <v>111</v>
      </c>
      <c r="K78">
        <v>18</v>
      </c>
      <c r="L78" t="s">
        <v>154</v>
      </c>
      <c r="M78" t="s">
        <v>206</v>
      </c>
      <c r="N78" t="s">
        <v>114</v>
      </c>
      <c r="O78">
        <v>70.900000000000006</v>
      </c>
      <c r="P78">
        <v>132</v>
      </c>
      <c r="Q78">
        <v>6183</v>
      </c>
      <c r="R78" t="s">
        <v>157</v>
      </c>
      <c r="S78" t="s">
        <v>158</v>
      </c>
      <c r="T78" t="s">
        <v>124</v>
      </c>
      <c r="U78" t="s">
        <v>127</v>
      </c>
      <c r="V78" t="s">
        <v>127</v>
      </c>
      <c r="W78" t="s">
        <v>156</v>
      </c>
      <c r="X78">
        <v>12</v>
      </c>
      <c r="AA78">
        <v>2</v>
      </c>
      <c r="AB78" t="s">
        <v>99</v>
      </c>
      <c r="AC78" t="s">
        <v>207</v>
      </c>
      <c r="AD78" t="s">
        <v>132</v>
      </c>
      <c r="AE78" t="str">
        <f t="shared" si="1"/>
        <v>Ferrin</v>
      </c>
      <c r="AF78">
        <v>2</v>
      </c>
      <c r="AG78">
        <v>1</v>
      </c>
      <c r="AH78">
        <v>0</v>
      </c>
      <c r="AI78">
        <v>0</v>
      </c>
      <c r="AJ78">
        <v>1</v>
      </c>
      <c r="AK78" t="s">
        <v>132</v>
      </c>
      <c r="AL78">
        <v>0.4296875</v>
      </c>
    </row>
    <row r="79" spans="2:40" ht="15" customHeight="1" x14ac:dyDescent="0.2">
      <c r="B79">
        <v>21</v>
      </c>
      <c r="C79">
        <v>2</v>
      </c>
      <c r="D79">
        <v>2</v>
      </c>
      <c r="E79" t="s">
        <v>208</v>
      </c>
      <c r="F79" t="s">
        <v>153</v>
      </c>
      <c r="G79" s="15">
        <v>41798</v>
      </c>
      <c r="H79" t="s">
        <v>109</v>
      </c>
      <c r="I79" t="s">
        <v>168</v>
      </c>
      <c r="J79" t="s">
        <v>111</v>
      </c>
      <c r="K79">
        <v>18</v>
      </c>
      <c r="L79" t="s">
        <v>154</v>
      </c>
      <c r="M79" t="s">
        <v>206</v>
      </c>
      <c r="N79" t="s">
        <v>114</v>
      </c>
      <c r="O79">
        <v>70.900000000000006</v>
      </c>
      <c r="P79">
        <v>132</v>
      </c>
      <c r="Q79">
        <v>6183</v>
      </c>
      <c r="R79" t="s">
        <v>157</v>
      </c>
      <c r="S79" t="s">
        <v>158</v>
      </c>
      <c r="T79" t="s">
        <v>124</v>
      </c>
      <c r="U79" t="s">
        <v>127</v>
      </c>
      <c r="V79" t="s">
        <v>172</v>
      </c>
      <c r="W79" t="s">
        <v>156</v>
      </c>
      <c r="X79">
        <v>22</v>
      </c>
      <c r="AA79">
        <v>2</v>
      </c>
      <c r="AB79" t="s">
        <v>99</v>
      </c>
      <c r="AC79" t="s">
        <v>209</v>
      </c>
      <c r="AD79" t="s">
        <v>178</v>
      </c>
      <c r="AE79" t="str">
        <f t="shared" si="1"/>
        <v>Fogan</v>
      </c>
      <c r="AF79">
        <v>2</v>
      </c>
      <c r="AG79">
        <v>1</v>
      </c>
      <c r="AH79">
        <v>0</v>
      </c>
      <c r="AI79">
        <v>0</v>
      </c>
      <c r="AJ79">
        <v>1</v>
      </c>
      <c r="AK79" t="s">
        <v>178</v>
      </c>
      <c r="AL79">
        <v>0.34745762711864397</v>
      </c>
    </row>
    <row r="80" spans="2:40" ht="15" customHeight="1" x14ac:dyDescent="0.2">
      <c r="B80">
        <v>22</v>
      </c>
      <c r="C80">
        <v>3</v>
      </c>
      <c r="D80">
        <v>2</v>
      </c>
      <c r="E80" t="s">
        <v>210</v>
      </c>
      <c r="F80" t="s">
        <v>153</v>
      </c>
      <c r="G80" s="15">
        <v>41798</v>
      </c>
      <c r="H80" t="s">
        <v>109</v>
      </c>
      <c r="I80" t="s">
        <v>168</v>
      </c>
      <c r="J80" t="s">
        <v>111</v>
      </c>
      <c r="K80">
        <v>18</v>
      </c>
      <c r="L80" t="s">
        <v>154</v>
      </c>
      <c r="M80" t="s">
        <v>206</v>
      </c>
      <c r="N80" t="s">
        <v>114</v>
      </c>
      <c r="O80">
        <v>70.900000000000006</v>
      </c>
      <c r="P80">
        <v>132</v>
      </c>
      <c r="Q80">
        <v>6183</v>
      </c>
      <c r="R80" t="s">
        <v>157</v>
      </c>
      <c r="S80" t="s">
        <v>158</v>
      </c>
      <c r="T80" t="s">
        <v>124</v>
      </c>
      <c r="U80" t="s">
        <v>127</v>
      </c>
      <c r="V80" t="s">
        <v>135</v>
      </c>
      <c r="W80" t="s">
        <v>156</v>
      </c>
      <c r="X80">
        <v>11</v>
      </c>
      <c r="AA80">
        <v>2</v>
      </c>
      <c r="AB80" t="s">
        <v>99</v>
      </c>
      <c r="AC80" t="s">
        <v>211</v>
      </c>
      <c r="AD80" t="s">
        <v>1308</v>
      </c>
      <c r="AE80" t="str">
        <f t="shared" si="1"/>
        <v>Shively</v>
      </c>
      <c r="AF80">
        <v>2</v>
      </c>
      <c r="AG80">
        <v>1</v>
      </c>
      <c r="AH80">
        <v>0</v>
      </c>
      <c r="AI80">
        <v>0</v>
      </c>
      <c r="AJ80">
        <v>1</v>
      </c>
      <c r="AK80" t="s">
        <v>1308</v>
      </c>
      <c r="AL80">
        <v>0.59375</v>
      </c>
    </row>
    <row r="81" spans="2:40" ht="15" customHeight="1" x14ac:dyDescent="0.2">
      <c r="B81">
        <v>22</v>
      </c>
      <c r="C81">
        <v>4</v>
      </c>
      <c r="D81">
        <v>2</v>
      </c>
      <c r="E81" t="s">
        <v>212</v>
      </c>
      <c r="F81" t="s">
        <v>153</v>
      </c>
      <c r="G81" s="15">
        <v>41798</v>
      </c>
      <c r="H81" t="s">
        <v>109</v>
      </c>
      <c r="I81" t="s">
        <v>168</v>
      </c>
      <c r="J81" t="s">
        <v>111</v>
      </c>
      <c r="K81">
        <v>18</v>
      </c>
      <c r="L81" t="s">
        <v>154</v>
      </c>
      <c r="M81" t="s">
        <v>206</v>
      </c>
      <c r="N81" t="s">
        <v>114</v>
      </c>
      <c r="O81">
        <v>70.900000000000006</v>
      </c>
      <c r="P81">
        <v>132</v>
      </c>
      <c r="Q81">
        <v>6183</v>
      </c>
      <c r="R81" t="s">
        <v>157</v>
      </c>
      <c r="S81" t="s">
        <v>158</v>
      </c>
      <c r="T81" t="s">
        <v>124</v>
      </c>
      <c r="U81" t="s">
        <v>127</v>
      </c>
      <c r="V81" t="s">
        <v>179</v>
      </c>
      <c r="W81" t="s">
        <v>156</v>
      </c>
      <c r="X81">
        <v>24</v>
      </c>
      <c r="AA81">
        <v>2</v>
      </c>
      <c r="AB81" t="s">
        <v>100</v>
      </c>
      <c r="AC81" t="s">
        <v>213</v>
      </c>
      <c r="AD81" t="s">
        <v>119</v>
      </c>
      <c r="AE81" t="str">
        <f t="shared" si="1"/>
        <v>Cole</v>
      </c>
      <c r="AF81">
        <v>0</v>
      </c>
      <c r="AG81">
        <v>0</v>
      </c>
      <c r="AH81">
        <v>1</v>
      </c>
      <c r="AI81">
        <v>0</v>
      </c>
      <c r="AJ81">
        <v>0</v>
      </c>
      <c r="AK81" t="s">
        <v>119</v>
      </c>
      <c r="AL81">
        <v>0.546875</v>
      </c>
    </row>
    <row r="82" spans="2:40" ht="15" customHeight="1" x14ac:dyDescent="0.2">
      <c r="B82">
        <v>23</v>
      </c>
      <c r="C82">
        <v>5</v>
      </c>
      <c r="D82">
        <v>2</v>
      </c>
      <c r="E82" t="s">
        <v>214</v>
      </c>
      <c r="F82" t="s">
        <v>153</v>
      </c>
      <c r="G82" s="15">
        <v>41798</v>
      </c>
      <c r="H82" t="s">
        <v>109</v>
      </c>
      <c r="I82" t="s">
        <v>168</v>
      </c>
      <c r="J82" t="s">
        <v>111</v>
      </c>
      <c r="K82">
        <v>18</v>
      </c>
      <c r="L82" t="s">
        <v>154</v>
      </c>
      <c r="M82" t="s">
        <v>206</v>
      </c>
      <c r="N82" t="s">
        <v>114</v>
      </c>
      <c r="O82">
        <v>70.900000000000006</v>
      </c>
      <c r="P82">
        <v>132</v>
      </c>
      <c r="Q82">
        <v>6183</v>
      </c>
      <c r="R82" t="s">
        <v>157</v>
      </c>
      <c r="S82" t="s">
        <v>158</v>
      </c>
      <c r="T82" t="s">
        <v>124</v>
      </c>
      <c r="U82" t="s">
        <v>127</v>
      </c>
      <c r="V82" t="s">
        <v>175</v>
      </c>
      <c r="W82" t="s">
        <v>156</v>
      </c>
      <c r="X82">
        <v>5</v>
      </c>
      <c r="AA82">
        <v>2</v>
      </c>
      <c r="AB82" t="s">
        <v>99</v>
      </c>
      <c r="AC82" t="s">
        <v>164</v>
      </c>
      <c r="AD82" t="s">
        <v>123</v>
      </c>
      <c r="AE82" t="str">
        <f t="shared" si="1"/>
        <v>Weisberger</v>
      </c>
      <c r="AF82">
        <v>2</v>
      </c>
      <c r="AG82">
        <v>1</v>
      </c>
      <c r="AH82">
        <v>0</v>
      </c>
      <c r="AI82">
        <v>0</v>
      </c>
      <c r="AJ82">
        <v>1</v>
      </c>
      <c r="AK82" t="s">
        <v>123</v>
      </c>
      <c r="AL82">
        <v>0.5546875</v>
      </c>
    </row>
    <row r="83" spans="2:40" ht="15" customHeight="1" x14ac:dyDescent="0.2">
      <c r="B83">
        <v>23</v>
      </c>
      <c r="C83">
        <v>6</v>
      </c>
      <c r="D83">
        <v>2</v>
      </c>
      <c r="E83" t="s">
        <v>215</v>
      </c>
      <c r="F83" t="s">
        <v>153</v>
      </c>
      <c r="G83" s="15">
        <v>41798</v>
      </c>
      <c r="H83" t="s">
        <v>109</v>
      </c>
      <c r="I83" t="s">
        <v>168</v>
      </c>
      <c r="J83" t="s">
        <v>111</v>
      </c>
      <c r="K83">
        <v>18</v>
      </c>
      <c r="L83" t="s">
        <v>154</v>
      </c>
      <c r="M83" t="s">
        <v>206</v>
      </c>
      <c r="N83" t="s">
        <v>114</v>
      </c>
      <c r="O83">
        <v>70.900000000000006</v>
      </c>
      <c r="P83">
        <v>132</v>
      </c>
      <c r="Q83">
        <v>6183</v>
      </c>
      <c r="R83" t="s">
        <v>157</v>
      </c>
      <c r="S83" t="s">
        <v>158</v>
      </c>
      <c r="T83" t="s">
        <v>124</v>
      </c>
      <c r="U83" t="s">
        <v>127</v>
      </c>
      <c r="V83" t="s">
        <v>120</v>
      </c>
      <c r="W83" t="s">
        <v>156</v>
      </c>
      <c r="X83">
        <v>8</v>
      </c>
      <c r="AA83">
        <v>2</v>
      </c>
      <c r="AB83" t="s">
        <v>100</v>
      </c>
      <c r="AC83" t="s">
        <v>142</v>
      </c>
      <c r="AD83" t="s">
        <v>176</v>
      </c>
      <c r="AE83" t="str">
        <f t="shared" si="1"/>
        <v>Hickerson</v>
      </c>
      <c r="AF83">
        <v>0</v>
      </c>
      <c r="AG83">
        <v>0</v>
      </c>
      <c r="AH83">
        <v>1</v>
      </c>
      <c r="AI83">
        <v>0</v>
      </c>
      <c r="AJ83">
        <v>0</v>
      </c>
      <c r="AK83" t="s">
        <v>176</v>
      </c>
      <c r="AL83">
        <v>0.59649122807017496</v>
      </c>
    </row>
    <row r="84" spans="2:40" ht="15" customHeight="1" x14ac:dyDescent="0.2">
      <c r="B84">
        <v>24</v>
      </c>
      <c r="C84">
        <v>7</v>
      </c>
      <c r="D84">
        <v>2</v>
      </c>
      <c r="E84" t="s">
        <v>1294</v>
      </c>
      <c r="F84" t="s">
        <v>153</v>
      </c>
      <c r="G84" s="15">
        <v>41798</v>
      </c>
      <c r="H84" t="s">
        <v>109</v>
      </c>
      <c r="I84" t="s">
        <v>168</v>
      </c>
      <c r="J84" t="s">
        <v>111</v>
      </c>
      <c r="K84">
        <v>18</v>
      </c>
      <c r="L84" t="s">
        <v>154</v>
      </c>
      <c r="M84" t="s">
        <v>206</v>
      </c>
      <c r="N84" t="s">
        <v>114</v>
      </c>
      <c r="O84">
        <v>70.900000000000006</v>
      </c>
      <c r="P84">
        <v>132</v>
      </c>
      <c r="Q84">
        <v>6183</v>
      </c>
      <c r="R84" t="s">
        <v>157</v>
      </c>
      <c r="S84" t="s">
        <v>158</v>
      </c>
      <c r="T84" t="s">
        <v>124</v>
      </c>
      <c r="U84" t="s">
        <v>127</v>
      </c>
      <c r="V84" t="s">
        <v>693</v>
      </c>
      <c r="W84" t="s">
        <v>156</v>
      </c>
      <c r="X84">
        <v>0</v>
      </c>
      <c r="AA84">
        <v>2</v>
      </c>
      <c r="AB84" t="s">
        <v>100</v>
      </c>
      <c r="AC84" t="s">
        <v>164</v>
      </c>
      <c r="AD84" t="s">
        <v>118</v>
      </c>
      <c r="AE84" t="str">
        <f t="shared" si="1"/>
        <v>Bussiculo</v>
      </c>
      <c r="AF84">
        <v>0</v>
      </c>
      <c r="AG84">
        <v>0</v>
      </c>
      <c r="AH84">
        <v>1</v>
      </c>
      <c r="AI84">
        <v>0</v>
      </c>
      <c r="AJ84">
        <v>0</v>
      </c>
      <c r="AK84" t="s">
        <v>118</v>
      </c>
      <c r="AL84">
        <v>0.6171875</v>
      </c>
    </row>
    <row r="85" spans="2:40" ht="15" customHeight="1" x14ac:dyDescent="0.2">
      <c r="B85">
        <v>24</v>
      </c>
      <c r="C85">
        <v>8</v>
      </c>
      <c r="D85">
        <v>2</v>
      </c>
      <c r="E85" t="s">
        <v>216</v>
      </c>
      <c r="F85" t="s">
        <v>153</v>
      </c>
      <c r="G85" s="15">
        <v>41798</v>
      </c>
      <c r="H85" t="s">
        <v>109</v>
      </c>
      <c r="I85" t="s">
        <v>168</v>
      </c>
      <c r="J85" t="s">
        <v>111</v>
      </c>
      <c r="K85">
        <v>18</v>
      </c>
      <c r="L85" t="s">
        <v>154</v>
      </c>
      <c r="M85" t="s">
        <v>206</v>
      </c>
      <c r="N85" t="s">
        <v>114</v>
      </c>
      <c r="O85">
        <v>70.900000000000006</v>
      </c>
      <c r="P85">
        <v>132</v>
      </c>
      <c r="Q85">
        <v>6183</v>
      </c>
      <c r="R85" t="s">
        <v>157</v>
      </c>
      <c r="S85" t="s">
        <v>158</v>
      </c>
      <c r="T85" t="s">
        <v>124</v>
      </c>
      <c r="U85" t="s">
        <v>127</v>
      </c>
      <c r="V85" t="s">
        <v>133</v>
      </c>
      <c r="W85" t="s">
        <v>156</v>
      </c>
      <c r="X85">
        <v>4</v>
      </c>
      <c r="AA85">
        <v>2</v>
      </c>
      <c r="AB85" t="s">
        <v>99</v>
      </c>
      <c r="AC85" t="s">
        <v>128</v>
      </c>
      <c r="AD85" t="s">
        <v>122</v>
      </c>
      <c r="AE85" t="str">
        <f t="shared" si="1"/>
        <v>Mangold</v>
      </c>
      <c r="AF85">
        <v>2</v>
      </c>
      <c r="AG85">
        <v>1</v>
      </c>
      <c r="AH85">
        <v>0</v>
      </c>
      <c r="AI85">
        <v>0</v>
      </c>
      <c r="AJ85">
        <v>1</v>
      </c>
      <c r="AK85" t="s">
        <v>122</v>
      </c>
      <c r="AL85">
        <v>0.47321428571428598</v>
      </c>
    </row>
    <row r="86" spans="2:40" ht="15" customHeight="1" x14ac:dyDescent="0.2">
      <c r="B86">
        <v>1</v>
      </c>
      <c r="C86">
        <v>1</v>
      </c>
      <c r="D86">
        <v>3</v>
      </c>
      <c r="E86" t="s">
        <v>217</v>
      </c>
      <c r="F86" t="s">
        <v>108</v>
      </c>
      <c r="G86" s="15">
        <v>42168</v>
      </c>
      <c r="H86" t="s">
        <v>109</v>
      </c>
      <c r="I86" t="s">
        <v>218</v>
      </c>
      <c r="J86" t="s">
        <v>219</v>
      </c>
      <c r="K86">
        <v>9</v>
      </c>
      <c r="L86" t="s">
        <v>112</v>
      </c>
      <c r="M86" t="s">
        <v>220</v>
      </c>
      <c r="N86" t="s">
        <v>170</v>
      </c>
      <c r="O86">
        <v>71.099999999999994</v>
      </c>
      <c r="P86">
        <v>135</v>
      </c>
      <c r="Q86">
        <v>6323</v>
      </c>
      <c r="R86" t="s">
        <v>115</v>
      </c>
      <c r="S86" t="s">
        <v>116</v>
      </c>
      <c r="T86" t="s">
        <v>117</v>
      </c>
      <c r="U86" t="s">
        <v>135</v>
      </c>
      <c r="V86" t="s">
        <v>127</v>
      </c>
      <c r="W86" t="s">
        <v>221</v>
      </c>
      <c r="X86">
        <v>24</v>
      </c>
      <c r="Y86" t="s">
        <v>135</v>
      </c>
      <c r="Z86">
        <v>21</v>
      </c>
      <c r="AA86">
        <v>1</v>
      </c>
      <c r="AB86" t="s">
        <v>99</v>
      </c>
      <c r="AC86" t="s">
        <v>222</v>
      </c>
      <c r="AE86" t="str">
        <f t="shared" si="1"/>
        <v>FerrinShively</v>
      </c>
      <c r="AF86">
        <v>1</v>
      </c>
      <c r="AG86">
        <v>1</v>
      </c>
      <c r="AH86">
        <v>0</v>
      </c>
      <c r="AI86">
        <v>0</v>
      </c>
      <c r="AJ86">
        <v>1</v>
      </c>
      <c r="AK86" t="s">
        <v>1308</v>
      </c>
      <c r="AL86">
        <v>0.59375</v>
      </c>
      <c r="AM86" t="s">
        <v>122</v>
      </c>
      <c r="AN86">
        <v>0.47321428571428598</v>
      </c>
    </row>
    <row r="87" spans="2:40" ht="15" customHeight="1" x14ac:dyDescent="0.2">
      <c r="B87">
        <v>1</v>
      </c>
      <c r="C87">
        <v>1</v>
      </c>
      <c r="D87">
        <v>3</v>
      </c>
      <c r="E87" t="s">
        <v>217</v>
      </c>
      <c r="F87" t="s">
        <v>108</v>
      </c>
      <c r="G87" s="15">
        <v>42168</v>
      </c>
      <c r="H87" t="s">
        <v>109</v>
      </c>
      <c r="I87" t="s">
        <v>218</v>
      </c>
      <c r="J87" t="s">
        <v>219</v>
      </c>
      <c r="K87">
        <v>9</v>
      </c>
      <c r="L87" t="s">
        <v>112</v>
      </c>
      <c r="M87" t="s">
        <v>220</v>
      </c>
      <c r="N87" t="s">
        <v>170</v>
      </c>
      <c r="O87">
        <v>71.099999999999994</v>
      </c>
      <c r="P87">
        <v>135</v>
      </c>
      <c r="Q87">
        <v>6323</v>
      </c>
      <c r="R87" t="s">
        <v>115</v>
      </c>
      <c r="S87" t="s">
        <v>116</v>
      </c>
      <c r="T87" t="s">
        <v>124</v>
      </c>
      <c r="U87" t="s">
        <v>123</v>
      </c>
      <c r="V87" t="s">
        <v>1308</v>
      </c>
      <c r="W87" t="s">
        <v>170</v>
      </c>
      <c r="X87">
        <v>10.7911504424779</v>
      </c>
      <c r="Y87" t="s">
        <v>122</v>
      </c>
      <c r="Z87">
        <v>21.226548672566398</v>
      </c>
      <c r="AA87">
        <v>1</v>
      </c>
      <c r="AB87" t="s">
        <v>100</v>
      </c>
      <c r="AC87" t="s">
        <v>222</v>
      </c>
      <c r="AE87" t="str">
        <f t="shared" si="1"/>
        <v>ConnollyHilts</v>
      </c>
      <c r="AF87">
        <v>0</v>
      </c>
      <c r="AG87">
        <v>0</v>
      </c>
      <c r="AH87">
        <v>1</v>
      </c>
      <c r="AI87">
        <v>0</v>
      </c>
      <c r="AJ87">
        <v>0</v>
      </c>
      <c r="AK87" t="s">
        <v>127</v>
      </c>
      <c r="AL87">
        <v>0.59523809523809501</v>
      </c>
      <c r="AM87" t="s">
        <v>135</v>
      </c>
    </row>
    <row r="88" spans="2:40" ht="15" customHeight="1" x14ac:dyDescent="0.2">
      <c r="B88">
        <v>2</v>
      </c>
      <c r="C88">
        <v>2</v>
      </c>
      <c r="D88">
        <v>3</v>
      </c>
      <c r="E88" t="s">
        <v>223</v>
      </c>
      <c r="F88" t="s">
        <v>108</v>
      </c>
      <c r="G88" s="15">
        <v>42168</v>
      </c>
      <c r="H88" t="s">
        <v>109</v>
      </c>
      <c r="I88" t="s">
        <v>218</v>
      </c>
      <c r="J88" t="s">
        <v>219</v>
      </c>
      <c r="K88">
        <v>9</v>
      </c>
      <c r="L88" t="s">
        <v>112</v>
      </c>
      <c r="M88" t="s">
        <v>220</v>
      </c>
      <c r="N88" t="s">
        <v>170</v>
      </c>
      <c r="O88">
        <v>71.099999999999994</v>
      </c>
      <c r="P88">
        <v>135</v>
      </c>
      <c r="Q88">
        <v>6323</v>
      </c>
      <c r="R88" t="s">
        <v>115</v>
      </c>
      <c r="S88" t="s">
        <v>116</v>
      </c>
      <c r="T88" t="s">
        <v>124</v>
      </c>
      <c r="U88" t="s">
        <v>123</v>
      </c>
      <c r="V88" t="s">
        <v>172</v>
      </c>
      <c r="W88" t="s">
        <v>170</v>
      </c>
      <c r="X88">
        <v>29.646017699115099</v>
      </c>
      <c r="Y88" t="s">
        <v>175</v>
      </c>
      <c r="Z88">
        <v>18.736283185840701</v>
      </c>
      <c r="AA88">
        <v>1</v>
      </c>
      <c r="AB88" t="s">
        <v>99</v>
      </c>
      <c r="AC88" t="s">
        <v>222</v>
      </c>
      <c r="AE88" t="str">
        <f t="shared" si="1"/>
        <v>FoganWeisberger</v>
      </c>
      <c r="AF88">
        <v>1</v>
      </c>
      <c r="AG88">
        <v>1</v>
      </c>
      <c r="AH88">
        <v>0</v>
      </c>
      <c r="AI88">
        <v>0</v>
      </c>
      <c r="AJ88">
        <v>1</v>
      </c>
      <c r="AK88" t="s">
        <v>119</v>
      </c>
      <c r="AL88">
        <v>0.546875</v>
      </c>
      <c r="AM88" t="s">
        <v>118</v>
      </c>
      <c r="AN88">
        <v>0.6171875</v>
      </c>
    </row>
    <row r="89" spans="2:40" ht="15" customHeight="1" x14ac:dyDescent="0.2">
      <c r="B89">
        <v>2</v>
      </c>
      <c r="C89">
        <v>2</v>
      </c>
      <c r="D89">
        <v>3</v>
      </c>
      <c r="E89" t="s">
        <v>223</v>
      </c>
      <c r="F89" t="s">
        <v>108</v>
      </c>
      <c r="G89" s="15">
        <v>42168</v>
      </c>
      <c r="H89" t="s">
        <v>109</v>
      </c>
      <c r="I89" t="s">
        <v>218</v>
      </c>
      <c r="J89" t="s">
        <v>219</v>
      </c>
      <c r="K89">
        <v>9</v>
      </c>
      <c r="L89" t="s">
        <v>112</v>
      </c>
      <c r="M89" t="s">
        <v>220</v>
      </c>
      <c r="N89" t="s">
        <v>170</v>
      </c>
      <c r="O89">
        <v>71.099999999999994</v>
      </c>
      <c r="P89">
        <v>135</v>
      </c>
      <c r="Q89">
        <v>6323</v>
      </c>
      <c r="R89" t="s">
        <v>115</v>
      </c>
      <c r="S89" t="s">
        <v>116</v>
      </c>
      <c r="T89" t="s">
        <v>117</v>
      </c>
      <c r="U89" t="s">
        <v>135</v>
      </c>
      <c r="V89" t="s">
        <v>119</v>
      </c>
      <c r="W89" t="s">
        <v>221</v>
      </c>
      <c r="X89">
        <v>17</v>
      </c>
      <c r="Y89" t="s">
        <v>118</v>
      </c>
      <c r="Z89">
        <v>15</v>
      </c>
      <c r="AA89">
        <v>1</v>
      </c>
      <c r="AB89" t="s">
        <v>100</v>
      </c>
      <c r="AC89" t="s">
        <v>222</v>
      </c>
      <c r="AE89" t="str">
        <f t="shared" si="1"/>
        <v>GriseJackson</v>
      </c>
      <c r="AF89">
        <v>0</v>
      </c>
      <c r="AG89">
        <v>0</v>
      </c>
      <c r="AH89">
        <v>1</v>
      </c>
      <c r="AI89">
        <v>0</v>
      </c>
      <c r="AJ89">
        <v>0</v>
      </c>
      <c r="AK89" t="s">
        <v>172</v>
      </c>
      <c r="AL89">
        <v>0.37288135593220301</v>
      </c>
      <c r="AM89" t="s">
        <v>175</v>
      </c>
      <c r="AN89">
        <v>0.5</v>
      </c>
    </row>
    <row r="90" spans="2:40" ht="15" customHeight="1" x14ac:dyDescent="0.2">
      <c r="B90">
        <v>3</v>
      </c>
      <c r="C90">
        <v>3</v>
      </c>
      <c r="D90">
        <v>3</v>
      </c>
      <c r="E90" t="s">
        <v>224</v>
      </c>
      <c r="F90" t="s">
        <v>108</v>
      </c>
      <c r="G90" s="15">
        <v>42168</v>
      </c>
      <c r="H90" t="s">
        <v>109</v>
      </c>
      <c r="I90" t="s">
        <v>218</v>
      </c>
      <c r="J90" t="s">
        <v>219</v>
      </c>
      <c r="K90">
        <v>9</v>
      </c>
      <c r="L90" t="s">
        <v>112</v>
      </c>
      <c r="M90" t="s">
        <v>220</v>
      </c>
      <c r="N90" t="s">
        <v>170</v>
      </c>
      <c r="O90">
        <v>71.099999999999994</v>
      </c>
      <c r="P90">
        <v>135</v>
      </c>
      <c r="Q90">
        <v>6323</v>
      </c>
      <c r="R90" t="s">
        <v>115</v>
      </c>
      <c r="S90" t="s">
        <v>116</v>
      </c>
      <c r="T90" t="s">
        <v>117</v>
      </c>
      <c r="U90" t="s">
        <v>135</v>
      </c>
      <c r="V90" t="s">
        <v>132</v>
      </c>
      <c r="W90" t="s">
        <v>221</v>
      </c>
      <c r="X90">
        <v>15.890265486725699</v>
      </c>
      <c r="Y90" t="s">
        <v>176</v>
      </c>
      <c r="Z90">
        <v>29.646017699115099</v>
      </c>
      <c r="AA90">
        <v>1</v>
      </c>
      <c r="AB90" t="s">
        <v>100</v>
      </c>
      <c r="AC90" t="s">
        <v>225</v>
      </c>
      <c r="AE90" t="str">
        <f t="shared" si="1"/>
        <v>FlandersForster</v>
      </c>
      <c r="AF90">
        <v>0</v>
      </c>
      <c r="AG90">
        <v>0</v>
      </c>
      <c r="AH90">
        <v>1</v>
      </c>
      <c r="AI90">
        <v>0</v>
      </c>
      <c r="AJ90">
        <v>0</v>
      </c>
      <c r="AK90" t="s">
        <v>226</v>
      </c>
      <c r="AL90">
        <v>0.65476190476190499</v>
      </c>
      <c r="AM90" t="s">
        <v>227</v>
      </c>
      <c r="AN90">
        <v>0.5</v>
      </c>
    </row>
    <row r="91" spans="2:40" ht="15" customHeight="1" x14ac:dyDescent="0.2">
      <c r="B91">
        <v>3</v>
      </c>
      <c r="C91">
        <v>3</v>
      </c>
      <c r="D91">
        <v>3</v>
      </c>
      <c r="E91" t="s">
        <v>224</v>
      </c>
      <c r="F91" t="s">
        <v>108</v>
      </c>
      <c r="G91" s="15">
        <v>42168</v>
      </c>
      <c r="H91" t="s">
        <v>109</v>
      </c>
      <c r="I91" t="s">
        <v>218</v>
      </c>
      <c r="J91" t="s">
        <v>219</v>
      </c>
      <c r="K91">
        <v>9</v>
      </c>
      <c r="L91" t="s">
        <v>112</v>
      </c>
      <c r="M91" t="s">
        <v>220</v>
      </c>
      <c r="N91" t="s">
        <v>170</v>
      </c>
      <c r="O91">
        <v>71.099999999999994</v>
      </c>
      <c r="P91">
        <v>135</v>
      </c>
      <c r="Q91">
        <v>6323</v>
      </c>
      <c r="R91" t="s">
        <v>115</v>
      </c>
      <c r="S91" t="s">
        <v>116</v>
      </c>
      <c r="T91" t="s">
        <v>124</v>
      </c>
      <c r="U91" t="s">
        <v>123</v>
      </c>
      <c r="V91" t="s">
        <v>226</v>
      </c>
      <c r="W91" t="s">
        <v>170</v>
      </c>
      <c r="X91">
        <v>13.044247787610599</v>
      </c>
      <c r="Y91" t="s">
        <v>227</v>
      </c>
      <c r="Z91">
        <v>16.957522123893799</v>
      </c>
      <c r="AA91">
        <v>1</v>
      </c>
      <c r="AB91" t="s">
        <v>99</v>
      </c>
      <c r="AC91" t="s">
        <v>225</v>
      </c>
      <c r="AE91" t="str">
        <f t="shared" si="1"/>
        <v>GrayZimmer</v>
      </c>
      <c r="AF91">
        <v>1</v>
      </c>
      <c r="AG91">
        <v>1</v>
      </c>
      <c r="AH91">
        <v>0</v>
      </c>
      <c r="AI91">
        <v>0</v>
      </c>
      <c r="AJ91">
        <v>1</v>
      </c>
      <c r="AK91" t="s">
        <v>132</v>
      </c>
      <c r="AL91">
        <v>0.4296875</v>
      </c>
      <c r="AM91" t="s">
        <v>176</v>
      </c>
      <c r="AN91">
        <v>0.59649122807017496</v>
      </c>
    </row>
    <row r="92" spans="2:40" ht="15" customHeight="1" x14ac:dyDescent="0.2">
      <c r="B92">
        <v>4</v>
      </c>
      <c r="C92">
        <v>4</v>
      </c>
      <c r="D92">
        <v>3</v>
      </c>
      <c r="E92" t="s">
        <v>228</v>
      </c>
      <c r="F92" t="s">
        <v>108</v>
      </c>
      <c r="G92" s="15">
        <v>42168</v>
      </c>
      <c r="H92" t="s">
        <v>109</v>
      </c>
      <c r="I92" t="s">
        <v>218</v>
      </c>
      <c r="J92" t="s">
        <v>219</v>
      </c>
      <c r="K92">
        <v>9</v>
      </c>
      <c r="L92" t="s">
        <v>112</v>
      </c>
      <c r="M92" t="s">
        <v>220</v>
      </c>
      <c r="N92" t="s">
        <v>170</v>
      </c>
      <c r="O92">
        <v>71.099999999999994</v>
      </c>
      <c r="P92">
        <v>135</v>
      </c>
      <c r="Q92">
        <v>6323</v>
      </c>
      <c r="R92" t="s">
        <v>115</v>
      </c>
      <c r="S92" t="s">
        <v>116</v>
      </c>
      <c r="T92" t="s">
        <v>124</v>
      </c>
      <c r="U92" t="s">
        <v>123</v>
      </c>
      <c r="V92" t="s">
        <v>120</v>
      </c>
      <c r="W92" t="s">
        <v>170</v>
      </c>
      <c r="X92">
        <v>22.293805309734498</v>
      </c>
      <c r="Y92" t="s">
        <v>123</v>
      </c>
      <c r="Z92">
        <v>18.973451327433601</v>
      </c>
      <c r="AA92">
        <v>1</v>
      </c>
      <c r="AB92" t="s">
        <v>99</v>
      </c>
      <c r="AC92" t="s">
        <v>225</v>
      </c>
      <c r="AE92" t="str">
        <f t="shared" si="1"/>
        <v>HickersonLynch</v>
      </c>
      <c r="AF92">
        <v>1</v>
      </c>
      <c r="AG92">
        <v>1</v>
      </c>
      <c r="AH92">
        <v>0</v>
      </c>
      <c r="AI92">
        <v>0</v>
      </c>
      <c r="AJ92">
        <v>1</v>
      </c>
      <c r="AK92" t="s">
        <v>693</v>
      </c>
      <c r="AL92">
        <v>0.44827586206896602</v>
      </c>
      <c r="AM92" t="s">
        <v>133</v>
      </c>
      <c r="AN92">
        <v>0.38392857142857201</v>
      </c>
    </row>
    <row r="93" spans="2:40" ht="15" customHeight="1" x14ac:dyDescent="0.2">
      <c r="B93">
        <v>4</v>
      </c>
      <c r="C93">
        <v>4</v>
      </c>
      <c r="D93">
        <v>3</v>
      </c>
      <c r="E93" t="s">
        <v>228</v>
      </c>
      <c r="F93" t="s">
        <v>108</v>
      </c>
      <c r="G93" s="15">
        <v>42168</v>
      </c>
      <c r="H93" t="s">
        <v>109</v>
      </c>
      <c r="I93" t="s">
        <v>218</v>
      </c>
      <c r="J93" t="s">
        <v>219</v>
      </c>
      <c r="K93">
        <v>9</v>
      </c>
      <c r="L93" t="s">
        <v>112</v>
      </c>
      <c r="M93" t="s">
        <v>220</v>
      </c>
      <c r="N93" t="s">
        <v>170</v>
      </c>
      <c r="O93">
        <v>71.099999999999994</v>
      </c>
      <c r="P93">
        <v>135</v>
      </c>
      <c r="Q93">
        <v>6323</v>
      </c>
      <c r="R93" t="s">
        <v>115</v>
      </c>
      <c r="S93" t="s">
        <v>116</v>
      </c>
      <c r="T93" t="s">
        <v>117</v>
      </c>
      <c r="U93" t="s">
        <v>135</v>
      </c>
      <c r="V93" t="s">
        <v>693</v>
      </c>
      <c r="W93" t="s">
        <v>221</v>
      </c>
      <c r="X93">
        <v>16</v>
      </c>
      <c r="Y93" t="s">
        <v>133</v>
      </c>
      <c r="Z93">
        <v>19</v>
      </c>
      <c r="AA93">
        <v>1</v>
      </c>
      <c r="AB93" t="s">
        <v>100</v>
      </c>
      <c r="AC93" t="s">
        <v>225</v>
      </c>
      <c r="AE93" t="str">
        <f t="shared" si="1"/>
        <v>BussiculoMangold</v>
      </c>
      <c r="AF93">
        <v>0</v>
      </c>
      <c r="AG93">
        <v>0</v>
      </c>
      <c r="AH93">
        <v>1</v>
      </c>
      <c r="AI93">
        <v>0</v>
      </c>
      <c r="AJ93">
        <v>0</v>
      </c>
      <c r="AK93" t="s">
        <v>120</v>
      </c>
      <c r="AL93">
        <v>0.35714285714285698</v>
      </c>
      <c r="AM93" t="s">
        <v>123</v>
      </c>
      <c r="AN93">
        <v>0.5546875</v>
      </c>
    </row>
    <row r="94" spans="2:40" ht="15" customHeight="1" x14ac:dyDescent="0.2">
      <c r="B94">
        <v>5</v>
      </c>
      <c r="C94">
        <v>5</v>
      </c>
      <c r="D94">
        <v>3</v>
      </c>
      <c r="E94" t="s">
        <v>229</v>
      </c>
      <c r="F94" t="s">
        <v>108</v>
      </c>
      <c r="G94" s="15">
        <v>42168</v>
      </c>
      <c r="H94" t="s">
        <v>109</v>
      </c>
      <c r="I94" t="s">
        <v>218</v>
      </c>
      <c r="J94" t="s">
        <v>219</v>
      </c>
      <c r="K94">
        <v>9</v>
      </c>
      <c r="L94" t="s">
        <v>112</v>
      </c>
      <c r="M94" t="s">
        <v>220</v>
      </c>
      <c r="N94" t="s">
        <v>170</v>
      </c>
      <c r="O94">
        <v>71.099999999999994</v>
      </c>
      <c r="P94">
        <v>135</v>
      </c>
      <c r="Q94">
        <v>6323</v>
      </c>
      <c r="R94" t="s">
        <v>115</v>
      </c>
      <c r="S94" t="s">
        <v>116</v>
      </c>
      <c r="T94" t="s">
        <v>117</v>
      </c>
      <c r="U94" t="s">
        <v>135</v>
      </c>
      <c r="V94" t="s">
        <v>178</v>
      </c>
      <c r="W94" t="s">
        <v>221</v>
      </c>
      <c r="X94">
        <v>19.803539823008901</v>
      </c>
      <c r="Y94" t="s">
        <v>230</v>
      </c>
      <c r="Z94">
        <v>22.1752212389381</v>
      </c>
      <c r="AA94">
        <v>1</v>
      </c>
      <c r="AB94" t="s">
        <v>100</v>
      </c>
      <c r="AC94" t="s">
        <v>225</v>
      </c>
      <c r="AE94" t="str">
        <f t="shared" si="1"/>
        <v>ConnorsNorat</v>
      </c>
      <c r="AF94">
        <v>0</v>
      </c>
      <c r="AG94">
        <v>0</v>
      </c>
      <c r="AH94">
        <v>1</v>
      </c>
      <c r="AI94">
        <v>0</v>
      </c>
      <c r="AJ94">
        <v>0</v>
      </c>
      <c r="AK94" t="s">
        <v>179</v>
      </c>
      <c r="AL94">
        <v>0.44067796610169502</v>
      </c>
      <c r="AM94" t="s">
        <v>231</v>
      </c>
      <c r="AN94">
        <v>0.5</v>
      </c>
    </row>
    <row r="95" spans="2:40" ht="15" customHeight="1" x14ac:dyDescent="0.2">
      <c r="B95">
        <v>5</v>
      </c>
      <c r="C95">
        <v>5</v>
      </c>
      <c r="D95">
        <v>3</v>
      </c>
      <c r="E95" t="s">
        <v>229</v>
      </c>
      <c r="F95" t="s">
        <v>108</v>
      </c>
      <c r="G95" s="15">
        <v>42168</v>
      </c>
      <c r="H95" t="s">
        <v>109</v>
      </c>
      <c r="I95" t="s">
        <v>218</v>
      </c>
      <c r="J95" t="s">
        <v>219</v>
      </c>
      <c r="K95">
        <v>9</v>
      </c>
      <c r="L95" t="s">
        <v>112</v>
      </c>
      <c r="M95" t="s">
        <v>220</v>
      </c>
      <c r="N95" t="s">
        <v>170</v>
      </c>
      <c r="O95">
        <v>71.099999999999994</v>
      </c>
      <c r="P95">
        <v>135</v>
      </c>
      <c r="Q95">
        <v>6323</v>
      </c>
      <c r="R95" t="s">
        <v>115</v>
      </c>
      <c r="S95" t="s">
        <v>116</v>
      </c>
      <c r="T95" t="s">
        <v>124</v>
      </c>
      <c r="U95" t="s">
        <v>123</v>
      </c>
      <c r="V95" t="s">
        <v>179</v>
      </c>
      <c r="W95" t="s">
        <v>170</v>
      </c>
      <c r="X95">
        <v>29.4088495575221</v>
      </c>
      <c r="Y95" t="s">
        <v>231</v>
      </c>
      <c r="Z95">
        <v>11.265486725663701</v>
      </c>
      <c r="AA95">
        <v>1</v>
      </c>
      <c r="AB95" t="s">
        <v>99</v>
      </c>
      <c r="AC95" t="s">
        <v>225</v>
      </c>
      <c r="AE95" t="str">
        <f t="shared" si="1"/>
        <v>ColeMcInerney</v>
      </c>
      <c r="AF95">
        <v>1</v>
      </c>
      <c r="AG95">
        <v>1</v>
      </c>
      <c r="AH95">
        <v>0</v>
      </c>
      <c r="AI95">
        <v>0</v>
      </c>
      <c r="AJ95">
        <v>1</v>
      </c>
      <c r="AK95" t="s">
        <v>178</v>
      </c>
      <c r="AL95">
        <v>0.34745762711864397</v>
      </c>
      <c r="AM95" t="s">
        <v>230</v>
      </c>
      <c r="AN95">
        <v>0.52777777777777801</v>
      </c>
    </row>
    <row r="96" spans="2:40" ht="15" customHeight="1" x14ac:dyDescent="0.2">
      <c r="B96">
        <v>6</v>
      </c>
      <c r="C96">
        <v>1</v>
      </c>
      <c r="D96">
        <v>3</v>
      </c>
      <c r="E96" t="s">
        <v>232</v>
      </c>
      <c r="F96" t="s">
        <v>108</v>
      </c>
      <c r="G96" s="15">
        <v>42168</v>
      </c>
      <c r="H96" t="s">
        <v>109</v>
      </c>
      <c r="I96" t="s">
        <v>218</v>
      </c>
      <c r="J96" t="s">
        <v>219</v>
      </c>
      <c r="K96">
        <v>9</v>
      </c>
      <c r="L96" t="s">
        <v>137</v>
      </c>
      <c r="M96" t="s">
        <v>220</v>
      </c>
      <c r="N96" t="s">
        <v>170</v>
      </c>
      <c r="O96">
        <v>71.099999999999994</v>
      </c>
      <c r="P96">
        <v>135</v>
      </c>
      <c r="Q96">
        <v>6323</v>
      </c>
      <c r="R96" t="s">
        <v>189</v>
      </c>
      <c r="S96" t="s">
        <v>116</v>
      </c>
      <c r="T96" t="s">
        <v>117</v>
      </c>
      <c r="U96" t="s">
        <v>135</v>
      </c>
      <c r="V96" t="s">
        <v>127</v>
      </c>
      <c r="W96" t="s">
        <v>221</v>
      </c>
      <c r="X96">
        <v>24</v>
      </c>
      <c r="Y96" t="s">
        <v>135</v>
      </c>
      <c r="Z96">
        <v>21</v>
      </c>
      <c r="AA96">
        <v>1</v>
      </c>
      <c r="AB96" t="s">
        <v>100</v>
      </c>
      <c r="AC96" t="s">
        <v>195</v>
      </c>
      <c r="AE96" t="str">
        <f t="shared" si="1"/>
        <v>FerrinShively</v>
      </c>
      <c r="AF96">
        <v>0</v>
      </c>
      <c r="AG96">
        <v>0</v>
      </c>
      <c r="AH96">
        <v>1</v>
      </c>
      <c r="AI96">
        <v>0</v>
      </c>
      <c r="AJ96">
        <v>0</v>
      </c>
      <c r="AK96" t="s">
        <v>1308</v>
      </c>
      <c r="AL96">
        <v>0.59375</v>
      </c>
      <c r="AM96" t="s">
        <v>122</v>
      </c>
      <c r="AN96">
        <v>0.47321428571428598</v>
      </c>
    </row>
    <row r="97" spans="2:40" ht="15" customHeight="1" x14ac:dyDescent="0.2">
      <c r="B97">
        <v>6</v>
      </c>
      <c r="C97">
        <v>1</v>
      </c>
      <c r="D97">
        <v>3</v>
      </c>
      <c r="E97" t="s">
        <v>232</v>
      </c>
      <c r="F97" t="s">
        <v>108</v>
      </c>
      <c r="G97" s="15">
        <v>42168</v>
      </c>
      <c r="H97" t="s">
        <v>109</v>
      </c>
      <c r="I97" t="s">
        <v>218</v>
      </c>
      <c r="J97" t="s">
        <v>219</v>
      </c>
      <c r="K97">
        <v>9</v>
      </c>
      <c r="L97" t="s">
        <v>137</v>
      </c>
      <c r="M97" t="s">
        <v>220</v>
      </c>
      <c r="N97" t="s">
        <v>170</v>
      </c>
      <c r="O97">
        <v>71.099999999999994</v>
      </c>
      <c r="P97">
        <v>135</v>
      </c>
      <c r="Q97">
        <v>6323</v>
      </c>
      <c r="R97" t="s">
        <v>189</v>
      </c>
      <c r="S97" t="s">
        <v>116</v>
      </c>
      <c r="T97" t="s">
        <v>124</v>
      </c>
      <c r="U97" t="s">
        <v>123</v>
      </c>
      <c r="V97" t="s">
        <v>1308</v>
      </c>
      <c r="W97" t="s">
        <v>170</v>
      </c>
      <c r="X97">
        <v>10.7911504424779</v>
      </c>
      <c r="Y97" t="s">
        <v>122</v>
      </c>
      <c r="Z97">
        <v>21.226548672566398</v>
      </c>
      <c r="AA97">
        <v>1</v>
      </c>
      <c r="AB97" t="s">
        <v>99</v>
      </c>
      <c r="AC97" t="s">
        <v>195</v>
      </c>
      <c r="AE97" t="str">
        <f t="shared" si="1"/>
        <v>ConnollyHilts</v>
      </c>
      <c r="AF97">
        <v>1</v>
      </c>
      <c r="AG97">
        <v>1</v>
      </c>
      <c r="AH97">
        <v>0</v>
      </c>
      <c r="AI97">
        <v>0</v>
      </c>
      <c r="AJ97">
        <v>1</v>
      </c>
      <c r="AK97" t="s">
        <v>127</v>
      </c>
      <c r="AL97">
        <v>0.59523809523809501</v>
      </c>
      <c r="AM97" t="s">
        <v>135</v>
      </c>
    </row>
    <row r="98" spans="2:40" ht="15" customHeight="1" x14ac:dyDescent="0.2">
      <c r="B98">
        <v>7</v>
      </c>
      <c r="C98">
        <v>2</v>
      </c>
      <c r="D98">
        <v>3</v>
      </c>
      <c r="E98" t="s">
        <v>233</v>
      </c>
      <c r="F98" t="s">
        <v>108</v>
      </c>
      <c r="G98" s="15">
        <v>42168</v>
      </c>
      <c r="H98" t="s">
        <v>109</v>
      </c>
      <c r="I98" t="s">
        <v>218</v>
      </c>
      <c r="J98" t="s">
        <v>219</v>
      </c>
      <c r="K98">
        <v>9</v>
      </c>
      <c r="L98" t="s">
        <v>137</v>
      </c>
      <c r="M98" t="s">
        <v>220</v>
      </c>
      <c r="N98" t="s">
        <v>170</v>
      </c>
      <c r="O98">
        <v>71.099999999999994</v>
      </c>
      <c r="P98">
        <v>135</v>
      </c>
      <c r="Q98">
        <v>6323</v>
      </c>
      <c r="R98" t="s">
        <v>189</v>
      </c>
      <c r="S98" t="s">
        <v>116</v>
      </c>
      <c r="T98" t="s">
        <v>124</v>
      </c>
      <c r="U98" t="s">
        <v>123</v>
      </c>
      <c r="V98" t="s">
        <v>172</v>
      </c>
      <c r="W98" t="s">
        <v>170</v>
      </c>
      <c r="X98">
        <v>29.646017699115099</v>
      </c>
      <c r="Y98" t="s">
        <v>175</v>
      </c>
      <c r="Z98">
        <v>18.736283185840701</v>
      </c>
      <c r="AA98">
        <v>1</v>
      </c>
      <c r="AB98" t="s">
        <v>100</v>
      </c>
      <c r="AC98" t="s">
        <v>234</v>
      </c>
      <c r="AE98" t="str">
        <f t="shared" si="1"/>
        <v>FoganWeisberger</v>
      </c>
      <c r="AF98">
        <v>0</v>
      </c>
      <c r="AG98">
        <v>0</v>
      </c>
      <c r="AH98">
        <v>1</v>
      </c>
      <c r="AI98">
        <v>0</v>
      </c>
      <c r="AJ98">
        <v>0</v>
      </c>
      <c r="AK98" t="s">
        <v>119</v>
      </c>
      <c r="AL98">
        <v>0.546875</v>
      </c>
      <c r="AM98" t="s">
        <v>118</v>
      </c>
      <c r="AN98">
        <v>0.6171875</v>
      </c>
    </row>
    <row r="99" spans="2:40" ht="15" customHeight="1" x14ac:dyDescent="0.2">
      <c r="B99">
        <v>7</v>
      </c>
      <c r="C99">
        <v>2</v>
      </c>
      <c r="D99">
        <v>3</v>
      </c>
      <c r="E99" t="s">
        <v>233</v>
      </c>
      <c r="F99" t="s">
        <v>108</v>
      </c>
      <c r="G99" s="15">
        <v>42168</v>
      </c>
      <c r="H99" t="s">
        <v>109</v>
      </c>
      <c r="I99" t="s">
        <v>218</v>
      </c>
      <c r="J99" t="s">
        <v>219</v>
      </c>
      <c r="K99">
        <v>9</v>
      </c>
      <c r="L99" t="s">
        <v>137</v>
      </c>
      <c r="M99" t="s">
        <v>220</v>
      </c>
      <c r="N99" t="s">
        <v>170</v>
      </c>
      <c r="O99">
        <v>71.099999999999994</v>
      </c>
      <c r="P99">
        <v>135</v>
      </c>
      <c r="Q99">
        <v>6323</v>
      </c>
      <c r="R99" t="s">
        <v>189</v>
      </c>
      <c r="S99" t="s">
        <v>116</v>
      </c>
      <c r="T99" t="s">
        <v>117</v>
      </c>
      <c r="U99" t="s">
        <v>135</v>
      </c>
      <c r="V99" t="s">
        <v>119</v>
      </c>
      <c r="W99" t="s">
        <v>221</v>
      </c>
      <c r="X99">
        <v>17</v>
      </c>
      <c r="Y99" t="s">
        <v>118</v>
      </c>
      <c r="Z99">
        <v>15</v>
      </c>
      <c r="AA99">
        <v>1</v>
      </c>
      <c r="AB99" t="s">
        <v>99</v>
      </c>
      <c r="AC99" t="s">
        <v>234</v>
      </c>
      <c r="AE99" t="str">
        <f t="shared" si="1"/>
        <v>GriseJackson</v>
      </c>
      <c r="AF99">
        <v>1</v>
      </c>
      <c r="AG99">
        <v>1</v>
      </c>
      <c r="AH99">
        <v>0</v>
      </c>
      <c r="AI99">
        <v>0</v>
      </c>
      <c r="AJ99">
        <v>1</v>
      </c>
      <c r="AK99" t="s">
        <v>172</v>
      </c>
      <c r="AL99">
        <v>0.37288135593220301</v>
      </c>
      <c r="AM99" t="s">
        <v>175</v>
      </c>
      <c r="AN99">
        <v>0.5</v>
      </c>
    </row>
    <row r="100" spans="2:40" ht="15" customHeight="1" x14ac:dyDescent="0.2">
      <c r="B100">
        <v>8</v>
      </c>
      <c r="C100">
        <v>3</v>
      </c>
      <c r="D100">
        <v>3</v>
      </c>
      <c r="E100" t="s">
        <v>235</v>
      </c>
      <c r="F100" t="s">
        <v>108</v>
      </c>
      <c r="G100" s="15">
        <v>42168</v>
      </c>
      <c r="H100" t="s">
        <v>109</v>
      </c>
      <c r="I100" t="s">
        <v>218</v>
      </c>
      <c r="J100" t="s">
        <v>219</v>
      </c>
      <c r="K100">
        <v>9</v>
      </c>
      <c r="L100" t="s">
        <v>137</v>
      </c>
      <c r="M100" t="s">
        <v>220</v>
      </c>
      <c r="N100" t="s">
        <v>170</v>
      </c>
      <c r="O100">
        <v>71.099999999999994</v>
      </c>
      <c r="P100">
        <v>135</v>
      </c>
      <c r="Q100">
        <v>6323</v>
      </c>
      <c r="R100" t="s">
        <v>189</v>
      </c>
      <c r="S100" t="s">
        <v>116</v>
      </c>
      <c r="T100" t="s">
        <v>117</v>
      </c>
      <c r="U100" t="s">
        <v>135</v>
      </c>
      <c r="V100" t="s">
        <v>132</v>
      </c>
      <c r="W100" t="s">
        <v>221</v>
      </c>
      <c r="X100">
        <v>15.890265486725699</v>
      </c>
      <c r="Y100" t="s">
        <v>176</v>
      </c>
      <c r="Z100">
        <v>29.646017699115099</v>
      </c>
      <c r="AA100">
        <v>1</v>
      </c>
      <c r="AB100" t="s">
        <v>100</v>
      </c>
      <c r="AC100" t="s">
        <v>142</v>
      </c>
      <c r="AE100" t="str">
        <f t="shared" si="1"/>
        <v>FlandersForster</v>
      </c>
      <c r="AF100">
        <v>0</v>
      </c>
      <c r="AG100">
        <v>0</v>
      </c>
      <c r="AH100">
        <v>1</v>
      </c>
      <c r="AI100">
        <v>0</v>
      </c>
      <c r="AJ100">
        <v>0</v>
      </c>
      <c r="AK100" t="s">
        <v>226</v>
      </c>
      <c r="AL100">
        <v>0.65476190476190499</v>
      </c>
      <c r="AM100" t="s">
        <v>227</v>
      </c>
      <c r="AN100">
        <v>0.5</v>
      </c>
    </row>
    <row r="101" spans="2:40" ht="15" customHeight="1" x14ac:dyDescent="0.2">
      <c r="B101">
        <v>8</v>
      </c>
      <c r="C101">
        <v>3</v>
      </c>
      <c r="D101">
        <v>3</v>
      </c>
      <c r="E101" t="s">
        <v>235</v>
      </c>
      <c r="F101" t="s">
        <v>108</v>
      </c>
      <c r="G101" s="15">
        <v>42168</v>
      </c>
      <c r="H101" t="s">
        <v>109</v>
      </c>
      <c r="I101" t="s">
        <v>218</v>
      </c>
      <c r="J101" t="s">
        <v>219</v>
      </c>
      <c r="K101">
        <v>9</v>
      </c>
      <c r="L101" t="s">
        <v>137</v>
      </c>
      <c r="M101" t="s">
        <v>220</v>
      </c>
      <c r="N101" t="s">
        <v>170</v>
      </c>
      <c r="O101">
        <v>71.099999999999994</v>
      </c>
      <c r="P101">
        <v>135</v>
      </c>
      <c r="Q101">
        <v>6323</v>
      </c>
      <c r="R101" t="s">
        <v>189</v>
      </c>
      <c r="S101" t="s">
        <v>116</v>
      </c>
      <c r="T101" t="s">
        <v>124</v>
      </c>
      <c r="U101" t="s">
        <v>123</v>
      </c>
      <c r="V101" t="s">
        <v>226</v>
      </c>
      <c r="W101" t="s">
        <v>170</v>
      </c>
      <c r="X101">
        <v>13.044247787610599</v>
      </c>
      <c r="Y101" t="s">
        <v>227</v>
      </c>
      <c r="Z101">
        <v>16.957522123893799</v>
      </c>
      <c r="AA101">
        <v>1</v>
      </c>
      <c r="AB101" t="s">
        <v>99</v>
      </c>
      <c r="AC101" t="s">
        <v>142</v>
      </c>
      <c r="AE101" t="str">
        <f t="shared" si="1"/>
        <v>GrayZimmer</v>
      </c>
      <c r="AF101">
        <v>1</v>
      </c>
      <c r="AG101">
        <v>1</v>
      </c>
      <c r="AH101">
        <v>0</v>
      </c>
      <c r="AI101">
        <v>0</v>
      </c>
      <c r="AJ101">
        <v>1</v>
      </c>
      <c r="AK101" t="s">
        <v>132</v>
      </c>
      <c r="AL101">
        <v>0.4296875</v>
      </c>
      <c r="AM101" t="s">
        <v>176</v>
      </c>
      <c r="AN101">
        <v>0.59649122807017496</v>
      </c>
    </row>
    <row r="102" spans="2:40" ht="15" customHeight="1" x14ac:dyDescent="0.2">
      <c r="B102">
        <v>9</v>
      </c>
      <c r="C102">
        <v>4</v>
      </c>
      <c r="D102">
        <v>3</v>
      </c>
      <c r="E102" t="s">
        <v>236</v>
      </c>
      <c r="F102" t="s">
        <v>108</v>
      </c>
      <c r="G102" s="15">
        <v>42168</v>
      </c>
      <c r="H102" t="s">
        <v>109</v>
      </c>
      <c r="I102" t="s">
        <v>218</v>
      </c>
      <c r="J102" t="s">
        <v>219</v>
      </c>
      <c r="K102">
        <v>9</v>
      </c>
      <c r="L102" t="s">
        <v>137</v>
      </c>
      <c r="M102" t="s">
        <v>220</v>
      </c>
      <c r="N102" t="s">
        <v>170</v>
      </c>
      <c r="O102">
        <v>71.099999999999994</v>
      </c>
      <c r="P102">
        <v>135</v>
      </c>
      <c r="Q102">
        <v>6323</v>
      </c>
      <c r="R102" t="s">
        <v>189</v>
      </c>
      <c r="S102" t="s">
        <v>116</v>
      </c>
      <c r="T102" t="s">
        <v>124</v>
      </c>
      <c r="U102" t="s">
        <v>123</v>
      </c>
      <c r="V102" t="s">
        <v>120</v>
      </c>
      <c r="W102" t="s">
        <v>170</v>
      </c>
      <c r="X102">
        <v>22.293805309734498</v>
      </c>
      <c r="Y102" t="s">
        <v>123</v>
      </c>
      <c r="Z102">
        <v>18.973451327433601</v>
      </c>
      <c r="AA102">
        <v>1</v>
      </c>
      <c r="AB102" t="s">
        <v>100</v>
      </c>
      <c r="AC102" t="s">
        <v>142</v>
      </c>
      <c r="AE102" t="str">
        <f t="shared" si="1"/>
        <v>HickersonLynch</v>
      </c>
      <c r="AF102">
        <v>0</v>
      </c>
      <c r="AG102">
        <v>0</v>
      </c>
      <c r="AH102">
        <v>1</v>
      </c>
      <c r="AI102">
        <v>0</v>
      </c>
      <c r="AJ102">
        <v>0</v>
      </c>
      <c r="AK102" t="s">
        <v>693</v>
      </c>
      <c r="AL102">
        <v>0.44827586206896602</v>
      </c>
      <c r="AM102" t="s">
        <v>133</v>
      </c>
      <c r="AN102">
        <v>0.38392857142857201</v>
      </c>
    </row>
    <row r="103" spans="2:40" ht="15" customHeight="1" x14ac:dyDescent="0.2">
      <c r="B103">
        <v>9</v>
      </c>
      <c r="C103">
        <v>4</v>
      </c>
      <c r="D103">
        <v>3</v>
      </c>
      <c r="E103" t="s">
        <v>236</v>
      </c>
      <c r="F103" t="s">
        <v>108</v>
      </c>
      <c r="G103" s="15">
        <v>42168</v>
      </c>
      <c r="H103" t="s">
        <v>109</v>
      </c>
      <c r="I103" t="s">
        <v>218</v>
      </c>
      <c r="J103" t="s">
        <v>219</v>
      </c>
      <c r="K103">
        <v>9</v>
      </c>
      <c r="L103" t="s">
        <v>137</v>
      </c>
      <c r="M103" t="s">
        <v>220</v>
      </c>
      <c r="N103" t="s">
        <v>170</v>
      </c>
      <c r="O103">
        <v>71.099999999999994</v>
      </c>
      <c r="P103">
        <v>135</v>
      </c>
      <c r="Q103">
        <v>6323</v>
      </c>
      <c r="R103" t="s">
        <v>189</v>
      </c>
      <c r="S103" t="s">
        <v>116</v>
      </c>
      <c r="T103" t="s">
        <v>117</v>
      </c>
      <c r="U103" t="s">
        <v>135</v>
      </c>
      <c r="V103" t="s">
        <v>693</v>
      </c>
      <c r="W103" t="s">
        <v>221</v>
      </c>
      <c r="X103">
        <v>16</v>
      </c>
      <c r="Y103" t="s">
        <v>133</v>
      </c>
      <c r="Z103">
        <v>19</v>
      </c>
      <c r="AA103">
        <v>1</v>
      </c>
      <c r="AB103" t="s">
        <v>99</v>
      </c>
      <c r="AC103" t="s">
        <v>142</v>
      </c>
      <c r="AE103" t="str">
        <f t="shared" si="1"/>
        <v>BussiculoMangold</v>
      </c>
      <c r="AF103">
        <v>1</v>
      </c>
      <c r="AG103">
        <v>1</v>
      </c>
      <c r="AH103">
        <v>0</v>
      </c>
      <c r="AI103">
        <v>0</v>
      </c>
      <c r="AJ103">
        <v>1</v>
      </c>
      <c r="AK103" t="s">
        <v>120</v>
      </c>
      <c r="AL103">
        <v>0.35714285714285698</v>
      </c>
      <c r="AM103" t="s">
        <v>123</v>
      </c>
      <c r="AN103">
        <v>0.5546875</v>
      </c>
    </row>
    <row r="104" spans="2:40" ht="15" customHeight="1" x14ac:dyDescent="0.2">
      <c r="B104">
        <v>10</v>
      </c>
      <c r="C104">
        <v>5</v>
      </c>
      <c r="D104">
        <v>3</v>
      </c>
      <c r="E104" t="s">
        <v>237</v>
      </c>
      <c r="F104" t="s">
        <v>108</v>
      </c>
      <c r="G104" s="15">
        <v>42168</v>
      </c>
      <c r="H104" t="s">
        <v>109</v>
      </c>
      <c r="I104" t="s">
        <v>218</v>
      </c>
      <c r="J104" t="s">
        <v>219</v>
      </c>
      <c r="K104">
        <v>9</v>
      </c>
      <c r="L104" t="s">
        <v>137</v>
      </c>
      <c r="M104" t="s">
        <v>220</v>
      </c>
      <c r="N104" t="s">
        <v>170</v>
      </c>
      <c r="O104">
        <v>71.099999999999994</v>
      </c>
      <c r="P104">
        <v>135</v>
      </c>
      <c r="Q104">
        <v>6323</v>
      </c>
      <c r="R104" t="s">
        <v>189</v>
      </c>
      <c r="S104" t="s">
        <v>116</v>
      </c>
      <c r="T104" t="s">
        <v>117</v>
      </c>
      <c r="U104" t="s">
        <v>135</v>
      </c>
      <c r="V104" t="s">
        <v>178</v>
      </c>
      <c r="W104" t="s">
        <v>221</v>
      </c>
      <c r="X104">
        <v>19.803539823008901</v>
      </c>
      <c r="Y104" t="s">
        <v>230</v>
      </c>
      <c r="Z104">
        <v>22.1752212389381</v>
      </c>
      <c r="AA104">
        <v>1</v>
      </c>
      <c r="AB104" t="s">
        <v>100</v>
      </c>
      <c r="AC104" t="s">
        <v>192</v>
      </c>
      <c r="AE104" t="str">
        <f t="shared" si="1"/>
        <v>ConnorsNorat</v>
      </c>
      <c r="AF104">
        <v>0</v>
      </c>
      <c r="AG104">
        <v>0</v>
      </c>
      <c r="AH104">
        <v>1</v>
      </c>
      <c r="AI104">
        <v>0</v>
      </c>
      <c r="AJ104">
        <v>0</v>
      </c>
      <c r="AK104" t="s">
        <v>179</v>
      </c>
      <c r="AL104">
        <v>0.44067796610169502</v>
      </c>
      <c r="AM104" t="s">
        <v>231</v>
      </c>
      <c r="AN104">
        <v>0.5</v>
      </c>
    </row>
    <row r="105" spans="2:40" ht="15" customHeight="1" x14ac:dyDescent="0.2">
      <c r="B105">
        <v>10</v>
      </c>
      <c r="C105">
        <v>5</v>
      </c>
      <c r="D105">
        <v>3</v>
      </c>
      <c r="E105" t="s">
        <v>237</v>
      </c>
      <c r="F105" t="s">
        <v>108</v>
      </c>
      <c r="G105" s="15">
        <v>42168</v>
      </c>
      <c r="H105" t="s">
        <v>109</v>
      </c>
      <c r="I105" t="s">
        <v>218</v>
      </c>
      <c r="J105" t="s">
        <v>219</v>
      </c>
      <c r="K105">
        <v>9</v>
      </c>
      <c r="L105" t="s">
        <v>137</v>
      </c>
      <c r="M105" t="s">
        <v>220</v>
      </c>
      <c r="N105" t="s">
        <v>170</v>
      </c>
      <c r="O105">
        <v>71.099999999999994</v>
      </c>
      <c r="P105">
        <v>135</v>
      </c>
      <c r="Q105">
        <v>6323</v>
      </c>
      <c r="R105" t="s">
        <v>189</v>
      </c>
      <c r="S105" t="s">
        <v>116</v>
      </c>
      <c r="T105" t="s">
        <v>124</v>
      </c>
      <c r="U105" t="s">
        <v>123</v>
      </c>
      <c r="V105" t="s">
        <v>179</v>
      </c>
      <c r="W105" t="s">
        <v>170</v>
      </c>
      <c r="X105">
        <v>29.4088495575221</v>
      </c>
      <c r="Y105" t="s">
        <v>231</v>
      </c>
      <c r="Z105">
        <v>11.265486725663701</v>
      </c>
      <c r="AA105">
        <v>1</v>
      </c>
      <c r="AB105" t="s">
        <v>99</v>
      </c>
      <c r="AC105" t="s">
        <v>192</v>
      </c>
      <c r="AE105" t="str">
        <f t="shared" si="1"/>
        <v>ColeMcInerney</v>
      </c>
      <c r="AF105">
        <v>1</v>
      </c>
      <c r="AG105">
        <v>1</v>
      </c>
      <c r="AH105">
        <v>0</v>
      </c>
      <c r="AI105">
        <v>0</v>
      </c>
      <c r="AJ105">
        <v>1</v>
      </c>
      <c r="AK105" t="s">
        <v>178</v>
      </c>
      <c r="AL105">
        <v>0.34745762711864397</v>
      </c>
      <c r="AM105" t="s">
        <v>230</v>
      </c>
      <c r="AN105">
        <v>0.52777777777777801</v>
      </c>
    </row>
    <row r="106" spans="2:40" ht="15" customHeight="1" x14ac:dyDescent="0.2">
      <c r="B106">
        <v>11</v>
      </c>
      <c r="C106">
        <v>1</v>
      </c>
      <c r="D106">
        <v>3</v>
      </c>
      <c r="E106" t="s">
        <v>238</v>
      </c>
      <c r="F106" t="s">
        <v>108</v>
      </c>
      <c r="G106" s="15">
        <v>42168</v>
      </c>
      <c r="H106" t="s">
        <v>144</v>
      </c>
      <c r="I106" t="s">
        <v>218</v>
      </c>
      <c r="J106" t="s">
        <v>219</v>
      </c>
      <c r="K106">
        <v>9</v>
      </c>
      <c r="L106" t="s">
        <v>112</v>
      </c>
      <c r="M106" t="s">
        <v>220</v>
      </c>
      <c r="N106" t="s">
        <v>114</v>
      </c>
      <c r="O106">
        <v>70.900000000000006</v>
      </c>
      <c r="P106">
        <v>133</v>
      </c>
      <c r="Q106">
        <v>5980</v>
      </c>
      <c r="R106" t="s">
        <v>145</v>
      </c>
      <c r="S106" t="s">
        <v>116</v>
      </c>
      <c r="T106" t="s">
        <v>117</v>
      </c>
      <c r="U106" t="s">
        <v>135</v>
      </c>
      <c r="V106" t="s">
        <v>127</v>
      </c>
      <c r="W106" t="s">
        <v>221</v>
      </c>
      <c r="X106">
        <v>24</v>
      </c>
      <c r="Y106" t="s">
        <v>118</v>
      </c>
      <c r="Z106">
        <v>15</v>
      </c>
      <c r="AA106">
        <v>1</v>
      </c>
      <c r="AB106" t="s">
        <v>99</v>
      </c>
      <c r="AC106" t="s">
        <v>239</v>
      </c>
      <c r="AE106" t="str">
        <f t="shared" si="1"/>
        <v>FerrinJackson</v>
      </c>
      <c r="AF106">
        <v>1</v>
      </c>
      <c r="AG106">
        <v>1</v>
      </c>
      <c r="AH106">
        <v>0</v>
      </c>
      <c r="AI106">
        <v>0</v>
      </c>
      <c r="AJ106">
        <v>1</v>
      </c>
      <c r="AK106" t="s">
        <v>226</v>
      </c>
      <c r="AL106">
        <v>0.65476190476190499</v>
      </c>
      <c r="AM106" t="s">
        <v>227</v>
      </c>
      <c r="AN106">
        <v>0.5</v>
      </c>
    </row>
    <row r="107" spans="2:40" ht="15" customHeight="1" x14ac:dyDescent="0.2">
      <c r="B107">
        <v>11</v>
      </c>
      <c r="C107">
        <v>1</v>
      </c>
      <c r="D107">
        <v>3</v>
      </c>
      <c r="E107" t="s">
        <v>238</v>
      </c>
      <c r="F107" t="s">
        <v>108</v>
      </c>
      <c r="G107" s="15">
        <v>42168</v>
      </c>
      <c r="H107" t="s">
        <v>144</v>
      </c>
      <c r="I107" t="s">
        <v>218</v>
      </c>
      <c r="J107" t="s">
        <v>219</v>
      </c>
      <c r="K107">
        <v>9</v>
      </c>
      <c r="L107" t="s">
        <v>112</v>
      </c>
      <c r="M107" t="s">
        <v>220</v>
      </c>
      <c r="N107" t="s">
        <v>114</v>
      </c>
      <c r="O107">
        <v>70.900000000000006</v>
      </c>
      <c r="P107">
        <v>133</v>
      </c>
      <c r="Q107">
        <v>5980</v>
      </c>
      <c r="R107" t="s">
        <v>145</v>
      </c>
      <c r="S107" t="s">
        <v>116</v>
      </c>
      <c r="T107" t="s">
        <v>124</v>
      </c>
      <c r="U107" t="s">
        <v>123</v>
      </c>
      <c r="V107" t="s">
        <v>226</v>
      </c>
      <c r="W107" t="s">
        <v>170</v>
      </c>
      <c r="X107">
        <v>13.044247787610599</v>
      </c>
      <c r="Y107" t="s">
        <v>227</v>
      </c>
      <c r="Z107">
        <v>16.957522123893799</v>
      </c>
      <c r="AA107">
        <v>1</v>
      </c>
      <c r="AB107" t="s">
        <v>100</v>
      </c>
      <c r="AC107" t="s">
        <v>239</v>
      </c>
      <c r="AE107" t="str">
        <f t="shared" si="1"/>
        <v>GrayZimmer</v>
      </c>
      <c r="AF107">
        <v>0</v>
      </c>
      <c r="AG107">
        <v>0</v>
      </c>
      <c r="AH107">
        <v>1</v>
      </c>
      <c r="AI107">
        <v>0</v>
      </c>
      <c r="AJ107">
        <v>0</v>
      </c>
      <c r="AK107" t="s">
        <v>127</v>
      </c>
      <c r="AL107">
        <v>0.59523809523809501</v>
      </c>
      <c r="AM107" t="s">
        <v>118</v>
      </c>
      <c r="AN107">
        <v>0.6171875</v>
      </c>
    </row>
    <row r="108" spans="2:40" ht="15" customHeight="1" x14ac:dyDescent="0.2">
      <c r="B108">
        <v>12</v>
      </c>
      <c r="C108">
        <v>2</v>
      </c>
      <c r="D108">
        <v>3</v>
      </c>
      <c r="E108" t="s">
        <v>240</v>
      </c>
      <c r="F108" t="s">
        <v>108</v>
      </c>
      <c r="G108" s="15">
        <v>42168</v>
      </c>
      <c r="H108" t="s">
        <v>144</v>
      </c>
      <c r="I108" t="s">
        <v>218</v>
      </c>
      <c r="J108" t="s">
        <v>219</v>
      </c>
      <c r="K108">
        <v>9</v>
      </c>
      <c r="L108" t="s">
        <v>112</v>
      </c>
      <c r="M108" t="s">
        <v>220</v>
      </c>
      <c r="N108" t="s">
        <v>114</v>
      </c>
      <c r="O108">
        <v>70.900000000000006</v>
      </c>
      <c r="P108">
        <v>133</v>
      </c>
      <c r="Q108">
        <v>5980</v>
      </c>
      <c r="R108" t="s">
        <v>145</v>
      </c>
      <c r="S108" t="s">
        <v>116</v>
      </c>
      <c r="T108" t="s">
        <v>124</v>
      </c>
      <c r="U108" t="s">
        <v>123</v>
      </c>
      <c r="V108" t="s">
        <v>1308</v>
      </c>
      <c r="W108" t="s">
        <v>170</v>
      </c>
      <c r="X108">
        <v>10.7911504424779</v>
      </c>
      <c r="Y108" t="s">
        <v>122</v>
      </c>
      <c r="Z108">
        <v>21.226548672566398</v>
      </c>
      <c r="AA108">
        <v>1</v>
      </c>
      <c r="AB108" t="s">
        <v>101</v>
      </c>
      <c r="AC108" t="s">
        <v>139</v>
      </c>
      <c r="AE108" t="str">
        <f t="shared" si="1"/>
        <v>ConnollyHilts</v>
      </c>
      <c r="AF108">
        <v>0.5</v>
      </c>
      <c r="AG108">
        <v>0</v>
      </c>
      <c r="AH108">
        <v>0</v>
      </c>
      <c r="AI108">
        <v>1</v>
      </c>
      <c r="AJ108">
        <v>0.5</v>
      </c>
      <c r="AK108" t="s">
        <v>132</v>
      </c>
      <c r="AL108">
        <v>0.4296875</v>
      </c>
      <c r="AM108" t="s">
        <v>135</v>
      </c>
    </row>
    <row r="109" spans="2:40" ht="15" customHeight="1" x14ac:dyDescent="0.2">
      <c r="B109">
        <v>12</v>
      </c>
      <c r="C109">
        <v>2</v>
      </c>
      <c r="D109">
        <v>3</v>
      </c>
      <c r="E109" t="s">
        <v>240</v>
      </c>
      <c r="F109" t="s">
        <v>108</v>
      </c>
      <c r="G109" s="15">
        <v>42168</v>
      </c>
      <c r="H109" t="s">
        <v>144</v>
      </c>
      <c r="I109" t="s">
        <v>218</v>
      </c>
      <c r="J109" t="s">
        <v>219</v>
      </c>
      <c r="K109">
        <v>9</v>
      </c>
      <c r="L109" t="s">
        <v>112</v>
      </c>
      <c r="M109" t="s">
        <v>220</v>
      </c>
      <c r="N109" t="s">
        <v>114</v>
      </c>
      <c r="O109">
        <v>70.900000000000006</v>
      </c>
      <c r="P109">
        <v>133</v>
      </c>
      <c r="Q109">
        <v>5980</v>
      </c>
      <c r="R109" t="s">
        <v>145</v>
      </c>
      <c r="S109" t="s">
        <v>116</v>
      </c>
      <c r="T109" t="s">
        <v>117</v>
      </c>
      <c r="U109" t="s">
        <v>135</v>
      </c>
      <c r="V109" t="s">
        <v>132</v>
      </c>
      <c r="W109" t="s">
        <v>221</v>
      </c>
      <c r="X109">
        <v>16</v>
      </c>
      <c r="Y109" t="s">
        <v>135</v>
      </c>
      <c r="Z109">
        <v>21</v>
      </c>
      <c r="AA109">
        <v>1</v>
      </c>
      <c r="AB109" t="s">
        <v>101</v>
      </c>
      <c r="AC109" t="s">
        <v>139</v>
      </c>
      <c r="AE109" t="str">
        <f t="shared" si="1"/>
        <v>FlandersShively</v>
      </c>
      <c r="AF109">
        <v>0.5</v>
      </c>
      <c r="AG109">
        <v>0</v>
      </c>
      <c r="AH109">
        <v>0</v>
      </c>
      <c r="AI109">
        <v>1</v>
      </c>
      <c r="AJ109">
        <v>0.5</v>
      </c>
      <c r="AK109" t="s">
        <v>1308</v>
      </c>
      <c r="AL109">
        <v>0.59375</v>
      </c>
      <c r="AM109" t="s">
        <v>122</v>
      </c>
      <c r="AN109">
        <v>0.47321428571428598</v>
      </c>
    </row>
    <row r="110" spans="2:40" ht="15" customHeight="1" x14ac:dyDescent="0.2">
      <c r="B110">
        <v>13</v>
      </c>
      <c r="C110">
        <v>3</v>
      </c>
      <c r="D110">
        <v>3</v>
      </c>
      <c r="E110" t="s">
        <v>241</v>
      </c>
      <c r="F110" t="s">
        <v>108</v>
      </c>
      <c r="G110" s="15">
        <v>42168</v>
      </c>
      <c r="H110" t="s">
        <v>144</v>
      </c>
      <c r="I110" t="s">
        <v>218</v>
      </c>
      <c r="J110" t="s">
        <v>219</v>
      </c>
      <c r="K110">
        <v>9</v>
      </c>
      <c r="L110" t="s">
        <v>112</v>
      </c>
      <c r="M110" t="s">
        <v>220</v>
      </c>
      <c r="N110" t="s">
        <v>114</v>
      </c>
      <c r="O110">
        <v>70.900000000000006</v>
      </c>
      <c r="P110">
        <v>133</v>
      </c>
      <c r="Q110">
        <v>5980</v>
      </c>
      <c r="R110" t="s">
        <v>145</v>
      </c>
      <c r="S110" t="s">
        <v>116</v>
      </c>
      <c r="T110" t="s">
        <v>117</v>
      </c>
      <c r="U110" t="s">
        <v>135</v>
      </c>
      <c r="V110" t="s">
        <v>178</v>
      </c>
      <c r="W110" t="s">
        <v>221</v>
      </c>
      <c r="X110">
        <v>20</v>
      </c>
      <c r="Y110" t="s">
        <v>119</v>
      </c>
      <c r="Z110">
        <v>17</v>
      </c>
      <c r="AA110">
        <v>1</v>
      </c>
      <c r="AB110" t="s">
        <v>100</v>
      </c>
      <c r="AC110" t="s">
        <v>239</v>
      </c>
      <c r="AE110" t="str">
        <f t="shared" si="1"/>
        <v>ConnorsGrise</v>
      </c>
      <c r="AF110">
        <v>0</v>
      </c>
      <c r="AG110">
        <v>0</v>
      </c>
      <c r="AH110">
        <v>1</v>
      </c>
      <c r="AI110">
        <v>0</v>
      </c>
      <c r="AJ110">
        <v>0</v>
      </c>
      <c r="AK110" t="s">
        <v>172</v>
      </c>
      <c r="AL110">
        <v>0.37288135593220301</v>
      </c>
      <c r="AM110" t="s">
        <v>175</v>
      </c>
      <c r="AN110">
        <v>0.5</v>
      </c>
    </row>
    <row r="111" spans="2:40" ht="15" customHeight="1" x14ac:dyDescent="0.2">
      <c r="B111">
        <v>13</v>
      </c>
      <c r="C111">
        <v>3</v>
      </c>
      <c r="D111">
        <v>3</v>
      </c>
      <c r="E111" t="s">
        <v>241</v>
      </c>
      <c r="F111" t="s">
        <v>108</v>
      </c>
      <c r="G111" s="15">
        <v>42168</v>
      </c>
      <c r="H111" t="s">
        <v>144</v>
      </c>
      <c r="I111" t="s">
        <v>218</v>
      </c>
      <c r="J111" t="s">
        <v>219</v>
      </c>
      <c r="K111">
        <v>9</v>
      </c>
      <c r="L111" t="s">
        <v>112</v>
      </c>
      <c r="M111" t="s">
        <v>220</v>
      </c>
      <c r="N111" t="s">
        <v>114</v>
      </c>
      <c r="O111">
        <v>70.900000000000006</v>
      </c>
      <c r="P111">
        <v>133</v>
      </c>
      <c r="Q111">
        <v>5980</v>
      </c>
      <c r="R111" t="s">
        <v>145</v>
      </c>
      <c r="S111" t="s">
        <v>116</v>
      </c>
      <c r="T111" t="s">
        <v>124</v>
      </c>
      <c r="U111" t="s">
        <v>123</v>
      </c>
      <c r="V111" t="s">
        <v>172</v>
      </c>
      <c r="W111" t="s">
        <v>170</v>
      </c>
      <c r="X111">
        <v>30</v>
      </c>
      <c r="Y111" t="s">
        <v>175</v>
      </c>
      <c r="Z111">
        <v>19</v>
      </c>
      <c r="AA111">
        <v>1</v>
      </c>
      <c r="AB111" t="s">
        <v>99</v>
      </c>
      <c r="AC111" t="s">
        <v>239</v>
      </c>
      <c r="AE111" t="str">
        <f t="shared" si="1"/>
        <v>FoganWeisberger</v>
      </c>
      <c r="AF111">
        <v>1</v>
      </c>
      <c r="AG111">
        <v>1</v>
      </c>
      <c r="AH111">
        <v>0</v>
      </c>
      <c r="AI111">
        <v>0</v>
      </c>
      <c r="AJ111">
        <v>1</v>
      </c>
      <c r="AK111" t="s">
        <v>178</v>
      </c>
      <c r="AL111">
        <v>0.34745762711864397</v>
      </c>
      <c r="AM111" t="s">
        <v>119</v>
      </c>
      <c r="AN111">
        <v>0.546875</v>
      </c>
    </row>
    <row r="112" spans="2:40" ht="15" customHeight="1" x14ac:dyDescent="0.2">
      <c r="B112">
        <v>14</v>
      </c>
      <c r="C112">
        <v>4</v>
      </c>
      <c r="D112">
        <v>3</v>
      </c>
      <c r="E112" t="s">
        <v>242</v>
      </c>
      <c r="F112" t="s">
        <v>108</v>
      </c>
      <c r="G112" s="15">
        <v>42168</v>
      </c>
      <c r="H112" t="s">
        <v>144</v>
      </c>
      <c r="I112" t="s">
        <v>218</v>
      </c>
      <c r="J112" t="s">
        <v>219</v>
      </c>
      <c r="K112">
        <v>9</v>
      </c>
      <c r="L112" t="s">
        <v>112</v>
      </c>
      <c r="M112" t="s">
        <v>220</v>
      </c>
      <c r="N112" t="s">
        <v>114</v>
      </c>
      <c r="O112">
        <v>70.900000000000006</v>
      </c>
      <c r="P112">
        <v>133</v>
      </c>
      <c r="Q112">
        <v>5980</v>
      </c>
      <c r="R112" t="s">
        <v>145</v>
      </c>
      <c r="S112" t="s">
        <v>116</v>
      </c>
      <c r="T112" t="s">
        <v>124</v>
      </c>
      <c r="U112" t="s">
        <v>123</v>
      </c>
      <c r="V112" t="s">
        <v>120</v>
      </c>
      <c r="W112" t="s">
        <v>170</v>
      </c>
      <c r="X112">
        <v>22</v>
      </c>
      <c r="Y112" t="s">
        <v>123</v>
      </c>
      <c r="Z112">
        <v>19</v>
      </c>
      <c r="AA112">
        <v>1</v>
      </c>
      <c r="AB112" t="s">
        <v>100</v>
      </c>
      <c r="AC112" t="s">
        <v>225</v>
      </c>
      <c r="AE112" t="str">
        <f t="shared" si="1"/>
        <v>HickersonLynch</v>
      </c>
      <c r="AF112">
        <v>0</v>
      </c>
      <c r="AG112">
        <v>0</v>
      </c>
      <c r="AH112">
        <v>1</v>
      </c>
      <c r="AI112">
        <v>0</v>
      </c>
      <c r="AJ112">
        <v>0</v>
      </c>
      <c r="AK112" t="s">
        <v>693</v>
      </c>
      <c r="AL112">
        <v>0.44827586206896602</v>
      </c>
      <c r="AM112" t="s">
        <v>133</v>
      </c>
      <c r="AN112">
        <v>0.38392857142857201</v>
      </c>
    </row>
    <row r="113" spans="2:40" ht="15" customHeight="1" x14ac:dyDescent="0.2">
      <c r="B113">
        <v>14</v>
      </c>
      <c r="C113">
        <v>4</v>
      </c>
      <c r="D113">
        <v>3</v>
      </c>
      <c r="E113" t="s">
        <v>242</v>
      </c>
      <c r="F113" t="s">
        <v>108</v>
      </c>
      <c r="G113" s="15">
        <v>42168</v>
      </c>
      <c r="H113" t="s">
        <v>144</v>
      </c>
      <c r="I113" t="s">
        <v>218</v>
      </c>
      <c r="J113" t="s">
        <v>219</v>
      </c>
      <c r="K113">
        <v>9</v>
      </c>
      <c r="L113" t="s">
        <v>112</v>
      </c>
      <c r="M113" t="s">
        <v>220</v>
      </c>
      <c r="N113" t="s">
        <v>114</v>
      </c>
      <c r="O113">
        <v>70.900000000000006</v>
      </c>
      <c r="P113">
        <v>133</v>
      </c>
      <c r="Q113">
        <v>5980</v>
      </c>
      <c r="R113" t="s">
        <v>145</v>
      </c>
      <c r="S113" t="s">
        <v>116</v>
      </c>
      <c r="T113" t="s">
        <v>117</v>
      </c>
      <c r="U113" t="s">
        <v>135</v>
      </c>
      <c r="V113" t="s">
        <v>693</v>
      </c>
      <c r="W113" t="s">
        <v>221</v>
      </c>
      <c r="X113">
        <v>16</v>
      </c>
      <c r="Y113" t="s">
        <v>133</v>
      </c>
      <c r="Z113">
        <v>19</v>
      </c>
      <c r="AA113">
        <v>1</v>
      </c>
      <c r="AB113" t="s">
        <v>99</v>
      </c>
      <c r="AC113" t="s">
        <v>225</v>
      </c>
      <c r="AE113" t="str">
        <f t="shared" si="1"/>
        <v>BussiculoMangold</v>
      </c>
      <c r="AF113">
        <v>1</v>
      </c>
      <c r="AG113">
        <v>1</v>
      </c>
      <c r="AH113">
        <v>0</v>
      </c>
      <c r="AI113">
        <v>0</v>
      </c>
      <c r="AJ113">
        <v>1</v>
      </c>
      <c r="AK113" t="s">
        <v>120</v>
      </c>
      <c r="AL113">
        <v>0.35714285714285698</v>
      </c>
      <c r="AM113" t="s">
        <v>123</v>
      </c>
      <c r="AN113">
        <v>0.5546875</v>
      </c>
    </row>
    <row r="114" spans="2:40" ht="15" customHeight="1" x14ac:dyDescent="0.2">
      <c r="B114">
        <v>15</v>
      </c>
      <c r="C114">
        <v>5</v>
      </c>
      <c r="D114">
        <v>3</v>
      </c>
      <c r="E114" t="s">
        <v>243</v>
      </c>
      <c r="F114" t="s">
        <v>108</v>
      </c>
      <c r="G114" s="15">
        <v>42168</v>
      </c>
      <c r="H114" t="s">
        <v>144</v>
      </c>
      <c r="I114" t="s">
        <v>218</v>
      </c>
      <c r="J114" t="s">
        <v>219</v>
      </c>
      <c r="K114">
        <v>9</v>
      </c>
      <c r="L114" t="s">
        <v>112</v>
      </c>
      <c r="M114" t="s">
        <v>220</v>
      </c>
      <c r="N114" t="s">
        <v>114</v>
      </c>
      <c r="O114">
        <v>70.900000000000006</v>
      </c>
      <c r="P114">
        <v>133</v>
      </c>
      <c r="Q114">
        <v>5980</v>
      </c>
      <c r="R114" t="s">
        <v>145</v>
      </c>
      <c r="S114" t="s">
        <v>116</v>
      </c>
      <c r="T114" t="s">
        <v>117</v>
      </c>
      <c r="U114" t="s">
        <v>135</v>
      </c>
      <c r="V114" t="s">
        <v>176</v>
      </c>
      <c r="W114" t="s">
        <v>221</v>
      </c>
      <c r="X114">
        <v>29.646017699115099</v>
      </c>
      <c r="Y114" t="s">
        <v>230</v>
      </c>
      <c r="Z114">
        <v>22.1752212389381</v>
      </c>
      <c r="AA114">
        <v>1</v>
      </c>
      <c r="AB114" t="s">
        <v>99</v>
      </c>
      <c r="AC114" t="s">
        <v>225</v>
      </c>
      <c r="AE114" t="str">
        <f t="shared" si="1"/>
        <v>ForsterNorat</v>
      </c>
      <c r="AF114">
        <v>1</v>
      </c>
      <c r="AG114">
        <v>1</v>
      </c>
      <c r="AH114">
        <v>0</v>
      </c>
      <c r="AI114">
        <v>0</v>
      </c>
      <c r="AJ114">
        <v>1</v>
      </c>
      <c r="AK114" t="s">
        <v>179</v>
      </c>
      <c r="AL114">
        <v>0.44067796610169502</v>
      </c>
      <c r="AM114" t="s">
        <v>231</v>
      </c>
      <c r="AN114">
        <v>0.5</v>
      </c>
    </row>
    <row r="115" spans="2:40" ht="15" customHeight="1" x14ac:dyDescent="0.2">
      <c r="B115">
        <v>15</v>
      </c>
      <c r="C115">
        <v>5</v>
      </c>
      <c r="D115">
        <v>3</v>
      </c>
      <c r="E115" t="s">
        <v>243</v>
      </c>
      <c r="F115" t="s">
        <v>108</v>
      </c>
      <c r="G115" s="15">
        <v>42168</v>
      </c>
      <c r="H115" t="s">
        <v>144</v>
      </c>
      <c r="I115" t="s">
        <v>218</v>
      </c>
      <c r="J115" t="s">
        <v>219</v>
      </c>
      <c r="K115">
        <v>9</v>
      </c>
      <c r="L115" t="s">
        <v>112</v>
      </c>
      <c r="M115" t="s">
        <v>220</v>
      </c>
      <c r="N115" t="s">
        <v>114</v>
      </c>
      <c r="O115">
        <v>70.900000000000006</v>
      </c>
      <c r="P115">
        <v>133</v>
      </c>
      <c r="Q115">
        <v>5980</v>
      </c>
      <c r="R115" t="s">
        <v>145</v>
      </c>
      <c r="S115" t="s">
        <v>116</v>
      </c>
      <c r="T115" t="s">
        <v>124</v>
      </c>
      <c r="U115" t="s">
        <v>123</v>
      </c>
      <c r="V115" t="s">
        <v>179</v>
      </c>
      <c r="W115" t="s">
        <v>170</v>
      </c>
      <c r="X115">
        <v>29.4088495575221</v>
      </c>
      <c r="Y115" t="s">
        <v>231</v>
      </c>
      <c r="Z115">
        <v>11.265486725663701</v>
      </c>
      <c r="AA115">
        <v>1</v>
      </c>
      <c r="AB115" t="s">
        <v>100</v>
      </c>
      <c r="AC115" t="s">
        <v>225</v>
      </c>
      <c r="AE115" t="str">
        <f t="shared" si="1"/>
        <v>ColeMcInerney</v>
      </c>
      <c r="AF115">
        <v>0</v>
      </c>
      <c r="AG115">
        <v>0</v>
      </c>
      <c r="AH115">
        <v>1</v>
      </c>
      <c r="AI115">
        <v>0</v>
      </c>
      <c r="AJ115">
        <v>0</v>
      </c>
      <c r="AK115" t="s">
        <v>176</v>
      </c>
      <c r="AL115">
        <v>0.59649122807017496</v>
      </c>
      <c r="AM115" t="s">
        <v>230</v>
      </c>
      <c r="AN115">
        <v>0.52777777777777801</v>
      </c>
    </row>
    <row r="116" spans="2:40" ht="15" customHeight="1" x14ac:dyDescent="0.2">
      <c r="B116">
        <v>16</v>
      </c>
      <c r="C116">
        <v>1</v>
      </c>
      <c r="D116">
        <v>3</v>
      </c>
      <c r="E116" t="s">
        <v>244</v>
      </c>
      <c r="F116" t="s">
        <v>108</v>
      </c>
      <c r="G116" s="15">
        <v>42168</v>
      </c>
      <c r="H116" t="s">
        <v>144</v>
      </c>
      <c r="I116" t="s">
        <v>218</v>
      </c>
      <c r="J116" t="s">
        <v>219</v>
      </c>
      <c r="K116">
        <v>9</v>
      </c>
      <c r="L116" t="s">
        <v>137</v>
      </c>
      <c r="M116" t="s">
        <v>220</v>
      </c>
      <c r="N116" t="s">
        <v>114</v>
      </c>
      <c r="O116">
        <v>70.900000000000006</v>
      </c>
      <c r="P116">
        <v>133</v>
      </c>
      <c r="Q116">
        <v>5980</v>
      </c>
      <c r="R116" t="s">
        <v>197</v>
      </c>
      <c r="S116" t="s">
        <v>116</v>
      </c>
      <c r="T116" t="s">
        <v>117</v>
      </c>
      <c r="U116" t="s">
        <v>135</v>
      </c>
      <c r="V116" t="s">
        <v>127</v>
      </c>
      <c r="W116" t="s">
        <v>221</v>
      </c>
      <c r="X116">
        <v>24</v>
      </c>
      <c r="Y116" t="s">
        <v>118</v>
      </c>
      <c r="Z116">
        <v>15</v>
      </c>
      <c r="AA116">
        <v>1</v>
      </c>
      <c r="AB116" t="s">
        <v>99</v>
      </c>
      <c r="AC116" t="s">
        <v>245</v>
      </c>
      <c r="AE116" t="str">
        <f t="shared" si="1"/>
        <v>FerrinJackson</v>
      </c>
      <c r="AF116">
        <v>1</v>
      </c>
      <c r="AG116">
        <v>1</v>
      </c>
      <c r="AH116">
        <v>0</v>
      </c>
      <c r="AI116">
        <v>0</v>
      </c>
      <c r="AJ116">
        <v>1</v>
      </c>
      <c r="AK116" t="s">
        <v>226</v>
      </c>
      <c r="AL116">
        <v>0.65476190476190499</v>
      </c>
      <c r="AM116" t="s">
        <v>227</v>
      </c>
      <c r="AN116">
        <v>0.5</v>
      </c>
    </row>
    <row r="117" spans="2:40" ht="15" customHeight="1" x14ac:dyDescent="0.2">
      <c r="B117">
        <v>16</v>
      </c>
      <c r="C117">
        <v>1</v>
      </c>
      <c r="D117">
        <v>3</v>
      </c>
      <c r="E117" t="s">
        <v>244</v>
      </c>
      <c r="F117" t="s">
        <v>108</v>
      </c>
      <c r="G117" s="15">
        <v>42168</v>
      </c>
      <c r="H117" t="s">
        <v>144</v>
      </c>
      <c r="I117" t="s">
        <v>218</v>
      </c>
      <c r="J117" t="s">
        <v>219</v>
      </c>
      <c r="K117">
        <v>9</v>
      </c>
      <c r="L117" t="s">
        <v>137</v>
      </c>
      <c r="M117" t="s">
        <v>220</v>
      </c>
      <c r="N117" t="s">
        <v>114</v>
      </c>
      <c r="O117">
        <v>70.900000000000006</v>
      </c>
      <c r="P117">
        <v>133</v>
      </c>
      <c r="Q117">
        <v>5980</v>
      </c>
      <c r="R117" t="s">
        <v>197</v>
      </c>
      <c r="S117" t="s">
        <v>116</v>
      </c>
      <c r="T117" t="s">
        <v>124</v>
      </c>
      <c r="U117" t="s">
        <v>123</v>
      </c>
      <c r="V117" t="s">
        <v>226</v>
      </c>
      <c r="W117" t="s">
        <v>170</v>
      </c>
      <c r="X117">
        <v>13.044247787610599</v>
      </c>
      <c r="Y117" t="s">
        <v>227</v>
      </c>
      <c r="Z117">
        <v>16.957522123893799</v>
      </c>
      <c r="AA117">
        <v>1</v>
      </c>
      <c r="AB117" t="s">
        <v>100</v>
      </c>
      <c r="AC117" t="s">
        <v>245</v>
      </c>
      <c r="AE117" t="str">
        <f t="shared" si="1"/>
        <v>GrayZimmer</v>
      </c>
      <c r="AF117">
        <v>0</v>
      </c>
      <c r="AG117">
        <v>0</v>
      </c>
      <c r="AH117">
        <v>1</v>
      </c>
      <c r="AI117">
        <v>0</v>
      </c>
      <c r="AJ117">
        <v>0</v>
      </c>
      <c r="AK117" t="s">
        <v>127</v>
      </c>
      <c r="AL117">
        <v>0.59523809523809501</v>
      </c>
      <c r="AM117" t="s">
        <v>118</v>
      </c>
      <c r="AN117">
        <v>0.6171875</v>
      </c>
    </row>
    <row r="118" spans="2:40" ht="15" customHeight="1" x14ac:dyDescent="0.2">
      <c r="B118">
        <v>17</v>
      </c>
      <c r="C118">
        <v>2</v>
      </c>
      <c r="D118">
        <v>3</v>
      </c>
      <c r="E118" t="s">
        <v>246</v>
      </c>
      <c r="F118" t="s">
        <v>108</v>
      </c>
      <c r="G118" s="15">
        <v>42168</v>
      </c>
      <c r="H118" t="s">
        <v>144</v>
      </c>
      <c r="I118" t="s">
        <v>218</v>
      </c>
      <c r="J118" t="s">
        <v>219</v>
      </c>
      <c r="K118">
        <v>9</v>
      </c>
      <c r="L118" t="s">
        <v>137</v>
      </c>
      <c r="M118" t="s">
        <v>220</v>
      </c>
      <c r="N118" t="s">
        <v>114</v>
      </c>
      <c r="O118">
        <v>70.900000000000006</v>
      </c>
      <c r="P118">
        <v>133</v>
      </c>
      <c r="Q118">
        <v>5980</v>
      </c>
      <c r="R118" t="s">
        <v>197</v>
      </c>
      <c r="S118" t="s">
        <v>116</v>
      </c>
      <c r="T118" t="s">
        <v>124</v>
      </c>
      <c r="U118" t="s">
        <v>123</v>
      </c>
      <c r="V118" t="s">
        <v>1308</v>
      </c>
      <c r="W118" t="s">
        <v>170</v>
      </c>
      <c r="X118">
        <v>10.7911504424779</v>
      </c>
      <c r="Y118" t="s">
        <v>122</v>
      </c>
      <c r="Z118">
        <v>21.226548672566398</v>
      </c>
      <c r="AA118">
        <v>1</v>
      </c>
      <c r="AB118" t="s">
        <v>99</v>
      </c>
      <c r="AC118" t="s">
        <v>247</v>
      </c>
      <c r="AE118" t="str">
        <f t="shared" si="1"/>
        <v>ConnollyHilts</v>
      </c>
      <c r="AF118">
        <v>1</v>
      </c>
      <c r="AG118">
        <v>1</v>
      </c>
      <c r="AH118">
        <v>0</v>
      </c>
      <c r="AI118">
        <v>0</v>
      </c>
      <c r="AJ118">
        <v>1</v>
      </c>
      <c r="AK118" t="s">
        <v>132</v>
      </c>
      <c r="AL118">
        <v>0.4296875</v>
      </c>
      <c r="AM118" t="s">
        <v>135</v>
      </c>
    </row>
    <row r="119" spans="2:40" ht="15" customHeight="1" x14ac:dyDescent="0.2">
      <c r="B119">
        <v>17</v>
      </c>
      <c r="C119">
        <v>2</v>
      </c>
      <c r="D119">
        <v>3</v>
      </c>
      <c r="E119" t="s">
        <v>246</v>
      </c>
      <c r="F119" t="s">
        <v>108</v>
      </c>
      <c r="G119" s="15">
        <v>42168</v>
      </c>
      <c r="H119" t="s">
        <v>144</v>
      </c>
      <c r="I119" t="s">
        <v>218</v>
      </c>
      <c r="J119" t="s">
        <v>219</v>
      </c>
      <c r="K119">
        <v>9</v>
      </c>
      <c r="L119" t="s">
        <v>137</v>
      </c>
      <c r="M119" t="s">
        <v>220</v>
      </c>
      <c r="N119" t="s">
        <v>114</v>
      </c>
      <c r="O119">
        <v>70.900000000000006</v>
      </c>
      <c r="P119">
        <v>133</v>
      </c>
      <c r="Q119">
        <v>5980</v>
      </c>
      <c r="R119" t="s">
        <v>197</v>
      </c>
      <c r="S119" t="s">
        <v>116</v>
      </c>
      <c r="T119" t="s">
        <v>117</v>
      </c>
      <c r="U119" t="s">
        <v>135</v>
      </c>
      <c r="V119" t="s">
        <v>132</v>
      </c>
      <c r="W119" t="s">
        <v>221</v>
      </c>
      <c r="X119">
        <v>16</v>
      </c>
      <c r="Y119" t="s">
        <v>135</v>
      </c>
      <c r="Z119">
        <v>21</v>
      </c>
      <c r="AA119">
        <v>1</v>
      </c>
      <c r="AB119" t="s">
        <v>100</v>
      </c>
      <c r="AC119" t="s">
        <v>247</v>
      </c>
      <c r="AE119" t="str">
        <f t="shared" si="1"/>
        <v>FlandersShively</v>
      </c>
      <c r="AF119">
        <v>0</v>
      </c>
      <c r="AG119">
        <v>0</v>
      </c>
      <c r="AH119">
        <v>1</v>
      </c>
      <c r="AI119">
        <v>0</v>
      </c>
      <c r="AJ119">
        <v>0</v>
      </c>
      <c r="AK119" t="s">
        <v>1308</v>
      </c>
      <c r="AL119">
        <v>0.59375</v>
      </c>
      <c r="AM119" t="s">
        <v>122</v>
      </c>
      <c r="AN119">
        <v>0.47321428571428598</v>
      </c>
    </row>
    <row r="120" spans="2:40" ht="15" customHeight="1" x14ac:dyDescent="0.2">
      <c r="B120">
        <v>18</v>
      </c>
      <c r="C120">
        <v>3</v>
      </c>
      <c r="D120">
        <v>3</v>
      </c>
      <c r="E120" t="s">
        <v>248</v>
      </c>
      <c r="F120" t="s">
        <v>108</v>
      </c>
      <c r="G120" s="15">
        <v>42168</v>
      </c>
      <c r="H120" t="s">
        <v>144</v>
      </c>
      <c r="I120" t="s">
        <v>218</v>
      </c>
      <c r="J120" t="s">
        <v>219</v>
      </c>
      <c r="K120">
        <v>9</v>
      </c>
      <c r="L120" t="s">
        <v>137</v>
      </c>
      <c r="M120" t="s">
        <v>220</v>
      </c>
      <c r="N120" t="s">
        <v>114</v>
      </c>
      <c r="O120">
        <v>70.900000000000006</v>
      </c>
      <c r="P120">
        <v>133</v>
      </c>
      <c r="Q120">
        <v>5980</v>
      </c>
      <c r="R120" t="s">
        <v>197</v>
      </c>
      <c r="S120" t="s">
        <v>116</v>
      </c>
      <c r="T120" t="s">
        <v>117</v>
      </c>
      <c r="U120" t="s">
        <v>135</v>
      </c>
      <c r="V120" t="s">
        <v>178</v>
      </c>
      <c r="W120" t="s">
        <v>221</v>
      </c>
      <c r="X120">
        <v>20</v>
      </c>
      <c r="Y120" t="s">
        <v>119</v>
      </c>
      <c r="Z120">
        <v>17</v>
      </c>
      <c r="AA120">
        <v>1</v>
      </c>
      <c r="AB120" t="s">
        <v>100</v>
      </c>
      <c r="AC120" t="s">
        <v>249</v>
      </c>
      <c r="AE120" t="str">
        <f t="shared" si="1"/>
        <v>ConnorsGrise</v>
      </c>
      <c r="AF120">
        <v>0</v>
      </c>
      <c r="AG120">
        <v>0</v>
      </c>
      <c r="AH120">
        <v>1</v>
      </c>
      <c r="AI120">
        <v>0</v>
      </c>
      <c r="AJ120">
        <v>0</v>
      </c>
      <c r="AK120" t="s">
        <v>172</v>
      </c>
      <c r="AL120">
        <v>0.37288135593220301</v>
      </c>
      <c r="AM120" t="s">
        <v>175</v>
      </c>
      <c r="AN120">
        <v>0.5</v>
      </c>
    </row>
    <row r="121" spans="2:40" ht="15" customHeight="1" x14ac:dyDescent="0.2">
      <c r="B121">
        <v>18</v>
      </c>
      <c r="C121">
        <v>3</v>
      </c>
      <c r="D121">
        <v>3</v>
      </c>
      <c r="E121" t="s">
        <v>248</v>
      </c>
      <c r="F121" t="s">
        <v>108</v>
      </c>
      <c r="G121" s="15">
        <v>42168</v>
      </c>
      <c r="H121" t="s">
        <v>144</v>
      </c>
      <c r="I121" t="s">
        <v>218</v>
      </c>
      <c r="J121" t="s">
        <v>219</v>
      </c>
      <c r="K121">
        <v>9</v>
      </c>
      <c r="L121" t="s">
        <v>137</v>
      </c>
      <c r="M121" t="s">
        <v>220</v>
      </c>
      <c r="N121" t="s">
        <v>114</v>
      </c>
      <c r="O121">
        <v>70.900000000000006</v>
      </c>
      <c r="P121">
        <v>133</v>
      </c>
      <c r="Q121">
        <v>5980</v>
      </c>
      <c r="R121" t="s">
        <v>197</v>
      </c>
      <c r="S121" t="s">
        <v>116</v>
      </c>
      <c r="T121" t="s">
        <v>124</v>
      </c>
      <c r="U121" t="s">
        <v>123</v>
      </c>
      <c r="V121" t="s">
        <v>172</v>
      </c>
      <c r="W121" t="s">
        <v>170</v>
      </c>
      <c r="X121">
        <v>30</v>
      </c>
      <c r="Y121" t="s">
        <v>175</v>
      </c>
      <c r="Z121">
        <v>19</v>
      </c>
      <c r="AA121">
        <v>1</v>
      </c>
      <c r="AB121" t="s">
        <v>99</v>
      </c>
      <c r="AC121" t="s">
        <v>249</v>
      </c>
      <c r="AE121" t="str">
        <f t="shared" si="1"/>
        <v>FoganWeisberger</v>
      </c>
      <c r="AF121">
        <v>1</v>
      </c>
      <c r="AG121">
        <v>1</v>
      </c>
      <c r="AH121">
        <v>0</v>
      </c>
      <c r="AI121">
        <v>0</v>
      </c>
      <c r="AJ121">
        <v>1</v>
      </c>
      <c r="AK121" t="s">
        <v>178</v>
      </c>
      <c r="AL121">
        <v>0.34745762711864397</v>
      </c>
      <c r="AM121" t="s">
        <v>119</v>
      </c>
      <c r="AN121">
        <v>0.546875</v>
      </c>
    </row>
    <row r="122" spans="2:40" ht="15" customHeight="1" x14ac:dyDescent="0.2">
      <c r="B122">
        <v>19</v>
      </c>
      <c r="C122">
        <v>4</v>
      </c>
      <c r="D122">
        <v>3</v>
      </c>
      <c r="E122" t="s">
        <v>250</v>
      </c>
      <c r="F122" t="s">
        <v>108</v>
      </c>
      <c r="G122" s="15">
        <v>42168</v>
      </c>
      <c r="H122" t="s">
        <v>144</v>
      </c>
      <c r="I122" t="s">
        <v>218</v>
      </c>
      <c r="J122" t="s">
        <v>219</v>
      </c>
      <c r="K122">
        <v>9</v>
      </c>
      <c r="L122" t="s">
        <v>137</v>
      </c>
      <c r="M122" t="s">
        <v>220</v>
      </c>
      <c r="N122" t="s">
        <v>114</v>
      </c>
      <c r="O122">
        <v>70.900000000000006</v>
      </c>
      <c r="P122">
        <v>133</v>
      </c>
      <c r="Q122">
        <v>5980</v>
      </c>
      <c r="R122" t="s">
        <v>197</v>
      </c>
      <c r="S122" t="s">
        <v>116</v>
      </c>
      <c r="T122" t="s">
        <v>124</v>
      </c>
      <c r="U122" t="s">
        <v>123</v>
      </c>
      <c r="V122" t="s">
        <v>120</v>
      </c>
      <c r="W122" t="s">
        <v>170</v>
      </c>
      <c r="X122">
        <v>22</v>
      </c>
      <c r="Y122" t="s">
        <v>123</v>
      </c>
      <c r="Z122">
        <v>19</v>
      </c>
      <c r="AA122">
        <v>1</v>
      </c>
      <c r="AB122" t="s">
        <v>99</v>
      </c>
      <c r="AC122" t="s">
        <v>251</v>
      </c>
      <c r="AE122" t="str">
        <f t="shared" si="1"/>
        <v>HickersonLynch</v>
      </c>
      <c r="AF122">
        <v>1</v>
      </c>
      <c r="AG122">
        <v>1</v>
      </c>
      <c r="AH122">
        <v>0</v>
      </c>
      <c r="AI122">
        <v>0</v>
      </c>
      <c r="AJ122">
        <v>1</v>
      </c>
      <c r="AK122" t="s">
        <v>693</v>
      </c>
      <c r="AL122">
        <v>0.44827586206896602</v>
      </c>
      <c r="AM122" t="s">
        <v>133</v>
      </c>
      <c r="AN122">
        <v>0.38392857142857201</v>
      </c>
    </row>
    <row r="123" spans="2:40" ht="15" customHeight="1" x14ac:dyDescent="0.2">
      <c r="B123">
        <v>19</v>
      </c>
      <c r="C123">
        <v>4</v>
      </c>
      <c r="D123">
        <v>3</v>
      </c>
      <c r="E123" t="s">
        <v>250</v>
      </c>
      <c r="F123" t="s">
        <v>108</v>
      </c>
      <c r="G123" s="15">
        <v>42168</v>
      </c>
      <c r="H123" t="s">
        <v>144</v>
      </c>
      <c r="I123" t="s">
        <v>218</v>
      </c>
      <c r="J123" t="s">
        <v>219</v>
      </c>
      <c r="K123">
        <v>9</v>
      </c>
      <c r="L123" t="s">
        <v>137</v>
      </c>
      <c r="M123" t="s">
        <v>220</v>
      </c>
      <c r="N123" t="s">
        <v>114</v>
      </c>
      <c r="O123">
        <v>70.900000000000006</v>
      </c>
      <c r="P123">
        <v>133</v>
      </c>
      <c r="Q123">
        <v>5980</v>
      </c>
      <c r="R123" t="s">
        <v>197</v>
      </c>
      <c r="S123" t="s">
        <v>116</v>
      </c>
      <c r="T123" t="s">
        <v>117</v>
      </c>
      <c r="U123" t="s">
        <v>135</v>
      </c>
      <c r="V123" t="s">
        <v>693</v>
      </c>
      <c r="W123" t="s">
        <v>221</v>
      </c>
      <c r="X123">
        <v>16</v>
      </c>
      <c r="Y123" t="s">
        <v>133</v>
      </c>
      <c r="Z123">
        <v>19</v>
      </c>
      <c r="AA123">
        <v>1</v>
      </c>
      <c r="AB123" t="s">
        <v>100</v>
      </c>
      <c r="AC123" t="s">
        <v>251</v>
      </c>
      <c r="AE123" t="str">
        <f t="shared" si="1"/>
        <v>BussiculoMangold</v>
      </c>
      <c r="AF123">
        <v>0</v>
      </c>
      <c r="AG123">
        <v>0</v>
      </c>
      <c r="AH123">
        <v>1</v>
      </c>
      <c r="AI123">
        <v>0</v>
      </c>
      <c r="AJ123">
        <v>0</v>
      </c>
      <c r="AK123" t="s">
        <v>120</v>
      </c>
      <c r="AL123">
        <v>0.35714285714285698</v>
      </c>
      <c r="AM123" t="s">
        <v>123</v>
      </c>
      <c r="AN123">
        <v>0.5546875</v>
      </c>
    </row>
    <row r="124" spans="2:40" ht="15" customHeight="1" x14ac:dyDescent="0.2">
      <c r="B124">
        <v>20</v>
      </c>
      <c r="C124">
        <v>5</v>
      </c>
      <c r="D124">
        <v>3</v>
      </c>
      <c r="E124" t="s">
        <v>252</v>
      </c>
      <c r="F124" t="s">
        <v>108</v>
      </c>
      <c r="G124" s="15">
        <v>42168</v>
      </c>
      <c r="H124" t="s">
        <v>144</v>
      </c>
      <c r="I124" t="s">
        <v>218</v>
      </c>
      <c r="J124" t="s">
        <v>219</v>
      </c>
      <c r="K124">
        <v>9</v>
      </c>
      <c r="L124" t="s">
        <v>137</v>
      </c>
      <c r="M124" t="s">
        <v>220</v>
      </c>
      <c r="N124" t="s">
        <v>114</v>
      </c>
      <c r="O124">
        <v>70.900000000000006</v>
      </c>
      <c r="P124">
        <v>133</v>
      </c>
      <c r="Q124">
        <v>5980</v>
      </c>
      <c r="R124" t="s">
        <v>197</v>
      </c>
      <c r="S124" t="s">
        <v>116</v>
      </c>
      <c r="T124" t="s">
        <v>117</v>
      </c>
      <c r="U124" t="s">
        <v>135</v>
      </c>
      <c r="V124" t="s">
        <v>176</v>
      </c>
      <c r="W124" t="s">
        <v>221</v>
      </c>
      <c r="X124">
        <v>29.646017699115099</v>
      </c>
      <c r="Y124" t="s">
        <v>230</v>
      </c>
      <c r="Z124">
        <v>22.1752212389381</v>
      </c>
      <c r="AA124">
        <v>1</v>
      </c>
      <c r="AB124" t="s">
        <v>101</v>
      </c>
      <c r="AC124" t="s">
        <v>253</v>
      </c>
      <c r="AE124" t="str">
        <f t="shared" si="1"/>
        <v>ForsterNorat</v>
      </c>
      <c r="AF124">
        <v>0.5</v>
      </c>
      <c r="AG124">
        <v>0</v>
      </c>
      <c r="AH124">
        <v>0</v>
      </c>
      <c r="AI124">
        <v>1</v>
      </c>
      <c r="AJ124">
        <v>0.5</v>
      </c>
      <c r="AK124" t="s">
        <v>179</v>
      </c>
      <c r="AL124">
        <v>0.44067796610169502</v>
      </c>
      <c r="AM124" t="s">
        <v>231</v>
      </c>
      <c r="AN124">
        <v>0.5</v>
      </c>
    </row>
    <row r="125" spans="2:40" ht="15" customHeight="1" x14ac:dyDescent="0.2">
      <c r="B125">
        <v>20</v>
      </c>
      <c r="C125">
        <v>5</v>
      </c>
      <c r="D125">
        <v>3</v>
      </c>
      <c r="E125" t="s">
        <v>252</v>
      </c>
      <c r="F125" t="s">
        <v>108</v>
      </c>
      <c r="G125" s="15">
        <v>42168</v>
      </c>
      <c r="H125" t="s">
        <v>144</v>
      </c>
      <c r="I125" t="s">
        <v>218</v>
      </c>
      <c r="J125" t="s">
        <v>219</v>
      </c>
      <c r="K125">
        <v>9</v>
      </c>
      <c r="L125" t="s">
        <v>137</v>
      </c>
      <c r="M125" t="s">
        <v>220</v>
      </c>
      <c r="N125" t="s">
        <v>114</v>
      </c>
      <c r="O125">
        <v>70.900000000000006</v>
      </c>
      <c r="P125">
        <v>133</v>
      </c>
      <c r="Q125">
        <v>5980</v>
      </c>
      <c r="R125" t="s">
        <v>197</v>
      </c>
      <c r="S125" t="s">
        <v>116</v>
      </c>
      <c r="T125" t="s">
        <v>124</v>
      </c>
      <c r="U125" t="s">
        <v>123</v>
      </c>
      <c r="V125" t="s">
        <v>179</v>
      </c>
      <c r="W125" t="s">
        <v>170</v>
      </c>
      <c r="X125">
        <v>29.4088495575221</v>
      </c>
      <c r="Y125" t="s">
        <v>231</v>
      </c>
      <c r="Z125">
        <v>11.265486725663701</v>
      </c>
      <c r="AA125">
        <v>1</v>
      </c>
      <c r="AB125" t="s">
        <v>101</v>
      </c>
      <c r="AC125" t="s">
        <v>253</v>
      </c>
      <c r="AE125" t="str">
        <f t="shared" si="1"/>
        <v>ColeMcInerney</v>
      </c>
      <c r="AF125">
        <v>0.5</v>
      </c>
      <c r="AG125">
        <v>0</v>
      </c>
      <c r="AH125">
        <v>0</v>
      </c>
      <c r="AI125">
        <v>1</v>
      </c>
      <c r="AJ125">
        <v>0.5</v>
      </c>
      <c r="AK125" t="s">
        <v>176</v>
      </c>
      <c r="AL125">
        <v>0.59649122807017496</v>
      </c>
      <c r="AM125" t="s">
        <v>230</v>
      </c>
      <c r="AN125">
        <v>0.52777777777777801</v>
      </c>
    </row>
    <row r="126" spans="2:40" ht="15" customHeight="1" x14ac:dyDescent="0.2">
      <c r="B126">
        <v>21</v>
      </c>
      <c r="C126">
        <v>1</v>
      </c>
      <c r="D126">
        <v>3</v>
      </c>
      <c r="E126" t="s">
        <v>254</v>
      </c>
      <c r="F126" t="s">
        <v>153</v>
      </c>
      <c r="G126" s="15">
        <v>42169</v>
      </c>
      <c r="H126" t="s">
        <v>109</v>
      </c>
      <c r="I126" t="s">
        <v>218</v>
      </c>
      <c r="J126" t="s">
        <v>219</v>
      </c>
      <c r="K126">
        <v>18</v>
      </c>
      <c r="L126" t="s">
        <v>154</v>
      </c>
      <c r="M126" t="s">
        <v>255</v>
      </c>
      <c r="N126" t="s">
        <v>170</v>
      </c>
      <c r="O126">
        <v>71.3</v>
      </c>
      <c r="P126">
        <v>130</v>
      </c>
      <c r="Q126">
        <v>6326</v>
      </c>
      <c r="R126" t="s">
        <v>157</v>
      </c>
      <c r="S126" t="s">
        <v>158</v>
      </c>
      <c r="T126" t="s">
        <v>117</v>
      </c>
      <c r="U126" t="s">
        <v>135</v>
      </c>
      <c r="V126" t="s">
        <v>230</v>
      </c>
      <c r="W126" t="s">
        <v>156</v>
      </c>
      <c r="X126">
        <v>21.678761061946901</v>
      </c>
      <c r="AA126">
        <v>2</v>
      </c>
      <c r="AB126" t="s">
        <v>101</v>
      </c>
      <c r="AC126" t="s">
        <v>139</v>
      </c>
      <c r="AD126" t="s">
        <v>120</v>
      </c>
      <c r="AE126" t="str">
        <f t="shared" si="1"/>
        <v>Norat</v>
      </c>
      <c r="AF126">
        <v>1</v>
      </c>
      <c r="AG126">
        <v>0</v>
      </c>
      <c r="AH126">
        <v>0</v>
      </c>
      <c r="AI126">
        <v>1</v>
      </c>
      <c r="AJ126">
        <v>0.5</v>
      </c>
      <c r="AK126" t="s">
        <v>120</v>
      </c>
      <c r="AL126">
        <v>0.35714285714285698</v>
      </c>
    </row>
    <row r="127" spans="2:40" ht="15" customHeight="1" x14ac:dyDescent="0.2">
      <c r="B127">
        <v>21</v>
      </c>
      <c r="C127">
        <v>2</v>
      </c>
      <c r="D127">
        <v>3</v>
      </c>
      <c r="E127" t="s">
        <v>256</v>
      </c>
      <c r="F127" t="s">
        <v>153</v>
      </c>
      <c r="G127" s="15">
        <v>42169</v>
      </c>
      <c r="H127" t="s">
        <v>109</v>
      </c>
      <c r="I127" t="s">
        <v>218</v>
      </c>
      <c r="J127" t="s">
        <v>219</v>
      </c>
      <c r="K127">
        <v>18</v>
      </c>
      <c r="L127" t="s">
        <v>154</v>
      </c>
      <c r="M127" t="s">
        <v>255</v>
      </c>
      <c r="N127" t="s">
        <v>170</v>
      </c>
      <c r="O127">
        <v>71.3</v>
      </c>
      <c r="P127">
        <v>130</v>
      </c>
      <c r="Q127">
        <v>6326</v>
      </c>
      <c r="R127" t="s">
        <v>157</v>
      </c>
      <c r="S127" t="s">
        <v>158</v>
      </c>
      <c r="T127" t="s">
        <v>117</v>
      </c>
      <c r="U127" t="s">
        <v>135</v>
      </c>
      <c r="V127" t="s">
        <v>178</v>
      </c>
      <c r="W127" t="s">
        <v>156</v>
      </c>
      <c r="X127">
        <v>19.3601769911504</v>
      </c>
      <c r="AA127">
        <v>2</v>
      </c>
      <c r="AB127" t="s">
        <v>99</v>
      </c>
      <c r="AC127" t="s">
        <v>257</v>
      </c>
      <c r="AD127" t="s">
        <v>172</v>
      </c>
      <c r="AE127" t="str">
        <f t="shared" si="1"/>
        <v>Connors</v>
      </c>
      <c r="AF127">
        <v>2</v>
      </c>
      <c r="AG127">
        <v>1</v>
      </c>
      <c r="AH127">
        <v>0</v>
      </c>
      <c r="AI127">
        <v>0</v>
      </c>
      <c r="AJ127">
        <v>1</v>
      </c>
      <c r="AK127" t="s">
        <v>172</v>
      </c>
      <c r="AL127">
        <v>0.37288135593220301</v>
      </c>
    </row>
    <row r="128" spans="2:40" ht="15" customHeight="1" x14ac:dyDescent="0.2">
      <c r="B128">
        <v>22</v>
      </c>
      <c r="C128">
        <v>3</v>
      </c>
      <c r="D128">
        <v>3</v>
      </c>
      <c r="E128" t="s">
        <v>258</v>
      </c>
      <c r="F128" t="s">
        <v>153</v>
      </c>
      <c r="G128" s="15">
        <v>42169</v>
      </c>
      <c r="H128" t="s">
        <v>109</v>
      </c>
      <c r="I128" t="s">
        <v>218</v>
      </c>
      <c r="J128" t="s">
        <v>219</v>
      </c>
      <c r="K128">
        <v>18</v>
      </c>
      <c r="L128" t="s">
        <v>154</v>
      </c>
      <c r="M128" t="s">
        <v>255</v>
      </c>
      <c r="N128" t="s">
        <v>170</v>
      </c>
      <c r="O128">
        <v>71.3</v>
      </c>
      <c r="P128">
        <v>130</v>
      </c>
      <c r="Q128">
        <v>6326</v>
      </c>
      <c r="R128" t="s">
        <v>157</v>
      </c>
      <c r="S128" t="s">
        <v>158</v>
      </c>
      <c r="T128" t="s">
        <v>117</v>
      </c>
      <c r="U128" t="s">
        <v>135</v>
      </c>
      <c r="V128" t="s">
        <v>132</v>
      </c>
      <c r="W128" t="s">
        <v>156</v>
      </c>
      <c r="X128">
        <v>15.5345132743363</v>
      </c>
      <c r="AA128">
        <v>2</v>
      </c>
      <c r="AB128" t="s">
        <v>100</v>
      </c>
      <c r="AC128" t="s">
        <v>259</v>
      </c>
      <c r="AD128" t="s">
        <v>226</v>
      </c>
      <c r="AE128" t="str">
        <f t="shared" si="1"/>
        <v>Flanders</v>
      </c>
      <c r="AF128">
        <v>0</v>
      </c>
      <c r="AG128">
        <v>0</v>
      </c>
      <c r="AH128">
        <v>1</v>
      </c>
      <c r="AI128">
        <v>0</v>
      </c>
      <c r="AJ128">
        <v>0</v>
      </c>
      <c r="AK128" t="s">
        <v>226</v>
      </c>
      <c r="AL128">
        <v>0.65476190476190499</v>
      </c>
    </row>
    <row r="129" spans="2:38" ht="15" customHeight="1" x14ac:dyDescent="0.2">
      <c r="B129">
        <v>22</v>
      </c>
      <c r="C129">
        <v>4</v>
      </c>
      <c r="D129">
        <v>3</v>
      </c>
      <c r="E129" t="s">
        <v>260</v>
      </c>
      <c r="F129" t="s">
        <v>153</v>
      </c>
      <c r="G129" s="15">
        <v>42169</v>
      </c>
      <c r="H129" t="s">
        <v>109</v>
      </c>
      <c r="I129" t="s">
        <v>218</v>
      </c>
      <c r="J129" t="s">
        <v>219</v>
      </c>
      <c r="K129">
        <v>18</v>
      </c>
      <c r="L129" t="s">
        <v>154</v>
      </c>
      <c r="M129" t="s">
        <v>255</v>
      </c>
      <c r="N129" t="s">
        <v>170</v>
      </c>
      <c r="O129">
        <v>71.3</v>
      </c>
      <c r="P129">
        <v>130</v>
      </c>
      <c r="Q129">
        <v>6326</v>
      </c>
      <c r="R129" t="s">
        <v>157</v>
      </c>
      <c r="S129" t="s">
        <v>158</v>
      </c>
      <c r="T129" t="s">
        <v>117</v>
      </c>
      <c r="U129" t="s">
        <v>135</v>
      </c>
      <c r="V129" t="s">
        <v>176</v>
      </c>
      <c r="W129" t="s">
        <v>156</v>
      </c>
      <c r="X129">
        <v>28.982300884955801</v>
      </c>
      <c r="AA129">
        <v>2</v>
      </c>
      <c r="AB129" t="s">
        <v>99</v>
      </c>
      <c r="AC129" t="s">
        <v>239</v>
      </c>
      <c r="AD129" t="s">
        <v>122</v>
      </c>
      <c r="AE129" t="str">
        <f t="shared" si="1"/>
        <v>Forster</v>
      </c>
      <c r="AF129">
        <v>2</v>
      </c>
      <c r="AG129">
        <v>1</v>
      </c>
      <c r="AH129">
        <v>0</v>
      </c>
      <c r="AI129">
        <v>0</v>
      </c>
      <c r="AJ129">
        <v>1</v>
      </c>
      <c r="AK129" t="s">
        <v>122</v>
      </c>
      <c r="AL129">
        <v>0.47321428571428598</v>
      </c>
    </row>
    <row r="130" spans="2:38" ht="15" customHeight="1" x14ac:dyDescent="0.2">
      <c r="B130">
        <v>23</v>
      </c>
      <c r="C130">
        <v>5</v>
      </c>
      <c r="D130">
        <v>3</v>
      </c>
      <c r="E130" t="s">
        <v>261</v>
      </c>
      <c r="F130" t="s">
        <v>153</v>
      </c>
      <c r="G130" s="15">
        <v>42169</v>
      </c>
      <c r="H130" t="s">
        <v>109</v>
      </c>
      <c r="I130" t="s">
        <v>218</v>
      </c>
      <c r="J130" t="s">
        <v>219</v>
      </c>
      <c r="K130">
        <v>18</v>
      </c>
      <c r="L130" t="s">
        <v>154</v>
      </c>
      <c r="M130" t="s">
        <v>255</v>
      </c>
      <c r="N130" t="s">
        <v>170</v>
      </c>
      <c r="O130">
        <v>71.3</v>
      </c>
      <c r="P130">
        <v>130</v>
      </c>
      <c r="Q130">
        <v>6326</v>
      </c>
      <c r="R130" t="s">
        <v>157</v>
      </c>
      <c r="S130" t="s">
        <v>158</v>
      </c>
      <c r="T130" t="s">
        <v>117</v>
      </c>
      <c r="U130" t="s">
        <v>135</v>
      </c>
      <c r="V130" t="s">
        <v>133</v>
      </c>
      <c r="W130" t="s">
        <v>156</v>
      </c>
      <c r="X130">
        <v>19.012389380531001</v>
      </c>
      <c r="AA130">
        <v>2</v>
      </c>
      <c r="AB130" t="s">
        <v>101</v>
      </c>
      <c r="AC130" t="s">
        <v>139</v>
      </c>
      <c r="AD130" t="s">
        <v>179</v>
      </c>
      <c r="AE130" t="str">
        <f t="shared" ref="AE130:AE193" si="2">$V130&amp;$Y130</f>
        <v>Mangold</v>
      </c>
      <c r="AF130">
        <v>1</v>
      </c>
      <c r="AG130">
        <v>0</v>
      </c>
      <c r="AH130">
        <v>0</v>
      </c>
      <c r="AI130">
        <v>1</v>
      </c>
      <c r="AJ130">
        <v>0.5</v>
      </c>
      <c r="AK130" t="s">
        <v>179</v>
      </c>
      <c r="AL130">
        <v>0.44067796610169502</v>
      </c>
    </row>
    <row r="131" spans="2:38" ht="15" customHeight="1" x14ac:dyDescent="0.2">
      <c r="B131">
        <v>23</v>
      </c>
      <c r="C131">
        <v>6</v>
      </c>
      <c r="D131">
        <v>3</v>
      </c>
      <c r="E131" t="s">
        <v>262</v>
      </c>
      <c r="F131" t="s">
        <v>153</v>
      </c>
      <c r="G131" s="15">
        <v>42169</v>
      </c>
      <c r="H131" t="s">
        <v>109</v>
      </c>
      <c r="I131" t="s">
        <v>218</v>
      </c>
      <c r="J131" t="s">
        <v>219</v>
      </c>
      <c r="K131">
        <v>18</v>
      </c>
      <c r="L131" t="s">
        <v>154</v>
      </c>
      <c r="M131" t="s">
        <v>255</v>
      </c>
      <c r="N131" t="s">
        <v>170</v>
      </c>
      <c r="O131">
        <v>71.3</v>
      </c>
      <c r="P131">
        <v>130</v>
      </c>
      <c r="Q131">
        <v>6326</v>
      </c>
      <c r="R131" t="s">
        <v>157</v>
      </c>
      <c r="S131" t="s">
        <v>158</v>
      </c>
      <c r="T131" t="s">
        <v>117</v>
      </c>
      <c r="U131" t="s">
        <v>135</v>
      </c>
      <c r="V131" t="s">
        <v>118</v>
      </c>
      <c r="W131" t="s">
        <v>156</v>
      </c>
      <c r="X131">
        <v>14.2592920353982</v>
      </c>
      <c r="AA131">
        <v>2</v>
      </c>
      <c r="AB131" t="s">
        <v>99</v>
      </c>
      <c r="AC131" t="s">
        <v>239</v>
      </c>
      <c r="AD131" t="s">
        <v>231</v>
      </c>
      <c r="AE131" t="str">
        <f t="shared" si="2"/>
        <v>Jackson</v>
      </c>
      <c r="AF131">
        <v>2</v>
      </c>
      <c r="AG131">
        <v>1</v>
      </c>
      <c r="AH131">
        <v>0</v>
      </c>
      <c r="AI131">
        <v>0</v>
      </c>
      <c r="AJ131">
        <v>1</v>
      </c>
      <c r="AK131" t="s">
        <v>231</v>
      </c>
      <c r="AL131">
        <v>0.5</v>
      </c>
    </row>
    <row r="132" spans="2:38" ht="15" customHeight="1" x14ac:dyDescent="0.2">
      <c r="B132">
        <v>24</v>
      </c>
      <c r="C132">
        <v>7</v>
      </c>
      <c r="D132">
        <v>3</v>
      </c>
      <c r="E132" t="s">
        <v>1295</v>
      </c>
      <c r="F132" t="s">
        <v>153</v>
      </c>
      <c r="G132" s="15">
        <v>42169</v>
      </c>
      <c r="H132" t="s">
        <v>109</v>
      </c>
      <c r="I132" t="s">
        <v>218</v>
      </c>
      <c r="J132" t="s">
        <v>219</v>
      </c>
      <c r="K132">
        <v>18</v>
      </c>
      <c r="L132" t="s">
        <v>154</v>
      </c>
      <c r="M132" t="s">
        <v>255</v>
      </c>
      <c r="N132" t="s">
        <v>170</v>
      </c>
      <c r="O132">
        <v>71.3</v>
      </c>
      <c r="P132">
        <v>130</v>
      </c>
      <c r="Q132">
        <v>6326</v>
      </c>
      <c r="R132" t="s">
        <v>157</v>
      </c>
      <c r="S132" t="s">
        <v>158</v>
      </c>
      <c r="T132" t="s">
        <v>117</v>
      </c>
      <c r="U132" t="s">
        <v>135</v>
      </c>
      <c r="V132" t="s">
        <v>693</v>
      </c>
      <c r="W132" t="s">
        <v>156</v>
      </c>
      <c r="X132">
        <v>15.9982300884956</v>
      </c>
      <c r="AA132">
        <v>2</v>
      </c>
      <c r="AB132" t="s">
        <v>100</v>
      </c>
      <c r="AC132" t="s">
        <v>263</v>
      </c>
      <c r="AD132" t="s">
        <v>227</v>
      </c>
      <c r="AE132" t="str">
        <f t="shared" si="2"/>
        <v>Bussiculo</v>
      </c>
      <c r="AF132">
        <v>0</v>
      </c>
      <c r="AG132">
        <v>0</v>
      </c>
      <c r="AH132">
        <v>1</v>
      </c>
      <c r="AI132">
        <v>0</v>
      </c>
      <c r="AJ132">
        <v>0</v>
      </c>
      <c r="AK132" t="s">
        <v>227</v>
      </c>
      <c r="AL132">
        <v>0.5</v>
      </c>
    </row>
    <row r="133" spans="2:38" ht="15" customHeight="1" x14ac:dyDescent="0.2">
      <c r="B133">
        <v>24</v>
      </c>
      <c r="C133">
        <v>8</v>
      </c>
      <c r="D133">
        <v>3</v>
      </c>
      <c r="E133" t="s">
        <v>264</v>
      </c>
      <c r="F133" t="s">
        <v>153</v>
      </c>
      <c r="G133" s="15">
        <v>42169</v>
      </c>
      <c r="H133" t="s">
        <v>109</v>
      </c>
      <c r="I133" t="s">
        <v>218</v>
      </c>
      <c r="J133" t="s">
        <v>219</v>
      </c>
      <c r="K133">
        <v>18</v>
      </c>
      <c r="L133" t="s">
        <v>154</v>
      </c>
      <c r="M133" t="s">
        <v>255</v>
      </c>
      <c r="N133" t="s">
        <v>170</v>
      </c>
      <c r="O133">
        <v>71.3</v>
      </c>
      <c r="P133">
        <v>130</v>
      </c>
      <c r="Q133">
        <v>6326</v>
      </c>
      <c r="R133" t="s">
        <v>157</v>
      </c>
      <c r="S133" t="s">
        <v>158</v>
      </c>
      <c r="T133" t="s">
        <v>117</v>
      </c>
      <c r="U133" t="s">
        <v>135</v>
      </c>
      <c r="V133" t="s">
        <v>119</v>
      </c>
      <c r="W133" t="s">
        <v>156</v>
      </c>
      <c r="X133">
        <v>17.041592920353999</v>
      </c>
      <c r="AA133">
        <v>2</v>
      </c>
      <c r="AB133" t="s">
        <v>100</v>
      </c>
      <c r="AC133" t="s">
        <v>225</v>
      </c>
      <c r="AD133" t="s">
        <v>1308</v>
      </c>
      <c r="AE133" t="str">
        <f t="shared" si="2"/>
        <v>Grise</v>
      </c>
      <c r="AF133">
        <v>0</v>
      </c>
      <c r="AG133">
        <v>0</v>
      </c>
      <c r="AH133">
        <v>1</v>
      </c>
      <c r="AI133">
        <v>0</v>
      </c>
      <c r="AJ133">
        <v>0</v>
      </c>
      <c r="AK133" t="s">
        <v>1308</v>
      </c>
      <c r="AL133">
        <v>0.59375</v>
      </c>
    </row>
    <row r="134" spans="2:38" ht="15" customHeight="1" x14ac:dyDescent="0.2">
      <c r="B134">
        <v>25</v>
      </c>
      <c r="C134">
        <v>9</v>
      </c>
      <c r="D134">
        <v>3</v>
      </c>
      <c r="E134" t="s">
        <v>265</v>
      </c>
      <c r="F134" t="s">
        <v>153</v>
      </c>
      <c r="G134" s="15">
        <v>42169</v>
      </c>
      <c r="H134" t="s">
        <v>109</v>
      </c>
      <c r="I134" t="s">
        <v>218</v>
      </c>
      <c r="J134" t="s">
        <v>219</v>
      </c>
      <c r="K134">
        <v>18</v>
      </c>
      <c r="L134" t="s">
        <v>154</v>
      </c>
      <c r="M134" t="s">
        <v>255</v>
      </c>
      <c r="N134" t="s">
        <v>170</v>
      </c>
      <c r="O134">
        <v>71.3</v>
      </c>
      <c r="P134">
        <v>130</v>
      </c>
      <c r="Q134">
        <v>6326</v>
      </c>
      <c r="R134" t="s">
        <v>157</v>
      </c>
      <c r="S134" t="s">
        <v>158</v>
      </c>
      <c r="T134" t="s">
        <v>117</v>
      </c>
      <c r="U134" t="s">
        <v>135</v>
      </c>
      <c r="V134" t="s">
        <v>127</v>
      </c>
      <c r="W134" t="s">
        <v>156</v>
      </c>
      <c r="X134">
        <v>23.069911504424802</v>
      </c>
      <c r="AA134">
        <v>2</v>
      </c>
      <c r="AB134" t="s">
        <v>99</v>
      </c>
      <c r="AC134" t="s">
        <v>222</v>
      </c>
      <c r="AD134" t="s">
        <v>175</v>
      </c>
      <c r="AE134" t="str">
        <f t="shared" si="2"/>
        <v>Ferrin</v>
      </c>
      <c r="AF134">
        <v>2</v>
      </c>
      <c r="AG134">
        <v>1</v>
      </c>
      <c r="AH134">
        <v>0</v>
      </c>
      <c r="AI134">
        <v>0</v>
      </c>
      <c r="AJ134">
        <v>1</v>
      </c>
      <c r="AK134" t="s">
        <v>175</v>
      </c>
      <c r="AL134">
        <v>0.5</v>
      </c>
    </row>
    <row r="135" spans="2:38" ht="15" customHeight="1" x14ac:dyDescent="0.2">
      <c r="B135">
        <v>25</v>
      </c>
      <c r="C135">
        <v>10</v>
      </c>
      <c r="D135">
        <v>3</v>
      </c>
      <c r="E135" t="s">
        <v>266</v>
      </c>
      <c r="F135" t="s">
        <v>153</v>
      </c>
      <c r="G135" s="15">
        <v>42169</v>
      </c>
      <c r="H135" t="s">
        <v>109</v>
      </c>
      <c r="I135" t="s">
        <v>218</v>
      </c>
      <c r="J135" t="s">
        <v>219</v>
      </c>
      <c r="K135">
        <v>18</v>
      </c>
      <c r="L135" t="s">
        <v>154</v>
      </c>
      <c r="M135" t="s">
        <v>255</v>
      </c>
      <c r="N135" t="s">
        <v>170</v>
      </c>
      <c r="O135">
        <v>71.3</v>
      </c>
      <c r="P135">
        <v>130</v>
      </c>
      <c r="Q135">
        <v>6326</v>
      </c>
      <c r="R135" t="s">
        <v>157</v>
      </c>
      <c r="S135" t="s">
        <v>158</v>
      </c>
      <c r="T135" t="s">
        <v>117</v>
      </c>
      <c r="U135" t="s">
        <v>135</v>
      </c>
      <c r="V135" t="s">
        <v>135</v>
      </c>
      <c r="W135" t="s">
        <v>156</v>
      </c>
      <c r="X135">
        <v>20.519469026548698</v>
      </c>
      <c r="AA135">
        <v>2</v>
      </c>
      <c r="AB135" t="s">
        <v>100</v>
      </c>
      <c r="AC135" t="s">
        <v>142</v>
      </c>
      <c r="AD135" t="s">
        <v>123</v>
      </c>
      <c r="AE135" t="str">
        <f t="shared" si="2"/>
        <v>Shively</v>
      </c>
      <c r="AF135">
        <v>0</v>
      </c>
      <c r="AG135">
        <v>0</v>
      </c>
      <c r="AH135">
        <v>1</v>
      </c>
      <c r="AI135">
        <v>0</v>
      </c>
      <c r="AJ135">
        <v>0</v>
      </c>
      <c r="AK135" t="s">
        <v>123</v>
      </c>
      <c r="AL135">
        <v>0.5546875</v>
      </c>
    </row>
    <row r="136" spans="2:38" ht="15" customHeight="1" x14ac:dyDescent="0.2">
      <c r="B136">
        <v>26</v>
      </c>
      <c r="C136">
        <v>1</v>
      </c>
      <c r="D136">
        <v>3</v>
      </c>
      <c r="E136" t="s">
        <v>254</v>
      </c>
      <c r="F136" t="s">
        <v>153</v>
      </c>
      <c r="G136" s="15">
        <v>42169</v>
      </c>
      <c r="H136" t="s">
        <v>109</v>
      </c>
      <c r="I136" t="s">
        <v>218</v>
      </c>
      <c r="J136" t="s">
        <v>219</v>
      </c>
      <c r="K136">
        <v>18</v>
      </c>
      <c r="L136" t="s">
        <v>154</v>
      </c>
      <c r="M136" t="s">
        <v>255</v>
      </c>
      <c r="N136" t="s">
        <v>170</v>
      </c>
      <c r="O136">
        <v>71.3</v>
      </c>
      <c r="P136">
        <v>130</v>
      </c>
      <c r="Q136">
        <v>6326</v>
      </c>
      <c r="R136" t="s">
        <v>157</v>
      </c>
      <c r="S136" t="s">
        <v>158</v>
      </c>
      <c r="T136" t="s">
        <v>124</v>
      </c>
      <c r="U136" t="s">
        <v>123</v>
      </c>
      <c r="V136" t="s">
        <v>120</v>
      </c>
      <c r="W136" t="s">
        <v>114</v>
      </c>
      <c r="X136">
        <v>21.7946902654867</v>
      </c>
      <c r="AA136">
        <v>2</v>
      </c>
      <c r="AB136" t="s">
        <v>101</v>
      </c>
      <c r="AC136" t="s">
        <v>139</v>
      </c>
      <c r="AD136" t="s">
        <v>230</v>
      </c>
      <c r="AE136" t="str">
        <f t="shared" si="2"/>
        <v>Hickerson</v>
      </c>
      <c r="AF136">
        <v>1</v>
      </c>
      <c r="AG136">
        <v>0</v>
      </c>
      <c r="AH136">
        <v>0</v>
      </c>
      <c r="AI136">
        <v>1</v>
      </c>
      <c r="AJ136">
        <v>0.5</v>
      </c>
      <c r="AK136" t="s">
        <v>230</v>
      </c>
      <c r="AL136">
        <v>0.52777777777777801</v>
      </c>
    </row>
    <row r="137" spans="2:38" ht="15" customHeight="1" x14ac:dyDescent="0.2">
      <c r="B137">
        <v>26</v>
      </c>
      <c r="C137">
        <v>2</v>
      </c>
      <c r="D137">
        <v>3</v>
      </c>
      <c r="E137" t="s">
        <v>256</v>
      </c>
      <c r="F137" t="s">
        <v>153</v>
      </c>
      <c r="G137" s="15">
        <v>42169</v>
      </c>
      <c r="H137" t="s">
        <v>109</v>
      </c>
      <c r="I137" t="s">
        <v>218</v>
      </c>
      <c r="J137" t="s">
        <v>219</v>
      </c>
      <c r="K137">
        <v>18</v>
      </c>
      <c r="L137" t="s">
        <v>154</v>
      </c>
      <c r="M137" t="s">
        <v>255</v>
      </c>
      <c r="N137" t="s">
        <v>170</v>
      </c>
      <c r="O137">
        <v>71.3</v>
      </c>
      <c r="P137">
        <v>130</v>
      </c>
      <c r="Q137">
        <v>6326</v>
      </c>
      <c r="R137" t="s">
        <v>157</v>
      </c>
      <c r="S137" t="s">
        <v>158</v>
      </c>
      <c r="T137" t="s">
        <v>124</v>
      </c>
      <c r="U137" t="s">
        <v>123</v>
      </c>
      <c r="V137" t="s">
        <v>172</v>
      </c>
      <c r="W137" t="s">
        <v>114</v>
      </c>
      <c r="X137">
        <v>28.982300884955801</v>
      </c>
      <c r="AA137">
        <v>2</v>
      </c>
      <c r="AB137" t="s">
        <v>100</v>
      </c>
      <c r="AC137" t="s">
        <v>257</v>
      </c>
      <c r="AD137" t="s">
        <v>178</v>
      </c>
      <c r="AE137" t="str">
        <f t="shared" si="2"/>
        <v>Fogan</v>
      </c>
      <c r="AF137">
        <v>0</v>
      </c>
      <c r="AG137">
        <v>0</v>
      </c>
      <c r="AH137">
        <v>1</v>
      </c>
      <c r="AI137">
        <v>0</v>
      </c>
      <c r="AJ137">
        <v>0</v>
      </c>
      <c r="AK137" t="s">
        <v>178</v>
      </c>
      <c r="AL137">
        <v>0.34745762711864397</v>
      </c>
    </row>
    <row r="138" spans="2:38" ht="15" customHeight="1" x14ac:dyDescent="0.2">
      <c r="B138">
        <v>27</v>
      </c>
      <c r="C138">
        <v>3</v>
      </c>
      <c r="D138">
        <v>3</v>
      </c>
      <c r="E138" t="s">
        <v>258</v>
      </c>
      <c r="F138" t="s">
        <v>153</v>
      </c>
      <c r="G138" s="15">
        <v>42169</v>
      </c>
      <c r="H138" t="s">
        <v>109</v>
      </c>
      <c r="I138" t="s">
        <v>218</v>
      </c>
      <c r="J138" t="s">
        <v>219</v>
      </c>
      <c r="K138">
        <v>18</v>
      </c>
      <c r="L138" t="s">
        <v>154</v>
      </c>
      <c r="M138" t="s">
        <v>255</v>
      </c>
      <c r="N138" t="s">
        <v>170</v>
      </c>
      <c r="O138">
        <v>71.3</v>
      </c>
      <c r="P138">
        <v>130</v>
      </c>
      <c r="Q138">
        <v>6326</v>
      </c>
      <c r="R138" t="s">
        <v>157</v>
      </c>
      <c r="S138" t="s">
        <v>158</v>
      </c>
      <c r="T138" t="s">
        <v>124</v>
      </c>
      <c r="U138" t="s">
        <v>123</v>
      </c>
      <c r="V138" t="s">
        <v>226</v>
      </c>
      <c r="W138" t="s">
        <v>114</v>
      </c>
      <c r="X138">
        <v>12.7522123893805</v>
      </c>
      <c r="AA138">
        <v>2</v>
      </c>
      <c r="AB138" t="s">
        <v>99</v>
      </c>
      <c r="AC138" t="s">
        <v>259</v>
      </c>
      <c r="AD138" t="s">
        <v>132</v>
      </c>
      <c r="AE138" t="str">
        <f t="shared" si="2"/>
        <v>Gray</v>
      </c>
      <c r="AF138">
        <v>2</v>
      </c>
      <c r="AG138">
        <v>1</v>
      </c>
      <c r="AH138">
        <v>0</v>
      </c>
      <c r="AI138">
        <v>0</v>
      </c>
      <c r="AJ138">
        <v>1</v>
      </c>
      <c r="AK138" t="s">
        <v>132</v>
      </c>
      <c r="AL138">
        <v>0.4296875</v>
      </c>
    </row>
    <row r="139" spans="2:38" ht="15" customHeight="1" x14ac:dyDescent="0.2">
      <c r="B139">
        <v>27</v>
      </c>
      <c r="C139">
        <v>4</v>
      </c>
      <c r="D139">
        <v>3</v>
      </c>
      <c r="E139" t="s">
        <v>260</v>
      </c>
      <c r="F139" t="s">
        <v>153</v>
      </c>
      <c r="G139" s="15">
        <v>42169</v>
      </c>
      <c r="H139" t="s">
        <v>109</v>
      </c>
      <c r="I139" t="s">
        <v>218</v>
      </c>
      <c r="J139" t="s">
        <v>219</v>
      </c>
      <c r="K139">
        <v>18</v>
      </c>
      <c r="L139" t="s">
        <v>154</v>
      </c>
      <c r="M139" t="s">
        <v>255</v>
      </c>
      <c r="N139" t="s">
        <v>170</v>
      </c>
      <c r="O139">
        <v>71.3</v>
      </c>
      <c r="P139">
        <v>130</v>
      </c>
      <c r="Q139">
        <v>6326</v>
      </c>
      <c r="R139" t="s">
        <v>157</v>
      </c>
      <c r="S139" t="s">
        <v>158</v>
      </c>
      <c r="T139" t="s">
        <v>124</v>
      </c>
      <c r="U139" t="s">
        <v>123</v>
      </c>
      <c r="V139" t="s">
        <v>122</v>
      </c>
      <c r="W139" t="s">
        <v>114</v>
      </c>
      <c r="X139">
        <v>20.751327433628301</v>
      </c>
      <c r="AA139">
        <v>2</v>
      </c>
      <c r="AB139" t="s">
        <v>100</v>
      </c>
      <c r="AC139" t="s">
        <v>239</v>
      </c>
      <c r="AD139" t="s">
        <v>176</v>
      </c>
      <c r="AE139" t="str">
        <f t="shared" si="2"/>
        <v>Hilts</v>
      </c>
      <c r="AF139">
        <v>0</v>
      </c>
      <c r="AG139">
        <v>0</v>
      </c>
      <c r="AH139">
        <v>1</v>
      </c>
      <c r="AI139">
        <v>0</v>
      </c>
      <c r="AJ139">
        <v>0</v>
      </c>
      <c r="AK139" t="s">
        <v>176</v>
      </c>
      <c r="AL139">
        <v>0.59649122807017496</v>
      </c>
    </row>
    <row r="140" spans="2:38" ht="15" customHeight="1" x14ac:dyDescent="0.2">
      <c r="B140">
        <v>28</v>
      </c>
      <c r="C140">
        <v>5</v>
      </c>
      <c r="D140">
        <v>3</v>
      </c>
      <c r="E140" t="s">
        <v>261</v>
      </c>
      <c r="F140" t="s">
        <v>153</v>
      </c>
      <c r="G140" s="15">
        <v>42169</v>
      </c>
      <c r="H140" t="s">
        <v>109</v>
      </c>
      <c r="I140" t="s">
        <v>218</v>
      </c>
      <c r="J140" t="s">
        <v>219</v>
      </c>
      <c r="K140">
        <v>18</v>
      </c>
      <c r="L140" t="s">
        <v>154</v>
      </c>
      <c r="M140" t="s">
        <v>255</v>
      </c>
      <c r="N140" t="s">
        <v>170</v>
      </c>
      <c r="O140">
        <v>71.3</v>
      </c>
      <c r="P140">
        <v>130</v>
      </c>
      <c r="Q140">
        <v>6326</v>
      </c>
      <c r="R140" t="s">
        <v>157</v>
      </c>
      <c r="S140" t="s">
        <v>158</v>
      </c>
      <c r="T140" t="s">
        <v>124</v>
      </c>
      <c r="U140" t="s">
        <v>123</v>
      </c>
      <c r="V140" t="s">
        <v>179</v>
      </c>
      <c r="W140" t="s">
        <v>114</v>
      </c>
      <c r="X140">
        <v>28.750442477876099</v>
      </c>
      <c r="AA140">
        <v>2</v>
      </c>
      <c r="AB140" t="s">
        <v>101</v>
      </c>
      <c r="AC140" t="s">
        <v>139</v>
      </c>
      <c r="AD140" t="s">
        <v>133</v>
      </c>
      <c r="AE140" t="str">
        <f t="shared" si="2"/>
        <v>Cole</v>
      </c>
      <c r="AF140">
        <v>1</v>
      </c>
      <c r="AG140">
        <v>0</v>
      </c>
      <c r="AH140">
        <v>0</v>
      </c>
      <c r="AI140">
        <v>1</v>
      </c>
      <c r="AJ140">
        <v>0.5</v>
      </c>
      <c r="AK140" t="s">
        <v>133</v>
      </c>
      <c r="AL140">
        <v>0.38392857142857201</v>
      </c>
    </row>
    <row r="141" spans="2:38" ht="15" customHeight="1" x14ac:dyDescent="0.2">
      <c r="B141">
        <v>28</v>
      </c>
      <c r="C141">
        <v>6</v>
      </c>
      <c r="D141">
        <v>3</v>
      </c>
      <c r="E141" t="s">
        <v>262</v>
      </c>
      <c r="F141" t="s">
        <v>153</v>
      </c>
      <c r="G141" s="15">
        <v>42169</v>
      </c>
      <c r="H141" t="s">
        <v>109</v>
      </c>
      <c r="I141" t="s">
        <v>218</v>
      </c>
      <c r="J141" t="s">
        <v>219</v>
      </c>
      <c r="K141">
        <v>18</v>
      </c>
      <c r="L141" t="s">
        <v>154</v>
      </c>
      <c r="M141" t="s">
        <v>255</v>
      </c>
      <c r="N141" t="s">
        <v>170</v>
      </c>
      <c r="O141">
        <v>71.3</v>
      </c>
      <c r="P141">
        <v>130</v>
      </c>
      <c r="Q141">
        <v>6326</v>
      </c>
      <c r="R141" t="s">
        <v>157</v>
      </c>
      <c r="S141" t="s">
        <v>158</v>
      </c>
      <c r="T141" t="s">
        <v>124</v>
      </c>
      <c r="U141" t="s">
        <v>123</v>
      </c>
      <c r="V141" t="s">
        <v>231</v>
      </c>
      <c r="W141" t="s">
        <v>114</v>
      </c>
      <c r="X141">
        <v>11.0132743362832</v>
      </c>
      <c r="AA141">
        <v>2</v>
      </c>
      <c r="AB141" t="s">
        <v>100</v>
      </c>
      <c r="AC141" t="s">
        <v>239</v>
      </c>
      <c r="AD141" t="s">
        <v>118</v>
      </c>
      <c r="AE141" t="str">
        <f t="shared" si="2"/>
        <v>McInerney</v>
      </c>
      <c r="AF141">
        <v>0</v>
      </c>
      <c r="AG141">
        <v>0</v>
      </c>
      <c r="AH141">
        <v>1</v>
      </c>
      <c r="AI141">
        <v>0</v>
      </c>
      <c r="AJ141">
        <v>0</v>
      </c>
      <c r="AK141" t="s">
        <v>118</v>
      </c>
      <c r="AL141">
        <v>0.6171875</v>
      </c>
    </row>
    <row r="142" spans="2:38" ht="15" customHeight="1" x14ac:dyDescent="0.2">
      <c r="B142">
        <v>29</v>
      </c>
      <c r="C142">
        <v>7</v>
      </c>
      <c r="D142">
        <v>3</v>
      </c>
      <c r="E142" t="s">
        <v>1295</v>
      </c>
      <c r="F142" t="s">
        <v>153</v>
      </c>
      <c r="G142" s="15">
        <v>42169</v>
      </c>
      <c r="H142" t="s">
        <v>109</v>
      </c>
      <c r="I142" t="s">
        <v>218</v>
      </c>
      <c r="J142" t="s">
        <v>219</v>
      </c>
      <c r="K142">
        <v>18</v>
      </c>
      <c r="L142" t="s">
        <v>154</v>
      </c>
      <c r="M142" t="s">
        <v>255</v>
      </c>
      <c r="N142" t="s">
        <v>170</v>
      </c>
      <c r="O142">
        <v>71.3</v>
      </c>
      <c r="P142">
        <v>130</v>
      </c>
      <c r="Q142">
        <v>6326</v>
      </c>
      <c r="R142" t="s">
        <v>157</v>
      </c>
      <c r="S142" t="s">
        <v>158</v>
      </c>
      <c r="T142" t="s">
        <v>124</v>
      </c>
      <c r="U142" t="s">
        <v>123</v>
      </c>
      <c r="V142" t="s">
        <v>227</v>
      </c>
      <c r="W142" t="s">
        <v>114</v>
      </c>
      <c r="X142">
        <v>16.577876106194701</v>
      </c>
      <c r="AA142">
        <v>2</v>
      </c>
      <c r="AB142" t="s">
        <v>99</v>
      </c>
      <c r="AC142" t="s">
        <v>263</v>
      </c>
      <c r="AD142" t="s">
        <v>693</v>
      </c>
      <c r="AE142" t="str">
        <f t="shared" si="2"/>
        <v>Zimmer</v>
      </c>
      <c r="AF142">
        <v>2</v>
      </c>
      <c r="AG142">
        <v>1</v>
      </c>
      <c r="AH142">
        <v>0</v>
      </c>
      <c r="AI142">
        <v>0</v>
      </c>
      <c r="AJ142">
        <v>1</v>
      </c>
      <c r="AK142" t="s">
        <v>693</v>
      </c>
      <c r="AL142">
        <v>0.44827586206896602</v>
      </c>
    </row>
    <row r="143" spans="2:38" ht="15" customHeight="1" x14ac:dyDescent="0.2">
      <c r="B143">
        <v>29</v>
      </c>
      <c r="C143">
        <v>8</v>
      </c>
      <c r="D143">
        <v>3</v>
      </c>
      <c r="E143" t="s">
        <v>264</v>
      </c>
      <c r="F143" t="s">
        <v>153</v>
      </c>
      <c r="G143" s="15">
        <v>42169</v>
      </c>
      <c r="H143" t="s">
        <v>109</v>
      </c>
      <c r="I143" t="s">
        <v>218</v>
      </c>
      <c r="J143" t="s">
        <v>219</v>
      </c>
      <c r="K143">
        <v>18</v>
      </c>
      <c r="L143" t="s">
        <v>154</v>
      </c>
      <c r="M143" t="s">
        <v>255</v>
      </c>
      <c r="N143" t="s">
        <v>170</v>
      </c>
      <c r="O143">
        <v>71.3</v>
      </c>
      <c r="P143">
        <v>130</v>
      </c>
      <c r="Q143">
        <v>6326</v>
      </c>
      <c r="R143" t="s">
        <v>157</v>
      </c>
      <c r="S143" t="s">
        <v>158</v>
      </c>
      <c r="T143" t="s">
        <v>124</v>
      </c>
      <c r="U143" t="s">
        <v>123</v>
      </c>
      <c r="V143" t="s">
        <v>1308</v>
      </c>
      <c r="W143" t="s">
        <v>114</v>
      </c>
      <c r="X143">
        <v>10.5495575221239</v>
      </c>
      <c r="AA143">
        <v>2</v>
      </c>
      <c r="AB143" t="s">
        <v>99</v>
      </c>
      <c r="AC143" t="s">
        <v>225</v>
      </c>
      <c r="AD143" t="s">
        <v>119</v>
      </c>
      <c r="AE143" t="str">
        <f t="shared" si="2"/>
        <v>Connolly</v>
      </c>
      <c r="AF143">
        <v>2</v>
      </c>
      <c r="AG143">
        <v>1</v>
      </c>
      <c r="AH143">
        <v>0</v>
      </c>
      <c r="AI143">
        <v>0</v>
      </c>
      <c r="AJ143">
        <v>1</v>
      </c>
      <c r="AK143" t="s">
        <v>119</v>
      </c>
      <c r="AL143">
        <v>0.546875</v>
      </c>
    </row>
    <row r="144" spans="2:38" ht="15" customHeight="1" x14ac:dyDescent="0.2">
      <c r="B144">
        <v>30</v>
      </c>
      <c r="C144">
        <v>9</v>
      </c>
      <c r="D144">
        <v>3</v>
      </c>
      <c r="E144" t="s">
        <v>265</v>
      </c>
      <c r="F144" t="s">
        <v>153</v>
      </c>
      <c r="G144" s="15">
        <v>42169</v>
      </c>
      <c r="H144" t="s">
        <v>109</v>
      </c>
      <c r="I144" t="s">
        <v>218</v>
      </c>
      <c r="J144" t="s">
        <v>219</v>
      </c>
      <c r="K144">
        <v>18</v>
      </c>
      <c r="L144" t="s">
        <v>154</v>
      </c>
      <c r="M144" t="s">
        <v>255</v>
      </c>
      <c r="N144" t="s">
        <v>170</v>
      </c>
      <c r="O144">
        <v>71.3</v>
      </c>
      <c r="P144">
        <v>130</v>
      </c>
      <c r="Q144">
        <v>6326</v>
      </c>
      <c r="R144" t="s">
        <v>157</v>
      </c>
      <c r="S144" t="s">
        <v>158</v>
      </c>
      <c r="T144" t="s">
        <v>124</v>
      </c>
      <c r="U144" t="s">
        <v>123</v>
      </c>
      <c r="V144" t="s">
        <v>175</v>
      </c>
      <c r="W144" t="s">
        <v>114</v>
      </c>
      <c r="X144">
        <v>18.316814159292001</v>
      </c>
      <c r="AA144">
        <v>2</v>
      </c>
      <c r="AB144" t="s">
        <v>100</v>
      </c>
      <c r="AC144" t="s">
        <v>222</v>
      </c>
      <c r="AD144" t="s">
        <v>127</v>
      </c>
      <c r="AE144" t="str">
        <f t="shared" si="2"/>
        <v>Weisberger</v>
      </c>
      <c r="AF144">
        <v>0</v>
      </c>
      <c r="AG144">
        <v>0</v>
      </c>
      <c r="AH144">
        <v>1</v>
      </c>
      <c r="AI144">
        <v>0</v>
      </c>
      <c r="AJ144">
        <v>0</v>
      </c>
      <c r="AK144" t="s">
        <v>127</v>
      </c>
      <c r="AL144">
        <v>0.59523809523809501</v>
      </c>
    </row>
    <row r="145" spans="2:40" ht="15" customHeight="1" x14ac:dyDescent="0.2">
      <c r="B145">
        <v>30</v>
      </c>
      <c r="C145">
        <v>10</v>
      </c>
      <c r="D145">
        <v>3</v>
      </c>
      <c r="E145" t="s">
        <v>266</v>
      </c>
      <c r="F145" t="s">
        <v>153</v>
      </c>
      <c r="G145" s="15">
        <v>42169</v>
      </c>
      <c r="H145" t="s">
        <v>109</v>
      </c>
      <c r="I145" t="s">
        <v>218</v>
      </c>
      <c r="J145" t="s">
        <v>219</v>
      </c>
      <c r="K145">
        <v>18</v>
      </c>
      <c r="L145" t="s">
        <v>154</v>
      </c>
      <c r="M145" t="s">
        <v>255</v>
      </c>
      <c r="N145" t="s">
        <v>170</v>
      </c>
      <c r="O145">
        <v>71.3</v>
      </c>
      <c r="P145">
        <v>130</v>
      </c>
      <c r="Q145">
        <v>6326</v>
      </c>
      <c r="R145" t="s">
        <v>157</v>
      </c>
      <c r="S145" t="s">
        <v>158</v>
      </c>
      <c r="T145" t="s">
        <v>124</v>
      </c>
      <c r="U145" t="s">
        <v>123</v>
      </c>
      <c r="V145" t="s">
        <v>123</v>
      </c>
      <c r="W145" t="s">
        <v>114</v>
      </c>
      <c r="X145">
        <v>18.5486725663717</v>
      </c>
      <c r="AA145">
        <v>2</v>
      </c>
      <c r="AB145" t="s">
        <v>99</v>
      </c>
      <c r="AC145" t="s">
        <v>142</v>
      </c>
      <c r="AD145" t="s">
        <v>135</v>
      </c>
      <c r="AE145" t="str">
        <f t="shared" si="2"/>
        <v>Lynch</v>
      </c>
      <c r="AF145">
        <v>2</v>
      </c>
      <c r="AG145">
        <v>1</v>
      </c>
      <c r="AH145">
        <v>0</v>
      </c>
      <c r="AI145">
        <v>0</v>
      </c>
      <c r="AJ145">
        <v>1</v>
      </c>
      <c r="AK145" t="s">
        <v>135</v>
      </c>
    </row>
    <row r="146" spans="2:40" ht="15" customHeight="1" x14ac:dyDescent="0.2">
      <c r="B146">
        <v>1</v>
      </c>
      <c r="C146">
        <v>1</v>
      </c>
      <c r="D146">
        <v>4</v>
      </c>
      <c r="E146" t="s">
        <v>267</v>
      </c>
      <c r="F146" t="s">
        <v>268</v>
      </c>
      <c r="G146" s="15">
        <v>42573</v>
      </c>
      <c r="H146" t="s">
        <v>109</v>
      </c>
      <c r="I146" t="s">
        <v>269</v>
      </c>
      <c r="J146" t="s">
        <v>270</v>
      </c>
      <c r="K146">
        <v>9</v>
      </c>
      <c r="L146" t="s">
        <v>112</v>
      </c>
      <c r="M146" t="s">
        <v>271</v>
      </c>
      <c r="N146" t="s">
        <v>114</v>
      </c>
      <c r="O146">
        <v>70.599999999999994</v>
      </c>
      <c r="P146">
        <v>130</v>
      </c>
      <c r="Q146">
        <v>6111</v>
      </c>
      <c r="R146" t="s">
        <v>115</v>
      </c>
      <c r="S146" t="s">
        <v>116</v>
      </c>
      <c r="T146" t="s">
        <v>117</v>
      </c>
      <c r="U146" t="s">
        <v>133</v>
      </c>
      <c r="V146" t="s">
        <v>127</v>
      </c>
      <c r="W146" t="s">
        <v>170</v>
      </c>
      <c r="Y146" t="s">
        <v>118</v>
      </c>
      <c r="AA146">
        <v>1</v>
      </c>
      <c r="AB146" t="s">
        <v>100</v>
      </c>
      <c r="AC146" t="s">
        <v>225</v>
      </c>
      <c r="AE146" t="str">
        <f t="shared" si="2"/>
        <v>FerrinJackson</v>
      </c>
      <c r="AF146">
        <v>0</v>
      </c>
      <c r="AG146">
        <v>0</v>
      </c>
      <c r="AH146">
        <v>1</v>
      </c>
      <c r="AI146">
        <v>0</v>
      </c>
      <c r="AJ146">
        <v>0</v>
      </c>
      <c r="AK146" t="s">
        <v>119</v>
      </c>
      <c r="AL146">
        <v>0.546875</v>
      </c>
      <c r="AM146" t="s">
        <v>272</v>
      </c>
      <c r="AN146">
        <v>0.51041666666666696</v>
      </c>
    </row>
    <row r="147" spans="2:40" ht="15" customHeight="1" x14ac:dyDescent="0.2">
      <c r="B147">
        <v>1</v>
      </c>
      <c r="C147">
        <v>1</v>
      </c>
      <c r="D147">
        <v>4</v>
      </c>
      <c r="E147" t="s">
        <v>267</v>
      </c>
      <c r="F147" t="s">
        <v>268</v>
      </c>
      <c r="G147" s="15">
        <v>42573</v>
      </c>
      <c r="H147" t="s">
        <v>109</v>
      </c>
      <c r="I147" t="s">
        <v>269</v>
      </c>
      <c r="J147" t="s">
        <v>270</v>
      </c>
      <c r="K147">
        <v>9</v>
      </c>
      <c r="L147" t="s">
        <v>112</v>
      </c>
      <c r="M147" t="s">
        <v>271</v>
      </c>
      <c r="N147" t="s">
        <v>114</v>
      </c>
      <c r="O147">
        <v>70.599999999999994</v>
      </c>
      <c r="P147">
        <v>130</v>
      </c>
      <c r="Q147">
        <v>6111</v>
      </c>
      <c r="R147" t="s">
        <v>115</v>
      </c>
      <c r="S147" t="s">
        <v>116</v>
      </c>
      <c r="T147" t="s">
        <v>124</v>
      </c>
      <c r="U147" t="s">
        <v>119</v>
      </c>
      <c r="V147" t="s">
        <v>119</v>
      </c>
      <c r="W147" t="s">
        <v>156</v>
      </c>
      <c r="Y147" t="s">
        <v>272</v>
      </c>
      <c r="AA147">
        <v>1</v>
      </c>
      <c r="AB147" t="s">
        <v>99</v>
      </c>
      <c r="AC147" t="s">
        <v>225</v>
      </c>
      <c r="AE147" t="str">
        <f t="shared" si="2"/>
        <v>GriseWelker</v>
      </c>
      <c r="AF147">
        <v>1</v>
      </c>
      <c r="AG147">
        <v>1</v>
      </c>
      <c r="AH147">
        <v>0</v>
      </c>
      <c r="AI147">
        <v>0</v>
      </c>
      <c r="AJ147">
        <v>1</v>
      </c>
      <c r="AK147" t="s">
        <v>127</v>
      </c>
      <c r="AL147">
        <v>0.59523809523809501</v>
      </c>
      <c r="AM147" t="s">
        <v>118</v>
      </c>
      <c r="AN147">
        <v>0.6171875</v>
      </c>
    </row>
    <row r="148" spans="2:40" ht="15" customHeight="1" x14ac:dyDescent="0.2">
      <c r="B148">
        <v>2</v>
      </c>
      <c r="C148">
        <v>2</v>
      </c>
      <c r="D148">
        <v>4</v>
      </c>
      <c r="E148" t="s">
        <v>273</v>
      </c>
      <c r="F148" t="s">
        <v>268</v>
      </c>
      <c r="G148" s="15">
        <v>42573</v>
      </c>
      <c r="H148" t="s">
        <v>109</v>
      </c>
      <c r="I148" t="s">
        <v>269</v>
      </c>
      <c r="J148" t="s">
        <v>270</v>
      </c>
      <c r="K148">
        <v>9</v>
      </c>
      <c r="L148" t="s">
        <v>112</v>
      </c>
      <c r="M148" t="s">
        <v>271</v>
      </c>
      <c r="N148" t="s">
        <v>114</v>
      </c>
      <c r="O148">
        <v>70.599999999999994</v>
      </c>
      <c r="P148">
        <v>130</v>
      </c>
      <c r="Q148">
        <v>6111</v>
      </c>
      <c r="R148" t="s">
        <v>115</v>
      </c>
      <c r="S148" t="s">
        <v>116</v>
      </c>
      <c r="T148" t="s">
        <v>124</v>
      </c>
      <c r="U148" t="s">
        <v>119</v>
      </c>
      <c r="V148" t="s">
        <v>693</v>
      </c>
      <c r="W148" t="s">
        <v>156</v>
      </c>
      <c r="Y148" t="s">
        <v>135</v>
      </c>
      <c r="AA148">
        <v>1</v>
      </c>
      <c r="AB148" t="s">
        <v>99</v>
      </c>
      <c r="AC148" t="s">
        <v>142</v>
      </c>
      <c r="AE148" t="str">
        <f t="shared" si="2"/>
        <v>BussiculoShively</v>
      </c>
      <c r="AF148">
        <v>1</v>
      </c>
      <c r="AG148">
        <v>1</v>
      </c>
      <c r="AH148">
        <v>0</v>
      </c>
      <c r="AI148">
        <v>0</v>
      </c>
      <c r="AJ148">
        <v>1</v>
      </c>
      <c r="AK148" t="s">
        <v>133</v>
      </c>
      <c r="AL148">
        <v>0.38392857142857201</v>
      </c>
      <c r="AM148" t="s">
        <v>175</v>
      </c>
      <c r="AN148">
        <v>0.5</v>
      </c>
    </row>
    <row r="149" spans="2:40" ht="15" customHeight="1" x14ac:dyDescent="0.2">
      <c r="B149">
        <v>2</v>
      </c>
      <c r="C149">
        <v>2</v>
      </c>
      <c r="D149">
        <v>4</v>
      </c>
      <c r="E149" t="s">
        <v>273</v>
      </c>
      <c r="F149" t="s">
        <v>268</v>
      </c>
      <c r="G149" s="15">
        <v>42573</v>
      </c>
      <c r="H149" t="s">
        <v>109</v>
      </c>
      <c r="I149" t="s">
        <v>269</v>
      </c>
      <c r="J149" t="s">
        <v>270</v>
      </c>
      <c r="K149">
        <v>9</v>
      </c>
      <c r="L149" t="s">
        <v>112</v>
      </c>
      <c r="M149" t="s">
        <v>271</v>
      </c>
      <c r="N149" t="s">
        <v>114</v>
      </c>
      <c r="O149">
        <v>70.599999999999994</v>
      </c>
      <c r="P149">
        <v>130</v>
      </c>
      <c r="Q149">
        <v>6111</v>
      </c>
      <c r="R149" t="s">
        <v>115</v>
      </c>
      <c r="S149" t="s">
        <v>116</v>
      </c>
      <c r="T149" t="s">
        <v>117</v>
      </c>
      <c r="U149" t="s">
        <v>133</v>
      </c>
      <c r="V149" t="s">
        <v>133</v>
      </c>
      <c r="W149" t="s">
        <v>170</v>
      </c>
      <c r="Y149" t="s">
        <v>175</v>
      </c>
      <c r="AA149">
        <v>1</v>
      </c>
      <c r="AB149" t="s">
        <v>100</v>
      </c>
      <c r="AC149" t="s">
        <v>142</v>
      </c>
      <c r="AE149" t="str">
        <f t="shared" si="2"/>
        <v>MangoldWeisberger</v>
      </c>
      <c r="AF149">
        <v>0</v>
      </c>
      <c r="AG149">
        <v>0</v>
      </c>
      <c r="AH149">
        <v>1</v>
      </c>
      <c r="AI149">
        <v>0</v>
      </c>
      <c r="AJ149">
        <v>0</v>
      </c>
      <c r="AK149" t="s">
        <v>693</v>
      </c>
      <c r="AL149">
        <v>0.44827586206896602</v>
      </c>
      <c r="AM149" t="s">
        <v>135</v>
      </c>
    </row>
    <row r="150" spans="2:40" ht="15" customHeight="1" x14ac:dyDescent="0.2">
      <c r="B150">
        <v>3</v>
      </c>
      <c r="C150">
        <v>3</v>
      </c>
      <c r="D150">
        <v>4</v>
      </c>
      <c r="E150" t="s">
        <v>274</v>
      </c>
      <c r="F150" t="s">
        <v>268</v>
      </c>
      <c r="G150" s="15">
        <v>42573</v>
      </c>
      <c r="H150" t="s">
        <v>109</v>
      </c>
      <c r="I150" t="s">
        <v>269</v>
      </c>
      <c r="J150" t="s">
        <v>270</v>
      </c>
      <c r="K150">
        <v>9</v>
      </c>
      <c r="L150" t="s">
        <v>112</v>
      </c>
      <c r="M150" t="s">
        <v>271</v>
      </c>
      <c r="N150" t="s">
        <v>114</v>
      </c>
      <c r="O150">
        <v>70.599999999999994</v>
      </c>
      <c r="P150">
        <v>130</v>
      </c>
      <c r="Q150">
        <v>6111</v>
      </c>
      <c r="R150" t="s">
        <v>115</v>
      </c>
      <c r="S150" t="s">
        <v>116</v>
      </c>
      <c r="T150" t="s">
        <v>117</v>
      </c>
      <c r="U150" t="s">
        <v>133</v>
      </c>
      <c r="V150" t="s">
        <v>132</v>
      </c>
      <c r="W150" t="s">
        <v>170</v>
      </c>
      <c r="Y150" t="s">
        <v>176</v>
      </c>
      <c r="AA150">
        <v>1</v>
      </c>
      <c r="AB150" t="s">
        <v>99</v>
      </c>
      <c r="AC150" t="s">
        <v>239</v>
      </c>
      <c r="AE150" t="str">
        <f t="shared" si="2"/>
        <v>FlandersForster</v>
      </c>
      <c r="AF150">
        <v>1</v>
      </c>
      <c r="AG150">
        <v>1</v>
      </c>
      <c r="AH150">
        <v>0</v>
      </c>
      <c r="AI150">
        <v>0</v>
      </c>
      <c r="AJ150">
        <v>1</v>
      </c>
      <c r="AK150" t="s">
        <v>120</v>
      </c>
      <c r="AL150">
        <v>0.35714285714285698</v>
      </c>
      <c r="AM150" t="s">
        <v>231</v>
      </c>
      <c r="AN150">
        <v>0.5</v>
      </c>
    </row>
    <row r="151" spans="2:40" ht="15" customHeight="1" x14ac:dyDescent="0.2">
      <c r="B151">
        <v>3</v>
      </c>
      <c r="C151">
        <v>3</v>
      </c>
      <c r="D151">
        <v>4</v>
      </c>
      <c r="E151" t="s">
        <v>274</v>
      </c>
      <c r="F151" t="s">
        <v>268</v>
      </c>
      <c r="G151" s="15">
        <v>42573</v>
      </c>
      <c r="H151" t="s">
        <v>109</v>
      </c>
      <c r="I151" t="s">
        <v>269</v>
      </c>
      <c r="J151" t="s">
        <v>270</v>
      </c>
      <c r="K151">
        <v>9</v>
      </c>
      <c r="L151" t="s">
        <v>112</v>
      </c>
      <c r="M151" t="s">
        <v>271</v>
      </c>
      <c r="N151" t="s">
        <v>114</v>
      </c>
      <c r="O151">
        <v>70.599999999999994</v>
      </c>
      <c r="P151">
        <v>130</v>
      </c>
      <c r="Q151">
        <v>6111</v>
      </c>
      <c r="R151" t="s">
        <v>115</v>
      </c>
      <c r="S151" t="s">
        <v>116</v>
      </c>
      <c r="T151" t="s">
        <v>124</v>
      </c>
      <c r="U151" t="s">
        <v>119</v>
      </c>
      <c r="V151" t="s">
        <v>120</v>
      </c>
      <c r="W151" t="s">
        <v>156</v>
      </c>
      <c r="Y151" t="s">
        <v>231</v>
      </c>
      <c r="AA151">
        <v>1</v>
      </c>
      <c r="AB151" t="s">
        <v>100</v>
      </c>
      <c r="AC151" t="s">
        <v>239</v>
      </c>
      <c r="AE151" t="str">
        <f t="shared" si="2"/>
        <v>HickersonMcInerney</v>
      </c>
      <c r="AF151">
        <v>0</v>
      </c>
      <c r="AG151">
        <v>0</v>
      </c>
      <c r="AH151">
        <v>1</v>
      </c>
      <c r="AI151">
        <v>0</v>
      </c>
      <c r="AJ151">
        <v>0</v>
      </c>
      <c r="AK151" t="s">
        <v>132</v>
      </c>
      <c r="AL151">
        <v>0.4296875</v>
      </c>
      <c r="AM151" t="s">
        <v>176</v>
      </c>
      <c r="AN151">
        <v>0.59649122807017496</v>
      </c>
    </row>
    <row r="152" spans="2:40" ht="15" customHeight="1" x14ac:dyDescent="0.2">
      <c r="B152">
        <v>4</v>
      </c>
      <c r="C152">
        <v>4</v>
      </c>
      <c r="D152">
        <v>4</v>
      </c>
      <c r="E152" t="s">
        <v>275</v>
      </c>
      <c r="F152" t="s">
        <v>268</v>
      </c>
      <c r="G152" s="15">
        <v>42573</v>
      </c>
      <c r="H152" t="s">
        <v>109</v>
      </c>
      <c r="I152" t="s">
        <v>269</v>
      </c>
      <c r="J152" t="s">
        <v>270</v>
      </c>
      <c r="K152">
        <v>9</v>
      </c>
      <c r="L152" t="s">
        <v>112</v>
      </c>
      <c r="M152" t="s">
        <v>271</v>
      </c>
      <c r="N152" t="s">
        <v>114</v>
      </c>
      <c r="O152">
        <v>70.599999999999994</v>
      </c>
      <c r="P152">
        <v>130</v>
      </c>
      <c r="Q152">
        <v>6111</v>
      </c>
      <c r="R152" t="s">
        <v>115</v>
      </c>
      <c r="S152" t="s">
        <v>116</v>
      </c>
      <c r="T152" t="s">
        <v>124</v>
      </c>
      <c r="U152" t="s">
        <v>119</v>
      </c>
      <c r="V152" t="s">
        <v>1308</v>
      </c>
      <c r="W152" t="s">
        <v>156</v>
      </c>
      <c r="Y152" t="s">
        <v>227</v>
      </c>
      <c r="AA152">
        <v>1</v>
      </c>
      <c r="AB152" t="s">
        <v>99</v>
      </c>
      <c r="AC152" t="s">
        <v>276</v>
      </c>
      <c r="AE152" t="str">
        <f t="shared" si="2"/>
        <v>ConnollyZimmer</v>
      </c>
      <c r="AF152">
        <v>1</v>
      </c>
      <c r="AG152">
        <v>1</v>
      </c>
      <c r="AH152">
        <v>0</v>
      </c>
      <c r="AI152">
        <v>0</v>
      </c>
      <c r="AJ152">
        <v>1</v>
      </c>
      <c r="AK152" t="s">
        <v>179</v>
      </c>
      <c r="AL152">
        <v>0.44067796610169502</v>
      </c>
      <c r="AM152" t="s">
        <v>178</v>
      </c>
      <c r="AN152">
        <v>0.34745762711864397</v>
      </c>
    </row>
    <row r="153" spans="2:40" ht="15" customHeight="1" x14ac:dyDescent="0.2">
      <c r="B153">
        <v>4</v>
      </c>
      <c r="C153">
        <v>4</v>
      </c>
      <c r="D153">
        <v>4</v>
      </c>
      <c r="E153" t="s">
        <v>275</v>
      </c>
      <c r="F153" t="s">
        <v>268</v>
      </c>
      <c r="G153" s="15">
        <v>42573</v>
      </c>
      <c r="H153" t="s">
        <v>109</v>
      </c>
      <c r="I153" t="s">
        <v>269</v>
      </c>
      <c r="J153" t="s">
        <v>270</v>
      </c>
      <c r="K153">
        <v>9</v>
      </c>
      <c r="L153" t="s">
        <v>112</v>
      </c>
      <c r="M153" t="s">
        <v>271</v>
      </c>
      <c r="N153" t="s">
        <v>114</v>
      </c>
      <c r="O153">
        <v>70.599999999999994</v>
      </c>
      <c r="P153">
        <v>130</v>
      </c>
      <c r="Q153">
        <v>6111</v>
      </c>
      <c r="R153" t="s">
        <v>115</v>
      </c>
      <c r="S153" t="s">
        <v>116</v>
      </c>
      <c r="T153" t="s">
        <v>117</v>
      </c>
      <c r="U153" t="s">
        <v>133</v>
      </c>
      <c r="V153" t="s">
        <v>179</v>
      </c>
      <c r="W153" t="s">
        <v>170</v>
      </c>
      <c r="Y153" t="s">
        <v>178</v>
      </c>
      <c r="AA153">
        <v>1</v>
      </c>
      <c r="AB153" t="s">
        <v>100</v>
      </c>
      <c r="AC153" t="s">
        <v>276</v>
      </c>
      <c r="AE153" t="str">
        <f t="shared" si="2"/>
        <v>ColeConnors</v>
      </c>
      <c r="AF153">
        <v>0</v>
      </c>
      <c r="AG153">
        <v>0</v>
      </c>
      <c r="AH153">
        <v>1</v>
      </c>
      <c r="AI153">
        <v>0</v>
      </c>
      <c r="AJ153">
        <v>0</v>
      </c>
      <c r="AK153" t="s">
        <v>1308</v>
      </c>
      <c r="AL153">
        <v>0.59375</v>
      </c>
      <c r="AM153" t="s">
        <v>227</v>
      </c>
      <c r="AN153">
        <v>0.5</v>
      </c>
    </row>
    <row r="154" spans="2:40" ht="15" customHeight="1" x14ac:dyDescent="0.2">
      <c r="B154">
        <v>5</v>
      </c>
      <c r="C154">
        <v>5</v>
      </c>
      <c r="D154">
        <v>4</v>
      </c>
      <c r="E154" t="s">
        <v>277</v>
      </c>
      <c r="F154" t="s">
        <v>268</v>
      </c>
      <c r="G154" s="15">
        <v>42573</v>
      </c>
      <c r="H154" t="s">
        <v>109</v>
      </c>
      <c r="I154" t="s">
        <v>269</v>
      </c>
      <c r="J154" t="s">
        <v>270</v>
      </c>
      <c r="K154">
        <v>9</v>
      </c>
      <c r="L154" t="s">
        <v>112</v>
      </c>
      <c r="M154" t="s">
        <v>271</v>
      </c>
      <c r="N154" t="s">
        <v>114</v>
      </c>
      <c r="O154">
        <v>70.599999999999994</v>
      </c>
      <c r="P154">
        <v>130</v>
      </c>
      <c r="Q154">
        <v>6111</v>
      </c>
      <c r="R154" t="s">
        <v>115</v>
      </c>
      <c r="S154" t="s">
        <v>116</v>
      </c>
      <c r="T154" t="s">
        <v>117</v>
      </c>
      <c r="U154" t="s">
        <v>133</v>
      </c>
      <c r="V154" t="s">
        <v>226</v>
      </c>
      <c r="W154" t="s">
        <v>170</v>
      </c>
      <c r="Y154" t="s">
        <v>230</v>
      </c>
      <c r="AA154">
        <v>1</v>
      </c>
      <c r="AB154" t="s">
        <v>100</v>
      </c>
      <c r="AC154" t="s">
        <v>257</v>
      </c>
      <c r="AE154" t="str">
        <f t="shared" si="2"/>
        <v>GrayNorat</v>
      </c>
      <c r="AF154">
        <v>0</v>
      </c>
      <c r="AG154">
        <v>0</v>
      </c>
      <c r="AH154">
        <v>1</v>
      </c>
      <c r="AI154">
        <v>0</v>
      </c>
      <c r="AJ154">
        <v>0</v>
      </c>
      <c r="AK154" t="s">
        <v>172</v>
      </c>
      <c r="AL154">
        <v>0.37288135593220301</v>
      </c>
      <c r="AM154" t="s">
        <v>123</v>
      </c>
      <c r="AN154">
        <v>0.5546875</v>
      </c>
    </row>
    <row r="155" spans="2:40" ht="15" customHeight="1" x14ac:dyDescent="0.2">
      <c r="B155">
        <v>5</v>
      </c>
      <c r="C155">
        <v>5</v>
      </c>
      <c r="D155">
        <v>4</v>
      </c>
      <c r="E155" t="s">
        <v>277</v>
      </c>
      <c r="F155" t="s">
        <v>268</v>
      </c>
      <c r="G155" s="15">
        <v>42573</v>
      </c>
      <c r="H155" t="s">
        <v>109</v>
      </c>
      <c r="I155" t="s">
        <v>269</v>
      </c>
      <c r="J155" t="s">
        <v>270</v>
      </c>
      <c r="K155">
        <v>9</v>
      </c>
      <c r="L155" t="s">
        <v>112</v>
      </c>
      <c r="M155" t="s">
        <v>271</v>
      </c>
      <c r="N155" t="s">
        <v>114</v>
      </c>
      <c r="O155">
        <v>70.599999999999994</v>
      </c>
      <c r="P155">
        <v>130</v>
      </c>
      <c r="Q155">
        <v>6111</v>
      </c>
      <c r="R155" t="s">
        <v>115</v>
      </c>
      <c r="S155" t="s">
        <v>116</v>
      </c>
      <c r="T155" t="s">
        <v>124</v>
      </c>
      <c r="U155" t="s">
        <v>119</v>
      </c>
      <c r="V155" t="s">
        <v>172</v>
      </c>
      <c r="W155" t="s">
        <v>156</v>
      </c>
      <c r="Y155" t="s">
        <v>123</v>
      </c>
      <c r="AA155">
        <v>1</v>
      </c>
      <c r="AB155" t="s">
        <v>99</v>
      </c>
      <c r="AC155" t="s">
        <v>257</v>
      </c>
      <c r="AE155" t="str">
        <f t="shared" si="2"/>
        <v>FoganLynch</v>
      </c>
      <c r="AF155">
        <v>1</v>
      </c>
      <c r="AG155">
        <v>1</v>
      </c>
      <c r="AH155">
        <v>0</v>
      </c>
      <c r="AI155">
        <v>0</v>
      </c>
      <c r="AJ155">
        <v>1</v>
      </c>
      <c r="AK155" t="s">
        <v>226</v>
      </c>
      <c r="AL155">
        <v>0.65476190476190499</v>
      </c>
      <c r="AM155" t="s">
        <v>230</v>
      </c>
      <c r="AN155">
        <v>0.52777777777777801</v>
      </c>
    </row>
    <row r="156" spans="2:40" ht="15" customHeight="1" x14ac:dyDescent="0.2">
      <c r="B156">
        <v>6</v>
      </c>
      <c r="C156">
        <v>1</v>
      </c>
      <c r="D156">
        <v>4</v>
      </c>
      <c r="E156" t="s">
        <v>278</v>
      </c>
      <c r="F156" t="s">
        <v>268</v>
      </c>
      <c r="G156" s="15">
        <v>42573</v>
      </c>
      <c r="H156" t="s">
        <v>109</v>
      </c>
      <c r="I156" t="s">
        <v>269</v>
      </c>
      <c r="J156" t="s">
        <v>270</v>
      </c>
      <c r="K156">
        <v>9</v>
      </c>
      <c r="L156" t="s">
        <v>137</v>
      </c>
      <c r="M156" t="s">
        <v>271</v>
      </c>
      <c r="N156" t="s">
        <v>114</v>
      </c>
      <c r="O156">
        <v>70.599999999999994</v>
      </c>
      <c r="P156">
        <v>130</v>
      </c>
      <c r="Q156">
        <v>6111</v>
      </c>
      <c r="R156" t="s">
        <v>189</v>
      </c>
      <c r="S156" t="s">
        <v>116</v>
      </c>
      <c r="T156" t="s">
        <v>117</v>
      </c>
      <c r="U156" t="s">
        <v>133</v>
      </c>
      <c r="V156" t="s">
        <v>127</v>
      </c>
      <c r="W156" t="s">
        <v>170</v>
      </c>
      <c r="Y156" t="s">
        <v>118</v>
      </c>
      <c r="AA156">
        <v>1</v>
      </c>
      <c r="AB156" t="s">
        <v>100</v>
      </c>
      <c r="AC156" t="s">
        <v>263</v>
      </c>
      <c r="AE156" t="str">
        <f t="shared" si="2"/>
        <v>FerrinJackson</v>
      </c>
      <c r="AF156">
        <v>0</v>
      </c>
      <c r="AG156">
        <v>0</v>
      </c>
      <c r="AH156">
        <v>1</v>
      </c>
      <c r="AI156">
        <v>0</v>
      </c>
      <c r="AJ156">
        <v>0</v>
      </c>
      <c r="AK156" t="s">
        <v>119</v>
      </c>
      <c r="AL156">
        <v>0.546875</v>
      </c>
      <c r="AM156" t="s">
        <v>272</v>
      </c>
      <c r="AN156">
        <v>0.51041666666666696</v>
      </c>
    </row>
    <row r="157" spans="2:40" ht="15" customHeight="1" x14ac:dyDescent="0.2">
      <c r="B157">
        <v>6</v>
      </c>
      <c r="C157">
        <v>1</v>
      </c>
      <c r="D157">
        <v>4</v>
      </c>
      <c r="E157" t="s">
        <v>278</v>
      </c>
      <c r="F157" t="s">
        <v>268</v>
      </c>
      <c r="G157" s="15">
        <v>42573</v>
      </c>
      <c r="H157" t="s">
        <v>109</v>
      </c>
      <c r="I157" t="s">
        <v>269</v>
      </c>
      <c r="J157" t="s">
        <v>270</v>
      </c>
      <c r="K157">
        <v>9</v>
      </c>
      <c r="L157" t="s">
        <v>137</v>
      </c>
      <c r="M157" t="s">
        <v>271</v>
      </c>
      <c r="N157" t="s">
        <v>114</v>
      </c>
      <c r="O157">
        <v>70.599999999999994</v>
      </c>
      <c r="P157">
        <v>130</v>
      </c>
      <c r="Q157">
        <v>6111</v>
      </c>
      <c r="R157" t="s">
        <v>189</v>
      </c>
      <c r="S157" t="s">
        <v>116</v>
      </c>
      <c r="T157" t="s">
        <v>124</v>
      </c>
      <c r="U157" t="s">
        <v>119</v>
      </c>
      <c r="V157" t="s">
        <v>119</v>
      </c>
      <c r="W157" t="s">
        <v>156</v>
      </c>
      <c r="Y157" t="s">
        <v>272</v>
      </c>
      <c r="AA157">
        <v>1</v>
      </c>
      <c r="AB157" t="s">
        <v>99</v>
      </c>
      <c r="AC157" t="s">
        <v>263</v>
      </c>
      <c r="AE157" t="str">
        <f t="shared" si="2"/>
        <v>GriseWelker</v>
      </c>
      <c r="AF157">
        <v>1</v>
      </c>
      <c r="AG157">
        <v>1</v>
      </c>
      <c r="AH157">
        <v>0</v>
      </c>
      <c r="AI157">
        <v>0</v>
      </c>
      <c r="AJ157">
        <v>1</v>
      </c>
      <c r="AK157" t="s">
        <v>127</v>
      </c>
      <c r="AL157">
        <v>0.59523809523809501</v>
      </c>
      <c r="AM157" t="s">
        <v>118</v>
      </c>
      <c r="AN157">
        <v>0.6171875</v>
      </c>
    </row>
    <row r="158" spans="2:40" ht="15" customHeight="1" x14ac:dyDescent="0.2">
      <c r="B158">
        <v>7</v>
      </c>
      <c r="C158">
        <v>2</v>
      </c>
      <c r="D158">
        <v>4</v>
      </c>
      <c r="E158" t="s">
        <v>279</v>
      </c>
      <c r="F158" t="s">
        <v>268</v>
      </c>
      <c r="G158" s="15">
        <v>42573</v>
      </c>
      <c r="H158" t="s">
        <v>109</v>
      </c>
      <c r="I158" t="s">
        <v>269</v>
      </c>
      <c r="J158" t="s">
        <v>270</v>
      </c>
      <c r="K158">
        <v>9</v>
      </c>
      <c r="L158" t="s">
        <v>137</v>
      </c>
      <c r="M158" t="s">
        <v>271</v>
      </c>
      <c r="N158" t="s">
        <v>114</v>
      </c>
      <c r="O158">
        <v>70.599999999999994</v>
      </c>
      <c r="P158">
        <v>130</v>
      </c>
      <c r="Q158">
        <v>6111</v>
      </c>
      <c r="R158" t="s">
        <v>189</v>
      </c>
      <c r="S158" t="s">
        <v>116</v>
      </c>
      <c r="T158" t="s">
        <v>124</v>
      </c>
      <c r="U158" t="s">
        <v>119</v>
      </c>
      <c r="V158" t="s">
        <v>693</v>
      </c>
      <c r="W158" t="s">
        <v>156</v>
      </c>
      <c r="Y158" t="s">
        <v>135</v>
      </c>
      <c r="AA158">
        <v>1</v>
      </c>
      <c r="AB158" t="s">
        <v>101</v>
      </c>
      <c r="AC158" t="s">
        <v>139</v>
      </c>
      <c r="AE158" t="str">
        <f t="shared" si="2"/>
        <v>BussiculoShively</v>
      </c>
      <c r="AF158">
        <v>0.5</v>
      </c>
      <c r="AG158">
        <v>0</v>
      </c>
      <c r="AH158">
        <v>0</v>
      </c>
      <c r="AI158">
        <v>1</v>
      </c>
      <c r="AJ158">
        <v>0.5</v>
      </c>
      <c r="AK158" t="s">
        <v>133</v>
      </c>
      <c r="AL158">
        <v>0.38392857142857201</v>
      </c>
      <c r="AM158" t="s">
        <v>175</v>
      </c>
      <c r="AN158">
        <v>0.5</v>
      </c>
    </row>
    <row r="159" spans="2:40" ht="15" customHeight="1" x14ac:dyDescent="0.2">
      <c r="B159">
        <v>7</v>
      </c>
      <c r="C159">
        <v>2</v>
      </c>
      <c r="D159">
        <v>4</v>
      </c>
      <c r="E159" t="s">
        <v>279</v>
      </c>
      <c r="F159" t="s">
        <v>268</v>
      </c>
      <c r="G159" s="15">
        <v>42573</v>
      </c>
      <c r="H159" t="s">
        <v>109</v>
      </c>
      <c r="I159" t="s">
        <v>269</v>
      </c>
      <c r="J159" t="s">
        <v>270</v>
      </c>
      <c r="K159">
        <v>9</v>
      </c>
      <c r="L159" t="s">
        <v>137</v>
      </c>
      <c r="M159" t="s">
        <v>271</v>
      </c>
      <c r="N159" t="s">
        <v>114</v>
      </c>
      <c r="O159">
        <v>70.599999999999994</v>
      </c>
      <c r="P159">
        <v>130</v>
      </c>
      <c r="Q159">
        <v>6111</v>
      </c>
      <c r="R159" t="s">
        <v>189</v>
      </c>
      <c r="S159" t="s">
        <v>116</v>
      </c>
      <c r="T159" t="s">
        <v>117</v>
      </c>
      <c r="U159" t="s">
        <v>133</v>
      </c>
      <c r="V159" t="s">
        <v>133</v>
      </c>
      <c r="W159" t="s">
        <v>170</v>
      </c>
      <c r="Y159" t="s">
        <v>175</v>
      </c>
      <c r="AA159">
        <v>1</v>
      </c>
      <c r="AB159" t="s">
        <v>101</v>
      </c>
      <c r="AC159" t="s">
        <v>139</v>
      </c>
      <c r="AE159" t="str">
        <f t="shared" si="2"/>
        <v>MangoldWeisberger</v>
      </c>
      <c r="AF159">
        <v>0.5</v>
      </c>
      <c r="AG159">
        <v>0</v>
      </c>
      <c r="AH159">
        <v>0</v>
      </c>
      <c r="AI159">
        <v>1</v>
      </c>
      <c r="AJ159">
        <v>0.5</v>
      </c>
      <c r="AK159" t="s">
        <v>693</v>
      </c>
      <c r="AL159">
        <v>0.44827586206896602</v>
      </c>
      <c r="AM159" t="s">
        <v>135</v>
      </c>
    </row>
    <row r="160" spans="2:40" ht="15" customHeight="1" x14ac:dyDescent="0.2">
      <c r="B160">
        <v>8</v>
      </c>
      <c r="C160">
        <v>3</v>
      </c>
      <c r="D160">
        <v>4</v>
      </c>
      <c r="E160" t="s">
        <v>280</v>
      </c>
      <c r="F160" t="s">
        <v>268</v>
      </c>
      <c r="G160" s="15">
        <v>42573</v>
      </c>
      <c r="H160" t="s">
        <v>109</v>
      </c>
      <c r="I160" t="s">
        <v>269</v>
      </c>
      <c r="J160" t="s">
        <v>270</v>
      </c>
      <c r="K160">
        <v>9</v>
      </c>
      <c r="L160" t="s">
        <v>137</v>
      </c>
      <c r="M160" t="s">
        <v>271</v>
      </c>
      <c r="N160" t="s">
        <v>114</v>
      </c>
      <c r="O160">
        <v>70.599999999999994</v>
      </c>
      <c r="P160">
        <v>130</v>
      </c>
      <c r="Q160">
        <v>6111</v>
      </c>
      <c r="R160" t="s">
        <v>189</v>
      </c>
      <c r="S160" t="s">
        <v>116</v>
      </c>
      <c r="T160" t="s">
        <v>117</v>
      </c>
      <c r="U160" t="s">
        <v>133</v>
      </c>
      <c r="V160" t="s">
        <v>132</v>
      </c>
      <c r="W160" t="s">
        <v>170</v>
      </c>
      <c r="Y160" t="s">
        <v>176</v>
      </c>
      <c r="AA160">
        <v>1</v>
      </c>
      <c r="AB160" t="s">
        <v>99</v>
      </c>
      <c r="AC160" t="s">
        <v>276</v>
      </c>
      <c r="AE160" t="str">
        <f t="shared" si="2"/>
        <v>FlandersForster</v>
      </c>
      <c r="AF160">
        <v>1</v>
      </c>
      <c r="AG160">
        <v>1</v>
      </c>
      <c r="AH160">
        <v>0</v>
      </c>
      <c r="AI160">
        <v>0</v>
      </c>
      <c r="AJ160">
        <v>1</v>
      </c>
      <c r="AK160" t="s">
        <v>120</v>
      </c>
      <c r="AL160">
        <v>0.35714285714285698</v>
      </c>
      <c r="AM160" t="s">
        <v>231</v>
      </c>
      <c r="AN160">
        <v>0.5</v>
      </c>
    </row>
    <row r="161" spans="2:40" ht="15" customHeight="1" x14ac:dyDescent="0.2">
      <c r="B161">
        <v>8</v>
      </c>
      <c r="C161">
        <v>3</v>
      </c>
      <c r="D161">
        <v>4</v>
      </c>
      <c r="E161" t="s">
        <v>280</v>
      </c>
      <c r="F161" t="s">
        <v>268</v>
      </c>
      <c r="G161" s="15">
        <v>42573</v>
      </c>
      <c r="H161" t="s">
        <v>109</v>
      </c>
      <c r="I161" t="s">
        <v>269</v>
      </c>
      <c r="J161" t="s">
        <v>270</v>
      </c>
      <c r="K161">
        <v>9</v>
      </c>
      <c r="L161" t="s">
        <v>137</v>
      </c>
      <c r="M161" t="s">
        <v>271</v>
      </c>
      <c r="N161" t="s">
        <v>114</v>
      </c>
      <c r="O161">
        <v>70.599999999999994</v>
      </c>
      <c r="P161">
        <v>130</v>
      </c>
      <c r="Q161">
        <v>6111</v>
      </c>
      <c r="R161" t="s">
        <v>189</v>
      </c>
      <c r="S161" t="s">
        <v>116</v>
      </c>
      <c r="T161" t="s">
        <v>124</v>
      </c>
      <c r="U161" t="s">
        <v>119</v>
      </c>
      <c r="V161" t="s">
        <v>120</v>
      </c>
      <c r="W161" t="s">
        <v>156</v>
      </c>
      <c r="Y161" t="s">
        <v>231</v>
      </c>
      <c r="AA161">
        <v>1</v>
      </c>
      <c r="AB161" t="s">
        <v>100</v>
      </c>
      <c r="AC161" t="s">
        <v>276</v>
      </c>
      <c r="AE161" t="str">
        <f t="shared" si="2"/>
        <v>HickersonMcInerney</v>
      </c>
      <c r="AF161">
        <v>0</v>
      </c>
      <c r="AG161">
        <v>0</v>
      </c>
      <c r="AH161">
        <v>1</v>
      </c>
      <c r="AI161">
        <v>0</v>
      </c>
      <c r="AJ161">
        <v>0</v>
      </c>
      <c r="AK161" t="s">
        <v>132</v>
      </c>
      <c r="AL161">
        <v>0.4296875</v>
      </c>
      <c r="AM161" t="s">
        <v>176</v>
      </c>
      <c r="AN161">
        <v>0.59649122807017496</v>
      </c>
    </row>
    <row r="162" spans="2:40" ht="15" customHeight="1" x14ac:dyDescent="0.2">
      <c r="B162">
        <v>9</v>
      </c>
      <c r="C162">
        <v>4</v>
      </c>
      <c r="D162">
        <v>4</v>
      </c>
      <c r="E162" t="s">
        <v>281</v>
      </c>
      <c r="F162" t="s">
        <v>268</v>
      </c>
      <c r="G162" s="15">
        <v>42573</v>
      </c>
      <c r="H162" t="s">
        <v>109</v>
      </c>
      <c r="I162" t="s">
        <v>269</v>
      </c>
      <c r="J162" t="s">
        <v>270</v>
      </c>
      <c r="K162">
        <v>9</v>
      </c>
      <c r="L162" t="s">
        <v>137</v>
      </c>
      <c r="M162" t="s">
        <v>271</v>
      </c>
      <c r="N162" t="s">
        <v>114</v>
      </c>
      <c r="O162">
        <v>70.599999999999994</v>
      </c>
      <c r="P162">
        <v>130</v>
      </c>
      <c r="Q162">
        <v>6111</v>
      </c>
      <c r="R162" t="s">
        <v>189</v>
      </c>
      <c r="S162" t="s">
        <v>116</v>
      </c>
      <c r="T162" t="s">
        <v>124</v>
      </c>
      <c r="U162" t="s">
        <v>119</v>
      </c>
      <c r="V162" t="s">
        <v>1308</v>
      </c>
      <c r="W162" t="s">
        <v>156</v>
      </c>
      <c r="Y162" t="s">
        <v>227</v>
      </c>
      <c r="AA162">
        <v>1</v>
      </c>
      <c r="AB162" t="s">
        <v>99</v>
      </c>
      <c r="AC162" t="s">
        <v>263</v>
      </c>
      <c r="AE162" t="str">
        <f t="shared" si="2"/>
        <v>ConnollyZimmer</v>
      </c>
      <c r="AF162">
        <v>1</v>
      </c>
      <c r="AG162">
        <v>1</v>
      </c>
      <c r="AH162">
        <v>0</v>
      </c>
      <c r="AI162">
        <v>0</v>
      </c>
      <c r="AJ162">
        <v>1</v>
      </c>
      <c r="AK162" t="s">
        <v>179</v>
      </c>
      <c r="AL162">
        <v>0.44067796610169502</v>
      </c>
      <c r="AM162" t="s">
        <v>178</v>
      </c>
      <c r="AN162">
        <v>0.34745762711864397</v>
      </c>
    </row>
    <row r="163" spans="2:40" ht="15" customHeight="1" x14ac:dyDescent="0.2">
      <c r="B163">
        <v>9</v>
      </c>
      <c r="C163">
        <v>4</v>
      </c>
      <c r="D163">
        <v>4</v>
      </c>
      <c r="E163" t="s">
        <v>281</v>
      </c>
      <c r="F163" t="s">
        <v>268</v>
      </c>
      <c r="G163" s="15">
        <v>42573</v>
      </c>
      <c r="H163" t="s">
        <v>109</v>
      </c>
      <c r="I163" t="s">
        <v>269</v>
      </c>
      <c r="J163" t="s">
        <v>270</v>
      </c>
      <c r="K163">
        <v>9</v>
      </c>
      <c r="L163" t="s">
        <v>137</v>
      </c>
      <c r="M163" t="s">
        <v>271</v>
      </c>
      <c r="N163" t="s">
        <v>114</v>
      </c>
      <c r="O163">
        <v>70.599999999999994</v>
      </c>
      <c r="P163">
        <v>130</v>
      </c>
      <c r="Q163">
        <v>6111</v>
      </c>
      <c r="R163" t="s">
        <v>189</v>
      </c>
      <c r="S163" t="s">
        <v>116</v>
      </c>
      <c r="T163" t="s">
        <v>117</v>
      </c>
      <c r="U163" t="s">
        <v>133</v>
      </c>
      <c r="V163" t="s">
        <v>179</v>
      </c>
      <c r="W163" t="s">
        <v>170</v>
      </c>
      <c r="Y163" t="s">
        <v>178</v>
      </c>
      <c r="AA163">
        <v>1</v>
      </c>
      <c r="AB163" t="s">
        <v>100</v>
      </c>
      <c r="AC163" t="s">
        <v>263</v>
      </c>
      <c r="AE163" t="str">
        <f t="shared" si="2"/>
        <v>ColeConnors</v>
      </c>
      <c r="AF163">
        <v>0</v>
      </c>
      <c r="AG163">
        <v>0</v>
      </c>
      <c r="AH163">
        <v>1</v>
      </c>
      <c r="AI163">
        <v>0</v>
      </c>
      <c r="AJ163">
        <v>0</v>
      </c>
      <c r="AK163" t="s">
        <v>1308</v>
      </c>
      <c r="AL163">
        <v>0.59375</v>
      </c>
      <c r="AM163" t="s">
        <v>227</v>
      </c>
      <c r="AN163">
        <v>0.5</v>
      </c>
    </row>
    <row r="164" spans="2:40" ht="15" customHeight="1" x14ac:dyDescent="0.2">
      <c r="B164">
        <v>10</v>
      </c>
      <c r="C164">
        <v>5</v>
      </c>
      <c r="D164">
        <v>4</v>
      </c>
      <c r="E164" t="s">
        <v>282</v>
      </c>
      <c r="F164" t="s">
        <v>268</v>
      </c>
      <c r="G164" s="15">
        <v>42573</v>
      </c>
      <c r="H164" t="s">
        <v>109</v>
      </c>
      <c r="I164" t="s">
        <v>269</v>
      </c>
      <c r="J164" t="s">
        <v>270</v>
      </c>
      <c r="K164">
        <v>9</v>
      </c>
      <c r="L164" t="s">
        <v>137</v>
      </c>
      <c r="M164" t="s">
        <v>271</v>
      </c>
      <c r="N164" t="s">
        <v>114</v>
      </c>
      <c r="O164">
        <v>70.599999999999994</v>
      </c>
      <c r="P164">
        <v>130</v>
      </c>
      <c r="Q164">
        <v>6111</v>
      </c>
      <c r="R164" t="s">
        <v>189</v>
      </c>
      <c r="S164" t="s">
        <v>116</v>
      </c>
      <c r="T164" t="s">
        <v>117</v>
      </c>
      <c r="U164" t="s">
        <v>133</v>
      </c>
      <c r="V164" t="s">
        <v>226</v>
      </c>
      <c r="W164" t="s">
        <v>170</v>
      </c>
      <c r="Y164" t="s">
        <v>230</v>
      </c>
      <c r="AA164">
        <v>1</v>
      </c>
      <c r="AB164" t="s">
        <v>99</v>
      </c>
      <c r="AC164" t="s">
        <v>257</v>
      </c>
      <c r="AE164" t="str">
        <f t="shared" si="2"/>
        <v>GrayNorat</v>
      </c>
      <c r="AF164">
        <v>1</v>
      </c>
      <c r="AG164">
        <v>1</v>
      </c>
      <c r="AH164">
        <v>0</v>
      </c>
      <c r="AI164">
        <v>0</v>
      </c>
      <c r="AJ164">
        <v>1</v>
      </c>
      <c r="AK164" t="s">
        <v>172</v>
      </c>
      <c r="AL164">
        <v>0.37288135593220301</v>
      </c>
      <c r="AM164" t="s">
        <v>123</v>
      </c>
      <c r="AN164">
        <v>0.5546875</v>
      </c>
    </row>
    <row r="165" spans="2:40" ht="15" customHeight="1" x14ac:dyDescent="0.2">
      <c r="B165">
        <v>10</v>
      </c>
      <c r="C165">
        <v>5</v>
      </c>
      <c r="D165">
        <v>4</v>
      </c>
      <c r="E165" t="s">
        <v>282</v>
      </c>
      <c r="F165" t="s">
        <v>268</v>
      </c>
      <c r="G165" s="15">
        <v>42573</v>
      </c>
      <c r="H165" t="s">
        <v>109</v>
      </c>
      <c r="I165" t="s">
        <v>269</v>
      </c>
      <c r="J165" t="s">
        <v>270</v>
      </c>
      <c r="K165">
        <v>9</v>
      </c>
      <c r="L165" t="s">
        <v>137</v>
      </c>
      <c r="M165" t="s">
        <v>271</v>
      </c>
      <c r="N165" t="s">
        <v>114</v>
      </c>
      <c r="O165">
        <v>70.599999999999994</v>
      </c>
      <c r="P165">
        <v>130</v>
      </c>
      <c r="Q165">
        <v>6111</v>
      </c>
      <c r="R165" t="s">
        <v>189</v>
      </c>
      <c r="S165" t="s">
        <v>116</v>
      </c>
      <c r="T165" t="s">
        <v>124</v>
      </c>
      <c r="U165" t="s">
        <v>119</v>
      </c>
      <c r="V165" t="s">
        <v>172</v>
      </c>
      <c r="W165" t="s">
        <v>156</v>
      </c>
      <c r="Y165" t="s">
        <v>123</v>
      </c>
      <c r="AA165">
        <v>1</v>
      </c>
      <c r="AB165" t="s">
        <v>100</v>
      </c>
      <c r="AC165" t="s">
        <v>257</v>
      </c>
      <c r="AE165" t="str">
        <f t="shared" si="2"/>
        <v>FoganLynch</v>
      </c>
      <c r="AF165">
        <v>0</v>
      </c>
      <c r="AG165">
        <v>0</v>
      </c>
      <c r="AH165">
        <v>1</v>
      </c>
      <c r="AI165">
        <v>0</v>
      </c>
      <c r="AJ165">
        <v>0</v>
      </c>
      <c r="AK165" t="s">
        <v>226</v>
      </c>
      <c r="AL165">
        <v>0.65476190476190499</v>
      </c>
      <c r="AM165" t="s">
        <v>230</v>
      </c>
      <c r="AN165">
        <v>0.52777777777777801</v>
      </c>
    </row>
    <row r="166" spans="2:40" ht="15" customHeight="1" x14ac:dyDescent="0.2">
      <c r="B166">
        <v>11</v>
      </c>
      <c r="C166">
        <v>1</v>
      </c>
      <c r="D166">
        <v>4</v>
      </c>
      <c r="E166" t="s">
        <v>283</v>
      </c>
      <c r="F166" t="s">
        <v>268</v>
      </c>
      <c r="G166" s="15">
        <v>42573</v>
      </c>
      <c r="H166" t="s">
        <v>144</v>
      </c>
      <c r="I166" t="s">
        <v>269</v>
      </c>
      <c r="J166" t="s">
        <v>270</v>
      </c>
      <c r="K166">
        <v>9</v>
      </c>
      <c r="L166" t="s">
        <v>112</v>
      </c>
      <c r="M166" t="s">
        <v>271</v>
      </c>
      <c r="N166" t="s">
        <v>114</v>
      </c>
      <c r="O166">
        <v>70.599999999999994</v>
      </c>
      <c r="P166">
        <v>130</v>
      </c>
      <c r="Q166">
        <v>6111</v>
      </c>
      <c r="R166" t="s">
        <v>145</v>
      </c>
      <c r="S166" t="s">
        <v>116</v>
      </c>
      <c r="T166" t="s">
        <v>117</v>
      </c>
      <c r="U166" t="s">
        <v>133</v>
      </c>
      <c r="V166" t="s">
        <v>178</v>
      </c>
      <c r="W166" t="s">
        <v>170</v>
      </c>
      <c r="Y166" t="s">
        <v>133</v>
      </c>
      <c r="AA166">
        <v>1</v>
      </c>
      <c r="AB166" t="s">
        <v>99</v>
      </c>
      <c r="AC166" t="s">
        <v>225</v>
      </c>
      <c r="AE166" t="str">
        <f t="shared" si="2"/>
        <v>ConnorsMangold</v>
      </c>
      <c r="AF166">
        <v>1</v>
      </c>
      <c r="AG166">
        <v>1</v>
      </c>
      <c r="AH166">
        <v>0</v>
      </c>
      <c r="AI166">
        <v>0</v>
      </c>
      <c r="AJ166">
        <v>1</v>
      </c>
      <c r="AK166" t="s">
        <v>119</v>
      </c>
      <c r="AL166">
        <v>0.546875</v>
      </c>
      <c r="AM166" t="s">
        <v>135</v>
      </c>
    </row>
    <row r="167" spans="2:40" ht="15" customHeight="1" x14ac:dyDescent="0.2">
      <c r="B167">
        <v>11</v>
      </c>
      <c r="C167">
        <v>1</v>
      </c>
      <c r="D167">
        <v>4</v>
      </c>
      <c r="E167" t="s">
        <v>283</v>
      </c>
      <c r="F167" t="s">
        <v>268</v>
      </c>
      <c r="G167" s="15">
        <v>42573</v>
      </c>
      <c r="H167" t="s">
        <v>144</v>
      </c>
      <c r="I167" t="s">
        <v>269</v>
      </c>
      <c r="J167" t="s">
        <v>270</v>
      </c>
      <c r="K167">
        <v>9</v>
      </c>
      <c r="L167" t="s">
        <v>112</v>
      </c>
      <c r="M167" t="s">
        <v>271</v>
      </c>
      <c r="N167" t="s">
        <v>114</v>
      </c>
      <c r="O167">
        <v>70.599999999999994</v>
      </c>
      <c r="P167">
        <v>130</v>
      </c>
      <c r="Q167">
        <v>6111</v>
      </c>
      <c r="R167" t="s">
        <v>145</v>
      </c>
      <c r="S167" t="s">
        <v>116</v>
      </c>
      <c r="T167" t="s">
        <v>124</v>
      </c>
      <c r="U167" t="s">
        <v>119</v>
      </c>
      <c r="V167" t="s">
        <v>119</v>
      </c>
      <c r="W167" t="s">
        <v>156</v>
      </c>
      <c r="Y167" t="s">
        <v>135</v>
      </c>
      <c r="AA167">
        <v>1</v>
      </c>
      <c r="AB167" t="s">
        <v>100</v>
      </c>
      <c r="AC167" t="s">
        <v>225</v>
      </c>
      <c r="AE167" t="str">
        <f t="shared" si="2"/>
        <v>GriseShively</v>
      </c>
      <c r="AF167">
        <v>0</v>
      </c>
      <c r="AG167">
        <v>0</v>
      </c>
      <c r="AH167">
        <v>1</v>
      </c>
      <c r="AI167">
        <v>0</v>
      </c>
      <c r="AJ167">
        <v>0</v>
      </c>
      <c r="AK167" t="s">
        <v>178</v>
      </c>
      <c r="AL167">
        <v>0.34745762711864397</v>
      </c>
      <c r="AM167" t="s">
        <v>133</v>
      </c>
      <c r="AN167">
        <v>0.38392857142857201</v>
      </c>
    </row>
    <row r="168" spans="2:40" ht="15" customHeight="1" x14ac:dyDescent="0.2">
      <c r="B168">
        <v>12</v>
      </c>
      <c r="C168">
        <v>2</v>
      </c>
      <c r="D168">
        <v>4</v>
      </c>
      <c r="E168" t="s">
        <v>284</v>
      </c>
      <c r="F168" t="s">
        <v>268</v>
      </c>
      <c r="G168" s="15">
        <v>42573</v>
      </c>
      <c r="H168" t="s">
        <v>144</v>
      </c>
      <c r="I168" t="s">
        <v>269</v>
      </c>
      <c r="J168" t="s">
        <v>270</v>
      </c>
      <c r="K168">
        <v>9</v>
      </c>
      <c r="L168" t="s">
        <v>112</v>
      </c>
      <c r="M168" t="s">
        <v>271</v>
      </c>
      <c r="N168" t="s">
        <v>114</v>
      </c>
      <c r="O168">
        <v>70.599999999999994</v>
      </c>
      <c r="P168">
        <v>130</v>
      </c>
      <c r="Q168">
        <v>6111</v>
      </c>
      <c r="R168" t="s">
        <v>145</v>
      </c>
      <c r="S168" t="s">
        <v>116</v>
      </c>
      <c r="T168" t="s">
        <v>124</v>
      </c>
      <c r="U168" t="s">
        <v>119</v>
      </c>
      <c r="V168" t="s">
        <v>693</v>
      </c>
      <c r="W168" t="s">
        <v>156</v>
      </c>
      <c r="Y168" t="s">
        <v>123</v>
      </c>
      <c r="AA168">
        <v>1</v>
      </c>
      <c r="AB168" t="s">
        <v>100</v>
      </c>
      <c r="AC168" t="s">
        <v>142</v>
      </c>
      <c r="AE168" t="str">
        <f t="shared" si="2"/>
        <v>BussiculoLynch</v>
      </c>
      <c r="AF168">
        <v>0</v>
      </c>
      <c r="AG168">
        <v>0</v>
      </c>
      <c r="AH168">
        <v>1</v>
      </c>
      <c r="AI168">
        <v>0</v>
      </c>
      <c r="AJ168">
        <v>0</v>
      </c>
      <c r="AK168" t="s">
        <v>132</v>
      </c>
      <c r="AL168">
        <v>0.4296875</v>
      </c>
      <c r="AM168" t="s">
        <v>176</v>
      </c>
      <c r="AN168">
        <v>0.59649122807017496</v>
      </c>
    </row>
    <row r="169" spans="2:40" ht="15" customHeight="1" x14ac:dyDescent="0.2">
      <c r="B169">
        <v>12</v>
      </c>
      <c r="C169">
        <v>2</v>
      </c>
      <c r="D169">
        <v>4</v>
      </c>
      <c r="E169" t="s">
        <v>284</v>
      </c>
      <c r="F169" t="s">
        <v>268</v>
      </c>
      <c r="G169" s="15">
        <v>42573</v>
      </c>
      <c r="H169" t="s">
        <v>144</v>
      </c>
      <c r="I169" t="s">
        <v>269</v>
      </c>
      <c r="J169" t="s">
        <v>270</v>
      </c>
      <c r="K169">
        <v>9</v>
      </c>
      <c r="L169" t="s">
        <v>112</v>
      </c>
      <c r="M169" t="s">
        <v>271</v>
      </c>
      <c r="N169" t="s">
        <v>114</v>
      </c>
      <c r="O169">
        <v>70.599999999999994</v>
      </c>
      <c r="P169">
        <v>130</v>
      </c>
      <c r="Q169">
        <v>6111</v>
      </c>
      <c r="R169" t="s">
        <v>145</v>
      </c>
      <c r="S169" t="s">
        <v>116</v>
      </c>
      <c r="T169" t="s">
        <v>117</v>
      </c>
      <c r="U169" t="s">
        <v>133</v>
      </c>
      <c r="V169" t="s">
        <v>132</v>
      </c>
      <c r="W169" t="s">
        <v>170</v>
      </c>
      <c r="Y169" t="s">
        <v>176</v>
      </c>
      <c r="AA169">
        <v>1</v>
      </c>
      <c r="AB169" t="s">
        <v>99</v>
      </c>
      <c r="AC169" t="s">
        <v>263</v>
      </c>
      <c r="AE169" t="str">
        <f t="shared" si="2"/>
        <v>FlandersForster</v>
      </c>
      <c r="AF169">
        <v>1</v>
      </c>
      <c r="AG169">
        <v>1</v>
      </c>
      <c r="AH169">
        <v>0</v>
      </c>
      <c r="AI169">
        <v>0</v>
      </c>
      <c r="AJ169">
        <v>1</v>
      </c>
      <c r="AK169" t="s">
        <v>693</v>
      </c>
      <c r="AL169">
        <v>0.44827586206896602</v>
      </c>
      <c r="AM169" t="s">
        <v>123</v>
      </c>
      <c r="AN169">
        <v>0.5546875</v>
      </c>
    </row>
    <row r="170" spans="2:40" ht="15" customHeight="1" x14ac:dyDescent="0.2">
      <c r="B170">
        <v>13</v>
      </c>
      <c r="C170">
        <v>3</v>
      </c>
      <c r="D170">
        <v>4</v>
      </c>
      <c r="E170" t="s">
        <v>285</v>
      </c>
      <c r="F170" t="s">
        <v>268</v>
      </c>
      <c r="G170" s="15">
        <v>42573</v>
      </c>
      <c r="H170" t="s">
        <v>144</v>
      </c>
      <c r="I170" t="s">
        <v>269</v>
      </c>
      <c r="J170" t="s">
        <v>270</v>
      </c>
      <c r="K170">
        <v>9</v>
      </c>
      <c r="L170" t="s">
        <v>112</v>
      </c>
      <c r="M170" t="s">
        <v>271</v>
      </c>
      <c r="N170" t="s">
        <v>114</v>
      </c>
      <c r="O170">
        <v>70.599999999999994</v>
      </c>
      <c r="P170">
        <v>130</v>
      </c>
      <c r="Q170">
        <v>6111</v>
      </c>
      <c r="R170" t="s">
        <v>145</v>
      </c>
      <c r="S170" t="s">
        <v>116</v>
      </c>
      <c r="T170" t="s">
        <v>117</v>
      </c>
      <c r="U170" t="s">
        <v>133</v>
      </c>
      <c r="V170" t="s">
        <v>226</v>
      </c>
      <c r="W170" t="s">
        <v>170</v>
      </c>
      <c r="Y170" t="s">
        <v>230</v>
      </c>
      <c r="AA170">
        <v>1</v>
      </c>
      <c r="AB170" t="s">
        <v>101</v>
      </c>
      <c r="AC170" t="s">
        <v>286</v>
      </c>
      <c r="AE170" t="str">
        <f t="shared" si="2"/>
        <v>GrayNorat</v>
      </c>
      <c r="AF170">
        <v>0.5</v>
      </c>
      <c r="AG170">
        <v>0</v>
      </c>
      <c r="AH170">
        <v>0</v>
      </c>
      <c r="AI170">
        <v>1</v>
      </c>
      <c r="AJ170">
        <v>0.5</v>
      </c>
      <c r="AK170" t="s">
        <v>1308</v>
      </c>
      <c r="AL170">
        <v>0.59375</v>
      </c>
      <c r="AM170" t="s">
        <v>231</v>
      </c>
      <c r="AN170">
        <v>0.5</v>
      </c>
    </row>
    <row r="171" spans="2:40" ht="15" customHeight="1" x14ac:dyDescent="0.2">
      <c r="B171">
        <v>13</v>
      </c>
      <c r="C171">
        <v>3</v>
      </c>
      <c r="D171">
        <v>4</v>
      </c>
      <c r="E171" t="s">
        <v>285</v>
      </c>
      <c r="F171" t="s">
        <v>268</v>
      </c>
      <c r="G171" s="15">
        <v>42573</v>
      </c>
      <c r="H171" t="s">
        <v>144</v>
      </c>
      <c r="I171" t="s">
        <v>269</v>
      </c>
      <c r="J171" t="s">
        <v>270</v>
      </c>
      <c r="K171">
        <v>9</v>
      </c>
      <c r="L171" t="s">
        <v>112</v>
      </c>
      <c r="M171" t="s">
        <v>271</v>
      </c>
      <c r="N171" t="s">
        <v>114</v>
      </c>
      <c r="O171">
        <v>70.599999999999994</v>
      </c>
      <c r="P171">
        <v>130</v>
      </c>
      <c r="Q171">
        <v>6111</v>
      </c>
      <c r="R171" t="s">
        <v>145</v>
      </c>
      <c r="S171" t="s">
        <v>116</v>
      </c>
      <c r="T171" t="s">
        <v>124</v>
      </c>
      <c r="U171" t="s">
        <v>119</v>
      </c>
      <c r="V171" t="s">
        <v>1308</v>
      </c>
      <c r="W171" t="s">
        <v>156</v>
      </c>
      <c r="Y171" t="s">
        <v>231</v>
      </c>
      <c r="AA171">
        <v>1</v>
      </c>
      <c r="AB171" t="s">
        <v>101</v>
      </c>
      <c r="AC171" t="s">
        <v>286</v>
      </c>
      <c r="AE171" t="str">
        <f t="shared" si="2"/>
        <v>ConnollyMcInerney</v>
      </c>
      <c r="AF171">
        <v>0.5</v>
      </c>
      <c r="AG171">
        <v>0</v>
      </c>
      <c r="AH171">
        <v>0</v>
      </c>
      <c r="AI171">
        <v>1</v>
      </c>
      <c r="AJ171">
        <v>0.5</v>
      </c>
      <c r="AK171" t="s">
        <v>226</v>
      </c>
      <c r="AL171">
        <v>0.65476190476190499</v>
      </c>
      <c r="AM171" t="s">
        <v>230</v>
      </c>
      <c r="AN171">
        <v>0.52777777777777801</v>
      </c>
    </row>
    <row r="172" spans="2:40" ht="15" customHeight="1" x14ac:dyDescent="0.2">
      <c r="B172">
        <v>14</v>
      </c>
      <c r="C172">
        <v>4</v>
      </c>
      <c r="D172">
        <v>4</v>
      </c>
      <c r="E172" t="s">
        <v>287</v>
      </c>
      <c r="F172" t="s">
        <v>268</v>
      </c>
      <c r="G172" s="15">
        <v>42573</v>
      </c>
      <c r="H172" t="s">
        <v>144</v>
      </c>
      <c r="I172" t="s">
        <v>269</v>
      </c>
      <c r="J172" t="s">
        <v>270</v>
      </c>
      <c r="K172">
        <v>9</v>
      </c>
      <c r="L172" t="s">
        <v>112</v>
      </c>
      <c r="M172" t="s">
        <v>271</v>
      </c>
      <c r="N172" t="s">
        <v>114</v>
      </c>
      <c r="O172">
        <v>70.599999999999994</v>
      </c>
      <c r="P172">
        <v>130</v>
      </c>
      <c r="Q172">
        <v>6111</v>
      </c>
      <c r="R172" t="s">
        <v>145</v>
      </c>
      <c r="S172" t="s">
        <v>116</v>
      </c>
      <c r="T172" t="s">
        <v>124</v>
      </c>
      <c r="U172" t="s">
        <v>119</v>
      </c>
      <c r="V172" t="s">
        <v>227</v>
      </c>
      <c r="W172" t="s">
        <v>156</v>
      </c>
      <c r="Y172" t="s">
        <v>272</v>
      </c>
      <c r="AA172">
        <v>1</v>
      </c>
      <c r="AB172" t="s">
        <v>100</v>
      </c>
      <c r="AC172" t="s">
        <v>288</v>
      </c>
      <c r="AE172" t="str">
        <f t="shared" si="2"/>
        <v>ZimmerWelker</v>
      </c>
      <c r="AF172">
        <v>0</v>
      </c>
      <c r="AG172">
        <v>0</v>
      </c>
      <c r="AH172">
        <v>1</v>
      </c>
      <c r="AI172">
        <v>0</v>
      </c>
      <c r="AJ172">
        <v>0</v>
      </c>
      <c r="AK172" t="s">
        <v>127</v>
      </c>
      <c r="AL172">
        <v>0.59523809523809501</v>
      </c>
      <c r="AM172" t="s">
        <v>118</v>
      </c>
      <c r="AN172">
        <v>0.6171875</v>
      </c>
    </row>
    <row r="173" spans="2:40" ht="15" customHeight="1" x14ac:dyDescent="0.2">
      <c r="B173">
        <v>14</v>
      </c>
      <c r="C173">
        <v>4</v>
      </c>
      <c r="D173">
        <v>4</v>
      </c>
      <c r="E173" t="s">
        <v>287</v>
      </c>
      <c r="F173" t="s">
        <v>268</v>
      </c>
      <c r="G173" s="15">
        <v>42573</v>
      </c>
      <c r="H173" t="s">
        <v>144</v>
      </c>
      <c r="I173" t="s">
        <v>269</v>
      </c>
      <c r="J173" t="s">
        <v>270</v>
      </c>
      <c r="K173">
        <v>9</v>
      </c>
      <c r="L173" t="s">
        <v>112</v>
      </c>
      <c r="M173" t="s">
        <v>271</v>
      </c>
      <c r="N173" t="s">
        <v>114</v>
      </c>
      <c r="O173">
        <v>70.599999999999994</v>
      </c>
      <c r="P173">
        <v>130</v>
      </c>
      <c r="Q173">
        <v>6111</v>
      </c>
      <c r="R173" t="s">
        <v>145</v>
      </c>
      <c r="S173" t="s">
        <v>116</v>
      </c>
      <c r="T173" t="s">
        <v>117</v>
      </c>
      <c r="U173" t="s">
        <v>133</v>
      </c>
      <c r="V173" t="s">
        <v>127</v>
      </c>
      <c r="W173" t="s">
        <v>170</v>
      </c>
      <c r="Y173" t="s">
        <v>118</v>
      </c>
      <c r="AA173">
        <v>1</v>
      </c>
      <c r="AB173" t="s">
        <v>99</v>
      </c>
      <c r="AC173" t="s">
        <v>288</v>
      </c>
      <c r="AE173" t="str">
        <f t="shared" si="2"/>
        <v>FerrinJackson</v>
      </c>
      <c r="AF173">
        <v>1</v>
      </c>
      <c r="AG173">
        <v>1</v>
      </c>
      <c r="AH173">
        <v>0</v>
      </c>
      <c r="AI173">
        <v>0</v>
      </c>
      <c r="AJ173">
        <v>1</v>
      </c>
      <c r="AK173" t="s">
        <v>227</v>
      </c>
      <c r="AL173">
        <v>0.5</v>
      </c>
      <c r="AM173" t="s">
        <v>272</v>
      </c>
      <c r="AN173">
        <v>0.51041666666666696</v>
      </c>
    </row>
    <row r="174" spans="2:40" ht="15" customHeight="1" x14ac:dyDescent="0.2">
      <c r="B174">
        <v>15</v>
      </c>
      <c r="C174">
        <v>5</v>
      </c>
      <c r="D174">
        <v>4</v>
      </c>
      <c r="E174" t="s">
        <v>289</v>
      </c>
      <c r="F174" t="s">
        <v>268</v>
      </c>
      <c r="G174" s="15">
        <v>42573</v>
      </c>
      <c r="H174" t="s">
        <v>144</v>
      </c>
      <c r="I174" t="s">
        <v>269</v>
      </c>
      <c r="J174" t="s">
        <v>270</v>
      </c>
      <c r="K174">
        <v>9</v>
      </c>
      <c r="L174" t="s">
        <v>112</v>
      </c>
      <c r="M174" t="s">
        <v>271</v>
      </c>
      <c r="N174" t="s">
        <v>114</v>
      </c>
      <c r="O174">
        <v>70.599999999999994</v>
      </c>
      <c r="P174">
        <v>130</v>
      </c>
      <c r="Q174">
        <v>6111</v>
      </c>
      <c r="R174" t="s">
        <v>145</v>
      </c>
      <c r="S174" t="s">
        <v>116</v>
      </c>
      <c r="T174" t="s">
        <v>117</v>
      </c>
      <c r="U174" t="s">
        <v>133</v>
      </c>
      <c r="V174" t="s">
        <v>179</v>
      </c>
      <c r="W174" t="s">
        <v>170</v>
      </c>
      <c r="Y174" t="s">
        <v>175</v>
      </c>
      <c r="AA174">
        <v>1</v>
      </c>
      <c r="AB174" t="s">
        <v>99</v>
      </c>
      <c r="AC174" t="s">
        <v>257</v>
      </c>
      <c r="AE174" t="str">
        <f t="shared" si="2"/>
        <v>ColeWeisberger</v>
      </c>
      <c r="AF174">
        <v>1</v>
      </c>
      <c r="AG174">
        <v>1</v>
      </c>
      <c r="AH174">
        <v>0</v>
      </c>
      <c r="AI174">
        <v>0</v>
      </c>
      <c r="AJ174">
        <v>1</v>
      </c>
      <c r="AK174" t="s">
        <v>172</v>
      </c>
      <c r="AL174">
        <v>0.37288135593220301</v>
      </c>
      <c r="AM174" t="s">
        <v>120</v>
      </c>
      <c r="AN174">
        <v>0.35714285714285698</v>
      </c>
    </row>
    <row r="175" spans="2:40" ht="15" customHeight="1" x14ac:dyDescent="0.2">
      <c r="B175">
        <v>15</v>
      </c>
      <c r="C175">
        <v>5</v>
      </c>
      <c r="D175">
        <v>4</v>
      </c>
      <c r="E175" t="s">
        <v>289</v>
      </c>
      <c r="F175" t="s">
        <v>268</v>
      </c>
      <c r="G175" s="15">
        <v>42573</v>
      </c>
      <c r="H175" t="s">
        <v>144</v>
      </c>
      <c r="I175" t="s">
        <v>269</v>
      </c>
      <c r="J175" t="s">
        <v>270</v>
      </c>
      <c r="K175">
        <v>9</v>
      </c>
      <c r="L175" t="s">
        <v>112</v>
      </c>
      <c r="M175" t="s">
        <v>271</v>
      </c>
      <c r="N175" t="s">
        <v>114</v>
      </c>
      <c r="O175">
        <v>70.599999999999994</v>
      </c>
      <c r="P175">
        <v>130</v>
      </c>
      <c r="Q175">
        <v>6111</v>
      </c>
      <c r="R175" t="s">
        <v>145</v>
      </c>
      <c r="S175" t="s">
        <v>116</v>
      </c>
      <c r="T175" t="s">
        <v>124</v>
      </c>
      <c r="U175" t="s">
        <v>119</v>
      </c>
      <c r="V175" t="s">
        <v>172</v>
      </c>
      <c r="W175" t="s">
        <v>156</v>
      </c>
      <c r="Y175" t="s">
        <v>120</v>
      </c>
      <c r="AA175">
        <v>1</v>
      </c>
      <c r="AB175" t="s">
        <v>100</v>
      </c>
      <c r="AC175" t="s">
        <v>257</v>
      </c>
      <c r="AE175" t="str">
        <f t="shared" si="2"/>
        <v>FoganHickerson</v>
      </c>
      <c r="AF175">
        <v>0</v>
      </c>
      <c r="AG175">
        <v>0</v>
      </c>
      <c r="AH175">
        <v>1</v>
      </c>
      <c r="AI175">
        <v>0</v>
      </c>
      <c r="AJ175">
        <v>0</v>
      </c>
      <c r="AK175" t="s">
        <v>179</v>
      </c>
      <c r="AL175">
        <v>0.44067796610169502</v>
      </c>
      <c r="AM175" t="s">
        <v>175</v>
      </c>
      <c r="AN175">
        <v>0.5</v>
      </c>
    </row>
    <row r="176" spans="2:40" ht="15" customHeight="1" x14ac:dyDescent="0.2">
      <c r="B176">
        <v>16</v>
      </c>
      <c r="C176">
        <v>1</v>
      </c>
      <c r="D176">
        <v>4</v>
      </c>
      <c r="E176" t="s">
        <v>290</v>
      </c>
      <c r="F176" t="s">
        <v>268</v>
      </c>
      <c r="G176" s="15">
        <v>42573</v>
      </c>
      <c r="H176" t="s">
        <v>144</v>
      </c>
      <c r="I176" t="s">
        <v>269</v>
      </c>
      <c r="J176" t="s">
        <v>270</v>
      </c>
      <c r="K176">
        <v>9</v>
      </c>
      <c r="L176" t="s">
        <v>137</v>
      </c>
      <c r="M176" t="s">
        <v>271</v>
      </c>
      <c r="N176" t="s">
        <v>114</v>
      </c>
      <c r="O176">
        <v>70.599999999999994</v>
      </c>
      <c r="P176">
        <v>130</v>
      </c>
      <c r="Q176">
        <v>6111</v>
      </c>
      <c r="R176" t="s">
        <v>197</v>
      </c>
      <c r="S176" t="s">
        <v>116</v>
      </c>
      <c r="T176" t="s">
        <v>117</v>
      </c>
      <c r="U176" t="s">
        <v>133</v>
      </c>
      <c r="V176" t="s">
        <v>178</v>
      </c>
      <c r="W176" t="s">
        <v>170</v>
      </c>
      <c r="Y176" t="s">
        <v>133</v>
      </c>
      <c r="AA176">
        <v>1</v>
      </c>
      <c r="AB176" t="s">
        <v>100</v>
      </c>
      <c r="AC176" t="s">
        <v>291</v>
      </c>
      <c r="AE176" t="str">
        <f t="shared" si="2"/>
        <v>ConnorsMangold</v>
      </c>
      <c r="AF176">
        <v>0</v>
      </c>
      <c r="AG176">
        <v>0</v>
      </c>
      <c r="AH176">
        <v>1</v>
      </c>
      <c r="AI176">
        <v>0</v>
      </c>
      <c r="AJ176">
        <v>0</v>
      </c>
      <c r="AK176" t="s">
        <v>119</v>
      </c>
      <c r="AL176">
        <v>0.546875</v>
      </c>
      <c r="AM176" t="s">
        <v>135</v>
      </c>
    </row>
    <row r="177" spans="2:40" ht="15" customHeight="1" x14ac:dyDescent="0.2">
      <c r="B177">
        <v>16</v>
      </c>
      <c r="C177">
        <v>1</v>
      </c>
      <c r="D177">
        <v>4</v>
      </c>
      <c r="E177" t="s">
        <v>290</v>
      </c>
      <c r="F177" t="s">
        <v>268</v>
      </c>
      <c r="G177" s="15">
        <v>42573</v>
      </c>
      <c r="H177" t="s">
        <v>144</v>
      </c>
      <c r="I177" t="s">
        <v>269</v>
      </c>
      <c r="J177" t="s">
        <v>270</v>
      </c>
      <c r="K177">
        <v>9</v>
      </c>
      <c r="L177" t="s">
        <v>137</v>
      </c>
      <c r="M177" t="s">
        <v>271</v>
      </c>
      <c r="N177" t="s">
        <v>114</v>
      </c>
      <c r="O177">
        <v>70.599999999999994</v>
      </c>
      <c r="P177">
        <v>130</v>
      </c>
      <c r="Q177">
        <v>6111</v>
      </c>
      <c r="R177" t="s">
        <v>197</v>
      </c>
      <c r="S177" t="s">
        <v>116</v>
      </c>
      <c r="T177" t="s">
        <v>124</v>
      </c>
      <c r="U177" t="s">
        <v>119</v>
      </c>
      <c r="V177" t="s">
        <v>119</v>
      </c>
      <c r="W177" t="s">
        <v>156</v>
      </c>
      <c r="Y177" t="s">
        <v>135</v>
      </c>
      <c r="AA177">
        <v>1</v>
      </c>
      <c r="AB177" t="s">
        <v>99</v>
      </c>
      <c r="AC177" t="s">
        <v>291</v>
      </c>
      <c r="AE177" t="str">
        <f t="shared" si="2"/>
        <v>GriseShively</v>
      </c>
      <c r="AF177">
        <v>1</v>
      </c>
      <c r="AG177">
        <v>1</v>
      </c>
      <c r="AH177">
        <v>0</v>
      </c>
      <c r="AI177">
        <v>0</v>
      </c>
      <c r="AJ177">
        <v>1</v>
      </c>
      <c r="AK177" t="s">
        <v>178</v>
      </c>
      <c r="AL177">
        <v>0.34745762711864397</v>
      </c>
      <c r="AM177" t="s">
        <v>133</v>
      </c>
      <c r="AN177">
        <v>0.38392857142857201</v>
      </c>
    </row>
    <row r="178" spans="2:40" ht="15" customHeight="1" x14ac:dyDescent="0.2">
      <c r="B178">
        <v>17</v>
      </c>
      <c r="C178">
        <v>2</v>
      </c>
      <c r="D178">
        <v>4</v>
      </c>
      <c r="E178" t="s">
        <v>292</v>
      </c>
      <c r="F178" t="s">
        <v>268</v>
      </c>
      <c r="G178" s="15">
        <v>42573</v>
      </c>
      <c r="H178" t="s">
        <v>144</v>
      </c>
      <c r="I178" t="s">
        <v>269</v>
      </c>
      <c r="J178" t="s">
        <v>270</v>
      </c>
      <c r="K178">
        <v>9</v>
      </c>
      <c r="L178" t="s">
        <v>137</v>
      </c>
      <c r="M178" t="s">
        <v>271</v>
      </c>
      <c r="N178" t="s">
        <v>114</v>
      </c>
      <c r="O178">
        <v>70.599999999999994</v>
      </c>
      <c r="P178">
        <v>130</v>
      </c>
      <c r="Q178">
        <v>6111</v>
      </c>
      <c r="R178" t="s">
        <v>197</v>
      </c>
      <c r="S178" t="s">
        <v>116</v>
      </c>
      <c r="T178" t="s">
        <v>124</v>
      </c>
      <c r="U178" t="s">
        <v>119</v>
      </c>
      <c r="V178" t="s">
        <v>693</v>
      </c>
      <c r="W178" t="s">
        <v>156</v>
      </c>
      <c r="Y178" t="s">
        <v>123</v>
      </c>
      <c r="AA178">
        <v>1</v>
      </c>
      <c r="AB178" t="s">
        <v>99</v>
      </c>
      <c r="AC178" t="s">
        <v>293</v>
      </c>
      <c r="AE178" t="str">
        <f t="shared" si="2"/>
        <v>BussiculoLynch</v>
      </c>
      <c r="AF178">
        <v>1</v>
      </c>
      <c r="AG178">
        <v>1</v>
      </c>
      <c r="AH178">
        <v>0</v>
      </c>
      <c r="AI178">
        <v>0</v>
      </c>
      <c r="AJ178">
        <v>1</v>
      </c>
      <c r="AK178" t="s">
        <v>132</v>
      </c>
      <c r="AL178">
        <v>0.4296875</v>
      </c>
      <c r="AM178" t="s">
        <v>176</v>
      </c>
      <c r="AN178">
        <v>0.59649122807017496</v>
      </c>
    </row>
    <row r="179" spans="2:40" ht="15" customHeight="1" x14ac:dyDescent="0.2">
      <c r="B179">
        <v>17</v>
      </c>
      <c r="C179">
        <v>2</v>
      </c>
      <c r="D179">
        <v>4</v>
      </c>
      <c r="E179" t="s">
        <v>292</v>
      </c>
      <c r="F179" t="s">
        <v>268</v>
      </c>
      <c r="G179" s="15">
        <v>42573</v>
      </c>
      <c r="H179" t="s">
        <v>144</v>
      </c>
      <c r="I179" t="s">
        <v>269</v>
      </c>
      <c r="J179" t="s">
        <v>270</v>
      </c>
      <c r="K179">
        <v>9</v>
      </c>
      <c r="L179" t="s">
        <v>137</v>
      </c>
      <c r="M179" t="s">
        <v>271</v>
      </c>
      <c r="N179" t="s">
        <v>114</v>
      </c>
      <c r="O179">
        <v>70.599999999999994</v>
      </c>
      <c r="P179">
        <v>130</v>
      </c>
      <c r="Q179">
        <v>6111</v>
      </c>
      <c r="R179" t="s">
        <v>197</v>
      </c>
      <c r="S179" t="s">
        <v>116</v>
      </c>
      <c r="T179" t="s">
        <v>117</v>
      </c>
      <c r="U179" t="s">
        <v>133</v>
      </c>
      <c r="V179" t="s">
        <v>132</v>
      </c>
      <c r="W179" t="s">
        <v>170</v>
      </c>
      <c r="Y179" t="s">
        <v>176</v>
      </c>
      <c r="AA179">
        <v>1</v>
      </c>
      <c r="AB179" t="s">
        <v>100</v>
      </c>
      <c r="AC179" t="s">
        <v>293</v>
      </c>
      <c r="AE179" t="str">
        <f t="shared" si="2"/>
        <v>FlandersForster</v>
      </c>
      <c r="AF179">
        <v>0</v>
      </c>
      <c r="AG179">
        <v>0</v>
      </c>
      <c r="AH179">
        <v>1</v>
      </c>
      <c r="AI179">
        <v>0</v>
      </c>
      <c r="AJ179">
        <v>0</v>
      </c>
      <c r="AK179" t="s">
        <v>693</v>
      </c>
      <c r="AL179">
        <v>0.44827586206896602</v>
      </c>
      <c r="AM179" t="s">
        <v>123</v>
      </c>
      <c r="AN179">
        <v>0.5546875</v>
      </c>
    </row>
    <row r="180" spans="2:40" ht="15" customHeight="1" x14ac:dyDescent="0.2">
      <c r="B180">
        <v>18</v>
      </c>
      <c r="C180">
        <v>3</v>
      </c>
      <c r="D180">
        <v>4</v>
      </c>
      <c r="E180" t="s">
        <v>294</v>
      </c>
      <c r="F180" t="s">
        <v>268</v>
      </c>
      <c r="G180" s="15">
        <v>42573</v>
      </c>
      <c r="H180" t="s">
        <v>144</v>
      </c>
      <c r="I180" t="s">
        <v>269</v>
      </c>
      <c r="J180" t="s">
        <v>270</v>
      </c>
      <c r="K180">
        <v>9</v>
      </c>
      <c r="L180" t="s">
        <v>137</v>
      </c>
      <c r="M180" t="s">
        <v>271</v>
      </c>
      <c r="N180" t="s">
        <v>114</v>
      </c>
      <c r="O180">
        <v>70.599999999999994</v>
      </c>
      <c r="P180">
        <v>130</v>
      </c>
      <c r="Q180">
        <v>6111</v>
      </c>
      <c r="R180" t="s">
        <v>197</v>
      </c>
      <c r="S180" t="s">
        <v>116</v>
      </c>
      <c r="T180" t="s">
        <v>117</v>
      </c>
      <c r="U180" t="s">
        <v>133</v>
      </c>
      <c r="V180" t="s">
        <v>226</v>
      </c>
      <c r="W180" t="s">
        <v>170</v>
      </c>
      <c r="Y180" t="s">
        <v>230</v>
      </c>
      <c r="AA180">
        <v>1</v>
      </c>
      <c r="AB180" t="s">
        <v>100</v>
      </c>
      <c r="AC180" t="s">
        <v>295</v>
      </c>
      <c r="AE180" t="str">
        <f t="shared" si="2"/>
        <v>GrayNorat</v>
      </c>
      <c r="AF180">
        <v>0</v>
      </c>
      <c r="AG180">
        <v>0</v>
      </c>
      <c r="AH180">
        <v>1</v>
      </c>
      <c r="AI180">
        <v>0</v>
      </c>
      <c r="AJ180">
        <v>0</v>
      </c>
      <c r="AK180" t="s">
        <v>1308</v>
      </c>
      <c r="AL180">
        <v>0.59375</v>
      </c>
      <c r="AM180" t="s">
        <v>231</v>
      </c>
      <c r="AN180">
        <v>0.5</v>
      </c>
    </row>
    <row r="181" spans="2:40" ht="15" customHeight="1" x14ac:dyDescent="0.2">
      <c r="B181">
        <v>18</v>
      </c>
      <c r="C181">
        <v>3</v>
      </c>
      <c r="D181">
        <v>4</v>
      </c>
      <c r="E181" t="s">
        <v>294</v>
      </c>
      <c r="F181" t="s">
        <v>268</v>
      </c>
      <c r="G181" s="15">
        <v>42573</v>
      </c>
      <c r="H181" t="s">
        <v>144</v>
      </c>
      <c r="I181" t="s">
        <v>269</v>
      </c>
      <c r="J181" t="s">
        <v>270</v>
      </c>
      <c r="K181">
        <v>9</v>
      </c>
      <c r="L181" t="s">
        <v>137</v>
      </c>
      <c r="M181" t="s">
        <v>271</v>
      </c>
      <c r="N181" t="s">
        <v>114</v>
      </c>
      <c r="O181">
        <v>70.599999999999994</v>
      </c>
      <c r="P181">
        <v>130</v>
      </c>
      <c r="Q181">
        <v>6111</v>
      </c>
      <c r="R181" t="s">
        <v>197</v>
      </c>
      <c r="S181" t="s">
        <v>116</v>
      </c>
      <c r="T181" t="s">
        <v>124</v>
      </c>
      <c r="U181" t="s">
        <v>119</v>
      </c>
      <c r="V181" t="s">
        <v>1308</v>
      </c>
      <c r="W181" t="s">
        <v>156</v>
      </c>
      <c r="Y181" t="s">
        <v>231</v>
      </c>
      <c r="AA181">
        <v>1</v>
      </c>
      <c r="AB181" t="s">
        <v>99</v>
      </c>
      <c r="AC181" t="s">
        <v>295</v>
      </c>
      <c r="AE181" t="str">
        <f t="shared" si="2"/>
        <v>ConnollyMcInerney</v>
      </c>
      <c r="AF181">
        <v>1</v>
      </c>
      <c r="AG181">
        <v>1</v>
      </c>
      <c r="AH181">
        <v>0</v>
      </c>
      <c r="AI181">
        <v>0</v>
      </c>
      <c r="AJ181">
        <v>1</v>
      </c>
      <c r="AK181" t="s">
        <v>226</v>
      </c>
      <c r="AL181">
        <v>0.65476190476190499</v>
      </c>
      <c r="AM181" t="s">
        <v>230</v>
      </c>
      <c r="AN181">
        <v>0.52777777777777801</v>
      </c>
    </row>
    <row r="182" spans="2:40" ht="15" customHeight="1" x14ac:dyDescent="0.2">
      <c r="B182">
        <v>19</v>
      </c>
      <c r="C182">
        <v>4</v>
      </c>
      <c r="D182">
        <v>4</v>
      </c>
      <c r="E182" t="s">
        <v>296</v>
      </c>
      <c r="F182" t="s">
        <v>268</v>
      </c>
      <c r="G182" s="15">
        <v>42573</v>
      </c>
      <c r="H182" t="s">
        <v>144</v>
      </c>
      <c r="I182" t="s">
        <v>269</v>
      </c>
      <c r="J182" t="s">
        <v>270</v>
      </c>
      <c r="K182">
        <v>9</v>
      </c>
      <c r="L182" t="s">
        <v>137</v>
      </c>
      <c r="M182" t="s">
        <v>271</v>
      </c>
      <c r="N182" t="s">
        <v>114</v>
      </c>
      <c r="O182">
        <v>70.599999999999994</v>
      </c>
      <c r="P182">
        <v>130</v>
      </c>
      <c r="Q182">
        <v>6111</v>
      </c>
      <c r="R182" t="s">
        <v>197</v>
      </c>
      <c r="S182" t="s">
        <v>116</v>
      </c>
      <c r="T182" t="s">
        <v>124</v>
      </c>
      <c r="U182" t="s">
        <v>119</v>
      </c>
      <c r="V182" t="s">
        <v>227</v>
      </c>
      <c r="W182" t="s">
        <v>156</v>
      </c>
      <c r="Y182" t="s">
        <v>272</v>
      </c>
      <c r="AA182">
        <v>1</v>
      </c>
      <c r="AB182" t="s">
        <v>100</v>
      </c>
      <c r="AC182" t="s">
        <v>297</v>
      </c>
      <c r="AE182" t="str">
        <f t="shared" si="2"/>
        <v>ZimmerWelker</v>
      </c>
      <c r="AF182">
        <v>0</v>
      </c>
      <c r="AG182">
        <v>0</v>
      </c>
      <c r="AH182">
        <v>1</v>
      </c>
      <c r="AI182">
        <v>0</v>
      </c>
      <c r="AJ182">
        <v>0</v>
      </c>
      <c r="AK182" t="s">
        <v>127</v>
      </c>
      <c r="AL182">
        <v>0.59523809523809501</v>
      </c>
      <c r="AM182" t="s">
        <v>118</v>
      </c>
      <c r="AN182">
        <v>0.6171875</v>
      </c>
    </row>
    <row r="183" spans="2:40" ht="15" customHeight="1" x14ac:dyDescent="0.2">
      <c r="B183">
        <v>19</v>
      </c>
      <c r="C183">
        <v>4</v>
      </c>
      <c r="D183">
        <v>4</v>
      </c>
      <c r="E183" t="s">
        <v>296</v>
      </c>
      <c r="F183" t="s">
        <v>268</v>
      </c>
      <c r="G183" s="15">
        <v>42573</v>
      </c>
      <c r="H183" t="s">
        <v>144</v>
      </c>
      <c r="I183" t="s">
        <v>269</v>
      </c>
      <c r="J183" t="s">
        <v>270</v>
      </c>
      <c r="K183">
        <v>9</v>
      </c>
      <c r="L183" t="s">
        <v>137</v>
      </c>
      <c r="M183" t="s">
        <v>271</v>
      </c>
      <c r="N183" t="s">
        <v>114</v>
      </c>
      <c r="O183">
        <v>70.599999999999994</v>
      </c>
      <c r="P183">
        <v>130</v>
      </c>
      <c r="Q183">
        <v>6111</v>
      </c>
      <c r="R183" t="s">
        <v>197</v>
      </c>
      <c r="S183" t="s">
        <v>116</v>
      </c>
      <c r="T183" t="s">
        <v>117</v>
      </c>
      <c r="U183" t="s">
        <v>133</v>
      </c>
      <c r="V183" t="s">
        <v>127</v>
      </c>
      <c r="W183" t="s">
        <v>170</v>
      </c>
      <c r="Y183" t="s">
        <v>118</v>
      </c>
      <c r="AA183">
        <v>1</v>
      </c>
      <c r="AB183" t="s">
        <v>99</v>
      </c>
      <c r="AC183" t="s">
        <v>297</v>
      </c>
      <c r="AE183" t="str">
        <f t="shared" si="2"/>
        <v>FerrinJackson</v>
      </c>
      <c r="AF183">
        <v>1</v>
      </c>
      <c r="AG183">
        <v>1</v>
      </c>
      <c r="AH183">
        <v>0</v>
      </c>
      <c r="AI183">
        <v>0</v>
      </c>
      <c r="AJ183">
        <v>1</v>
      </c>
      <c r="AK183" t="s">
        <v>227</v>
      </c>
      <c r="AL183">
        <v>0.5</v>
      </c>
      <c r="AM183" t="s">
        <v>272</v>
      </c>
      <c r="AN183">
        <v>0.51041666666666696</v>
      </c>
    </row>
    <row r="184" spans="2:40" ht="15" customHeight="1" x14ac:dyDescent="0.2">
      <c r="B184">
        <v>20</v>
      </c>
      <c r="C184">
        <v>5</v>
      </c>
      <c r="D184">
        <v>4</v>
      </c>
      <c r="E184" t="s">
        <v>298</v>
      </c>
      <c r="F184" t="s">
        <v>268</v>
      </c>
      <c r="G184" s="15">
        <v>42573</v>
      </c>
      <c r="H184" t="s">
        <v>144</v>
      </c>
      <c r="I184" t="s">
        <v>269</v>
      </c>
      <c r="J184" t="s">
        <v>270</v>
      </c>
      <c r="K184">
        <v>9</v>
      </c>
      <c r="L184" t="s">
        <v>137</v>
      </c>
      <c r="M184" t="s">
        <v>271</v>
      </c>
      <c r="N184" t="s">
        <v>114</v>
      </c>
      <c r="O184">
        <v>70.599999999999994</v>
      </c>
      <c r="P184">
        <v>130</v>
      </c>
      <c r="Q184">
        <v>6111</v>
      </c>
      <c r="R184" t="s">
        <v>197</v>
      </c>
      <c r="S184" t="s">
        <v>116</v>
      </c>
      <c r="T184" t="s">
        <v>117</v>
      </c>
      <c r="U184" t="s">
        <v>133</v>
      </c>
      <c r="V184" t="s">
        <v>179</v>
      </c>
      <c r="W184" t="s">
        <v>170</v>
      </c>
      <c r="Y184" t="s">
        <v>175</v>
      </c>
      <c r="AA184">
        <v>1</v>
      </c>
      <c r="AB184" t="s">
        <v>99</v>
      </c>
      <c r="AC184" t="s">
        <v>299</v>
      </c>
      <c r="AE184" t="str">
        <f t="shared" si="2"/>
        <v>ColeWeisberger</v>
      </c>
      <c r="AF184">
        <v>1</v>
      </c>
      <c r="AG184">
        <v>1</v>
      </c>
      <c r="AH184">
        <v>0</v>
      </c>
      <c r="AI184">
        <v>0</v>
      </c>
      <c r="AJ184">
        <v>1</v>
      </c>
      <c r="AK184" t="s">
        <v>172</v>
      </c>
      <c r="AL184">
        <v>0.37288135593220301</v>
      </c>
      <c r="AM184" t="s">
        <v>120</v>
      </c>
      <c r="AN184">
        <v>0.35714285714285698</v>
      </c>
    </row>
    <row r="185" spans="2:40" ht="15" customHeight="1" x14ac:dyDescent="0.2">
      <c r="B185">
        <v>20</v>
      </c>
      <c r="C185">
        <v>5</v>
      </c>
      <c r="D185">
        <v>4</v>
      </c>
      <c r="E185" t="s">
        <v>298</v>
      </c>
      <c r="F185" t="s">
        <v>268</v>
      </c>
      <c r="G185" s="15">
        <v>42573</v>
      </c>
      <c r="H185" t="s">
        <v>144</v>
      </c>
      <c r="I185" t="s">
        <v>269</v>
      </c>
      <c r="J185" t="s">
        <v>270</v>
      </c>
      <c r="K185">
        <v>9</v>
      </c>
      <c r="L185" t="s">
        <v>137</v>
      </c>
      <c r="M185" t="s">
        <v>271</v>
      </c>
      <c r="N185" t="s">
        <v>114</v>
      </c>
      <c r="O185">
        <v>70.599999999999994</v>
      </c>
      <c r="P185">
        <v>130</v>
      </c>
      <c r="Q185">
        <v>6111</v>
      </c>
      <c r="R185" t="s">
        <v>197</v>
      </c>
      <c r="S185" t="s">
        <v>116</v>
      </c>
      <c r="T185" t="s">
        <v>124</v>
      </c>
      <c r="U185" t="s">
        <v>119</v>
      </c>
      <c r="V185" t="s">
        <v>172</v>
      </c>
      <c r="W185" t="s">
        <v>156</v>
      </c>
      <c r="Y185" t="s">
        <v>120</v>
      </c>
      <c r="AA185">
        <v>1</v>
      </c>
      <c r="AB185" t="s">
        <v>100</v>
      </c>
      <c r="AC185" t="s">
        <v>299</v>
      </c>
      <c r="AE185" t="str">
        <f t="shared" si="2"/>
        <v>FoganHickerson</v>
      </c>
      <c r="AF185">
        <v>0</v>
      </c>
      <c r="AG185">
        <v>0</v>
      </c>
      <c r="AH185">
        <v>1</v>
      </c>
      <c r="AI185">
        <v>0</v>
      </c>
      <c r="AJ185">
        <v>0</v>
      </c>
      <c r="AK185" t="s">
        <v>179</v>
      </c>
      <c r="AL185">
        <v>0.44067796610169502</v>
      </c>
      <c r="AM185" t="s">
        <v>175</v>
      </c>
      <c r="AN185">
        <v>0.5</v>
      </c>
    </row>
    <row r="186" spans="2:40" ht="15" customHeight="1" x14ac:dyDescent="0.2">
      <c r="B186" t="s">
        <v>300</v>
      </c>
      <c r="D186">
        <v>4</v>
      </c>
      <c r="E186" t="s">
        <v>301</v>
      </c>
      <c r="F186" t="s">
        <v>268</v>
      </c>
      <c r="G186" s="15">
        <v>42573</v>
      </c>
      <c r="H186" t="s">
        <v>144</v>
      </c>
      <c r="I186" t="s">
        <v>269</v>
      </c>
      <c r="J186" t="s">
        <v>270</v>
      </c>
      <c r="K186">
        <v>6</v>
      </c>
      <c r="L186" t="s">
        <v>302</v>
      </c>
      <c r="M186" t="s">
        <v>271</v>
      </c>
      <c r="N186" t="s">
        <v>114</v>
      </c>
      <c r="O186">
        <v>70.599999999999994</v>
      </c>
      <c r="P186">
        <v>130</v>
      </c>
      <c r="Q186">
        <v>6111</v>
      </c>
      <c r="R186" t="s">
        <v>303</v>
      </c>
      <c r="S186" t="s">
        <v>303</v>
      </c>
      <c r="T186" t="s">
        <v>117</v>
      </c>
      <c r="U186" t="s">
        <v>133</v>
      </c>
      <c r="V186" t="s">
        <v>132</v>
      </c>
      <c r="W186" t="s">
        <v>170</v>
      </c>
      <c r="AA186">
        <v>0.5</v>
      </c>
      <c r="AB186" t="s">
        <v>99</v>
      </c>
      <c r="AC186" t="s">
        <v>304</v>
      </c>
      <c r="AE186" t="str">
        <f t="shared" si="2"/>
        <v>Flanders</v>
      </c>
      <c r="AF186">
        <v>0.5</v>
      </c>
      <c r="AG186">
        <v>1</v>
      </c>
      <c r="AH186">
        <v>0</v>
      </c>
      <c r="AI186">
        <v>0</v>
      </c>
      <c r="AJ186">
        <v>1</v>
      </c>
    </row>
    <row r="187" spans="2:40" ht="15" customHeight="1" x14ac:dyDescent="0.2">
      <c r="B187" t="s">
        <v>300</v>
      </c>
      <c r="D187">
        <v>4</v>
      </c>
      <c r="E187" t="s">
        <v>301</v>
      </c>
      <c r="F187" t="s">
        <v>268</v>
      </c>
      <c r="G187" s="15">
        <v>42573</v>
      </c>
      <c r="H187" t="s">
        <v>144</v>
      </c>
      <c r="I187" t="s">
        <v>269</v>
      </c>
      <c r="J187" t="s">
        <v>270</v>
      </c>
      <c r="K187">
        <v>6</v>
      </c>
      <c r="L187" t="s">
        <v>302</v>
      </c>
      <c r="M187" t="s">
        <v>271</v>
      </c>
      <c r="N187" t="s">
        <v>114</v>
      </c>
      <c r="O187">
        <v>70.599999999999994</v>
      </c>
      <c r="P187">
        <v>130</v>
      </c>
      <c r="Q187">
        <v>6111</v>
      </c>
      <c r="R187" t="s">
        <v>303</v>
      </c>
      <c r="S187" t="s">
        <v>303</v>
      </c>
      <c r="T187" t="s">
        <v>117</v>
      </c>
      <c r="U187" t="s">
        <v>133</v>
      </c>
      <c r="V187" t="s">
        <v>118</v>
      </c>
      <c r="W187" t="s">
        <v>170</v>
      </c>
      <c r="AA187">
        <v>0.5</v>
      </c>
      <c r="AB187" t="s">
        <v>99</v>
      </c>
      <c r="AC187" t="s">
        <v>304</v>
      </c>
      <c r="AE187" t="str">
        <f t="shared" si="2"/>
        <v>Jackson</v>
      </c>
      <c r="AF187">
        <v>0.5</v>
      </c>
      <c r="AG187">
        <v>1</v>
      </c>
      <c r="AH187">
        <v>0</v>
      </c>
      <c r="AI187">
        <v>0</v>
      </c>
      <c r="AJ187">
        <v>1</v>
      </c>
    </row>
    <row r="188" spans="2:40" ht="15" customHeight="1" x14ac:dyDescent="0.2">
      <c r="B188" t="s">
        <v>300</v>
      </c>
      <c r="D188">
        <v>4</v>
      </c>
      <c r="E188" t="s">
        <v>301</v>
      </c>
      <c r="F188" t="s">
        <v>268</v>
      </c>
      <c r="G188" s="15">
        <v>42573</v>
      </c>
      <c r="H188" t="s">
        <v>144</v>
      </c>
      <c r="I188" t="s">
        <v>269</v>
      </c>
      <c r="J188" t="s">
        <v>270</v>
      </c>
      <c r="K188">
        <v>6</v>
      </c>
      <c r="L188" t="s">
        <v>302</v>
      </c>
      <c r="M188" t="s">
        <v>271</v>
      </c>
      <c r="N188" t="s">
        <v>114</v>
      </c>
      <c r="O188">
        <v>70.599999999999994</v>
      </c>
      <c r="P188">
        <v>130</v>
      </c>
      <c r="Q188">
        <v>6111</v>
      </c>
      <c r="R188" t="s">
        <v>303</v>
      </c>
      <c r="S188" t="s">
        <v>303</v>
      </c>
      <c r="T188" t="s">
        <v>117</v>
      </c>
      <c r="U188" t="s">
        <v>133</v>
      </c>
      <c r="V188" t="s">
        <v>175</v>
      </c>
      <c r="W188" t="s">
        <v>170</v>
      </c>
      <c r="AA188">
        <v>0.5</v>
      </c>
      <c r="AB188" t="s">
        <v>99</v>
      </c>
      <c r="AC188" t="s">
        <v>304</v>
      </c>
      <c r="AE188" t="str">
        <f t="shared" si="2"/>
        <v>Weisberger</v>
      </c>
      <c r="AF188">
        <v>0.5</v>
      </c>
      <c r="AG188">
        <v>1</v>
      </c>
      <c r="AH188">
        <v>0</v>
      </c>
      <c r="AI188">
        <v>0</v>
      </c>
      <c r="AJ188">
        <v>1</v>
      </c>
    </row>
    <row r="189" spans="2:40" ht="15" customHeight="1" x14ac:dyDescent="0.2">
      <c r="B189" t="s">
        <v>300</v>
      </c>
      <c r="D189">
        <v>4</v>
      </c>
      <c r="E189" t="s">
        <v>301</v>
      </c>
      <c r="F189" t="s">
        <v>268</v>
      </c>
      <c r="G189" s="15">
        <v>42573</v>
      </c>
      <c r="H189" t="s">
        <v>144</v>
      </c>
      <c r="I189" t="s">
        <v>269</v>
      </c>
      <c r="J189" t="s">
        <v>270</v>
      </c>
      <c r="K189">
        <v>6</v>
      </c>
      <c r="L189" t="s">
        <v>302</v>
      </c>
      <c r="M189" t="s">
        <v>271</v>
      </c>
      <c r="N189" t="s">
        <v>114</v>
      </c>
      <c r="O189">
        <v>70.599999999999994</v>
      </c>
      <c r="P189">
        <v>130</v>
      </c>
      <c r="Q189">
        <v>6111</v>
      </c>
      <c r="R189" t="s">
        <v>303</v>
      </c>
      <c r="S189" t="s">
        <v>303</v>
      </c>
      <c r="T189" t="s">
        <v>117</v>
      </c>
      <c r="U189" t="s">
        <v>133</v>
      </c>
      <c r="V189" t="s">
        <v>127</v>
      </c>
      <c r="W189" t="s">
        <v>170</v>
      </c>
      <c r="AA189">
        <v>0.5</v>
      </c>
      <c r="AB189" t="s">
        <v>99</v>
      </c>
      <c r="AC189" t="s">
        <v>304</v>
      </c>
      <c r="AE189" t="str">
        <f t="shared" si="2"/>
        <v>Ferrin</v>
      </c>
      <c r="AF189">
        <v>0.5</v>
      </c>
      <c r="AG189">
        <v>1</v>
      </c>
      <c r="AH189">
        <v>0</v>
      </c>
      <c r="AI189">
        <v>0</v>
      </c>
      <c r="AJ189">
        <v>1</v>
      </c>
    </row>
    <row r="190" spans="2:40" ht="15" customHeight="1" x14ac:dyDescent="0.2">
      <c r="B190" t="s">
        <v>300</v>
      </c>
      <c r="D190">
        <v>4</v>
      </c>
      <c r="E190" t="s">
        <v>301</v>
      </c>
      <c r="F190" t="s">
        <v>268</v>
      </c>
      <c r="G190" s="15">
        <v>42573</v>
      </c>
      <c r="H190" t="s">
        <v>144</v>
      </c>
      <c r="I190" t="s">
        <v>269</v>
      </c>
      <c r="J190" t="s">
        <v>270</v>
      </c>
      <c r="K190">
        <v>6</v>
      </c>
      <c r="L190" t="s">
        <v>302</v>
      </c>
      <c r="M190" t="s">
        <v>271</v>
      </c>
      <c r="N190" t="s">
        <v>114</v>
      </c>
      <c r="O190">
        <v>70.599999999999994</v>
      </c>
      <c r="P190">
        <v>130</v>
      </c>
      <c r="Q190">
        <v>6111</v>
      </c>
      <c r="R190" t="s">
        <v>303</v>
      </c>
      <c r="S190" t="s">
        <v>303</v>
      </c>
      <c r="T190" t="s">
        <v>117</v>
      </c>
      <c r="U190" t="s">
        <v>133</v>
      </c>
      <c r="V190" t="s">
        <v>226</v>
      </c>
      <c r="W190" t="s">
        <v>170</v>
      </c>
      <c r="AA190">
        <v>0.5</v>
      </c>
      <c r="AB190" t="s">
        <v>99</v>
      </c>
      <c r="AC190" t="s">
        <v>304</v>
      </c>
      <c r="AE190" t="str">
        <f t="shared" si="2"/>
        <v>Gray</v>
      </c>
      <c r="AF190">
        <v>0.5</v>
      </c>
      <c r="AG190">
        <v>1</v>
      </c>
      <c r="AH190">
        <v>0</v>
      </c>
      <c r="AI190">
        <v>0</v>
      </c>
      <c r="AJ190">
        <v>1</v>
      </c>
    </row>
    <row r="191" spans="2:40" ht="15" customHeight="1" x14ac:dyDescent="0.2">
      <c r="B191" t="s">
        <v>300</v>
      </c>
      <c r="D191">
        <v>4</v>
      </c>
      <c r="E191" t="s">
        <v>301</v>
      </c>
      <c r="F191" t="s">
        <v>268</v>
      </c>
      <c r="G191" s="15">
        <v>42573</v>
      </c>
      <c r="H191" t="s">
        <v>144</v>
      </c>
      <c r="I191" t="s">
        <v>269</v>
      </c>
      <c r="J191" t="s">
        <v>270</v>
      </c>
      <c r="K191">
        <v>6</v>
      </c>
      <c r="L191" t="s">
        <v>302</v>
      </c>
      <c r="M191" t="s">
        <v>271</v>
      </c>
      <c r="N191" t="s">
        <v>114</v>
      </c>
      <c r="O191">
        <v>70.599999999999994</v>
      </c>
      <c r="P191">
        <v>130</v>
      </c>
      <c r="Q191">
        <v>6111</v>
      </c>
      <c r="R191" t="s">
        <v>303</v>
      </c>
      <c r="S191" t="s">
        <v>303</v>
      </c>
      <c r="T191" t="s">
        <v>117</v>
      </c>
      <c r="U191" t="s">
        <v>133</v>
      </c>
      <c r="V191" t="s">
        <v>178</v>
      </c>
      <c r="W191" t="s">
        <v>170</v>
      </c>
      <c r="AA191">
        <v>0.5</v>
      </c>
      <c r="AB191" t="s">
        <v>99</v>
      </c>
      <c r="AC191" t="s">
        <v>304</v>
      </c>
      <c r="AE191" t="str">
        <f t="shared" si="2"/>
        <v>Connors</v>
      </c>
      <c r="AF191">
        <v>0.5</v>
      </c>
      <c r="AG191">
        <v>1</v>
      </c>
      <c r="AH191">
        <v>0</v>
      </c>
      <c r="AI191">
        <v>0</v>
      </c>
      <c r="AJ191">
        <v>1</v>
      </c>
    </row>
    <row r="192" spans="2:40" ht="15" customHeight="1" x14ac:dyDescent="0.2">
      <c r="B192" t="s">
        <v>300</v>
      </c>
      <c r="D192">
        <v>4</v>
      </c>
      <c r="E192" t="s">
        <v>301</v>
      </c>
      <c r="F192" t="s">
        <v>268</v>
      </c>
      <c r="G192" s="15">
        <v>42573</v>
      </c>
      <c r="H192" t="s">
        <v>144</v>
      </c>
      <c r="I192" t="s">
        <v>269</v>
      </c>
      <c r="J192" t="s">
        <v>270</v>
      </c>
      <c r="K192">
        <v>6</v>
      </c>
      <c r="L192" t="s">
        <v>302</v>
      </c>
      <c r="M192" t="s">
        <v>271</v>
      </c>
      <c r="N192" t="s">
        <v>114</v>
      </c>
      <c r="O192">
        <v>70.599999999999994</v>
      </c>
      <c r="P192">
        <v>130</v>
      </c>
      <c r="Q192">
        <v>6111</v>
      </c>
      <c r="R192" t="s">
        <v>303</v>
      </c>
      <c r="S192" t="s">
        <v>303</v>
      </c>
      <c r="T192" t="s">
        <v>117</v>
      </c>
      <c r="U192" t="s">
        <v>133</v>
      </c>
      <c r="V192" t="s">
        <v>179</v>
      </c>
      <c r="W192" t="s">
        <v>170</v>
      </c>
      <c r="AA192">
        <v>0.5</v>
      </c>
      <c r="AB192" t="s">
        <v>99</v>
      </c>
      <c r="AC192" t="s">
        <v>304</v>
      </c>
      <c r="AE192" t="str">
        <f t="shared" si="2"/>
        <v>Cole</v>
      </c>
      <c r="AF192">
        <v>0.5</v>
      </c>
      <c r="AG192">
        <v>1</v>
      </c>
      <c r="AH192">
        <v>0</v>
      </c>
      <c r="AI192">
        <v>0</v>
      </c>
      <c r="AJ192">
        <v>1</v>
      </c>
    </row>
    <row r="193" spans="2:38" ht="15" customHeight="1" x14ac:dyDescent="0.2">
      <c r="B193" t="s">
        <v>300</v>
      </c>
      <c r="D193">
        <v>4</v>
      </c>
      <c r="E193" t="s">
        <v>301</v>
      </c>
      <c r="F193" t="s">
        <v>268</v>
      </c>
      <c r="G193" s="15">
        <v>42573</v>
      </c>
      <c r="H193" t="s">
        <v>144</v>
      </c>
      <c r="I193" t="s">
        <v>269</v>
      </c>
      <c r="J193" t="s">
        <v>270</v>
      </c>
      <c r="K193">
        <v>6</v>
      </c>
      <c r="L193" t="s">
        <v>302</v>
      </c>
      <c r="M193" t="s">
        <v>271</v>
      </c>
      <c r="N193" t="s">
        <v>114</v>
      </c>
      <c r="O193">
        <v>70.599999999999994</v>
      </c>
      <c r="P193">
        <v>130</v>
      </c>
      <c r="Q193">
        <v>6111</v>
      </c>
      <c r="R193" t="s">
        <v>303</v>
      </c>
      <c r="S193" t="s">
        <v>303</v>
      </c>
      <c r="T193" t="s">
        <v>117</v>
      </c>
      <c r="U193" t="s">
        <v>133</v>
      </c>
      <c r="V193" t="s">
        <v>176</v>
      </c>
      <c r="W193" t="s">
        <v>170</v>
      </c>
      <c r="AA193">
        <v>0.5</v>
      </c>
      <c r="AB193" t="s">
        <v>99</v>
      </c>
      <c r="AC193" t="s">
        <v>304</v>
      </c>
      <c r="AE193" t="str">
        <f t="shared" si="2"/>
        <v>Forster</v>
      </c>
      <c r="AF193">
        <v>0.5</v>
      </c>
      <c r="AG193">
        <v>1</v>
      </c>
      <c r="AH193">
        <v>0</v>
      </c>
      <c r="AI193">
        <v>0</v>
      </c>
      <c r="AJ193">
        <v>1</v>
      </c>
    </row>
    <row r="194" spans="2:38" ht="15" customHeight="1" x14ac:dyDescent="0.2">
      <c r="B194" t="s">
        <v>300</v>
      </c>
      <c r="D194">
        <v>4</v>
      </c>
      <c r="E194" t="s">
        <v>301</v>
      </c>
      <c r="F194" t="s">
        <v>268</v>
      </c>
      <c r="G194" s="15">
        <v>42573</v>
      </c>
      <c r="H194" t="s">
        <v>144</v>
      </c>
      <c r="I194" t="s">
        <v>269</v>
      </c>
      <c r="J194" t="s">
        <v>270</v>
      </c>
      <c r="K194">
        <v>6</v>
      </c>
      <c r="L194" t="s">
        <v>302</v>
      </c>
      <c r="M194" t="s">
        <v>271</v>
      </c>
      <c r="N194" t="s">
        <v>114</v>
      </c>
      <c r="O194">
        <v>70.599999999999994</v>
      </c>
      <c r="P194">
        <v>130</v>
      </c>
      <c r="Q194">
        <v>6111</v>
      </c>
      <c r="R194" t="s">
        <v>303</v>
      </c>
      <c r="S194" t="s">
        <v>303</v>
      </c>
      <c r="T194" t="s">
        <v>117</v>
      </c>
      <c r="U194" t="s">
        <v>133</v>
      </c>
      <c r="V194" t="s">
        <v>230</v>
      </c>
      <c r="W194" t="s">
        <v>170</v>
      </c>
      <c r="AA194">
        <v>0.5</v>
      </c>
      <c r="AB194" t="s">
        <v>99</v>
      </c>
      <c r="AC194" t="s">
        <v>304</v>
      </c>
      <c r="AE194" t="str">
        <f t="shared" ref="AE194:AE257" si="3">$V194&amp;$Y194</f>
        <v>Norat</v>
      </c>
      <c r="AF194">
        <v>0.5</v>
      </c>
      <c r="AG194">
        <v>1</v>
      </c>
      <c r="AH194">
        <v>0</v>
      </c>
      <c r="AI194">
        <v>0</v>
      </c>
      <c r="AJ194">
        <v>1</v>
      </c>
    </row>
    <row r="195" spans="2:38" ht="15" customHeight="1" x14ac:dyDescent="0.2">
      <c r="B195" t="s">
        <v>300</v>
      </c>
      <c r="D195">
        <v>4</v>
      </c>
      <c r="E195" t="s">
        <v>301</v>
      </c>
      <c r="F195" t="s">
        <v>268</v>
      </c>
      <c r="G195" s="15">
        <v>42573</v>
      </c>
      <c r="H195" t="s">
        <v>144</v>
      </c>
      <c r="I195" t="s">
        <v>269</v>
      </c>
      <c r="J195" t="s">
        <v>270</v>
      </c>
      <c r="K195">
        <v>6</v>
      </c>
      <c r="L195" t="s">
        <v>302</v>
      </c>
      <c r="M195" t="s">
        <v>271</v>
      </c>
      <c r="N195" t="s">
        <v>114</v>
      </c>
      <c r="O195">
        <v>70.599999999999994</v>
      </c>
      <c r="P195">
        <v>130</v>
      </c>
      <c r="Q195">
        <v>6111</v>
      </c>
      <c r="R195" t="s">
        <v>303</v>
      </c>
      <c r="S195" t="s">
        <v>303</v>
      </c>
      <c r="T195" t="s">
        <v>117</v>
      </c>
      <c r="U195" t="s">
        <v>133</v>
      </c>
      <c r="V195" t="s">
        <v>133</v>
      </c>
      <c r="W195" t="s">
        <v>170</v>
      </c>
      <c r="AA195">
        <v>0.5</v>
      </c>
      <c r="AB195" t="s">
        <v>99</v>
      </c>
      <c r="AC195" t="s">
        <v>304</v>
      </c>
      <c r="AE195" t="str">
        <f t="shared" si="3"/>
        <v>Mangold</v>
      </c>
      <c r="AF195">
        <v>0.5</v>
      </c>
      <c r="AG195">
        <v>1</v>
      </c>
      <c r="AH195">
        <v>0</v>
      </c>
      <c r="AI195">
        <v>0</v>
      </c>
      <c r="AJ195">
        <v>1</v>
      </c>
    </row>
    <row r="196" spans="2:38" ht="15" customHeight="1" x14ac:dyDescent="0.2">
      <c r="B196" t="s">
        <v>300</v>
      </c>
      <c r="D196">
        <v>4</v>
      </c>
      <c r="E196" t="s">
        <v>301</v>
      </c>
      <c r="F196" t="s">
        <v>268</v>
      </c>
      <c r="G196" s="15">
        <v>42573</v>
      </c>
      <c r="H196" t="s">
        <v>144</v>
      </c>
      <c r="I196" t="s">
        <v>269</v>
      </c>
      <c r="J196" t="s">
        <v>270</v>
      </c>
      <c r="K196">
        <v>6</v>
      </c>
      <c r="L196" t="s">
        <v>302</v>
      </c>
      <c r="M196" t="s">
        <v>271</v>
      </c>
      <c r="N196" t="s">
        <v>114</v>
      </c>
      <c r="O196">
        <v>70.599999999999994</v>
      </c>
      <c r="P196">
        <v>130</v>
      </c>
      <c r="Q196">
        <v>6111</v>
      </c>
      <c r="R196" t="s">
        <v>303</v>
      </c>
      <c r="S196" t="s">
        <v>303</v>
      </c>
      <c r="T196" t="s">
        <v>124</v>
      </c>
      <c r="U196" t="s">
        <v>119</v>
      </c>
      <c r="V196" t="s">
        <v>119</v>
      </c>
      <c r="W196" t="s">
        <v>156</v>
      </c>
      <c r="AA196">
        <v>0.5</v>
      </c>
      <c r="AB196" t="s">
        <v>100</v>
      </c>
      <c r="AC196" t="s">
        <v>304</v>
      </c>
      <c r="AE196" t="str">
        <f t="shared" si="3"/>
        <v>Grise</v>
      </c>
      <c r="AF196">
        <v>0</v>
      </c>
      <c r="AG196">
        <v>0</v>
      </c>
      <c r="AH196">
        <v>1</v>
      </c>
      <c r="AI196">
        <v>0</v>
      </c>
      <c r="AJ196">
        <v>0</v>
      </c>
    </row>
    <row r="197" spans="2:38" ht="15" customHeight="1" x14ac:dyDescent="0.2">
      <c r="B197" t="s">
        <v>300</v>
      </c>
      <c r="D197">
        <v>4</v>
      </c>
      <c r="E197" t="s">
        <v>301</v>
      </c>
      <c r="F197" t="s">
        <v>268</v>
      </c>
      <c r="G197" s="15">
        <v>42573</v>
      </c>
      <c r="H197" t="s">
        <v>144</v>
      </c>
      <c r="I197" t="s">
        <v>269</v>
      </c>
      <c r="J197" t="s">
        <v>270</v>
      </c>
      <c r="K197">
        <v>6</v>
      </c>
      <c r="L197" t="s">
        <v>302</v>
      </c>
      <c r="M197" t="s">
        <v>271</v>
      </c>
      <c r="N197" t="s">
        <v>114</v>
      </c>
      <c r="O197">
        <v>70.599999999999994</v>
      </c>
      <c r="P197">
        <v>130</v>
      </c>
      <c r="Q197">
        <v>6111</v>
      </c>
      <c r="R197" t="s">
        <v>303</v>
      </c>
      <c r="S197" t="s">
        <v>303</v>
      </c>
      <c r="T197" t="s">
        <v>124</v>
      </c>
      <c r="U197" t="s">
        <v>119</v>
      </c>
      <c r="V197" t="s">
        <v>227</v>
      </c>
      <c r="W197" t="s">
        <v>156</v>
      </c>
      <c r="AA197">
        <v>0.5</v>
      </c>
      <c r="AB197" t="s">
        <v>100</v>
      </c>
      <c r="AC197" t="s">
        <v>304</v>
      </c>
      <c r="AE197" t="str">
        <f t="shared" si="3"/>
        <v>Zimmer</v>
      </c>
      <c r="AF197">
        <v>0</v>
      </c>
      <c r="AG197">
        <v>0</v>
      </c>
      <c r="AH197">
        <v>1</v>
      </c>
      <c r="AI197">
        <v>0</v>
      </c>
      <c r="AJ197">
        <v>0</v>
      </c>
    </row>
    <row r="198" spans="2:38" ht="15" customHeight="1" x14ac:dyDescent="0.2">
      <c r="B198" t="s">
        <v>300</v>
      </c>
      <c r="D198">
        <v>4</v>
      </c>
      <c r="E198" t="s">
        <v>301</v>
      </c>
      <c r="F198" t="s">
        <v>268</v>
      </c>
      <c r="G198" s="15">
        <v>42573</v>
      </c>
      <c r="H198" t="s">
        <v>144</v>
      </c>
      <c r="I198" t="s">
        <v>269</v>
      </c>
      <c r="J198" t="s">
        <v>270</v>
      </c>
      <c r="K198">
        <v>6</v>
      </c>
      <c r="L198" t="s">
        <v>302</v>
      </c>
      <c r="M198" t="s">
        <v>271</v>
      </c>
      <c r="N198" t="s">
        <v>114</v>
      </c>
      <c r="O198">
        <v>70.599999999999994</v>
      </c>
      <c r="P198">
        <v>130</v>
      </c>
      <c r="Q198">
        <v>6111</v>
      </c>
      <c r="R198" t="s">
        <v>303</v>
      </c>
      <c r="S198" t="s">
        <v>303</v>
      </c>
      <c r="T198" t="s">
        <v>124</v>
      </c>
      <c r="U198" t="s">
        <v>119</v>
      </c>
      <c r="V198" t="s">
        <v>272</v>
      </c>
      <c r="W198" t="s">
        <v>156</v>
      </c>
      <c r="AA198">
        <v>0.5</v>
      </c>
      <c r="AB198" t="s">
        <v>100</v>
      </c>
      <c r="AC198" t="s">
        <v>304</v>
      </c>
      <c r="AE198" t="str">
        <f t="shared" si="3"/>
        <v>Welker</v>
      </c>
      <c r="AF198">
        <v>0</v>
      </c>
      <c r="AG198">
        <v>0</v>
      </c>
      <c r="AH198">
        <v>1</v>
      </c>
      <c r="AI198">
        <v>0</v>
      </c>
      <c r="AJ198">
        <v>0</v>
      </c>
    </row>
    <row r="199" spans="2:38" ht="15" customHeight="1" x14ac:dyDescent="0.2">
      <c r="B199" t="s">
        <v>300</v>
      </c>
      <c r="D199">
        <v>4</v>
      </c>
      <c r="E199" t="s">
        <v>301</v>
      </c>
      <c r="F199" t="s">
        <v>268</v>
      </c>
      <c r="G199" s="15">
        <v>42573</v>
      </c>
      <c r="H199" t="s">
        <v>144</v>
      </c>
      <c r="I199" t="s">
        <v>269</v>
      </c>
      <c r="J199" t="s">
        <v>270</v>
      </c>
      <c r="K199">
        <v>6</v>
      </c>
      <c r="L199" t="s">
        <v>302</v>
      </c>
      <c r="M199" t="s">
        <v>271</v>
      </c>
      <c r="N199" t="s">
        <v>114</v>
      </c>
      <c r="O199">
        <v>70.599999999999994</v>
      </c>
      <c r="P199">
        <v>130</v>
      </c>
      <c r="Q199">
        <v>6111</v>
      </c>
      <c r="R199" t="s">
        <v>303</v>
      </c>
      <c r="S199" t="s">
        <v>303</v>
      </c>
      <c r="T199" t="s">
        <v>124</v>
      </c>
      <c r="U199" t="s">
        <v>119</v>
      </c>
      <c r="V199" t="s">
        <v>1308</v>
      </c>
      <c r="W199" t="s">
        <v>156</v>
      </c>
      <c r="AA199">
        <v>0.5</v>
      </c>
      <c r="AB199" t="s">
        <v>100</v>
      </c>
      <c r="AC199" t="s">
        <v>304</v>
      </c>
      <c r="AE199" t="str">
        <f t="shared" si="3"/>
        <v>Connolly</v>
      </c>
      <c r="AF199">
        <v>0</v>
      </c>
      <c r="AG199">
        <v>0</v>
      </c>
      <c r="AH199">
        <v>1</v>
      </c>
      <c r="AI199">
        <v>0</v>
      </c>
      <c r="AJ199">
        <v>0</v>
      </c>
    </row>
    <row r="200" spans="2:38" ht="15" customHeight="1" x14ac:dyDescent="0.2">
      <c r="B200" t="s">
        <v>300</v>
      </c>
      <c r="D200">
        <v>4</v>
      </c>
      <c r="E200" t="s">
        <v>301</v>
      </c>
      <c r="F200" t="s">
        <v>268</v>
      </c>
      <c r="G200" s="15">
        <v>42573</v>
      </c>
      <c r="H200" t="s">
        <v>144</v>
      </c>
      <c r="I200" t="s">
        <v>269</v>
      </c>
      <c r="J200" t="s">
        <v>270</v>
      </c>
      <c r="K200">
        <v>6</v>
      </c>
      <c r="L200" t="s">
        <v>302</v>
      </c>
      <c r="M200" t="s">
        <v>271</v>
      </c>
      <c r="N200" t="s">
        <v>114</v>
      </c>
      <c r="O200">
        <v>70.599999999999994</v>
      </c>
      <c r="P200">
        <v>130</v>
      </c>
      <c r="Q200">
        <v>6111</v>
      </c>
      <c r="R200" t="s">
        <v>303</v>
      </c>
      <c r="S200" t="s">
        <v>303</v>
      </c>
      <c r="T200" t="s">
        <v>124</v>
      </c>
      <c r="U200" t="s">
        <v>119</v>
      </c>
      <c r="V200" t="s">
        <v>120</v>
      </c>
      <c r="W200" t="s">
        <v>156</v>
      </c>
      <c r="AA200">
        <v>0.5</v>
      </c>
      <c r="AB200" t="s">
        <v>100</v>
      </c>
      <c r="AC200" t="s">
        <v>304</v>
      </c>
      <c r="AE200" t="str">
        <f t="shared" si="3"/>
        <v>Hickerson</v>
      </c>
      <c r="AF200">
        <v>0</v>
      </c>
      <c r="AG200">
        <v>0</v>
      </c>
      <c r="AH200">
        <v>1</v>
      </c>
      <c r="AI200">
        <v>0</v>
      </c>
      <c r="AJ200">
        <v>0</v>
      </c>
    </row>
    <row r="201" spans="2:38" ht="15" customHeight="1" x14ac:dyDescent="0.2">
      <c r="B201" t="s">
        <v>300</v>
      </c>
      <c r="D201">
        <v>4</v>
      </c>
      <c r="E201" t="s">
        <v>301</v>
      </c>
      <c r="F201" t="s">
        <v>268</v>
      </c>
      <c r="G201" s="15">
        <v>42573</v>
      </c>
      <c r="H201" t="s">
        <v>144</v>
      </c>
      <c r="I201" t="s">
        <v>269</v>
      </c>
      <c r="J201" t="s">
        <v>270</v>
      </c>
      <c r="K201">
        <v>6</v>
      </c>
      <c r="L201" t="s">
        <v>302</v>
      </c>
      <c r="M201" t="s">
        <v>271</v>
      </c>
      <c r="N201" t="s">
        <v>114</v>
      </c>
      <c r="O201">
        <v>70.599999999999994</v>
      </c>
      <c r="P201">
        <v>130</v>
      </c>
      <c r="Q201">
        <v>6111</v>
      </c>
      <c r="R201" t="s">
        <v>303</v>
      </c>
      <c r="S201" t="s">
        <v>303</v>
      </c>
      <c r="T201" t="s">
        <v>124</v>
      </c>
      <c r="U201" t="s">
        <v>119</v>
      </c>
      <c r="V201" t="s">
        <v>231</v>
      </c>
      <c r="W201" t="s">
        <v>156</v>
      </c>
      <c r="AA201">
        <v>0.5</v>
      </c>
      <c r="AB201" t="s">
        <v>100</v>
      </c>
      <c r="AC201" t="s">
        <v>304</v>
      </c>
      <c r="AE201" t="str">
        <f t="shared" si="3"/>
        <v>McInerney</v>
      </c>
      <c r="AF201">
        <v>0</v>
      </c>
      <c r="AG201">
        <v>0</v>
      </c>
      <c r="AH201">
        <v>1</v>
      </c>
      <c r="AI201">
        <v>0</v>
      </c>
      <c r="AJ201">
        <v>0</v>
      </c>
    </row>
    <row r="202" spans="2:38" ht="15" customHeight="1" x14ac:dyDescent="0.2">
      <c r="B202" t="s">
        <v>300</v>
      </c>
      <c r="D202">
        <v>4</v>
      </c>
      <c r="E202" t="s">
        <v>301</v>
      </c>
      <c r="F202" t="s">
        <v>268</v>
      </c>
      <c r="G202" s="15">
        <v>42573</v>
      </c>
      <c r="H202" t="s">
        <v>144</v>
      </c>
      <c r="I202" t="s">
        <v>269</v>
      </c>
      <c r="J202" t="s">
        <v>270</v>
      </c>
      <c r="K202">
        <v>6</v>
      </c>
      <c r="L202" t="s">
        <v>302</v>
      </c>
      <c r="M202" t="s">
        <v>271</v>
      </c>
      <c r="N202" t="s">
        <v>114</v>
      </c>
      <c r="O202">
        <v>70.599999999999994</v>
      </c>
      <c r="P202">
        <v>130</v>
      </c>
      <c r="Q202">
        <v>6111</v>
      </c>
      <c r="R202" t="s">
        <v>303</v>
      </c>
      <c r="S202" t="s">
        <v>303</v>
      </c>
      <c r="T202" t="s">
        <v>124</v>
      </c>
      <c r="U202" t="s">
        <v>119</v>
      </c>
      <c r="V202" t="s">
        <v>123</v>
      </c>
      <c r="W202" t="s">
        <v>156</v>
      </c>
      <c r="AA202">
        <v>0.5</v>
      </c>
      <c r="AB202" t="s">
        <v>100</v>
      </c>
      <c r="AC202" t="s">
        <v>304</v>
      </c>
      <c r="AE202" t="str">
        <f t="shared" si="3"/>
        <v>Lynch</v>
      </c>
      <c r="AF202">
        <v>0</v>
      </c>
      <c r="AG202">
        <v>0</v>
      </c>
      <c r="AH202">
        <v>1</v>
      </c>
      <c r="AI202">
        <v>0</v>
      </c>
      <c r="AJ202">
        <v>0</v>
      </c>
    </row>
    <row r="203" spans="2:38" ht="15" customHeight="1" x14ac:dyDescent="0.2">
      <c r="B203" t="s">
        <v>300</v>
      </c>
      <c r="D203">
        <v>4</v>
      </c>
      <c r="E203" t="s">
        <v>301</v>
      </c>
      <c r="F203" t="s">
        <v>268</v>
      </c>
      <c r="G203" s="15">
        <v>42573</v>
      </c>
      <c r="H203" t="s">
        <v>144</v>
      </c>
      <c r="I203" t="s">
        <v>269</v>
      </c>
      <c r="J203" t="s">
        <v>270</v>
      </c>
      <c r="K203">
        <v>6</v>
      </c>
      <c r="L203" t="s">
        <v>302</v>
      </c>
      <c r="M203" t="s">
        <v>271</v>
      </c>
      <c r="N203" t="s">
        <v>114</v>
      </c>
      <c r="O203">
        <v>70.599999999999994</v>
      </c>
      <c r="P203">
        <v>130</v>
      </c>
      <c r="Q203">
        <v>6111</v>
      </c>
      <c r="R203" t="s">
        <v>303</v>
      </c>
      <c r="S203" t="s">
        <v>303</v>
      </c>
      <c r="T203" t="s">
        <v>124</v>
      </c>
      <c r="U203" t="s">
        <v>119</v>
      </c>
      <c r="V203" t="s">
        <v>172</v>
      </c>
      <c r="W203" t="s">
        <v>156</v>
      </c>
      <c r="AA203">
        <v>0.5</v>
      </c>
      <c r="AB203" t="s">
        <v>100</v>
      </c>
      <c r="AC203" t="s">
        <v>304</v>
      </c>
      <c r="AE203" t="str">
        <f t="shared" si="3"/>
        <v>Fogan</v>
      </c>
      <c r="AF203">
        <v>0</v>
      </c>
      <c r="AG203">
        <v>0</v>
      </c>
      <c r="AH203">
        <v>1</v>
      </c>
      <c r="AI203">
        <v>0</v>
      </c>
      <c r="AJ203">
        <v>0</v>
      </c>
    </row>
    <row r="204" spans="2:38" ht="15" customHeight="1" x14ac:dyDescent="0.2">
      <c r="B204" t="s">
        <v>300</v>
      </c>
      <c r="D204">
        <v>4</v>
      </c>
      <c r="E204" t="s">
        <v>301</v>
      </c>
      <c r="F204" t="s">
        <v>268</v>
      </c>
      <c r="G204" s="15">
        <v>42573</v>
      </c>
      <c r="H204" t="s">
        <v>144</v>
      </c>
      <c r="I204" t="s">
        <v>269</v>
      </c>
      <c r="J204" t="s">
        <v>270</v>
      </c>
      <c r="K204">
        <v>6</v>
      </c>
      <c r="L204" t="s">
        <v>302</v>
      </c>
      <c r="M204" t="s">
        <v>271</v>
      </c>
      <c r="N204" t="s">
        <v>114</v>
      </c>
      <c r="O204">
        <v>70.599999999999994</v>
      </c>
      <c r="P204">
        <v>130</v>
      </c>
      <c r="Q204">
        <v>6111</v>
      </c>
      <c r="R204" t="s">
        <v>303</v>
      </c>
      <c r="S204" t="s">
        <v>303</v>
      </c>
      <c r="T204" t="s">
        <v>124</v>
      </c>
      <c r="U204" t="s">
        <v>119</v>
      </c>
      <c r="V204" t="s">
        <v>135</v>
      </c>
      <c r="W204" t="s">
        <v>156</v>
      </c>
      <c r="AA204">
        <v>0.5</v>
      </c>
      <c r="AB204" t="s">
        <v>100</v>
      </c>
      <c r="AC204" t="s">
        <v>304</v>
      </c>
      <c r="AE204" t="str">
        <f t="shared" si="3"/>
        <v>Shively</v>
      </c>
      <c r="AF204">
        <v>0</v>
      </c>
      <c r="AG204">
        <v>0</v>
      </c>
      <c r="AH204">
        <v>1</v>
      </c>
      <c r="AI204">
        <v>0</v>
      </c>
      <c r="AJ204">
        <v>0</v>
      </c>
    </row>
    <row r="205" spans="2:38" ht="15" customHeight="1" x14ac:dyDescent="0.2">
      <c r="B205" t="s">
        <v>300</v>
      </c>
      <c r="D205">
        <v>4</v>
      </c>
      <c r="E205" t="s">
        <v>301</v>
      </c>
      <c r="F205" t="s">
        <v>268</v>
      </c>
      <c r="G205" s="15">
        <v>42573</v>
      </c>
      <c r="H205" t="s">
        <v>144</v>
      </c>
      <c r="I205" t="s">
        <v>269</v>
      </c>
      <c r="J205" t="s">
        <v>270</v>
      </c>
      <c r="K205">
        <v>6</v>
      </c>
      <c r="L205" t="s">
        <v>302</v>
      </c>
      <c r="M205" t="s">
        <v>271</v>
      </c>
      <c r="N205" t="s">
        <v>114</v>
      </c>
      <c r="O205">
        <v>70.599999999999994</v>
      </c>
      <c r="P205">
        <v>130</v>
      </c>
      <c r="Q205">
        <v>6111</v>
      </c>
      <c r="R205" t="s">
        <v>303</v>
      </c>
      <c r="S205" t="s">
        <v>303</v>
      </c>
      <c r="T205" t="s">
        <v>124</v>
      </c>
      <c r="U205" t="s">
        <v>119</v>
      </c>
      <c r="V205" t="s">
        <v>693</v>
      </c>
      <c r="W205" t="s">
        <v>156</v>
      </c>
      <c r="AA205">
        <v>0.5</v>
      </c>
      <c r="AB205" t="s">
        <v>100</v>
      </c>
      <c r="AC205" t="s">
        <v>304</v>
      </c>
      <c r="AE205" t="str">
        <f t="shared" si="3"/>
        <v>Bussiculo</v>
      </c>
      <c r="AF205">
        <v>0</v>
      </c>
      <c r="AG205">
        <v>0</v>
      </c>
      <c r="AH205">
        <v>1</v>
      </c>
      <c r="AI205">
        <v>0</v>
      </c>
      <c r="AJ205">
        <v>0</v>
      </c>
    </row>
    <row r="206" spans="2:38" ht="15" customHeight="1" x14ac:dyDescent="0.2">
      <c r="B206">
        <v>21</v>
      </c>
      <c r="C206">
        <v>1</v>
      </c>
      <c r="D206">
        <v>4</v>
      </c>
      <c r="E206" t="s">
        <v>305</v>
      </c>
      <c r="F206" t="s">
        <v>108</v>
      </c>
      <c r="G206" s="15">
        <v>42574</v>
      </c>
      <c r="H206" t="s">
        <v>109</v>
      </c>
      <c r="I206" t="s">
        <v>269</v>
      </c>
      <c r="J206" t="s">
        <v>270</v>
      </c>
      <c r="K206">
        <v>18</v>
      </c>
      <c r="L206" t="s">
        <v>154</v>
      </c>
      <c r="M206" t="s">
        <v>306</v>
      </c>
      <c r="N206" t="s">
        <v>306</v>
      </c>
      <c r="O206">
        <v>72.3</v>
      </c>
      <c r="P206">
        <v>132</v>
      </c>
      <c r="Q206">
        <v>6517</v>
      </c>
      <c r="R206" t="s">
        <v>157</v>
      </c>
      <c r="S206" t="s">
        <v>158</v>
      </c>
      <c r="T206" t="s">
        <v>117</v>
      </c>
      <c r="U206" t="s">
        <v>133</v>
      </c>
      <c r="V206" t="s">
        <v>226</v>
      </c>
      <c r="W206" t="s">
        <v>114</v>
      </c>
      <c r="AA206">
        <v>2</v>
      </c>
      <c r="AB206" t="s">
        <v>99</v>
      </c>
      <c r="AC206" t="s">
        <v>225</v>
      </c>
      <c r="AD206" t="s">
        <v>1308</v>
      </c>
      <c r="AE206" t="str">
        <f t="shared" si="3"/>
        <v>Gray</v>
      </c>
      <c r="AF206">
        <v>2</v>
      </c>
      <c r="AG206">
        <v>1</v>
      </c>
      <c r="AH206">
        <v>0</v>
      </c>
      <c r="AI206">
        <v>0</v>
      </c>
      <c r="AJ206">
        <v>1</v>
      </c>
      <c r="AK206" t="s">
        <v>1308</v>
      </c>
      <c r="AL206">
        <v>0.59375</v>
      </c>
    </row>
    <row r="207" spans="2:38" ht="15" customHeight="1" x14ac:dyDescent="0.2">
      <c r="B207">
        <v>21</v>
      </c>
      <c r="C207">
        <v>2</v>
      </c>
      <c r="D207">
        <v>4</v>
      </c>
      <c r="E207" t="s">
        <v>307</v>
      </c>
      <c r="F207" t="s">
        <v>108</v>
      </c>
      <c r="G207" s="15">
        <v>42574</v>
      </c>
      <c r="H207" t="s">
        <v>109</v>
      </c>
      <c r="I207" t="s">
        <v>269</v>
      </c>
      <c r="J207" t="s">
        <v>270</v>
      </c>
      <c r="K207">
        <v>18</v>
      </c>
      <c r="L207" t="s">
        <v>154</v>
      </c>
      <c r="M207" t="s">
        <v>306</v>
      </c>
      <c r="N207" t="s">
        <v>306</v>
      </c>
      <c r="O207">
        <v>72.3</v>
      </c>
      <c r="P207">
        <v>132</v>
      </c>
      <c r="Q207">
        <v>6517</v>
      </c>
      <c r="R207" t="s">
        <v>157</v>
      </c>
      <c r="S207" t="s">
        <v>158</v>
      </c>
      <c r="T207" t="s">
        <v>117</v>
      </c>
      <c r="U207" t="s">
        <v>133</v>
      </c>
      <c r="V207" t="s">
        <v>132</v>
      </c>
      <c r="W207" t="s">
        <v>114</v>
      </c>
      <c r="AA207">
        <v>2</v>
      </c>
      <c r="AB207" t="s">
        <v>99</v>
      </c>
      <c r="AC207" t="s">
        <v>225</v>
      </c>
      <c r="AD207" t="s">
        <v>272</v>
      </c>
      <c r="AE207" t="str">
        <f t="shared" si="3"/>
        <v>Flanders</v>
      </c>
      <c r="AF207">
        <v>2</v>
      </c>
      <c r="AG207">
        <v>1</v>
      </c>
      <c r="AH207">
        <v>0</v>
      </c>
      <c r="AI207">
        <v>0</v>
      </c>
      <c r="AJ207">
        <v>1</v>
      </c>
      <c r="AK207" t="s">
        <v>272</v>
      </c>
      <c r="AL207">
        <v>0.51041666666666696</v>
      </c>
    </row>
    <row r="208" spans="2:38" ht="15" customHeight="1" x14ac:dyDescent="0.2">
      <c r="B208">
        <v>22</v>
      </c>
      <c r="C208">
        <v>3</v>
      </c>
      <c r="D208">
        <v>4</v>
      </c>
      <c r="E208" t="s">
        <v>308</v>
      </c>
      <c r="F208" t="s">
        <v>108</v>
      </c>
      <c r="G208" s="15">
        <v>42574</v>
      </c>
      <c r="H208" t="s">
        <v>109</v>
      </c>
      <c r="I208" t="s">
        <v>269</v>
      </c>
      <c r="J208" t="s">
        <v>270</v>
      </c>
      <c r="K208">
        <v>18</v>
      </c>
      <c r="L208" t="s">
        <v>154</v>
      </c>
      <c r="M208" t="s">
        <v>306</v>
      </c>
      <c r="N208" t="s">
        <v>306</v>
      </c>
      <c r="O208">
        <v>72.3</v>
      </c>
      <c r="P208">
        <v>132</v>
      </c>
      <c r="Q208">
        <v>6517</v>
      </c>
      <c r="R208" t="s">
        <v>157</v>
      </c>
      <c r="S208" t="s">
        <v>158</v>
      </c>
      <c r="T208" t="s">
        <v>117</v>
      </c>
      <c r="U208" t="s">
        <v>133</v>
      </c>
      <c r="V208" t="s">
        <v>175</v>
      </c>
      <c r="W208" t="s">
        <v>114</v>
      </c>
      <c r="AA208">
        <v>2</v>
      </c>
      <c r="AB208" t="s">
        <v>100</v>
      </c>
      <c r="AC208" t="s">
        <v>309</v>
      </c>
      <c r="AD208" t="s">
        <v>119</v>
      </c>
      <c r="AE208" t="str">
        <f t="shared" si="3"/>
        <v>Weisberger</v>
      </c>
      <c r="AF208">
        <v>0</v>
      </c>
      <c r="AG208">
        <v>0</v>
      </c>
      <c r="AH208">
        <v>1</v>
      </c>
      <c r="AI208">
        <v>0</v>
      </c>
      <c r="AJ208">
        <v>0</v>
      </c>
      <c r="AK208" t="s">
        <v>119</v>
      </c>
      <c r="AL208">
        <v>0.546875</v>
      </c>
    </row>
    <row r="209" spans="2:38" ht="15" customHeight="1" x14ac:dyDescent="0.2">
      <c r="B209">
        <v>22</v>
      </c>
      <c r="C209">
        <v>4</v>
      </c>
      <c r="D209">
        <v>4</v>
      </c>
      <c r="E209" t="s">
        <v>310</v>
      </c>
      <c r="F209" t="s">
        <v>108</v>
      </c>
      <c r="G209" s="15">
        <v>42574</v>
      </c>
      <c r="H209" t="s">
        <v>109</v>
      </c>
      <c r="I209" t="s">
        <v>269</v>
      </c>
      <c r="J209" t="s">
        <v>270</v>
      </c>
      <c r="K209">
        <v>18</v>
      </c>
      <c r="L209" t="s">
        <v>154</v>
      </c>
      <c r="M209" t="s">
        <v>306</v>
      </c>
      <c r="N209" t="s">
        <v>306</v>
      </c>
      <c r="O209">
        <v>72.3</v>
      </c>
      <c r="P209">
        <v>132</v>
      </c>
      <c r="Q209">
        <v>6517</v>
      </c>
      <c r="R209" t="s">
        <v>157</v>
      </c>
      <c r="S209" t="s">
        <v>158</v>
      </c>
      <c r="T209" t="s">
        <v>117</v>
      </c>
      <c r="U209" t="s">
        <v>133</v>
      </c>
      <c r="V209" t="s">
        <v>179</v>
      </c>
      <c r="W209" t="s">
        <v>114</v>
      </c>
      <c r="AA209">
        <v>2</v>
      </c>
      <c r="AB209" t="s">
        <v>100</v>
      </c>
      <c r="AC209" t="s">
        <v>288</v>
      </c>
      <c r="AD209" t="s">
        <v>123</v>
      </c>
      <c r="AE209" t="str">
        <f t="shared" si="3"/>
        <v>Cole</v>
      </c>
      <c r="AF209">
        <v>0</v>
      </c>
      <c r="AG209">
        <v>0</v>
      </c>
      <c r="AH209">
        <v>1</v>
      </c>
      <c r="AI209">
        <v>0</v>
      </c>
      <c r="AJ209">
        <v>0</v>
      </c>
      <c r="AK209" t="s">
        <v>123</v>
      </c>
      <c r="AL209">
        <v>0.5546875</v>
      </c>
    </row>
    <row r="210" spans="2:38" ht="15" customHeight="1" x14ac:dyDescent="0.2">
      <c r="B210">
        <v>23</v>
      </c>
      <c r="C210">
        <v>5</v>
      </c>
      <c r="D210">
        <v>4</v>
      </c>
      <c r="E210" t="s">
        <v>311</v>
      </c>
      <c r="F210" t="s">
        <v>108</v>
      </c>
      <c r="G210" s="15">
        <v>42574</v>
      </c>
      <c r="H210" t="s">
        <v>109</v>
      </c>
      <c r="I210" t="s">
        <v>269</v>
      </c>
      <c r="J210" t="s">
        <v>270</v>
      </c>
      <c r="K210">
        <v>18</v>
      </c>
      <c r="L210" t="s">
        <v>154</v>
      </c>
      <c r="M210" t="s">
        <v>306</v>
      </c>
      <c r="N210" t="s">
        <v>306</v>
      </c>
      <c r="O210">
        <v>72.3</v>
      </c>
      <c r="P210">
        <v>132</v>
      </c>
      <c r="Q210">
        <v>6517</v>
      </c>
      <c r="R210" t="s">
        <v>157</v>
      </c>
      <c r="S210" t="s">
        <v>158</v>
      </c>
      <c r="T210" t="s">
        <v>117</v>
      </c>
      <c r="U210" t="s">
        <v>133</v>
      </c>
      <c r="V210" t="s">
        <v>127</v>
      </c>
      <c r="W210" t="s">
        <v>114</v>
      </c>
      <c r="AA210">
        <v>2</v>
      </c>
      <c r="AB210" t="s">
        <v>100</v>
      </c>
      <c r="AC210" t="s">
        <v>239</v>
      </c>
      <c r="AD210" t="s">
        <v>231</v>
      </c>
      <c r="AE210" t="str">
        <f t="shared" si="3"/>
        <v>Ferrin</v>
      </c>
      <c r="AF210">
        <v>0</v>
      </c>
      <c r="AG210">
        <v>0</v>
      </c>
      <c r="AH210">
        <v>1</v>
      </c>
      <c r="AI210">
        <v>0</v>
      </c>
      <c r="AJ210">
        <v>0</v>
      </c>
      <c r="AK210" t="s">
        <v>231</v>
      </c>
      <c r="AL210">
        <v>0.5</v>
      </c>
    </row>
    <row r="211" spans="2:38" ht="15" customHeight="1" x14ac:dyDescent="0.2">
      <c r="B211">
        <v>23</v>
      </c>
      <c r="C211">
        <v>6</v>
      </c>
      <c r="D211">
        <v>4</v>
      </c>
      <c r="E211" t="s">
        <v>312</v>
      </c>
      <c r="F211" t="s">
        <v>108</v>
      </c>
      <c r="G211" s="15">
        <v>42574</v>
      </c>
      <c r="H211" t="s">
        <v>109</v>
      </c>
      <c r="I211" t="s">
        <v>269</v>
      </c>
      <c r="J211" t="s">
        <v>270</v>
      </c>
      <c r="K211">
        <v>18</v>
      </c>
      <c r="L211" t="s">
        <v>154</v>
      </c>
      <c r="M211" t="s">
        <v>306</v>
      </c>
      <c r="N211" t="s">
        <v>306</v>
      </c>
      <c r="O211">
        <v>72.3</v>
      </c>
      <c r="P211">
        <v>132</v>
      </c>
      <c r="Q211">
        <v>6517</v>
      </c>
      <c r="R211" t="s">
        <v>157</v>
      </c>
      <c r="S211" t="s">
        <v>158</v>
      </c>
      <c r="T211" t="s">
        <v>117</v>
      </c>
      <c r="U211" t="s">
        <v>133</v>
      </c>
      <c r="V211" t="s">
        <v>133</v>
      </c>
      <c r="W211" t="s">
        <v>114</v>
      </c>
      <c r="AA211">
        <v>2</v>
      </c>
      <c r="AB211" t="s">
        <v>100</v>
      </c>
      <c r="AC211" t="s">
        <v>313</v>
      </c>
      <c r="AD211" t="s">
        <v>227</v>
      </c>
      <c r="AE211" t="str">
        <f t="shared" si="3"/>
        <v>Mangold</v>
      </c>
      <c r="AF211">
        <v>0</v>
      </c>
      <c r="AG211">
        <v>0</v>
      </c>
      <c r="AH211">
        <v>1</v>
      </c>
      <c r="AI211">
        <v>0</v>
      </c>
      <c r="AJ211">
        <v>0</v>
      </c>
      <c r="AK211" t="s">
        <v>227</v>
      </c>
      <c r="AL211">
        <v>0.5</v>
      </c>
    </row>
    <row r="212" spans="2:38" ht="15" customHeight="1" x14ac:dyDescent="0.2">
      <c r="B212">
        <v>24</v>
      </c>
      <c r="C212">
        <v>7</v>
      </c>
      <c r="D212">
        <v>4</v>
      </c>
      <c r="E212" t="s">
        <v>314</v>
      </c>
      <c r="F212" t="s">
        <v>108</v>
      </c>
      <c r="G212" s="15">
        <v>42574</v>
      </c>
      <c r="H212" t="s">
        <v>109</v>
      </c>
      <c r="I212" t="s">
        <v>269</v>
      </c>
      <c r="J212" t="s">
        <v>270</v>
      </c>
      <c r="K212">
        <v>18</v>
      </c>
      <c r="L212" t="s">
        <v>154</v>
      </c>
      <c r="M212" t="s">
        <v>306</v>
      </c>
      <c r="N212" t="s">
        <v>306</v>
      </c>
      <c r="O212">
        <v>72.3</v>
      </c>
      <c r="P212">
        <v>132</v>
      </c>
      <c r="Q212">
        <v>6517</v>
      </c>
      <c r="R212" t="s">
        <v>157</v>
      </c>
      <c r="S212" t="s">
        <v>158</v>
      </c>
      <c r="T212" t="s">
        <v>117</v>
      </c>
      <c r="U212" t="s">
        <v>133</v>
      </c>
      <c r="V212" t="s">
        <v>176</v>
      </c>
      <c r="W212" t="s">
        <v>114</v>
      </c>
      <c r="AA212">
        <v>2</v>
      </c>
      <c r="AB212" t="s">
        <v>99</v>
      </c>
      <c r="AC212" t="s">
        <v>313</v>
      </c>
      <c r="AD212" t="s">
        <v>135</v>
      </c>
      <c r="AE212" t="str">
        <f t="shared" si="3"/>
        <v>Forster</v>
      </c>
      <c r="AF212">
        <v>2</v>
      </c>
      <c r="AG212">
        <v>1</v>
      </c>
      <c r="AH212">
        <v>0</v>
      </c>
      <c r="AI212">
        <v>0</v>
      </c>
      <c r="AJ212">
        <v>1</v>
      </c>
      <c r="AK212" t="s">
        <v>135</v>
      </c>
    </row>
    <row r="213" spans="2:38" ht="15" customHeight="1" x14ac:dyDescent="0.2">
      <c r="B213">
        <v>24</v>
      </c>
      <c r="C213">
        <v>8</v>
      </c>
      <c r="D213">
        <v>4</v>
      </c>
      <c r="E213" t="s">
        <v>1296</v>
      </c>
      <c r="F213" t="s">
        <v>108</v>
      </c>
      <c r="G213" s="15">
        <v>42574</v>
      </c>
      <c r="H213" t="s">
        <v>109</v>
      </c>
      <c r="I213" t="s">
        <v>269</v>
      </c>
      <c r="J213" t="s">
        <v>270</v>
      </c>
      <c r="K213">
        <v>18</v>
      </c>
      <c r="L213" t="s">
        <v>154</v>
      </c>
      <c r="M213" t="s">
        <v>306</v>
      </c>
      <c r="N213" t="s">
        <v>306</v>
      </c>
      <c r="O213">
        <v>72.3</v>
      </c>
      <c r="P213">
        <v>132</v>
      </c>
      <c r="Q213">
        <v>6517</v>
      </c>
      <c r="R213" t="s">
        <v>157</v>
      </c>
      <c r="S213" t="s">
        <v>158</v>
      </c>
      <c r="T213" t="s">
        <v>117</v>
      </c>
      <c r="U213" t="s">
        <v>133</v>
      </c>
      <c r="V213" t="s">
        <v>118</v>
      </c>
      <c r="W213" t="s">
        <v>114</v>
      </c>
      <c r="AA213">
        <v>2</v>
      </c>
      <c r="AB213" t="s">
        <v>100</v>
      </c>
      <c r="AC213" t="s">
        <v>239</v>
      </c>
      <c r="AD213" t="s">
        <v>693</v>
      </c>
      <c r="AE213" t="str">
        <f t="shared" si="3"/>
        <v>Jackson</v>
      </c>
      <c r="AF213">
        <v>0</v>
      </c>
      <c r="AG213">
        <v>0</v>
      </c>
      <c r="AH213">
        <v>1</v>
      </c>
      <c r="AI213">
        <v>0</v>
      </c>
      <c r="AJ213">
        <v>0</v>
      </c>
      <c r="AK213" t="s">
        <v>693</v>
      </c>
      <c r="AL213">
        <v>0.44827586206896602</v>
      </c>
    </row>
    <row r="214" spans="2:38" ht="15" customHeight="1" x14ac:dyDescent="0.2">
      <c r="B214">
        <v>25</v>
      </c>
      <c r="C214">
        <v>9</v>
      </c>
      <c r="D214">
        <v>4</v>
      </c>
      <c r="E214" t="s">
        <v>315</v>
      </c>
      <c r="F214" t="s">
        <v>108</v>
      </c>
      <c r="G214" s="15">
        <v>42574</v>
      </c>
      <c r="H214" t="s">
        <v>109</v>
      </c>
      <c r="I214" t="s">
        <v>269</v>
      </c>
      <c r="J214" t="s">
        <v>270</v>
      </c>
      <c r="K214">
        <v>18</v>
      </c>
      <c r="L214" t="s">
        <v>154</v>
      </c>
      <c r="M214" t="s">
        <v>306</v>
      </c>
      <c r="N214" t="s">
        <v>306</v>
      </c>
      <c r="O214">
        <v>72.3</v>
      </c>
      <c r="P214">
        <v>132</v>
      </c>
      <c r="Q214">
        <v>6517</v>
      </c>
      <c r="R214" t="s">
        <v>157</v>
      </c>
      <c r="S214" t="s">
        <v>158</v>
      </c>
      <c r="T214" t="s">
        <v>117</v>
      </c>
      <c r="U214" t="s">
        <v>133</v>
      </c>
      <c r="V214" t="s">
        <v>178</v>
      </c>
      <c r="W214" t="s">
        <v>114</v>
      </c>
      <c r="AA214">
        <v>2</v>
      </c>
      <c r="AB214" t="s">
        <v>99</v>
      </c>
      <c r="AC214" t="s">
        <v>313</v>
      </c>
      <c r="AD214" t="s">
        <v>120</v>
      </c>
      <c r="AE214" t="str">
        <f t="shared" si="3"/>
        <v>Connors</v>
      </c>
      <c r="AF214">
        <v>2</v>
      </c>
      <c r="AG214">
        <v>1</v>
      </c>
      <c r="AH214">
        <v>0</v>
      </c>
      <c r="AI214">
        <v>0</v>
      </c>
      <c r="AJ214">
        <v>1</v>
      </c>
      <c r="AK214" t="s">
        <v>120</v>
      </c>
      <c r="AL214">
        <v>0.35714285714285698</v>
      </c>
    </row>
    <row r="215" spans="2:38" ht="15" customHeight="1" x14ac:dyDescent="0.2">
      <c r="B215">
        <v>25</v>
      </c>
      <c r="C215">
        <v>10</v>
      </c>
      <c r="D215">
        <v>4</v>
      </c>
      <c r="E215" t="s">
        <v>316</v>
      </c>
      <c r="F215" t="s">
        <v>108</v>
      </c>
      <c r="G215" s="15">
        <v>42574</v>
      </c>
      <c r="H215" t="s">
        <v>109</v>
      </c>
      <c r="I215" t="s">
        <v>269</v>
      </c>
      <c r="J215" t="s">
        <v>270</v>
      </c>
      <c r="K215">
        <v>18</v>
      </c>
      <c r="L215" t="s">
        <v>154</v>
      </c>
      <c r="M215" t="s">
        <v>306</v>
      </c>
      <c r="N215" t="s">
        <v>306</v>
      </c>
      <c r="O215">
        <v>72.3</v>
      </c>
      <c r="P215">
        <v>132</v>
      </c>
      <c r="Q215">
        <v>6517</v>
      </c>
      <c r="R215" t="s">
        <v>157</v>
      </c>
      <c r="S215" t="s">
        <v>158</v>
      </c>
      <c r="T215" t="s">
        <v>117</v>
      </c>
      <c r="U215" t="s">
        <v>133</v>
      </c>
      <c r="V215" t="s">
        <v>230</v>
      </c>
      <c r="W215" t="s">
        <v>114</v>
      </c>
      <c r="AA215">
        <v>2</v>
      </c>
      <c r="AB215" t="s">
        <v>100</v>
      </c>
      <c r="AC215" t="s">
        <v>263</v>
      </c>
      <c r="AD215" t="s">
        <v>172</v>
      </c>
      <c r="AE215" t="str">
        <f t="shared" si="3"/>
        <v>Norat</v>
      </c>
      <c r="AF215">
        <v>0</v>
      </c>
      <c r="AG215">
        <v>0</v>
      </c>
      <c r="AH215">
        <v>1</v>
      </c>
      <c r="AI215">
        <v>0</v>
      </c>
      <c r="AJ215">
        <v>0</v>
      </c>
      <c r="AK215" t="s">
        <v>172</v>
      </c>
      <c r="AL215">
        <v>0.37288135593220301</v>
      </c>
    </row>
    <row r="216" spans="2:38" ht="15" customHeight="1" x14ac:dyDescent="0.2">
      <c r="B216">
        <v>26</v>
      </c>
      <c r="C216">
        <v>1</v>
      </c>
      <c r="D216">
        <v>4</v>
      </c>
      <c r="E216" t="s">
        <v>305</v>
      </c>
      <c r="F216" t="s">
        <v>108</v>
      </c>
      <c r="G216" s="15">
        <v>42574</v>
      </c>
      <c r="H216" t="s">
        <v>109</v>
      </c>
      <c r="I216" t="s">
        <v>269</v>
      </c>
      <c r="J216" t="s">
        <v>270</v>
      </c>
      <c r="K216">
        <v>18</v>
      </c>
      <c r="L216" t="s">
        <v>154</v>
      </c>
      <c r="M216" t="s">
        <v>306</v>
      </c>
      <c r="N216" t="s">
        <v>306</v>
      </c>
      <c r="O216">
        <v>72.3</v>
      </c>
      <c r="P216">
        <v>132</v>
      </c>
      <c r="Q216">
        <v>6517</v>
      </c>
      <c r="R216" t="s">
        <v>157</v>
      </c>
      <c r="S216" t="s">
        <v>158</v>
      </c>
      <c r="T216" t="s">
        <v>124</v>
      </c>
      <c r="U216" t="s">
        <v>119</v>
      </c>
      <c r="V216" t="s">
        <v>1308</v>
      </c>
      <c r="W216" t="s">
        <v>156</v>
      </c>
      <c r="AA216">
        <v>2</v>
      </c>
      <c r="AB216" t="s">
        <v>100</v>
      </c>
      <c r="AC216" t="s">
        <v>225</v>
      </c>
      <c r="AD216" t="s">
        <v>226</v>
      </c>
      <c r="AE216" t="str">
        <f t="shared" si="3"/>
        <v>Connolly</v>
      </c>
      <c r="AF216">
        <v>0</v>
      </c>
      <c r="AG216">
        <v>0</v>
      </c>
      <c r="AH216">
        <v>1</v>
      </c>
      <c r="AI216">
        <v>0</v>
      </c>
      <c r="AJ216">
        <v>0</v>
      </c>
      <c r="AK216" t="s">
        <v>226</v>
      </c>
      <c r="AL216">
        <v>0.65476190476190499</v>
      </c>
    </row>
    <row r="217" spans="2:38" ht="15" customHeight="1" x14ac:dyDescent="0.2">
      <c r="B217">
        <v>26</v>
      </c>
      <c r="C217">
        <v>2</v>
      </c>
      <c r="D217">
        <v>4</v>
      </c>
      <c r="E217" t="s">
        <v>307</v>
      </c>
      <c r="F217" t="s">
        <v>108</v>
      </c>
      <c r="G217" s="15">
        <v>42574</v>
      </c>
      <c r="H217" t="s">
        <v>109</v>
      </c>
      <c r="I217" t="s">
        <v>269</v>
      </c>
      <c r="J217" t="s">
        <v>270</v>
      </c>
      <c r="K217">
        <v>18</v>
      </c>
      <c r="L217" t="s">
        <v>154</v>
      </c>
      <c r="M217" t="s">
        <v>306</v>
      </c>
      <c r="N217" t="s">
        <v>306</v>
      </c>
      <c r="O217">
        <v>72.3</v>
      </c>
      <c r="P217">
        <v>132</v>
      </c>
      <c r="Q217">
        <v>6517</v>
      </c>
      <c r="R217" t="s">
        <v>157</v>
      </c>
      <c r="S217" t="s">
        <v>158</v>
      </c>
      <c r="T217" t="s">
        <v>124</v>
      </c>
      <c r="U217" t="s">
        <v>119</v>
      </c>
      <c r="V217" t="s">
        <v>272</v>
      </c>
      <c r="W217" t="s">
        <v>156</v>
      </c>
      <c r="AA217">
        <v>2</v>
      </c>
      <c r="AB217" t="s">
        <v>100</v>
      </c>
      <c r="AC217" t="s">
        <v>225</v>
      </c>
      <c r="AD217" t="s">
        <v>132</v>
      </c>
      <c r="AE217" t="str">
        <f t="shared" si="3"/>
        <v>Welker</v>
      </c>
      <c r="AF217">
        <v>0</v>
      </c>
      <c r="AG217">
        <v>0</v>
      </c>
      <c r="AH217">
        <v>1</v>
      </c>
      <c r="AI217">
        <v>0</v>
      </c>
      <c r="AJ217">
        <v>0</v>
      </c>
      <c r="AK217" t="s">
        <v>132</v>
      </c>
      <c r="AL217">
        <v>0.4296875</v>
      </c>
    </row>
    <row r="218" spans="2:38" ht="15" customHeight="1" x14ac:dyDescent="0.2">
      <c r="B218">
        <v>27</v>
      </c>
      <c r="C218">
        <v>3</v>
      </c>
      <c r="D218">
        <v>4</v>
      </c>
      <c r="E218" t="s">
        <v>308</v>
      </c>
      <c r="F218" t="s">
        <v>108</v>
      </c>
      <c r="G218" s="15">
        <v>42574</v>
      </c>
      <c r="H218" t="s">
        <v>109</v>
      </c>
      <c r="I218" t="s">
        <v>269</v>
      </c>
      <c r="J218" t="s">
        <v>270</v>
      </c>
      <c r="K218">
        <v>18</v>
      </c>
      <c r="L218" t="s">
        <v>154</v>
      </c>
      <c r="M218" t="s">
        <v>306</v>
      </c>
      <c r="N218" t="s">
        <v>306</v>
      </c>
      <c r="O218">
        <v>72.3</v>
      </c>
      <c r="P218">
        <v>132</v>
      </c>
      <c r="Q218">
        <v>6517</v>
      </c>
      <c r="R218" t="s">
        <v>157</v>
      </c>
      <c r="S218" t="s">
        <v>158</v>
      </c>
      <c r="T218" t="s">
        <v>124</v>
      </c>
      <c r="U218" t="s">
        <v>119</v>
      </c>
      <c r="V218" t="s">
        <v>119</v>
      </c>
      <c r="W218" t="s">
        <v>156</v>
      </c>
      <c r="AA218">
        <v>2</v>
      </c>
      <c r="AB218" t="s">
        <v>99</v>
      </c>
      <c r="AC218" t="s">
        <v>309</v>
      </c>
      <c r="AD218" t="s">
        <v>175</v>
      </c>
      <c r="AE218" t="str">
        <f t="shared" si="3"/>
        <v>Grise</v>
      </c>
      <c r="AF218">
        <v>2</v>
      </c>
      <c r="AG218">
        <v>1</v>
      </c>
      <c r="AH218">
        <v>0</v>
      </c>
      <c r="AI218">
        <v>0</v>
      </c>
      <c r="AJ218">
        <v>1</v>
      </c>
      <c r="AK218" t="s">
        <v>175</v>
      </c>
      <c r="AL218">
        <v>0.5</v>
      </c>
    </row>
    <row r="219" spans="2:38" ht="15" customHeight="1" x14ac:dyDescent="0.2">
      <c r="B219">
        <v>27</v>
      </c>
      <c r="C219">
        <v>4</v>
      </c>
      <c r="D219">
        <v>4</v>
      </c>
      <c r="E219" t="s">
        <v>310</v>
      </c>
      <c r="F219" t="s">
        <v>108</v>
      </c>
      <c r="G219" s="15">
        <v>42574</v>
      </c>
      <c r="H219" t="s">
        <v>109</v>
      </c>
      <c r="I219" t="s">
        <v>269</v>
      </c>
      <c r="J219" t="s">
        <v>270</v>
      </c>
      <c r="K219">
        <v>18</v>
      </c>
      <c r="L219" t="s">
        <v>154</v>
      </c>
      <c r="M219" t="s">
        <v>306</v>
      </c>
      <c r="N219" t="s">
        <v>306</v>
      </c>
      <c r="O219">
        <v>72.3</v>
      </c>
      <c r="P219">
        <v>132</v>
      </c>
      <c r="Q219">
        <v>6517</v>
      </c>
      <c r="R219" t="s">
        <v>157</v>
      </c>
      <c r="S219" t="s">
        <v>158</v>
      </c>
      <c r="T219" t="s">
        <v>124</v>
      </c>
      <c r="U219" t="s">
        <v>119</v>
      </c>
      <c r="V219" t="s">
        <v>123</v>
      </c>
      <c r="W219" t="s">
        <v>156</v>
      </c>
      <c r="AA219">
        <v>2</v>
      </c>
      <c r="AB219" t="s">
        <v>99</v>
      </c>
      <c r="AC219" t="s">
        <v>288</v>
      </c>
      <c r="AD219" t="s">
        <v>179</v>
      </c>
      <c r="AE219" t="str">
        <f t="shared" si="3"/>
        <v>Lynch</v>
      </c>
      <c r="AF219">
        <v>2</v>
      </c>
      <c r="AG219">
        <v>1</v>
      </c>
      <c r="AH219">
        <v>0</v>
      </c>
      <c r="AI219">
        <v>0</v>
      </c>
      <c r="AJ219">
        <v>1</v>
      </c>
      <c r="AK219" t="s">
        <v>179</v>
      </c>
      <c r="AL219">
        <v>0.44067796610169502</v>
      </c>
    </row>
    <row r="220" spans="2:38" ht="15" customHeight="1" x14ac:dyDescent="0.2">
      <c r="B220">
        <v>28</v>
      </c>
      <c r="C220">
        <v>5</v>
      </c>
      <c r="D220">
        <v>4</v>
      </c>
      <c r="E220" t="s">
        <v>311</v>
      </c>
      <c r="F220" t="s">
        <v>108</v>
      </c>
      <c r="G220" s="15">
        <v>42574</v>
      </c>
      <c r="H220" t="s">
        <v>109</v>
      </c>
      <c r="I220" t="s">
        <v>269</v>
      </c>
      <c r="J220" t="s">
        <v>270</v>
      </c>
      <c r="K220">
        <v>18</v>
      </c>
      <c r="L220" t="s">
        <v>154</v>
      </c>
      <c r="M220" t="s">
        <v>306</v>
      </c>
      <c r="N220" t="s">
        <v>306</v>
      </c>
      <c r="O220">
        <v>72.3</v>
      </c>
      <c r="P220">
        <v>132</v>
      </c>
      <c r="Q220">
        <v>6517</v>
      </c>
      <c r="R220" t="s">
        <v>157</v>
      </c>
      <c r="S220" t="s">
        <v>158</v>
      </c>
      <c r="T220" t="s">
        <v>124</v>
      </c>
      <c r="U220" t="s">
        <v>119</v>
      </c>
      <c r="V220" t="s">
        <v>231</v>
      </c>
      <c r="W220" t="s">
        <v>156</v>
      </c>
      <c r="AA220">
        <v>2</v>
      </c>
      <c r="AB220" t="s">
        <v>99</v>
      </c>
      <c r="AC220" t="s">
        <v>239</v>
      </c>
      <c r="AD220" t="s">
        <v>127</v>
      </c>
      <c r="AE220" t="str">
        <f t="shared" si="3"/>
        <v>McInerney</v>
      </c>
      <c r="AF220">
        <v>2</v>
      </c>
      <c r="AG220">
        <v>1</v>
      </c>
      <c r="AH220">
        <v>0</v>
      </c>
      <c r="AI220">
        <v>0</v>
      </c>
      <c r="AJ220">
        <v>1</v>
      </c>
      <c r="AK220" t="s">
        <v>127</v>
      </c>
      <c r="AL220">
        <v>0.59523809523809501</v>
      </c>
    </row>
    <row r="221" spans="2:38" ht="15" customHeight="1" x14ac:dyDescent="0.2">
      <c r="B221">
        <v>28</v>
      </c>
      <c r="C221">
        <v>6</v>
      </c>
      <c r="D221">
        <v>4</v>
      </c>
      <c r="E221" t="s">
        <v>312</v>
      </c>
      <c r="F221" t="s">
        <v>108</v>
      </c>
      <c r="G221" s="15">
        <v>42574</v>
      </c>
      <c r="H221" t="s">
        <v>109</v>
      </c>
      <c r="I221" t="s">
        <v>269</v>
      </c>
      <c r="J221" t="s">
        <v>270</v>
      </c>
      <c r="K221">
        <v>18</v>
      </c>
      <c r="L221" t="s">
        <v>154</v>
      </c>
      <c r="M221" t="s">
        <v>306</v>
      </c>
      <c r="N221" t="s">
        <v>306</v>
      </c>
      <c r="O221">
        <v>72.3</v>
      </c>
      <c r="P221">
        <v>132</v>
      </c>
      <c r="Q221">
        <v>6517</v>
      </c>
      <c r="R221" t="s">
        <v>157</v>
      </c>
      <c r="S221" t="s">
        <v>158</v>
      </c>
      <c r="T221" t="s">
        <v>124</v>
      </c>
      <c r="U221" t="s">
        <v>119</v>
      </c>
      <c r="V221" t="s">
        <v>227</v>
      </c>
      <c r="W221" t="s">
        <v>156</v>
      </c>
      <c r="AA221">
        <v>2</v>
      </c>
      <c r="AB221" t="s">
        <v>99</v>
      </c>
      <c r="AC221" t="s">
        <v>313</v>
      </c>
      <c r="AD221" t="s">
        <v>133</v>
      </c>
      <c r="AE221" t="str">
        <f t="shared" si="3"/>
        <v>Zimmer</v>
      </c>
      <c r="AF221">
        <v>2</v>
      </c>
      <c r="AG221">
        <v>1</v>
      </c>
      <c r="AH221">
        <v>0</v>
      </c>
      <c r="AI221">
        <v>0</v>
      </c>
      <c r="AJ221">
        <v>1</v>
      </c>
      <c r="AK221" t="s">
        <v>133</v>
      </c>
      <c r="AL221">
        <v>0.38392857142857201</v>
      </c>
    </row>
    <row r="222" spans="2:38" ht="15" customHeight="1" x14ac:dyDescent="0.2">
      <c r="B222">
        <v>29</v>
      </c>
      <c r="C222">
        <v>7</v>
      </c>
      <c r="D222">
        <v>4</v>
      </c>
      <c r="E222" t="s">
        <v>314</v>
      </c>
      <c r="F222" t="s">
        <v>108</v>
      </c>
      <c r="G222" s="15">
        <v>42574</v>
      </c>
      <c r="H222" t="s">
        <v>109</v>
      </c>
      <c r="I222" t="s">
        <v>269</v>
      </c>
      <c r="J222" t="s">
        <v>270</v>
      </c>
      <c r="K222">
        <v>18</v>
      </c>
      <c r="L222" t="s">
        <v>154</v>
      </c>
      <c r="M222" t="s">
        <v>306</v>
      </c>
      <c r="N222" t="s">
        <v>306</v>
      </c>
      <c r="O222">
        <v>72.3</v>
      </c>
      <c r="P222">
        <v>132</v>
      </c>
      <c r="Q222">
        <v>6517</v>
      </c>
      <c r="R222" t="s">
        <v>157</v>
      </c>
      <c r="S222" t="s">
        <v>158</v>
      </c>
      <c r="T222" t="s">
        <v>124</v>
      </c>
      <c r="U222" t="s">
        <v>119</v>
      </c>
      <c r="V222" t="s">
        <v>135</v>
      </c>
      <c r="W222" t="s">
        <v>156</v>
      </c>
      <c r="AA222">
        <v>2</v>
      </c>
      <c r="AB222" t="s">
        <v>100</v>
      </c>
      <c r="AC222" t="s">
        <v>313</v>
      </c>
      <c r="AD222" t="s">
        <v>176</v>
      </c>
      <c r="AE222" t="str">
        <f t="shared" si="3"/>
        <v>Shively</v>
      </c>
      <c r="AF222">
        <v>0</v>
      </c>
      <c r="AG222">
        <v>0</v>
      </c>
      <c r="AH222">
        <v>1</v>
      </c>
      <c r="AI222">
        <v>0</v>
      </c>
      <c r="AJ222">
        <v>0</v>
      </c>
      <c r="AK222" t="s">
        <v>176</v>
      </c>
      <c r="AL222">
        <v>0.59649122807017496</v>
      </c>
    </row>
    <row r="223" spans="2:38" ht="15" customHeight="1" x14ac:dyDescent="0.2">
      <c r="B223">
        <v>29</v>
      </c>
      <c r="C223">
        <v>8</v>
      </c>
      <c r="D223">
        <v>4</v>
      </c>
      <c r="E223" t="s">
        <v>1296</v>
      </c>
      <c r="F223" t="s">
        <v>108</v>
      </c>
      <c r="G223" s="15">
        <v>42574</v>
      </c>
      <c r="H223" t="s">
        <v>109</v>
      </c>
      <c r="I223" t="s">
        <v>269</v>
      </c>
      <c r="J223" t="s">
        <v>270</v>
      </c>
      <c r="K223">
        <v>18</v>
      </c>
      <c r="L223" t="s">
        <v>154</v>
      </c>
      <c r="M223" t="s">
        <v>306</v>
      </c>
      <c r="N223" t="s">
        <v>306</v>
      </c>
      <c r="O223">
        <v>72.3</v>
      </c>
      <c r="P223">
        <v>132</v>
      </c>
      <c r="Q223">
        <v>6517</v>
      </c>
      <c r="R223" t="s">
        <v>157</v>
      </c>
      <c r="S223" t="s">
        <v>158</v>
      </c>
      <c r="T223" t="s">
        <v>124</v>
      </c>
      <c r="U223" t="s">
        <v>119</v>
      </c>
      <c r="V223" t="s">
        <v>693</v>
      </c>
      <c r="W223" t="s">
        <v>156</v>
      </c>
      <c r="AA223">
        <v>2</v>
      </c>
      <c r="AB223" t="s">
        <v>99</v>
      </c>
      <c r="AC223" t="s">
        <v>239</v>
      </c>
      <c r="AD223" t="s">
        <v>118</v>
      </c>
      <c r="AE223" t="str">
        <f t="shared" si="3"/>
        <v>Bussiculo</v>
      </c>
      <c r="AF223">
        <v>2</v>
      </c>
      <c r="AG223">
        <v>1</v>
      </c>
      <c r="AH223">
        <v>0</v>
      </c>
      <c r="AI223">
        <v>0</v>
      </c>
      <c r="AJ223">
        <v>1</v>
      </c>
      <c r="AK223" t="s">
        <v>118</v>
      </c>
      <c r="AL223">
        <v>0.6171875</v>
      </c>
    </row>
    <row r="224" spans="2:38" ht="15" customHeight="1" x14ac:dyDescent="0.2">
      <c r="B224">
        <v>30</v>
      </c>
      <c r="C224">
        <v>9</v>
      </c>
      <c r="D224">
        <v>4</v>
      </c>
      <c r="E224" t="s">
        <v>315</v>
      </c>
      <c r="F224" t="s">
        <v>108</v>
      </c>
      <c r="G224" s="15">
        <v>42574</v>
      </c>
      <c r="H224" t="s">
        <v>109</v>
      </c>
      <c r="I224" t="s">
        <v>269</v>
      </c>
      <c r="J224" t="s">
        <v>270</v>
      </c>
      <c r="K224">
        <v>18</v>
      </c>
      <c r="L224" t="s">
        <v>154</v>
      </c>
      <c r="M224" t="s">
        <v>306</v>
      </c>
      <c r="N224" t="s">
        <v>306</v>
      </c>
      <c r="O224">
        <v>72.3</v>
      </c>
      <c r="P224">
        <v>132</v>
      </c>
      <c r="Q224">
        <v>6517</v>
      </c>
      <c r="R224" t="s">
        <v>157</v>
      </c>
      <c r="S224" t="s">
        <v>158</v>
      </c>
      <c r="T224" t="s">
        <v>124</v>
      </c>
      <c r="U224" t="s">
        <v>119</v>
      </c>
      <c r="V224" t="s">
        <v>120</v>
      </c>
      <c r="W224" t="s">
        <v>156</v>
      </c>
      <c r="AA224">
        <v>2</v>
      </c>
      <c r="AB224" t="s">
        <v>100</v>
      </c>
      <c r="AC224" t="s">
        <v>313</v>
      </c>
      <c r="AD224" t="s">
        <v>178</v>
      </c>
      <c r="AE224" t="str">
        <f t="shared" si="3"/>
        <v>Hickerson</v>
      </c>
      <c r="AF224">
        <v>0</v>
      </c>
      <c r="AG224">
        <v>0</v>
      </c>
      <c r="AH224">
        <v>1</v>
      </c>
      <c r="AI224">
        <v>0</v>
      </c>
      <c r="AJ224">
        <v>0</v>
      </c>
      <c r="AK224" t="s">
        <v>178</v>
      </c>
      <c r="AL224">
        <v>0.34745762711864397</v>
      </c>
    </row>
    <row r="225" spans="2:40" ht="15" customHeight="1" x14ac:dyDescent="0.2">
      <c r="B225">
        <v>30</v>
      </c>
      <c r="C225">
        <v>10</v>
      </c>
      <c r="D225">
        <v>4</v>
      </c>
      <c r="E225" t="s">
        <v>316</v>
      </c>
      <c r="F225" t="s">
        <v>108</v>
      </c>
      <c r="G225" s="15">
        <v>42574</v>
      </c>
      <c r="H225" t="s">
        <v>109</v>
      </c>
      <c r="I225" t="s">
        <v>269</v>
      </c>
      <c r="J225" t="s">
        <v>270</v>
      </c>
      <c r="K225">
        <v>18</v>
      </c>
      <c r="L225" t="s">
        <v>154</v>
      </c>
      <c r="M225" t="s">
        <v>306</v>
      </c>
      <c r="N225" t="s">
        <v>306</v>
      </c>
      <c r="O225">
        <v>72.3</v>
      </c>
      <c r="P225">
        <v>132</v>
      </c>
      <c r="Q225">
        <v>6517</v>
      </c>
      <c r="R225" t="s">
        <v>157</v>
      </c>
      <c r="S225" t="s">
        <v>158</v>
      </c>
      <c r="T225" t="s">
        <v>124</v>
      </c>
      <c r="U225" t="s">
        <v>119</v>
      </c>
      <c r="V225" t="s">
        <v>172</v>
      </c>
      <c r="W225" t="s">
        <v>156</v>
      </c>
      <c r="AA225">
        <v>2</v>
      </c>
      <c r="AB225" t="s">
        <v>99</v>
      </c>
      <c r="AC225" t="s">
        <v>263</v>
      </c>
      <c r="AD225" t="s">
        <v>230</v>
      </c>
      <c r="AE225" t="str">
        <f t="shared" si="3"/>
        <v>Fogan</v>
      </c>
      <c r="AF225">
        <v>2</v>
      </c>
      <c r="AG225">
        <v>1</v>
      </c>
      <c r="AH225">
        <v>0</v>
      </c>
      <c r="AI225">
        <v>0</v>
      </c>
      <c r="AJ225">
        <v>1</v>
      </c>
      <c r="AK225" t="s">
        <v>230</v>
      </c>
      <c r="AL225">
        <v>0.52777777777777801</v>
      </c>
    </row>
    <row r="226" spans="2:40" ht="15" customHeight="1" x14ac:dyDescent="0.2">
      <c r="B226">
        <v>1</v>
      </c>
      <c r="C226">
        <v>1</v>
      </c>
      <c r="D226">
        <v>5</v>
      </c>
      <c r="E226" t="s">
        <v>317</v>
      </c>
      <c r="F226" t="s">
        <v>268</v>
      </c>
      <c r="G226" s="15">
        <v>42937</v>
      </c>
      <c r="H226" t="s">
        <v>109</v>
      </c>
      <c r="I226" t="s">
        <v>318</v>
      </c>
      <c r="J226" t="s">
        <v>219</v>
      </c>
      <c r="K226">
        <v>9</v>
      </c>
      <c r="L226" t="s">
        <v>112</v>
      </c>
      <c r="M226" t="s">
        <v>319</v>
      </c>
      <c r="N226" t="s">
        <v>320</v>
      </c>
      <c r="O226">
        <v>71.400000000000006</v>
      </c>
      <c r="P226">
        <v>136</v>
      </c>
      <c r="Q226">
        <v>6251</v>
      </c>
      <c r="R226" t="s">
        <v>115</v>
      </c>
      <c r="S226" t="s">
        <v>116</v>
      </c>
      <c r="T226" t="s">
        <v>117</v>
      </c>
      <c r="U226" t="s">
        <v>130</v>
      </c>
      <c r="V226" t="s">
        <v>226</v>
      </c>
      <c r="W226" t="s">
        <v>114</v>
      </c>
      <c r="Y226" t="s">
        <v>130</v>
      </c>
      <c r="AA226">
        <v>1</v>
      </c>
      <c r="AB226" t="s">
        <v>100</v>
      </c>
      <c r="AC226" t="s">
        <v>304</v>
      </c>
      <c r="AE226" t="str">
        <f t="shared" si="3"/>
        <v>GrayPoirier</v>
      </c>
      <c r="AF226">
        <v>0</v>
      </c>
      <c r="AG226">
        <v>0</v>
      </c>
      <c r="AH226">
        <v>1</v>
      </c>
      <c r="AI226">
        <v>0</v>
      </c>
      <c r="AJ226">
        <v>0</v>
      </c>
      <c r="AK226" t="s">
        <v>321</v>
      </c>
      <c r="AL226">
        <v>0.46551724137931</v>
      </c>
      <c r="AM226" t="s">
        <v>133</v>
      </c>
      <c r="AN226">
        <v>0.38392857142857201</v>
      </c>
    </row>
    <row r="227" spans="2:40" ht="15" customHeight="1" x14ac:dyDescent="0.2">
      <c r="B227">
        <v>1</v>
      </c>
      <c r="C227">
        <v>1</v>
      </c>
      <c r="D227">
        <v>5</v>
      </c>
      <c r="E227" t="s">
        <v>317</v>
      </c>
      <c r="F227" t="s">
        <v>268</v>
      </c>
      <c r="G227" s="15">
        <v>42937</v>
      </c>
      <c r="H227" t="s">
        <v>109</v>
      </c>
      <c r="I227" t="s">
        <v>318</v>
      </c>
      <c r="J227" t="s">
        <v>219</v>
      </c>
      <c r="K227">
        <v>9</v>
      </c>
      <c r="L227" t="s">
        <v>112</v>
      </c>
      <c r="M227" t="s">
        <v>319</v>
      </c>
      <c r="N227" t="s">
        <v>320</v>
      </c>
      <c r="O227">
        <v>71.400000000000006</v>
      </c>
      <c r="P227">
        <v>136</v>
      </c>
      <c r="Q227">
        <v>6251</v>
      </c>
      <c r="R227" t="s">
        <v>115</v>
      </c>
      <c r="S227" t="s">
        <v>116</v>
      </c>
      <c r="T227" t="s">
        <v>124</v>
      </c>
      <c r="U227" t="s">
        <v>176</v>
      </c>
      <c r="V227" t="s">
        <v>321</v>
      </c>
      <c r="W227" t="s">
        <v>156</v>
      </c>
      <c r="Y227" t="s">
        <v>133</v>
      </c>
      <c r="AA227">
        <v>1</v>
      </c>
      <c r="AB227" t="s">
        <v>99</v>
      </c>
      <c r="AC227" t="s">
        <v>304</v>
      </c>
      <c r="AE227" t="str">
        <f t="shared" si="3"/>
        <v>DelaneyMangold</v>
      </c>
      <c r="AF227">
        <v>1</v>
      </c>
      <c r="AG227">
        <v>1</v>
      </c>
      <c r="AH227">
        <v>0</v>
      </c>
      <c r="AI227">
        <v>0</v>
      </c>
      <c r="AJ227">
        <v>1</v>
      </c>
      <c r="AK227" t="s">
        <v>226</v>
      </c>
      <c r="AL227">
        <v>0.65476190476190499</v>
      </c>
      <c r="AM227" t="s">
        <v>130</v>
      </c>
      <c r="AN227">
        <v>0.48611111111111099</v>
      </c>
    </row>
    <row r="228" spans="2:40" ht="15" customHeight="1" x14ac:dyDescent="0.2">
      <c r="B228">
        <v>2</v>
      </c>
      <c r="C228">
        <v>2</v>
      </c>
      <c r="D228">
        <v>5</v>
      </c>
      <c r="E228" t="s">
        <v>322</v>
      </c>
      <c r="F228" t="s">
        <v>268</v>
      </c>
      <c r="G228" s="15">
        <v>42937</v>
      </c>
      <c r="H228" t="s">
        <v>109</v>
      </c>
      <c r="I228" t="s">
        <v>318</v>
      </c>
      <c r="J228" t="s">
        <v>219</v>
      </c>
      <c r="K228">
        <v>9</v>
      </c>
      <c r="L228" t="s">
        <v>112</v>
      </c>
      <c r="M228" t="s">
        <v>319</v>
      </c>
      <c r="N228" t="s">
        <v>320</v>
      </c>
      <c r="O228">
        <v>71.400000000000006</v>
      </c>
      <c r="P228">
        <v>136</v>
      </c>
      <c r="Q228">
        <v>6251</v>
      </c>
      <c r="R228" t="s">
        <v>115</v>
      </c>
      <c r="S228" t="s">
        <v>116</v>
      </c>
      <c r="T228" t="s">
        <v>124</v>
      </c>
      <c r="U228" t="s">
        <v>176</v>
      </c>
      <c r="V228" t="s">
        <v>119</v>
      </c>
      <c r="W228" t="s">
        <v>156</v>
      </c>
      <c r="Y228" t="s">
        <v>123</v>
      </c>
      <c r="AA228">
        <v>1</v>
      </c>
      <c r="AB228" t="s">
        <v>100</v>
      </c>
      <c r="AC228" t="s">
        <v>225</v>
      </c>
      <c r="AE228" t="str">
        <f t="shared" si="3"/>
        <v>GriseLynch</v>
      </c>
      <c r="AF228">
        <v>0</v>
      </c>
      <c r="AG228">
        <v>0</v>
      </c>
      <c r="AH228">
        <v>1</v>
      </c>
      <c r="AI228">
        <v>0</v>
      </c>
      <c r="AJ228">
        <v>0</v>
      </c>
      <c r="AK228" t="s">
        <v>179</v>
      </c>
      <c r="AL228">
        <v>0.44067796610169502</v>
      </c>
      <c r="AM228" t="s">
        <v>118</v>
      </c>
      <c r="AN228">
        <v>0.6171875</v>
      </c>
    </row>
    <row r="229" spans="2:40" ht="15" customHeight="1" x14ac:dyDescent="0.2">
      <c r="B229">
        <v>2</v>
      </c>
      <c r="C229">
        <v>2</v>
      </c>
      <c r="D229">
        <v>5</v>
      </c>
      <c r="E229" t="s">
        <v>322</v>
      </c>
      <c r="F229" t="s">
        <v>268</v>
      </c>
      <c r="G229" s="15">
        <v>42937</v>
      </c>
      <c r="H229" t="s">
        <v>109</v>
      </c>
      <c r="I229" t="s">
        <v>318</v>
      </c>
      <c r="J229" t="s">
        <v>219</v>
      </c>
      <c r="K229">
        <v>9</v>
      </c>
      <c r="L229" t="s">
        <v>112</v>
      </c>
      <c r="M229" t="s">
        <v>319</v>
      </c>
      <c r="N229" t="s">
        <v>320</v>
      </c>
      <c r="O229">
        <v>71.400000000000006</v>
      </c>
      <c r="P229">
        <v>136</v>
      </c>
      <c r="Q229">
        <v>6251</v>
      </c>
      <c r="R229" t="s">
        <v>115</v>
      </c>
      <c r="S229" t="s">
        <v>116</v>
      </c>
      <c r="T229" t="s">
        <v>117</v>
      </c>
      <c r="U229" t="s">
        <v>130</v>
      </c>
      <c r="V229" t="s">
        <v>179</v>
      </c>
      <c r="W229" t="s">
        <v>114</v>
      </c>
      <c r="Y229" t="s">
        <v>118</v>
      </c>
      <c r="AA229">
        <v>1</v>
      </c>
      <c r="AB229" t="s">
        <v>99</v>
      </c>
      <c r="AC229" t="s">
        <v>225</v>
      </c>
      <c r="AE229" t="str">
        <f t="shared" si="3"/>
        <v>ColeJackson</v>
      </c>
      <c r="AF229">
        <v>1</v>
      </c>
      <c r="AG229">
        <v>1</v>
      </c>
      <c r="AH229">
        <v>0</v>
      </c>
      <c r="AI229">
        <v>0</v>
      </c>
      <c r="AJ229">
        <v>1</v>
      </c>
      <c r="AK229" t="s">
        <v>119</v>
      </c>
      <c r="AL229">
        <v>0.546875</v>
      </c>
      <c r="AM229" t="s">
        <v>123</v>
      </c>
      <c r="AN229">
        <v>0.5546875</v>
      </c>
    </row>
    <row r="230" spans="2:40" ht="15" customHeight="1" x14ac:dyDescent="0.2">
      <c r="B230">
        <v>3</v>
      </c>
      <c r="C230">
        <v>3</v>
      </c>
      <c r="D230">
        <v>5</v>
      </c>
      <c r="E230" t="s">
        <v>323</v>
      </c>
      <c r="F230" t="s">
        <v>268</v>
      </c>
      <c r="G230" s="15">
        <v>42937</v>
      </c>
      <c r="H230" t="s">
        <v>109</v>
      </c>
      <c r="I230" t="s">
        <v>318</v>
      </c>
      <c r="J230" t="s">
        <v>219</v>
      </c>
      <c r="K230">
        <v>9</v>
      </c>
      <c r="L230" t="s">
        <v>112</v>
      </c>
      <c r="M230" t="s">
        <v>319</v>
      </c>
      <c r="N230" t="s">
        <v>320</v>
      </c>
      <c r="O230">
        <v>71.400000000000006</v>
      </c>
      <c r="P230">
        <v>136</v>
      </c>
      <c r="Q230">
        <v>6251</v>
      </c>
      <c r="R230" t="s">
        <v>115</v>
      </c>
      <c r="S230" t="s">
        <v>116</v>
      </c>
      <c r="T230" t="s">
        <v>117</v>
      </c>
      <c r="U230" t="s">
        <v>130</v>
      </c>
      <c r="V230" t="s">
        <v>127</v>
      </c>
      <c r="W230" t="s">
        <v>114</v>
      </c>
      <c r="Y230" t="s">
        <v>132</v>
      </c>
      <c r="AA230">
        <v>1</v>
      </c>
      <c r="AB230" t="s">
        <v>99</v>
      </c>
      <c r="AC230" t="s">
        <v>263</v>
      </c>
      <c r="AE230" t="str">
        <f t="shared" si="3"/>
        <v>FerrinFlanders</v>
      </c>
      <c r="AF230">
        <v>1</v>
      </c>
      <c r="AG230">
        <v>1</v>
      </c>
      <c r="AH230">
        <v>0</v>
      </c>
      <c r="AI230">
        <v>0</v>
      </c>
      <c r="AJ230">
        <v>1</v>
      </c>
      <c r="AK230" t="s">
        <v>1308</v>
      </c>
      <c r="AL230">
        <v>0.59375</v>
      </c>
      <c r="AM230" t="s">
        <v>135</v>
      </c>
    </row>
    <row r="231" spans="2:40" ht="15" customHeight="1" x14ac:dyDescent="0.2">
      <c r="B231">
        <v>3</v>
      </c>
      <c r="C231">
        <v>3</v>
      </c>
      <c r="D231">
        <v>5</v>
      </c>
      <c r="E231" t="s">
        <v>323</v>
      </c>
      <c r="F231" t="s">
        <v>268</v>
      </c>
      <c r="G231" s="15">
        <v>42937</v>
      </c>
      <c r="H231" t="s">
        <v>109</v>
      </c>
      <c r="I231" t="s">
        <v>318</v>
      </c>
      <c r="J231" t="s">
        <v>219</v>
      </c>
      <c r="K231">
        <v>9</v>
      </c>
      <c r="L231" t="s">
        <v>112</v>
      </c>
      <c r="M231" t="s">
        <v>319</v>
      </c>
      <c r="N231" t="s">
        <v>320</v>
      </c>
      <c r="O231">
        <v>71.400000000000006</v>
      </c>
      <c r="P231">
        <v>136</v>
      </c>
      <c r="Q231">
        <v>6251</v>
      </c>
      <c r="R231" t="s">
        <v>115</v>
      </c>
      <c r="S231" t="s">
        <v>116</v>
      </c>
      <c r="T231" t="s">
        <v>124</v>
      </c>
      <c r="U231" t="s">
        <v>176</v>
      </c>
      <c r="V231" t="s">
        <v>1308</v>
      </c>
      <c r="W231" t="s">
        <v>156</v>
      </c>
      <c r="Y231" t="s">
        <v>135</v>
      </c>
      <c r="AA231">
        <v>1</v>
      </c>
      <c r="AB231" t="s">
        <v>100</v>
      </c>
      <c r="AC231" t="s">
        <v>263</v>
      </c>
      <c r="AE231" t="str">
        <f t="shared" si="3"/>
        <v>ConnollyShively</v>
      </c>
      <c r="AF231">
        <v>0</v>
      </c>
      <c r="AG231">
        <v>0</v>
      </c>
      <c r="AH231">
        <v>1</v>
      </c>
      <c r="AI231">
        <v>0</v>
      </c>
      <c r="AJ231">
        <v>0</v>
      </c>
      <c r="AK231" t="s">
        <v>127</v>
      </c>
      <c r="AL231">
        <v>0.59523809523809501</v>
      </c>
      <c r="AM231" t="s">
        <v>132</v>
      </c>
      <c r="AN231">
        <v>0.4296875</v>
      </c>
    </row>
    <row r="232" spans="2:40" ht="15" customHeight="1" x14ac:dyDescent="0.2">
      <c r="B232">
        <v>4</v>
      </c>
      <c r="C232">
        <v>4</v>
      </c>
      <c r="D232">
        <v>5</v>
      </c>
      <c r="E232" t="s">
        <v>324</v>
      </c>
      <c r="F232" t="s">
        <v>268</v>
      </c>
      <c r="G232" s="15">
        <v>42937</v>
      </c>
      <c r="H232" t="s">
        <v>109</v>
      </c>
      <c r="I232" t="s">
        <v>318</v>
      </c>
      <c r="J232" t="s">
        <v>219</v>
      </c>
      <c r="K232">
        <v>9</v>
      </c>
      <c r="L232" t="s">
        <v>112</v>
      </c>
      <c r="M232" t="s">
        <v>319</v>
      </c>
      <c r="N232" t="s">
        <v>320</v>
      </c>
      <c r="O232">
        <v>71.400000000000006</v>
      </c>
      <c r="P232">
        <v>136</v>
      </c>
      <c r="Q232">
        <v>6251</v>
      </c>
      <c r="R232" t="s">
        <v>115</v>
      </c>
      <c r="S232" t="s">
        <v>116</v>
      </c>
      <c r="T232" t="s">
        <v>124</v>
      </c>
      <c r="U232" t="s">
        <v>176</v>
      </c>
      <c r="V232" t="s">
        <v>176</v>
      </c>
      <c r="W232" t="s">
        <v>156</v>
      </c>
      <c r="Y232" t="s">
        <v>231</v>
      </c>
      <c r="AA232">
        <v>1</v>
      </c>
      <c r="AB232" t="s">
        <v>100</v>
      </c>
      <c r="AC232" t="s">
        <v>239</v>
      </c>
      <c r="AE232" t="str">
        <f t="shared" si="3"/>
        <v>ForsterMcInerney</v>
      </c>
      <c r="AF232">
        <v>0</v>
      </c>
      <c r="AG232">
        <v>0</v>
      </c>
      <c r="AH232">
        <v>1</v>
      </c>
      <c r="AI232">
        <v>0</v>
      </c>
      <c r="AJ232">
        <v>0</v>
      </c>
      <c r="AK232" t="s">
        <v>172</v>
      </c>
      <c r="AL232">
        <v>0.37288135593220301</v>
      </c>
      <c r="AM232" t="s">
        <v>122</v>
      </c>
      <c r="AN232">
        <v>0.47321428571428598</v>
      </c>
    </row>
    <row r="233" spans="2:40" ht="15" customHeight="1" x14ac:dyDescent="0.2">
      <c r="B233">
        <v>4</v>
      </c>
      <c r="C233">
        <v>4</v>
      </c>
      <c r="D233">
        <v>5</v>
      </c>
      <c r="E233" t="s">
        <v>324</v>
      </c>
      <c r="F233" t="s">
        <v>268</v>
      </c>
      <c r="G233" s="15">
        <v>42937</v>
      </c>
      <c r="H233" t="s">
        <v>109</v>
      </c>
      <c r="I233" t="s">
        <v>318</v>
      </c>
      <c r="J233" t="s">
        <v>219</v>
      </c>
      <c r="K233">
        <v>9</v>
      </c>
      <c r="L233" t="s">
        <v>112</v>
      </c>
      <c r="M233" t="s">
        <v>319</v>
      </c>
      <c r="N233" t="s">
        <v>320</v>
      </c>
      <c r="O233">
        <v>71.400000000000006</v>
      </c>
      <c r="P233">
        <v>136</v>
      </c>
      <c r="Q233">
        <v>6251</v>
      </c>
      <c r="R233" t="s">
        <v>115</v>
      </c>
      <c r="S233" t="s">
        <v>116</v>
      </c>
      <c r="T233" t="s">
        <v>117</v>
      </c>
      <c r="U233" t="s">
        <v>130</v>
      </c>
      <c r="V233" t="s">
        <v>172</v>
      </c>
      <c r="W233" t="s">
        <v>114</v>
      </c>
      <c r="Y233" t="s">
        <v>122</v>
      </c>
      <c r="AA233">
        <v>1</v>
      </c>
      <c r="AB233" t="s">
        <v>99</v>
      </c>
      <c r="AC233" t="s">
        <v>239</v>
      </c>
      <c r="AE233" t="str">
        <f t="shared" si="3"/>
        <v>FoganHilts</v>
      </c>
      <c r="AF233">
        <v>1</v>
      </c>
      <c r="AG233">
        <v>1</v>
      </c>
      <c r="AH233">
        <v>0</v>
      </c>
      <c r="AI233">
        <v>0</v>
      </c>
      <c r="AJ233">
        <v>1</v>
      </c>
      <c r="AK233" t="s">
        <v>176</v>
      </c>
      <c r="AL233">
        <v>0.59649122807017496</v>
      </c>
      <c r="AM233" t="s">
        <v>231</v>
      </c>
      <c r="AN233">
        <v>0.5</v>
      </c>
    </row>
    <row r="234" spans="2:40" ht="15" customHeight="1" x14ac:dyDescent="0.2">
      <c r="B234">
        <v>5</v>
      </c>
      <c r="C234">
        <v>5</v>
      </c>
      <c r="D234">
        <v>5</v>
      </c>
      <c r="E234" t="s">
        <v>325</v>
      </c>
      <c r="F234" t="s">
        <v>268</v>
      </c>
      <c r="G234" s="15">
        <v>42937</v>
      </c>
      <c r="H234" t="s">
        <v>109</v>
      </c>
      <c r="I234" t="s">
        <v>318</v>
      </c>
      <c r="J234" t="s">
        <v>219</v>
      </c>
      <c r="K234">
        <v>9</v>
      </c>
      <c r="L234" t="s">
        <v>112</v>
      </c>
      <c r="M234" t="s">
        <v>319</v>
      </c>
      <c r="N234" t="s">
        <v>320</v>
      </c>
      <c r="O234">
        <v>71.400000000000006</v>
      </c>
      <c r="P234">
        <v>136</v>
      </c>
      <c r="Q234">
        <v>6251</v>
      </c>
      <c r="R234" t="s">
        <v>115</v>
      </c>
      <c r="S234" t="s">
        <v>116</v>
      </c>
      <c r="T234" t="s">
        <v>117</v>
      </c>
      <c r="U234" t="s">
        <v>130</v>
      </c>
      <c r="V234" t="s">
        <v>178</v>
      </c>
      <c r="W234" t="s">
        <v>114</v>
      </c>
      <c r="Y234" t="s">
        <v>272</v>
      </c>
      <c r="AA234">
        <v>1</v>
      </c>
      <c r="AB234" t="s">
        <v>99</v>
      </c>
      <c r="AC234" t="s">
        <v>225</v>
      </c>
      <c r="AE234" t="str">
        <f t="shared" si="3"/>
        <v>ConnorsWelker</v>
      </c>
      <c r="AF234">
        <v>1</v>
      </c>
      <c r="AG234">
        <v>1</v>
      </c>
      <c r="AH234">
        <v>0</v>
      </c>
      <c r="AI234">
        <v>0</v>
      </c>
      <c r="AJ234">
        <v>1</v>
      </c>
      <c r="AK234" t="s">
        <v>230</v>
      </c>
      <c r="AL234">
        <v>0.52777777777777801</v>
      </c>
      <c r="AM234" t="s">
        <v>227</v>
      </c>
      <c r="AN234">
        <v>0.5</v>
      </c>
    </row>
    <row r="235" spans="2:40" ht="15" customHeight="1" x14ac:dyDescent="0.2">
      <c r="B235">
        <v>5</v>
      </c>
      <c r="C235">
        <v>5</v>
      </c>
      <c r="D235">
        <v>5</v>
      </c>
      <c r="E235" t="s">
        <v>325</v>
      </c>
      <c r="F235" t="s">
        <v>268</v>
      </c>
      <c r="G235" s="15">
        <v>42937</v>
      </c>
      <c r="H235" t="s">
        <v>109</v>
      </c>
      <c r="I235" t="s">
        <v>318</v>
      </c>
      <c r="J235" t="s">
        <v>219</v>
      </c>
      <c r="K235">
        <v>9</v>
      </c>
      <c r="L235" t="s">
        <v>112</v>
      </c>
      <c r="M235" t="s">
        <v>319</v>
      </c>
      <c r="N235" t="s">
        <v>320</v>
      </c>
      <c r="O235">
        <v>71.400000000000006</v>
      </c>
      <c r="P235">
        <v>136</v>
      </c>
      <c r="Q235">
        <v>6251</v>
      </c>
      <c r="R235" t="s">
        <v>115</v>
      </c>
      <c r="S235" t="s">
        <v>116</v>
      </c>
      <c r="T235" t="s">
        <v>124</v>
      </c>
      <c r="U235" t="s">
        <v>176</v>
      </c>
      <c r="V235" t="s">
        <v>230</v>
      </c>
      <c r="W235" t="s">
        <v>156</v>
      </c>
      <c r="Y235" t="s">
        <v>227</v>
      </c>
      <c r="AA235">
        <v>1</v>
      </c>
      <c r="AB235" t="s">
        <v>100</v>
      </c>
      <c r="AC235" t="s">
        <v>225</v>
      </c>
      <c r="AE235" t="str">
        <f t="shared" si="3"/>
        <v>NoratZimmer</v>
      </c>
      <c r="AF235">
        <v>0</v>
      </c>
      <c r="AG235">
        <v>0</v>
      </c>
      <c r="AH235">
        <v>1</v>
      </c>
      <c r="AI235">
        <v>0</v>
      </c>
      <c r="AJ235">
        <v>0</v>
      </c>
      <c r="AK235" t="s">
        <v>178</v>
      </c>
      <c r="AL235">
        <v>0.34745762711864397</v>
      </c>
      <c r="AM235" t="s">
        <v>272</v>
      </c>
      <c r="AN235">
        <v>0.51041666666666696</v>
      </c>
    </row>
    <row r="236" spans="2:40" ht="15" customHeight="1" x14ac:dyDescent="0.2">
      <c r="B236">
        <v>6</v>
      </c>
      <c r="C236">
        <v>1</v>
      </c>
      <c r="D236">
        <v>5</v>
      </c>
      <c r="E236" t="s">
        <v>326</v>
      </c>
      <c r="F236" t="s">
        <v>268</v>
      </c>
      <c r="G236" s="15">
        <v>42937</v>
      </c>
      <c r="H236" t="s">
        <v>109</v>
      </c>
      <c r="I236" t="s">
        <v>318</v>
      </c>
      <c r="J236" t="s">
        <v>219</v>
      </c>
      <c r="K236">
        <v>9</v>
      </c>
      <c r="L236" t="s">
        <v>137</v>
      </c>
      <c r="M236" t="s">
        <v>319</v>
      </c>
      <c r="N236" t="s">
        <v>320</v>
      </c>
      <c r="O236">
        <v>71.400000000000006</v>
      </c>
      <c r="P236">
        <v>136</v>
      </c>
      <c r="Q236">
        <v>6251</v>
      </c>
      <c r="R236" t="s">
        <v>189</v>
      </c>
      <c r="S236" t="s">
        <v>116</v>
      </c>
      <c r="T236" t="s">
        <v>117</v>
      </c>
      <c r="U236" t="s">
        <v>130</v>
      </c>
      <c r="V236" t="s">
        <v>226</v>
      </c>
      <c r="W236" t="s">
        <v>114</v>
      </c>
      <c r="Y236" t="s">
        <v>130</v>
      </c>
      <c r="AA236">
        <v>1</v>
      </c>
      <c r="AB236" t="s">
        <v>101</v>
      </c>
      <c r="AC236" t="s">
        <v>139</v>
      </c>
      <c r="AE236" t="str">
        <f t="shared" si="3"/>
        <v>GrayPoirier</v>
      </c>
      <c r="AF236">
        <v>0.5</v>
      </c>
      <c r="AG236">
        <v>0</v>
      </c>
      <c r="AH236">
        <v>0</v>
      </c>
      <c r="AI236">
        <v>1</v>
      </c>
      <c r="AJ236">
        <v>0.5</v>
      </c>
      <c r="AK236" t="s">
        <v>321</v>
      </c>
      <c r="AL236">
        <v>0.46551724137931</v>
      </c>
      <c r="AM236" t="s">
        <v>133</v>
      </c>
      <c r="AN236">
        <v>0.38392857142857201</v>
      </c>
    </row>
    <row r="237" spans="2:40" ht="15" customHeight="1" x14ac:dyDescent="0.2">
      <c r="B237">
        <v>6</v>
      </c>
      <c r="C237">
        <v>1</v>
      </c>
      <c r="D237">
        <v>5</v>
      </c>
      <c r="E237" t="s">
        <v>326</v>
      </c>
      <c r="F237" t="s">
        <v>268</v>
      </c>
      <c r="G237" s="15">
        <v>42937</v>
      </c>
      <c r="H237" t="s">
        <v>109</v>
      </c>
      <c r="I237" t="s">
        <v>318</v>
      </c>
      <c r="J237" t="s">
        <v>219</v>
      </c>
      <c r="K237">
        <v>9</v>
      </c>
      <c r="L237" t="s">
        <v>137</v>
      </c>
      <c r="M237" t="s">
        <v>319</v>
      </c>
      <c r="N237" t="s">
        <v>320</v>
      </c>
      <c r="O237">
        <v>71.400000000000006</v>
      </c>
      <c r="P237">
        <v>136</v>
      </c>
      <c r="Q237">
        <v>6251</v>
      </c>
      <c r="R237" t="s">
        <v>189</v>
      </c>
      <c r="S237" t="s">
        <v>116</v>
      </c>
      <c r="T237" t="s">
        <v>124</v>
      </c>
      <c r="U237" t="s">
        <v>176</v>
      </c>
      <c r="V237" t="s">
        <v>321</v>
      </c>
      <c r="W237" t="s">
        <v>156</v>
      </c>
      <c r="Y237" t="s">
        <v>133</v>
      </c>
      <c r="AA237">
        <v>1</v>
      </c>
      <c r="AB237" t="s">
        <v>101</v>
      </c>
      <c r="AC237" t="s">
        <v>139</v>
      </c>
      <c r="AE237" t="str">
        <f t="shared" si="3"/>
        <v>DelaneyMangold</v>
      </c>
      <c r="AF237">
        <v>0.5</v>
      </c>
      <c r="AG237">
        <v>0</v>
      </c>
      <c r="AH237">
        <v>0</v>
      </c>
      <c r="AI237">
        <v>1</v>
      </c>
      <c r="AJ237">
        <v>0.5</v>
      </c>
      <c r="AK237" t="s">
        <v>226</v>
      </c>
      <c r="AL237">
        <v>0.65476190476190499</v>
      </c>
      <c r="AM237" t="s">
        <v>130</v>
      </c>
      <c r="AN237">
        <v>0.48611111111111099</v>
      </c>
    </row>
    <row r="238" spans="2:40" ht="15" customHeight="1" x14ac:dyDescent="0.2">
      <c r="B238">
        <v>7</v>
      </c>
      <c r="C238">
        <v>2</v>
      </c>
      <c r="D238">
        <v>5</v>
      </c>
      <c r="E238" t="s">
        <v>327</v>
      </c>
      <c r="F238" t="s">
        <v>268</v>
      </c>
      <c r="G238" s="15">
        <v>42937</v>
      </c>
      <c r="H238" t="s">
        <v>109</v>
      </c>
      <c r="I238" t="s">
        <v>318</v>
      </c>
      <c r="J238" t="s">
        <v>219</v>
      </c>
      <c r="K238">
        <v>9</v>
      </c>
      <c r="L238" t="s">
        <v>137</v>
      </c>
      <c r="M238" t="s">
        <v>319</v>
      </c>
      <c r="N238" t="s">
        <v>320</v>
      </c>
      <c r="O238">
        <v>71.400000000000006</v>
      </c>
      <c r="P238">
        <v>136</v>
      </c>
      <c r="Q238">
        <v>6251</v>
      </c>
      <c r="R238" t="s">
        <v>189</v>
      </c>
      <c r="S238" t="s">
        <v>116</v>
      </c>
      <c r="T238" t="s">
        <v>124</v>
      </c>
      <c r="U238" t="s">
        <v>176</v>
      </c>
      <c r="V238" t="s">
        <v>119</v>
      </c>
      <c r="W238" t="s">
        <v>156</v>
      </c>
      <c r="Y238" t="s">
        <v>123</v>
      </c>
      <c r="AA238">
        <v>1</v>
      </c>
      <c r="AB238" t="s">
        <v>99</v>
      </c>
      <c r="AC238" t="s">
        <v>288</v>
      </c>
      <c r="AE238" t="str">
        <f t="shared" si="3"/>
        <v>GriseLynch</v>
      </c>
      <c r="AF238">
        <v>1</v>
      </c>
      <c r="AG238">
        <v>1</v>
      </c>
      <c r="AH238">
        <v>0</v>
      </c>
      <c r="AI238">
        <v>0</v>
      </c>
      <c r="AJ238">
        <v>1</v>
      </c>
      <c r="AK238" t="s">
        <v>179</v>
      </c>
      <c r="AL238">
        <v>0.44067796610169502</v>
      </c>
      <c r="AM238" t="s">
        <v>118</v>
      </c>
      <c r="AN238">
        <v>0.6171875</v>
      </c>
    </row>
    <row r="239" spans="2:40" ht="15" customHeight="1" x14ac:dyDescent="0.2">
      <c r="B239">
        <v>7</v>
      </c>
      <c r="C239">
        <v>2</v>
      </c>
      <c r="D239">
        <v>5</v>
      </c>
      <c r="E239" t="s">
        <v>327</v>
      </c>
      <c r="F239" t="s">
        <v>268</v>
      </c>
      <c r="G239" s="15">
        <v>42937</v>
      </c>
      <c r="H239" t="s">
        <v>109</v>
      </c>
      <c r="I239" t="s">
        <v>318</v>
      </c>
      <c r="J239" t="s">
        <v>219</v>
      </c>
      <c r="K239">
        <v>9</v>
      </c>
      <c r="L239" t="s">
        <v>137</v>
      </c>
      <c r="M239" t="s">
        <v>319</v>
      </c>
      <c r="N239" t="s">
        <v>320</v>
      </c>
      <c r="O239">
        <v>71.400000000000006</v>
      </c>
      <c r="P239">
        <v>136</v>
      </c>
      <c r="Q239">
        <v>6251</v>
      </c>
      <c r="R239" t="s">
        <v>189</v>
      </c>
      <c r="S239" t="s">
        <v>116</v>
      </c>
      <c r="T239" t="s">
        <v>117</v>
      </c>
      <c r="U239" t="s">
        <v>130</v>
      </c>
      <c r="V239" t="s">
        <v>179</v>
      </c>
      <c r="W239" t="s">
        <v>114</v>
      </c>
      <c r="Y239" t="s">
        <v>118</v>
      </c>
      <c r="AA239">
        <v>1</v>
      </c>
      <c r="AB239" t="s">
        <v>100</v>
      </c>
      <c r="AC239" t="s">
        <v>288</v>
      </c>
      <c r="AE239" t="str">
        <f t="shared" si="3"/>
        <v>ColeJackson</v>
      </c>
      <c r="AF239">
        <v>0</v>
      </c>
      <c r="AG239">
        <v>0</v>
      </c>
      <c r="AH239">
        <v>1</v>
      </c>
      <c r="AI239">
        <v>0</v>
      </c>
      <c r="AJ239">
        <v>0</v>
      </c>
      <c r="AK239" t="s">
        <v>119</v>
      </c>
      <c r="AL239">
        <v>0.546875</v>
      </c>
      <c r="AM239" t="s">
        <v>123</v>
      </c>
      <c r="AN239">
        <v>0.5546875</v>
      </c>
    </row>
    <row r="240" spans="2:40" ht="15" customHeight="1" x14ac:dyDescent="0.2">
      <c r="B240">
        <v>8</v>
      </c>
      <c r="C240">
        <v>3</v>
      </c>
      <c r="D240">
        <v>5</v>
      </c>
      <c r="E240" t="s">
        <v>328</v>
      </c>
      <c r="F240" t="s">
        <v>268</v>
      </c>
      <c r="G240" s="15">
        <v>42937</v>
      </c>
      <c r="H240" t="s">
        <v>109</v>
      </c>
      <c r="I240" t="s">
        <v>318</v>
      </c>
      <c r="J240" t="s">
        <v>219</v>
      </c>
      <c r="K240">
        <v>9</v>
      </c>
      <c r="L240" t="s">
        <v>137</v>
      </c>
      <c r="M240" t="s">
        <v>319</v>
      </c>
      <c r="N240" t="s">
        <v>320</v>
      </c>
      <c r="O240">
        <v>71.400000000000006</v>
      </c>
      <c r="P240">
        <v>136</v>
      </c>
      <c r="Q240">
        <v>6251</v>
      </c>
      <c r="R240" t="s">
        <v>189</v>
      </c>
      <c r="S240" t="s">
        <v>116</v>
      </c>
      <c r="T240" t="s">
        <v>117</v>
      </c>
      <c r="U240" t="s">
        <v>130</v>
      </c>
      <c r="V240" t="s">
        <v>127</v>
      </c>
      <c r="W240" t="s">
        <v>114</v>
      </c>
      <c r="Y240" t="s">
        <v>132</v>
      </c>
      <c r="AA240">
        <v>1</v>
      </c>
      <c r="AB240" t="s">
        <v>99</v>
      </c>
      <c r="AC240" t="s">
        <v>329</v>
      </c>
      <c r="AE240" t="str">
        <f t="shared" si="3"/>
        <v>FerrinFlanders</v>
      </c>
      <c r="AF240">
        <v>1</v>
      </c>
      <c r="AG240">
        <v>1</v>
      </c>
      <c r="AH240">
        <v>0</v>
      </c>
      <c r="AI240">
        <v>0</v>
      </c>
      <c r="AJ240">
        <v>1</v>
      </c>
      <c r="AK240" t="s">
        <v>1308</v>
      </c>
      <c r="AL240">
        <v>0.59375</v>
      </c>
      <c r="AM240" t="s">
        <v>135</v>
      </c>
    </row>
    <row r="241" spans="2:40" ht="15" customHeight="1" x14ac:dyDescent="0.2">
      <c r="B241">
        <v>8</v>
      </c>
      <c r="C241">
        <v>3</v>
      </c>
      <c r="D241">
        <v>5</v>
      </c>
      <c r="E241" t="s">
        <v>328</v>
      </c>
      <c r="F241" t="s">
        <v>268</v>
      </c>
      <c r="G241" s="15">
        <v>42937</v>
      </c>
      <c r="H241" t="s">
        <v>109</v>
      </c>
      <c r="I241" t="s">
        <v>318</v>
      </c>
      <c r="J241" t="s">
        <v>219</v>
      </c>
      <c r="K241">
        <v>9</v>
      </c>
      <c r="L241" t="s">
        <v>137</v>
      </c>
      <c r="M241" t="s">
        <v>319</v>
      </c>
      <c r="N241" t="s">
        <v>320</v>
      </c>
      <c r="O241">
        <v>71.400000000000006</v>
      </c>
      <c r="P241">
        <v>136</v>
      </c>
      <c r="Q241">
        <v>6251</v>
      </c>
      <c r="R241" t="s">
        <v>189</v>
      </c>
      <c r="S241" t="s">
        <v>116</v>
      </c>
      <c r="T241" t="s">
        <v>124</v>
      </c>
      <c r="U241" t="s">
        <v>176</v>
      </c>
      <c r="V241" t="s">
        <v>1308</v>
      </c>
      <c r="W241" t="s">
        <v>156</v>
      </c>
      <c r="Y241" t="s">
        <v>135</v>
      </c>
      <c r="AA241">
        <v>1</v>
      </c>
      <c r="AB241" t="s">
        <v>100</v>
      </c>
      <c r="AC241" t="s">
        <v>329</v>
      </c>
      <c r="AE241" t="str">
        <f t="shared" si="3"/>
        <v>ConnollyShively</v>
      </c>
      <c r="AF241">
        <v>0</v>
      </c>
      <c r="AG241">
        <v>0</v>
      </c>
      <c r="AH241">
        <v>1</v>
      </c>
      <c r="AI241">
        <v>0</v>
      </c>
      <c r="AJ241">
        <v>0</v>
      </c>
      <c r="AK241" t="s">
        <v>127</v>
      </c>
      <c r="AL241">
        <v>0.59523809523809501</v>
      </c>
      <c r="AM241" t="s">
        <v>132</v>
      </c>
      <c r="AN241">
        <v>0.4296875</v>
      </c>
    </row>
    <row r="242" spans="2:40" ht="15" customHeight="1" x14ac:dyDescent="0.2">
      <c r="B242">
        <v>9</v>
      </c>
      <c r="C242">
        <v>4</v>
      </c>
      <c r="D242">
        <v>5</v>
      </c>
      <c r="E242" t="s">
        <v>330</v>
      </c>
      <c r="F242" t="s">
        <v>268</v>
      </c>
      <c r="G242" s="15">
        <v>42937</v>
      </c>
      <c r="H242" t="s">
        <v>109</v>
      </c>
      <c r="I242" t="s">
        <v>318</v>
      </c>
      <c r="J242" t="s">
        <v>219</v>
      </c>
      <c r="K242">
        <v>9</v>
      </c>
      <c r="L242" t="s">
        <v>137</v>
      </c>
      <c r="M242" t="s">
        <v>319</v>
      </c>
      <c r="N242" t="s">
        <v>320</v>
      </c>
      <c r="O242">
        <v>71.400000000000006</v>
      </c>
      <c r="P242">
        <v>136</v>
      </c>
      <c r="Q242">
        <v>6251</v>
      </c>
      <c r="R242" t="s">
        <v>189</v>
      </c>
      <c r="S242" t="s">
        <v>116</v>
      </c>
      <c r="T242" t="s">
        <v>124</v>
      </c>
      <c r="U242" t="s">
        <v>176</v>
      </c>
      <c r="V242" t="s">
        <v>176</v>
      </c>
      <c r="W242" t="s">
        <v>156</v>
      </c>
      <c r="Y242" t="s">
        <v>231</v>
      </c>
      <c r="AA242">
        <v>1</v>
      </c>
      <c r="AB242" t="s">
        <v>99</v>
      </c>
      <c r="AC242" t="s">
        <v>263</v>
      </c>
      <c r="AE242" t="str">
        <f t="shared" si="3"/>
        <v>ForsterMcInerney</v>
      </c>
      <c r="AF242">
        <v>1</v>
      </c>
      <c r="AG242">
        <v>1</v>
      </c>
      <c r="AH242">
        <v>0</v>
      </c>
      <c r="AI242">
        <v>0</v>
      </c>
      <c r="AJ242">
        <v>1</v>
      </c>
      <c r="AK242" t="s">
        <v>172</v>
      </c>
      <c r="AL242">
        <v>0.37288135593220301</v>
      </c>
      <c r="AM242" t="s">
        <v>122</v>
      </c>
      <c r="AN242">
        <v>0.47321428571428598</v>
      </c>
    </row>
    <row r="243" spans="2:40" ht="15" customHeight="1" x14ac:dyDescent="0.2">
      <c r="B243">
        <v>9</v>
      </c>
      <c r="C243">
        <v>4</v>
      </c>
      <c r="D243">
        <v>5</v>
      </c>
      <c r="E243" t="s">
        <v>330</v>
      </c>
      <c r="F243" t="s">
        <v>268</v>
      </c>
      <c r="G243" s="15">
        <v>42937</v>
      </c>
      <c r="H243" t="s">
        <v>109</v>
      </c>
      <c r="I243" t="s">
        <v>318</v>
      </c>
      <c r="J243" t="s">
        <v>219</v>
      </c>
      <c r="K243">
        <v>9</v>
      </c>
      <c r="L243" t="s">
        <v>137</v>
      </c>
      <c r="M243" t="s">
        <v>319</v>
      </c>
      <c r="N243" t="s">
        <v>320</v>
      </c>
      <c r="O243">
        <v>71.400000000000006</v>
      </c>
      <c r="P243">
        <v>136</v>
      </c>
      <c r="Q243">
        <v>6251</v>
      </c>
      <c r="R243" t="s">
        <v>189</v>
      </c>
      <c r="S243" t="s">
        <v>116</v>
      </c>
      <c r="T243" t="s">
        <v>117</v>
      </c>
      <c r="U243" t="s">
        <v>130</v>
      </c>
      <c r="V243" t="s">
        <v>172</v>
      </c>
      <c r="W243" t="s">
        <v>114</v>
      </c>
      <c r="Y243" t="s">
        <v>122</v>
      </c>
      <c r="AA243">
        <v>1</v>
      </c>
      <c r="AB243" t="s">
        <v>100</v>
      </c>
      <c r="AC243" t="s">
        <v>263</v>
      </c>
      <c r="AE243" t="str">
        <f t="shared" si="3"/>
        <v>FoganHilts</v>
      </c>
      <c r="AF243">
        <v>0</v>
      </c>
      <c r="AG243">
        <v>0</v>
      </c>
      <c r="AH243">
        <v>1</v>
      </c>
      <c r="AI243">
        <v>0</v>
      </c>
      <c r="AJ243">
        <v>0</v>
      </c>
      <c r="AK243" t="s">
        <v>176</v>
      </c>
      <c r="AL243">
        <v>0.59649122807017496</v>
      </c>
      <c r="AM243" t="s">
        <v>231</v>
      </c>
      <c r="AN243">
        <v>0.5</v>
      </c>
    </row>
    <row r="244" spans="2:40" ht="15" customHeight="1" x14ac:dyDescent="0.2">
      <c r="B244">
        <v>10</v>
      </c>
      <c r="C244">
        <v>5</v>
      </c>
      <c r="D244">
        <v>5</v>
      </c>
      <c r="E244" t="s">
        <v>331</v>
      </c>
      <c r="F244" t="s">
        <v>268</v>
      </c>
      <c r="G244" s="15">
        <v>42937</v>
      </c>
      <c r="H244" t="s">
        <v>109</v>
      </c>
      <c r="I244" t="s">
        <v>318</v>
      </c>
      <c r="J244" t="s">
        <v>219</v>
      </c>
      <c r="K244">
        <v>9</v>
      </c>
      <c r="L244" t="s">
        <v>137</v>
      </c>
      <c r="M244" t="s">
        <v>319</v>
      </c>
      <c r="N244" t="s">
        <v>320</v>
      </c>
      <c r="O244">
        <v>71.400000000000006</v>
      </c>
      <c r="P244">
        <v>136</v>
      </c>
      <c r="Q244">
        <v>6251</v>
      </c>
      <c r="R244" t="s">
        <v>189</v>
      </c>
      <c r="S244" t="s">
        <v>116</v>
      </c>
      <c r="T244" t="s">
        <v>117</v>
      </c>
      <c r="U244" t="s">
        <v>130</v>
      </c>
      <c r="V244" t="s">
        <v>178</v>
      </c>
      <c r="W244" t="s">
        <v>114</v>
      </c>
      <c r="Y244" t="s">
        <v>272</v>
      </c>
      <c r="AA244">
        <v>1</v>
      </c>
      <c r="AB244" t="s">
        <v>100</v>
      </c>
      <c r="AC244" t="s">
        <v>288</v>
      </c>
      <c r="AE244" t="str">
        <f t="shared" si="3"/>
        <v>ConnorsWelker</v>
      </c>
      <c r="AF244">
        <v>0</v>
      </c>
      <c r="AG244">
        <v>0</v>
      </c>
      <c r="AH244">
        <v>1</v>
      </c>
      <c r="AI244">
        <v>0</v>
      </c>
      <c r="AJ244">
        <v>0</v>
      </c>
      <c r="AK244" t="s">
        <v>230</v>
      </c>
      <c r="AL244">
        <v>0.52777777777777801</v>
      </c>
      <c r="AM244" t="s">
        <v>227</v>
      </c>
      <c r="AN244">
        <v>0.5</v>
      </c>
    </row>
    <row r="245" spans="2:40" ht="15" customHeight="1" x14ac:dyDescent="0.2">
      <c r="B245">
        <v>10</v>
      </c>
      <c r="C245">
        <v>5</v>
      </c>
      <c r="D245">
        <v>5</v>
      </c>
      <c r="E245" t="s">
        <v>331</v>
      </c>
      <c r="F245" t="s">
        <v>268</v>
      </c>
      <c r="G245" s="15">
        <v>42937</v>
      </c>
      <c r="H245" t="s">
        <v>109</v>
      </c>
      <c r="I245" t="s">
        <v>318</v>
      </c>
      <c r="J245" t="s">
        <v>219</v>
      </c>
      <c r="K245">
        <v>9</v>
      </c>
      <c r="L245" t="s">
        <v>137</v>
      </c>
      <c r="M245" t="s">
        <v>319</v>
      </c>
      <c r="N245" t="s">
        <v>320</v>
      </c>
      <c r="O245">
        <v>71.400000000000006</v>
      </c>
      <c r="P245">
        <v>136</v>
      </c>
      <c r="Q245">
        <v>6251</v>
      </c>
      <c r="R245" t="s">
        <v>189</v>
      </c>
      <c r="S245" t="s">
        <v>116</v>
      </c>
      <c r="T245" t="s">
        <v>124</v>
      </c>
      <c r="U245" t="s">
        <v>176</v>
      </c>
      <c r="V245" t="s">
        <v>230</v>
      </c>
      <c r="W245" t="s">
        <v>156</v>
      </c>
      <c r="Y245" t="s">
        <v>227</v>
      </c>
      <c r="AA245">
        <v>1</v>
      </c>
      <c r="AB245" t="s">
        <v>99</v>
      </c>
      <c r="AC245" t="s">
        <v>288</v>
      </c>
      <c r="AE245" t="str">
        <f t="shared" si="3"/>
        <v>NoratZimmer</v>
      </c>
      <c r="AF245">
        <v>1</v>
      </c>
      <c r="AG245">
        <v>1</v>
      </c>
      <c r="AH245">
        <v>0</v>
      </c>
      <c r="AI245">
        <v>0</v>
      </c>
      <c r="AJ245">
        <v>1</v>
      </c>
      <c r="AK245" t="s">
        <v>178</v>
      </c>
      <c r="AL245">
        <v>0.34745762711864397</v>
      </c>
      <c r="AM245" t="s">
        <v>272</v>
      </c>
      <c r="AN245">
        <v>0.51041666666666696</v>
      </c>
    </row>
    <row r="246" spans="2:40" ht="15" customHeight="1" x14ac:dyDescent="0.2">
      <c r="B246">
        <v>11</v>
      </c>
      <c r="C246">
        <v>1</v>
      </c>
      <c r="D246">
        <v>5</v>
      </c>
      <c r="E246" t="s">
        <v>332</v>
      </c>
      <c r="F246" t="s">
        <v>268</v>
      </c>
      <c r="G246" s="15">
        <v>42937</v>
      </c>
      <c r="H246" t="s">
        <v>144</v>
      </c>
      <c r="I246" t="s">
        <v>318</v>
      </c>
      <c r="J246" t="s">
        <v>219</v>
      </c>
      <c r="K246">
        <v>9</v>
      </c>
      <c r="L246" t="s">
        <v>112</v>
      </c>
      <c r="M246" t="s">
        <v>319</v>
      </c>
      <c r="N246" t="s">
        <v>320</v>
      </c>
      <c r="O246">
        <v>71.400000000000006</v>
      </c>
      <c r="P246">
        <v>136</v>
      </c>
      <c r="Q246">
        <v>6251</v>
      </c>
      <c r="R246" t="s">
        <v>145</v>
      </c>
      <c r="S246" t="s">
        <v>116</v>
      </c>
      <c r="T246" t="s">
        <v>117</v>
      </c>
      <c r="U246" t="s">
        <v>130</v>
      </c>
      <c r="V246" t="s">
        <v>132</v>
      </c>
      <c r="W246" t="s">
        <v>114</v>
      </c>
      <c r="Y246" t="s">
        <v>130</v>
      </c>
      <c r="AA246">
        <v>1</v>
      </c>
      <c r="AB246" t="s">
        <v>99</v>
      </c>
      <c r="AC246" t="s">
        <v>263</v>
      </c>
      <c r="AE246" t="str">
        <f t="shared" si="3"/>
        <v>FlandersPoirier</v>
      </c>
      <c r="AF246">
        <v>1</v>
      </c>
      <c r="AG246">
        <v>1</v>
      </c>
      <c r="AH246">
        <v>0</v>
      </c>
      <c r="AI246">
        <v>0</v>
      </c>
      <c r="AJ246">
        <v>1</v>
      </c>
      <c r="AK246" t="s">
        <v>119</v>
      </c>
      <c r="AL246">
        <v>0.546875</v>
      </c>
      <c r="AM246" t="s">
        <v>133</v>
      </c>
      <c r="AN246">
        <v>0.38392857142857201</v>
      </c>
    </row>
    <row r="247" spans="2:40" ht="15" customHeight="1" x14ac:dyDescent="0.2">
      <c r="B247">
        <v>11</v>
      </c>
      <c r="C247">
        <v>1</v>
      </c>
      <c r="D247">
        <v>5</v>
      </c>
      <c r="E247" t="s">
        <v>332</v>
      </c>
      <c r="F247" t="s">
        <v>268</v>
      </c>
      <c r="G247" s="15">
        <v>42937</v>
      </c>
      <c r="H247" t="s">
        <v>144</v>
      </c>
      <c r="I247" t="s">
        <v>318</v>
      </c>
      <c r="J247" t="s">
        <v>219</v>
      </c>
      <c r="K247">
        <v>9</v>
      </c>
      <c r="L247" t="s">
        <v>112</v>
      </c>
      <c r="M247" t="s">
        <v>319</v>
      </c>
      <c r="N247" t="s">
        <v>320</v>
      </c>
      <c r="O247">
        <v>71.400000000000006</v>
      </c>
      <c r="P247">
        <v>136</v>
      </c>
      <c r="Q247">
        <v>6251</v>
      </c>
      <c r="R247" t="s">
        <v>145</v>
      </c>
      <c r="S247" t="s">
        <v>116</v>
      </c>
      <c r="T247" t="s">
        <v>124</v>
      </c>
      <c r="U247" t="s">
        <v>176</v>
      </c>
      <c r="V247" t="s">
        <v>119</v>
      </c>
      <c r="W247" t="s">
        <v>156</v>
      </c>
      <c r="Y247" t="s">
        <v>133</v>
      </c>
      <c r="AA247">
        <v>1</v>
      </c>
      <c r="AB247" t="s">
        <v>100</v>
      </c>
      <c r="AC247" t="s">
        <v>263</v>
      </c>
      <c r="AE247" t="str">
        <f t="shared" si="3"/>
        <v>GriseMangold</v>
      </c>
      <c r="AF247">
        <v>0</v>
      </c>
      <c r="AG247">
        <v>0</v>
      </c>
      <c r="AH247">
        <v>1</v>
      </c>
      <c r="AI247">
        <v>0</v>
      </c>
      <c r="AJ247">
        <v>0</v>
      </c>
      <c r="AK247" t="s">
        <v>132</v>
      </c>
      <c r="AL247">
        <v>0.4296875</v>
      </c>
      <c r="AM247" t="s">
        <v>130</v>
      </c>
      <c r="AN247">
        <v>0.48611111111111099</v>
      </c>
    </row>
    <row r="248" spans="2:40" ht="15" customHeight="1" x14ac:dyDescent="0.2">
      <c r="B248">
        <v>12</v>
      </c>
      <c r="C248">
        <v>2</v>
      </c>
      <c r="D248">
        <v>5</v>
      </c>
      <c r="E248" t="s">
        <v>333</v>
      </c>
      <c r="F248" t="s">
        <v>268</v>
      </c>
      <c r="G248" s="15">
        <v>42937</v>
      </c>
      <c r="H248" t="s">
        <v>144</v>
      </c>
      <c r="I248" t="s">
        <v>318</v>
      </c>
      <c r="J248" t="s">
        <v>219</v>
      </c>
      <c r="K248">
        <v>9</v>
      </c>
      <c r="L248" t="s">
        <v>112</v>
      </c>
      <c r="M248" t="s">
        <v>319</v>
      </c>
      <c r="N248" t="s">
        <v>320</v>
      </c>
      <c r="O248">
        <v>71.400000000000006</v>
      </c>
      <c r="P248">
        <v>136</v>
      </c>
      <c r="Q248">
        <v>6251</v>
      </c>
      <c r="R248" t="s">
        <v>145</v>
      </c>
      <c r="S248" t="s">
        <v>116</v>
      </c>
      <c r="T248" t="s">
        <v>124</v>
      </c>
      <c r="U248" t="s">
        <v>176</v>
      </c>
      <c r="V248" t="s">
        <v>1308</v>
      </c>
      <c r="W248" t="s">
        <v>156</v>
      </c>
      <c r="Y248" t="s">
        <v>176</v>
      </c>
      <c r="AA248">
        <v>1</v>
      </c>
      <c r="AB248" t="s">
        <v>99</v>
      </c>
      <c r="AC248" t="s">
        <v>257</v>
      </c>
      <c r="AE248" t="str">
        <f t="shared" si="3"/>
        <v>ConnollyForster</v>
      </c>
      <c r="AF248">
        <v>1</v>
      </c>
      <c r="AG248">
        <v>1</v>
      </c>
      <c r="AH248">
        <v>0</v>
      </c>
      <c r="AI248">
        <v>0</v>
      </c>
      <c r="AJ248">
        <v>1</v>
      </c>
      <c r="AK248" t="s">
        <v>127</v>
      </c>
      <c r="AL248">
        <v>0.59523809523809501</v>
      </c>
      <c r="AM248" t="s">
        <v>118</v>
      </c>
      <c r="AN248">
        <v>0.6171875</v>
      </c>
    </row>
    <row r="249" spans="2:40" ht="15" customHeight="1" x14ac:dyDescent="0.2">
      <c r="B249">
        <v>12</v>
      </c>
      <c r="C249">
        <v>2</v>
      </c>
      <c r="D249">
        <v>5</v>
      </c>
      <c r="E249" t="s">
        <v>333</v>
      </c>
      <c r="F249" t="s">
        <v>268</v>
      </c>
      <c r="G249" s="15">
        <v>42937</v>
      </c>
      <c r="H249" t="s">
        <v>144</v>
      </c>
      <c r="I249" t="s">
        <v>318</v>
      </c>
      <c r="J249" t="s">
        <v>219</v>
      </c>
      <c r="K249">
        <v>9</v>
      </c>
      <c r="L249" t="s">
        <v>112</v>
      </c>
      <c r="M249" t="s">
        <v>319</v>
      </c>
      <c r="N249" t="s">
        <v>320</v>
      </c>
      <c r="O249">
        <v>71.400000000000006</v>
      </c>
      <c r="P249">
        <v>136</v>
      </c>
      <c r="Q249">
        <v>6251</v>
      </c>
      <c r="R249" t="s">
        <v>145</v>
      </c>
      <c r="S249" t="s">
        <v>116</v>
      </c>
      <c r="T249" t="s">
        <v>117</v>
      </c>
      <c r="U249" t="s">
        <v>130</v>
      </c>
      <c r="V249" t="s">
        <v>127</v>
      </c>
      <c r="W249" t="s">
        <v>114</v>
      </c>
      <c r="Y249" t="s">
        <v>118</v>
      </c>
      <c r="AA249">
        <v>1</v>
      </c>
      <c r="AB249" t="s">
        <v>100</v>
      </c>
      <c r="AC249" t="s">
        <v>257</v>
      </c>
      <c r="AE249" t="str">
        <f t="shared" si="3"/>
        <v>FerrinJackson</v>
      </c>
      <c r="AF249">
        <v>0</v>
      </c>
      <c r="AG249">
        <v>0</v>
      </c>
      <c r="AH249">
        <v>1</v>
      </c>
      <c r="AI249">
        <v>0</v>
      </c>
      <c r="AJ249">
        <v>0</v>
      </c>
      <c r="AK249" t="s">
        <v>1308</v>
      </c>
      <c r="AL249">
        <v>0.59375</v>
      </c>
      <c r="AM249" t="s">
        <v>176</v>
      </c>
      <c r="AN249">
        <v>0.59649122807017496</v>
      </c>
    </row>
    <row r="250" spans="2:40" ht="15" customHeight="1" x14ac:dyDescent="0.2">
      <c r="B250">
        <v>13</v>
      </c>
      <c r="C250">
        <v>3</v>
      </c>
      <c r="D250">
        <v>5</v>
      </c>
      <c r="E250" t="s">
        <v>334</v>
      </c>
      <c r="F250" t="s">
        <v>268</v>
      </c>
      <c r="G250" s="15">
        <v>42937</v>
      </c>
      <c r="H250" t="s">
        <v>144</v>
      </c>
      <c r="I250" t="s">
        <v>318</v>
      </c>
      <c r="J250" t="s">
        <v>219</v>
      </c>
      <c r="K250">
        <v>9</v>
      </c>
      <c r="L250" t="s">
        <v>112</v>
      </c>
      <c r="M250" t="s">
        <v>319</v>
      </c>
      <c r="N250" t="s">
        <v>320</v>
      </c>
      <c r="O250">
        <v>71.400000000000006</v>
      </c>
      <c r="P250">
        <v>136</v>
      </c>
      <c r="Q250">
        <v>6251</v>
      </c>
      <c r="R250" t="s">
        <v>145</v>
      </c>
      <c r="S250" t="s">
        <v>116</v>
      </c>
      <c r="T250" t="s">
        <v>117</v>
      </c>
      <c r="U250" t="s">
        <v>130</v>
      </c>
      <c r="V250" t="s">
        <v>226</v>
      </c>
      <c r="W250" t="s">
        <v>114</v>
      </c>
      <c r="Y250" t="s">
        <v>272</v>
      </c>
      <c r="AA250">
        <v>1</v>
      </c>
      <c r="AB250" t="s">
        <v>99</v>
      </c>
      <c r="AC250" t="s">
        <v>263</v>
      </c>
      <c r="AE250" t="str">
        <f t="shared" si="3"/>
        <v>GrayWelker</v>
      </c>
      <c r="AF250">
        <v>1</v>
      </c>
      <c r="AG250">
        <v>1</v>
      </c>
      <c r="AH250">
        <v>0</v>
      </c>
      <c r="AI250">
        <v>0</v>
      </c>
      <c r="AJ250">
        <v>1</v>
      </c>
      <c r="AK250" t="s">
        <v>231</v>
      </c>
      <c r="AL250">
        <v>0.5</v>
      </c>
      <c r="AM250" t="s">
        <v>135</v>
      </c>
    </row>
    <row r="251" spans="2:40" ht="15" customHeight="1" x14ac:dyDescent="0.2">
      <c r="B251">
        <v>13</v>
      </c>
      <c r="C251">
        <v>3</v>
      </c>
      <c r="D251">
        <v>5</v>
      </c>
      <c r="E251" t="s">
        <v>334</v>
      </c>
      <c r="F251" t="s">
        <v>268</v>
      </c>
      <c r="G251" s="15">
        <v>42937</v>
      </c>
      <c r="H251" t="s">
        <v>144</v>
      </c>
      <c r="I251" t="s">
        <v>318</v>
      </c>
      <c r="J251" t="s">
        <v>219</v>
      </c>
      <c r="K251">
        <v>9</v>
      </c>
      <c r="L251" t="s">
        <v>112</v>
      </c>
      <c r="M251" t="s">
        <v>319</v>
      </c>
      <c r="N251" t="s">
        <v>320</v>
      </c>
      <c r="O251">
        <v>71.400000000000006</v>
      </c>
      <c r="P251">
        <v>136</v>
      </c>
      <c r="Q251">
        <v>6251</v>
      </c>
      <c r="R251" t="s">
        <v>145</v>
      </c>
      <c r="S251" t="s">
        <v>116</v>
      </c>
      <c r="T251" t="s">
        <v>124</v>
      </c>
      <c r="U251" t="s">
        <v>176</v>
      </c>
      <c r="V251" t="s">
        <v>231</v>
      </c>
      <c r="W251" t="s">
        <v>156</v>
      </c>
      <c r="Y251" t="s">
        <v>135</v>
      </c>
      <c r="AA251">
        <v>1</v>
      </c>
      <c r="AB251" t="s">
        <v>100</v>
      </c>
      <c r="AC251" t="s">
        <v>263</v>
      </c>
      <c r="AE251" t="str">
        <f t="shared" si="3"/>
        <v>McInerneyShively</v>
      </c>
      <c r="AF251">
        <v>0</v>
      </c>
      <c r="AG251">
        <v>0</v>
      </c>
      <c r="AH251">
        <v>1</v>
      </c>
      <c r="AI251">
        <v>0</v>
      </c>
      <c r="AJ251">
        <v>0</v>
      </c>
      <c r="AK251" t="s">
        <v>226</v>
      </c>
      <c r="AL251">
        <v>0.65476190476190499</v>
      </c>
      <c r="AM251" t="s">
        <v>272</v>
      </c>
      <c r="AN251">
        <v>0.51041666666666696</v>
      </c>
    </row>
    <row r="252" spans="2:40" ht="15" customHeight="1" x14ac:dyDescent="0.2">
      <c r="B252">
        <v>14</v>
      </c>
      <c r="C252">
        <v>4</v>
      </c>
      <c r="D252">
        <v>5</v>
      </c>
      <c r="E252" t="s">
        <v>335</v>
      </c>
      <c r="F252" t="s">
        <v>268</v>
      </c>
      <c r="G252" s="15">
        <v>42937</v>
      </c>
      <c r="H252" t="s">
        <v>144</v>
      </c>
      <c r="I252" t="s">
        <v>318</v>
      </c>
      <c r="J252" t="s">
        <v>219</v>
      </c>
      <c r="K252">
        <v>9</v>
      </c>
      <c r="L252" t="s">
        <v>112</v>
      </c>
      <c r="M252" t="s">
        <v>319</v>
      </c>
      <c r="N252" t="s">
        <v>320</v>
      </c>
      <c r="O252">
        <v>71.400000000000006</v>
      </c>
      <c r="P252">
        <v>136</v>
      </c>
      <c r="Q252">
        <v>6251</v>
      </c>
      <c r="R252" t="s">
        <v>145</v>
      </c>
      <c r="S252" t="s">
        <v>116</v>
      </c>
      <c r="T252" t="s">
        <v>124</v>
      </c>
      <c r="U252" t="s">
        <v>176</v>
      </c>
      <c r="V252" t="s">
        <v>321</v>
      </c>
      <c r="W252" t="s">
        <v>156</v>
      </c>
      <c r="Y252" t="s">
        <v>123</v>
      </c>
      <c r="AA252">
        <v>1</v>
      </c>
      <c r="AB252" t="s">
        <v>99</v>
      </c>
      <c r="AC252" t="s">
        <v>288</v>
      </c>
      <c r="AE252" t="str">
        <f t="shared" si="3"/>
        <v>DelaneyLynch</v>
      </c>
      <c r="AF252">
        <v>1</v>
      </c>
      <c r="AG252">
        <v>1</v>
      </c>
      <c r="AH252">
        <v>0</v>
      </c>
      <c r="AI252">
        <v>0</v>
      </c>
      <c r="AJ252">
        <v>1</v>
      </c>
      <c r="AK252" t="s">
        <v>172</v>
      </c>
      <c r="AL252">
        <v>0.37288135593220301</v>
      </c>
      <c r="AM252" t="s">
        <v>122</v>
      </c>
      <c r="AN252">
        <v>0.47321428571428598</v>
      </c>
    </row>
    <row r="253" spans="2:40" ht="15" customHeight="1" x14ac:dyDescent="0.2">
      <c r="B253">
        <v>14</v>
      </c>
      <c r="C253">
        <v>4</v>
      </c>
      <c r="D253">
        <v>5</v>
      </c>
      <c r="E253" t="s">
        <v>335</v>
      </c>
      <c r="F253" t="s">
        <v>268</v>
      </c>
      <c r="G253" s="15">
        <v>42937</v>
      </c>
      <c r="H253" t="s">
        <v>144</v>
      </c>
      <c r="I253" t="s">
        <v>318</v>
      </c>
      <c r="J253" t="s">
        <v>219</v>
      </c>
      <c r="K253">
        <v>9</v>
      </c>
      <c r="L253" t="s">
        <v>112</v>
      </c>
      <c r="M253" t="s">
        <v>319</v>
      </c>
      <c r="N253" t="s">
        <v>320</v>
      </c>
      <c r="O253">
        <v>71.400000000000006</v>
      </c>
      <c r="P253">
        <v>136</v>
      </c>
      <c r="Q253">
        <v>6251</v>
      </c>
      <c r="R253" t="s">
        <v>145</v>
      </c>
      <c r="S253" t="s">
        <v>116</v>
      </c>
      <c r="T253" t="s">
        <v>117</v>
      </c>
      <c r="U253" t="s">
        <v>130</v>
      </c>
      <c r="V253" t="s">
        <v>172</v>
      </c>
      <c r="W253" t="s">
        <v>114</v>
      </c>
      <c r="Y253" t="s">
        <v>122</v>
      </c>
      <c r="AA253">
        <v>1</v>
      </c>
      <c r="AB253" t="s">
        <v>100</v>
      </c>
      <c r="AC253" t="s">
        <v>288</v>
      </c>
      <c r="AE253" t="str">
        <f t="shared" si="3"/>
        <v>FoganHilts</v>
      </c>
      <c r="AF253">
        <v>0</v>
      </c>
      <c r="AG253">
        <v>0</v>
      </c>
      <c r="AH253">
        <v>1</v>
      </c>
      <c r="AI253">
        <v>0</v>
      </c>
      <c r="AJ253">
        <v>0</v>
      </c>
      <c r="AK253" t="s">
        <v>321</v>
      </c>
      <c r="AL253">
        <v>0.46551724137931</v>
      </c>
      <c r="AM253" t="s">
        <v>123</v>
      </c>
      <c r="AN253">
        <v>0.5546875</v>
      </c>
    </row>
    <row r="254" spans="2:40" ht="15" customHeight="1" x14ac:dyDescent="0.2">
      <c r="B254">
        <v>15</v>
      </c>
      <c r="C254">
        <v>5</v>
      </c>
      <c r="D254">
        <v>5</v>
      </c>
      <c r="E254" t="s">
        <v>336</v>
      </c>
      <c r="F254" t="s">
        <v>268</v>
      </c>
      <c r="G254" s="15">
        <v>42937</v>
      </c>
      <c r="H254" t="s">
        <v>144</v>
      </c>
      <c r="I254" t="s">
        <v>318</v>
      </c>
      <c r="J254" t="s">
        <v>219</v>
      </c>
      <c r="K254">
        <v>9</v>
      </c>
      <c r="L254" t="s">
        <v>112</v>
      </c>
      <c r="M254" t="s">
        <v>319</v>
      </c>
      <c r="N254" t="s">
        <v>320</v>
      </c>
      <c r="O254">
        <v>71.400000000000006</v>
      </c>
      <c r="P254">
        <v>136</v>
      </c>
      <c r="Q254">
        <v>6251</v>
      </c>
      <c r="R254" t="s">
        <v>145</v>
      </c>
      <c r="S254" t="s">
        <v>116</v>
      </c>
      <c r="T254" t="s">
        <v>117</v>
      </c>
      <c r="U254" t="s">
        <v>176</v>
      </c>
      <c r="V254" t="s">
        <v>230</v>
      </c>
      <c r="W254" t="s">
        <v>156</v>
      </c>
      <c r="Y254" t="s">
        <v>227</v>
      </c>
      <c r="AA254">
        <v>1</v>
      </c>
      <c r="AB254" t="s">
        <v>99</v>
      </c>
      <c r="AC254" t="s">
        <v>257</v>
      </c>
      <c r="AE254" t="str">
        <f t="shared" si="3"/>
        <v>NoratZimmer</v>
      </c>
      <c r="AF254">
        <v>1</v>
      </c>
      <c r="AG254">
        <v>1</v>
      </c>
      <c r="AH254">
        <v>0</v>
      </c>
      <c r="AI254">
        <v>0</v>
      </c>
      <c r="AJ254">
        <v>1</v>
      </c>
      <c r="AK254" t="s">
        <v>179</v>
      </c>
      <c r="AL254">
        <v>0.44067796610169502</v>
      </c>
      <c r="AM254" t="s">
        <v>178</v>
      </c>
      <c r="AN254">
        <v>0.34745762711864397</v>
      </c>
    </row>
    <row r="255" spans="2:40" ht="15" customHeight="1" x14ac:dyDescent="0.2">
      <c r="B255">
        <v>15</v>
      </c>
      <c r="C255">
        <v>5</v>
      </c>
      <c r="D255">
        <v>5</v>
      </c>
      <c r="E255" t="s">
        <v>336</v>
      </c>
      <c r="F255" t="s">
        <v>268</v>
      </c>
      <c r="G255" s="15">
        <v>42937</v>
      </c>
      <c r="H255" t="s">
        <v>144</v>
      </c>
      <c r="I255" t="s">
        <v>318</v>
      </c>
      <c r="J255" t="s">
        <v>219</v>
      </c>
      <c r="K255">
        <v>9</v>
      </c>
      <c r="L255" t="s">
        <v>112</v>
      </c>
      <c r="M255" t="s">
        <v>319</v>
      </c>
      <c r="N255" t="s">
        <v>320</v>
      </c>
      <c r="O255">
        <v>71.400000000000006</v>
      </c>
      <c r="P255">
        <v>136</v>
      </c>
      <c r="Q255">
        <v>6251</v>
      </c>
      <c r="R255" t="s">
        <v>145</v>
      </c>
      <c r="S255" t="s">
        <v>116</v>
      </c>
      <c r="T255" t="s">
        <v>124</v>
      </c>
      <c r="U255" t="s">
        <v>130</v>
      </c>
      <c r="V255" t="s">
        <v>179</v>
      </c>
      <c r="W255" t="s">
        <v>114</v>
      </c>
      <c r="Y255" t="s">
        <v>178</v>
      </c>
      <c r="AA255">
        <v>1</v>
      </c>
      <c r="AB255" t="s">
        <v>100</v>
      </c>
      <c r="AC255" t="s">
        <v>257</v>
      </c>
      <c r="AE255" t="str">
        <f t="shared" si="3"/>
        <v>ColeConnors</v>
      </c>
      <c r="AF255">
        <v>0</v>
      </c>
      <c r="AG255">
        <v>0</v>
      </c>
      <c r="AH255">
        <v>1</v>
      </c>
      <c r="AI255">
        <v>0</v>
      </c>
      <c r="AJ255">
        <v>0</v>
      </c>
      <c r="AK255" t="s">
        <v>230</v>
      </c>
      <c r="AL255">
        <v>0.52777777777777801</v>
      </c>
      <c r="AM255" t="s">
        <v>227</v>
      </c>
      <c r="AN255">
        <v>0.5</v>
      </c>
    </row>
    <row r="256" spans="2:40" ht="15" customHeight="1" x14ac:dyDescent="0.2">
      <c r="B256">
        <v>16</v>
      </c>
      <c r="C256">
        <v>1</v>
      </c>
      <c r="D256">
        <v>5</v>
      </c>
      <c r="E256" t="s">
        <v>337</v>
      </c>
      <c r="F256" t="s">
        <v>268</v>
      </c>
      <c r="G256" s="15">
        <v>42937</v>
      </c>
      <c r="H256" t="s">
        <v>144</v>
      </c>
      <c r="I256" t="s">
        <v>318</v>
      </c>
      <c r="J256" t="s">
        <v>219</v>
      </c>
      <c r="K256">
        <v>9</v>
      </c>
      <c r="L256" t="s">
        <v>137</v>
      </c>
      <c r="M256" t="s">
        <v>319</v>
      </c>
      <c r="N256" t="s">
        <v>320</v>
      </c>
      <c r="O256">
        <v>71.400000000000006</v>
      </c>
      <c r="P256">
        <v>136</v>
      </c>
      <c r="Q256">
        <v>6251</v>
      </c>
      <c r="R256" t="s">
        <v>197</v>
      </c>
      <c r="S256" t="s">
        <v>116</v>
      </c>
      <c r="T256" t="s">
        <v>117</v>
      </c>
      <c r="U256" t="s">
        <v>130</v>
      </c>
      <c r="V256" t="s">
        <v>132</v>
      </c>
      <c r="W256" t="s">
        <v>114</v>
      </c>
      <c r="Y256" t="s">
        <v>130</v>
      </c>
      <c r="AA256">
        <v>1</v>
      </c>
      <c r="AB256" t="s">
        <v>100</v>
      </c>
      <c r="AC256" t="s">
        <v>338</v>
      </c>
      <c r="AE256" t="str">
        <f t="shared" si="3"/>
        <v>FlandersPoirier</v>
      </c>
      <c r="AF256">
        <v>0</v>
      </c>
      <c r="AG256">
        <v>0</v>
      </c>
      <c r="AH256">
        <v>1</v>
      </c>
      <c r="AI256">
        <v>0</v>
      </c>
      <c r="AJ256">
        <v>0</v>
      </c>
      <c r="AK256" t="s">
        <v>119</v>
      </c>
      <c r="AL256">
        <v>0.546875</v>
      </c>
      <c r="AM256" t="s">
        <v>133</v>
      </c>
      <c r="AN256">
        <v>0.38392857142857201</v>
      </c>
    </row>
    <row r="257" spans="2:40" ht="15" customHeight="1" x14ac:dyDescent="0.2">
      <c r="B257">
        <v>16</v>
      </c>
      <c r="C257">
        <v>1</v>
      </c>
      <c r="D257">
        <v>5</v>
      </c>
      <c r="E257" t="s">
        <v>337</v>
      </c>
      <c r="F257" t="s">
        <v>268</v>
      </c>
      <c r="G257" s="15">
        <v>42937</v>
      </c>
      <c r="H257" t="s">
        <v>144</v>
      </c>
      <c r="I257" t="s">
        <v>318</v>
      </c>
      <c r="J257" t="s">
        <v>219</v>
      </c>
      <c r="K257">
        <v>9</v>
      </c>
      <c r="L257" t="s">
        <v>137</v>
      </c>
      <c r="M257" t="s">
        <v>319</v>
      </c>
      <c r="N257" t="s">
        <v>320</v>
      </c>
      <c r="O257">
        <v>71.400000000000006</v>
      </c>
      <c r="P257">
        <v>136</v>
      </c>
      <c r="Q257">
        <v>6251</v>
      </c>
      <c r="R257" t="s">
        <v>197</v>
      </c>
      <c r="S257" t="s">
        <v>116</v>
      </c>
      <c r="T257" t="s">
        <v>124</v>
      </c>
      <c r="U257" t="s">
        <v>176</v>
      </c>
      <c r="V257" t="s">
        <v>119</v>
      </c>
      <c r="W257" t="s">
        <v>156</v>
      </c>
      <c r="Y257" t="s">
        <v>133</v>
      </c>
      <c r="AA257">
        <v>1</v>
      </c>
      <c r="AB257" t="s">
        <v>99</v>
      </c>
      <c r="AC257" t="s">
        <v>338</v>
      </c>
      <c r="AE257" t="str">
        <f t="shared" si="3"/>
        <v>GriseMangold</v>
      </c>
      <c r="AF257">
        <v>1</v>
      </c>
      <c r="AG257">
        <v>1</v>
      </c>
      <c r="AH257">
        <v>0</v>
      </c>
      <c r="AI257">
        <v>0</v>
      </c>
      <c r="AJ257">
        <v>1</v>
      </c>
      <c r="AK257" t="s">
        <v>132</v>
      </c>
      <c r="AL257">
        <v>0.4296875</v>
      </c>
      <c r="AM257" t="s">
        <v>130</v>
      </c>
      <c r="AN257">
        <v>0.48611111111111099</v>
      </c>
    </row>
    <row r="258" spans="2:40" ht="15" customHeight="1" x14ac:dyDescent="0.2">
      <c r="B258">
        <v>17</v>
      </c>
      <c r="C258">
        <v>2</v>
      </c>
      <c r="D258">
        <v>5</v>
      </c>
      <c r="E258" t="s">
        <v>339</v>
      </c>
      <c r="F258" t="s">
        <v>268</v>
      </c>
      <c r="G258" s="15">
        <v>42937</v>
      </c>
      <c r="H258" t="s">
        <v>144</v>
      </c>
      <c r="I258" t="s">
        <v>318</v>
      </c>
      <c r="J258" t="s">
        <v>219</v>
      </c>
      <c r="K258">
        <v>9</v>
      </c>
      <c r="L258" t="s">
        <v>137</v>
      </c>
      <c r="M258" t="s">
        <v>319</v>
      </c>
      <c r="N258" t="s">
        <v>320</v>
      </c>
      <c r="O258">
        <v>71.400000000000006</v>
      </c>
      <c r="P258">
        <v>136</v>
      </c>
      <c r="Q258">
        <v>6251</v>
      </c>
      <c r="R258" t="s">
        <v>197</v>
      </c>
      <c r="S258" t="s">
        <v>116</v>
      </c>
      <c r="T258" t="s">
        <v>124</v>
      </c>
      <c r="U258" t="s">
        <v>176</v>
      </c>
      <c r="V258" t="s">
        <v>1308</v>
      </c>
      <c r="W258" t="s">
        <v>156</v>
      </c>
      <c r="Y258" t="s">
        <v>176</v>
      </c>
      <c r="AA258">
        <v>1</v>
      </c>
      <c r="AB258" t="s">
        <v>101</v>
      </c>
      <c r="AC258" t="s">
        <v>340</v>
      </c>
      <c r="AE258" t="str">
        <f t="shared" ref="AE258:AE321" si="4">$V258&amp;$Y258</f>
        <v>ConnollyForster</v>
      </c>
      <c r="AF258">
        <v>0.5</v>
      </c>
      <c r="AG258">
        <v>0</v>
      </c>
      <c r="AH258">
        <v>0</v>
      </c>
      <c r="AI258">
        <v>1</v>
      </c>
      <c r="AJ258">
        <v>0.5</v>
      </c>
      <c r="AK258" t="s">
        <v>127</v>
      </c>
      <c r="AL258">
        <v>0.59523809523809501</v>
      </c>
      <c r="AM258" t="s">
        <v>118</v>
      </c>
      <c r="AN258">
        <v>0.6171875</v>
      </c>
    </row>
    <row r="259" spans="2:40" ht="15" customHeight="1" x14ac:dyDescent="0.2">
      <c r="B259">
        <v>17</v>
      </c>
      <c r="C259">
        <v>2</v>
      </c>
      <c r="D259">
        <v>5</v>
      </c>
      <c r="E259" t="s">
        <v>339</v>
      </c>
      <c r="F259" t="s">
        <v>268</v>
      </c>
      <c r="G259" s="15">
        <v>42937</v>
      </c>
      <c r="H259" t="s">
        <v>144</v>
      </c>
      <c r="I259" t="s">
        <v>318</v>
      </c>
      <c r="J259" t="s">
        <v>219</v>
      </c>
      <c r="K259">
        <v>9</v>
      </c>
      <c r="L259" t="s">
        <v>137</v>
      </c>
      <c r="M259" t="s">
        <v>319</v>
      </c>
      <c r="N259" t="s">
        <v>320</v>
      </c>
      <c r="O259">
        <v>71.400000000000006</v>
      </c>
      <c r="P259">
        <v>136</v>
      </c>
      <c r="Q259">
        <v>6251</v>
      </c>
      <c r="R259" t="s">
        <v>197</v>
      </c>
      <c r="S259" t="s">
        <v>116</v>
      </c>
      <c r="T259" t="s">
        <v>117</v>
      </c>
      <c r="U259" t="s">
        <v>130</v>
      </c>
      <c r="V259" t="s">
        <v>127</v>
      </c>
      <c r="W259" t="s">
        <v>114</v>
      </c>
      <c r="Y259" t="s">
        <v>118</v>
      </c>
      <c r="AA259">
        <v>1</v>
      </c>
      <c r="AB259" t="s">
        <v>101</v>
      </c>
      <c r="AC259" t="s">
        <v>340</v>
      </c>
      <c r="AE259" t="str">
        <f t="shared" si="4"/>
        <v>FerrinJackson</v>
      </c>
      <c r="AF259">
        <v>0.5</v>
      </c>
      <c r="AG259">
        <v>0</v>
      </c>
      <c r="AH259">
        <v>0</v>
      </c>
      <c r="AI259">
        <v>1</v>
      </c>
      <c r="AJ259">
        <v>0.5</v>
      </c>
      <c r="AK259" t="s">
        <v>1308</v>
      </c>
      <c r="AL259">
        <v>0.59375</v>
      </c>
      <c r="AM259" t="s">
        <v>176</v>
      </c>
      <c r="AN259">
        <v>0.59649122807017496</v>
      </c>
    </row>
    <row r="260" spans="2:40" ht="15" customHeight="1" x14ac:dyDescent="0.2">
      <c r="B260">
        <v>18</v>
      </c>
      <c r="C260">
        <v>3</v>
      </c>
      <c r="D260">
        <v>5</v>
      </c>
      <c r="E260" t="s">
        <v>341</v>
      </c>
      <c r="F260" t="s">
        <v>268</v>
      </c>
      <c r="G260" s="15">
        <v>42937</v>
      </c>
      <c r="H260" t="s">
        <v>144</v>
      </c>
      <c r="I260" t="s">
        <v>318</v>
      </c>
      <c r="J260" t="s">
        <v>219</v>
      </c>
      <c r="K260">
        <v>9</v>
      </c>
      <c r="L260" t="s">
        <v>137</v>
      </c>
      <c r="M260" t="s">
        <v>319</v>
      </c>
      <c r="N260" t="s">
        <v>320</v>
      </c>
      <c r="O260">
        <v>71.400000000000006</v>
      </c>
      <c r="P260">
        <v>136</v>
      </c>
      <c r="Q260">
        <v>6251</v>
      </c>
      <c r="R260" t="s">
        <v>197</v>
      </c>
      <c r="S260" t="s">
        <v>116</v>
      </c>
      <c r="T260" t="s">
        <v>117</v>
      </c>
      <c r="U260" t="s">
        <v>130</v>
      </c>
      <c r="V260" t="s">
        <v>226</v>
      </c>
      <c r="W260" t="s">
        <v>114</v>
      </c>
      <c r="Y260" t="s">
        <v>272</v>
      </c>
      <c r="AA260">
        <v>1</v>
      </c>
      <c r="AB260" t="s">
        <v>99</v>
      </c>
      <c r="AC260" t="s">
        <v>342</v>
      </c>
      <c r="AE260" t="str">
        <f t="shared" si="4"/>
        <v>GrayWelker</v>
      </c>
      <c r="AF260">
        <v>1</v>
      </c>
      <c r="AG260">
        <v>1</v>
      </c>
      <c r="AH260">
        <v>0</v>
      </c>
      <c r="AI260">
        <v>0</v>
      </c>
      <c r="AJ260">
        <v>1</v>
      </c>
      <c r="AK260" t="s">
        <v>231</v>
      </c>
      <c r="AL260">
        <v>0.5</v>
      </c>
      <c r="AM260" t="s">
        <v>135</v>
      </c>
    </row>
    <row r="261" spans="2:40" ht="15" customHeight="1" x14ac:dyDescent="0.2">
      <c r="B261">
        <v>18</v>
      </c>
      <c r="C261">
        <v>3</v>
      </c>
      <c r="D261">
        <v>5</v>
      </c>
      <c r="E261" t="s">
        <v>341</v>
      </c>
      <c r="F261" t="s">
        <v>268</v>
      </c>
      <c r="G261" s="15">
        <v>42937</v>
      </c>
      <c r="H261" t="s">
        <v>144</v>
      </c>
      <c r="I261" t="s">
        <v>318</v>
      </c>
      <c r="J261" t="s">
        <v>219</v>
      </c>
      <c r="K261">
        <v>9</v>
      </c>
      <c r="L261" t="s">
        <v>137</v>
      </c>
      <c r="M261" t="s">
        <v>319</v>
      </c>
      <c r="N261" t="s">
        <v>320</v>
      </c>
      <c r="O261">
        <v>71.400000000000006</v>
      </c>
      <c r="P261">
        <v>136</v>
      </c>
      <c r="Q261">
        <v>6251</v>
      </c>
      <c r="R261" t="s">
        <v>197</v>
      </c>
      <c r="S261" t="s">
        <v>116</v>
      </c>
      <c r="T261" t="s">
        <v>124</v>
      </c>
      <c r="U261" t="s">
        <v>176</v>
      </c>
      <c r="V261" t="s">
        <v>231</v>
      </c>
      <c r="W261" t="s">
        <v>156</v>
      </c>
      <c r="Y261" t="s">
        <v>135</v>
      </c>
      <c r="AA261">
        <v>1</v>
      </c>
      <c r="AB261" t="s">
        <v>100</v>
      </c>
      <c r="AC261" t="s">
        <v>342</v>
      </c>
      <c r="AE261" t="str">
        <f t="shared" si="4"/>
        <v>McInerneyShively</v>
      </c>
      <c r="AF261">
        <v>0</v>
      </c>
      <c r="AG261">
        <v>0</v>
      </c>
      <c r="AH261">
        <v>1</v>
      </c>
      <c r="AI261">
        <v>0</v>
      </c>
      <c r="AJ261">
        <v>0</v>
      </c>
      <c r="AK261" t="s">
        <v>226</v>
      </c>
      <c r="AL261">
        <v>0.65476190476190499</v>
      </c>
      <c r="AM261" t="s">
        <v>272</v>
      </c>
      <c r="AN261">
        <v>0.51041666666666696</v>
      </c>
    </row>
    <row r="262" spans="2:40" ht="15" customHeight="1" x14ac:dyDescent="0.2">
      <c r="B262">
        <v>19</v>
      </c>
      <c r="C262">
        <v>4</v>
      </c>
      <c r="D262">
        <v>5</v>
      </c>
      <c r="E262" t="s">
        <v>343</v>
      </c>
      <c r="F262" t="s">
        <v>268</v>
      </c>
      <c r="G262" s="15">
        <v>42937</v>
      </c>
      <c r="H262" t="s">
        <v>144</v>
      </c>
      <c r="I262" t="s">
        <v>318</v>
      </c>
      <c r="J262" t="s">
        <v>219</v>
      </c>
      <c r="K262">
        <v>9</v>
      </c>
      <c r="L262" t="s">
        <v>137</v>
      </c>
      <c r="M262" t="s">
        <v>319</v>
      </c>
      <c r="N262" t="s">
        <v>320</v>
      </c>
      <c r="O262">
        <v>71.400000000000006</v>
      </c>
      <c r="P262">
        <v>136</v>
      </c>
      <c r="Q262">
        <v>6251</v>
      </c>
      <c r="R262" t="s">
        <v>197</v>
      </c>
      <c r="S262" t="s">
        <v>116</v>
      </c>
      <c r="T262" t="s">
        <v>124</v>
      </c>
      <c r="U262" t="s">
        <v>176</v>
      </c>
      <c r="V262" t="s">
        <v>321</v>
      </c>
      <c r="W262" t="s">
        <v>156</v>
      </c>
      <c r="Y262" t="s">
        <v>123</v>
      </c>
      <c r="AA262">
        <v>1</v>
      </c>
      <c r="AB262" t="s">
        <v>99</v>
      </c>
      <c r="AC262" t="s">
        <v>344</v>
      </c>
      <c r="AE262" t="str">
        <f t="shared" si="4"/>
        <v>DelaneyLynch</v>
      </c>
      <c r="AF262">
        <v>1</v>
      </c>
      <c r="AG262">
        <v>1</v>
      </c>
      <c r="AH262">
        <v>0</v>
      </c>
      <c r="AI262">
        <v>0</v>
      </c>
      <c r="AJ262">
        <v>1</v>
      </c>
      <c r="AK262" t="s">
        <v>172</v>
      </c>
      <c r="AL262">
        <v>0.37288135593220301</v>
      </c>
      <c r="AM262" t="s">
        <v>122</v>
      </c>
      <c r="AN262">
        <v>0.47321428571428598</v>
      </c>
    </row>
    <row r="263" spans="2:40" ht="15" customHeight="1" x14ac:dyDescent="0.2">
      <c r="B263">
        <v>19</v>
      </c>
      <c r="C263">
        <v>4</v>
      </c>
      <c r="D263">
        <v>5</v>
      </c>
      <c r="E263" t="s">
        <v>343</v>
      </c>
      <c r="F263" t="s">
        <v>268</v>
      </c>
      <c r="G263" s="15">
        <v>42937</v>
      </c>
      <c r="H263" t="s">
        <v>144</v>
      </c>
      <c r="I263" t="s">
        <v>318</v>
      </c>
      <c r="J263" t="s">
        <v>219</v>
      </c>
      <c r="K263">
        <v>9</v>
      </c>
      <c r="L263" t="s">
        <v>137</v>
      </c>
      <c r="M263" t="s">
        <v>319</v>
      </c>
      <c r="N263" t="s">
        <v>320</v>
      </c>
      <c r="O263">
        <v>71.400000000000006</v>
      </c>
      <c r="P263">
        <v>136</v>
      </c>
      <c r="Q263">
        <v>6251</v>
      </c>
      <c r="R263" t="s">
        <v>197</v>
      </c>
      <c r="S263" t="s">
        <v>116</v>
      </c>
      <c r="T263" t="s">
        <v>117</v>
      </c>
      <c r="U263" t="s">
        <v>130</v>
      </c>
      <c r="V263" t="s">
        <v>172</v>
      </c>
      <c r="W263" t="s">
        <v>114</v>
      </c>
      <c r="Y263" t="s">
        <v>122</v>
      </c>
      <c r="AA263">
        <v>1</v>
      </c>
      <c r="AB263" t="s">
        <v>100</v>
      </c>
      <c r="AC263" t="s">
        <v>344</v>
      </c>
      <c r="AE263" t="str">
        <f t="shared" si="4"/>
        <v>FoganHilts</v>
      </c>
      <c r="AF263">
        <v>0</v>
      </c>
      <c r="AG263">
        <v>0</v>
      </c>
      <c r="AH263">
        <v>1</v>
      </c>
      <c r="AI263">
        <v>0</v>
      </c>
      <c r="AJ263">
        <v>0</v>
      </c>
      <c r="AK263" t="s">
        <v>321</v>
      </c>
      <c r="AL263">
        <v>0.46551724137931</v>
      </c>
      <c r="AM263" t="s">
        <v>123</v>
      </c>
      <c r="AN263">
        <v>0.5546875</v>
      </c>
    </row>
    <row r="264" spans="2:40" ht="15" customHeight="1" x14ac:dyDescent="0.2">
      <c r="B264">
        <v>20</v>
      </c>
      <c r="C264">
        <v>5</v>
      </c>
      <c r="D264">
        <v>5</v>
      </c>
      <c r="E264" t="s">
        <v>345</v>
      </c>
      <c r="F264" t="s">
        <v>268</v>
      </c>
      <c r="G264" s="15">
        <v>42937</v>
      </c>
      <c r="H264" t="s">
        <v>144</v>
      </c>
      <c r="I264" t="s">
        <v>318</v>
      </c>
      <c r="J264" t="s">
        <v>219</v>
      </c>
      <c r="K264">
        <v>9</v>
      </c>
      <c r="L264" t="s">
        <v>137</v>
      </c>
      <c r="M264" t="s">
        <v>319</v>
      </c>
      <c r="N264" t="s">
        <v>320</v>
      </c>
      <c r="O264">
        <v>71.400000000000006</v>
      </c>
      <c r="P264">
        <v>136</v>
      </c>
      <c r="Q264">
        <v>6251</v>
      </c>
      <c r="R264" t="s">
        <v>197</v>
      </c>
      <c r="S264" t="s">
        <v>116</v>
      </c>
      <c r="T264" t="s">
        <v>117</v>
      </c>
      <c r="U264" t="s">
        <v>176</v>
      </c>
      <c r="V264" t="s">
        <v>230</v>
      </c>
      <c r="W264" t="s">
        <v>156</v>
      </c>
      <c r="Y264" t="s">
        <v>227</v>
      </c>
      <c r="AA264">
        <v>1</v>
      </c>
      <c r="AB264" t="s">
        <v>99</v>
      </c>
      <c r="AC264" t="s">
        <v>346</v>
      </c>
      <c r="AE264" t="str">
        <f t="shared" si="4"/>
        <v>NoratZimmer</v>
      </c>
      <c r="AF264">
        <v>1</v>
      </c>
      <c r="AG264">
        <v>1</v>
      </c>
      <c r="AH264">
        <v>0</v>
      </c>
      <c r="AI264">
        <v>0</v>
      </c>
      <c r="AJ264">
        <v>1</v>
      </c>
      <c r="AK264" t="s">
        <v>179</v>
      </c>
      <c r="AL264">
        <v>0.44067796610169502</v>
      </c>
      <c r="AM264" t="s">
        <v>178</v>
      </c>
      <c r="AN264">
        <v>0.34745762711864397</v>
      </c>
    </row>
    <row r="265" spans="2:40" ht="15" customHeight="1" x14ac:dyDescent="0.2">
      <c r="B265">
        <v>20</v>
      </c>
      <c r="C265">
        <v>5</v>
      </c>
      <c r="D265">
        <v>5</v>
      </c>
      <c r="E265" t="s">
        <v>345</v>
      </c>
      <c r="F265" t="s">
        <v>268</v>
      </c>
      <c r="G265" s="15">
        <v>42937</v>
      </c>
      <c r="H265" t="s">
        <v>144</v>
      </c>
      <c r="I265" t="s">
        <v>318</v>
      </c>
      <c r="J265" t="s">
        <v>219</v>
      </c>
      <c r="K265">
        <v>9</v>
      </c>
      <c r="L265" t="s">
        <v>137</v>
      </c>
      <c r="M265" t="s">
        <v>319</v>
      </c>
      <c r="N265" t="s">
        <v>320</v>
      </c>
      <c r="O265">
        <v>71.400000000000006</v>
      </c>
      <c r="P265">
        <v>136</v>
      </c>
      <c r="Q265">
        <v>6251</v>
      </c>
      <c r="R265" t="s">
        <v>197</v>
      </c>
      <c r="S265" t="s">
        <v>116</v>
      </c>
      <c r="T265" t="s">
        <v>124</v>
      </c>
      <c r="U265" t="s">
        <v>130</v>
      </c>
      <c r="V265" t="s">
        <v>179</v>
      </c>
      <c r="W265" t="s">
        <v>114</v>
      </c>
      <c r="Y265" t="s">
        <v>178</v>
      </c>
      <c r="AA265">
        <v>1</v>
      </c>
      <c r="AB265" t="s">
        <v>100</v>
      </c>
      <c r="AC265" t="s">
        <v>346</v>
      </c>
      <c r="AE265" t="str">
        <f t="shared" si="4"/>
        <v>ColeConnors</v>
      </c>
      <c r="AF265">
        <v>0</v>
      </c>
      <c r="AG265">
        <v>0</v>
      </c>
      <c r="AH265">
        <v>1</v>
      </c>
      <c r="AI265">
        <v>0</v>
      </c>
      <c r="AJ265">
        <v>0</v>
      </c>
      <c r="AK265" t="s">
        <v>230</v>
      </c>
      <c r="AL265">
        <v>0.52777777777777801</v>
      </c>
      <c r="AM265" t="s">
        <v>227</v>
      </c>
      <c r="AN265">
        <v>0.5</v>
      </c>
    </row>
    <row r="266" spans="2:40" ht="15" customHeight="1" x14ac:dyDescent="0.2">
      <c r="B266" t="s">
        <v>300</v>
      </c>
      <c r="D266">
        <v>5</v>
      </c>
      <c r="E266" t="s">
        <v>347</v>
      </c>
      <c r="F266" t="s">
        <v>268</v>
      </c>
      <c r="G266" s="15">
        <v>42937</v>
      </c>
      <c r="H266" t="s">
        <v>144</v>
      </c>
      <c r="I266" t="s">
        <v>318</v>
      </c>
      <c r="J266" t="s">
        <v>219</v>
      </c>
      <c r="K266">
        <v>9</v>
      </c>
      <c r="L266" t="s">
        <v>112</v>
      </c>
      <c r="M266" t="s">
        <v>319</v>
      </c>
      <c r="N266" t="s">
        <v>320</v>
      </c>
      <c r="O266">
        <v>71.400000000000006</v>
      </c>
      <c r="P266">
        <v>136</v>
      </c>
      <c r="Q266">
        <v>6251</v>
      </c>
      <c r="R266" t="s">
        <v>303</v>
      </c>
      <c r="S266" t="s">
        <v>303</v>
      </c>
      <c r="T266" t="s">
        <v>117</v>
      </c>
      <c r="U266" t="s">
        <v>130</v>
      </c>
      <c r="V266" t="s">
        <v>130</v>
      </c>
      <c r="W266" t="s">
        <v>114</v>
      </c>
      <c r="AA266">
        <v>0.5</v>
      </c>
      <c r="AB266" t="s">
        <v>100</v>
      </c>
      <c r="AC266" t="s">
        <v>263</v>
      </c>
      <c r="AE266" t="str">
        <f t="shared" si="4"/>
        <v>Poirier</v>
      </c>
      <c r="AF266">
        <v>0</v>
      </c>
      <c r="AG266">
        <v>0</v>
      </c>
      <c r="AH266">
        <v>1</v>
      </c>
      <c r="AI266">
        <v>0</v>
      </c>
      <c r="AJ266">
        <v>0</v>
      </c>
    </row>
    <row r="267" spans="2:40" ht="15" customHeight="1" x14ac:dyDescent="0.2">
      <c r="B267" t="s">
        <v>300</v>
      </c>
      <c r="D267">
        <v>5</v>
      </c>
      <c r="E267" t="s">
        <v>347</v>
      </c>
      <c r="F267" t="s">
        <v>268</v>
      </c>
      <c r="G267" s="15">
        <v>42937</v>
      </c>
      <c r="H267" t="s">
        <v>144</v>
      </c>
      <c r="I267" t="s">
        <v>318</v>
      </c>
      <c r="J267" t="s">
        <v>219</v>
      </c>
      <c r="K267">
        <v>9</v>
      </c>
      <c r="L267" t="s">
        <v>112</v>
      </c>
      <c r="M267" t="s">
        <v>319</v>
      </c>
      <c r="N267" t="s">
        <v>320</v>
      </c>
      <c r="O267">
        <v>71.400000000000006</v>
      </c>
      <c r="P267">
        <v>136</v>
      </c>
      <c r="Q267">
        <v>6251</v>
      </c>
      <c r="R267" t="s">
        <v>303</v>
      </c>
      <c r="S267" t="s">
        <v>303</v>
      </c>
      <c r="T267" t="s">
        <v>117</v>
      </c>
      <c r="U267" t="s">
        <v>130</v>
      </c>
      <c r="V267" t="s">
        <v>226</v>
      </c>
      <c r="W267" t="s">
        <v>114</v>
      </c>
      <c r="AA267">
        <v>0.5</v>
      </c>
      <c r="AB267" t="s">
        <v>100</v>
      </c>
      <c r="AC267" t="s">
        <v>263</v>
      </c>
      <c r="AE267" t="str">
        <f t="shared" si="4"/>
        <v>Gray</v>
      </c>
      <c r="AF267">
        <v>0</v>
      </c>
      <c r="AG267">
        <v>0</v>
      </c>
      <c r="AH267">
        <v>1</v>
      </c>
      <c r="AI267">
        <v>0</v>
      </c>
      <c r="AJ267">
        <v>0</v>
      </c>
    </row>
    <row r="268" spans="2:40" ht="15" customHeight="1" x14ac:dyDescent="0.2">
      <c r="B268" t="s">
        <v>300</v>
      </c>
      <c r="D268">
        <v>5</v>
      </c>
      <c r="E268" t="s">
        <v>347</v>
      </c>
      <c r="F268" t="s">
        <v>268</v>
      </c>
      <c r="G268" s="15">
        <v>42937</v>
      </c>
      <c r="H268" t="s">
        <v>144</v>
      </c>
      <c r="I268" t="s">
        <v>318</v>
      </c>
      <c r="J268" t="s">
        <v>219</v>
      </c>
      <c r="K268">
        <v>9</v>
      </c>
      <c r="L268" t="s">
        <v>112</v>
      </c>
      <c r="M268" t="s">
        <v>319</v>
      </c>
      <c r="N268" t="s">
        <v>320</v>
      </c>
      <c r="O268">
        <v>71.400000000000006</v>
      </c>
      <c r="P268">
        <v>136</v>
      </c>
      <c r="Q268">
        <v>6251</v>
      </c>
      <c r="R268" t="s">
        <v>303</v>
      </c>
      <c r="S268" t="s">
        <v>303</v>
      </c>
      <c r="T268" t="s">
        <v>117</v>
      </c>
      <c r="U268" t="s">
        <v>130</v>
      </c>
      <c r="V268" t="s">
        <v>132</v>
      </c>
      <c r="W268" t="s">
        <v>114</v>
      </c>
      <c r="AA268">
        <v>0.5</v>
      </c>
      <c r="AB268" t="s">
        <v>100</v>
      </c>
      <c r="AC268" t="s">
        <v>263</v>
      </c>
      <c r="AE268" t="str">
        <f t="shared" si="4"/>
        <v>Flanders</v>
      </c>
      <c r="AF268">
        <v>0</v>
      </c>
      <c r="AG268">
        <v>0</v>
      </c>
      <c r="AH268">
        <v>1</v>
      </c>
      <c r="AI268">
        <v>0</v>
      </c>
      <c r="AJ268">
        <v>0</v>
      </c>
    </row>
    <row r="269" spans="2:40" ht="15" customHeight="1" x14ac:dyDescent="0.2">
      <c r="B269" t="s">
        <v>300</v>
      </c>
      <c r="D269">
        <v>5</v>
      </c>
      <c r="E269" t="s">
        <v>347</v>
      </c>
      <c r="F269" t="s">
        <v>268</v>
      </c>
      <c r="G269" s="15">
        <v>42937</v>
      </c>
      <c r="H269" t="s">
        <v>144</v>
      </c>
      <c r="I269" t="s">
        <v>318</v>
      </c>
      <c r="J269" t="s">
        <v>219</v>
      </c>
      <c r="K269">
        <v>9</v>
      </c>
      <c r="L269" t="s">
        <v>112</v>
      </c>
      <c r="M269" t="s">
        <v>319</v>
      </c>
      <c r="N269" t="s">
        <v>320</v>
      </c>
      <c r="O269">
        <v>71.400000000000006</v>
      </c>
      <c r="P269">
        <v>136</v>
      </c>
      <c r="Q269">
        <v>6251</v>
      </c>
      <c r="R269" t="s">
        <v>303</v>
      </c>
      <c r="S269" t="s">
        <v>303</v>
      </c>
      <c r="T269" t="s">
        <v>117</v>
      </c>
      <c r="U269" t="s">
        <v>130</v>
      </c>
      <c r="V269" t="s">
        <v>118</v>
      </c>
      <c r="W269" t="s">
        <v>114</v>
      </c>
      <c r="AA269">
        <v>0.5</v>
      </c>
      <c r="AB269" t="s">
        <v>100</v>
      </c>
      <c r="AC269" t="s">
        <v>263</v>
      </c>
      <c r="AE269" t="str">
        <f t="shared" si="4"/>
        <v>Jackson</v>
      </c>
      <c r="AF269">
        <v>0</v>
      </c>
      <c r="AG269">
        <v>0</v>
      </c>
      <c r="AH269">
        <v>1</v>
      </c>
      <c r="AI269">
        <v>0</v>
      </c>
      <c r="AJ269">
        <v>0</v>
      </c>
    </row>
    <row r="270" spans="2:40" ht="15" customHeight="1" x14ac:dyDescent="0.2">
      <c r="B270" t="s">
        <v>300</v>
      </c>
      <c r="D270">
        <v>5</v>
      </c>
      <c r="E270" t="s">
        <v>347</v>
      </c>
      <c r="F270" t="s">
        <v>268</v>
      </c>
      <c r="G270" s="15">
        <v>42937</v>
      </c>
      <c r="H270" t="s">
        <v>144</v>
      </c>
      <c r="I270" t="s">
        <v>318</v>
      </c>
      <c r="J270" t="s">
        <v>219</v>
      </c>
      <c r="K270">
        <v>9</v>
      </c>
      <c r="L270" t="s">
        <v>112</v>
      </c>
      <c r="M270" t="s">
        <v>319</v>
      </c>
      <c r="N270" t="s">
        <v>320</v>
      </c>
      <c r="O270">
        <v>71.400000000000006</v>
      </c>
      <c r="P270">
        <v>136</v>
      </c>
      <c r="Q270">
        <v>6251</v>
      </c>
      <c r="R270" t="s">
        <v>303</v>
      </c>
      <c r="S270" t="s">
        <v>303</v>
      </c>
      <c r="T270" t="s">
        <v>117</v>
      </c>
      <c r="U270" t="s">
        <v>130</v>
      </c>
      <c r="V270" t="s">
        <v>127</v>
      </c>
      <c r="W270" t="s">
        <v>114</v>
      </c>
      <c r="AA270">
        <v>0.5</v>
      </c>
      <c r="AB270" t="s">
        <v>100</v>
      </c>
      <c r="AC270" t="s">
        <v>263</v>
      </c>
      <c r="AE270" t="str">
        <f t="shared" si="4"/>
        <v>Ferrin</v>
      </c>
      <c r="AF270">
        <v>0</v>
      </c>
      <c r="AG270">
        <v>0</v>
      </c>
      <c r="AH270">
        <v>1</v>
      </c>
      <c r="AI270">
        <v>0</v>
      </c>
      <c r="AJ270">
        <v>0</v>
      </c>
    </row>
    <row r="271" spans="2:40" ht="15" customHeight="1" x14ac:dyDescent="0.2">
      <c r="B271" t="s">
        <v>300</v>
      </c>
      <c r="D271">
        <v>5</v>
      </c>
      <c r="E271" t="s">
        <v>347</v>
      </c>
      <c r="F271" t="s">
        <v>268</v>
      </c>
      <c r="G271" s="15">
        <v>42937</v>
      </c>
      <c r="H271" t="s">
        <v>144</v>
      </c>
      <c r="I271" t="s">
        <v>318</v>
      </c>
      <c r="J271" t="s">
        <v>219</v>
      </c>
      <c r="K271">
        <v>9</v>
      </c>
      <c r="L271" t="s">
        <v>112</v>
      </c>
      <c r="M271" t="s">
        <v>319</v>
      </c>
      <c r="N271" t="s">
        <v>320</v>
      </c>
      <c r="O271">
        <v>71.400000000000006</v>
      </c>
      <c r="P271">
        <v>136</v>
      </c>
      <c r="Q271">
        <v>6251</v>
      </c>
      <c r="R271" t="s">
        <v>303</v>
      </c>
      <c r="S271" t="s">
        <v>303</v>
      </c>
      <c r="T271" t="s">
        <v>117</v>
      </c>
      <c r="U271" t="s">
        <v>130</v>
      </c>
      <c r="V271" t="s">
        <v>272</v>
      </c>
      <c r="W271" t="s">
        <v>114</v>
      </c>
      <c r="AA271">
        <v>0.5</v>
      </c>
      <c r="AB271" t="s">
        <v>100</v>
      </c>
      <c r="AC271" t="s">
        <v>263</v>
      </c>
      <c r="AE271" t="str">
        <f t="shared" si="4"/>
        <v>Welker</v>
      </c>
      <c r="AF271">
        <v>0</v>
      </c>
      <c r="AG271">
        <v>0</v>
      </c>
      <c r="AH271">
        <v>1</v>
      </c>
      <c r="AI271">
        <v>0</v>
      </c>
      <c r="AJ271">
        <v>0</v>
      </c>
    </row>
    <row r="272" spans="2:40" ht="15" customHeight="1" x14ac:dyDescent="0.2">
      <c r="B272" t="s">
        <v>300</v>
      </c>
      <c r="D272">
        <v>5</v>
      </c>
      <c r="E272" t="s">
        <v>347</v>
      </c>
      <c r="F272" t="s">
        <v>268</v>
      </c>
      <c r="G272" s="15">
        <v>42937</v>
      </c>
      <c r="H272" t="s">
        <v>144</v>
      </c>
      <c r="I272" t="s">
        <v>318</v>
      </c>
      <c r="J272" t="s">
        <v>219</v>
      </c>
      <c r="K272">
        <v>9</v>
      </c>
      <c r="L272" t="s">
        <v>112</v>
      </c>
      <c r="M272" t="s">
        <v>319</v>
      </c>
      <c r="N272" t="s">
        <v>320</v>
      </c>
      <c r="O272">
        <v>71.400000000000006</v>
      </c>
      <c r="P272">
        <v>136</v>
      </c>
      <c r="Q272">
        <v>6251</v>
      </c>
      <c r="R272" t="s">
        <v>303</v>
      </c>
      <c r="S272" t="s">
        <v>303</v>
      </c>
      <c r="T272" t="s">
        <v>117</v>
      </c>
      <c r="U272" t="s">
        <v>130</v>
      </c>
      <c r="V272" t="s">
        <v>178</v>
      </c>
      <c r="W272" t="s">
        <v>114</v>
      </c>
      <c r="AA272">
        <v>0.5</v>
      </c>
      <c r="AB272" t="s">
        <v>100</v>
      </c>
      <c r="AC272" t="s">
        <v>263</v>
      </c>
      <c r="AE272" t="str">
        <f t="shared" si="4"/>
        <v>Connors</v>
      </c>
      <c r="AF272">
        <v>0</v>
      </c>
      <c r="AG272">
        <v>0</v>
      </c>
      <c r="AH272">
        <v>1</v>
      </c>
      <c r="AI272">
        <v>0</v>
      </c>
      <c r="AJ272">
        <v>0</v>
      </c>
    </row>
    <row r="273" spans="2:38" ht="15" customHeight="1" x14ac:dyDescent="0.2">
      <c r="B273" t="s">
        <v>300</v>
      </c>
      <c r="D273">
        <v>5</v>
      </c>
      <c r="E273" t="s">
        <v>347</v>
      </c>
      <c r="F273" t="s">
        <v>268</v>
      </c>
      <c r="G273" s="15">
        <v>42937</v>
      </c>
      <c r="H273" t="s">
        <v>144</v>
      </c>
      <c r="I273" t="s">
        <v>318</v>
      </c>
      <c r="J273" t="s">
        <v>219</v>
      </c>
      <c r="K273">
        <v>9</v>
      </c>
      <c r="L273" t="s">
        <v>112</v>
      </c>
      <c r="M273" t="s">
        <v>319</v>
      </c>
      <c r="N273" t="s">
        <v>320</v>
      </c>
      <c r="O273">
        <v>71.400000000000006</v>
      </c>
      <c r="P273">
        <v>136</v>
      </c>
      <c r="Q273">
        <v>6251</v>
      </c>
      <c r="R273" t="s">
        <v>303</v>
      </c>
      <c r="S273" t="s">
        <v>303</v>
      </c>
      <c r="T273" t="s">
        <v>117</v>
      </c>
      <c r="U273" t="s">
        <v>130</v>
      </c>
      <c r="V273" t="s">
        <v>172</v>
      </c>
      <c r="W273" t="s">
        <v>114</v>
      </c>
      <c r="AA273">
        <v>0.5</v>
      </c>
      <c r="AB273" t="s">
        <v>100</v>
      </c>
      <c r="AC273" t="s">
        <v>263</v>
      </c>
      <c r="AE273" t="str">
        <f t="shared" si="4"/>
        <v>Fogan</v>
      </c>
      <c r="AF273">
        <v>0</v>
      </c>
      <c r="AG273">
        <v>0</v>
      </c>
      <c r="AH273">
        <v>1</v>
      </c>
      <c r="AI273">
        <v>0</v>
      </c>
      <c r="AJ273">
        <v>0</v>
      </c>
    </row>
    <row r="274" spans="2:38" ht="15" customHeight="1" x14ac:dyDescent="0.2">
      <c r="B274" t="s">
        <v>300</v>
      </c>
      <c r="D274">
        <v>5</v>
      </c>
      <c r="E274" t="s">
        <v>347</v>
      </c>
      <c r="F274" t="s">
        <v>268</v>
      </c>
      <c r="G274" s="15">
        <v>42937</v>
      </c>
      <c r="H274" t="s">
        <v>144</v>
      </c>
      <c r="I274" t="s">
        <v>318</v>
      </c>
      <c r="J274" t="s">
        <v>219</v>
      </c>
      <c r="K274">
        <v>9</v>
      </c>
      <c r="L274" t="s">
        <v>112</v>
      </c>
      <c r="M274" t="s">
        <v>319</v>
      </c>
      <c r="N274" t="s">
        <v>320</v>
      </c>
      <c r="O274">
        <v>71.400000000000006</v>
      </c>
      <c r="P274">
        <v>136</v>
      </c>
      <c r="Q274">
        <v>6251</v>
      </c>
      <c r="R274" t="s">
        <v>303</v>
      </c>
      <c r="S274" t="s">
        <v>303</v>
      </c>
      <c r="T274" t="s">
        <v>117</v>
      </c>
      <c r="U274" t="s">
        <v>130</v>
      </c>
      <c r="V274" t="s">
        <v>122</v>
      </c>
      <c r="W274" t="s">
        <v>114</v>
      </c>
      <c r="AA274">
        <v>0.5</v>
      </c>
      <c r="AB274" t="s">
        <v>100</v>
      </c>
      <c r="AC274" t="s">
        <v>263</v>
      </c>
      <c r="AE274" t="str">
        <f t="shared" si="4"/>
        <v>Hilts</v>
      </c>
      <c r="AF274">
        <v>0</v>
      </c>
      <c r="AG274">
        <v>0</v>
      </c>
      <c r="AH274">
        <v>1</v>
      </c>
      <c r="AI274">
        <v>0</v>
      </c>
      <c r="AJ274">
        <v>0</v>
      </c>
    </row>
    <row r="275" spans="2:38" ht="15" customHeight="1" x14ac:dyDescent="0.2">
      <c r="B275" t="s">
        <v>300</v>
      </c>
      <c r="D275">
        <v>5</v>
      </c>
      <c r="E275" t="s">
        <v>347</v>
      </c>
      <c r="F275" t="s">
        <v>268</v>
      </c>
      <c r="G275" s="15">
        <v>42937</v>
      </c>
      <c r="H275" t="s">
        <v>144</v>
      </c>
      <c r="I275" t="s">
        <v>318</v>
      </c>
      <c r="J275" t="s">
        <v>219</v>
      </c>
      <c r="K275">
        <v>9</v>
      </c>
      <c r="L275" t="s">
        <v>112</v>
      </c>
      <c r="M275" t="s">
        <v>319</v>
      </c>
      <c r="N275" t="s">
        <v>320</v>
      </c>
      <c r="O275">
        <v>71.400000000000006</v>
      </c>
      <c r="P275">
        <v>136</v>
      </c>
      <c r="Q275">
        <v>6251</v>
      </c>
      <c r="R275" t="s">
        <v>303</v>
      </c>
      <c r="S275" t="s">
        <v>303</v>
      </c>
      <c r="T275" t="s">
        <v>117</v>
      </c>
      <c r="U275" t="s">
        <v>130</v>
      </c>
      <c r="V275" t="s">
        <v>179</v>
      </c>
      <c r="W275" t="s">
        <v>114</v>
      </c>
      <c r="AA275">
        <v>0.5</v>
      </c>
      <c r="AB275" t="s">
        <v>100</v>
      </c>
      <c r="AC275" t="s">
        <v>263</v>
      </c>
      <c r="AE275" t="str">
        <f t="shared" si="4"/>
        <v>Cole</v>
      </c>
      <c r="AF275">
        <v>0</v>
      </c>
      <c r="AG275">
        <v>0</v>
      </c>
      <c r="AH275">
        <v>1</v>
      </c>
      <c r="AI275">
        <v>0</v>
      </c>
      <c r="AJ275">
        <v>0</v>
      </c>
    </row>
    <row r="276" spans="2:38" ht="15" customHeight="1" x14ac:dyDescent="0.2">
      <c r="B276" t="s">
        <v>300</v>
      </c>
      <c r="D276">
        <v>5</v>
      </c>
      <c r="E276" t="s">
        <v>347</v>
      </c>
      <c r="F276" t="s">
        <v>268</v>
      </c>
      <c r="G276" s="15">
        <v>42937</v>
      </c>
      <c r="H276" t="s">
        <v>144</v>
      </c>
      <c r="I276" t="s">
        <v>318</v>
      </c>
      <c r="J276" t="s">
        <v>219</v>
      </c>
      <c r="K276">
        <v>9</v>
      </c>
      <c r="L276" t="s">
        <v>112</v>
      </c>
      <c r="M276" t="s">
        <v>319</v>
      </c>
      <c r="N276" t="s">
        <v>320</v>
      </c>
      <c r="O276">
        <v>71.400000000000006</v>
      </c>
      <c r="P276">
        <v>136</v>
      </c>
      <c r="Q276">
        <v>6251</v>
      </c>
      <c r="R276" t="s">
        <v>303</v>
      </c>
      <c r="S276" t="s">
        <v>303</v>
      </c>
      <c r="T276" t="s">
        <v>124</v>
      </c>
      <c r="U276" t="s">
        <v>176</v>
      </c>
      <c r="V276" t="s">
        <v>1308</v>
      </c>
      <c r="W276" t="s">
        <v>156</v>
      </c>
      <c r="AA276">
        <v>0.5</v>
      </c>
      <c r="AB276" t="s">
        <v>99</v>
      </c>
      <c r="AC276" t="s">
        <v>263</v>
      </c>
      <c r="AE276" t="str">
        <f t="shared" si="4"/>
        <v>Connolly</v>
      </c>
      <c r="AF276">
        <v>0.5</v>
      </c>
      <c r="AG276">
        <v>1</v>
      </c>
      <c r="AH276">
        <v>0</v>
      </c>
      <c r="AI276">
        <v>0</v>
      </c>
      <c r="AJ276">
        <v>1</v>
      </c>
    </row>
    <row r="277" spans="2:38" ht="15" customHeight="1" x14ac:dyDescent="0.2">
      <c r="B277" t="s">
        <v>300</v>
      </c>
      <c r="D277">
        <v>5</v>
      </c>
      <c r="E277" t="s">
        <v>347</v>
      </c>
      <c r="F277" t="s">
        <v>268</v>
      </c>
      <c r="G277" s="15">
        <v>42937</v>
      </c>
      <c r="H277" t="s">
        <v>144</v>
      </c>
      <c r="I277" t="s">
        <v>318</v>
      </c>
      <c r="J277" t="s">
        <v>219</v>
      </c>
      <c r="K277">
        <v>9</v>
      </c>
      <c r="L277" t="s">
        <v>112</v>
      </c>
      <c r="M277" t="s">
        <v>319</v>
      </c>
      <c r="N277" t="s">
        <v>320</v>
      </c>
      <c r="O277">
        <v>71.400000000000006</v>
      </c>
      <c r="P277">
        <v>136</v>
      </c>
      <c r="Q277">
        <v>6251</v>
      </c>
      <c r="R277" t="s">
        <v>303</v>
      </c>
      <c r="S277" t="s">
        <v>303</v>
      </c>
      <c r="T277" t="s">
        <v>124</v>
      </c>
      <c r="U277" t="s">
        <v>176</v>
      </c>
      <c r="V277" t="s">
        <v>231</v>
      </c>
      <c r="W277" t="s">
        <v>156</v>
      </c>
      <c r="AA277">
        <v>0.5</v>
      </c>
      <c r="AB277" t="s">
        <v>99</v>
      </c>
      <c r="AC277" t="s">
        <v>263</v>
      </c>
      <c r="AE277" t="str">
        <f t="shared" si="4"/>
        <v>McInerney</v>
      </c>
      <c r="AF277">
        <v>0.5</v>
      </c>
      <c r="AG277">
        <v>1</v>
      </c>
      <c r="AH277">
        <v>0</v>
      </c>
      <c r="AI277">
        <v>0</v>
      </c>
      <c r="AJ277">
        <v>1</v>
      </c>
    </row>
    <row r="278" spans="2:38" ht="15" customHeight="1" x14ac:dyDescent="0.2">
      <c r="B278" t="s">
        <v>300</v>
      </c>
      <c r="D278">
        <v>5</v>
      </c>
      <c r="E278" t="s">
        <v>347</v>
      </c>
      <c r="F278" t="s">
        <v>268</v>
      </c>
      <c r="G278" s="15">
        <v>42937</v>
      </c>
      <c r="H278" t="s">
        <v>144</v>
      </c>
      <c r="I278" t="s">
        <v>318</v>
      </c>
      <c r="J278" t="s">
        <v>219</v>
      </c>
      <c r="K278">
        <v>9</v>
      </c>
      <c r="L278" t="s">
        <v>112</v>
      </c>
      <c r="M278" t="s">
        <v>319</v>
      </c>
      <c r="N278" t="s">
        <v>320</v>
      </c>
      <c r="O278">
        <v>71.400000000000006</v>
      </c>
      <c r="P278">
        <v>136</v>
      </c>
      <c r="Q278">
        <v>6251</v>
      </c>
      <c r="R278" t="s">
        <v>303</v>
      </c>
      <c r="S278" t="s">
        <v>303</v>
      </c>
      <c r="T278" t="s">
        <v>124</v>
      </c>
      <c r="U278" t="s">
        <v>176</v>
      </c>
      <c r="V278" t="s">
        <v>227</v>
      </c>
      <c r="W278" t="s">
        <v>156</v>
      </c>
      <c r="AA278">
        <v>0.5</v>
      </c>
      <c r="AB278" t="s">
        <v>99</v>
      </c>
      <c r="AC278" t="s">
        <v>263</v>
      </c>
      <c r="AE278" t="str">
        <f t="shared" si="4"/>
        <v>Zimmer</v>
      </c>
      <c r="AF278">
        <v>0.5</v>
      </c>
      <c r="AG278">
        <v>1</v>
      </c>
      <c r="AH278">
        <v>0</v>
      </c>
      <c r="AI278">
        <v>0</v>
      </c>
      <c r="AJ278">
        <v>1</v>
      </c>
    </row>
    <row r="279" spans="2:38" ht="15" customHeight="1" x14ac:dyDescent="0.2">
      <c r="B279" t="s">
        <v>300</v>
      </c>
      <c r="D279">
        <v>5</v>
      </c>
      <c r="E279" t="s">
        <v>347</v>
      </c>
      <c r="F279" t="s">
        <v>268</v>
      </c>
      <c r="G279" s="15">
        <v>42937</v>
      </c>
      <c r="H279" t="s">
        <v>144</v>
      </c>
      <c r="I279" t="s">
        <v>318</v>
      </c>
      <c r="J279" t="s">
        <v>219</v>
      </c>
      <c r="K279">
        <v>9</v>
      </c>
      <c r="L279" t="s">
        <v>112</v>
      </c>
      <c r="M279" t="s">
        <v>319</v>
      </c>
      <c r="N279" t="s">
        <v>320</v>
      </c>
      <c r="O279">
        <v>71.400000000000006</v>
      </c>
      <c r="P279">
        <v>136</v>
      </c>
      <c r="Q279">
        <v>6251</v>
      </c>
      <c r="R279" t="s">
        <v>303</v>
      </c>
      <c r="S279" t="s">
        <v>303</v>
      </c>
      <c r="T279" t="s">
        <v>124</v>
      </c>
      <c r="U279" t="s">
        <v>176</v>
      </c>
      <c r="V279" t="s">
        <v>321</v>
      </c>
      <c r="W279" t="s">
        <v>156</v>
      </c>
      <c r="AA279">
        <v>0.5</v>
      </c>
      <c r="AB279" t="s">
        <v>99</v>
      </c>
      <c r="AC279" t="s">
        <v>263</v>
      </c>
      <c r="AE279" t="str">
        <f t="shared" si="4"/>
        <v>Delaney</v>
      </c>
      <c r="AF279">
        <v>0.5</v>
      </c>
      <c r="AG279">
        <v>1</v>
      </c>
      <c r="AH279">
        <v>0</v>
      </c>
      <c r="AI279">
        <v>0</v>
      </c>
      <c r="AJ279">
        <v>1</v>
      </c>
    </row>
    <row r="280" spans="2:38" ht="15" customHeight="1" x14ac:dyDescent="0.2">
      <c r="B280" t="s">
        <v>300</v>
      </c>
      <c r="D280">
        <v>5</v>
      </c>
      <c r="E280" t="s">
        <v>347</v>
      </c>
      <c r="F280" t="s">
        <v>268</v>
      </c>
      <c r="G280" s="15">
        <v>42937</v>
      </c>
      <c r="H280" t="s">
        <v>144</v>
      </c>
      <c r="I280" t="s">
        <v>318</v>
      </c>
      <c r="J280" t="s">
        <v>219</v>
      </c>
      <c r="K280">
        <v>9</v>
      </c>
      <c r="L280" t="s">
        <v>112</v>
      </c>
      <c r="M280" t="s">
        <v>319</v>
      </c>
      <c r="N280" t="s">
        <v>320</v>
      </c>
      <c r="O280">
        <v>71.400000000000006</v>
      </c>
      <c r="P280">
        <v>136</v>
      </c>
      <c r="Q280">
        <v>6251</v>
      </c>
      <c r="R280" t="s">
        <v>303</v>
      </c>
      <c r="S280" t="s">
        <v>303</v>
      </c>
      <c r="T280" t="s">
        <v>124</v>
      </c>
      <c r="U280" t="s">
        <v>176</v>
      </c>
      <c r="V280" t="s">
        <v>133</v>
      </c>
      <c r="W280" t="s">
        <v>156</v>
      </c>
      <c r="AA280">
        <v>0.5</v>
      </c>
      <c r="AB280" t="s">
        <v>99</v>
      </c>
      <c r="AC280" t="s">
        <v>263</v>
      </c>
      <c r="AE280" t="str">
        <f t="shared" si="4"/>
        <v>Mangold</v>
      </c>
      <c r="AF280">
        <v>0.5</v>
      </c>
      <c r="AG280">
        <v>1</v>
      </c>
      <c r="AH280">
        <v>0</v>
      </c>
      <c r="AI280">
        <v>0</v>
      </c>
      <c r="AJ280">
        <v>1</v>
      </c>
    </row>
    <row r="281" spans="2:38" ht="15" customHeight="1" x14ac:dyDescent="0.2">
      <c r="B281" t="s">
        <v>300</v>
      </c>
      <c r="D281">
        <v>5</v>
      </c>
      <c r="E281" t="s">
        <v>347</v>
      </c>
      <c r="F281" t="s">
        <v>268</v>
      </c>
      <c r="G281" s="15">
        <v>42937</v>
      </c>
      <c r="H281" t="s">
        <v>144</v>
      </c>
      <c r="I281" t="s">
        <v>318</v>
      </c>
      <c r="J281" t="s">
        <v>219</v>
      </c>
      <c r="K281">
        <v>9</v>
      </c>
      <c r="L281" t="s">
        <v>112</v>
      </c>
      <c r="M281" t="s">
        <v>319</v>
      </c>
      <c r="N281" t="s">
        <v>320</v>
      </c>
      <c r="O281">
        <v>71.400000000000006</v>
      </c>
      <c r="P281">
        <v>136</v>
      </c>
      <c r="Q281">
        <v>6251</v>
      </c>
      <c r="R281" t="s">
        <v>303</v>
      </c>
      <c r="S281" t="s">
        <v>303</v>
      </c>
      <c r="T281" t="s">
        <v>124</v>
      </c>
      <c r="U281" t="s">
        <v>176</v>
      </c>
      <c r="V281" t="s">
        <v>119</v>
      </c>
      <c r="W281" t="s">
        <v>156</v>
      </c>
      <c r="AA281">
        <v>0.5</v>
      </c>
      <c r="AB281" t="s">
        <v>99</v>
      </c>
      <c r="AC281" t="s">
        <v>263</v>
      </c>
      <c r="AE281" t="str">
        <f t="shared" si="4"/>
        <v>Grise</v>
      </c>
      <c r="AF281">
        <v>0.5</v>
      </c>
      <c r="AG281">
        <v>1</v>
      </c>
      <c r="AH281">
        <v>0</v>
      </c>
      <c r="AI281">
        <v>0</v>
      </c>
      <c r="AJ281">
        <v>1</v>
      </c>
    </row>
    <row r="282" spans="2:38" ht="15" customHeight="1" x14ac:dyDescent="0.2">
      <c r="B282" t="s">
        <v>300</v>
      </c>
      <c r="D282">
        <v>5</v>
      </c>
      <c r="E282" t="s">
        <v>347</v>
      </c>
      <c r="F282" t="s">
        <v>268</v>
      </c>
      <c r="G282" s="15">
        <v>42937</v>
      </c>
      <c r="H282" t="s">
        <v>144</v>
      </c>
      <c r="I282" t="s">
        <v>318</v>
      </c>
      <c r="J282" t="s">
        <v>219</v>
      </c>
      <c r="K282">
        <v>9</v>
      </c>
      <c r="L282" t="s">
        <v>112</v>
      </c>
      <c r="M282" t="s">
        <v>319</v>
      </c>
      <c r="N282" t="s">
        <v>320</v>
      </c>
      <c r="O282">
        <v>71.400000000000006</v>
      </c>
      <c r="P282">
        <v>136</v>
      </c>
      <c r="Q282">
        <v>6251</v>
      </c>
      <c r="R282" t="s">
        <v>303</v>
      </c>
      <c r="S282" t="s">
        <v>303</v>
      </c>
      <c r="T282" t="s">
        <v>124</v>
      </c>
      <c r="U282" t="s">
        <v>176</v>
      </c>
      <c r="V282" t="s">
        <v>123</v>
      </c>
      <c r="W282" t="s">
        <v>156</v>
      </c>
      <c r="AA282">
        <v>0.5</v>
      </c>
      <c r="AB282" t="s">
        <v>99</v>
      </c>
      <c r="AC282" t="s">
        <v>263</v>
      </c>
      <c r="AE282" t="str">
        <f t="shared" si="4"/>
        <v>Lynch</v>
      </c>
      <c r="AF282">
        <v>0.5</v>
      </c>
      <c r="AG282">
        <v>1</v>
      </c>
      <c r="AH282">
        <v>0</v>
      </c>
      <c r="AI282">
        <v>0</v>
      </c>
      <c r="AJ282">
        <v>1</v>
      </c>
    </row>
    <row r="283" spans="2:38" ht="15" customHeight="1" x14ac:dyDescent="0.2">
      <c r="B283" t="s">
        <v>300</v>
      </c>
      <c r="D283">
        <v>5</v>
      </c>
      <c r="E283" t="s">
        <v>347</v>
      </c>
      <c r="F283" t="s">
        <v>268</v>
      </c>
      <c r="G283" s="15">
        <v>42937</v>
      </c>
      <c r="H283" t="s">
        <v>144</v>
      </c>
      <c r="I283" t="s">
        <v>318</v>
      </c>
      <c r="J283" t="s">
        <v>219</v>
      </c>
      <c r="K283">
        <v>9</v>
      </c>
      <c r="L283" t="s">
        <v>112</v>
      </c>
      <c r="M283" t="s">
        <v>319</v>
      </c>
      <c r="N283" t="s">
        <v>320</v>
      </c>
      <c r="O283">
        <v>71.400000000000006</v>
      </c>
      <c r="P283">
        <v>136</v>
      </c>
      <c r="Q283">
        <v>6251</v>
      </c>
      <c r="R283" t="s">
        <v>303</v>
      </c>
      <c r="S283" t="s">
        <v>303</v>
      </c>
      <c r="T283" t="s">
        <v>124</v>
      </c>
      <c r="U283" t="s">
        <v>176</v>
      </c>
      <c r="V283" t="s">
        <v>230</v>
      </c>
      <c r="W283" t="s">
        <v>156</v>
      </c>
      <c r="AA283">
        <v>0.5</v>
      </c>
      <c r="AB283" t="s">
        <v>99</v>
      </c>
      <c r="AC283" t="s">
        <v>263</v>
      </c>
      <c r="AE283" t="str">
        <f t="shared" si="4"/>
        <v>Norat</v>
      </c>
      <c r="AF283">
        <v>0.5</v>
      </c>
      <c r="AG283">
        <v>1</v>
      </c>
      <c r="AH283">
        <v>0</v>
      </c>
      <c r="AI283">
        <v>0</v>
      </c>
      <c r="AJ283">
        <v>1</v>
      </c>
    </row>
    <row r="284" spans="2:38" ht="15" customHeight="1" x14ac:dyDescent="0.2">
      <c r="B284" t="s">
        <v>300</v>
      </c>
      <c r="D284">
        <v>5</v>
      </c>
      <c r="E284" t="s">
        <v>347</v>
      </c>
      <c r="F284" t="s">
        <v>268</v>
      </c>
      <c r="G284" s="15">
        <v>42937</v>
      </c>
      <c r="H284" t="s">
        <v>144</v>
      </c>
      <c r="I284" t="s">
        <v>318</v>
      </c>
      <c r="J284" t="s">
        <v>219</v>
      </c>
      <c r="K284">
        <v>9</v>
      </c>
      <c r="L284" t="s">
        <v>112</v>
      </c>
      <c r="M284" t="s">
        <v>319</v>
      </c>
      <c r="N284" t="s">
        <v>320</v>
      </c>
      <c r="O284">
        <v>71.400000000000006</v>
      </c>
      <c r="P284">
        <v>136</v>
      </c>
      <c r="Q284">
        <v>6251</v>
      </c>
      <c r="R284" t="s">
        <v>303</v>
      </c>
      <c r="S284" t="s">
        <v>303</v>
      </c>
      <c r="T284" t="s">
        <v>124</v>
      </c>
      <c r="U284" t="s">
        <v>176</v>
      </c>
      <c r="V284" t="s">
        <v>176</v>
      </c>
      <c r="W284" t="s">
        <v>156</v>
      </c>
      <c r="AA284">
        <v>0.5</v>
      </c>
      <c r="AB284" t="s">
        <v>99</v>
      </c>
      <c r="AC284" t="s">
        <v>263</v>
      </c>
      <c r="AE284" t="str">
        <f t="shared" si="4"/>
        <v>Forster</v>
      </c>
      <c r="AF284">
        <v>0.5</v>
      </c>
      <c r="AG284">
        <v>1</v>
      </c>
      <c r="AH284">
        <v>0</v>
      </c>
      <c r="AI284">
        <v>0</v>
      </c>
      <c r="AJ284">
        <v>1</v>
      </c>
    </row>
    <row r="285" spans="2:38" ht="15" customHeight="1" x14ac:dyDescent="0.2">
      <c r="B285" t="s">
        <v>300</v>
      </c>
      <c r="D285">
        <v>5</v>
      </c>
      <c r="E285" t="s">
        <v>347</v>
      </c>
      <c r="F285" t="s">
        <v>268</v>
      </c>
      <c r="G285" s="15">
        <v>42937</v>
      </c>
      <c r="H285" t="s">
        <v>144</v>
      </c>
      <c r="I285" t="s">
        <v>318</v>
      </c>
      <c r="J285" t="s">
        <v>219</v>
      </c>
      <c r="K285">
        <v>9</v>
      </c>
      <c r="L285" t="s">
        <v>112</v>
      </c>
      <c r="M285" t="s">
        <v>319</v>
      </c>
      <c r="N285" t="s">
        <v>320</v>
      </c>
      <c r="O285">
        <v>71.400000000000006</v>
      </c>
      <c r="P285">
        <v>136</v>
      </c>
      <c r="Q285">
        <v>6251</v>
      </c>
      <c r="R285" t="s">
        <v>303</v>
      </c>
      <c r="S285" t="s">
        <v>303</v>
      </c>
      <c r="T285" t="s">
        <v>124</v>
      </c>
      <c r="U285" t="s">
        <v>176</v>
      </c>
      <c r="V285" t="s">
        <v>135</v>
      </c>
      <c r="W285" t="s">
        <v>156</v>
      </c>
      <c r="AA285">
        <v>0.5</v>
      </c>
      <c r="AB285" t="s">
        <v>99</v>
      </c>
      <c r="AC285" t="s">
        <v>263</v>
      </c>
      <c r="AE285" t="str">
        <f t="shared" si="4"/>
        <v>Shively</v>
      </c>
      <c r="AF285">
        <v>0.5</v>
      </c>
      <c r="AG285">
        <v>1</v>
      </c>
      <c r="AH285">
        <v>0</v>
      </c>
      <c r="AI285">
        <v>0</v>
      </c>
      <c r="AJ285">
        <v>1</v>
      </c>
    </row>
    <row r="286" spans="2:38" ht="15" customHeight="1" x14ac:dyDescent="0.2">
      <c r="B286">
        <v>21</v>
      </c>
      <c r="C286">
        <v>1</v>
      </c>
      <c r="D286">
        <v>5</v>
      </c>
      <c r="E286" t="s">
        <v>348</v>
      </c>
      <c r="F286" t="s">
        <v>108</v>
      </c>
      <c r="G286" s="15">
        <v>42938</v>
      </c>
      <c r="H286" t="s">
        <v>109</v>
      </c>
      <c r="I286" t="s">
        <v>318</v>
      </c>
      <c r="J286" t="s">
        <v>219</v>
      </c>
      <c r="K286">
        <v>18</v>
      </c>
      <c r="L286" t="s">
        <v>154</v>
      </c>
      <c r="M286" t="s">
        <v>349</v>
      </c>
      <c r="N286" t="s">
        <v>156</v>
      </c>
      <c r="O286">
        <v>72.2</v>
      </c>
      <c r="P286">
        <v>138</v>
      </c>
      <c r="Q286">
        <v>6522</v>
      </c>
      <c r="R286" t="s">
        <v>157</v>
      </c>
      <c r="S286" t="s">
        <v>158</v>
      </c>
      <c r="T286" t="s">
        <v>117</v>
      </c>
      <c r="U286" t="s">
        <v>130</v>
      </c>
      <c r="V286" t="s">
        <v>130</v>
      </c>
      <c r="W286" t="s">
        <v>114</v>
      </c>
      <c r="AA286">
        <v>2</v>
      </c>
      <c r="AB286" t="s">
        <v>99</v>
      </c>
      <c r="AC286" t="s">
        <v>222</v>
      </c>
      <c r="AD286" t="s">
        <v>119</v>
      </c>
      <c r="AE286" t="str">
        <f t="shared" si="4"/>
        <v>Poirier</v>
      </c>
      <c r="AF286">
        <v>2</v>
      </c>
      <c r="AG286">
        <v>1</v>
      </c>
      <c r="AH286">
        <v>0</v>
      </c>
      <c r="AI286">
        <v>0</v>
      </c>
      <c r="AJ286">
        <v>1</v>
      </c>
      <c r="AK286" t="s">
        <v>119</v>
      </c>
      <c r="AL286">
        <v>0.546875</v>
      </c>
    </row>
    <row r="287" spans="2:38" ht="15" customHeight="1" x14ac:dyDescent="0.2">
      <c r="B287">
        <v>21</v>
      </c>
      <c r="C287">
        <v>2</v>
      </c>
      <c r="D287">
        <v>5</v>
      </c>
      <c r="E287" t="s">
        <v>350</v>
      </c>
      <c r="F287" t="s">
        <v>108</v>
      </c>
      <c r="G287" s="15">
        <v>42938</v>
      </c>
      <c r="H287" t="s">
        <v>109</v>
      </c>
      <c r="I287" t="s">
        <v>318</v>
      </c>
      <c r="J287" t="s">
        <v>219</v>
      </c>
      <c r="K287">
        <v>18</v>
      </c>
      <c r="L287" t="s">
        <v>154</v>
      </c>
      <c r="M287" t="s">
        <v>349</v>
      </c>
      <c r="N287" t="s">
        <v>156</v>
      </c>
      <c r="O287">
        <v>72.2</v>
      </c>
      <c r="P287">
        <v>138</v>
      </c>
      <c r="Q287">
        <v>6522</v>
      </c>
      <c r="R287" t="s">
        <v>157</v>
      </c>
      <c r="S287" t="s">
        <v>158</v>
      </c>
      <c r="T287" t="s">
        <v>117</v>
      </c>
      <c r="U287" t="s">
        <v>130</v>
      </c>
      <c r="V287" t="s">
        <v>132</v>
      </c>
      <c r="W287" t="s">
        <v>114</v>
      </c>
      <c r="AA287">
        <v>2</v>
      </c>
      <c r="AB287" t="s">
        <v>100</v>
      </c>
      <c r="AC287" t="s">
        <v>263</v>
      </c>
      <c r="AD287" t="s">
        <v>231</v>
      </c>
      <c r="AE287" t="str">
        <f t="shared" si="4"/>
        <v>Flanders</v>
      </c>
      <c r="AF287">
        <v>0</v>
      </c>
      <c r="AG287">
        <v>0</v>
      </c>
      <c r="AH287">
        <v>1</v>
      </c>
      <c r="AI287">
        <v>0</v>
      </c>
      <c r="AJ287">
        <v>0</v>
      </c>
      <c r="AK287" t="s">
        <v>231</v>
      </c>
      <c r="AL287">
        <v>0.5</v>
      </c>
    </row>
    <row r="288" spans="2:38" ht="15" customHeight="1" x14ac:dyDescent="0.2">
      <c r="B288">
        <v>22</v>
      </c>
      <c r="C288">
        <v>3</v>
      </c>
      <c r="D288">
        <v>5</v>
      </c>
      <c r="E288" t="s">
        <v>351</v>
      </c>
      <c r="F288" t="s">
        <v>108</v>
      </c>
      <c r="G288" s="15">
        <v>42938</v>
      </c>
      <c r="H288" t="s">
        <v>109</v>
      </c>
      <c r="I288" t="s">
        <v>318</v>
      </c>
      <c r="J288" t="s">
        <v>219</v>
      </c>
      <c r="K288">
        <v>18</v>
      </c>
      <c r="L288" t="s">
        <v>154</v>
      </c>
      <c r="M288" t="s">
        <v>349</v>
      </c>
      <c r="N288" t="s">
        <v>156</v>
      </c>
      <c r="O288">
        <v>72.2</v>
      </c>
      <c r="P288">
        <v>138</v>
      </c>
      <c r="Q288">
        <v>6522</v>
      </c>
      <c r="R288" t="s">
        <v>157</v>
      </c>
      <c r="S288" t="s">
        <v>158</v>
      </c>
      <c r="T288" t="s">
        <v>117</v>
      </c>
      <c r="U288" t="s">
        <v>130</v>
      </c>
      <c r="V288" t="s">
        <v>226</v>
      </c>
      <c r="W288" t="s">
        <v>114</v>
      </c>
      <c r="AA288">
        <v>2</v>
      </c>
      <c r="AB288" t="s">
        <v>101</v>
      </c>
      <c r="AC288" t="s">
        <v>139</v>
      </c>
      <c r="AD288" t="s">
        <v>227</v>
      </c>
      <c r="AE288" t="str">
        <f t="shared" si="4"/>
        <v>Gray</v>
      </c>
      <c r="AF288">
        <v>1</v>
      </c>
      <c r="AG288">
        <v>0</v>
      </c>
      <c r="AH288">
        <v>0</v>
      </c>
      <c r="AI288">
        <v>1</v>
      </c>
      <c r="AJ288">
        <v>0.5</v>
      </c>
      <c r="AK288" t="s">
        <v>227</v>
      </c>
      <c r="AL288">
        <v>0.5</v>
      </c>
    </row>
    <row r="289" spans="2:38" ht="15" customHeight="1" x14ac:dyDescent="0.2">
      <c r="B289">
        <v>22</v>
      </c>
      <c r="C289">
        <v>4</v>
      </c>
      <c r="D289">
        <v>5</v>
      </c>
      <c r="E289" t="s">
        <v>352</v>
      </c>
      <c r="F289" t="s">
        <v>108</v>
      </c>
      <c r="G289" s="15">
        <v>42938</v>
      </c>
      <c r="H289" t="s">
        <v>109</v>
      </c>
      <c r="I289" t="s">
        <v>318</v>
      </c>
      <c r="J289" t="s">
        <v>219</v>
      </c>
      <c r="K289">
        <v>18</v>
      </c>
      <c r="L289" t="s">
        <v>154</v>
      </c>
      <c r="M289" t="s">
        <v>349</v>
      </c>
      <c r="N289" t="s">
        <v>156</v>
      </c>
      <c r="O289">
        <v>72.2</v>
      </c>
      <c r="P289">
        <v>138</v>
      </c>
      <c r="Q289">
        <v>6522</v>
      </c>
      <c r="R289" t="s">
        <v>157</v>
      </c>
      <c r="S289" t="s">
        <v>158</v>
      </c>
      <c r="T289" t="s">
        <v>117</v>
      </c>
      <c r="U289" t="s">
        <v>130</v>
      </c>
      <c r="V289" t="s">
        <v>272</v>
      </c>
      <c r="W289" t="s">
        <v>114</v>
      </c>
      <c r="AA289">
        <v>2</v>
      </c>
      <c r="AB289" t="s">
        <v>100</v>
      </c>
      <c r="AC289" t="s">
        <v>239</v>
      </c>
      <c r="AD289" t="s">
        <v>1308</v>
      </c>
      <c r="AE289" t="str">
        <f t="shared" si="4"/>
        <v>Welker</v>
      </c>
      <c r="AF289">
        <v>0</v>
      </c>
      <c r="AG289">
        <v>0</v>
      </c>
      <c r="AH289">
        <v>1</v>
      </c>
      <c r="AI289">
        <v>0</v>
      </c>
      <c r="AJ289">
        <v>0</v>
      </c>
      <c r="AK289" t="s">
        <v>1308</v>
      </c>
      <c r="AL289">
        <v>0.59375</v>
      </c>
    </row>
    <row r="290" spans="2:38" ht="15" customHeight="1" x14ac:dyDescent="0.2">
      <c r="B290">
        <v>23</v>
      </c>
      <c r="C290">
        <v>5</v>
      </c>
      <c r="D290">
        <v>5</v>
      </c>
      <c r="E290" t="s">
        <v>353</v>
      </c>
      <c r="F290" t="s">
        <v>108</v>
      </c>
      <c r="G290" s="15">
        <v>42938</v>
      </c>
      <c r="H290" t="s">
        <v>109</v>
      </c>
      <c r="I290" t="s">
        <v>318</v>
      </c>
      <c r="J290" t="s">
        <v>219</v>
      </c>
      <c r="K290">
        <v>18</v>
      </c>
      <c r="L290" t="s">
        <v>154</v>
      </c>
      <c r="M290" t="s">
        <v>349</v>
      </c>
      <c r="N290" t="s">
        <v>156</v>
      </c>
      <c r="O290">
        <v>72.2</v>
      </c>
      <c r="P290">
        <v>138</v>
      </c>
      <c r="Q290">
        <v>6522</v>
      </c>
      <c r="R290" t="s">
        <v>157</v>
      </c>
      <c r="S290" t="s">
        <v>158</v>
      </c>
      <c r="T290" t="s">
        <v>117</v>
      </c>
      <c r="U290" t="s">
        <v>130</v>
      </c>
      <c r="V290" t="s">
        <v>122</v>
      </c>
      <c r="W290" t="s">
        <v>114</v>
      </c>
      <c r="AA290">
        <v>2</v>
      </c>
      <c r="AB290" t="s">
        <v>99</v>
      </c>
      <c r="AC290" t="s">
        <v>263</v>
      </c>
      <c r="AD290" t="s">
        <v>321</v>
      </c>
      <c r="AE290" t="str">
        <f t="shared" si="4"/>
        <v>Hilts</v>
      </c>
      <c r="AF290">
        <v>2</v>
      </c>
      <c r="AG290">
        <v>1</v>
      </c>
      <c r="AH290">
        <v>0</v>
      </c>
      <c r="AI290">
        <v>0</v>
      </c>
      <c r="AJ290">
        <v>1</v>
      </c>
      <c r="AK290" t="s">
        <v>321</v>
      </c>
      <c r="AL290">
        <v>0.46551724137931</v>
      </c>
    </row>
    <row r="291" spans="2:38" ht="15" customHeight="1" x14ac:dyDescent="0.2">
      <c r="B291">
        <v>23</v>
      </c>
      <c r="C291">
        <v>6</v>
      </c>
      <c r="D291">
        <v>5</v>
      </c>
      <c r="E291" t="s">
        <v>354</v>
      </c>
      <c r="F291" t="s">
        <v>108</v>
      </c>
      <c r="G291" s="15">
        <v>42938</v>
      </c>
      <c r="H291" t="s">
        <v>109</v>
      </c>
      <c r="I291" t="s">
        <v>318</v>
      </c>
      <c r="J291" t="s">
        <v>219</v>
      </c>
      <c r="K291">
        <v>18</v>
      </c>
      <c r="L291" t="s">
        <v>154</v>
      </c>
      <c r="M291" t="s">
        <v>349</v>
      </c>
      <c r="N291" t="s">
        <v>156</v>
      </c>
      <c r="O291">
        <v>72.2</v>
      </c>
      <c r="P291">
        <v>138</v>
      </c>
      <c r="Q291">
        <v>6522</v>
      </c>
      <c r="R291" t="s">
        <v>157</v>
      </c>
      <c r="S291" t="s">
        <v>158</v>
      </c>
      <c r="T291" t="s">
        <v>117</v>
      </c>
      <c r="U291" t="s">
        <v>130</v>
      </c>
      <c r="V291" t="s">
        <v>127</v>
      </c>
      <c r="W291" t="s">
        <v>114</v>
      </c>
      <c r="AA291">
        <v>2</v>
      </c>
      <c r="AB291" t="s">
        <v>99</v>
      </c>
      <c r="AC291" t="s">
        <v>222</v>
      </c>
      <c r="AD291" t="s">
        <v>135</v>
      </c>
      <c r="AE291" t="str">
        <f t="shared" si="4"/>
        <v>Ferrin</v>
      </c>
      <c r="AF291">
        <v>2</v>
      </c>
      <c r="AG291">
        <v>1</v>
      </c>
      <c r="AH291">
        <v>0</v>
      </c>
      <c r="AI291">
        <v>0</v>
      </c>
      <c r="AJ291">
        <v>1</v>
      </c>
      <c r="AK291" t="s">
        <v>135</v>
      </c>
    </row>
    <row r="292" spans="2:38" ht="15" customHeight="1" x14ac:dyDescent="0.2">
      <c r="B292">
        <v>24</v>
      </c>
      <c r="C292">
        <v>7</v>
      </c>
      <c r="D292">
        <v>5</v>
      </c>
      <c r="E292" t="s">
        <v>355</v>
      </c>
      <c r="F292" t="s">
        <v>108</v>
      </c>
      <c r="G292" s="15">
        <v>42938</v>
      </c>
      <c r="H292" t="s">
        <v>109</v>
      </c>
      <c r="I292" t="s">
        <v>318</v>
      </c>
      <c r="J292" t="s">
        <v>219</v>
      </c>
      <c r="K292">
        <v>18</v>
      </c>
      <c r="L292" t="s">
        <v>154</v>
      </c>
      <c r="M292" t="s">
        <v>349</v>
      </c>
      <c r="N292" t="s">
        <v>156</v>
      </c>
      <c r="O292">
        <v>72.2</v>
      </c>
      <c r="P292">
        <v>138</v>
      </c>
      <c r="Q292">
        <v>6522</v>
      </c>
      <c r="R292" t="s">
        <v>157</v>
      </c>
      <c r="S292" t="s">
        <v>158</v>
      </c>
      <c r="T292" t="s">
        <v>117</v>
      </c>
      <c r="U292" t="s">
        <v>130</v>
      </c>
      <c r="V292" t="s">
        <v>118</v>
      </c>
      <c r="W292" t="s">
        <v>114</v>
      </c>
      <c r="AA292">
        <v>2</v>
      </c>
      <c r="AB292" t="s">
        <v>99</v>
      </c>
      <c r="AC292" t="s">
        <v>263</v>
      </c>
      <c r="AD292" t="s">
        <v>123</v>
      </c>
      <c r="AE292" t="str">
        <f t="shared" si="4"/>
        <v>Jackson</v>
      </c>
      <c r="AF292">
        <v>2</v>
      </c>
      <c r="AG292">
        <v>1</v>
      </c>
      <c r="AH292">
        <v>0</v>
      </c>
      <c r="AI292">
        <v>0</v>
      </c>
      <c r="AJ292">
        <v>1</v>
      </c>
      <c r="AK292" t="s">
        <v>123</v>
      </c>
      <c r="AL292">
        <v>0.5546875</v>
      </c>
    </row>
    <row r="293" spans="2:38" ht="15" customHeight="1" x14ac:dyDescent="0.2">
      <c r="B293">
        <v>24</v>
      </c>
      <c r="C293">
        <v>8</v>
      </c>
      <c r="D293">
        <v>5</v>
      </c>
      <c r="E293" t="s">
        <v>356</v>
      </c>
      <c r="F293" t="s">
        <v>108</v>
      </c>
      <c r="G293" s="15">
        <v>42938</v>
      </c>
      <c r="H293" t="s">
        <v>109</v>
      </c>
      <c r="I293" t="s">
        <v>318</v>
      </c>
      <c r="J293" t="s">
        <v>219</v>
      </c>
      <c r="K293">
        <v>18</v>
      </c>
      <c r="L293" t="s">
        <v>154</v>
      </c>
      <c r="M293" t="s">
        <v>349</v>
      </c>
      <c r="N293" t="s">
        <v>156</v>
      </c>
      <c r="O293">
        <v>72.2</v>
      </c>
      <c r="P293">
        <v>138</v>
      </c>
      <c r="Q293">
        <v>6522</v>
      </c>
      <c r="R293" t="s">
        <v>157</v>
      </c>
      <c r="S293" t="s">
        <v>158</v>
      </c>
      <c r="T293" t="s">
        <v>117</v>
      </c>
      <c r="U293" t="s">
        <v>130</v>
      </c>
      <c r="V293" t="s">
        <v>172</v>
      </c>
      <c r="W293" t="s">
        <v>114</v>
      </c>
      <c r="AA293">
        <v>2</v>
      </c>
      <c r="AB293" t="s">
        <v>100</v>
      </c>
      <c r="AC293" t="s">
        <v>304</v>
      </c>
      <c r="AD293" t="s">
        <v>230</v>
      </c>
      <c r="AE293" t="str">
        <f t="shared" si="4"/>
        <v>Fogan</v>
      </c>
      <c r="AF293">
        <v>0</v>
      </c>
      <c r="AG293">
        <v>0</v>
      </c>
      <c r="AH293">
        <v>1</v>
      </c>
      <c r="AI293">
        <v>0</v>
      </c>
      <c r="AJ293">
        <v>0</v>
      </c>
      <c r="AK293" t="s">
        <v>230</v>
      </c>
      <c r="AL293">
        <v>0.52777777777777801</v>
      </c>
    </row>
    <row r="294" spans="2:38" ht="15" customHeight="1" x14ac:dyDescent="0.2">
      <c r="B294">
        <v>25</v>
      </c>
      <c r="C294">
        <v>9</v>
      </c>
      <c r="D294">
        <v>5</v>
      </c>
      <c r="E294" t="s">
        <v>357</v>
      </c>
      <c r="F294" t="s">
        <v>108</v>
      </c>
      <c r="G294" s="15">
        <v>42938</v>
      </c>
      <c r="H294" t="s">
        <v>109</v>
      </c>
      <c r="I294" t="s">
        <v>318</v>
      </c>
      <c r="J294" t="s">
        <v>219</v>
      </c>
      <c r="K294">
        <v>18</v>
      </c>
      <c r="L294" t="s">
        <v>154</v>
      </c>
      <c r="M294" t="s">
        <v>349</v>
      </c>
      <c r="N294" t="s">
        <v>156</v>
      </c>
      <c r="O294">
        <v>72.2</v>
      </c>
      <c r="P294">
        <v>138</v>
      </c>
      <c r="Q294">
        <v>6522</v>
      </c>
      <c r="R294" t="s">
        <v>157</v>
      </c>
      <c r="S294" t="s">
        <v>158</v>
      </c>
      <c r="T294" t="s">
        <v>117</v>
      </c>
      <c r="U294" t="s">
        <v>130</v>
      </c>
      <c r="V294" t="s">
        <v>179</v>
      </c>
      <c r="W294" t="s">
        <v>114</v>
      </c>
      <c r="AA294">
        <v>2</v>
      </c>
      <c r="AB294" t="s">
        <v>100</v>
      </c>
      <c r="AC294" t="s">
        <v>239</v>
      </c>
      <c r="AD294" t="s">
        <v>176</v>
      </c>
      <c r="AE294" t="str">
        <f t="shared" si="4"/>
        <v>Cole</v>
      </c>
      <c r="AF294">
        <v>0</v>
      </c>
      <c r="AG294">
        <v>0</v>
      </c>
      <c r="AH294">
        <v>1</v>
      </c>
      <c r="AI294">
        <v>0</v>
      </c>
      <c r="AJ294">
        <v>0</v>
      </c>
      <c r="AK294" t="s">
        <v>176</v>
      </c>
      <c r="AL294">
        <v>0.59649122807017496</v>
      </c>
    </row>
    <row r="295" spans="2:38" ht="15" customHeight="1" x14ac:dyDescent="0.2">
      <c r="B295">
        <v>25</v>
      </c>
      <c r="C295">
        <v>10</v>
      </c>
      <c r="D295">
        <v>5</v>
      </c>
      <c r="E295" t="s">
        <v>358</v>
      </c>
      <c r="F295" t="s">
        <v>108</v>
      </c>
      <c r="G295" s="15">
        <v>42938</v>
      </c>
      <c r="H295" t="s">
        <v>109</v>
      </c>
      <c r="I295" t="s">
        <v>318</v>
      </c>
      <c r="J295" t="s">
        <v>219</v>
      </c>
      <c r="K295">
        <v>18</v>
      </c>
      <c r="L295" t="s">
        <v>154</v>
      </c>
      <c r="M295" t="s">
        <v>349</v>
      </c>
      <c r="N295" t="s">
        <v>156</v>
      </c>
      <c r="O295">
        <v>72.2</v>
      </c>
      <c r="P295">
        <v>138</v>
      </c>
      <c r="Q295">
        <v>6522</v>
      </c>
      <c r="R295" t="s">
        <v>157</v>
      </c>
      <c r="S295" t="s">
        <v>158</v>
      </c>
      <c r="T295" t="s">
        <v>117</v>
      </c>
      <c r="U295" t="s">
        <v>130</v>
      </c>
      <c r="V295" t="s">
        <v>178</v>
      </c>
      <c r="W295" t="s">
        <v>114</v>
      </c>
      <c r="AA295">
        <v>2</v>
      </c>
      <c r="AB295" t="s">
        <v>100</v>
      </c>
      <c r="AC295" t="s">
        <v>257</v>
      </c>
      <c r="AD295" t="s">
        <v>133</v>
      </c>
      <c r="AE295" t="str">
        <f t="shared" si="4"/>
        <v>Connors</v>
      </c>
      <c r="AF295">
        <v>0</v>
      </c>
      <c r="AG295">
        <v>0</v>
      </c>
      <c r="AH295">
        <v>1</v>
      </c>
      <c r="AI295">
        <v>0</v>
      </c>
      <c r="AJ295">
        <v>0</v>
      </c>
      <c r="AK295" t="s">
        <v>133</v>
      </c>
      <c r="AL295">
        <v>0.38392857142857201</v>
      </c>
    </row>
    <row r="296" spans="2:38" ht="15" customHeight="1" x14ac:dyDescent="0.2">
      <c r="B296">
        <v>26</v>
      </c>
      <c r="C296">
        <v>1</v>
      </c>
      <c r="D296">
        <v>5</v>
      </c>
      <c r="E296" t="s">
        <v>348</v>
      </c>
      <c r="F296" t="s">
        <v>108</v>
      </c>
      <c r="G296" s="15">
        <v>42938</v>
      </c>
      <c r="H296" t="s">
        <v>109</v>
      </c>
      <c r="I296" t="s">
        <v>318</v>
      </c>
      <c r="J296" t="s">
        <v>219</v>
      </c>
      <c r="K296">
        <v>18</v>
      </c>
      <c r="L296" t="s">
        <v>154</v>
      </c>
      <c r="M296" t="s">
        <v>349</v>
      </c>
      <c r="N296" t="s">
        <v>156</v>
      </c>
      <c r="O296">
        <v>72.2</v>
      </c>
      <c r="P296">
        <v>138</v>
      </c>
      <c r="Q296">
        <v>6522</v>
      </c>
      <c r="R296" t="s">
        <v>157</v>
      </c>
      <c r="S296" t="s">
        <v>158</v>
      </c>
      <c r="T296" t="s">
        <v>124</v>
      </c>
      <c r="U296" t="s">
        <v>176</v>
      </c>
      <c r="V296" t="s">
        <v>119</v>
      </c>
      <c r="W296" t="s">
        <v>156</v>
      </c>
      <c r="AA296">
        <v>2</v>
      </c>
      <c r="AB296" t="s">
        <v>100</v>
      </c>
      <c r="AC296" t="s">
        <v>222</v>
      </c>
      <c r="AD296" t="s">
        <v>130</v>
      </c>
      <c r="AE296" t="str">
        <f t="shared" si="4"/>
        <v>Grise</v>
      </c>
      <c r="AF296">
        <v>0</v>
      </c>
      <c r="AG296">
        <v>0</v>
      </c>
      <c r="AH296">
        <v>1</v>
      </c>
      <c r="AI296">
        <v>0</v>
      </c>
      <c r="AJ296">
        <v>0</v>
      </c>
      <c r="AK296" t="s">
        <v>130</v>
      </c>
      <c r="AL296">
        <v>0.48611111111111099</v>
      </c>
    </row>
    <row r="297" spans="2:38" ht="15" customHeight="1" x14ac:dyDescent="0.2">
      <c r="B297">
        <v>26</v>
      </c>
      <c r="C297">
        <v>2</v>
      </c>
      <c r="D297">
        <v>5</v>
      </c>
      <c r="E297" t="s">
        <v>350</v>
      </c>
      <c r="F297" t="s">
        <v>108</v>
      </c>
      <c r="G297" s="15">
        <v>42938</v>
      </c>
      <c r="H297" t="s">
        <v>109</v>
      </c>
      <c r="I297" t="s">
        <v>318</v>
      </c>
      <c r="J297" t="s">
        <v>219</v>
      </c>
      <c r="K297">
        <v>18</v>
      </c>
      <c r="L297" t="s">
        <v>154</v>
      </c>
      <c r="M297" t="s">
        <v>349</v>
      </c>
      <c r="N297" t="s">
        <v>156</v>
      </c>
      <c r="O297">
        <v>72.2</v>
      </c>
      <c r="P297">
        <v>138</v>
      </c>
      <c r="Q297">
        <v>6522</v>
      </c>
      <c r="R297" t="s">
        <v>157</v>
      </c>
      <c r="S297" t="s">
        <v>158</v>
      </c>
      <c r="T297" t="s">
        <v>124</v>
      </c>
      <c r="U297" t="s">
        <v>176</v>
      </c>
      <c r="V297" t="s">
        <v>231</v>
      </c>
      <c r="W297" t="s">
        <v>156</v>
      </c>
      <c r="AA297">
        <v>2</v>
      </c>
      <c r="AB297" t="s">
        <v>99</v>
      </c>
      <c r="AC297" t="s">
        <v>263</v>
      </c>
      <c r="AD297" t="s">
        <v>132</v>
      </c>
      <c r="AE297" t="str">
        <f t="shared" si="4"/>
        <v>McInerney</v>
      </c>
      <c r="AF297">
        <v>2</v>
      </c>
      <c r="AG297">
        <v>1</v>
      </c>
      <c r="AH297">
        <v>0</v>
      </c>
      <c r="AI297">
        <v>0</v>
      </c>
      <c r="AJ297">
        <v>1</v>
      </c>
      <c r="AK297" t="s">
        <v>132</v>
      </c>
      <c r="AL297">
        <v>0.4296875</v>
      </c>
    </row>
    <row r="298" spans="2:38" ht="15" customHeight="1" x14ac:dyDescent="0.2">
      <c r="B298">
        <v>27</v>
      </c>
      <c r="C298">
        <v>3</v>
      </c>
      <c r="D298">
        <v>5</v>
      </c>
      <c r="E298" t="s">
        <v>351</v>
      </c>
      <c r="F298" t="s">
        <v>108</v>
      </c>
      <c r="G298" s="15">
        <v>42938</v>
      </c>
      <c r="H298" t="s">
        <v>109</v>
      </c>
      <c r="I298" t="s">
        <v>318</v>
      </c>
      <c r="J298" t="s">
        <v>219</v>
      </c>
      <c r="K298">
        <v>18</v>
      </c>
      <c r="L298" t="s">
        <v>154</v>
      </c>
      <c r="M298" t="s">
        <v>349</v>
      </c>
      <c r="N298" t="s">
        <v>156</v>
      </c>
      <c r="O298">
        <v>72.2</v>
      </c>
      <c r="P298">
        <v>138</v>
      </c>
      <c r="Q298">
        <v>6522</v>
      </c>
      <c r="R298" t="s">
        <v>157</v>
      </c>
      <c r="S298" t="s">
        <v>158</v>
      </c>
      <c r="T298" t="s">
        <v>124</v>
      </c>
      <c r="U298" t="s">
        <v>176</v>
      </c>
      <c r="V298" t="s">
        <v>227</v>
      </c>
      <c r="W298" t="s">
        <v>156</v>
      </c>
      <c r="AA298">
        <v>2</v>
      </c>
      <c r="AB298" t="s">
        <v>101</v>
      </c>
      <c r="AC298" t="s">
        <v>139</v>
      </c>
      <c r="AD298" t="s">
        <v>226</v>
      </c>
      <c r="AE298" t="str">
        <f t="shared" si="4"/>
        <v>Zimmer</v>
      </c>
      <c r="AF298">
        <v>1</v>
      </c>
      <c r="AG298">
        <v>0</v>
      </c>
      <c r="AH298">
        <v>0</v>
      </c>
      <c r="AI298">
        <v>1</v>
      </c>
      <c r="AJ298">
        <v>0.5</v>
      </c>
      <c r="AK298" t="s">
        <v>226</v>
      </c>
      <c r="AL298">
        <v>0.65476190476190499</v>
      </c>
    </row>
    <row r="299" spans="2:38" ht="15" customHeight="1" x14ac:dyDescent="0.2">
      <c r="B299">
        <v>27</v>
      </c>
      <c r="C299">
        <v>4</v>
      </c>
      <c r="D299">
        <v>5</v>
      </c>
      <c r="E299" t="s">
        <v>352</v>
      </c>
      <c r="F299" t="s">
        <v>108</v>
      </c>
      <c r="G299" s="15">
        <v>42938</v>
      </c>
      <c r="H299" t="s">
        <v>109</v>
      </c>
      <c r="I299" t="s">
        <v>318</v>
      </c>
      <c r="J299" t="s">
        <v>219</v>
      </c>
      <c r="K299">
        <v>18</v>
      </c>
      <c r="L299" t="s">
        <v>154</v>
      </c>
      <c r="M299" t="s">
        <v>349</v>
      </c>
      <c r="N299" t="s">
        <v>156</v>
      </c>
      <c r="O299">
        <v>72.2</v>
      </c>
      <c r="P299">
        <v>138</v>
      </c>
      <c r="Q299">
        <v>6522</v>
      </c>
      <c r="R299" t="s">
        <v>157</v>
      </c>
      <c r="S299" t="s">
        <v>158</v>
      </c>
      <c r="T299" t="s">
        <v>124</v>
      </c>
      <c r="U299" t="s">
        <v>176</v>
      </c>
      <c r="V299" t="s">
        <v>1308</v>
      </c>
      <c r="W299" t="s">
        <v>156</v>
      </c>
      <c r="AA299">
        <v>2</v>
      </c>
      <c r="AB299" t="s">
        <v>99</v>
      </c>
      <c r="AC299" t="s">
        <v>239</v>
      </c>
      <c r="AD299" t="s">
        <v>272</v>
      </c>
      <c r="AE299" t="str">
        <f t="shared" si="4"/>
        <v>Connolly</v>
      </c>
      <c r="AF299">
        <v>2</v>
      </c>
      <c r="AG299">
        <v>1</v>
      </c>
      <c r="AH299">
        <v>0</v>
      </c>
      <c r="AI299">
        <v>0</v>
      </c>
      <c r="AJ299">
        <v>1</v>
      </c>
      <c r="AK299" t="s">
        <v>272</v>
      </c>
      <c r="AL299">
        <v>0.51041666666666696</v>
      </c>
    </row>
    <row r="300" spans="2:38" ht="15" customHeight="1" x14ac:dyDescent="0.2">
      <c r="B300">
        <v>28</v>
      </c>
      <c r="C300">
        <v>5</v>
      </c>
      <c r="D300">
        <v>5</v>
      </c>
      <c r="E300" t="s">
        <v>353</v>
      </c>
      <c r="F300" t="s">
        <v>108</v>
      </c>
      <c r="G300" s="15">
        <v>42938</v>
      </c>
      <c r="H300" t="s">
        <v>109</v>
      </c>
      <c r="I300" t="s">
        <v>318</v>
      </c>
      <c r="J300" t="s">
        <v>219</v>
      </c>
      <c r="K300">
        <v>18</v>
      </c>
      <c r="L300" t="s">
        <v>154</v>
      </c>
      <c r="M300" t="s">
        <v>349</v>
      </c>
      <c r="N300" t="s">
        <v>156</v>
      </c>
      <c r="O300">
        <v>72.2</v>
      </c>
      <c r="P300">
        <v>138</v>
      </c>
      <c r="Q300">
        <v>6522</v>
      </c>
      <c r="R300" t="s">
        <v>157</v>
      </c>
      <c r="S300" t="s">
        <v>158</v>
      </c>
      <c r="T300" t="s">
        <v>124</v>
      </c>
      <c r="U300" t="s">
        <v>176</v>
      </c>
      <c r="V300" t="s">
        <v>321</v>
      </c>
      <c r="W300" t="s">
        <v>156</v>
      </c>
      <c r="AA300">
        <v>2</v>
      </c>
      <c r="AB300" t="s">
        <v>100</v>
      </c>
      <c r="AC300" t="s">
        <v>263</v>
      </c>
      <c r="AD300" t="s">
        <v>122</v>
      </c>
      <c r="AE300" t="str">
        <f t="shared" si="4"/>
        <v>Delaney</v>
      </c>
      <c r="AF300">
        <v>0</v>
      </c>
      <c r="AG300">
        <v>0</v>
      </c>
      <c r="AH300">
        <v>1</v>
      </c>
      <c r="AI300">
        <v>0</v>
      </c>
      <c r="AJ300">
        <v>0</v>
      </c>
      <c r="AK300" t="s">
        <v>122</v>
      </c>
      <c r="AL300">
        <v>0.47321428571428598</v>
      </c>
    </row>
    <row r="301" spans="2:38" ht="15" customHeight="1" x14ac:dyDescent="0.2">
      <c r="B301">
        <v>28</v>
      </c>
      <c r="C301">
        <v>6</v>
      </c>
      <c r="D301">
        <v>5</v>
      </c>
      <c r="E301" t="s">
        <v>354</v>
      </c>
      <c r="F301" t="s">
        <v>108</v>
      </c>
      <c r="G301" s="15">
        <v>42938</v>
      </c>
      <c r="H301" t="s">
        <v>109</v>
      </c>
      <c r="I301" t="s">
        <v>318</v>
      </c>
      <c r="J301" t="s">
        <v>219</v>
      </c>
      <c r="K301">
        <v>18</v>
      </c>
      <c r="L301" t="s">
        <v>154</v>
      </c>
      <c r="M301" t="s">
        <v>349</v>
      </c>
      <c r="N301" t="s">
        <v>156</v>
      </c>
      <c r="O301">
        <v>72.2</v>
      </c>
      <c r="P301">
        <v>138</v>
      </c>
      <c r="Q301">
        <v>6522</v>
      </c>
      <c r="R301" t="s">
        <v>157</v>
      </c>
      <c r="S301" t="s">
        <v>158</v>
      </c>
      <c r="T301" t="s">
        <v>124</v>
      </c>
      <c r="U301" t="s">
        <v>176</v>
      </c>
      <c r="V301" t="s">
        <v>135</v>
      </c>
      <c r="W301" t="s">
        <v>156</v>
      </c>
      <c r="AA301">
        <v>2</v>
      </c>
      <c r="AB301" t="s">
        <v>100</v>
      </c>
      <c r="AC301" t="s">
        <v>222</v>
      </c>
      <c r="AD301" t="s">
        <v>127</v>
      </c>
      <c r="AE301" t="str">
        <f t="shared" si="4"/>
        <v>Shively</v>
      </c>
      <c r="AF301">
        <v>0</v>
      </c>
      <c r="AG301">
        <v>0</v>
      </c>
      <c r="AH301">
        <v>1</v>
      </c>
      <c r="AI301">
        <v>0</v>
      </c>
      <c r="AJ301">
        <v>0</v>
      </c>
      <c r="AK301" t="s">
        <v>127</v>
      </c>
      <c r="AL301">
        <v>0.59523809523809501</v>
      </c>
    </row>
    <row r="302" spans="2:38" ht="15" customHeight="1" x14ac:dyDescent="0.2">
      <c r="B302">
        <v>29</v>
      </c>
      <c r="C302">
        <v>7</v>
      </c>
      <c r="D302">
        <v>5</v>
      </c>
      <c r="E302" t="s">
        <v>355</v>
      </c>
      <c r="F302" t="s">
        <v>108</v>
      </c>
      <c r="G302" s="15">
        <v>42938</v>
      </c>
      <c r="H302" t="s">
        <v>109</v>
      </c>
      <c r="I302" t="s">
        <v>318</v>
      </c>
      <c r="J302" t="s">
        <v>219</v>
      </c>
      <c r="K302">
        <v>18</v>
      </c>
      <c r="L302" t="s">
        <v>154</v>
      </c>
      <c r="M302" t="s">
        <v>349</v>
      </c>
      <c r="N302" t="s">
        <v>156</v>
      </c>
      <c r="O302">
        <v>72.2</v>
      </c>
      <c r="P302">
        <v>138</v>
      </c>
      <c r="Q302">
        <v>6522</v>
      </c>
      <c r="R302" t="s">
        <v>157</v>
      </c>
      <c r="S302" t="s">
        <v>158</v>
      </c>
      <c r="T302" t="s">
        <v>124</v>
      </c>
      <c r="U302" t="s">
        <v>176</v>
      </c>
      <c r="V302" t="s">
        <v>123</v>
      </c>
      <c r="W302" t="s">
        <v>156</v>
      </c>
      <c r="AA302">
        <v>2</v>
      </c>
      <c r="AB302" t="s">
        <v>100</v>
      </c>
      <c r="AC302" t="s">
        <v>263</v>
      </c>
      <c r="AD302" t="s">
        <v>118</v>
      </c>
      <c r="AE302" t="str">
        <f t="shared" si="4"/>
        <v>Lynch</v>
      </c>
      <c r="AF302">
        <v>0</v>
      </c>
      <c r="AG302">
        <v>0</v>
      </c>
      <c r="AH302">
        <v>1</v>
      </c>
      <c r="AI302">
        <v>0</v>
      </c>
      <c r="AJ302">
        <v>0</v>
      </c>
      <c r="AK302" t="s">
        <v>118</v>
      </c>
      <c r="AL302">
        <v>0.6171875</v>
      </c>
    </row>
    <row r="303" spans="2:38" ht="15" customHeight="1" x14ac:dyDescent="0.2">
      <c r="B303">
        <v>29</v>
      </c>
      <c r="C303">
        <v>8</v>
      </c>
      <c r="D303">
        <v>5</v>
      </c>
      <c r="E303" t="s">
        <v>356</v>
      </c>
      <c r="F303" t="s">
        <v>108</v>
      </c>
      <c r="G303" s="15">
        <v>42938</v>
      </c>
      <c r="H303" t="s">
        <v>109</v>
      </c>
      <c r="I303" t="s">
        <v>318</v>
      </c>
      <c r="J303" t="s">
        <v>219</v>
      </c>
      <c r="K303">
        <v>18</v>
      </c>
      <c r="L303" t="s">
        <v>154</v>
      </c>
      <c r="M303" t="s">
        <v>349</v>
      </c>
      <c r="N303" t="s">
        <v>156</v>
      </c>
      <c r="O303">
        <v>72.2</v>
      </c>
      <c r="P303">
        <v>138</v>
      </c>
      <c r="Q303">
        <v>6522</v>
      </c>
      <c r="R303" t="s">
        <v>157</v>
      </c>
      <c r="S303" t="s">
        <v>158</v>
      </c>
      <c r="T303" t="s">
        <v>124</v>
      </c>
      <c r="U303" t="s">
        <v>176</v>
      </c>
      <c r="V303" t="s">
        <v>230</v>
      </c>
      <c r="W303" t="s">
        <v>156</v>
      </c>
      <c r="AA303">
        <v>2</v>
      </c>
      <c r="AB303" t="s">
        <v>99</v>
      </c>
      <c r="AC303" t="s">
        <v>304</v>
      </c>
      <c r="AD303" t="s">
        <v>172</v>
      </c>
      <c r="AE303" t="str">
        <f t="shared" si="4"/>
        <v>Norat</v>
      </c>
      <c r="AF303">
        <v>2</v>
      </c>
      <c r="AG303">
        <v>1</v>
      </c>
      <c r="AH303">
        <v>0</v>
      </c>
      <c r="AI303">
        <v>0</v>
      </c>
      <c r="AJ303">
        <v>1</v>
      </c>
      <c r="AK303" t="s">
        <v>172</v>
      </c>
      <c r="AL303">
        <v>0.37288135593220301</v>
      </c>
    </row>
    <row r="304" spans="2:38" ht="15" customHeight="1" x14ac:dyDescent="0.2">
      <c r="B304">
        <v>30</v>
      </c>
      <c r="C304">
        <v>9</v>
      </c>
      <c r="D304">
        <v>5</v>
      </c>
      <c r="E304" t="s">
        <v>357</v>
      </c>
      <c r="F304" t="s">
        <v>108</v>
      </c>
      <c r="G304" s="15">
        <v>42938</v>
      </c>
      <c r="H304" t="s">
        <v>109</v>
      </c>
      <c r="I304" t="s">
        <v>318</v>
      </c>
      <c r="J304" t="s">
        <v>219</v>
      </c>
      <c r="K304">
        <v>18</v>
      </c>
      <c r="L304" t="s">
        <v>154</v>
      </c>
      <c r="M304" t="s">
        <v>349</v>
      </c>
      <c r="N304" t="s">
        <v>156</v>
      </c>
      <c r="O304">
        <v>72.2</v>
      </c>
      <c r="P304">
        <v>138</v>
      </c>
      <c r="Q304">
        <v>6522</v>
      </c>
      <c r="R304" t="s">
        <v>157</v>
      </c>
      <c r="S304" t="s">
        <v>158</v>
      </c>
      <c r="T304" t="s">
        <v>124</v>
      </c>
      <c r="U304" t="s">
        <v>176</v>
      </c>
      <c r="V304" t="s">
        <v>176</v>
      </c>
      <c r="W304" t="s">
        <v>156</v>
      </c>
      <c r="AA304">
        <v>2</v>
      </c>
      <c r="AB304" t="s">
        <v>99</v>
      </c>
      <c r="AC304" t="s">
        <v>239</v>
      </c>
      <c r="AD304" t="s">
        <v>179</v>
      </c>
      <c r="AE304" t="str">
        <f t="shared" si="4"/>
        <v>Forster</v>
      </c>
      <c r="AF304">
        <v>2</v>
      </c>
      <c r="AG304">
        <v>1</v>
      </c>
      <c r="AH304">
        <v>0</v>
      </c>
      <c r="AI304">
        <v>0</v>
      </c>
      <c r="AJ304">
        <v>1</v>
      </c>
      <c r="AK304" t="s">
        <v>179</v>
      </c>
      <c r="AL304">
        <v>0.44067796610169502</v>
      </c>
    </row>
    <row r="305" spans="2:40" ht="15" customHeight="1" x14ac:dyDescent="0.2">
      <c r="B305">
        <v>30</v>
      </c>
      <c r="C305">
        <v>10</v>
      </c>
      <c r="D305">
        <v>5</v>
      </c>
      <c r="E305" t="s">
        <v>358</v>
      </c>
      <c r="F305" t="s">
        <v>108</v>
      </c>
      <c r="G305" s="15">
        <v>42938</v>
      </c>
      <c r="H305" t="s">
        <v>109</v>
      </c>
      <c r="I305" t="s">
        <v>318</v>
      </c>
      <c r="J305" t="s">
        <v>219</v>
      </c>
      <c r="K305">
        <v>18</v>
      </c>
      <c r="L305" t="s">
        <v>154</v>
      </c>
      <c r="M305" t="s">
        <v>349</v>
      </c>
      <c r="N305" t="s">
        <v>156</v>
      </c>
      <c r="O305">
        <v>72.2</v>
      </c>
      <c r="P305">
        <v>138</v>
      </c>
      <c r="Q305">
        <v>6522</v>
      </c>
      <c r="R305" t="s">
        <v>157</v>
      </c>
      <c r="S305" t="s">
        <v>158</v>
      </c>
      <c r="T305" t="s">
        <v>124</v>
      </c>
      <c r="U305" t="s">
        <v>176</v>
      </c>
      <c r="V305" t="s">
        <v>133</v>
      </c>
      <c r="W305" t="s">
        <v>156</v>
      </c>
      <c r="AA305">
        <v>2</v>
      </c>
      <c r="AB305" t="s">
        <v>99</v>
      </c>
      <c r="AC305" t="s">
        <v>257</v>
      </c>
      <c r="AD305" t="s">
        <v>178</v>
      </c>
      <c r="AE305" t="str">
        <f t="shared" si="4"/>
        <v>Mangold</v>
      </c>
      <c r="AF305">
        <v>2</v>
      </c>
      <c r="AG305">
        <v>1</v>
      </c>
      <c r="AH305">
        <v>0</v>
      </c>
      <c r="AI305">
        <v>0</v>
      </c>
      <c r="AJ305">
        <v>1</v>
      </c>
      <c r="AK305" t="s">
        <v>178</v>
      </c>
      <c r="AL305">
        <v>0.34745762711864397</v>
      </c>
    </row>
    <row r="306" spans="2:40" ht="15" customHeight="1" x14ac:dyDescent="0.2">
      <c r="B306">
        <v>1</v>
      </c>
      <c r="C306">
        <v>1</v>
      </c>
      <c r="D306">
        <v>6</v>
      </c>
      <c r="E306" t="s">
        <v>359</v>
      </c>
      <c r="F306" t="s">
        <v>268</v>
      </c>
      <c r="G306" s="15">
        <v>43308</v>
      </c>
      <c r="H306" t="s">
        <v>109</v>
      </c>
      <c r="I306" t="s">
        <v>360</v>
      </c>
      <c r="J306" t="s">
        <v>270</v>
      </c>
      <c r="K306">
        <v>9</v>
      </c>
      <c r="L306" t="s">
        <v>112</v>
      </c>
      <c r="M306" t="s">
        <v>361</v>
      </c>
      <c r="N306" t="s">
        <v>114</v>
      </c>
      <c r="O306">
        <v>70.5</v>
      </c>
      <c r="P306">
        <v>134</v>
      </c>
      <c r="Q306">
        <v>6389</v>
      </c>
      <c r="R306" t="s">
        <v>115</v>
      </c>
      <c r="S306" t="s">
        <v>116</v>
      </c>
      <c r="T306" t="s">
        <v>124</v>
      </c>
      <c r="U306" t="s">
        <v>172</v>
      </c>
      <c r="V306" t="s">
        <v>226</v>
      </c>
      <c r="W306" t="s">
        <v>114</v>
      </c>
      <c r="Y306" t="s">
        <v>122</v>
      </c>
      <c r="AA306">
        <v>1</v>
      </c>
      <c r="AB306" t="s">
        <v>99</v>
      </c>
      <c r="AC306" t="s">
        <v>225</v>
      </c>
      <c r="AE306" t="str">
        <f t="shared" si="4"/>
        <v>GrayHilts</v>
      </c>
      <c r="AF306">
        <v>1</v>
      </c>
      <c r="AG306">
        <v>1</v>
      </c>
      <c r="AH306">
        <v>0</v>
      </c>
      <c r="AI306">
        <v>0</v>
      </c>
      <c r="AJ306">
        <v>1</v>
      </c>
      <c r="AK306" t="s">
        <v>132</v>
      </c>
      <c r="AL306">
        <v>0.4296875</v>
      </c>
      <c r="AM306" t="s">
        <v>176</v>
      </c>
      <c r="AN306">
        <v>0.59649122807017496</v>
      </c>
    </row>
    <row r="307" spans="2:40" ht="15" customHeight="1" x14ac:dyDescent="0.2">
      <c r="B307">
        <v>1</v>
      </c>
      <c r="C307">
        <v>1</v>
      </c>
      <c r="D307">
        <v>6</v>
      </c>
      <c r="E307" t="s">
        <v>359</v>
      </c>
      <c r="F307" t="s">
        <v>268</v>
      </c>
      <c r="G307" s="15">
        <v>43308</v>
      </c>
      <c r="H307" t="s">
        <v>109</v>
      </c>
      <c r="I307" t="s">
        <v>360</v>
      </c>
      <c r="J307" t="s">
        <v>270</v>
      </c>
      <c r="K307">
        <v>9</v>
      </c>
      <c r="L307" t="s">
        <v>112</v>
      </c>
      <c r="M307" t="s">
        <v>361</v>
      </c>
      <c r="N307" t="s">
        <v>114</v>
      </c>
      <c r="O307">
        <v>70.5</v>
      </c>
      <c r="P307">
        <v>134</v>
      </c>
      <c r="Q307">
        <v>6389</v>
      </c>
      <c r="R307" t="s">
        <v>115</v>
      </c>
      <c r="S307" t="s">
        <v>116</v>
      </c>
      <c r="T307" t="s">
        <v>117</v>
      </c>
      <c r="U307" t="s">
        <v>230</v>
      </c>
      <c r="V307" t="s">
        <v>132</v>
      </c>
      <c r="W307" t="s">
        <v>362</v>
      </c>
      <c r="Y307" t="s">
        <v>176</v>
      </c>
      <c r="AA307">
        <v>1</v>
      </c>
      <c r="AB307" t="s">
        <v>100</v>
      </c>
      <c r="AC307" t="s">
        <v>225</v>
      </c>
      <c r="AE307" t="str">
        <f t="shared" si="4"/>
        <v>FlandersForster</v>
      </c>
      <c r="AF307">
        <v>0</v>
      </c>
      <c r="AG307">
        <v>0</v>
      </c>
      <c r="AH307">
        <v>1</v>
      </c>
      <c r="AI307">
        <v>0</v>
      </c>
      <c r="AJ307">
        <v>0</v>
      </c>
      <c r="AK307" t="s">
        <v>226</v>
      </c>
      <c r="AL307">
        <v>0.65476190476190499</v>
      </c>
      <c r="AM307" t="s">
        <v>122</v>
      </c>
      <c r="AN307">
        <v>0.47321428571428598</v>
      </c>
    </row>
    <row r="308" spans="2:40" ht="15" customHeight="1" x14ac:dyDescent="0.2">
      <c r="B308">
        <v>2</v>
      </c>
      <c r="C308">
        <v>2</v>
      </c>
      <c r="D308">
        <v>6</v>
      </c>
      <c r="E308" t="s">
        <v>363</v>
      </c>
      <c r="F308" t="s">
        <v>268</v>
      </c>
      <c r="G308" s="15">
        <v>43308</v>
      </c>
      <c r="H308" t="s">
        <v>109</v>
      </c>
      <c r="I308" t="s">
        <v>360</v>
      </c>
      <c r="J308" t="s">
        <v>270</v>
      </c>
      <c r="K308">
        <v>9</v>
      </c>
      <c r="L308" t="s">
        <v>112</v>
      </c>
      <c r="M308" t="s">
        <v>361</v>
      </c>
      <c r="N308" t="s">
        <v>114</v>
      </c>
      <c r="O308">
        <v>70.5</v>
      </c>
      <c r="P308">
        <v>134</v>
      </c>
      <c r="Q308">
        <v>6389</v>
      </c>
      <c r="R308" t="s">
        <v>115</v>
      </c>
      <c r="S308" t="s">
        <v>116</v>
      </c>
      <c r="T308" t="s">
        <v>117</v>
      </c>
      <c r="U308" t="s">
        <v>230</v>
      </c>
      <c r="V308" t="s">
        <v>179</v>
      </c>
      <c r="W308" t="s">
        <v>362</v>
      </c>
      <c r="Y308" t="s">
        <v>127</v>
      </c>
      <c r="AA308">
        <v>1</v>
      </c>
      <c r="AB308" t="s">
        <v>99</v>
      </c>
      <c r="AC308" t="s">
        <v>225</v>
      </c>
      <c r="AE308" t="str">
        <f t="shared" si="4"/>
        <v>ColeFerrin</v>
      </c>
      <c r="AF308">
        <v>1</v>
      </c>
      <c r="AG308">
        <v>1</v>
      </c>
      <c r="AH308">
        <v>0</v>
      </c>
      <c r="AI308">
        <v>0</v>
      </c>
      <c r="AJ308">
        <v>1</v>
      </c>
      <c r="AK308" t="s">
        <v>172</v>
      </c>
      <c r="AL308">
        <v>0.37288135593220301</v>
      </c>
      <c r="AM308" t="s">
        <v>123</v>
      </c>
      <c r="AN308">
        <v>0.5546875</v>
      </c>
    </row>
    <row r="309" spans="2:40" ht="15" customHeight="1" x14ac:dyDescent="0.2">
      <c r="B309">
        <v>2</v>
      </c>
      <c r="C309">
        <v>2</v>
      </c>
      <c r="D309">
        <v>6</v>
      </c>
      <c r="E309" t="s">
        <v>363</v>
      </c>
      <c r="F309" t="s">
        <v>268</v>
      </c>
      <c r="G309" s="15">
        <v>43308</v>
      </c>
      <c r="H309" t="s">
        <v>109</v>
      </c>
      <c r="I309" t="s">
        <v>360</v>
      </c>
      <c r="J309" t="s">
        <v>270</v>
      </c>
      <c r="K309">
        <v>9</v>
      </c>
      <c r="L309" t="s">
        <v>112</v>
      </c>
      <c r="M309" t="s">
        <v>361</v>
      </c>
      <c r="N309" t="s">
        <v>114</v>
      </c>
      <c r="O309">
        <v>70.5</v>
      </c>
      <c r="P309">
        <v>134</v>
      </c>
      <c r="Q309">
        <v>6389</v>
      </c>
      <c r="R309" t="s">
        <v>115</v>
      </c>
      <c r="S309" t="s">
        <v>116</v>
      </c>
      <c r="T309" t="s">
        <v>124</v>
      </c>
      <c r="U309" t="s">
        <v>172</v>
      </c>
      <c r="V309" t="s">
        <v>172</v>
      </c>
      <c r="W309" t="s">
        <v>114</v>
      </c>
      <c r="Y309" t="s">
        <v>123</v>
      </c>
      <c r="AA309">
        <v>1</v>
      </c>
      <c r="AB309" t="s">
        <v>100</v>
      </c>
      <c r="AC309" t="s">
        <v>225</v>
      </c>
      <c r="AE309" t="str">
        <f t="shared" si="4"/>
        <v>FoganLynch</v>
      </c>
      <c r="AF309">
        <v>0</v>
      </c>
      <c r="AG309">
        <v>0</v>
      </c>
      <c r="AH309">
        <v>1</v>
      </c>
      <c r="AI309">
        <v>0</v>
      </c>
      <c r="AJ309">
        <v>0</v>
      </c>
      <c r="AK309" t="s">
        <v>179</v>
      </c>
      <c r="AL309">
        <v>0.44067796610169502</v>
      </c>
      <c r="AM309" t="s">
        <v>127</v>
      </c>
      <c r="AN309">
        <v>0.59523809523809501</v>
      </c>
    </row>
    <row r="310" spans="2:40" ht="15" customHeight="1" x14ac:dyDescent="0.2">
      <c r="B310">
        <v>3</v>
      </c>
      <c r="C310">
        <v>3</v>
      </c>
      <c r="D310">
        <v>6</v>
      </c>
      <c r="E310" t="s">
        <v>364</v>
      </c>
      <c r="F310" t="s">
        <v>268</v>
      </c>
      <c r="G310" s="15">
        <v>43308</v>
      </c>
      <c r="H310" t="s">
        <v>109</v>
      </c>
      <c r="I310" t="s">
        <v>360</v>
      </c>
      <c r="J310" t="s">
        <v>270</v>
      </c>
      <c r="K310">
        <v>9</v>
      </c>
      <c r="L310" t="s">
        <v>112</v>
      </c>
      <c r="M310" t="s">
        <v>361</v>
      </c>
      <c r="N310" t="s">
        <v>114</v>
      </c>
      <c r="O310">
        <v>70.5</v>
      </c>
      <c r="P310">
        <v>134</v>
      </c>
      <c r="Q310">
        <v>6389</v>
      </c>
      <c r="R310" t="s">
        <v>115</v>
      </c>
      <c r="S310" t="s">
        <v>116</v>
      </c>
      <c r="T310" t="s">
        <v>124</v>
      </c>
      <c r="U310" t="s">
        <v>172</v>
      </c>
      <c r="V310" t="s">
        <v>119</v>
      </c>
      <c r="W310" t="s">
        <v>114</v>
      </c>
      <c r="Y310" t="s">
        <v>118</v>
      </c>
      <c r="AA310">
        <v>1</v>
      </c>
      <c r="AB310" t="s">
        <v>99</v>
      </c>
      <c r="AC310" t="s">
        <v>225</v>
      </c>
      <c r="AE310" t="str">
        <f t="shared" si="4"/>
        <v>GriseJackson</v>
      </c>
      <c r="AF310">
        <v>1</v>
      </c>
      <c r="AG310">
        <v>1</v>
      </c>
      <c r="AH310">
        <v>0</v>
      </c>
      <c r="AI310">
        <v>0</v>
      </c>
      <c r="AJ310">
        <v>1</v>
      </c>
      <c r="AK310" t="s">
        <v>1308</v>
      </c>
      <c r="AL310">
        <v>0.59375</v>
      </c>
      <c r="AM310" t="s">
        <v>227</v>
      </c>
      <c r="AN310">
        <v>0.5</v>
      </c>
    </row>
    <row r="311" spans="2:40" ht="15" customHeight="1" x14ac:dyDescent="0.2">
      <c r="B311">
        <v>3</v>
      </c>
      <c r="C311">
        <v>3</v>
      </c>
      <c r="D311">
        <v>6</v>
      </c>
      <c r="E311" t="s">
        <v>364</v>
      </c>
      <c r="F311" t="s">
        <v>268</v>
      </c>
      <c r="G311" s="15">
        <v>43308</v>
      </c>
      <c r="H311" t="s">
        <v>109</v>
      </c>
      <c r="I311" t="s">
        <v>360</v>
      </c>
      <c r="J311" t="s">
        <v>270</v>
      </c>
      <c r="K311">
        <v>9</v>
      </c>
      <c r="L311" t="s">
        <v>112</v>
      </c>
      <c r="M311" t="s">
        <v>361</v>
      </c>
      <c r="N311" t="s">
        <v>114</v>
      </c>
      <c r="O311">
        <v>70.5</v>
      </c>
      <c r="P311">
        <v>134</v>
      </c>
      <c r="Q311">
        <v>6389</v>
      </c>
      <c r="R311" t="s">
        <v>115</v>
      </c>
      <c r="S311" t="s">
        <v>116</v>
      </c>
      <c r="T311" t="s">
        <v>117</v>
      </c>
      <c r="U311" t="s">
        <v>230</v>
      </c>
      <c r="V311" t="s">
        <v>1308</v>
      </c>
      <c r="W311" t="s">
        <v>362</v>
      </c>
      <c r="Y311" t="s">
        <v>227</v>
      </c>
      <c r="AA311">
        <v>1</v>
      </c>
      <c r="AB311" t="s">
        <v>100</v>
      </c>
      <c r="AC311" t="s">
        <v>225</v>
      </c>
      <c r="AE311" t="str">
        <f t="shared" si="4"/>
        <v>ConnollyZimmer</v>
      </c>
      <c r="AF311">
        <v>0</v>
      </c>
      <c r="AG311">
        <v>0</v>
      </c>
      <c r="AH311">
        <v>1</v>
      </c>
      <c r="AI311">
        <v>0</v>
      </c>
      <c r="AJ311">
        <v>0</v>
      </c>
      <c r="AK311" t="s">
        <v>119</v>
      </c>
      <c r="AL311">
        <v>0.546875</v>
      </c>
      <c r="AM311" t="s">
        <v>118</v>
      </c>
      <c r="AN311">
        <v>0.6171875</v>
      </c>
    </row>
    <row r="312" spans="2:40" ht="15" customHeight="1" x14ac:dyDescent="0.2">
      <c r="B312">
        <v>4</v>
      </c>
      <c r="C312">
        <v>4</v>
      </c>
      <c r="D312">
        <v>6</v>
      </c>
      <c r="E312" t="s">
        <v>365</v>
      </c>
      <c r="F312" t="s">
        <v>268</v>
      </c>
      <c r="G312" s="15">
        <v>43308</v>
      </c>
      <c r="H312" t="s">
        <v>109</v>
      </c>
      <c r="I312" t="s">
        <v>360</v>
      </c>
      <c r="J312" t="s">
        <v>270</v>
      </c>
      <c r="K312">
        <v>9</v>
      </c>
      <c r="L312" t="s">
        <v>112</v>
      </c>
      <c r="M312" t="s">
        <v>361</v>
      </c>
      <c r="N312" t="s">
        <v>114</v>
      </c>
      <c r="O312">
        <v>70.5</v>
      </c>
      <c r="P312">
        <v>134</v>
      </c>
      <c r="Q312">
        <v>6389</v>
      </c>
      <c r="R312" t="s">
        <v>115</v>
      </c>
      <c r="S312" t="s">
        <v>116</v>
      </c>
      <c r="T312" t="s">
        <v>117</v>
      </c>
      <c r="U312" t="s">
        <v>230</v>
      </c>
      <c r="V312" t="s">
        <v>230</v>
      </c>
      <c r="W312" t="s">
        <v>362</v>
      </c>
      <c r="Y312" t="s">
        <v>130</v>
      </c>
      <c r="AA312">
        <v>1</v>
      </c>
      <c r="AB312" t="s">
        <v>100</v>
      </c>
      <c r="AC312" t="s">
        <v>225</v>
      </c>
      <c r="AE312" t="str">
        <f t="shared" si="4"/>
        <v>NoratPoirier</v>
      </c>
      <c r="AF312">
        <v>0</v>
      </c>
      <c r="AG312">
        <v>0</v>
      </c>
      <c r="AH312">
        <v>1</v>
      </c>
      <c r="AI312">
        <v>0</v>
      </c>
      <c r="AJ312">
        <v>0</v>
      </c>
      <c r="AK312" t="s">
        <v>231</v>
      </c>
      <c r="AL312">
        <v>0.5</v>
      </c>
      <c r="AM312" t="s">
        <v>135</v>
      </c>
    </row>
    <row r="313" spans="2:40" ht="15" customHeight="1" x14ac:dyDescent="0.2">
      <c r="B313">
        <v>4</v>
      </c>
      <c r="C313">
        <v>4</v>
      </c>
      <c r="D313">
        <v>6</v>
      </c>
      <c r="E313" t="s">
        <v>365</v>
      </c>
      <c r="F313" t="s">
        <v>268</v>
      </c>
      <c r="G313" s="15">
        <v>43308</v>
      </c>
      <c r="H313" t="s">
        <v>109</v>
      </c>
      <c r="I313" t="s">
        <v>360</v>
      </c>
      <c r="J313" t="s">
        <v>270</v>
      </c>
      <c r="K313">
        <v>9</v>
      </c>
      <c r="L313" t="s">
        <v>112</v>
      </c>
      <c r="M313" t="s">
        <v>361</v>
      </c>
      <c r="N313" t="s">
        <v>114</v>
      </c>
      <c r="O313">
        <v>70.5</v>
      </c>
      <c r="P313">
        <v>134</v>
      </c>
      <c r="Q313">
        <v>6389</v>
      </c>
      <c r="R313" t="s">
        <v>115</v>
      </c>
      <c r="S313" t="s">
        <v>116</v>
      </c>
      <c r="T313" t="s">
        <v>124</v>
      </c>
      <c r="U313" t="s">
        <v>172</v>
      </c>
      <c r="V313" t="s">
        <v>231</v>
      </c>
      <c r="W313" t="s">
        <v>114</v>
      </c>
      <c r="Y313" t="s">
        <v>135</v>
      </c>
      <c r="AA313">
        <v>1</v>
      </c>
      <c r="AB313" t="s">
        <v>99</v>
      </c>
      <c r="AC313" t="s">
        <v>225</v>
      </c>
      <c r="AE313" t="str">
        <f t="shared" si="4"/>
        <v>McInerneyShively</v>
      </c>
      <c r="AF313">
        <v>1</v>
      </c>
      <c r="AG313">
        <v>1</v>
      </c>
      <c r="AH313">
        <v>0</v>
      </c>
      <c r="AI313">
        <v>0</v>
      </c>
      <c r="AJ313">
        <v>1</v>
      </c>
      <c r="AK313" t="s">
        <v>230</v>
      </c>
      <c r="AL313">
        <v>0.52777777777777801</v>
      </c>
      <c r="AM313" t="s">
        <v>130</v>
      </c>
      <c r="AN313">
        <v>0.48611111111111099</v>
      </c>
    </row>
    <row r="314" spans="2:40" ht="15" customHeight="1" x14ac:dyDescent="0.2">
      <c r="B314">
        <v>5</v>
      </c>
      <c r="C314">
        <v>5</v>
      </c>
      <c r="D314">
        <v>6</v>
      </c>
      <c r="E314" t="s">
        <v>366</v>
      </c>
      <c r="F314" t="s">
        <v>268</v>
      </c>
      <c r="G314" s="15">
        <v>43308</v>
      </c>
      <c r="H314" t="s">
        <v>109</v>
      </c>
      <c r="I314" t="s">
        <v>360</v>
      </c>
      <c r="J314" t="s">
        <v>270</v>
      </c>
      <c r="K314">
        <v>9</v>
      </c>
      <c r="L314" t="s">
        <v>112</v>
      </c>
      <c r="M314" t="s">
        <v>361</v>
      </c>
      <c r="N314" t="s">
        <v>114</v>
      </c>
      <c r="O314">
        <v>70.5</v>
      </c>
      <c r="P314">
        <v>134</v>
      </c>
      <c r="Q314">
        <v>6389</v>
      </c>
      <c r="R314" t="s">
        <v>115</v>
      </c>
      <c r="S314" t="s">
        <v>116</v>
      </c>
      <c r="T314" t="s">
        <v>124</v>
      </c>
      <c r="U314" t="s">
        <v>172</v>
      </c>
      <c r="V314" t="s">
        <v>693</v>
      </c>
      <c r="W314" t="s">
        <v>114</v>
      </c>
      <c r="Y314" t="s">
        <v>133</v>
      </c>
      <c r="AA314">
        <v>1</v>
      </c>
      <c r="AB314" t="s">
        <v>101</v>
      </c>
      <c r="AC314" t="s">
        <v>139</v>
      </c>
      <c r="AE314" t="str">
        <f t="shared" si="4"/>
        <v>BussiculoMangold</v>
      </c>
      <c r="AF314">
        <v>0.5</v>
      </c>
      <c r="AG314">
        <v>0</v>
      </c>
      <c r="AH314">
        <v>0</v>
      </c>
      <c r="AI314">
        <v>1</v>
      </c>
      <c r="AJ314">
        <v>0.5</v>
      </c>
      <c r="AK314" t="s">
        <v>178</v>
      </c>
      <c r="AL314">
        <v>0.34745762711864397</v>
      </c>
      <c r="AM314" t="s">
        <v>272</v>
      </c>
      <c r="AN314">
        <v>0.51041666666666696</v>
      </c>
    </row>
    <row r="315" spans="2:40" ht="15" customHeight="1" x14ac:dyDescent="0.2">
      <c r="B315">
        <v>5</v>
      </c>
      <c r="C315">
        <v>5</v>
      </c>
      <c r="D315">
        <v>6</v>
      </c>
      <c r="E315" t="s">
        <v>366</v>
      </c>
      <c r="F315" t="s">
        <v>268</v>
      </c>
      <c r="G315" s="15">
        <v>43308</v>
      </c>
      <c r="H315" t="s">
        <v>109</v>
      </c>
      <c r="I315" t="s">
        <v>360</v>
      </c>
      <c r="J315" t="s">
        <v>270</v>
      </c>
      <c r="K315">
        <v>9</v>
      </c>
      <c r="L315" t="s">
        <v>112</v>
      </c>
      <c r="M315" t="s">
        <v>361</v>
      </c>
      <c r="N315" t="s">
        <v>114</v>
      </c>
      <c r="O315">
        <v>70.5</v>
      </c>
      <c r="P315">
        <v>134</v>
      </c>
      <c r="Q315">
        <v>6389</v>
      </c>
      <c r="R315" t="s">
        <v>115</v>
      </c>
      <c r="S315" t="s">
        <v>116</v>
      </c>
      <c r="T315" t="s">
        <v>117</v>
      </c>
      <c r="U315" t="s">
        <v>230</v>
      </c>
      <c r="V315" t="s">
        <v>178</v>
      </c>
      <c r="W315" t="s">
        <v>362</v>
      </c>
      <c r="Y315" t="s">
        <v>272</v>
      </c>
      <c r="AA315">
        <v>1</v>
      </c>
      <c r="AB315" t="s">
        <v>101</v>
      </c>
      <c r="AC315" t="s">
        <v>139</v>
      </c>
      <c r="AE315" t="str">
        <f t="shared" si="4"/>
        <v>ConnorsWelker</v>
      </c>
      <c r="AF315">
        <v>0.5</v>
      </c>
      <c r="AG315">
        <v>0</v>
      </c>
      <c r="AH315">
        <v>0</v>
      </c>
      <c r="AI315">
        <v>1</v>
      </c>
      <c r="AJ315">
        <v>0.5</v>
      </c>
      <c r="AK315" t="s">
        <v>693</v>
      </c>
      <c r="AL315">
        <v>0.44827586206896602</v>
      </c>
      <c r="AM315" t="s">
        <v>133</v>
      </c>
      <c r="AN315">
        <v>0.38392857142857201</v>
      </c>
    </row>
    <row r="316" spans="2:40" ht="15" customHeight="1" x14ac:dyDescent="0.2">
      <c r="B316">
        <v>6</v>
      </c>
      <c r="C316">
        <v>1</v>
      </c>
      <c r="D316">
        <v>6</v>
      </c>
      <c r="E316" t="s">
        <v>367</v>
      </c>
      <c r="F316" t="s">
        <v>268</v>
      </c>
      <c r="G316" s="15">
        <v>43308</v>
      </c>
      <c r="H316" t="s">
        <v>109</v>
      </c>
      <c r="I316" t="s">
        <v>360</v>
      </c>
      <c r="J316" t="s">
        <v>270</v>
      </c>
      <c r="K316">
        <v>9</v>
      </c>
      <c r="L316" t="s">
        <v>137</v>
      </c>
      <c r="M316" t="s">
        <v>361</v>
      </c>
      <c r="N316" t="s">
        <v>114</v>
      </c>
      <c r="O316">
        <v>70.5</v>
      </c>
      <c r="P316">
        <v>134</v>
      </c>
      <c r="Q316">
        <v>6389</v>
      </c>
      <c r="R316" t="s">
        <v>368</v>
      </c>
      <c r="S316" t="s">
        <v>116</v>
      </c>
      <c r="T316" t="s">
        <v>124</v>
      </c>
      <c r="U316" t="s">
        <v>172</v>
      </c>
      <c r="V316" t="s">
        <v>226</v>
      </c>
      <c r="W316" t="s">
        <v>114</v>
      </c>
      <c r="Y316" t="s">
        <v>122</v>
      </c>
      <c r="AA316">
        <v>1</v>
      </c>
      <c r="AB316" t="s">
        <v>100</v>
      </c>
      <c r="AC316" t="s">
        <v>263</v>
      </c>
      <c r="AE316" t="str">
        <f t="shared" si="4"/>
        <v>GrayHilts</v>
      </c>
      <c r="AF316">
        <v>0</v>
      </c>
      <c r="AG316">
        <v>0</v>
      </c>
      <c r="AH316">
        <v>1</v>
      </c>
      <c r="AI316">
        <v>0</v>
      </c>
      <c r="AJ316">
        <v>0</v>
      </c>
      <c r="AK316" t="s">
        <v>132</v>
      </c>
      <c r="AL316">
        <v>0.4296875</v>
      </c>
      <c r="AM316" t="s">
        <v>176</v>
      </c>
      <c r="AN316">
        <v>0.59649122807017496</v>
      </c>
    </row>
    <row r="317" spans="2:40" ht="15" customHeight="1" x14ac:dyDescent="0.2">
      <c r="B317">
        <v>6</v>
      </c>
      <c r="C317">
        <v>1</v>
      </c>
      <c r="D317">
        <v>6</v>
      </c>
      <c r="E317" t="s">
        <v>367</v>
      </c>
      <c r="F317" t="s">
        <v>268</v>
      </c>
      <c r="G317" s="15">
        <v>43308</v>
      </c>
      <c r="H317" t="s">
        <v>109</v>
      </c>
      <c r="I317" t="s">
        <v>360</v>
      </c>
      <c r="J317" t="s">
        <v>270</v>
      </c>
      <c r="K317">
        <v>9</v>
      </c>
      <c r="L317" t="s">
        <v>137</v>
      </c>
      <c r="M317" t="s">
        <v>361</v>
      </c>
      <c r="N317" t="s">
        <v>114</v>
      </c>
      <c r="O317">
        <v>70.5</v>
      </c>
      <c r="P317">
        <v>134</v>
      </c>
      <c r="Q317">
        <v>6389</v>
      </c>
      <c r="R317" t="s">
        <v>368</v>
      </c>
      <c r="S317" t="s">
        <v>116</v>
      </c>
      <c r="T317" t="s">
        <v>117</v>
      </c>
      <c r="U317" t="s">
        <v>230</v>
      </c>
      <c r="V317" t="s">
        <v>132</v>
      </c>
      <c r="W317" t="s">
        <v>362</v>
      </c>
      <c r="Y317" t="s">
        <v>176</v>
      </c>
      <c r="AA317">
        <v>1</v>
      </c>
      <c r="AB317" t="s">
        <v>99</v>
      </c>
      <c r="AC317" t="s">
        <v>263</v>
      </c>
      <c r="AE317" t="str">
        <f t="shared" si="4"/>
        <v>FlandersForster</v>
      </c>
      <c r="AF317">
        <v>1</v>
      </c>
      <c r="AG317">
        <v>1</v>
      </c>
      <c r="AH317">
        <v>0</v>
      </c>
      <c r="AI317">
        <v>0</v>
      </c>
      <c r="AJ317">
        <v>1</v>
      </c>
      <c r="AK317" t="s">
        <v>226</v>
      </c>
      <c r="AL317">
        <v>0.65476190476190499</v>
      </c>
      <c r="AM317" t="s">
        <v>122</v>
      </c>
      <c r="AN317">
        <v>0.47321428571428598</v>
      </c>
    </row>
    <row r="318" spans="2:40" ht="15" customHeight="1" x14ac:dyDescent="0.2">
      <c r="B318">
        <v>7</v>
      </c>
      <c r="C318">
        <v>2</v>
      </c>
      <c r="D318">
        <v>6</v>
      </c>
      <c r="E318" t="s">
        <v>369</v>
      </c>
      <c r="F318" t="s">
        <v>268</v>
      </c>
      <c r="G318" s="15">
        <v>43308</v>
      </c>
      <c r="H318" t="s">
        <v>109</v>
      </c>
      <c r="I318" t="s">
        <v>360</v>
      </c>
      <c r="J318" t="s">
        <v>270</v>
      </c>
      <c r="K318">
        <v>9</v>
      </c>
      <c r="L318" t="s">
        <v>137</v>
      </c>
      <c r="M318" t="s">
        <v>361</v>
      </c>
      <c r="N318" t="s">
        <v>114</v>
      </c>
      <c r="O318">
        <v>70.5</v>
      </c>
      <c r="P318">
        <v>134</v>
      </c>
      <c r="Q318">
        <v>6389</v>
      </c>
      <c r="R318" t="s">
        <v>368</v>
      </c>
      <c r="S318" t="s">
        <v>116</v>
      </c>
      <c r="T318" t="s">
        <v>117</v>
      </c>
      <c r="U318" t="s">
        <v>230</v>
      </c>
      <c r="V318" t="s">
        <v>179</v>
      </c>
      <c r="W318" t="s">
        <v>362</v>
      </c>
      <c r="Y318" t="s">
        <v>127</v>
      </c>
      <c r="AA318">
        <v>1</v>
      </c>
      <c r="AB318" t="s">
        <v>99</v>
      </c>
      <c r="AC318" t="s">
        <v>239</v>
      </c>
      <c r="AE318" t="str">
        <f t="shared" si="4"/>
        <v>ColeFerrin</v>
      </c>
      <c r="AF318">
        <v>1</v>
      </c>
      <c r="AG318">
        <v>1</v>
      </c>
      <c r="AH318">
        <v>0</v>
      </c>
      <c r="AI318">
        <v>0</v>
      </c>
      <c r="AJ318">
        <v>1</v>
      </c>
      <c r="AK318" t="s">
        <v>172</v>
      </c>
      <c r="AL318">
        <v>0.37288135593220301</v>
      </c>
      <c r="AM318" t="s">
        <v>123</v>
      </c>
      <c r="AN318">
        <v>0.5546875</v>
      </c>
    </row>
    <row r="319" spans="2:40" ht="15" customHeight="1" x14ac:dyDescent="0.2">
      <c r="B319">
        <v>7</v>
      </c>
      <c r="C319">
        <v>2</v>
      </c>
      <c r="D319">
        <v>6</v>
      </c>
      <c r="E319" t="s">
        <v>369</v>
      </c>
      <c r="F319" t="s">
        <v>268</v>
      </c>
      <c r="G319" s="15">
        <v>43308</v>
      </c>
      <c r="H319" t="s">
        <v>109</v>
      </c>
      <c r="I319" t="s">
        <v>360</v>
      </c>
      <c r="J319" t="s">
        <v>270</v>
      </c>
      <c r="K319">
        <v>9</v>
      </c>
      <c r="L319" t="s">
        <v>137</v>
      </c>
      <c r="M319" t="s">
        <v>361</v>
      </c>
      <c r="N319" t="s">
        <v>114</v>
      </c>
      <c r="O319">
        <v>70.5</v>
      </c>
      <c r="P319">
        <v>134</v>
      </c>
      <c r="Q319">
        <v>6389</v>
      </c>
      <c r="R319" t="s">
        <v>368</v>
      </c>
      <c r="S319" t="s">
        <v>116</v>
      </c>
      <c r="T319" t="s">
        <v>124</v>
      </c>
      <c r="U319" t="s">
        <v>172</v>
      </c>
      <c r="V319" t="s">
        <v>172</v>
      </c>
      <c r="W319" t="s">
        <v>114</v>
      </c>
      <c r="Y319" t="s">
        <v>123</v>
      </c>
      <c r="AA319">
        <v>1</v>
      </c>
      <c r="AB319" t="s">
        <v>100</v>
      </c>
      <c r="AC319" t="s">
        <v>239</v>
      </c>
      <c r="AE319" t="str">
        <f t="shared" si="4"/>
        <v>FoganLynch</v>
      </c>
      <c r="AF319">
        <v>0</v>
      </c>
      <c r="AG319">
        <v>0</v>
      </c>
      <c r="AH319">
        <v>1</v>
      </c>
      <c r="AI319">
        <v>0</v>
      </c>
      <c r="AJ319">
        <v>0</v>
      </c>
      <c r="AK319" t="s">
        <v>179</v>
      </c>
      <c r="AL319">
        <v>0.44067796610169502</v>
      </c>
      <c r="AM319" t="s">
        <v>127</v>
      </c>
      <c r="AN319">
        <v>0.59523809523809501</v>
      </c>
    </row>
    <row r="320" spans="2:40" ht="15" customHeight="1" x14ac:dyDescent="0.2">
      <c r="B320">
        <v>8</v>
      </c>
      <c r="C320">
        <v>3</v>
      </c>
      <c r="D320">
        <v>6</v>
      </c>
      <c r="E320" t="s">
        <v>370</v>
      </c>
      <c r="F320" t="s">
        <v>268</v>
      </c>
      <c r="G320" s="15">
        <v>43308</v>
      </c>
      <c r="H320" t="s">
        <v>109</v>
      </c>
      <c r="I320" t="s">
        <v>360</v>
      </c>
      <c r="J320" t="s">
        <v>270</v>
      </c>
      <c r="K320">
        <v>9</v>
      </c>
      <c r="L320" t="s">
        <v>137</v>
      </c>
      <c r="M320" t="s">
        <v>361</v>
      </c>
      <c r="N320" t="s">
        <v>114</v>
      </c>
      <c r="O320">
        <v>70.5</v>
      </c>
      <c r="P320">
        <v>134</v>
      </c>
      <c r="Q320">
        <v>6389</v>
      </c>
      <c r="R320" t="s">
        <v>368</v>
      </c>
      <c r="S320" t="s">
        <v>116</v>
      </c>
      <c r="T320" t="s">
        <v>124</v>
      </c>
      <c r="U320" t="s">
        <v>172</v>
      </c>
      <c r="V320" t="s">
        <v>119</v>
      </c>
      <c r="W320" t="s">
        <v>114</v>
      </c>
      <c r="Y320" t="s">
        <v>118</v>
      </c>
      <c r="AA320">
        <v>1</v>
      </c>
      <c r="AB320" t="s">
        <v>99</v>
      </c>
      <c r="AC320" t="s">
        <v>288</v>
      </c>
      <c r="AE320" t="str">
        <f t="shared" si="4"/>
        <v>GriseJackson</v>
      </c>
      <c r="AF320">
        <v>1</v>
      </c>
      <c r="AG320">
        <v>1</v>
      </c>
      <c r="AH320">
        <v>0</v>
      </c>
      <c r="AI320">
        <v>0</v>
      </c>
      <c r="AJ320">
        <v>1</v>
      </c>
      <c r="AK320" t="s">
        <v>1308</v>
      </c>
      <c r="AL320">
        <v>0.59375</v>
      </c>
      <c r="AM320" t="s">
        <v>227</v>
      </c>
      <c r="AN320">
        <v>0.5</v>
      </c>
    </row>
    <row r="321" spans="2:40" ht="15" customHeight="1" x14ac:dyDescent="0.2">
      <c r="B321">
        <v>8</v>
      </c>
      <c r="C321">
        <v>3</v>
      </c>
      <c r="D321">
        <v>6</v>
      </c>
      <c r="E321" t="s">
        <v>370</v>
      </c>
      <c r="F321" t="s">
        <v>268</v>
      </c>
      <c r="G321" s="15">
        <v>43308</v>
      </c>
      <c r="H321" t="s">
        <v>109</v>
      </c>
      <c r="I321" t="s">
        <v>360</v>
      </c>
      <c r="J321" t="s">
        <v>270</v>
      </c>
      <c r="K321">
        <v>9</v>
      </c>
      <c r="L321" t="s">
        <v>137</v>
      </c>
      <c r="M321" t="s">
        <v>361</v>
      </c>
      <c r="N321" t="s">
        <v>114</v>
      </c>
      <c r="O321">
        <v>70.5</v>
      </c>
      <c r="P321">
        <v>134</v>
      </c>
      <c r="Q321">
        <v>6389</v>
      </c>
      <c r="R321" t="s">
        <v>368</v>
      </c>
      <c r="S321" t="s">
        <v>116</v>
      </c>
      <c r="T321" t="s">
        <v>117</v>
      </c>
      <c r="U321" t="s">
        <v>230</v>
      </c>
      <c r="V321" t="s">
        <v>1308</v>
      </c>
      <c r="W321" t="s">
        <v>362</v>
      </c>
      <c r="Y321" t="s">
        <v>227</v>
      </c>
      <c r="AA321">
        <v>1</v>
      </c>
      <c r="AB321" t="s">
        <v>100</v>
      </c>
      <c r="AC321" t="s">
        <v>288</v>
      </c>
      <c r="AE321" t="str">
        <f t="shared" si="4"/>
        <v>ConnollyZimmer</v>
      </c>
      <c r="AF321">
        <v>0</v>
      </c>
      <c r="AG321">
        <v>0</v>
      </c>
      <c r="AH321">
        <v>1</v>
      </c>
      <c r="AI321">
        <v>0</v>
      </c>
      <c r="AJ321">
        <v>0</v>
      </c>
      <c r="AK321" t="s">
        <v>119</v>
      </c>
      <c r="AL321">
        <v>0.546875</v>
      </c>
      <c r="AM321" t="s">
        <v>118</v>
      </c>
      <c r="AN321">
        <v>0.6171875</v>
      </c>
    </row>
    <row r="322" spans="2:40" ht="15" customHeight="1" x14ac:dyDescent="0.2">
      <c r="B322">
        <v>9</v>
      </c>
      <c r="C322">
        <v>4</v>
      </c>
      <c r="D322">
        <v>6</v>
      </c>
      <c r="E322" t="s">
        <v>371</v>
      </c>
      <c r="F322" t="s">
        <v>268</v>
      </c>
      <c r="G322" s="15">
        <v>43308</v>
      </c>
      <c r="H322" t="s">
        <v>109</v>
      </c>
      <c r="I322" t="s">
        <v>360</v>
      </c>
      <c r="J322" t="s">
        <v>270</v>
      </c>
      <c r="K322">
        <v>9</v>
      </c>
      <c r="L322" t="s">
        <v>137</v>
      </c>
      <c r="M322" t="s">
        <v>361</v>
      </c>
      <c r="N322" t="s">
        <v>114</v>
      </c>
      <c r="O322">
        <v>70.5</v>
      </c>
      <c r="P322">
        <v>134</v>
      </c>
      <c r="Q322">
        <v>6389</v>
      </c>
      <c r="R322" t="s">
        <v>368</v>
      </c>
      <c r="S322" t="s">
        <v>116</v>
      </c>
      <c r="T322" t="s">
        <v>117</v>
      </c>
      <c r="U322" t="s">
        <v>230</v>
      </c>
      <c r="V322" t="s">
        <v>230</v>
      </c>
      <c r="W322" t="s">
        <v>362</v>
      </c>
      <c r="Y322" t="s">
        <v>130</v>
      </c>
      <c r="AA322">
        <v>1</v>
      </c>
      <c r="AB322" t="s">
        <v>100</v>
      </c>
      <c r="AC322" t="s">
        <v>239</v>
      </c>
      <c r="AE322" t="str">
        <f t="shared" ref="AE322:AE385" si="5">$V322&amp;$Y322</f>
        <v>NoratPoirier</v>
      </c>
      <c r="AF322">
        <v>0</v>
      </c>
      <c r="AG322">
        <v>0</v>
      </c>
      <c r="AH322">
        <v>1</v>
      </c>
      <c r="AI322">
        <v>0</v>
      </c>
      <c r="AJ322">
        <v>0</v>
      </c>
      <c r="AK322" t="s">
        <v>231</v>
      </c>
      <c r="AL322">
        <v>0.5</v>
      </c>
      <c r="AM322" t="s">
        <v>135</v>
      </c>
    </row>
    <row r="323" spans="2:40" ht="15" customHeight="1" x14ac:dyDescent="0.2">
      <c r="B323">
        <v>9</v>
      </c>
      <c r="C323">
        <v>4</v>
      </c>
      <c r="D323">
        <v>6</v>
      </c>
      <c r="E323" t="s">
        <v>371</v>
      </c>
      <c r="F323" t="s">
        <v>268</v>
      </c>
      <c r="G323" s="15">
        <v>43308</v>
      </c>
      <c r="H323" t="s">
        <v>109</v>
      </c>
      <c r="I323" t="s">
        <v>360</v>
      </c>
      <c r="J323" t="s">
        <v>270</v>
      </c>
      <c r="K323">
        <v>9</v>
      </c>
      <c r="L323" t="s">
        <v>137</v>
      </c>
      <c r="M323" t="s">
        <v>361</v>
      </c>
      <c r="N323" t="s">
        <v>114</v>
      </c>
      <c r="O323">
        <v>70.5</v>
      </c>
      <c r="P323">
        <v>134</v>
      </c>
      <c r="Q323">
        <v>6389</v>
      </c>
      <c r="R323" t="s">
        <v>368</v>
      </c>
      <c r="S323" t="s">
        <v>116</v>
      </c>
      <c r="T323" t="s">
        <v>124</v>
      </c>
      <c r="U323" t="s">
        <v>172</v>
      </c>
      <c r="V323" t="s">
        <v>231</v>
      </c>
      <c r="W323" t="s">
        <v>114</v>
      </c>
      <c r="Y323" t="s">
        <v>135</v>
      </c>
      <c r="AA323">
        <v>1</v>
      </c>
      <c r="AB323" t="s">
        <v>99</v>
      </c>
      <c r="AC323" t="s">
        <v>239</v>
      </c>
      <c r="AE323" t="str">
        <f t="shared" si="5"/>
        <v>McInerneyShively</v>
      </c>
      <c r="AF323">
        <v>1</v>
      </c>
      <c r="AG323">
        <v>1</v>
      </c>
      <c r="AH323">
        <v>0</v>
      </c>
      <c r="AI323">
        <v>0</v>
      </c>
      <c r="AJ323">
        <v>1</v>
      </c>
      <c r="AK323" t="s">
        <v>230</v>
      </c>
      <c r="AL323">
        <v>0.52777777777777801</v>
      </c>
      <c r="AM323" t="s">
        <v>130</v>
      </c>
      <c r="AN323">
        <v>0.48611111111111099</v>
      </c>
    </row>
    <row r="324" spans="2:40" ht="15" customHeight="1" x14ac:dyDescent="0.2">
      <c r="B324">
        <v>10</v>
      </c>
      <c r="C324">
        <v>5</v>
      </c>
      <c r="D324">
        <v>6</v>
      </c>
      <c r="E324" t="s">
        <v>372</v>
      </c>
      <c r="F324" t="s">
        <v>268</v>
      </c>
      <c r="G324" s="15">
        <v>43308</v>
      </c>
      <c r="H324" t="s">
        <v>109</v>
      </c>
      <c r="I324" t="s">
        <v>360</v>
      </c>
      <c r="J324" t="s">
        <v>270</v>
      </c>
      <c r="K324">
        <v>9</v>
      </c>
      <c r="L324" t="s">
        <v>137</v>
      </c>
      <c r="M324" t="s">
        <v>361</v>
      </c>
      <c r="N324" t="s">
        <v>114</v>
      </c>
      <c r="O324">
        <v>70.5</v>
      </c>
      <c r="P324">
        <v>134</v>
      </c>
      <c r="Q324">
        <v>6389</v>
      </c>
      <c r="R324" t="s">
        <v>368</v>
      </c>
      <c r="S324" t="s">
        <v>116</v>
      </c>
      <c r="T324" t="s">
        <v>124</v>
      </c>
      <c r="U324" t="s">
        <v>172</v>
      </c>
      <c r="V324" t="s">
        <v>693</v>
      </c>
      <c r="W324" t="s">
        <v>114</v>
      </c>
      <c r="Y324" t="s">
        <v>133</v>
      </c>
      <c r="AA324">
        <v>1</v>
      </c>
      <c r="AB324" t="s">
        <v>100</v>
      </c>
      <c r="AC324" t="s">
        <v>263</v>
      </c>
      <c r="AE324" t="str">
        <f t="shared" si="5"/>
        <v>BussiculoMangold</v>
      </c>
      <c r="AF324">
        <v>0</v>
      </c>
      <c r="AG324">
        <v>0</v>
      </c>
      <c r="AH324">
        <v>1</v>
      </c>
      <c r="AI324">
        <v>0</v>
      </c>
      <c r="AJ324">
        <v>0</v>
      </c>
      <c r="AK324" t="s">
        <v>178</v>
      </c>
      <c r="AL324">
        <v>0.34745762711864397</v>
      </c>
      <c r="AM324" t="s">
        <v>272</v>
      </c>
      <c r="AN324">
        <v>0.51041666666666696</v>
      </c>
    </row>
    <row r="325" spans="2:40" ht="15" customHeight="1" x14ac:dyDescent="0.2">
      <c r="B325">
        <v>10</v>
      </c>
      <c r="C325">
        <v>5</v>
      </c>
      <c r="D325">
        <v>6</v>
      </c>
      <c r="E325" t="s">
        <v>372</v>
      </c>
      <c r="F325" t="s">
        <v>268</v>
      </c>
      <c r="G325" s="15">
        <v>43308</v>
      </c>
      <c r="H325" t="s">
        <v>109</v>
      </c>
      <c r="I325" t="s">
        <v>360</v>
      </c>
      <c r="J325" t="s">
        <v>270</v>
      </c>
      <c r="K325">
        <v>9</v>
      </c>
      <c r="L325" t="s">
        <v>137</v>
      </c>
      <c r="M325" t="s">
        <v>361</v>
      </c>
      <c r="N325" t="s">
        <v>114</v>
      </c>
      <c r="O325">
        <v>70.5</v>
      </c>
      <c r="P325">
        <v>134</v>
      </c>
      <c r="Q325">
        <v>6389</v>
      </c>
      <c r="R325" t="s">
        <v>368</v>
      </c>
      <c r="S325" t="s">
        <v>116</v>
      </c>
      <c r="T325" t="s">
        <v>117</v>
      </c>
      <c r="U325" t="s">
        <v>230</v>
      </c>
      <c r="V325" t="s">
        <v>178</v>
      </c>
      <c r="W325" t="s">
        <v>362</v>
      </c>
      <c r="Y325" t="s">
        <v>272</v>
      </c>
      <c r="AA325">
        <v>1</v>
      </c>
      <c r="AB325" t="s">
        <v>99</v>
      </c>
      <c r="AC325" t="s">
        <v>263</v>
      </c>
      <c r="AE325" t="str">
        <f t="shared" si="5"/>
        <v>ConnorsWelker</v>
      </c>
      <c r="AF325">
        <v>1</v>
      </c>
      <c r="AG325">
        <v>1</v>
      </c>
      <c r="AH325">
        <v>0</v>
      </c>
      <c r="AI325">
        <v>0</v>
      </c>
      <c r="AJ325">
        <v>1</v>
      </c>
      <c r="AK325" t="s">
        <v>693</v>
      </c>
      <c r="AL325">
        <v>0.44827586206896602</v>
      </c>
      <c r="AM325" t="s">
        <v>133</v>
      </c>
      <c r="AN325">
        <v>0.38392857142857201</v>
      </c>
    </row>
    <row r="326" spans="2:40" ht="15" customHeight="1" x14ac:dyDescent="0.2">
      <c r="B326">
        <v>11</v>
      </c>
      <c r="C326">
        <v>1</v>
      </c>
      <c r="D326">
        <v>6</v>
      </c>
      <c r="E326" t="s">
        <v>373</v>
      </c>
      <c r="F326" t="s">
        <v>268</v>
      </c>
      <c r="G326" s="15">
        <v>43308</v>
      </c>
      <c r="H326" t="s">
        <v>144</v>
      </c>
      <c r="I326" t="s">
        <v>360</v>
      </c>
      <c r="J326" t="s">
        <v>270</v>
      </c>
      <c r="K326">
        <v>9</v>
      </c>
      <c r="L326" t="s">
        <v>112</v>
      </c>
      <c r="M326" t="s">
        <v>361</v>
      </c>
      <c r="N326" t="s">
        <v>114</v>
      </c>
      <c r="O326">
        <v>70.5</v>
      </c>
      <c r="P326">
        <v>134</v>
      </c>
      <c r="Q326">
        <v>6389</v>
      </c>
      <c r="R326" t="s">
        <v>145</v>
      </c>
      <c r="S326" t="s">
        <v>116</v>
      </c>
      <c r="T326" t="s">
        <v>124</v>
      </c>
      <c r="U326" t="s">
        <v>172</v>
      </c>
      <c r="V326" t="s">
        <v>226</v>
      </c>
      <c r="W326" t="s">
        <v>114</v>
      </c>
      <c r="Y326" t="s">
        <v>123</v>
      </c>
      <c r="AA326">
        <v>1</v>
      </c>
      <c r="AB326" t="s">
        <v>100</v>
      </c>
      <c r="AC326" t="s">
        <v>263</v>
      </c>
      <c r="AE326" t="str">
        <f t="shared" si="5"/>
        <v>GrayLynch</v>
      </c>
      <c r="AF326">
        <v>0</v>
      </c>
      <c r="AG326">
        <v>0</v>
      </c>
      <c r="AH326">
        <v>1</v>
      </c>
      <c r="AI326">
        <v>0</v>
      </c>
      <c r="AJ326">
        <v>0</v>
      </c>
      <c r="AK326" t="s">
        <v>127</v>
      </c>
      <c r="AL326">
        <v>0.59523809523809501</v>
      </c>
      <c r="AM326" t="s">
        <v>132</v>
      </c>
      <c r="AN326">
        <v>0.4296875</v>
      </c>
    </row>
    <row r="327" spans="2:40" ht="15" customHeight="1" x14ac:dyDescent="0.2">
      <c r="B327">
        <v>11</v>
      </c>
      <c r="C327">
        <v>1</v>
      </c>
      <c r="D327">
        <v>6</v>
      </c>
      <c r="E327" t="s">
        <v>373</v>
      </c>
      <c r="F327" t="s">
        <v>268</v>
      </c>
      <c r="G327" s="15">
        <v>43308</v>
      </c>
      <c r="H327" t="s">
        <v>144</v>
      </c>
      <c r="I327" t="s">
        <v>360</v>
      </c>
      <c r="J327" t="s">
        <v>270</v>
      </c>
      <c r="K327">
        <v>9</v>
      </c>
      <c r="L327" t="s">
        <v>112</v>
      </c>
      <c r="M327" t="s">
        <v>361</v>
      </c>
      <c r="N327" t="s">
        <v>114</v>
      </c>
      <c r="O327">
        <v>70.5</v>
      </c>
      <c r="P327">
        <v>134</v>
      </c>
      <c r="Q327">
        <v>6389</v>
      </c>
      <c r="R327" t="s">
        <v>145</v>
      </c>
      <c r="S327" t="s">
        <v>116</v>
      </c>
      <c r="T327" t="s">
        <v>117</v>
      </c>
      <c r="U327" t="s">
        <v>230</v>
      </c>
      <c r="V327" t="s">
        <v>127</v>
      </c>
      <c r="W327" t="s">
        <v>362</v>
      </c>
      <c r="Y327" t="s">
        <v>132</v>
      </c>
      <c r="AA327">
        <v>1</v>
      </c>
      <c r="AB327" t="s">
        <v>99</v>
      </c>
      <c r="AC327" t="s">
        <v>263</v>
      </c>
      <c r="AE327" t="str">
        <f t="shared" si="5"/>
        <v>FerrinFlanders</v>
      </c>
      <c r="AF327">
        <v>1</v>
      </c>
      <c r="AG327">
        <v>1</v>
      </c>
      <c r="AH327">
        <v>0</v>
      </c>
      <c r="AI327">
        <v>0</v>
      </c>
      <c r="AJ327">
        <v>1</v>
      </c>
      <c r="AK327" t="s">
        <v>226</v>
      </c>
      <c r="AL327">
        <v>0.65476190476190499</v>
      </c>
      <c r="AM327" t="s">
        <v>123</v>
      </c>
      <c r="AN327">
        <v>0.5546875</v>
      </c>
    </row>
    <row r="328" spans="2:40" ht="15" customHeight="1" x14ac:dyDescent="0.2">
      <c r="B328">
        <v>12</v>
      </c>
      <c r="C328">
        <v>2</v>
      </c>
      <c r="D328">
        <v>6</v>
      </c>
      <c r="E328" t="s">
        <v>374</v>
      </c>
      <c r="F328" t="s">
        <v>268</v>
      </c>
      <c r="G328" s="15">
        <v>43308</v>
      </c>
      <c r="H328" t="s">
        <v>144</v>
      </c>
      <c r="I328" t="s">
        <v>360</v>
      </c>
      <c r="J328" t="s">
        <v>270</v>
      </c>
      <c r="K328">
        <v>9</v>
      </c>
      <c r="L328" t="s">
        <v>112</v>
      </c>
      <c r="M328" t="s">
        <v>361</v>
      </c>
      <c r="N328" t="s">
        <v>114</v>
      </c>
      <c r="O328">
        <v>70.5</v>
      </c>
      <c r="P328">
        <v>134</v>
      </c>
      <c r="Q328">
        <v>6389</v>
      </c>
      <c r="R328" t="s">
        <v>145</v>
      </c>
      <c r="S328" t="s">
        <v>116</v>
      </c>
      <c r="T328" t="s">
        <v>117</v>
      </c>
      <c r="U328" t="s">
        <v>230</v>
      </c>
      <c r="V328" t="s">
        <v>1308</v>
      </c>
      <c r="W328" t="s">
        <v>362</v>
      </c>
      <c r="Y328" t="s">
        <v>176</v>
      </c>
      <c r="AA328">
        <v>1</v>
      </c>
      <c r="AB328" t="s">
        <v>99</v>
      </c>
      <c r="AC328" t="s">
        <v>276</v>
      </c>
      <c r="AE328" t="str">
        <f t="shared" si="5"/>
        <v>ConnollyForster</v>
      </c>
      <c r="AF328">
        <v>1</v>
      </c>
      <c r="AG328">
        <v>1</v>
      </c>
      <c r="AH328">
        <v>0</v>
      </c>
      <c r="AI328">
        <v>0</v>
      </c>
      <c r="AJ328">
        <v>1</v>
      </c>
      <c r="AK328" t="s">
        <v>172</v>
      </c>
      <c r="AL328">
        <v>0.37288135593220301</v>
      </c>
      <c r="AM328" t="s">
        <v>122</v>
      </c>
      <c r="AN328">
        <v>0.47321428571428598</v>
      </c>
    </row>
    <row r="329" spans="2:40" ht="15" customHeight="1" x14ac:dyDescent="0.2">
      <c r="B329">
        <v>12</v>
      </c>
      <c r="C329">
        <v>2</v>
      </c>
      <c r="D329">
        <v>6</v>
      </c>
      <c r="E329" t="s">
        <v>374</v>
      </c>
      <c r="F329" t="s">
        <v>268</v>
      </c>
      <c r="G329" s="15">
        <v>43308</v>
      </c>
      <c r="H329" t="s">
        <v>144</v>
      </c>
      <c r="I329" t="s">
        <v>360</v>
      </c>
      <c r="J329" t="s">
        <v>270</v>
      </c>
      <c r="K329">
        <v>9</v>
      </c>
      <c r="L329" t="s">
        <v>112</v>
      </c>
      <c r="M329" t="s">
        <v>361</v>
      </c>
      <c r="N329" t="s">
        <v>114</v>
      </c>
      <c r="O329">
        <v>70.5</v>
      </c>
      <c r="P329">
        <v>134</v>
      </c>
      <c r="Q329">
        <v>6389</v>
      </c>
      <c r="R329" t="s">
        <v>145</v>
      </c>
      <c r="S329" t="s">
        <v>116</v>
      </c>
      <c r="T329" t="s">
        <v>124</v>
      </c>
      <c r="U329" t="s">
        <v>172</v>
      </c>
      <c r="V329" t="s">
        <v>172</v>
      </c>
      <c r="W329" t="s">
        <v>114</v>
      </c>
      <c r="Y329" t="s">
        <v>122</v>
      </c>
      <c r="AA329">
        <v>1</v>
      </c>
      <c r="AB329" t="s">
        <v>100</v>
      </c>
      <c r="AC329" t="s">
        <v>276</v>
      </c>
      <c r="AE329" t="str">
        <f t="shared" si="5"/>
        <v>FoganHilts</v>
      </c>
      <c r="AF329">
        <v>0</v>
      </c>
      <c r="AG329">
        <v>0</v>
      </c>
      <c r="AH329">
        <v>1</v>
      </c>
      <c r="AI329">
        <v>0</v>
      </c>
      <c r="AJ329">
        <v>0</v>
      </c>
      <c r="AK329" t="s">
        <v>1308</v>
      </c>
      <c r="AL329">
        <v>0.59375</v>
      </c>
      <c r="AM329" t="s">
        <v>176</v>
      </c>
      <c r="AN329">
        <v>0.59649122807017496</v>
      </c>
    </row>
    <row r="330" spans="2:40" ht="15" customHeight="1" x14ac:dyDescent="0.2">
      <c r="B330">
        <v>13</v>
      </c>
      <c r="C330">
        <v>3</v>
      </c>
      <c r="D330">
        <v>6</v>
      </c>
      <c r="E330" t="s">
        <v>375</v>
      </c>
      <c r="F330" t="s">
        <v>268</v>
      </c>
      <c r="G330" s="15">
        <v>43308</v>
      </c>
      <c r="H330" t="s">
        <v>144</v>
      </c>
      <c r="I330" t="s">
        <v>360</v>
      </c>
      <c r="J330" t="s">
        <v>270</v>
      </c>
      <c r="K330">
        <v>9</v>
      </c>
      <c r="L330" t="s">
        <v>112</v>
      </c>
      <c r="M330" t="s">
        <v>361</v>
      </c>
      <c r="N330" t="s">
        <v>114</v>
      </c>
      <c r="O330">
        <v>70.5</v>
      </c>
      <c r="P330">
        <v>134</v>
      </c>
      <c r="Q330">
        <v>6389</v>
      </c>
      <c r="R330" t="s">
        <v>145</v>
      </c>
      <c r="S330" t="s">
        <v>116</v>
      </c>
      <c r="T330" t="s">
        <v>124</v>
      </c>
      <c r="U330" t="s">
        <v>172</v>
      </c>
      <c r="V330" t="s">
        <v>118</v>
      </c>
      <c r="W330" t="s">
        <v>114</v>
      </c>
      <c r="Y330" t="s">
        <v>231</v>
      </c>
      <c r="AA330">
        <v>1</v>
      </c>
      <c r="AB330" t="s">
        <v>99</v>
      </c>
      <c r="AC330" t="s">
        <v>263</v>
      </c>
      <c r="AE330" t="str">
        <f t="shared" si="5"/>
        <v>JacksonMcInerney</v>
      </c>
      <c r="AF330">
        <v>1</v>
      </c>
      <c r="AG330">
        <v>1</v>
      </c>
      <c r="AH330">
        <v>0</v>
      </c>
      <c r="AI330">
        <v>0</v>
      </c>
      <c r="AJ330">
        <v>1</v>
      </c>
      <c r="AK330" t="s">
        <v>179</v>
      </c>
      <c r="AL330">
        <v>0.44067796610169502</v>
      </c>
      <c r="AM330" t="s">
        <v>130</v>
      </c>
      <c r="AN330">
        <v>0.48611111111111099</v>
      </c>
    </row>
    <row r="331" spans="2:40" ht="15" customHeight="1" x14ac:dyDescent="0.2">
      <c r="B331">
        <v>13</v>
      </c>
      <c r="C331">
        <v>3</v>
      </c>
      <c r="D331">
        <v>6</v>
      </c>
      <c r="E331" t="s">
        <v>375</v>
      </c>
      <c r="F331" t="s">
        <v>268</v>
      </c>
      <c r="G331" s="15">
        <v>43308</v>
      </c>
      <c r="H331" t="s">
        <v>144</v>
      </c>
      <c r="I331" t="s">
        <v>360</v>
      </c>
      <c r="J331" t="s">
        <v>270</v>
      </c>
      <c r="K331">
        <v>9</v>
      </c>
      <c r="L331" t="s">
        <v>112</v>
      </c>
      <c r="M331" t="s">
        <v>361</v>
      </c>
      <c r="N331" t="s">
        <v>114</v>
      </c>
      <c r="O331">
        <v>70.5</v>
      </c>
      <c r="P331">
        <v>134</v>
      </c>
      <c r="Q331">
        <v>6389</v>
      </c>
      <c r="R331" t="s">
        <v>145</v>
      </c>
      <c r="S331" t="s">
        <v>116</v>
      </c>
      <c r="T331" t="s">
        <v>117</v>
      </c>
      <c r="U331" t="s">
        <v>230</v>
      </c>
      <c r="V331" t="s">
        <v>179</v>
      </c>
      <c r="W331" t="s">
        <v>362</v>
      </c>
      <c r="Y331" t="s">
        <v>130</v>
      </c>
      <c r="AA331">
        <v>1</v>
      </c>
      <c r="AB331" t="s">
        <v>100</v>
      </c>
      <c r="AC331" t="s">
        <v>263</v>
      </c>
      <c r="AE331" t="str">
        <f t="shared" si="5"/>
        <v>ColePoirier</v>
      </c>
      <c r="AF331">
        <v>0</v>
      </c>
      <c r="AG331">
        <v>0</v>
      </c>
      <c r="AH331">
        <v>1</v>
      </c>
      <c r="AI331">
        <v>0</v>
      </c>
      <c r="AJ331">
        <v>0</v>
      </c>
      <c r="AK331" t="s">
        <v>118</v>
      </c>
      <c r="AL331">
        <v>0.6171875</v>
      </c>
      <c r="AM331" t="s">
        <v>231</v>
      </c>
      <c r="AN331">
        <v>0.5</v>
      </c>
    </row>
    <row r="332" spans="2:40" ht="15" customHeight="1" x14ac:dyDescent="0.2">
      <c r="B332">
        <v>14</v>
      </c>
      <c r="C332">
        <v>4</v>
      </c>
      <c r="D332">
        <v>6</v>
      </c>
      <c r="E332" t="s">
        <v>376</v>
      </c>
      <c r="F332" t="s">
        <v>268</v>
      </c>
      <c r="G332" s="15">
        <v>43308</v>
      </c>
      <c r="H332" t="s">
        <v>144</v>
      </c>
      <c r="I332" t="s">
        <v>360</v>
      </c>
      <c r="J332" t="s">
        <v>270</v>
      </c>
      <c r="K332">
        <v>9</v>
      </c>
      <c r="L332" t="s">
        <v>112</v>
      </c>
      <c r="M332" t="s">
        <v>361</v>
      </c>
      <c r="N332" t="s">
        <v>114</v>
      </c>
      <c r="O332">
        <v>70.5</v>
      </c>
      <c r="P332">
        <v>134</v>
      </c>
      <c r="Q332">
        <v>6389</v>
      </c>
      <c r="R332" t="s">
        <v>145</v>
      </c>
      <c r="S332" t="s">
        <v>116</v>
      </c>
      <c r="T332" t="s">
        <v>117</v>
      </c>
      <c r="U332" t="s">
        <v>230</v>
      </c>
      <c r="V332" t="s">
        <v>230</v>
      </c>
      <c r="W332" t="s">
        <v>362</v>
      </c>
      <c r="Y332" t="s">
        <v>272</v>
      </c>
      <c r="AA332">
        <v>1</v>
      </c>
      <c r="AB332" t="s">
        <v>99</v>
      </c>
      <c r="AC332" t="s">
        <v>288</v>
      </c>
      <c r="AE332" t="str">
        <f t="shared" si="5"/>
        <v>NoratWelker</v>
      </c>
      <c r="AF332">
        <v>1</v>
      </c>
      <c r="AG332">
        <v>1</v>
      </c>
      <c r="AH332">
        <v>0</v>
      </c>
      <c r="AI332">
        <v>0</v>
      </c>
      <c r="AJ332">
        <v>1</v>
      </c>
      <c r="AK332" t="s">
        <v>119</v>
      </c>
      <c r="AL332">
        <v>0.546875</v>
      </c>
      <c r="AM332" t="s">
        <v>133</v>
      </c>
      <c r="AN332">
        <v>0.38392857142857201</v>
      </c>
    </row>
    <row r="333" spans="2:40" ht="15" customHeight="1" x14ac:dyDescent="0.2">
      <c r="B333">
        <v>14</v>
      </c>
      <c r="C333">
        <v>4</v>
      </c>
      <c r="D333">
        <v>6</v>
      </c>
      <c r="E333" t="s">
        <v>376</v>
      </c>
      <c r="F333" t="s">
        <v>268</v>
      </c>
      <c r="G333" s="15">
        <v>43308</v>
      </c>
      <c r="H333" t="s">
        <v>144</v>
      </c>
      <c r="I333" t="s">
        <v>360</v>
      </c>
      <c r="J333" t="s">
        <v>270</v>
      </c>
      <c r="K333">
        <v>9</v>
      </c>
      <c r="L333" t="s">
        <v>112</v>
      </c>
      <c r="M333" t="s">
        <v>361</v>
      </c>
      <c r="N333" t="s">
        <v>114</v>
      </c>
      <c r="O333">
        <v>70.5</v>
      </c>
      <c r="P333">
        <v>134</v>
      </c>
      <c r="Q333">
        <v>6389</v>
      </c>
      <c r="R333" t="s">
        <v>145</v>
      </c>
      <c r="S333" t="s">
        <v>116</v>
      </c>
      <c r="T333" t="s">
        <v>124</v>
      </c>
      <c r="U333" t="s">
        <v>172</v>
      </c>
      <c r="V333" t="s">
        <v>119</v>
      </c>
      <c r="W333" t="s">
        <v>114</v>
      </c>
      <c r="Y333" t="s">
        <v>133</v>
      </c>
      <c r="AA333">
        <v>1</v>
      </c>
      <c r="AB333" t="s">
        <v>100</v>
      </c>
      <c r="AC333" t="s">
        <v>288</v>
      </c>
      <c r="AE333" t="str">
        <f t="shared" si="5"/>
        <v>GriseMangold</v>
      </c>
      <c r="AF333">
        <v>0</v>
      </c>
      <c r="AG333">
        <v>0</v>
      </c>
      <c r="AH333">
        <v>1</v>
      </c>
      <c r="AI333">
        <v>0</v>
      </c>
      <c r="AJ333">
        <v>0</v>
      </c>
      <c r="AK333" t="s">
        <v>230</v>
      </c>
      <c r="AL333">
        <v>0.52777777777777801</v>
      </c>
      <c r="AM333" t="s">
        <v>272</v>
      </c>
      <c r="AN333">
        <v>0.51041666666666696</v>
      </c>
    </row>
    <row r="334" spans="2:40" ht="15" customHeight="1" x14ac:dyDescent="0.2">
      <c r="B334">
        <v>15</v>
      </c>
      <c r="C334">
        <v>5</v>
      </c>
      <c r="D334">
        <v>6</v>
      </c>
      <c r="E334" t="s">
        <v>377</v>
      </c>
      <c r="F334" t="s">
        <v>268</v>
      </c>
      <c r="G334" s="15">
        <v>43308</v>
      </c>
      <c r="H334" t="s">
        <v>144</v>
      </c>
      <c r="I334" t="s">
        <v>360</v>
      </c>
      <c r="J334" t="s">
        <v>270</v>
      </c>
      <c r="K334">
        <v>9</v>
      </c>
      <c r="L334" t="s">
        <v>112</v>
      </c>
      <c r="M334" t="s">
        <v>361</v>
      </c>
      <c r="N334" t="s">
        <v>114</v>
      </c>
      <c r="O334">
        <v>70.5</v>
      </c>
      <c r="P334">
        <v>134</v>
      </c>
      <c r="Q334">
        <v>6389</v>
      </c>
      <c r="R334" t="s">
        <v>145</v>
      </c>
      <c r="S334" t="s">
        <v>116</v>
      </c>
      <c r="T334" t="s">
        <v>124</v>
      </c>
      <c r="U334" t="s">
        <v>172</v>
      </c>
      <c r="V334" t="s">
        <v>693</v>
      </c>
      <c r="W334" t="s">
        <v>114</v>
      </c>
      <c r="Y334" t="s">
        <v>135</v>
      </c>
      <c r="AA334">
        <v>1</v>
      </c>
      <c r="AB334" t="s">
        <v>99</v>
      </c>
      <c r="AC334" t="s">
        <v>263</v>
      </c>
      <c r="AE334" t="str">
        <f t="shared" si="5"/>
        <v>BussiculoShively</v>
      </c>
      <c r="AF334">
        <v>1</v>
      </c>
      <c r="AG334">
        <v>1</v>
      </c>
      <c r="AH334">
        <v>0</v>
      </c>
      <c r="AI334">
        <v>0</v>
      </c>
      <c r="AJ334">
        <v>1</v>
      </c>
      <c r="AK334" t="s">
        <v>178</v>
      </c>
      <c r="AL334">
        <v>0.34745762711864397</v>
      </c>
      <c r="AM334" t="s">
        <v>227</v>
      </c>
      <c r="AN334">
        <v>0.5</v>
      </c>
    </row>
    <row r="335" spans="2:40" ht="15" customHeight="1" x14ac:dyDescent="0.2">
      <c r="B335">
        <v>15</v>
      </c>
      <c r="C335">
        <v>5</v>
      </c>
      <c r="D335">
        <v>6</v>
      </c>
      <c r="E335" t="s">
        <v>377</v>
      </c>
      <c r="F335" t="s">
        <v>268</v>
      </c>
      <c r="G335" s="15">
        <v>43308</v>
      </c>
      <c r="H335" t="s">
        <v>144</v>
      </c>
      <c r="I335" t="s">
        <v>360</v>
      </c>
      <c r="J335" t="s">
        <v>270</v>
      </c>
      <c r="K335">
        <v>9</v>
      </c>
      <c r="L335" t="s">
        <v>112</v>
      </c>
      <c r="M335" t="s">
        <v>361</v>
      </c>
      <c r="N335" t="s">
        <v>114</v>
      </c>
      <c r="O335">
        <v>70.5</v>
      </c>
      <c r="P335">
        <v>134</v>
      </c>
      <c r="Q335">
        <v>6389</v>
      </c>
      <c r="R335" t="s">
        <v>145</v>
      </c>
      <c r="S335" t="s">
        <v>116</v>
      </c>
      <c r="T335" t="s">
        <v>117</v>
      </c>
      <c r="U335" t="s">
        <v>230</v>
      </c>
      <c r="V335" t="s">
        <v>178</v>
      </c>
      <c r="W335" t="s">
        <v>362</v>
      </c>
      <c r="Y335" t="s">
        <v>227</v>
      </c>
      <c r="AA335">
        <v>1</v>
      </c>
      <c r="AB335" t="s">
        <v>100</v>
      </c>
      <c r="AC335" t="s">
        <v>263</v>
      </c>
      <c r="AE335" t="str">
        <f t="shared" si="5"/>
        <v>ConnorsZimmer</v>
      </c>
      <c r="AF335">
        <v>0</v>
      </c>
      <c r="AG335">
        <v>0</v>
      </c>
      <c r="AH335">
        <v>1</v>
      </c>
      <c r="AI335">
        <v>0</v>
      </c>
      <c r="AJ335">
        <v>0</v>
      </c>
      <c r="AK335" t="s">
        <v>693</v>
      </c>
      <c r="AL335">
        <v>0.44827586206896602</v>
      </c>
      <c r="AM335" t="s">
        <v>135</v>
      </c>
    </row>
    <row r="336" spans="2:40" ht="15" customHeight="1" x14ac:dyDescent="0.2">
      <c r="B336">
        <v>16</v>
      </c>
      <c r="C336">
        <v>1</v>
      </c>
      <c r="D336">
        <v>6</v>
      </c>
      <c r="E336" t="s">
        <v>378</v>
      </c>
      <c r="F336" t="s">
        <v>268</v>
      </c>
      <c r="G336" s="15">
        <v>43308</v>
      </c>
      <c r="H336" t="s">
        <v>144</v>
      </c>
      <c r="I336" t="s">
        <v>360</v>
      </c>
      <c r="J336" t="s">
        <v>270</v>
      </c>
      <c r="K336">
        <v>9</v>
      </c>
      <c r="L336" t="s">
        <v>137</v>
      </c>
      <c r="M336" t="s">
        <v>361</v>
      </c>
      <c r="N336" t="s">
        <v>114</v>
      </c>
      <c r="O336">
        <v>70.5</v>
      </c>
      <c r="P336">
        <v>134</v>
      </c>
      <c r="Q336">
        <v>6389</v>
      </c>
      <c r="R336" t="s">
        <v>197</v>
      </c>
      <c r="S336" t="s">
        <v>116</v>
      </c>
      <c r="T336" t="s">
        <v>124</v>
      </c>
      <c r="U336" t="s">
        <v>172</v>
      </c>
      <c r="V336" t="s">
        <v>226</v>
      </c>
      <c r="W336" t="s">
        <v>114</v>
      </c>
      <c r="Y336" t="s">
        <v>123</v>
      </c>
      <c r="AA336">
        <v>1</v>
      </c>
      <c r="AB336" t="s">
        <v>99</v>
      </c>
      <c r="AC336" t="s">
        <v>379</v>
      </c>
      <c r="AE336" t="str">
        <f t="shared" si="5"/>
        <v>GrayLynch</v>
      </c>
      <c r="AF336">
        <v>1</v>
      </c>
      <c r="AG336">
        <v>1</v>
      </c>
      <c r="AH336">
        <v>0</v>
      </c>
      <c r="AI336">
        <v>0</v>
      </c>
      <c r="AJ336">
        <v>1</v>
      </c>
      <c r="AK336" t="s">
        <v>127</v>
      </c>
      <c r="AL336">
        <v>0.59523809523809501</v>
      </c>
      <c r="AM336" t="s">
        <v>132</v>
      </c>
      <c r="AN336">
        <v>0.4296875</v>
      </c>
    </row>
    <row r="337" spans="2:40" ht="15" customHeight="1" x14ac:dyDescent="0.2">
      <c r="B337">
        <v>16</v>
      </c>
      <c r="C337">
        <v>1</v>
      </c>
      <c r="D337">
        <v>6</v>
      </c>
      <c r="E337" t="s">
        <v>378</v>
      </c>
      <c r="F337" t="s">
        <v>268</v>
      </c>
      <c r="G337" s="15">
        <v>43308</v>
      </c>
      <c r="H337" t="s">
        <v>144</v>
      </c>
      <c r="I337" t="s">
        <v>360</v>
      </c>
      <c r="J337" t="s">
        <v>270</v>
      </c>
      <c r="K337">
        <v>9</v>
      </c>
      <c r="L337" t="s">
        <v>137</v>
      </c>
      <c r="M337" t="s">
        <v>361</v>
      </c>
      <c r="N337" t="s">
        <v>114</v>
      </c>
      <c r="O337">
        <v>70.5</v>
      </c>
      <c r="P337">
        <v>134</v>
      </c>
      <c r="Q337">
        <v>6389</v>
      </c>
      <c r="R337" t="s">
        <v>197</v>
      </c>
      <c r="S337" t="s">
        <v>116</v>
      </c>
      <c r="T337" t="s">
        <v>117</v>
      </c>
      <c r="U337" t="s">
        <v>230</v>
      </c>
      <c r="V337" t="s">
        <v>127</v>
      </c>
      <c r="W337" t="s">
        <v>362</v>
      </c>
      <c r="Y337" t="s">
        <v>132</v>
      </c>
      <c r="AA337">
        <v>1</v>
      </c>
      <c r="AB337" t="s">
        <v>100</v>
      </c>
      <c r="AC337" t="s">
        <v>379</v>
      </c>
      <c r="AE337" t="str">
        <f t="shared" si="5"/>
        <v>FerrinFlanders</v>
      </c>
      <c r="AF337">
        <v>0</v>
      </c>
      <c r="AG337">
        <v>0</v>
      </c>
      <c r="AH337">
        <v>1</v>
      </c>
      <c r="AI337">
        <v>0</v>
      </c>
      <c r="AJ337">
        <v>0</v>
      </c>
      <c r="AK337" t="s">
        <v>226</v>
      </c>
      <c r="AL337">
        <v>0.65476190476190499</v>
      </c>
      <c r="AM337" t="s">
        <v>123</v>
      </c>
      <c r="AN337">
        <v>0.5546875</v>
      </c>
    </row>
    <row r="338" spans="2:40" ht="15" customHeight="1" x14ac:dyDescent="0.2">
      <c r="B338">
        <v>17</v>
      </c>
      <c r="C338">
        <v>2</v>
      </c>
      <c r="D338">
        <v>6</v>
      </c>
      <c r="E338" t="s">
        <v>380</v>
      </c>
      <c r="F338" t="s">
        <v>268</v>
      </c>
      <c r="G338" s="15">
        <v>43308</v>
      </c>
      <c r="H338" t="s">
        <v>144</v>
      </c>
      <c r="I338" t="s">
        <v>360</v>
      </c>
      <c r="J338" t="s">
        <v>270</v>
      </c>
      <c r="K338">
        <v>9</v>
      </c>
      <c r="L338" t="s">
        <v>137</v>
      </c>
      <c r="M338" t="s">
        <v>361</v>
      </c>
      <c r="N338" t="s">
        <v>114</v>
      </c>
      <c r="O338">
        <v>70.5</v>
      </c>
      <c r="P338">
        <v>134</v>
      </c>
      <c r="Q338">
        <v>6389</v>
      </c>
      <c r="R338" t="s">
        <v>197</v>
      </c>
      <c r="S338" t="s">
        <v>116</v>
      </c>
      <c r="T338" t="s">
        <v>117</v>
      </c>
      <c r="U338" t="s">
        <v>230</v>
      </c>
      <c r="V338" t="s">
        <v>1308</v>
      </c>
      <c r="W338" t="s">
        <v>362</v>
      </c>
      <c r="Y338" t="s">
        <v>176</v>
      </c>
      <c r="AA338">
        <v>1</v>
      </c>
      <c r="AB338" t="s">
        <v>99</v>
      </c>
      <c r="AC338" t="s">
        <v>381</v>
      </c>
      <c r="AE338" t="str">
        <f t="shared" si="5"/>
        <v>ConnollyForster</v>
      </c>
      <c r="AF338">
        <v>1</v>
      </c>
      <c r="AG338">
        <v>1</v>
      </c>
      <c r="AH338">
        <v>0</v>
      </c>
      <c r="AI338">
        <v>0</v>
      </c>
      <c r="AJ338">
        <v>1</v>
      </c>
      <c r="AK338" t="s">
        <v>172</v>
      </c>
      <c r="AL338">
        <v>0.37288135593220301</v>
      </c>
      <c r="AM338" t="s">
        <v>122</v>
      </c>
      <c r="AN338">
        <v>0.47321428571428598</v>
      </c>
    </row>
    <row r="339" spans="2:40" ht="15" customHeight="1" x14ac:dyDescent="0.2">
      <c r="B339">
        <v>17</v>
      </c>
      <c r="C339">
        <v>2</v>
      </c>
      <c r="D339">
        <v>6</v>
      </c>
      <c r="E339" t="s">
        <v>380</v>
      </c>
      <c r="F339" t="s">
        <v>268</v>
      </c>
      <c r="G339" s="15">
        <v>43308</v>
      </c>
      <c r="H339" t="s">
        <v>144</v>
      </c>
      <c r="I339" t="s">
        <v>360</v>
      </c>
      <c r="J339" t="s">
        <v>270</v>
      </c>
      <c r="K339">
        <v>9</v>
      </c>
      <c r="L339" t="s">
        <v>137</v>
      </c>
      <c r="M339" t="s">
        <v>361</v>
      </c>
      <c r="N339" t="s">
        <v>114</v>
      </c>
      <c r="O339">
        <v>70.5</v>
      </c>
      <c r="P339">
        <v>134</v>
      </c>
      <c r="Q339">
        <v>6389</v>
      </c>
      <c r="R339" t="s">
        <v>197</v>
      </c>
      <c r="S339" t="s">
        <v>116</v>
      </c>
      <c r="T339" t="s">
        <v>124</v>
      </c>
      <c r="U339" t="s">
        <v>172</v>
      </c>
      <c r="V339" t="s">
        <v>172</v>
      </c>
      <c r="W339" t="s">
        <v>114</v>
      </c>
      <c r="Y339" t="s">
        <v>122</v>
      </c>
      <c r="AA339">
        <v>1</v>
      </c>
      <c r="AB339" t="s">
        <v>100</v>
      </c>
      <c r="AC339" t="s">
        <v>381</v>
      </c>
      <c r="AE339" t="str">
        <f t="shared" si="5"/>
        <v>FoganHilts</v>
      </c>
      <c r="AF339">
        <v>0</v>
      </c>
      <c r="AG339">
        <v>0</v>
      </c>
      <c r="AH339">
        <v>1</v>
      </c>
      <c r="AI339">
        <v>0</v>
      </c>
      <c r="AJ339">
        <v>0</v>
      </c>
      <c r="AK339" t="s">
        <v>1308</v>
      </c>
      <c r="AL339">
        <v>0.59375</v>
      </c>
      <c r="AM339" t="s">
        <v>176</v>
      </c>
      <c r="AN339">
        <v>0.59649122807017496</v>
      </c>
    </row>
    <row r="340" spans="2:40" ht="15" customHeight="1" x14ac:dyDescent="0.2">
      <c r="B340">
        <v>18</v>
      </c>
      <c r="C340">
        <v>3</v>
      </c>
      <c r="D340">
        <v>6</v>
      </c>
      <c r="E340" t="s">
        <v>382</v>
      </c>
      <c r="F340" t="s">
        <v>268</v>
      </c>
      <c r="G340" s="15">
        <v>43308</v>
      </c>
      <c r="H340" t="s">
        <v>144</v>
      </c>
      <c r="I340" t="s">
        <v>360</v>
      </c>
      <c r="J340" t="s">
        <v>270</v>
      </c>
      <c r="K340">
        <v>9</v>
      </c>
      <c r="L340" t="s">
        <v>137</v>
      </c>
      <c r="M340" t="s">
        <v>361</v>
      </c>
      <c r="N340" t="s">
        <v>114</v>
      </c>
      <c r="O340">
        <v>70.5</v>
      </c>
      <c r="P340">
        <v>134</v>
      </c>
      <c r="Q340">
        <v>6389</v>
      </c>
      <c r="R340" t="s">
        <v>197</v>
      </c>
      <c r="S340" t="s">
        <v>116</v>
      </c>
      <c r="T340" t="s">
        <v>124</v>
      </c>
      <c r="U340" t="s">
        <v>172</v>
      </c>
      <c r="V340" t="s">
        <v>118</v>
      </c>
      <c r="W340" t="s">
        <v>114</v>
      </c>
      <c r="Y340" t="s">
        <v>231</v>
      </c>
      <c r="AA340">
        <v>1</v>
      </c>
      <c r="AB340" t="s">
        <v>99</v>
      </c>
      <c r="AC340" t="s">
        <v>383</v>
      </c>
      <c r="AE340" t="str">
        <f t="shared" si="5"/>
        <v>JacksonMcInerney</v>
      </c>
      <c r="AF340">
        <v>1</v>
      </c>
      <c r="AG340">
        <v>1</v>
      </c>
      <c r="AH340">
        <v>0</v>
      </c>
      <c r="AI340">
        <v>0</v>
      </c>
      <c r="AJ340">
        <v>1</v>
      </c>
      <c r="AK340" t="s">
        <v>179</v>
      </c>
      <c r="AL340">
        <v>0.44067796610169502</v>
      </c>
      <c r="AM340" t="s">
        <v>130</v>
      </c>
      <c r="AN340">
        <v>0.48611111111111099</v>
      </c>
    </row>
    <row r="341" spans="2:40" ht="15" customHeight="1" x14ac:dyDescent="0.2">
      <c r="B341">
        <v>18</v>
      </c>
      <c r="C341">
        <v>3</v>
      </c>
      <c r="D341">
        <v>6</v>
      </c>
      <c r="E341" t="s">
        <v>382</v>
      </c>
      <c r="F341" t="s">
        <v>268</v>
      </c>
      <c r="G341" s="15">
        <v>43308</v>
      </c>
      <c r="H341" t="s">
        <v>144</v>
      </c>
      <c r="I341" t="s">
        <v>360</v>
      </c>
      <c r="J341" t="s">
        <v>270</v>
      </c>
      <c r="K341">
        <v>9</v>
      </c>
      <c r="L341" t="s">
        <v>137</v>
      </c>
      <c r="M341" t="s">
        <v>361</v>
      </c>
      <c r="N341" t="s">
        <v>114</v>
      </c>
      <c r="O341">
        <v>70.5</v>
      </c>
      <c r="P341">
        <v>134</v>
      </c>
      <c r="Q341">
        <v>6389</v>
      </c>
      <c r="R341" t="s">
        <v>197</v>
      </c>
      <c r="S341" t="s">
        <v>116</v>
      </c>
      <c r="T341" t="s">
        <v>117</v>
      </c>
      <c r="U341" t="s">
        <v>230</v>
      </c>
      <c r="V341" t="s">
        <v>179</v>
      </c>
      <c r="W341" t="s">
        <v>362</v>
      </c>
      <c r="Y341" t="s">
        <v>130</v>
      </c>
      <c r="AA341">
        <v>1</v>
      </c>
      <c r="AB341" t="s">
        <v>100</v>
      </c>
      <c r="AC341" t="s">
        <v>383</v>
      </c>
      <c r="AE341" t="str">
        <f t="shared" si="5"/>
        <v>ColePoirier</v>
      </c>
      <c r="AF341">
        <v>0</v>
      </c>
      <c r="AG341">
        <v>0</v>
      </c>
      <c r="AH341">
        <v>1</v>
      </c>
      <c r="AI341">
        <v>0</v>
      </c>
      <c r="AJ341">
        <v>0</v>
      </c>
      <c r="AK341" t="s">
        <v>118</v>
      </c>
      <c r="AL341">
        <v>0.6171875</v>
      </c>
      <c r="AM341" t="s">
        <v>231</v>
      </c>
      <c r="AN341">
        <v>0.5</v>
      </c>
    </row>
    <row r="342" spans="2:40" ht="15" customHeight="1" x14ac:dyDescent="0.2">
      <c r="B342">
        <v>19</v>
      </c>
      <c r="C342">
        <v>4</v>
      </c>
      <c r="D342">
        <v>6</v>
      </c>
      <c r="E342" t="s">
        <v>384</v>
      </c>
      <c r="F342" t="s">
        <v>268</v>
      </c>
      <c r="G342" s="15">
        <v>43308</v>
      </c>
      <c r="H342" t="s">
        <v>144</v>
      </c>
      <c r="I342" t="s">
        <v>360</v>
      </c>
      <c r="J342" t="s">
        <v>270</v>
      </c>
      <c r="K342">
        <v>9</v>
      </c>
      <c r="L342" t="s">
        <v>137</v>
      </c>
      <c r="M342" t="s">
        <v>361</v>
      </c>
      <c r="N342" t="s">
        <v>114</v>
      </c>
      <c r="O342">
        <v>70.5</v>
      </c>
      <c r="P342">
        <v>134</v>
      </c>
      <c r="Q342">
        <v>6389</v>
      </c>
      <c r="R342" t="s">
        <v>197</v>
      </c>
      <c r="S342" t="s">
        <v>116</v>
      </c>
      <c r="T342" t="s">
        <v>117</v>
      </c>
      <c r="U342" t="s">
        <v>230</v>
      </c>
      <c r="V342" t="s">
        <v>230</v>
      </c>
      <c r="W342" t="s">
        <v>362</v>
      </c>
      <c r="Y342" t="s">
        <v>272</v>
      </c>
      <c r="AA342">
        <v>1</v>
      </c>
      <c r="AB342" t="s">
        <v>99</v>
      </c>
      <c r="AC342" t="s">
        <v>291</v>
      </c>
      <c r="AE342" t="str">
        <f t="shared" si="5"/>
        <v>NoratWelker</v>
      </c>
      <c r="AF342">
        <v>1</v>
      </c>
      <c r="AG342">
        <v>1</v>
      </c>
      <c r="AH342">
        <v>0</v>
      </c>
      <c r="AI342">
        <v>0</v>
      </c>
      <c r="AJ342">
        <v>1</v>
      </c>
      <c r="AK342" t="s">
        <v>119</v>
      </c>
      <c r="AL342">
        <v>0.546875</v>
      </c>
      <c r="AM342" t="s">
        <v>133</v>
      </c>
      <c r="AN342">
        <v>0.38392857142857201</v>
      </c>
    </row>
    <row r="343" spans="2:40" ht="15" customHeight="1" x14ac:dyDescent="0.2">
      <c r="B343">
        <v>19</v>
      </c>
      <c r="C343">
        <v>4</v>
      </c>
      <c r="D343">
        <v>6</v>
      </c>
      <c r="E343" t="s">
        <v>384</v>
      </c>
      <c r="F343" t="s">
        <v>268</v>
      </c>
      <c r="G343" s="15">
        <v>43308</v>
      </c>
      <c r="H343" t="s">
        <v>144</v>
      </c>
      <c r="I343" t="s">
        <v>360</v>
      </c>
      <c r="J343" t="s">
        <v>270</v>
      </c>
      <c r="K343">
        <v>9</v>
      </c>
      <c r="L343" t="s">
        <v>137</v>
      </c>
      <c r="M343" t="s">
        <v>361</v>
      </c>
      <c r="N343" t="s">
        <v>114</v>
      </c>
      <c r="O343">
        <v>70.5</v>
      </c>
      <c r="P343">
        <v>134</v>
      </c>
      <c r="Q343">
        <v>6389</v>
      </c>
      <c r="R343" t="s">
        <v>197</v>
      </c>
      <c r="S343" t="s">
        <v>116</v>
      </c>
      <c r="T343" t="s">
        <v>124</v>
      </c>
      <c r="U343" t="s">
        <v>172</v>
      </c>
      <c r="V343" t="s">
        <v>119</v>
      </c>
      <c r="W343" t="s">
        <v>114</v>
      </c>
      <c r="Y343" t="s">
        <v>133</v>
      </c>
      <c r="AA343">
        <v>1</v>
      </c>
      <c r="AB343" t="s">
        <v>100</v>
      </c>
      <c r="AC343" t="s">
        <v>291</v>
      </c>
      <c r="AE343" t="str">
        <f t="shared" si="5"/>
        <v>GriseMangold</v>
      </c>
      <c r="AF343">
        <v>0</v>
      </c>
      <c r="AG343">
        <v>0</v>
      </c>
      <c r="AH343">
        <v>1</v>
      </c>
      <c r="AI343">
        <v>0</v>
      </c>
      <c r="AJ343">
        <v>0</v>
      </c>
      <c r="AK343" t="s">
        <v>230</v>
      </c>
      <c r="AL343">
        <v>0.52777777777777801</v>
      </c>
      <c r="AM343" t="s">
        <v>272</v>
      </c>
      <c r="AN343">
        <v>0.51041666666666696</v>
      </c>
    </row>
    <row r="344" spans="2:40" ht="15" customHeight="1" x14ac:dyDescent="0.2">
      <c r="B344">
        <v>20</v>
      </c>
      <c r="C344">
        <v>5</v>
      </c>
      <c r="D344">
        <v>6</v>
      </c>
      <c r="E344" t="s">
        <v>385</v>
      </c>
      <c r="F344" t="s">
        <v>268</v>
      </c>
      <c r="G344" s="15">
        <v>43308</v>
      </c>
      <c r="H344" t="s">
        <v>144</v>
      </c>
      <c r="I344" t="s">
        <v>360</v>
      </c>
      <c r="J344" t="s">
        <v>270</v>
      </c>
      <c r="K344">
        <v>9</v>
      </c>
      <c r="L344" t="s">
        <v>137</v>
      </c>
      <c r="M344" t="s">
        <v>361</v>
      </c>
      <c r="N344" t="s">
        <v>114</v>
      </c>
      <c r="O344">
        <v>70.5</v>
      </c>
      <c r="P344">
        <v>134</v>
      </c>
      <c r="Q344">
        <v>6389</v>
      </c>
      <c r="R344" t="s">
        <v>197</v>
      </c>
      <c r="S344" t="s">
        <v>116</v>
      </c>
      <c r="T344" t="s">
        <v>124</v>
      </c>
      <c r="U344" t="s">
        <v>172</v>
      </c>
      <c r="V344" t="s">
        <v>693</v>
      </c>
      <c r="W344" t="s">
        <v>114</v>
      </c>
      <c r="Y344" t="s">
        <v>135</v>
      </c>
      <c r="AA344">
        <v>1</v>
      </c>
      <c r="AB344" t="s">
        <v>100</v>
      </c>
      <c r="AC344" t="s">
        <v>386</v>
      </c>
      <c r="AE344" t="str">
        <f t="shared" si="5"/>
        <v>BussiculoShively</v>
      </c>
      <c r="AF344">
        <v>0</v>
      </c>
      <c r="AG344">
        <v>0</v>
      </c>
      <c r="AH344">
        <v>1</v>
      </c>
      <c r="AI344">
        <v>0</v>
      </c>
      <c r="AJ344">
        <v>0</v>
      </c>
      <c r="AK344" t="s">
        <v>178</v>
      </c>
      <c r="AL344">
        <v>0.34745762711864397</v>
      </c>
      <c r="AM344" t="s">
        <v>227</v>
      </c>
      <c r="AN344">
        <v>0.5</v>
      </c>
    </row>
    <row r="345" spans="2:40" ht="15" customHeight="1" x14ac:dyDescent="0.2">
      <c r="B345">
        <v>20</v>
      </c>
      <c r="C345">
        <v>5</v>
      </c>
      <c r="D345">
        <v>6</v>
      </c>
      <c r="E345" t="s">
        <v>385</v>
      </c>
      <c r="F345" t="s">
        <v>268</v>
      </c>
      <c r="G345" s="15">
        <v>43308</v>
      </c>
      <c r="H345" t="s">
        <v>144</v>
      </c>
      <c r="I345" t="s">
        <v>360</v>
      </c>
      <c r="J345" t="s">
        <v>270</v>
      </c>
      <c r="K345">
        <v>9</v>
      </c>
      <c r="L345" t="s">
        <v>137</v>
      </c>
      <c r="M345" t="s">
        <v>361</v>
      </c>
      <c r="N345" t="s">
        <v>114</v>
      </c>
      <c r="O345">
        <v>70.5</v>
      </c>
      <c r="P345">
        <v>134</v>
      </c>
      <c r="Q345">
        <v>6389</v>
      </c>
      <c r="R345" t="s">
        <v>197</v>
      </c>
      <c r="S345" t="s">
        <v>116</v>
      </c>
      <c r="T345" t="s">
        <v>117</v>
      </c>
      <c r="U345" t="s">
        <v>230</v>
      </c>
      <c r="V345" t="s">
        <v>178</v>
      </c>
      <c r="W345" t="s">
        <v>362</v>
      </c>
      <c r="Y345" t="s">
        <v>227</v>
      </c>
      <c r="AA345">
        <v>1</v>
      </c>
      <c r="AB345" t="s">
        <v>99</v>
      </c>
      <c r="AC345" t="s">
        <v>386</v>
      </c>
      <c r="AE345" t="str">
        <f t="shared" si="5"/>
        <v>ConnorsZimmer</v>
      </c>
      <c r="AF345">
        <v>1</v>
      </c>
      <c r="AG345">
        <v>1</v>
      </c>
      <c r="AH345">
        <v>0</v>
      </c>
      <c r="AI345">
        <v>0</v>
      </c>
      <c r="AJ345">
        <v>1</v>
      </c>
      <c r="AK345" t="s">
        <v>693</v>
      </c>
      <c r="AL345">
        <v>0.44827586206896602</v>
      </c>
      <c r="AM345" t="s">
        <v>135</v>
      </c>
    </row>
    <row r="346" spans="2:40" ht="15" customHeight="1" x14ac:dyDescent="0.2">
      <c r="B346" t="s">
        <v>300</v>
      </c>
      <c r="D346">
        <v>6</v>
      </c>
      <c r="E346" t="s">
        <v>387</v>
      </c>
      <c r="F346" t="s">
        <v>268</v>
      </c>
      <c r="G346" s="15">
        <v>43308</v>
      </c>
      <c r="H346" t="s">
        <v>144</v>
      </c>
      <c r="I346" t="s">
        <v>360</v>
      </c>
      <c r="J346" t="s">
        <v>270</v>
      </c>
      <c r="K346">
        <v>9</v>
      </c>
      <c r="L346" t="s">
        <v>112</v>
      </c>
      <c r="M346" t="s">
        <v>361</v>
      </c>
      <c r="N346" t="s">
        <v>114</v>
      </c>
      <c r="O346">
        <v>70.5</v>
      </c>
      <c r="P346">
        <v>134</v>
      </c>
      <c r="Q346">
        <v>6389</v>
      </c>
      <c r="R346" t="s">
        <v>303</v>
      </c>
      <c r="S346" t="s">
        <v>303</v>
      </c>
      <c r="T346" t="s">
        <v>124</v>
      </c>
      <c r="U346" t="s">
        <v>172</v>
      </c>
      <c r="V346" t="s">
        <v>226</v>
      </c>
      <c r="W346" t="s">
        <v>114</v>
      </c>
      <c r="AA346">
        <v>0.5</v>
      </c>
      <c r="AB346" t="s">
        <v>99</v>
      </c>
      <c r="AE346" t="str">
        <f t="shared" si="5"/>
        <v>Gray</v>
      </c>
      <c r="AF346">
        <v>0.5</v>
      </c>
      <c r="AG346">
        <v>1</v>
      </c>
      <c r="AH346">
        <v>0</v>
      </c>
      <c r="AI346">
        <v>0</v>
      </c>
      <c r="AJ346">
        <v>1</v>
      </c>
    </row>
    <row r="347" spans="2:40" ht="15" customHeight="1" x14ac:dyDescent="0.2">
      <c r="B347" t="s">
        <v>300</v>
      </c>
      <c r="D347">
        <v>6</v>
      </c>
      <c r="E347" t="s">
        <v>387</v>
      </c>
      <c r="F347" t="s">
        <v>268</v>
      </c>
      <c r="G347" s="15">
        <v>43308</v>
      </c>
      <c r="H347" t="s">
        <v>144</v>
      </c>
      <c r="I347" t="s">
        <v>360</v>
      </c>
      <c r="J347" t="s">
        <v>270</v>
      </c>
      <c r="K347">
        <v>9</v>
      </c>
      <c r="L347" t="s">
        <v>112</v>
      </c>
      <c r="M347" t="s">
        <v>361</v>
      </c>
      <c r="N347" t="s">
        <v>114</v>
      </c>
      <c r="O347">
        <v>70.5</v>
      </c>
      <c r="P347">
        <v>134</v>
      </c>
      <c r="Q347">
        <v>6389</v>
      </c>
      <c r="R347" t="s">
        <v>303</v>
      </c>
      <c r="S347" t="s">
        <v>303</v>
      </c>
      <c r="T347" t="s">
        <v>124</v>
      </c>
      <c r="U347" t="s">
        <v>172</v>
      </c>
      <c r="V347" t="s">
        <v>172</v>
      </c>
      <c r="W347" t="s">
        <v>114</v>
      </c>
      <c r="AA347">
        <v>0.5</v>
      </c>
      <c r="AB347" t="s">
        <v>99</v>
      </c>
      <c r="AE347" t="str">
        <f t="shared" si="5"/>
        <v>Fogan</v>
      </c>
      <c r="AF347">
        <v>0.5</v>
      </c>
      <c r="AG347">
        <v>1</v>
      </c>
      <c r="AH347">
        <v>0</v>
      </c>
      <c r="AI347">
        <v>0</v>
      </c>
      <c r="AJ347">
        <v>1</v>
      </c>
    </row>
    <row r="348" spans="2:40" ht="15" customHeight="1" x14ac:dyDescent="0.2">
      <c r="B348" t="s">
        <v>300</v>
      </c>
      <c r="D348">
        <v>6</v>
      </c>
      <c r="E348" t="s">
        <v>387</v>
      </c>
      <c r="F348" t="s">
        <v>268</v>
      </c>
      <c r="G348" s="15">
        <v>43308</v>
      </c>
      <c r="H348" t="s">
        <v>144</v>
      </c>
      <c r="I348" t="s">
        <v>360</v>
      </c>
      <c r="J348" t="s">
        <v>270</v>
      </c>
      <c r="K348">
        <v>9</v>
      </c>
      <c r="L348" t="s">
        <v>112</v>
      </c>
      <c r="M348" t="s">
        <v>361</v>
      </c>
      <c r="N348" t="s">
        <v>114</v>
      </c>
      <c r="O348">
        <v>70.5</v>
      </c>
      <c r="P348">
        <v>134</v>
      </c>
      <c r="Q348">
        <v>6389</v>
      </c>
      <c r="R348" t="s">
        <v>303</v>
      </c>
      <c r="S348" t="s">
        <v>303</v>
      </c>
      <c r="T348" t="s">
        <v>124</v>
      </c>
      <c r="U348" t="s">
        <v>172</v>
      </c>
      <c r="V348" t="s">
        <v>231</v>
      </c>
      <c r="W348" t="s">
        <v>114</v>
      </c>
      <c r="AA348">
        <v>0.5</v>
      </c>
      <c r="AB348" t="s">
        <v>99</v>
      </c>
      <c r="AE348" t="str">
        <f t="shared" si="5"/>
        <v>McInerney</v>
      </c>
      <c r="AF348">
        <v>0.5</v>
      </c>
      <c r="AG348">
        <v>1</v>
      </c>
      <c r="AH348">
        <v>0</v>
      </c>
      <c r="AI348">
        <v>0</v>
      </c>
      <c r="AJ348">
        <v>1</v>
      </c>
    </row>
    <row r="349" spans="2:40" ht="15" customHeight="1" x14ac:dyDescent="0.2">
      <c r="B349" t="s">
        <v>300</v>
      </c>
      <c r="D349">
        <v>6</v>
      </c>
      <c r="E349" t="s">
        <v>387</v>
      </c>
      <c r="F349" t="s">
        <v>268</v>
      </c>
      <c r="G349" s="15">
        <v>43308</v>
      </c>
      <c r="H349" t="s">
        <v>144</v>
      </c>
      <c r="I349" t="s">
        <v>360</v>
      </c>
      <c r="J349" t="s">
        <v>270</v>
      </c>
      <c r="K349">
        <v>9</v>
      </c>
      <c r="L349" t="s">
        <v>112</v>
      </c>
      <c r="M349" t="s">
        <v>361</v>
      </c>
      <c r="N349" t="s">
        <v>114</v>
      </c>
      <c r="O349">
        <v>70.5</v>
      </c>
      <c r="P349">
        <v>134</v>
      </c>
      <c r="Q349">
        <v>6389</v>
      </c>
      <c r="R349" t="s">
        <v>303</v>
      </c>
      <c r="S349" t="s">
        <v>303</v>
      </c>
      <c r="T349" t="s">
        <v>124</v>
      </c>
      <c r="U349" t="s">
        <v>172</v>
      </c>
      <c r="V349" t="s">
        <v>119</v>
      </c>
      <c r="W349" t="s">
        <v>114</v>
      </c>
      <c r="AA349">
        <v>0.5</v>
      </c>
      <c r="AB349" t="s">
        <v>99</v>
      </c>
      <c r="AE349" t="str">
        <f t="shared" si="5"/>
        <v>Grise</v>
      </c>
      <c r="AF349">
        <v>0.5</v>
      </c>
      <c r="AG349">
        <v>1</v>
      </c>
      <c r="AH349">
        <v>0</v>
      </c>
      <c r="AI349">
        <v>0</v>
      </c>
      <c r="AJ349">
        <v>1</v>
      </c>
    </row>
    <row r="350" spans="2:40" ht="15" customHeight="1" x14ac:dyDescent="0.2">
      <c r="B350" t="s">
        <v>300</v>
      </c>
      <c r="D350">
        <v>6</v>
      </c>
      <c r="E350" t="s">
        <v>387</v>
      </c>
      <c r="F350" t="s">
        <v>268</v>
      </c>
      <c r="G350" s="15">
        <v>43308</v>
      </c>
      <c r="H350" t="s">
        <v>144</v>
      </c>
      <c r="I350" t="s">
        <v>360</v>
      </c>
      <c r="J350" t="s">
        <v>270</v>
      </c>
      <c r="K350">
        <v>9</v>
      </c>
      <c r="L350" t="s">
        <v>112</v>
      </c>
      <c r="M350" t="s">
        <v>361</v>
      </c>
      <c r="N350" t="s">
        <v>114</v>
      </c>
      <c r="O350">
        <v>70.5</v>
      </c>
      <c r="P350">
        <v>134</v>
      </c>
      <c r="Q350">
        <v>6389</v>
      </c>
      <c r="R350" t="s">
        <v>303</v>
      </c>
      <c r="S350" t="s">
        <v>303</v>
      </c>
      <c r="T350" t="s">
        <v>124</v>
      </c>
      <c r="U350" t="s">
        <v>172</v>
      </c>
      <c r="V350" t="s">
        <v>693</v>
      </c>
      <c r="W350" t="s">
        <v>114</v>
      </c>
      <c r="AA350">
        <v>0.5</v>
      </c>
      <c r="AB350" t="s">
        <v>99</v>
      </c>
      <c r="AE350" t="str">
        <f t="shared" si="5"/>
        <v>Bussiculo</v>
      </c>
      <c r="AF350">
        <v>0.5</v>
      </c>
      <c r="AG350">
        <v>1</v>
      </c>
      <c r="AH350">
        <v>0</v>
      </c>
      <c r="AI350">
        <v>0</v>
      </c>
      <c r="AJ350">
        <v>1</v>
      </c>
    </row>
    <row r="351" spans="2:40" ht="15" customHeight="1" x14ac:dyDescent="0.2">
      <c r="B351" t="s">
        <v>300</v>
      </c>
      <c r="D351">
        <v>6</v>
      </c>
      <c r="E351" t="s">
        <v>387</v>
      </c>
      <c r="F351" t="s">
        <v>268</v>
      </c>
      <c r="G351" s="15">
        <v>43308</v>
      </c>
      <c r="H351" t="s">
        <v>144</v>
      </c>
      <c r="I351" t="s">
        <v>360</v>
      </c>
      <c r="J351" t="s">
        <v>270</v>
      </c>
      <c r="K351">
        <v>9</v>
      </c>
      <c r="L351" t="s">
        <v>112</v>
      </c>
      <c r="M351" t="s">
        <v>361</v>
      </c>
      <c r="N351" t="s">
        <v>114</v>
      </c>
      <c r="O351">
        <v>70.5</v>
      </c>
      <c r="P351">
        <v>134</v>
      </c>
      <c r="Q351">
        <v>6389</v>
      </c>
      <c r="R351" t="s">
        <v>303</v>
      </c>
      <c r="S351" t="s">
        <v>303</v>
      </c>
      <c r="T351" t="s">
        <v>124</v>
      </c>
      <c r="U351" t="s">
        <v>172</v>
      </c>
      <c r="V351" t="s">
        <v>123</v>
      </c>
      <c r="W351" t="s">
        <v>114</v>
      </c>
      <c r="AA351">
        <v>0.5</v>
      </c>
      <c r="AB351" t="s">
        <v>99</v>
      </c>
      <c r="AE351" t="str">
        <f t="shared" si="5"/>
        <v>Lynch</v>
      </c>
      <c r="AF351">
        <v>0.5</v>
      </c>
      <c r="AG351">
        <v>1</v>
      </c>
      <c r="AH351">
        <v>0</v>
      </c>
      <c r="AI351">
        <v>0</v>
      </c>
      <c r="AJ351">
        <v>1</v>
      </c>
    </row>
    <row r="352" spans="2:40" ht="15" customHeight="1" x14ac:dyDescent="0.2">
      <c r="B352" t="s">
        <v>300</v>
      </c>
      <c r="D352">
        <v>6</v>
      </c>
      <c r="E352" t="s">
        <v>387</v>
      </c>
      <c r="F352" t="s">
        <v>268</v>
      </c>
      <c r="G352" s="15">
        <v>43308</v>
      </c>
      <c r="H352" t="s">
        <v>144</v>
      </c>
      <c r="I352" t="s">
        <v>360</v>
      </c>
      <c r="J352" t="s">
        <v>270</v>
      </c>
      <c r="K352">
        <v>9</v>
      </c>
      <c r="L352" t="s">
        <v>112</v>
      </c>
      <c r="M352" t="s">
        <v>361</v>
      </c>
      <c r="N352" t="s">
        <v>114</v>
      </c>
      <c r="O352">
        <v>70.5</v>
      </c>
      <c r="P352">
        <v>134</v>
      </c>
      <c r="Q352">
        <v>6389</v>
      </c>
      <c r="R352" t="s">
        <v>303</v>
      </c>
      <c r="S352" t="s">
        <v>303</v>
      </c>
      <c r="T352" t="s">
        <v>124</v>
      </c>
      <c r="U352" t="s">
        <v>172</v>
      </c>
      <c r="V352" t="s">
        <v>122</v>
      </c>
      <c r="W352" t="s">
        <v>114</v>
      </c>
      <c r="AA352">
        <v>0.5</v>
      </c>
      <c r="AB352" t="s">
        <v>99</v>
      </c>
      <c r="AE352" t="str">
        <f t="shared" si="5"/>
        <v>Hilts</v>
      </c>
      <c r="AF352">
        <v>0.5</v>
      </c>
      <c r="AG352">
        <v>1</v>
      </c>
      <c r="AH352">
        <v>0</v>
      </c>
      <c r="AI352">
        <v>0</v>
      </c>
      <c r="AJ352">
        <v>1</v>
      </c>
    </row>
    <row r="353" spans="2:38" ht="15" customHeight="1" x14ac:dyDescent="0.2">
      <c r="B353" t="s">
        <v>300</v>
      </c>
      <c r="D353">
        <v>6</v>
      </c>
      <c r="E353" t="s">
        <v>387</v>
      </c>
      <c r="F353" t="s">
        <v>268</v>
      </c>
      <c r="G353" s="15">
        <v>43308</v>
      </c>
      <c r="H353" t="s">
        <v>144</v>
      </c>
      <c r="I353" t="s">
        <v>360</v>
      </c>
      <c r="J353" t="s">
        <v>270</v>
      </c>
      <c r="K353">
        <v>9</v>
      </c>
      <c r="L353" t="s">
        <v>112</v>
      </c>
      <c r="M353" t="s">
        <v>361</v>
      </c>
      <c r="N353" t="s">
        <v>114</v>
      </c>
      <c r="O353">
        <v>70.5</v>
      </c>
      <c r="P353">
        <v>134</v>
      </c>
      <c r="Q353">
        <v>6389</v>
      </c>
      <c r="R353" t="s">
        <v>303</v>
      </c>
      <c r="S353" t="s">
        <v>303</v>
      </c>
      <c r="T353" t="s">
        <v>124</v>
      </c>
      <c r="U353" t="s">
        <v>172</v>
      </c>
      <c r="V353" t="s">
        <v>118</v>
      </c>
      <c r="W353" t="s">
        <v>114</v>
      </c>
      <c r="AA353">
        <v>0.5</v>
      </c>
      <c r="AB353" t="s">
        <v>99</v>
      </c>
      <c r="AE353" t="str">
        <f t="shared" si="5"/>
        <v>Jackson</v>
      </c>
      <c r="AF353">
        <v>0.5</v>
      </c>
      <c r="AG353">
        <v>1</v>
      </c>
      <c r="AH353">
        <v>0</v>
      </c>
      <c r="AI353">
        <v>0</v>
      </c>
      <c r="AJ353">
        <v>1</v>
      </c>
    </row>
    <row r="354" spans="2:38" ht="15" customHeight="1" x14ac:dyDescent="0.2">
      <c r="B354" t="s">
        <v>300</v>
      </c>
      <c r="D354">
        <v>6</v>
      </c>
      <c r="E354" t="s">
        <v>387</v>
      </c>
      <c r="F354" t="s">
        <v>268</v>
      </c>
      <c r="G354" s="15">
        <v>43308</v>
      </c>
      <c r="H354" t="s">
        <v>144</v>
      </c>
      <c r="I354" t="s">
        <v>360</v>
      </c>
      <c r="J354" t="s">
        <v>270</v>
      </c>
      <c r="K354">
        <v>9</v>
      </c>
      <c r="L354" t="s">
        <v>112</v>
      </c>
      <c r="M354" t="s">
        <v>361</v>
      </c>
      <c r="N354" t="s">
        <v>114</v>
      </c>
      <c r="O354">
        <v>70.5</v>
      </c>
      <c r="P354">
        <v>134</v>
      </c>
      <c r="Q354">
        <v>6389</v>
      </c>
      <c r="R354" t="s">
        <v>303</v>
      </c>
      <c r="S354" t="s">
        <v>303</v>
      </c>
      <c r="T354" t="s">
        <v>124</v>
      </c>
      <c r="U354" t="s">
        <v>172</v>
      </c>
      <c r="V354" t="s">
        <v>133</v>
      </c>
      <c r="W354" t="s">
        <v>114</v>
      </c>
      <c r="AA354">
        <v>0.5</v>
      </c>
      <c r="AB354" t="s">
        <v>99</v>
      </c>
      <c r="AE354" t="str">
        <f t="shared" si="5"/>
        <v>Mangold</v>
      </c>
      <c r="AF354">
        <v>0.5</v>
      </c>
      <c r="AG354">
        <v>1</v>
      </c>
      <c r="AH354">
        <v>0</v>
      </c>
      <c r="AI354">
        <v>0</v>
      </c>
      <c r="AJ354">
        <v>1</v>
      </c>
    </row>
    <row r="355" spans="2:38" ht="15" customHeight="1" x14ac:dyDescent="0.2">
      <c r="B355" t="s">
        <v>300</v>
      </c>
      <c r="D355">
        <v>6</v>
      </c>
      <c r="E355" t="s">
        <v>387</v>
      </c>
      <c r="F355" t="s">
        <v>268</v>
      </c>
      <c r="G355" s="15">
        <v>43308</v>
      </c>
      <c r="H355" t="s">
        <v>144</v>
      </c>
      <c r="I355" t="s">
        <v>360</v>
      </c>
      <c r="J355" t="s">
        <v>270</v>
      </c>
      <c r="K355">
        <v>9</v>
      </c>
      <c r="L355" t="s">
        <v>112</v>
      </c>
      <c r="M355" t="s">
        <v>361</v>
      </c>
      <c r="N355" t="s">
        <v>114</v>
      </c>
      <c r="O355">
        <v>70.5</v>
      </c>
      <c r="P355">
        <v>134</v>
      </c>
      <c r="Q355">
        <v>6389</v>
      </c>
      <c r="R355" t="s">
        <v>303</v>
      </c>
      <c r="S355" t="s">
        <v>303</v>
      </c>
      <c r="T355" t="s">
        <v>124</v>
      </c>
      <c r="U355" t="s">
        <v>172</v>
      </c>
      <c r="V355" t="s">
        <v>135</v>
      </c>
      <c r="W355" t="s">
        <v>114</v>
      </c>
      <c r="AA355">
        <v>0.5</v>
      </c>
      <c r="AB355" t="s">
        <v>99</v>
      </c>
      <c r="AE355" t="str">
        <f t="shared" si="5"/>
        <v>Shively</v>
      </c>
      <c r="AF355">
        <v>0.5</v>
      </c>
      <c r="AG355">
        <v>1</v>
      </c>
      <c r="AH355">
        <v>0</v>
      </c>
      <c r="AI355">
        <v>0</v>
      </c>
      <c r="AJ355">
        <v>1</v>
      </c>
    </row>
    <row r="356" spans="2:38" ht="15" customHeight="1" x14ac:dyDescent="0.2">
      <c r="B356" t="s">
        <v>300</v>
      </c>
      <c r="D356">
        <v>6</v>
      </c>
      <c r="E356" t="s">
        <v>387</v>
      </c>
      <c r="F356" t="s">
        <v>268</v>
      </c>
      <c r="G356" s="15">
        <v>43308</v>
      </c>
      <c r="H356" t="s">
        <v>144</v>
      </c>
      <c r="I356" t="s">
        <v>360</v>
      </c>
      <c r="J356" t="s">
        <v>270</v>
      </c>
      <c r="K356">
        <v>9</v>
      </c>
      <c r="L356" t="s">
        <v>112</v>
      </c>
      <c r="M356" t="s">
        <v>361</v>
      </c>
      <c r="N356" t="s">
        <v>114</v>
      </c>
      <c r="O356">
        <v>70.5</v>
      </c>
      <c r="P356">
        <v>134</v>
      </c>
      <c r="Q356">
        <v>6389</v>
      </c>
      <c r="R356" t="s">
        <v>303</v>
      </c>
      <c r="S356" t="s">
        <v>303</v>
      </c>
      <c r="T356" t="s">
        <v>117</v>
      </c>
      <c r="U356" t="s">
        <v>230</v>
      </c>
      <c r="V356" t="s">
        <v>132</v>
      </c>
      <c r="W356" t="s">
        <v>362</v>
      </c>
      <c r="AA356">
        <v>0.5</v>
      </c>
      <c r="AB356" t="s">
        <v>100</v>
      </c>
      <c r="AE356" t="str">
        <f t="shared" si="5"/>
        <v>Flanders</v>
      </c>
      <c r="AF356">
        <v>0</v>
      </c>
      <c r="AG356">
        <v>0</v>
      </c>
      <c r="AH356">
        <v>1</v>
      </c>
      <c r="AI356">
        <v>0</v>
      </c>
      <c r="AJ356">
        <v>0</v>
      </c>
    </row>
    <row r="357" spans="2:38" ht="15" customHeight="1" x14ac:dyDescent="0.2">
      <c r="B357" t="s">
        <v>300</v>
      </c>
      <c r="D357">
        <v>6</v>
      </c>
      <c r="E357" t="s">
        <v>387</v>
      </c>
      <c r="F357" t="s">
        <v>268</v>
      </c>
      <c r="G357" s="15">
        <v>43308</v>
      </c>
      <c r="H357" t="s">
        <v>144</v>
      </c>
      <c r="I357" t="s">
        <v>360</v>
      </c>
      <c r="J357" t="s">
        <v>270</v>
      </c>
      <c r="K357">
        <v>9</v>
      </c>
      <c r="L357" t="s">
        <v>112</v>
      </c>
      <c r="M357" t="s">
        <v>361</v>
      </c>
      <c r="N357" t="s">
        <v>114</v>
      </c>
      <c r="O357">
        <v>70.5</v>
      </c>
      <c r="P357">
        <v>134</v>
      </c>
      <c r="Q357">
        <v>6389</v>
      </c>
      <c r="R357" t="s">
        <v>303</v>
      </c>
      <c r="S357" t="s">
        <v>303</v>
      </c>
      <c r="T357" t="s">
        <v>117</v>
      </c>
      <c r="U357" t="s">
        <v>230</v>
      </c>
      <c r="V357" t="s">
        <v>127</v>
      </c>
      <c r="W357" t="s">
        <v>362</v>
      </c>
      <c r="AA357">
        <v>0.5</v>
      </c>
      <c r="AB357" t="s">
        <v>100</v>
      </c>
      <c r="AE357" t="str">
        <f t="shared" si="5"/>
        <v>Ferrin</v>
      </c>
      <c r="AF357">
        <v>0</v>
      </c>
      <c r="AG357">
        <v>0</v>
      </c>
      <c r="AH357">
        <v>1</v>
      </c>
      <c r="AI357">
        <v>0</v>
      </c>
      <c r="AJ357">
        <v>0</v>
      </c>
    </row>
    <row r="358" spans="2:38" ht="15" customHeight="1" x14ac:dyDescent="0.2">
      <c r="B358" t="s">
        <v>300</v>
      </c>
      <c r="D358">
        <v>6</v>
      </c>
      <c r="E358" t="s">
        <v>387</v>
      </c>
      <c r="F358" t="s">
        <v>268</v>
      </c>
      <c r="G358" s="15">
        <v>43308</v>
      </c>
      <c r="H358" t="s">
        <v>144</v>
      </c>
      <c r="I358" t="s">
        <v>360</v>
      </c>
      <c r="J358" t="s">
        <v>270</v>
      </c>
      <c r="K358">
        <v>9</v>
      </c>
      <c r="L358" t="s">
        <v>112</v>
      </c>
      <c r="M358" t="s">
        <v>361</v>
      </c>
      <c r="N358" t="s">
        <v>114</v>
      </c>
      <c r="O358">
        <v>70.5</v>
      </c>
      <c r="P358">
        <v>134</v>
      </c>
      <c r="Q358">
        <v>6389</v>
      </c>
      <c r="R358" t="s">
        <v>303</v>
      </c>
      <c r="S358" t="s">
        <v>303</v>
      </c>
      <c r="T358" t="s">
        <v>117</v>
      </c>
      <c r="U358" t="s">
        <v>230</v>
      </c>
      <c r="V358" t="s">
        <v>1308</v>
      </c>
      <c r="W358" t="s">
        <v>362</v>
      </c>
      <c r="AA358">
        <v>0.5</v>
      </c>
      <c r="AB358" t="s">
        <v>100</v>
      </c>
      <c r="AE358" t="str">
        <f t="shared" si="5"/>
        <v>Connolly</v>
      </c>
      <c r="AF358">
        <v>0</v>
      </c>
      <c r="AG358">
        <v>0</v>
      </c>
      <c r="AH358">
        <v>1</v>
      </c>
      <c r="AI358">
        <v>0</v>
      </c>
      <c r="AJ358">
        <v>0</v>
      </c>
    </row>
    <row r="359" spans="2:38" ht="15" customHeight="1" x14ac:dyDescent="0.2">
      <c r="B359" t="s">
        <v>300</v>
      </c>
      <c r="D359">
        <v>6</v>
      </c>
      <c r="E359" t="s">
        <v>387</v>
      </c>
      <c r="F359" t="s">
        <v>268</v>
      </c>
      <c r="G359" s="15">
        <v>43308</v>
      </c>
      <c r="H359" t="s">
        <v>144</v>
      </c>
      <c r="I359" t="s">
        <v>360</v>
      </c>
      <c r="J359" t="s">
        <v>270</v>
      </c>
      <c r="K359">
        <v>9</v>
      </c>
      <c r="L359" t="s">
        <v>112</v>
      </c>
      <c r="M359" t="s">
        <v>361</v>
      </c>
      <c r="N359" t="s">
        <v>114</v>
      </c>
      <c r="O359">
        <v>70.5</v>
      </c>
      <c r="P359">
        <v>134</v>
      </c>
      <c r="Q359">
        <v>6389</v>
      </c>
      <c r="R359" t="s">
        <v>303</v>
      </c>
      <c r="S359" t="s">
        <v>303</v>
      </c>
      <c r="T359" t="s">
        <v>117</v>
      </c>
      <c r="U359" t="s">
        <v>230</v>
      </c>
      <c r="V359" t="s">
        <v>176</v>
      </c>
      <c r="W359" t="s">
        <v>362</v>
      </c>
      <c r="AA359">
        <v>0.5</v>
      </c>
      <c r="AB359" t="s">
        <v>100</v>
      </c>
      <c r="AE359" t="str">
        <f t="shared" si="5"/>
        <v>Forster</v>
      </c>
      <c r="AF359">
        <v>0</v>
      </c>
      <c r="AG359">
        <v>0</v>
      </c>
      <c r="AH359">
        <v>1</v>
      </c>
      <c r="AI359">
        <v>0</v>
      </c>
      <c r="AJ359">
        <v>0</v>
      </c>
    </row>
    <row r="360" spans="2:38" ht="15" customHeight="1" x14ac:dyDescent="0.2">
      <c r="B360" t="s">
        <v>300</v>
      </c>
      <c r="D360">
        <v>6</v>
      </c>
      <c r="E360" t="s">
        <v>387</v>
      </c>
      <c r="F360" t="s">
        <v>268</v>
      </c>
      <c r="G360" s="15">
        <v>43308</v>
      </c>
      <c r="H360" t="s">
        <v>144</v>
      </c>
      <c r="I360" t="s">
        <v>360</v>
      </c>
      <c r="J360" t="s">
        <v>270</v>
      </c>
      <c r="K360">
        <v>9</v>
      </c>
      <c r="L360" t="s">
        <v>112</v>
      </c>
      <c r="M360" t="s">
        <v>361</v>
      </c>
      <c r="N360" t="s">
        <v>114</v>
      </c>
      <c r="O360">
        <v>70.5</v>
      </c>
      <c r="P360">
        <v>134</v>
      </c>
      <c r="Q360">
        <v>6389</v>
      </c>
      <c r="R360" t="s">
        <v>303</v>
      </c>
      <c r="S360" t="s">
        <v>303</v>
      </c>
      <c r="T360" t="s">
        <v>117</v>
      </c>
      <c r="U360" t="s">
        <v>230</v>
      </c>
      <c r="V360" t="s">
        <v>130</v>
      </c>
      <c r="W360" t="s">
        <v>362</v>
      </c>
      <c r="AA360">
        <v>0.5</v>
      </c>
      <c r="AB360" t="s">
        <v>100</v>
      </c>
      <c r="AE360" t="str">
        <f t="shared" si="5"/>
        <v>Poirier</v>
      </c>
      <c r="AF360">
        <v>0</v>
      </c>
      <c r="AG360">
        <v>0</v>
      </c>
      <c r="AH360">
        <v>1</v>
      </c>
      <c r="AI360">
        <v>0</v>
      </c>
      <c r="AJ360">
        <v>0</v>
      </c>
    </row>
    <row r="361" spans="2:38" ht="15" customHeight="1" x14ac:dyDescent="0.2">
      <c r="B361" t="s">
        <v>300</v>
      </c>
      <c r="D361">
        <v>6</v>
      </c>
      <c r="E361" t="s">
        <v>387</v>
      </c>
      <c r="F361" t="s">
        <v>268</v>
      </c>
      <c r="G361" s="15">
        <v>43308</v>
      </c>
      <c r="H361" t="s">
        <v>144</v>
      </c>
      <c r="I361" t="s">
        <v>360</v>
      </c>
      <c r="J361" t="s">
        <v>270</v>
      </c>
      <c r="K361">
        <v>9</v>
      </c>
      <c r="L361" t="s">
        <v>112</v>
      </c>
      <c r="M361" t="s">
        <v>361</v>
      </c>
      <c r="N361" t="s">
        <v>114</v>
      </c>
      <c r="O361">
        <v>70.5</v>
      </c>
      <c r="P361">
        <v>134</v>
      </c>
      <c r="Q361">
        <v>6389</v>
      </c>
      <c r="R361" t="s">
        <v>303</v>
      </c>
      <c r="S361" t="s">
        <v>303</v>
      </c>
      <c r="T361" t="s">
        <v>117</v>
      </c>
      <c r="U361" t="s">
        <v>230</v>
      </c>
      <c r="V361" t="s">
        <v>179</v>
      </c>
      <c r="W361" t="s">
        <v>362</v>
      </c>
      <c r="AA361">
        <v>0.5</v>
      </c>
      <c r="AB361" t="s">
        <v>100</v>
      </c>
      <c r="AE361" t="str">
        <f t="shared" si="5"/>
        <v>Cole</v>
      </c>
      <c r="AF361">
        <v>0</v>
      </c>
      <c r="AG361">
        <v>0</v>
      </c>
      <c r="AH361">
        <v>1</v>
      </c>
      <c r="AI361">
        <v>0</v>
      </c>
      <c r="AJ361">
        <v>0</v>
      </c>
    </row>
    <row r="362" spans="2:38" ht="15" customHeight="1" x14ac:dyDescent="0.2">
      <c r="B362" t="s">
        <v>300</v>
      </c>
      <c r="D362">
        <v>6</v>
      </c>
      <c r="E362" t="s">
        <v>387</v>
      </c>
      <c r="F362" t="s">
        <v>268</v>
      </c>
      <c r="G362" s="15">
        <v>43308</v>
      </c>
      <c r="H362" t="s">
        <v>144</v>
      </c>
      <c r="I362" t="s">
        <v>360</v>
      </c>
      <c r="J362" t="s">
        <v>270</v>
      </c>
      <c r="K362">
        <v>9</v>
      </c>
      <c r="L362" t="s">
        <v>112</v>
      </c>
      <c r="M362" t="s">
        <v>361</v>
      </c>
      <c r="N362" t="s">
        <v>114</v>
      </c>
      <c r="O362">
        <v>70.5</v>
      </c>
      <c r="P362">
        <v>134</v>
      </c>
      <c r="Q362">
        <v>6389</v>
      </c>
      <c r="R362" t="s">
        <v>303</v>
      </c>
      <c r="S362" t="s">
        <v>303</v>
      </c>
      <c r="T362" t="s">
        <v>117</v>
      </c>
      <c r="U362" t="s">
        <v>230</v>
      </c>
      <c r="V362" t="s">
        <v>230</v>
      </c>
      <c r="W362" t="s">
        <v>362</v>
      </c>
      <c r="AA362">
        <v>0.5</v>
      </c>
      <c r="AB362" t="s">
        <v>100</v>
      </c>
      <c r="AE362" t="str">
        <f t="shared" si="5"/>
        <v>Norat</v>
      </c>
      <c r="AF362">
        <v>0</v>
      </c>
      <c r="AG362">
        <v>0</v>
      </c>
      <c r="AH362">
        <v>1</v>
      </c>
      <c r="AI362">
        <v>0</v>
      </c>
      <c r="AJ362">
        <v>0</v>
      </c>
    </row>
    <row r="363" spans="2:38" ht="15" customHeight="1" x14ac:dyDescent="0.2">
      <c r="B363" t="s">
        <v>300</v>
      </c>
      <c r="D363">
        <v>6</v>
      </c>
      <c r="E363" t="s">
        <v>387</v>
      </c>
      <c r="F363" t="s">
        <v>268</v>
      </c>
      <c r="G363" s="15">
        <v>43308</v>
      </c>
      <c r="H363" t="s">
        <v>144</v>
      </c>
      <c r="I363" t="s">
        <v>360</v>
      </c>
      <c r="J363" t="s">
        <v>270</v>
      </c>
      <c r="K363">
        <v>9</v>
      </c>
      <c r="L363" t="s">
        <v>112</v>
      </c>
      <c r="M363" t="s">
        <v>361</v>
      </c>
      <c r="N363" t="s">
        <v>114</v>
      </c>
      <c r="O363">
        <v>70.5</v>
      </c>
      <c r="P363">
        <v>134</v>
      </c>
      <c r="Q363">
        <v>6389</v>
      </c>
      <c r="R363" t="s">
        <v>303</v>
      </c>
      <c r="S363" t="s">
        <v>303</v>
      </c>
      <c r="T363" t="s">
        <v>117</v>
      </c>
      <c r="U363" t="s">
        <v>230</v>
      </c>
      <c r="V363" t="s">
        <v>272</v>
      </c>
      <c r="W363" t="s">
        <v>362</v>
      </c>
      <c r="AA363">
        <v>0.5</v>
      </c>
      <c r="AB363" t="s">
        <v>100</v>
      </c>
      <c r="AE363" t="str">
        <f t="shared" si="5"/>
        <v>Welker</v>
      </c>
      <c r="AF363">
        <v>0</v>
      </c>
      <c r="AG363">
        <v>0</v>
      </c>
      <c r="AH363">
        <v>1</v>
      </c>
      <c r="AI363">
        <v>0</v>
      </c>
      <c r="AJ363">
        <v>0</v>
      </c>
    </row>
    <row r="364" spans="2:38" ht="15" customHeight="1" x14ac:dyDescent="0.2">
      <c r="B364" t="s">
        <v>300</v>
      </c>
      <c r="D364">
        <v>6</v>
      </c>
      <c r="E364" t="s">
        <v>387</v>
      </c>
      <c r="F364" t="s">
        <v>268</v>
      </c>
      <c r="G364" s="15">
        <v>43308</v>
      </c>
      <c r="H364" t="s">
        <v>144</v>
      </c>
      <c r="I364" t="s">
        <v>360</v>
      </c>
      <c r="J364" t="s">
        <v>270</v>
      </c>
      <c r="K364">
        <v>9</v>
      </c>
      <c r="L364" t="s">
        <v>112</v>
      </c>
      <c r="M364" t="s">
        <v>361</v>
      </c>
      <c r="N364" t="s">
        <v>114</v>
      </c>
      <c r="O364">
        <v>70.5</v>
      </c>
      <c r="P364">
        <v>134</v>
      </c>
      <c r="Q364">
        <v>6389</v>
      </c>
      <c r="R364" t="s">
        <v>303</v>
      </c>
      <c r="S364" t="s">
        <v>303</v>
      </c>
      <c r="T364" t="s">
        <v>117</v>
      </c>
      <c r="U364" t="s">
        <v>230</v>
      </c>
      <c r="V364" t="s">
        <v>227</v>
      </c>
      <c r="W364" t="s">
        <v>362</v>
      </c>
      <c r="AA364">
        <v>0.5</v>
      </c>
      <c r="AB364" t="s">
        <v>100</v>
      </c>
      <c r="AE364" t="str">
        <f t="shared" si="5"/>
        <v>Zimmer</v>
      </c>
      <c r="AF364">
        <v>0</v>
      </c>
      <c r="AG364">
        <v>0</v>
      </c>
      <c r="AH364">
        <v>1</v>
      </c>
      <c r="AI364">
        <v>0</v>
      </c>
      <c r="AJ364">
        <v>0</v>
      </c>
    </row>
    <row r="365" spans="2:38" ht="15" customHeight="1" x14ac:dyDescent="0.2">
      <c r="B365" t="s">
        <v>300</v>
      </c>
      <c r="D365">
        <v>6</v>
      </c>
      <c r="E365" t="s">
        <v>387</v>
      </c>
      <c r="F365" t="s">
        <v>268</v>
      </c>
      <c r="G365" s="15">
        <v>43308</v>
      </c>
      <c r="H365" t="s">
        <v>144</v>
      </c>
      <c r="I365" t="s">
        <v>360</v>
      </c>
      <c r="J365" t="s">
        <v>270</v>
      </c>
      <c r="K365">
        <v>9</v>
      </c>
      <c r="L365" t="s">
        <v>112</v>
      </c>
      <c r="M365" t="s">
        <v>361</v>
      </c>
      <c r="N365" t="s">
        <v>114</v>
      </c>
      <c r="O365">
        <v>70.5</v>
      </c>
      <c r="P365">
        <v>134</v>
      </c>
      <c r="Q365">
        <v>6389</v>
      </c>
      <c r="R365" t="s">
        <v>303</v>
      </c>
      <c r="S365" t="s">
        <v>303</v>
      </c>
      <c r="T365" t="s">
        <v>117</v>
      </c>
      <c r="U365" t="s">
        <v>230</v>
      </c>
      <c r="V365" t="s">
        <v>178</v>
      </c>
      <c r="W365" t="s">
        <v>362</v>
      </c>
      <c r="AA365">
        <v>0.5</v>
      </c>
      <c r="AB365" t="s">
        <v>100</v>
      </c>
      <c r="AE365" t="str">
        <f t="shared" si="5"/>
        <v>Connors</v>
      </c>
      <c r="AF365">
        <v>0</v>
      </c>
      <c r="AG365">
        <v>0</v>
      </c>
      <c r="AH365">
        <v>1</v>
      </c>
      <c r="AI365">
        <v>0</v>
      </c>
      <c r="AJ365">
        <v>0</v>
      </c>
    </row>
    <row r="366" spans="2:38" ht="15" customHeight="1" x14ac:dyDescent="0.2">
      <c r="B366">
        <v>21</v>
      </c>
      <c r="C366">
        <v>1</v>
      </c>
      <c r="D366">
        <v>6</v>
      </c>
      <c r="E366" t="s">
        <v>388</v>
      </c>
      <c r="F366" t="s">
        <v>108</v>
      </c>
      <c r="G366" s="15">
        <v>43309</v>
      </c>
      <c r="H366" t="s">
        <v>109</v>
      </c>
      <c r="I366" t="s">
        <v>360</v>
      </c>
      <c r="J366" t="s">
        <v>270</v>
      </c>
      <c r="K366">
        <v>18</v>
      </c>
      <c r="L366" t="s">
        <v>154</v>
      </c>
      <c r="M366" t="s">
        <v>361</v>
      </c>
      <c r="N366" t="s">
        <v>114</v>
      </c>
      <c r="O366">
        <v>70.5</v>
      </c>
      <c r="P366">
        <v>134</v>
      </c>
      <c r="Q366">
        <v>6389</v>
      </c>
      <c r="R366" t="s">
        <v>157</v>
      </c>
      <c r="S366" t="s">
        <v>158</v>
      </c>
      <c r="T366" t="s">
        <v>124</v>
      </c>
      <c r="U366" t="s">
        <v>172</v>
      </c>
      <c r="V366" t="s">
        <v>172</v>
      </c>
      <c r="W366" t="s">
        <v>389</v>
      </c>
      <c r="AA366">
        <v>2</v>
      </c>
      <c r="AB366" t="s">
        <v>100</v>
      </c>
      <c r="AC366" t="s">
        <v>222</v>
      </c>
      <c r="AD366" t="s">
        <v>230</v>
      </c>
      <c r="AE366" t="str">
        <f t="shared" si="5"/>
        <v>Fogan</v>
      </c>
      <c r="AF366">
        <v>0</v>
      </c>
      <c r="AG366">
        <v>0</v>
      </c>
      <c r="AH366">
        <v>1</v>
      </c>
      <c r="AI366">
        <v>0</v>
      </c>
      <c r="AJ366">
        <v>0</v>
      </c>
      <c r="AK366" t="s">
        <v>230</v>
      </c>
      <c r="AL366">
        <v>0.52777777777777801</v>
      </c>
    </row>
    <row r="367" spans="2:38" ht="15" customHeight="1" x14ac:dyDescent="0.2">
      <c r="B367">
        <v>21</v>
      </c>
      <c r="C367">
        <v>2</v>
      </c>
      <c r="D367">
        <v>6</v>
      </c>
      <c r="E367" t="s">
        <v>390</v>
      </c>
      <c r="F367" t="s">
        <v>108</v>
      </c>
      <c r="G367" s="15">
        <v>43309</v>
      </c>
      <c r="H367" t="s">
        <v>109</v>
      </c>
      <c r="I367" t="s">
        <v>360</v>
      </c>
      <c r="J367" t="s">
        <v>270</v>
      </c>
      <c r="K367">
        <v>18</v>
      </c>
      <c r="L367" t="s">
        <v>154</v>
      </c>
      <c r="M367" t="s">
        <v>361</v>
      </c>
      <c r="N367" t="s">
        <v>114</v>
      </c>
      <c r="O367">
        <v>70.5</v>
      </c>
      <c r="P367">
        <v>134</v>
      </c>
      <c r="Q367">
        <v>6389</v>
      </c>
      <c r="R367" t="s">
        <v>157</v>
      </c>
      <c r="S367" t="s">
        <v>158</v>
      </c>
      <c r="T367" t="s">
        <v>124</v>
      </c>
      <c r="U367" t="s">
        <v>172</v>
      </c>
      <c r="V367" t="s">
        <v>123</v>
      </c>
      <c r="W367" t="s">
        <v>389</v>
      </c>
      <c r="AA367">
        <v>2</v>
      </c>
      <c r="AB367" t="s">
        <v>100</v>
      </c>
      <c r="AC367" t="s">
        <v>239</v>
      </c>
      <c r="AD367" t="s">
        <v>176</v>
      </c>
      <c r="AE367" t="str">
        <f t="shared" si="5"/>
        <v>Lynch</v>
      </c>
      <c r="AF367">
        <v>0</v>
      </c>
      <c r="AG367">
        <v>0</v>
      </c>
      <c r="AH367">
        <v>1</v>
      </c>
      <c r="AI367">
        <v>0</v>
      </c>
      <c r="AJ367">
        <v>0</v>
      </c>
      <c r="AK367" t="s">
        <v>176</v>
      </c>
      <c r="AL367">
        <v>0.59649122807017496</v>
      </c>
    </row>
    <row r="368" spans="2:38" ht="15" customHeight="1" x14ac:dyDescent="0.2">
      <c r="B368">
        <v>22</v>
      </c>
      <c r="C368">
        <v>3</v>
      </c>
      <c r="D368">
        <v>6</v>
      </c>
      <c r="E368" t="s">
        <v>391</v>
      </c>
      <c r="F368" t="s">
        <v>108</v>
      </c>
      <c r="G368" s="15">
        <v>43309</v>
      </c>
      <c r="H368" t="s">
        <v>109</v>
      </c>
      <c r="I368" t="s">
        <v>360</v>
      </c>
      <c r="J368" t="s">
        <v>270</v>
      </c>
      <c r="K368">
        <v>18</v>
      </c>
      <c r="L368" t="s">
        <v>154</v>
      </c>
      <c r="M368" t="s">
        <v>361</v>
      </c>
      <c r="N368" t="s">
        <v>114</v>
      </c>
      <c r="O368">
        <v>70.5</v>
      </c>
      <c r="P368">
        <v>134</v>
      </c>
      <c r="Q368">
        <v>6389</v>
      </c>
      <c r="R368" t="s">
        <v>157</v>
      </c>
      <c r="S368" t="s">
        <v>158</v>
      </c>
      <c r="T368" t="s">
        <v>124</v>
      </c>
      <c r="U368" t="s">
        <v>172</v>
      </c>
      <c r="V368" t="s">
        <v>122</v>
      </c>
      <c r="W368" t="s">
        <v>389</v>
      </c>
      <c r="AA368">
        <v>2</v>
      </c>
      <c r="AB368" t="s">
        <v>99</v>
      </c>
      <c r="AC368" t="s">
        <v>239</v>
      </c>
      <c r="AD368" t="s">
        <v>130</v>
      </c>
      <c r="AE368" t="str">
        <f t="shared" si="5"/>
        <v>Hilts</v>
      </c>
      <c r="AF368">
        <v>2</v>
      </c>
      <c r="AG368">
        <v>1</v>
      </c>
      <c r="AH368">
        <v>0</v>
      </c>
      <c r="AI368">
        <v>0</v>
      </c>
      <c r="AJ368">
        <v>1</v>
      </c>
      <c r="AK368" t="s">
        <v>130</v>
      </c>
      <c r="AL368">
        <v>0.48611111111111099</v>
      </c>
    </row>
    <row r="369" spans="2:38" ht="15" customHeight="1" x14ac:dyDescent="0.2">
      <c r="B369">
        <v>22</v>
      </c>
      <c r="C369">
        <v>4</v>
      </c>
      <c r="D369">
        <v>6</v>
      </c>
      <c r="E369" t="s">
        <v>392</v>
      </c>
      <c r="F369" t="s">
        <v>108</v>
      </c>
      <c r="G369" s="15">
        <v>43309</v>
      </c>
      <c r="H369" t="s">
        <v>109</v>
      </c>
      <c r="I369" t="s">
        <v>360</v>
      </c>
      <c r="J369" t="s">
        <v>270</v>
      </c>
      <c r="K369">
        <v>18</v>
      </c>
      <c r="L369" t="s">
        <v>154</v>
      </c>
      <c r="M369" t="s">
        <v>361</v>
      </c>
      <c r="N369" t="s">
        <v>114</v>
      </c>
      <c r="O369">
        <v>70.5</v>
      </c>
      <c r="P369">
        <v>134</v>
      </c>
      <c r="Q369">
        <v>6389</v>
      </c>
      <c r="R369" t="s">
        <v>157</v>
      </c>
      <c r="S369" t="s">
        <v>158</v>
      </c>
      <c r="T369" t="s">
        <v>124</v>
      </c>
      <c r="U369" t="s">
        <v>172</v>
      </c>
      <c r="V369" t="s">
        <v>119</v>
      </c>
      <c r="W369" t="s">
        <v>389</v>
      </c>
      <c r="AA369">
        <v>2</v>
      </c>
      <c r="AB369" t="s">
        <v>99</v>
      </c>
      <c r="AC369" t="s">
        <v>225</v>
      </c>
      <c r="AD369" t="s">
        <v>127</v>
      </c>
      <c r="AE369" t="str">
        <f t="shared" si="5"/>
        <v>Grise</v>
      </c>
      <c r="AF369">
        <v>2</v>
      </c>
      <c r="AG369">
        <v>1</v>
      </c>
      <c r="AH369">
        <v>0</v>
      </c>
      <c r="AI369">
        <v>0</v>
      </c>
      <c r="AJ369">
        <v>1</v>
      </c>
      <c r="AK369" t="s">
        <v>127</v>
      </c>
      <c r="AL369">
        <v>0.59523809523809501</v>
      </c>
    </row>
    <row r="370" spans="2:38" ht="15" customHeight="1" x14ac:dyDescent="0.2">
      <c r="B370">
        <v>23</v>
      </c>
      <c r="C370">
        <v>5</v>
      </c>
      <c r="D370">
        <v>6</v>
      </c>
      <c r="E370" t="s">
        <v>393</v>
      </c>
      <c r="F370" t="s">
        <v>108</v>
      </c>
      <c r="G370" s="15">
        <v>43309</v>
      </c>
      <c r="H370" t="s">
        <v>109</v>
      </c>
      <c r="I370" t="s">
        <v>360</v>
      </c>
      <c r="J370" t="s">
        <v>270</v>
      </c>
      <c r="K370">
        <v>18</v>
      </c>
      <c r="L370" t="s">
        <v>154</v>
      </c>
      <c r="M370" t="s">
        <v>361</v>
      </c>
      <c r="N370" t="s">
        <v>114</v>
      </c>
      <c r="O370">
        <v>70.5</v>
      </c>
      <c r="P370">
        <v>134</v>
      </c>
      <c r="Q370">
        <v>6389</v>
      </c>
      <c r="R370" t="s">
        <v>157</v>
      </c>
      <c r="S370" t="s">
        <v>158</v>
      </c>
      <c r="T370" t="s">
        <v>124</v>
      </c>
      <c r="U370" t="s">
        <v>172</v>
      </c>
      <c r="V370" t="s">
        <v>135</v>
      </c>
      <c r="W370" t="s">
        <v>389</v>
      </c>
      <c r="AA370">
        <v>2</v>
      </c>
      <c r="AB370" t="s">
        <v>99</v>
      </c>
      <c r="AC370" t="s">
        <v>222</v>
      </c>
      <c r="AD370" t="s">
        <v>178</v>
      </c>
      <c r="AE370" t="str">
        <f t="shared" si="5"/>
        <v>Shively</v>
      </c>
      <c r="AF370">
        <v>2</v>
      </c>
      <c r="AG370">
        <v>1</v>
      </c>
      <c r="AH370">
        <v>0</v>
      </c>
      <c r="AI370">
        <v>0</v>
      </c>
      <c r="AJ370">
        <v>1</v>
      </c>
      <c r="AK370" t="s">
        <v>178</v>
      </c>
      <c r="AL370">
        <v>0.34745762711864397</v>
      </c>
    </row>
    <row r="371" spans="2:38" ht="15" customHeight="1" x14ac:dyDescent="0.2">
      <c r="B371">
        <v>23</v>
      </c>
      <c r="C371">
        <v>6</v>
      </c>
      <c r="D371">
        <v>6</v>
      </c>
      <c r="E371" t="s">
        <v>1297</v>
      </c>
      <c r="F371" t="s">
        <v>108</v>
      </c>
      <c r="G371" s="15">
        <v>43309</v>
      </c>
      <c r="H371" t="s">
        <v>109</v>
      </c>
      <c r="I371" t="s">
        <v>360</v>
      </c>
      <c r="J371" t="s">
        <v>270</v>
      </c>
      <c r="K371">
        <v>18</v>
      </c>
      <c r="L371" t="s">
        <v>154</v>
      </c>
      <c r="M371" t="s">
        <v>361</v>
      </c>
      <c r="N371" t="s">
        <v>114</v>
      </c>
      <c r="O371">
        <v>70.5</v>
      </c>
      <c r="P371">
        <v>134</v>
      </c>
      <c r="Q371">
        <v>6389</v>
      </c>
      <c r="R371" t="s">
        <v>157</v>
      </c>
      <c r="S371" t="s">
        <v>158</v>
      </c>
      <c r="T371" t="s">
        <v>124</v>
      </c>
      <c r="U371" t="s">
        <v>172</v>
      </c>
      <c r="V371" t="s">
        <v>693</v>
      </c>
      <c r="W371" t="s">
        <v>389</v>
      </c>
      <c r="AA371">
        <v>2</v>
      </c>
      <c r="AB371" t="s">
        <v>100</v>
      </c>
      <c r="AC371" t="s">
        <v>313</v>
      </c>
      <c r="AD371" t="s">
        <v>272</v>
      </c>
      <c r="AE371" t="str">
        <f t="shared" si="5"/>
        <v>Bussiculo</v>
      </c>
      <c r="AF371">
        <v>0</v>
      </c>
      <c r="AG371">
        <v>0</v>
      </c>
      <c r="AH371">
        <v>1</v>
      </c>
      <c r="AI371">
        <v>0</v>
      </c>
      <c r="AJ371">
        <v>0</v>
      </c>
      <c r="AK371" t="s">
        <v>272</v>
      </c>
      <c r="AL371">
        <v>0.51041666666666696</v>
      </c>
    </row>
    <row r="372" spans="2:38" ht="15" customHeight="1" x14ac:dyDescent="0.2">
      <c r="B372">
        <v>24</v>
      </c>
      <c r="C372">
        <v>7</v>
      </c>
      <c r="D372">
        <v>6</v>
      </c>
      <c r="E372" t="s">
        <v>394</v>
      </c>
      <c r="F372" t="s">
        <v>108</v>
      </c>
      <c r="G372" s="15">
        <v>43309</v>
      </c>
      <c r="H372" t="s">
        <v>109</v>
      </c>
      <c r="I372" t="s">
        <v>360</v>
      </c>
      <c r="J372" t="s">
        <v>270</v>
      </c>
      <c r="K372">
        <v>18</v>
      </c>
      <c r="L372" t="s">
        <v>154</v>
      </c>
      <c r="M372" t="s">
        <v>361</v>
      </c>
      <c r="N372" t="s">
        <v>114</v>
      </c>
      <c r="O372">
        <v>70.5</v>
      </c>
      <c r="P372">
        <v>134</v>
      </c>
      <c r="Q372">
        <v>6389</v>
      </c>
      <c r="R372" t="s">
        <v>157</v>
      </c>
      <c r="S372" t="s">
        <v>158</v>
      </c>
      <c r="T372" t="s">
        <v>124</v>
      </c>
      <c r="U372" t="s">
        <v>172</v>
      </c>
      <c r="V372" t="s">
        <v>118</v>
      </c>
      <c r="W372" t="s">
        <v>389</v>
      </c>
      <c r="AA372">
        <v>2</v>
      </c>
      <c r="AB372" t="s">
        <v>99</v>
      </c>
      <c r="AC372" t="s">
        <v>222</v>
      </c>
      <c r="AD372" t="s">
        <v>227</v>
      </c>
      <c r="AE372" t="str">
        <f t="shared" si="5"/>
        <v>Jackson</v>
      </c>
      <c r="AF372">
        <v>2</v>
      </c>
      <c r="AG372">
        <v>1</v>
      </c>
      <c r="AH372">
        <v>0</v>
      </c>
      <c r="AI372">
        <v>0</v>
      </c>
      <c r="AJ372">
        <v>1</v>
      </c>
      <c r="AK372" t="s">
        <v>227</v>
      </c>
      <c r="AL372">
        <v>0.5</v>
      </c>
    </row>
    <row r="373" spans="2:38" ht="15" customHeight="1" x14ac:dyDescent="0.2">
      <c r="B373">
        <v>24</v>
      </c>
      <c r="C373">
        <v>8</v>
      </c>
      <c r="D373">
        <v>6</v>
      </c>
      <c r="E373" t="s">
        <v>395</v>
      </c>
      <c r="F373" t="s">
        <v>108</v>
      </c>
      <c r="G373" s="15">
        <v>43309</v>
      </c>
      <c r="H373" t="s">
        <v>109</v>
      </c>
      <c r="I373" t="s">
        <v>360</v>
      </c>
      <c r="J373" t="s">
        <v>270</v>
      </c>
      <c r="K373">
        <v>18</v>
      </c>
      <c r="L373" t="s">
        <v>154</v>
      </c>
      <c r="M373" t="s">
        <v>361</v>
      </c>
      <c r="N373" t="s">
        <v>114</v>
      </c>
      <c r="O373">
        <v>70.5</v>
      </c>
      <c r="P373">
        <v>134</v>
      </c>
      <c r="Q373">
        <v>6389</v>
      </c>
      <c r="R373" t="s">
        <v>157</v>
      </c>
      <c r="S373" t="s">
        <v>158</v>
      </c>
      <c r="T373" t="s">
        <v>124</v>
      </c>
      <c r="U373" t="s">
        <v>172</v>
      </c>
      <c r="V373" t="s">
        <v>133</v>
      </c>
      <c r="W373" t="s">
        <v>389</v>
      </c>
      <c r="AA373">
        <v>2</v>
      </c>
      <c r="AB373" t="s">
        <v>100</v>
      </c>
      <c r="AC373" t="s">
        <v>396</v>
      </c>
      <c r="AD373" t="s">
        <v>179</v>
      </c>
      <c r="AE373" t="str">
        <f t="shared" si="5"/>
        <v>Mangold</v>
      </c>
      <c r="AF373">
        <v>0</v>
      </c>
      <c r="AG373">
        <v>0</v>
      </c>
      <c r="AH373">
        <v>1</v>
      </c>
      <c r="AI373">
        <v>0</v>
      </c>
      <c r="AJ373">
        <v>0</v>
      </c>
      <c r="AK373" t="s">
        <v>179</v>
      </c>
      <c r="AL373">
        <v>0.44067796610169502</v>
      </c>
    </row>
    <row r="374" spans="2:38" ht="15" customHeight="1" x14ac:dyDescent="0.2">
      <c r="B374">
        <v>25</v>
      </c>
      <c r="C374">
        <v>9</v>
      </c>
      <c r="D374">
        <v>6</v>
      </c>
      <c r="E374" t="s">
        <v>397</v>
      </c>
      <c r="F374" t="s">
        <v>108</v>
      </c>
      <c r="G374" s="15">
        <v>43309</v>
      </c>
      <c r="H374" t="s">
        <v>109</v>
      </c>
      <c r="I374" t="s">
        <v>360</v>
      </c>
      <c r="J374" t="s">
        <v>270</v>
      </c>
      <c r="K374">
        <v>18</v>
      </c>
      <c r="L374" t="s">
        <v>154</v>
      </c>
      <c r="M374" t="s">
        <v>361</v>
      </c>
      <c r="N374" t="s">
        <v>114</v>
      </c>
      <c r="O374">
        <v>70.5</v>
      </c>
      <c r="P374">
        <v>134</v>
      </c>
      <c r="Q374">
        <v>6389</v>
      </c>
      <c r="R374" t="s">
        <v>157</v>
      </c>
      <c r="S374" t="s">
        <v>158</v>
      </c>
      <c r="T374" t="s">
        <v>124</v>
      </c>
      <c r="U374" t="s">
        <v>172</v>
      </c>
      <c r="V374" t="s">
        <v>226</v>
      </c>
      <c r="W374" t="s">
        <v>389</v>
      </c>
      <c r="AA374">
        <v>2</v>
      </c>
      <c r="AB374" t="s">
        <v>99</v>
      </c>
      <c r="AC374" t="s">
        <v>222</v>
      </c>
      <c r="AD374" t="s">
        <v>1308</v>
      </c>
      <c r="AE374" t="str">
        <f t="shared" si="5"/>
        <v>Gray</v>
      </c>
      <c r="AF374">
        <v>2</v>
      </c>
      <c r="AG374">
        <v>1</v>
      </c>
      <c r="AH374">
        <v>0</v>
      </c>
      <c r="AI374">
        <v>0</v>
      </c>
      <c r="AJ374">
        <v>1</v>
      </c>
      <c r="AK374" t="s">
        <v>1308</v>
      </c>
      <c r="AL374">
        <v>0.59375</v>
      </c>
    </row>
    <row r="375" spans="2:38" ht="15" customHeight="1" x14ac:dyDescent="0.2">
      <c r="B375">
        <v>25</v>
      </c>
      <c r="C375">
        <v>10</v>
      </c>
      <c r="D375">
        <v>6</v>
      </c>
      <c r="E375" t="s">
        <v>398</v>
      </c>
      <c r="F375" t="s">
        <v>108</v>
      </c>
      <c r="G375" s="15">
        <v>43309</v>
      </c>
      <c r="H375" t="s">
        <v>109</v>
      </c>
      <c r="I375" t="s">
        <v>360</v>
      </c>
      <c r="J375" t="s">
        <v>270</v>
      </c>
      <c r="K375">
        <v>18</v>
      </c>
      <c r="L375" t="s">
        <v>154</v>
      </c>
      <c r="M375" t="s">
        <v>361</v>
      </c>
      <c r="N375" t="s">
        <v>114</v>
      </c>
      <c r="O375">
        <v>70.5</v>
      </c>
      <c r="P375">
        <v>134</v>
      </c>
      <c r="Q375">
        <v>6389</v>
      </c>
      <c r="R375" t="s">
        <v>157</v>
      </c>
      <c r="S375" t="s">
        <v>158</v>
      </c>
      <c r="T375" t="s">
        <v>124</v>
      </c>
      <c r="U375" t="s">
        <v>172</v>
      </c>
      <c r="V375" t="s">
        <v>231</v>
      </c>
      <c r="W375" t="s">
        <v>389</v>
      </c>
      <c r="AA375">
        <v>2</v>
      </c>
      <c r="AB375" t="s">
        <v>101</v>
      </c>
      <c r="AC375" t="s">
        <v>139</v>
      </c>
      <c r="AD375" t="s">
        <v>132</v>
      </c>
      <c r="AE375" t="str">
        <f t="shared" si="5"/>
        <v>McInerney</v>
      </c>
      <c r="AF375">
        <v>1</v>
      </c>
      <c r="AG375">
        <v>0</v>
      </c>
      <c r="AH375">
        <v>0</v>
      </c>
      <c r="AI375">
        <v>1</v>
      </c>
      <c r="AJ375">
        <v>0.5</v>
      </c>
      <c r="AK375" t="s">
        <v>132</v>
      </c>
      <c r="AL375">
        <v>0.4296875</v>
      </c>
    </row>
    <row r="376" spans="2:38" ht="15" customHeight="1" x14ac:dyDescent="0.2">
      <c r="B376">
        <v>26</v>
      </c>
      <c r="C376">
        <v>1</v>
      </c>
      <c r="D376">
        <v>6</v>
      </c>
      <c r="E376" t="s">
        <v>388</v>
      </c>
      <c r="F376" t="s">
        <v>108</v>
      </c>
      <c r="G376" s="15">
        <v>43309</v>
      </c>
      <c r="H376" t="s">
        <v>109</v>
      </c>
      <c r="I376" t="s">
        <v>360</v>
      </c>
      <c r="J376" t="s">
        <v>270</v>
      </c>
      <c r="K376">
        <v>18</v>
      </c>
      <c r="L376" t="s">
        <v>154</v>
      </c>
      <c r="M376" t="s">
        <v>361</v>
      </c>
      <c r="N376" t="s">
        <v>114</v>
      </c>
      <c r="O376">
        <v>70.5</v>
      </c>
      <c r="P376">
        <v>134</v>
      </c>
      <c r="Q376">
        <v>6389</v>
      </c>
      <c r="R376" t="s">
        <v>157</v>
      </c>
      <c r="S376" t="s">
        <v>158</v>
      </c>
      <c r="T376" t="s">
        <v>117</v>
      </c>
      <c r="U376" t="s">
        <v>230</v>
      </c>
      <c r="V376" t="s">
        <v>230</v>
      </c>
      <c r="W376" t="s">
        <v>362</v>
      </c>
      <c r="AA376">
        <v>2</v>
      </c>
      <c r="AB376" t="s">
        <v>99</v>
      </c>
      <c r="AC376" t="s">
        <v>222</v>
      </c>
      <c r="AD376" t="s">
        <v>172</v>
      </c>
      <c r="AE376" t="str">
        <f t="shared" si="5"/>
        <v>Norat</v>
      </c>
      <c r="AF376">
        <v>2</v>
      </c>
      <c r="AG376">
        <v>1</v>
      </c>
      <c r="AH376">
        <v>0</v>
      </c>
      <c r="AI376">
        <v>0</v>
      </c>
      <c r="AJ376">
        <v>1</v>
      </c>
      <c r="AK376" t="s">
        <v>172</v>
      </c>
      <c r="AL376">
        <v>0.37288135593220301</v>
      </c>
    </row>
    <row r="377" spans="2:38" ht="15" customHeight="1" x14ac:dyDescent="0.2">
      <c r="B377">
        <v>26</v>
      </c>
      <c r="C377">
        <v>2</v>
      </c>
      <c r="D377">
        <v>6</v>
      </c>
      <c r="E377" t="s">
        <v>390</v>
      </c>
      <c r="F377" t="s">
        <v>108</v>
      </c>
      <c r="G377" s="15">
        <v>43309</v>
      </c>
      <c r="H377" t="s">
        <v>109</v>
      </c>
      <c r="I377" t="s">
        <v>360</v>
      </c>
      <c r="J377" t="s">
        <v>270</v>
      </c>
      <c r="K377">
        <v>18</v>
      </c>
      <c r="L377" t="s">
        <v>154</v>
      </c>
      <c r="M377" t="s">
        <v>361</v>
      </c>
      <c r="N377" t="s">
        <v>114</v>
      </c>
      <c r="O377">
        <v>70.5</v>
      </c>
      <c r="P377">
        <v>134</v>
      </c>
      <c r="Q377">
        <v>6389</v>
      </c>
      <c r="R377" t="s">
        <v>157</v>
      </c>
      <c r="S377" t="s">
        <v>158</v>
      </c>
      <c r="T377" t="s">
        <v>117</v>
      </c>
      <c r="U377" t="s">
        <v>230</v>
      </c>
      <c r="V377" t="s">
        <v>176</v>
      </c>
      <c r="W377" t="s">
        <v>362</v>
      </c>
      <c r="AA377">
        <v>2</v>
      </c>
      <c r="AB377" t="s">
        <v>99</v>
      </c>
      <c r="AC377" t="s">
        <v>239</v>
      </c>
      <c r="AD377" t="s">
        <v>123</v>
      </c>
      <c r="AE377" t="str">
        <f t="shared" si="5"/>
        <v>Forster</v>
      </c>
      <c r="AF377">
        <v>2</v>
      </c>
      <c r="AG377">
        <v>1</v>
      </c>
      <c r="AH377">
        <v>0</v>
      </c>
      <c r="AI377">
        <v>0</v>
      </c>
      <c r="AJ377">
        <v>1</v>
      </c>
      <c r="AK377" t="s">
        <v>123</v>
      </c>
      <c r="AL377">
        <v>0.5546875</v>
      </c>
    </row>
    <row r="378" spans="2:38" ht="15" customHeight="1" x14ac:dyDescent="0.2">
      <c r="B378">
        <v>27</v>
      </c>
      <c r="C378">
        <v>3</v>
      </c>
      <c r="D378">
        <v>6</v>
      </c>
      <c r="E378" t="s">
        <v>391</v>
      </c>
      <c r="F378" t="s">
        <v>108</v>
      </c>
      <c r="G378" s="15">
        <v>43309</v>
      </c>
      <c r="H378" t="s">
        <v>109</v>
      </c>
      <c r="I378" t="s">
        <v>360</v>
      </c>
      <c r="J378" t="s">
        <v>270</v>
      </c>
      <c r="K378">
        <v>18</v>
      </c>
      <c r="L378" t="s">
        <v>154</v>
      </c>
      <c r="M378" t="s">
        <v>361</v>
      </c>
      <c r="N378" t="s">
        <v>114</v>
      </c>
      <c r="O378">
        <v>70.5</v>
      </c>
      <c r="P378">
        <v>134</v>
      </c>
      <c r="Q378">
        <v>6389</v>
      </c>
      <c r="R378" t="s">
        <v>157</v>
      </c>
      <c r="S378" t="s">
        <v>158</v>
      </c>
      <c r="T378" t="s">
        <v>117</v>
      </c>
      <c r="U378" t="s">
        <v>230</v>
      </c>
      <c r="V378" t="s">
        <v>130</v>
      </c>
      <c r="W378" t="s">
        <v>362</v>
      </c>
      <c r="AA378">
        <v>2</v>
      </c>
      <c r="AB378" t="s">
        <v>100</v>
      </c>
      <c r="AC378" t="s">
        <v>239</v>
      </c>
      <c r="AD378" t="s">
        <v>122</v>
      </c>
      <c r="AE378" t="str">
        <f t="shared" si="5"/>
        <v>Poirier</v>
      </c>
      <c r="AF378">
        <v>0</v>
      </c>
      <c r="AG378">
        <v>0</v>
      </c>
      <c r="AH378">
        <v>1</v>
      </c>
      <c r="AI378">
        <v>0</v>
      </c>
      <c r="AJ378">
        <v>0</v>
      </c>
      <c r="AK378" t="s">
        <v>122</v>
      </c>
      <c r="AL378">
        <v>0.47321428571428598</v>
      </c>
    </row>
    <row r="379" spans="2:38" ht="15" customHeight="1" x14ac:dyDescent="0.2">
      <c r="B379">
        <v>27</v>
      </c>
      <c r="C379">
        <v>4</v>
      </c>
      <c r="D379">
        <v>6</v>
      </c>
      <c r="E379" t="s">
        <v>392</v>
      </c>
      <c r="F379" t="s">
        <v>108</v>
      </c>
      <c r="G379" s="15">
        <v>43309</v>
      </c>
      <c r="H379" t="s">
        <v>109</v>
      </c>
      <c r="I379" t="s">
        <v>360</v>
      </c>
      <c r="J379" t="s">
        <v>270</v>
      </c>
      <c r="K379">
        <v>18</v>
      </c>
      <c r="L379" t="s">
        <v>154</v>
      </c>
      <c r="M379" t="s">
        <v>361</v>
      </c>
      <c r="N379" t="s">
        <v>114</v>
      </c>
      <c r="O379">
        <v>70.5</v>
      </c>
      <c r="P379">
        <v>134</v>
      </c>
      <c r="Q379">
        <v>6389</v>
      </c>
      <c r="R379" t="s">
        <v>157</v>
      </c>
      <c r="S379" t="s">
        <v>158</v>
      </c>
      <c r="T379" t="s">
        <v>117</v>
      </c>
      <c r="U379" t="s">
        <v>230</v>
      </c>
      <c r="V379" t="s">
        <v>127</v>
      </c>
      <c r="W379" t="s">
        <v>362</v>
      </c>
      <c r="AA379">
        <v>2</v>
      </c>
      <c r="AB379" t="s">
        <v>100</v>
      </c>
      <c r="AC379" t="s">
        <v>225</v>
      </c>
      <c r="AD379" t="s">
        <v>119</v>
      </c>
      <c r="AE379" t="str">
        <f t="shared" si="5"/>
        <v>Ferrin</v>
      </c>
      <c r="AF379">
        <v>0</v>
      </c>
      <c r="AG379">
        <v>0</v>
      </c>
      <c r="AH379">
        <v>1</v>
      </c>
      <c r="AI379">
        <v>0</v>
      </c>
      <c r="AJ379">
        <v>0</v>
      </c>
      <c r="AK379" t="s">
        <v>119</v>
      </c>
      <c r="AL379">
        <v>0.546875</v>
      </c>
    </row>
    <row r="380" spans="2:38" ht="15" customHeight="1" x14ac:dyDescent="0.2">
      <c r="B380">
        <v>28</v>
      </c>
      <c r="C380">
        <v>5</v>
      </c>
      <c r="D380">
        <v>6</v>
      </c>
      <c r="E380" t="s">
        <v>393</v>
      </c>
      <c r="F380" t="s">
        <v>108</v>
      </c>
      <c r="G380" s="15">
        <v>43309</v>
      </c>
      <c r="H380" t="s">
        <v>109</v>
      </c>
      <c r="I380" t="s">
        <v>360</v>
      </c>
      <c r="J380" t="s">
        <v>270</v>
      </c>
      <c r="K380">
        <v>18</v>
      </c>
      <c r="L380" t="s">
        <v>154</v>
      </c>
      <c r="M380" t="s">
        <v>361</v>
      </c>
      <c r="N380" t="s">
        <v>114</v>
      </c>
      <c r="O380">
        <v>70.5</v>
      </c>
      <c r="P380">
        <v>134</v>
      </c>
      <c r="Q380">
        <v>6389</v>
      </c>
      <c r="R380" t="s">
        <v>157</v>
      </c>
      <c r="S380" t="s">
        <v>158</v>
      </c>
      <c r="T380" t="s">
        <v>117</v>
      </c>
      <c r="U380" t="s">
        <v>230</v>
      </c>
      <c r="V380" t="s">
        <v>178</v>
      </c>
      <c r="W380" t="s">
        <v>362</v>
      </c>
      <c r="AA380">
        <v>2</v>
      </c>
      <c r="AB380" t="s">
        <v>100</v>
      </c>
      <c r="AC380" t="s">
        <v>222</v>
      </c>
      <c r="AD380" t="s">
        <v>135</v>
      </c>
      <c r="AE380" t="str">
        <f t="shared" si="5"/>
        <v>Connors</v>
      </c>
      <c r="AF380">
        <v>0</v>
      </c>
      <c r="AG380">
        <v>0</v>
      </c>
      <c r="AH380">
        <v>1</v>
      </c>
      <c r="AI380">
        <v>0</v>
      </c>
      <c r="AJ380">
        <v>0</v>
      </c>
      <c r="AK380" t="s">
        <v>135</v>
      </c>
    </row>
    <row r="381" spans="2:38" ht="15" customHeight="1" x14ac:dyDescent="0.2">
      <c r="B381">
        <v>28</v>
      </c>
      <c r="C381">
        <v>6</v>
      </c>
      <c r="D381">
        <v>6</v>
      </c>
      <c r="E381" t="s">
        <v>1297</v>
      </c>
      <c r="F381" t="s">
        <v>108</v>
      </c>
      <c r="G381" s="15">
        <v>43309</v>
      </c>
      <c r="H381" t="s">
        <v>109</v>
      </c>
      <c r="I381" t="s">
        <v>360</v>
      </c>
      <c r="J381" t="s">
        <v>270</v>
      </c>
      <c r="K381">
        <v>18</v>
      </c>
      <c r="L381" t="s">
        <v>154</v>
      </c>
      <c r="M381" t="s">
        <v>361</v>
      </c>
      <c r="N381" t="s">
        <v>114</v>
      </c>
      <c r="O381">
        <v>70.5</v>
      </c>
      <c r="P381">
        <v>134</v>
      </c>
      <c r="Q381">
        <v>6389</v>
      </c>
      <c r="R381" t="s">
        <v>157</v>
      </c>
      <c r="S381" t="s">
        <v>158</v>
      </c>
      <c r="T381" t="s">
        <v>117</v>
      </c>
      <c r="U381" t="s">
        <v>230</v>
      </c>
      <c r="V381" t="s">
        <v>272</v>
      </c>
      <c r="W381" t="s">
        <v>362</v>
      </c>
      <c r="AA381">
        <v>2</v>
      </c>
      <c r="AB381" t="s">
        <v>99</v>
      </c>
      <c r="AC381" t="s">
        <v>313</v>
      </c>
      <c r="AD381" t="s">
        <v>693</v>
      </c>
      <c r="AE381" t="str">
        <f t="shared" si="5"/>
        <v>Welker</v>
      </c>
      <c r="AF381">
        <v>2</v>
      </c>
      <c r="AG381">
        <v>1</v>
      </c>
      <c r="AH381">
        <v>0</v>
      </c>
      <c r="AI381">
        <v>0</v>
      </c>
      <c r="AJ381">
        <v>1</v>
      </c>
      <c r="AK381" t="s">
        <v>693</v>
      </c>
      <c r="AL381">
        <v>0.44827586206896602</v>
      </c>
    </row>
    <row r="382" spans="2:38" ht="15" customHeight="1" x14ac:dyDescent="0.2">
      <c r="B382">
        <v>29</v>
      </c>
      <c r="C382">
        <v>7</v>
      </c>
      <c r="D382">
        <v>6</v>
      </c>
      <c r="E382" t="s">
        <v>394</v>
      </c>
      <c r="F382" t="s">
        <v>108</v>
      </c>
      <c r="G382" s="15">
        <v>43309</v>
      </c>
      <c r="H382" t="s">
        <v>109</v>
      </c>
      <c r="I382" t="s">
        <v>360</v>
      </c>
      <c r="J382" t="s">
        <v>270</v>
      </c>
      <c r="K382">
        <v>18</v>
      </c>
      <c r="L382" t="s">
        <v>154</v>
      </c>
      <c r="M382" t="s">
        <v>361</v>
      </c>
      <c r="N382" t="s">
        <v>114</v>
      </c>
      <c r="O382">
        <v>70.5</v>
      </c>
      <c r="P382">
        <v>134</v>
      </c>
      <c r="Q382">
        <v>6389</v>
      </c>
      <c r="R382" t="s">
        <v>157</v>
      </c>
      <c r="S382" t="s">
        <v>158</v>
      </c>
      <c r="T382" t="s">
        <v>117</v>
      </c>
      <c r="U382" t="s">
        <v>230</v>
      </c>
      <c r="V382" t="s">
        <v>227</v>
      </c>
      <c r="W382" t="s">
        <v>362</v>
      </c>
      <c r="AA382">
        <v>2</v>
      </c>
      <c r="AB382" t="s">
        <v>100</v>
      </c>
      <c r="AC382" t="s">
        <v>222</v>
      </c>
      <c r="AD382" t="s">
        <v>118</v>
      </c>
      <c r="AE382" t="str">
        <f t="shared" si="5"/>
        <v>Zimmer</v>
      </c>
      <c r="AF382">
        <v>0</v>
      </c>
      <c r="AG382">
        <v>0</v>
      </c>
      <c r="AH382">
        <v>1</v>
      </c>
      <c r="AI382">
        <v>0</v>
      </c>
      <c r="AJ382">
        <v>0</v>
      </c>
      <c r="AK382" t="s">
        <v>118</v>
      </c>
      <c r="AL382">
        <v>0.6171875</v>
      </c>
    </row>
    <row r="383" spans="2:38" ht="15" customHeight="1" x14ac:dyDescent="0.2">
      <c r="B383">
        <v>29</v>
      </c>
      <c r="C383">
        <v>8</v>
      </c>
      <c r="D383">
        <v>6</v>
      </c>
      <c r="E383" t="s">
        <v>395</v>
      </c>
      <c r="F383" t="s">
        <v>108</v>
      </c>
      <c r="G383" s="15">
        <v>43309</v>
      </c>
      <c r="H383" t="s">
        <v>109</v>
      </c>
      <c r="I383" t="s">
        <v>360</v>
      </c>
      <c r="J383" t="s">
        <v>270</v>
      </c>
      <c r="K383">
        <v>18</v>
      </c>
      <c r="L383" t="s">
        <v>154</v>
      </c>
      <c r="M383" t="s">
        <v>361</v>
      </c>
      <c r="N383" t="s">
        <v>114</v>
      </c>
      <c r="O383">
        <v>70.5</v>
      </c>
      <c r="P383">
        <v>134</v>
      </c>
      <c r="Q383">
        <v>6389</v>
      </c>
      <c r="R383" t="s">
        <v>157</v>
      </c>
      <c r="S383" t="s">
        <v>158</v>
      </c>
      <c r="T383" t="s">
        <v>117</v>
      </c>
      <c r="U383" t="s">
        <v>230</v>
      </c>
      <c r="V383" t="s">
        <v>179</v>
      </c>
      <c r="W383" t="s">
        <v>362</v>
      </c>
      <c r="AA383">
        <v>2</v>
      </c>
      <c r="AB383" t="s">
        <v>99</v>
      </c>
      <c r="AC383" t="s">
        <v>396</v>
      </c>
      <c r="AD383" t="s">
        <v>133</v>
      </c>
      <c r="AE383" t="str">
        <f t="shared" si="5"/>
        <v>Cole</v>
      </c>
      <c r="AF383">
        <v>2</v>
      </c>
      <c r="AG383">
        <v>1</v>
      </c>
      <c r="AH383">
        <v>0</v>
      </c>
      <c r="AI383">
        <v>0</v>
      </c>
      <c r="AJ383">
        <v>1</v>
      </c>
      <c r="AK383" t="s">
        <v>133</v>
      </c>
      <c r="AL383">
        <v>0.38392857142857201</v>
      </c>
    </row>
    <row r="384" spans="2:38" ht="15" customHeight="1" x14ac:dyDescent="0.2">
      <c r="B384">
        <v>30</v>
      </c>
      <c r="C384">
        <v>9</v>
      </c>
      <c r="D384">
        <v>6</v>
      </c>
      <c r="E384" t="s">
        <v>397</v>
      </c>
      <c r="F384" t="s">
        <v>108</v>
      </c>
      <c r="G384" s="15">
        <v>43309</v>
      </c>
      <c r="H384" t="s">
        <v>109</v>
      </c>
      <c r="I384" t="s">
        <v>360</v>
      </c>
      <c r="J384" t="s">
        <v>270</v>
      </c>
      <c r="K384">
        <v>18</v>
      </c>
      <c r="L384" t="s">
        <v>154</v>
      </c>
      <c r="M384" t="s">
        <v>361</v>
      </c>
      <c r="N384" t="s">
        <v>114</v>
      </c>
      <c r="O384">
        <v>70.5</v>
      </c>
      <c r="P384">
        <v>134</v>
      </c>
      <c r="Q384">
        <v>6389</v>
      </c>
      <c r="R384" t="s">
        <v>157</v>
      </c>
      <c r="S384" t="s">
        <v>158</v>
      </c>
      <c r="T384" t="s">
        <v>117</v>
      </c>
      <c r="U384" t="s">
        <v>230</v>
      </c>
      <c r="V384" t="s">
        <v>1308</v>
      </c>
      <c r="W384" t="s">
        <v>362</v>
      </c>
      <c r="AA384">
        <v>2</v>
      </c>
      <c r="AB384" t="s">
        <v>100</v>
      </c>
      <c r="AC384" t="s">
        <v>222</v>
      </c>
      <c r="AD384" t="s">
        <v>226</v>
      </c>
      <c r="AE384" t="str">
        <f t="shared" si="5"/>
        <v>Connolly</v>
      </c>
      <c r="AF384">
        <v>0</v>
      </c>
      <c r="AG384">
        <v>0</v>
      </c>
      <c r="AH384">
        <v>1</v>
      </c>
      <c r="AI384">
        <v>0</v>
      </c>
      <c r="AJ384">
        <v>0</v>
      </c>
      <c r="AK384" t="s">
        <v>226</v>
      </c>
      <c r="AL384">
        <v>0.65476190476190499</v>
      </c>
    </row>
    <row r="385" spans="2:40" ht="15" customHeight="1" x14ac:dyDescent="0.2">
      <c r="B385">
        <v>30</v>
      </c>
      <c r="C385">
        <v>10</v>
      </c>
      <c r="D385">
        <v>6</v>
      </c>
      <c r="E385" t="s">
        <v>398</v>
      </c>
      <c r="F385" t="s">
        <v>108</v>
      </c>
      <c r="G385" s="15">
        <v>43309</v>
      </c>
      <c r="H385" t="s">
        <v>109</v>
      </c>
      <c r="I385" t="s">
        <v>360</v>
      </c>
      <c r="J385" t="s">
        <v>270</v>
      </c>
      <c r="K385">
        <v>18</v>
      </c>
      <c r="L385" t="s">
        <v>154</v>
      </c>
      <c r="M385" t="s">
        <v>361</v>
      </c>
      <c r="N385" t="s">
        <v>114</v>
      </c>
      <c r="O385">
        <v>70.5</v>
      </c>
      <c r="P385">
        <v>134</v>
      </c>
      <c r="Q385">
        <v>6389</v>
      </c>
      <c r="R385" t="s">
        <v>157</v>
      </c>
      <c r="S385" t="s">
        <v>158</v>
      </c>
      <c r="T385" t="s">
        <v>117</v>
      </c>
      <c r="U385" t="s">
        <v>230</v>
      </c>
      <c r="V385" t="s">
        <v>132</v>
      </c>
      <c r="W385" t="s">
        <v>362</v>
      </c>
      <c r="AA385">
        <v>2</v>
      </c>
      <c r="AB385" t="s">
        <v>101</v>
      </c>
      <c r="AC385" t="s">
        <v>139</v>
      </c>
      <c r="AD385" t="s">
        <v>231</v>
      </c>
      <c r="AE385" t="str">
        <f t="shared" si="5"/>
        <v>Flanders</v>
      </c>
      <c r="AF385">
        <v>1</v>
      </c>
      <c r="AG385">
        <v>0</v>
      </c>
      <c r="AH385">
        <v>0</v>
      </c>
      <c r="AI385">
        <v>1</v>
      </c>
      <c r="AJ385">
        <v>0.5</v>
      </c>
      <c r="AK385" t="s">
        <v>231</v>
      </c>
      <c r="AL385">
        <v>0.5</v>
      </c>
    </row>
    <row r="386" spans="2:40" ht="15" customHeight="1" x14ac:dyDescent="0.2">
      <c r="B386">
        <v>1</v>
      </c>
      <c r="C386">
        <v>1</v>
      </c>
      <c r="D386">
        <v>7</v>
      </c>
      <c r="E386" t="s">
        <v>399</v>
      </c>
      <c r="F386" t="s">
        <v>400</v>
      </c>
      <c r="G386" s="15">
        <v>43685</v>
      </c>
      <c r="H386" t="s">
        <v>144</v>
      </c>
      <c r="I386" t="s">
        <v>401</v>
      </c>
      <c r="J386" t="s">
        <v>402</v>
      </c>
      <c r="K386">
        <v>9</v>
      </c>
      <c r="L386" t="s">
        <v>112</v>
      </c>
      <c r="M386" t="s">
        <v>403</v>
      </c>
      <c r="N386" t="s">
        <v>404</v>
      </c>
      <c r="O386">
        <v>73.400000000000006</v>
      </c>
      <c r="P386">
        <v>138</v>
      </c>
      <c r="Q386">
        <v>6454</v>
      </c>
      <c r="R386" t="s">
        <v>115</v>
      </c>
      <c r="S386" t="s">
        <v>116</v>
      </c>
      <c r="T386" t="s">
        <v>405</v>
      </c>
      <c r="U386" t="s">
        <v>406</v>
      </c>
      <c r="V386" t="s">
        <v>119</v>
      </c>
      <c r="W386" t="s">
        <v>114</v>
      </c>
      <c r="Y386" t="s">
        <v>118</v>
      </c>
      <c r="AA386">
        <v>1</v>
      </c>
      <c r="AB386" t="s">
        <v>99</v>
      </c>
      <c r="AC386" t="s">
        <v>239</v>
      </c>
      <c r="AE386" t="str">
        <f t="shared" ref="AE386:AE449" si="6">$V386&amp;$Y386</f>
        <v>GriseJackson</v>
      </c>
      <c r="AF386">
        <v>1</v>
      </c>
      <c r="AG386">
        <v>1</v>
      </c>
      <c r="AH386">
        <v>0</v>
      </c>
      <c r="AI386">
        <v>0</v>
      </c>
      <c r="AJ386">
        <v>1</v>
      </c>
      <c r="AK386" t="s">
        <v>1308</v>
      </c>
      <c r="AL386">
        <v>0.59375</v>
      </c>
      <c r="AM386" t="s">
        <v>172</v>
      </c>
      <c r="AN386">
        <v>0.37288135593220301</v>
      </c>
    </row>
    <row r="387" spans="2:40" ht="15" customHeight="1" x14ac:dyDescent="0.2">
      <c r="B387">
        <v>1</v>
      </c>
      <c r="C387">
        <v>1</v>
      </c>
      <c r="D387">
        <v>7</v>
      </c>
      <c r="E387" t="s">
        <v>399</v>
      </c>
      <c r="F387" t="s">
        <v>400</v>
      </c>
      <c r="G387" s="15">
        <v>43685</v>
      </c>
      <c r="H387" t="s">
        <v>144</v>
      </c>
      <c r="I387" t="s">
        <v>401</v>
      </c>
      <c r="J387" t="s">
        <v>402</v>
      </c>
      <c r="K387">
        <v>9</v>
      </c>
      <c r="L387" t="s">
        <v>112</v>
      </c>
      <c r="M387" t="s">
        <v>403</v>
      </c>
      <c r="N387" t="s">
        <v>404</v>
      </c>
      <c r="O387">
        <v>73.400000000000006</v>
      </c>
      <c r="P387">
        <v>138</v>
      </c>
      <c r="Q387">
        <v>6454</v>
      </c>
      <c r="R387" t="s">
        <v>115</v>
      </c>
      <c r="S387" t="s">
        <v>116</v>
      </c>
      <c r="T387" t="s">
        <v>407</v>
      </c>
      <c r="U387" t="s">
        <v>408</v>
      </c>
      <c r="V387" t="s">
        <v>1308</v>
      </c>
      <c r="W387" t="s">
        <v>156</v>
      </c>
      <c r="Y387" t="s">
        <v>172</v>
      </c>
      <c r="AA387">
        <v>1</v>
      </c>
      <c r="AB387" t="s">
        <v>100</v>
      </c>
      <c r="AC387" t="s">
        <v>239</v>
      </c>
      <c r="AE387" t="str">
        <f t="shared" si="6"/>
        <v>ConnollyFogan</v>
      </c>
      <c r="AF387">
        <v>0</v>
      </c>
      <c r="AG387">
        <v>0</v>
      </c>
      <c r="AH387">
        <v>1</v>
      </c>
      <c r="AI387">
        <v>0</v>
      </c>
      <c r="AJ387">
        <v>0</v>
      </c>
      <c r="AK387" t="s">
        <v>119</v>
      </c>
      <c r="AL387">
        <v>0.546875</v>
      </c>
      <c r="AM387" t="s">
        <v>118</v>
      </c>
      <c r="AN387">
        <v>0.6171875</v>
      </c>
    </row>
    <row r="388" spans="2:40" ht="15" customHeight="1" x14ac:dyDescent="0.2">
      <c r="B388">
        <v>2</v>
      </c>
      <c r="C388">
        <v>2</v>
      </c>
      <c r="D388">
        <v>7</v>
      </c>
      <c r="E388" t="s">
        <v>409</v>
      </c>
      <c r="F388" t="s">
        <v>400</v>
      </c>
      <c r="G388" s="15">
        <v>43685</v>
      </c>
      <c r="H388" t="s">
        <v>144</v>
      </c>
      <c r="I388" t="s">
        <v>401</v>
      </c>
      <c r="J388" t="s">
        <v>402</v>
      </c>
      <c r="K388">
        <v>9</v>
      </c>
      <c r="L388" t="s">
        <v>112</v>
      </c>
      <c r="M388" t="s">
        <v>403</v>
      </c>
      <c r="N388" t="s">
        <v>404</v>
      </c>
      <c r="O388">
        <v>73.400000000000006</v>
      </c>
      <c r="P388">
        <v>138</v>
      </c>
      <c r="Q388">
        <v>6454</v>
      </c>
      <c r="R388" t="s">
        <v>115</v>
      </c>
      <c r="S388" t="s">
        <v>116</v>
      </c>
      <c r="T388" t="s">
        <v>407</v>
      </c>
      <c r="U388" t="s">
        <v>408</v>
      </c>
      <c r="V388" t="s">
        <v>231</v>
      </c>
      <c r="W388" t="s">
        <v>156</v>
      </c>
      <c r="Y388" t="s">
        <v>135</v>
      </c>
      <c r="AA388">
        <v>1</v>
      </c>
      <c r="AB388" t="s">
        <v>100</v>
      </c>
      <c r="AC388" t="s">
        <v>410</v>
      </c>
      <c r="AE388" t="str">
        <f t="shared" si="6"/>
        <v>McInerneyShively</v>
      </c>
      <c r="AF388">
        <v>0</v>
      </c>
      <c r="AG388">
        <v>0</v>
      </c>
      <c r="AH388">
        <v>1</v>
      </c>
      <c r="AI388">
        <v>0</v>
      </c>
      <c r="AJ388">
        <v>0</v>
      </c>
      <c r="AK388" t="s">
        <v>127</v>
      </c>
      <c r="AL388">
        <v>0.59523809523809501</v>
      </c>
      <c r="AM388" t="s">
        <v>132</v>
      </c>
      <c r="AN388">
        <v>0.4296875</v>
      </c>
    </row>
    <row r="389" spans="2:40" ht="15" customHeight="1" x14ac:dyDescent="0.2">
      <c r="B389">
        <v>2</v>
      </c>
      <c r="C389">
        <v>2</v>
      </c>
      <c r="D389">
        <v>7</v>
      </c>
      <c r="E389" t="s">
        <v>409</v>
      </c>
      <c r="F389" t="s">
        <v>400</v>
      </c>
      <c r="G389" s="15">
        <v>43685</v>
      </c>
      <c r="H389" t="s">
        <v>144</v>
      </c>
      <c r="I389" t="s">
        <v>401</v>
      </c>
      <c r="J389" t="s">
        <v>402</v>
      </c>
      <c r="K389">
        <v>9</v>
      </c>
      <c r="L389" t="s">
        <v>112</v>
      </c>
      <c r="M389" t="s">
        <v>403</v>
      </c>
      <c r="N389" t="s">
        <v>404</v>
      </c>
      <c r="O389">
        <v>73.400000000000006</v>
      </c>
      <c r="P389">
        <v>138</v>
      </c>
      <c r="Q389">
        <v>6454</v>
      </c>
      <c r="R389" t="s">
        <v>115</v>
      </c>
      <c r="S389" t="s">
        <v>116</v>
      </c>
      <c r="T389" t="s">
        <v>405</v>
      </c>
      <c r="U389" t="s">
        <v>406</v>
      </c>
      <c r="V389" t="s">
        <v>127</v>
      </c>
      <c r="W389" t="s">
        <v>114</v>
      </c>
      <c r="Y389" t="s">
        <v>132</v>
      </c>
      <c r="AA389">
        <v>1</v>
      </c>
      <c r="AB389" t="s">
        <v>99</v>
      </c>
      <c r="AC389" t="s">
        <v>410</v>
      </c>
      <c r="AE389" t="str">
        <f t="shared" si="6"/>
        <v>FerrinFlanders</v>
      </c>
      <c r="AF389">
        <v>1</v>
      </c>
      <c r="AG389">
        <v>1</v>
      </c>
      <c r="AH389">
        <v>0</v>
      </c>
      <c r="AI389">
        <v>0</v>
      </c>
      <c r="AJ389">
        <v>1</v>
      </c>
      <c r="AK389" t="s">
        <v>231</v>
      </c>
      <c r="AL389">
        <v>0.5</v>
      </c>
      <c r="AM389" t="s">
        <v>135</v>
      </c>
    </row>
    <row r="390" spans="2:40" ht="15" customHeight="1" x14ac:dyDescent="0.2">
      <c r="B390">
        <v>3</v>
      </c>
      <c r="C390">
        <v>3</v>
      </c>
      <c r="D390">
        <v>7</v>
      </c>
      <c r="E390" t="s">
        <v>411</v>
      </c>
      <c r="F390" t="s">
        <v>400</v>
      </c>
      <c r="G390" s="15">
        <v>43685</v>
      </c>
      <c r="H390" t="s">
        <v>144</v>
      </c>
      <c r="I390" t="s">
        <v>401</v>
      </c>
      <c r="J390" t="s">
        <v>402</v>
      </c>
      <c r="K390">
        <v>9</v>
      </c>
      <c r="L390" t="s">
        <v>112</v>
      </c>
      <c r="M390" t="s">
        <v>403</v>
      </c>
      <c r="N390" t="s">
        <v>404</v>
      </c>
      <c r="O390">
        <v>73.400000000000006</v>
      </c>
      <c r="P390">
        <v>138</v>
      </c>
      <c r="Q390">
        <v>6454</v>
      </c>
      <c r="R390" t="s">
        <v>115</v>
      </c>
      <c r="S390" t="s">
        <v>116</v>
      </c>
      <c r="T390" t="s">
        <v>405</v>
      </c>
      <c r="U390" t="s">
        <v>406</v>
      </c>
      <c r="V390" t="s">
        <v>179</v>
      </c>
      <c r="W390" t="s">
        <v>114</v>
      </c>
      <c r="Y390" t="s">
        <v>123</v>
      </c>
      <c r="AA390">
        <v>1</v>
      </c>
      <c r="AB390" t="s">
        <v>99</v>
      </c>
      <c r="AC390" t="s">
        <v>259</v>
      </c>
      <c r="AE390" t="str">
        <f t="shared" si="6"/>
        <v>ColeLynch</v>
      </c>
      <c r="AF390">
        <v>1</v>
      </c>
      <c r="AG390">
        <v>1</v>
      </c>
      <c r="AH390">
        <v>0</v>
      </c>
      <c r="AI390">
        <v>0</v>
      </c>
      <c r="AJ390">
        <v>1</v>
      </c>
      <c r="AK390" t="s">
        <v>176</v>
      </c>
      <c r="AL390">
        <v>0.59649122807017496</v>
      </c>
      <c r="AM390" t="s">
        <v>122</v>
      </c>
      <c r="AN390">
        <v>0.47321428571428598</v>
      </c>
    </row>
    <row r="391" spans="2:40" ht="15" customHeight="1" x14ac:dyDescent="0.2">
      <c r="B391">
        <v>3</v>
      </c>
      <c r="C391">
        <v>3</v>
      </c>
      <c r="D391">
        <v>7</v>
      </c>
      <c r="E391" t="s">
        <v>411</v>
      </c>
      <c r="F391" t="s">
        <v>400</v>
      </c>
      <c r="G391" s="15">
        <v>43685</v>
      </c>
      <c r="H391" t="s">
        <v>144</v>
      </c>
      <c r="I391" t="s">
        <v>401</v>
      </c>
      <c r="J391" t="s">
        <v>402</v>
      </c>
      <c r="K391">
        <v>9</v>
      </c>
      <c r="L391" t="s">
        <v>112</v>
      </c>
      <c r="M391" t="s">
        <v>403</v>
      </c>
      <c r="N391" t="s">
        <v>404</v>
      </c>
      <c r="O391">
        <v>73.400000000000006</v>
      </c>
      <c r="P391">
        <v>138</v>
      </c>
      <c r="Q391">
        <v>6454</v>
      </c>
      <c r="R391" t="s">
        <v>115</v>
      </c>
      <c r="S391" t="s">
        <v>116</v>
      </c>
      <c r="T391" t="s">
        <v>407</v>
      </c>
      <c r="U391" t="s">
        <v>408</v>
      </c>
      <c r="V391" t="s">
        <v>176</v>
      </c>
      <c r="W391" t="s">
        <v>156</v>
      </c>
      <c r="Y391" t="s">
        <v>122</v>
      </c>
      <c r="AA391">
        <v>1</v>
      </c>
      <c r="AB391" t="s">
        <v>100</v>
      </c>
      <c r="AC391" t="s">
        <v>259</v>
      </c>
      <c r="AE391" t="str">
        <f t="shared" si="6"/>
        <v>ForsterHilts</v>
      </c>
      <c r="AF391">
        <v>0</v>
      </c>
      <c r="AG391">
        <v>0</v>
      </c>
      <c r="AH391">
        <v>1</v>
      </c>
      <c r="AI391">
        <v>0</v>
      </c>
      <c r="AJ391">
        <v>0</v>
      </c>
      <c r="AK391" t="s">
        <v>179</v>
      </c>
      <c r="AL391">
        <v>0.44067796610169502</v>
      </c>
      <c r="AM391" t="s">
        <v>123</v>
      </c>
      <c r="AN391">
        <v>0.5546875</v>
      </c>
    </row>
    <row r="392" spans="2:40" ht="15" customHeight="1" x14ac:dyDescent="0.2">
      <c r="B392">
        <v>4</v>
      </c>
      <c r="C392">
        <v>4</v>
      </c>
      <c r="D392">
        <v>7</v>
      </c>
      <c r="E392" t="s">
        <v>412</v>
      </c>
      <c r="F392" t="s">
        <v>400</v>
      </c>
      <c r="G392" s="15">
        <v>43685</v>
      </c>
      <c r="H392" t="s">
        <v>144</v>
      </c>
      <c r="I392" t="s">
        <v>401</v>
      </c>
      <c r="J392" t="s">
        <v>402</v>
      </c>
      <c r="K392">
        <v>9</v>
      </c>
      <c r="L392" t="s">
        <v>112</v>
      </c>
      <c r="M392" t="s">
        <v>403</v>
      </c>
      <c r="N392" t="s">
        <v>404</v>
      </c>
      <c r="O392">
        <v>73.400000000000006</v>
      </c>
      <c r="P392">
        <v>138</v>
      </c>
      <c r="Q392">
        <v>6454</v>
      </c>
      <c r="R392" t="s">
        <v>115</v>
      </c>
      <c r="S392" t="s">
        <v>116</v>
      </c>
      <c r="T392" t="s">
        <v>407</v>
      </c>
      <c r="U392" t="s">
        <v>408</v>
      </c>
      <c r="V392" t="s">
        <v>230</v>
      </c>
      <c r="W392" t="s">
        <v>156</v>
      </c>
      <c r="Y392" t="s">
        <v>272</v>
      </c>
      <c r="AA392">
        <v>1</v>
      </c>
      <c r="AB392" t="s">
        <v>100</v>
      </c>
      <c r="AC392" t="s">
        <v>225</v>
      </c>
      <c r="AE392" t="str">
        <f t="shared" si="6"/>
        <v>NoratWelker</v>
      </c>
      <c r="AF392">
        <v>0</v>
      </c>
      <c r="AG392">
        <v>0</v>
      </c>
      <c r="AH392">
        <v>1</v>
      </c>
      <c r="AI392">
        <v>0</v>
      </c>
      <c r="AJ392">
        <v>0</v>
      </c>
      <c r="AK392" t="s">
        <v>226</v>
      </c>
      <c r="AL392">
        <v>0.65476190476190499</v>
      </c>
      <c r="AM392" t="s">
        <v>227</v>
      </c>
      <c r="AN392">
        <v>0.5</v>
      </c>
    </row>
    <row r="393" spans="2:40" ht="15" customHeight="1" x14ac:dyDescent="0.2">
      <c r="B393">
        <v>4</v>
      </c>
      <c r="C393">
        <v>4</v>
      </c>
      <c r="D393">
        <v>7</v>
      </c>
      <c r="E393" t="s">
        <v>412</v>
      </c>
      <c r="F393" t="s">
        <v>400</v>
      </c>
      <c r="G393" s="15">
        <v>43685</v>
      </c>
      <c r="H393" t="s">
        <v>144</v>
      </c>
      <c r="I393" t="s">
        <v>401</v>
      </c>
      <c r="J393" t="s">
        <v>402</v>
      </c>
      <c r="K393">
        <v>9</v>
      </c>
      <c r="L393" t="s">
        <v>112</v>
      </c>
      <c r="M393" t="s">
        <v>403</v>
      </c>
      <c r="N393" t="s">
        <v>404</v>
      </c>
      <c r="O393">
        <v>73.400000000000006</v>
      </c>
      <c r="P393">
        <v>138</v>
      </c>
      <c r="Q393">
        <v>6454</v>
      </c>
      <c r="R393" t="s">
        <v>115</v>
      </c>
      <c r="S393" t="s">
        <v>116</v>
      </c>
      <c r="T393" t="s">
        <v>405</v>
      </c>
      <c r="U393" t="s">
        <v>406</v>
      </c>
      <c r="V393" t="s">
        <v>226</v>
      </c>
      <c r="W393" t="s">
        <v>114</v>
      </c>
      <c r="Y393" t="s">
        <v>227</v>
      </c>
      <c r="AA393">
        <v>1</v>
      </c>
      <c r="AB393" t="s">
        <v>99</v>
      </c>
      <c r="AC393" t="s">
        <v>225</v>
      </c>
      <c r="AE393" t="str">
        <f t="shared" si="6"/>
        <v>GrayZimmer</v>
      </c>
      <c r="AF393">
        <v>1</v>
      </c>
      <c r="AG393">
        <v>1</v>
      </c>
      <c r="AH393">
        <v>0</v>
      </c>
      <c r="AI393">
        <v>0</v>
      </c>
      <c r="AJ393">
        <v>1</v>
      </c>
      <c r="AK393" t="s">
        <v>230</v>
      </c>
      <c r="AL393">
        <v>0.52777777777777801</v>
      </c>
      <c r="AM393" t="s">
        <v>272</v>
      </c>
      <c r="AN393">
        <v>0.51041666666666696</v>
      </c>
    </row>
    <row r="394" spans="2:40" ht="15" customHeight="1" x14ac:dyDescent="0.2">
      <c r="B394">
        <v>5</v>
      </c>
      <c r="C394">
        <v>5</v>
      </c>
      <c r="D394">
        <v>7</v>
      </c>
      <c r="E394" t="s">
        <v>413</v>
      </c>
      <c r="F394" t="s">
        <v>400</v>
      </c>
      <c r="G394" s="15">
        <v>43685</v>
      </c>
      <c r="H394" t="s">
        <v>144</v>
      </c>
      <c r="I394" t="s">
        <v>401</v>
      </c>
      <c r="J394" t="s">
        <v>402</v>
      </c>
      <c r="K394">
        <v>9</v>
      </c>
      <c r="L394" t="s">
        <v>112</v>
      </c>
      <c r="M394" t="s">
        <v>403</v>
      </c>
      <c r="N394" t="s">
        <v>404</v>
      </c>
      <c r="O394">
        <v>73.400000000000006</v>
      </c>
      <c r="P394">
        <v>138</v>
      </c>
      <c r="Q394">
        <v>6454</v>
      </c>
      <c r="R394" t="s">
        <v>115</v>
      </c>
      <c r="S394" t="s">
        <v>116</v>
      </c>
      <c r="T394" t="s">
        <v>405</v>
      </c>
      <c r="U394" t="s">
        <v>406</v>
      </c>
      <c r="V394" t="s">
        <v>693</v>
      </c>
      <c r="W394" t="s">
        <v>114</v>
      </c>
      <c r="Y394" t="s">
        <v>178</v>
      </c>
      <c r="AA394">
        <v>1</v>
      </c>
      <c r="AB394" t="s">
        <v>100</v>
      </c>
      <c r="AC394" t="s">
        <v>239</v>
      </c>
      <c r="AE394" t="str">
        <f t="shared" si="6"/>
        <v>BussiculoConnors</v>
      </c>
      <c r="AF394">
        <v>0</v>
      </c>
      <c r="AG394">
        <v>0</v>
      </c>
      <c r="AH394">
        <v>1</v>
      </c>
      <c r="AI394">
        <v>0</v>
      </c>
      <c r="AJ394">
        <v>0</v>
      </c>
      <c r="AK394" t="s">
        <v>133</v>
      </c>
      <c r="AL394">
        <v>0.38392857142857201</v>
      </c>
      <c r="AM394" t="s">
        <v>130</v>
      </c>
      <c r="AN394">
        <v>0.48611111111111099</v>
      </c>
    </row>
    <row r="395" spans="2:40" ht="15" customHeight="1" x14ac:dyDescent="0.2">
      <c r="B395">
        <v>5</v>
      </c>
      <c r="C395">
        <v>5</v>
      </c>
      <c r="D395">
        <v>7</v>
      </c>
      <c r="E395" t="s">
        <v>413</v>
      </c>
      <c r="F395" t="s">
        <v>400</v>
      </c>
      <c r="G395" s="15">
        <v>43685</v>
      </c>
      <c r="H395" t="s">
        <v>144</v>
      </c>
      <c r="I395" t="s">
        <v>401</v>
      </c>
      <c r="J395" t="s">
        <v>402</v>
      </c>
      <c r="K395">
        <v>9</v>
      </c>
      <c r="L395" t="s">
        <v>112</v>
      </c>
      <c r="M395" t="s">
        <v>403</v>
      </c>
      <c r="N395" t="s">
        <v>404</v>
      </c>
      <c r="O395">
        <v>73.400000000000006</v>
      </c>
      <c r="P395">
        <v>138</v>
      </c>
      <c r="Q395">
        <v>6454</v>
      </c>
      <c r="R395" t="s">
        <v>115</v>
      </c>
      <c r="S395" t="s">
        <v>116</v>
      </c>
      <c r="T395" t="s">
        <v>407</v>
      </c>
      <c r="U395" t="s">
        <v>408</v>
      </c>
      <c r="V395" t="s">
        <v>133</v>
      </c>
      <c r="W395" t="s">
        <v>156</v>
      </c>
      <c r="Y395" t="s">
        <v>130</v>
      </c>
      <c r="AA395">
        <v>1</v>
      </c>
      <c r="AB395" t="s">
        <v>99</v>
      </c>
      <c r="AC395" t="s">
        <v>239</v>
      </c>
      <c r="AE395" t="str">
        <f t="shared" si="6"/>
        <v>MangoldPoirier</v>
      </c>
      <c r="AF395">
        <v>1</v>
      </c>
      <c r="AG395">
        <v>1</v>
      </c>
      <c r="AH395">
        <v>0</v>
      </c>
      <c r="AI395">
        <v>0</v>
      </c>
      <c r="AJ395">
        <v>1</v>
      </c>
      <c r="AK395" t="s">
        <v>693</v>
      </c>
      <c r="AL395">
        <v>0.44827586206896602</v>
      </c>
      <c r="AM395" t="s">
        <v>178</v>
      </c>
      <c r="AN395">
        <v>0.34745762711864397</v>
      </c>
    </row>
    <row r="396" spans="2:40" ht="15" customHeight="1" x14ac:dyDescent="0.2">
      <c r="B396">
        <v>6</v>
      </c>
      <c r="C396">
        <v>1</v>
      </c>
      <c r="D396">
        <v>7</v>
      </c>
      <c r="E396" t="s">
        <v>414</v>
      </c>
      <c r="F396" t="s">
        <v>400</v>
      </c>
      <c r="G396" s="15">
        <v>43685</v>
      </c>
      <c r="H396" t="s">
        <v>144</v>
      </c>
      <c r="I396" t="s">
        <v>401</v>
      </c>
      <c r="J396" t="s">
        <v>402</v>
      </c>
      <c r="K396">
        <v>9</v>
      </c>
      <c r="L396" t="s">
        <v>137</v>
      </c>
      <c r="M396" t="s">
        <v>403</v>
      </c>
      <c r="N396" t="s">
        <v>404</v>
      </c>
      <c r="O396">
        <v>73.400000000000006</v>
      </c>
      <c r="P396">
        <v>138</v>
      </c>
      <c r="Q396">
        <v>6454</v>
      </c>
      <c r="R396" t="s">
        <v>368</v>
      </c>
      <c r="S396" t="s">
        <v>116</v>
      </c>
      <c r="T396" t="s">
        <v>405</v>
      </c>
      <c r="U396" t="s">
        <v>406</v>
      </c>
      <c r="V396" t="s">
        <v>119</v>
      </c>
      <c r="W396" t="s">
        <v>114</v>
      </c>
      <c r="Y396" t="s">
        <v>118</v>
      </c>
      <c r="AA396">
        <v>1</v>
      </c>
      <c r="AB396" t="s">
        <v>99</v>
      </c>
      <c r="AC396" t="s">
        <v>239</v>
      </c>
      <c r="AE396" t="str">
        <f t="shared" si="6"/>
        <v>GriseJackson</v>
      </c>
      <c r="AF396">
        <v>1</v>
      </c>
      <c r="AG396">
        <v>1</v>
      </c>
      <c r="AH396">
        <v>0</v>
      </c>
      <c r="AI396">
        <v>0</v>
      </c>
      <c r="AJ396">
        <v>1</v>
      </c>
      <c r="AK396" t="s">
        <v>1308</v>
      </c>
      <c r="AL396">
        <v>0.59375</v>
      </c>
      <c r="AM396" t="s">
        <v>172</v>
      </c>
      <c r="AN396">
        <v>0.37288135593220301</v>
      </c>
    </row>
    <row r="397" spans="2:40" ht="15" customHeight="1" x14ac:dyDescent="0.2">
      <c r="B397">
        <v>6</v>
      </c>
      <c r="C397">
        <v>1</v>
      </c>
      <c r="D397">
        <v>7</v>
      </c>
      <c r="E397" t="s">
        <v>414</v>
      </c>
      <c r="F397" t="s">
        <v>400</v>
      </c>
      <c r="G397" s="15">
        <v>43685</v>
      </c>
      <c r="H397" t="s">
        <v>144</v>
      </c>
      <c r="I397" t="s">
        <v>401</v>
      </c>
      <c r="J397" t="s">
        <v>402</v>
      </c>
      <c r="K397">
        <v>9</v>
      </c>
      <c r="L397" t="s">
        <v>137</v>
      </c>
      <c r="M397" t="s">
        <v>403</v>
      </c>
      <c r="N397" t="s">
        <v>404</v>
      </c>
      <c r="O397">
        <v>73.400000000000006</v>
      </c>
      <c r="P397">
        <v>138</v>
      </c>
      <c r="Q397">
        <v>6454</v>
      </c>
      <c r="R397" t="s">
        <v>368</v>
      </c>
      <c r="S397" t="s">
        <v>116</v>
      </c>
      <c r="T397" t="s">
        <v>407</v>
      </c>
      <c r="U397" t="s">
        <v>408</v>
      </c>
      <c r="V397" t="s">
        <v>1308</v>
      </c>
      <c r="W397" t="s">
        <v>156</v>
      </c>
      <c r="Y397" t="s">
        <v>172</v>
      </c>
      <c r="AA397">
        <v>1</v>
      </c>
      <c r="AB397" t="s">
        <v>100</v>
      </c>
      <c r="AC397" t="s">
        <v>239</v>
      </c>
      <c r="AE397" t="str">
        <f t="shared" si="6"/>
        <v>ConnollyFogan</v>
      </c>
      <c r="AF397">
        <v>0</v>
      </c>
      <c r="AG397">
        <v>0</v>
      </c>
      <c r="AH397">
        <v>1</v>
      </c>
      <c r="AI397">
        <v>0</v>
      </c>
      <c r="AJ397">
        <v>0</v>
      </c>
      <c r="AK397" t="s">
        <v>119</v>
      </c>
      <c r="AL397">
        <v>0.546875</v>
      </c>
      <c r="AM397" t="s">
        <v>118</v>
      </c>
      <c r="AN397">
        <v>0.6171875</v>
      </c>
    </row>
    <row r="398" spans="2:40" ht="15" customHeight="1" x14ac:dyDescent="0.2">
      <c r="B398">
        <v>7</v>
      </c>
      <c r="C398">
        <v>2</v>
      </c>
      <c r="D398">
        <v>7</v>
      </c>
      <c r="E398" t="s">
        <v>415</v>
      </c>
      <c r="F398" t="s">
        <v>400</v>
      </c>
      <c r="G398" s="15">
        <v>43685</v>
      </c>
      <c r="H398" t="s">
        <v>144</v>
      </c>
      <c r="I398" t="s">
        <v>401</v>
      </c>
      <c r="J398" t="s">
        <v>402</v>
      </c>
      <c r="K398">
        <v>9</v>
      </c>
      <c r="L398" t="s">
        <v>137</v>
      </c>
      <c r="M398" t="s">
        <v>403</v>
      </c>
      <c r="N398" t="s">
        <v>404</v>
      </c>
      <c r="O398">
        <v>73.400000000000006</v>
      </c>
      <c r="P398">
        <v>138</v>
      </c>
      <c r="Q398">
        <v>6454</v>
      </c>
      <c r="R398" t="s">
        <v>368</v>
      </c>
      <c r="S398" t="s">
        <v>116</v>
      </c>
      <c r="T398" t="s">
        <v>407</v>
      </c>
      <c r="U398" t="s">
        <v>408</v>
      </c>
      <c r="V398" t="s">
        <v>231</v>
      </c>
      <c r="W398" t="s">
        <v>156</v>
      </c>
      <c r="Y398" t="s">
        <v>135</v>
      </c>
      <c r="AA398">
        <v>1</v>
      </c>
      <c r="AB398" t="s">
        <v>100</v>
      </c>
      <c r="AC398" t="s">
        <v>239</v>
      </c>
      <c r="AE398" t="str">
        <f t="shared" si="6"/>
        <v>McInerneyShively</v>
      </c>
      <c r="AF398">
        <v>0</v>
      </c>
      <c r="AG398">
        <v>0</v>
      </c>
      <c r="AH398">
        <v>1</v>
      </c>
      <c r="AI398">
        <v>0</v>
      </c>
      <c r="AJ398">
        <v>0</v>
      </c>
      <c r="AK398" t="s">
        <v>127</v>
      </c>
      <c r="AL398">
        <v>0.59523809523809501</v>
      </c>
      <c r="AM398" t="s">
        <v>132</v>
      </c>
      <c r="AN398">
        <v>0.4296875</v>
      </c>
    </row>
    <row r="399" spans="2:40" ht="15" customHeight="1" x14ac:dyDescent="0.2">
      <c r="B399">
        <v>7</v>
      </c>
      <c r="C399">
        <v>2</v>
      </c>
      <c r="D399">
        <v>7</v>
      </c>
      <c r="E399" t="s">
        <v>415</v>
      </c>
      <c r="F399" t="s">
        <v>400</v>
      </c>
      <c r="G399" s="15">
        <v>43685</v>
      </c>
      <c r="H399" t="s">
        <v>144</v>
      </c>
      <c r="I399" t="s">
        <v>401</v>
      </c>
      <c r="J399" t="s">
        <v>402</v>
      </c>
      <c r="K399">
        <v>9</v>
      </c>
      <c r="L399" t="s">
        <v>137</v>
      </c>
      <c r="M399" t="s">
        <v>403</v>
      </c>
      <c r="N399" t="s">
        <v>404</v>
      </c>
      <c r="O399">
        <v>73.400000000000006</v>
      </c>
      <c r="P399">
        <v>138</v>
      </c>
      <c r="Q399">
        <v>6454</v>
      </c>
      <c r="R399" t="s">
        <v>368</v>
      </c>
      <c r="S399" t="s">
        <v>116</v>
      </c>
      <c r="T399" t="s">
        <v>405</v>
      </c>
      <c r="U399" t="s">
        <v>406</v>
      </c>
      <c r="V399" t="s">
        <v>127</v>
      </c>
      <c r="W399" t="s">
        <v>114</v>
      </c>
      <c r="Y399" t="s">
        <v>132</v>
      </c>
      <c r="AA399">
        <v>1</v>
      </c>
      <c r="AB399" t="s">
        <v>99</v>
      </c>
      <c r="AC399" t="s">
        <v>239</v>
      </c>
      <c r="AE399" t="str">
        <f t="shared" si="6"/>
        <v>FerrinFlanders</v>
      </c>
      <c r="AF399">
        <v>1</v>
      </c>
      <c r="AG399">
        <v>1</v>
      </c>
      <c r="AH399">
        <v>0</v>
      </c>
      <c r="AI399">
        <v>0</v>
      </c>
      <c r="AJ399">
        <v>1</v>
      </c>
      <c r="AK399" t="s">
        <v>231</v>
      </c>
      <c r="AL399">
        <v>0.5</v>
      </c>
      <c r="AM399" t="s">
        <v>135</v>
      </c>
    </row>
    <row r="400" spans="2:40" ht="15" customHeight="1" x14ac:dyDescent="0.2">
      <c r="B400">
        <v>8</v>
      </c>
      <c r="C400">
        <v>3</v>
      </c>
      <c r="D400">
        <v>7</v>
      </c>
      <c r="E400" t="s">
        <v>416</v>
      </c>
      <c r="F400" t="s">
        <v>400</v>
      </c>
      <c r="G400" s="15">
        <v>43685</v>
      </c>
      <c r="H400" t="s">
        <v>144</v>
      </c>
      <c r="I400" t="s">
        <v>401</v>
      </c>
      <c r="J400" t="s">
        <v>402</v>
      </c>
      <c r="K400">
        <v>9</v>
      </c>
      <c r="L400" t="s">
        <v>137</v>
      </c>
      <c r="M400" t="s">
        <v>403</v>
      </c>
      <c r="N400" t="s">
        <v>404</v>
      </c>
      <c r="O400">
        <v>73.400000000000006</v>
      </c>
      <c r="P400">
        <v>138</v>
      </c>
      <c r="Q400">
        <v>6454</v>
      </c>
      <c r="R400" t="s">
        <v>368</v>
      </c>
      <c r="S400" t="s">
        <v>116</v>
      </c>
      <c r="T400" t="s">
        <v>405</v>
      </c>
      <c r="U400" t="s">
        <v>406</v>
      </c>
      <c r="V400" t="s">
        <v>179</v>
      </c>
      <c r="W400" t="s">
        <v>114</v>
      </c>
      <c r="Y400" t="s">
        <v>123</v>
      </c>
      <c r="AA400">
        <v>1</v>
      </c>
      <c r="AB400" t="s">
        <v>100</v>
      </c>
      <c r="AC400" t="s">
        <v>222</v>
      </c>
      <c r="AE400" t="str">
        <f t="shared" si="6"/>
        <v>ColeLynch</v>
      </c>
      <c r="AF400">
        <v>0</v>
      </c>
      <c r="AG400">
        <v>0</v>
      </c>
      <c r="AH400">
        <v>1</v>
      </c>
      <c r="AI400">
        <v>0</v>
      </c>
      <c r="AJ400">
        <v>0</v>
      </c>
      <c r="AK400" t="s">
        <v>176</v>
      </c>
      <c r="AL400">
        <v>0.59649122807017496</v>
      </c>
      <c r="AM400" t="s">
        <v>122</v>
      </c>
      <c r="AN400">
        <v>0.47321428571428598</v>
      </c>
    </row>
    <row r="401" spans="2:40" ht="15" customHeight="1" x14ac:dyDescent="0.2">
      <c r="B401">
        <v>8</v>
      </c>
      <c r="C401">
        <v>3</v>
      </c>
      <c r="D401">
        <v>7</v>
      </c>
      <c r="E401" t="s">
        <v>416</v>
      </c>
      <c r="F401" t="s">
        <v>400</v>
      </c>
      <c r="G401" s="15">
        <v>43685</v>
      </c>
      <c r="H401" t="s">
        <v>144</v>
      </c>
      <c r="I401" t="s">
        <v>401</v>
      </c>
      <c r="J401" t="s">
        <v>402</v>
      </c>
      <c r="K401">
        <v>9</v>
      </c>
      <c r="L401" t="s">
        <v>137</v>
      </c>
      <c r="M401" t="s">
        <v>403</v>
      </c>
      <c r="N401" t="s">
        <v>404</v>
      </c>
      <c r="O401">
        <v>73.400000000000006</v>
      </c>
      <c r="P401">
        <v>138</v>
      </c>
      <c r="Q401">
        <v>6454</v>
      </c>
      <c r="R401" t="s">
        <v>368</v>
      </c>
      <c r="S401" t="s">
        <v>116</v>
      </c>
      <c r="T401" t="s">
        <v>407</v>
      </c>
      <c r="U401" t="s">
        <v>408</v>
      </c>
      <c r="V401" t="s">
        <v>176</v>
      </c>
      <c r="W401" t="s">
        <v>156</v>
      </c>
      <c r="Y401" t="s">
        <v>122</v>
      </c>
      <c r="AA401">
        <v>1</v>
      </c>
      <c r="AB401" t="s">
        <v>99</v>
      </c>
      <c r="AC401" t="s">
        <v>222</v>
      </c>
      <c r="AE401" t="str">
        <f t="shared" si="6"/>
        <v>ForsterHilts</v>
      </c>
      <c r="AF401">
        <v>1</v>
      </c>
      <c r="AG401">
        <v>1</v>
      </c>
      <c r="AH401">
        <v>0</v>
      </c>
      <c r="AI401">
        <v>0</v>
      </c>
      <c r="AJ401">
        <v>1</v>
      </c>
      <c r="AK401" t="s">
        <v>179</v>
      </c>
      <c r="AL401">
        <v>0.44067796610169502</v>
      </c>
      <c r="AM401" t="s">
        <v>123</v>
      </c>
      <c r="AN401">
        <v>0.5546875</v>
      </c>
    </row>
    <row r="402" spans="2:40" ht="15" customHeight="1" x14ac:dyDescent="0.2">
      <c r="B402">
        <v>9</v>
      </c>
      <c r="C402">
        <v>4</v>
      </c>
      <c r="D402">
        <v>7</v>
      </c>
      <c r="E402" t="s">
        <v>417</v>
      </c>
      <c r="F402" t="s">
        <v>400</v>
      </c>
      <c r="G402" s="15">
        <v>43685</v>
      </c>
      <c r="H402" t="s">
        <v>144</v>
      </c>
      <c r="I402" t="s">
        <v>401</v>
      </c>
      <c r="J402" t="s">
        <v>402</v>
      </c>
      <c r="K402">
        <v>9</v>
      </c>
      <c r="L402" t="s">
        <v>137</v>
      </c>
      <c r="M402" t="s">
        <v>403</v>
      </c>
      <c r="N402" t="s">
        <v>404</v>
      </c>
      <c r="O402">
        <v>73.400000000000006</v>
      </c>
      <c r="P402">
        <v>138</v>
      </c>
      <c r="Q402">
        <v>6454</v>
      </c>
      <c r="R402" t="s">
        <v>368</v>
      </c>
      <c r="S402" t="s">
        <v>116</v>
      </c>
      <c r="T402" t="s">
        <v>407</v>
      </c>
      <c r="U402" t="s">
        <v>408</v>
      </c>
      <c r="V402" t="s">
        <v>230</v>
      </c>
      <c r="W402" t="s">
        <v>156</v>
      </c>
      <c r="Y402" t="s">
        <v>272</v>
      </c>
      <c r="AA402">
        <v>1</v>
      </c>
      <c r="AB402" t="s">
        <v>101</v>
      </c>
      <c r="AC402" t="s">
        <v>139</v>
      </c>
      <c r="AE402" t="str">
        <f t="shared" si="6"/>
        <v>NoratWelker</v>
      </c>
      <c r="AF402">
        <v>0.5</v>
      </c>
      <c r="AG402">
        <v>0</v>
      </c>
      <c r="AH402">
        <v>0</v>
      </c>
      <c r="AI402">
        <v>1</v>
      </c>
      <c r="AJ402">
        <v>0.5</v>
      </c>
      <c r="AK402" t="s">
        <v>226</v>
      </c>
      <c r="AL402">
        <v>0.65476190476190499</v>
      </c>
      <c r="AM402" t="s">
        <v>227</v>
      </c>
      <c r="AN402">
        <v>0.5</v>
      </c>
    </row>
    <row r="403" spans="2:40" ht="15" customHeight="1" x14ac:dyDescent="0.2">
      <c r="B403">
        <v>9</v>
      </c>
      <c r="C403">
        <v>4</v>
      </c>
      <c r="D403">
        <v>7</v>
      </c>
      <c r="E403" t="s">
        <v>417</v>
      </c>
      <c r="F403" t="s">
        <v>400</v>
      </c>
      <c r="G403" s="15">
        <v>43685</v>
      </c>
      <c r="H403" t="s">
        <v>144</v>
      </c>
      <c r="I403" t="s">
        <v>401</v>
      </c>
      <c r="J403" t="s">
        <v>402</v>
      </c>
      <c r="K403">
        <v>9</v>
      </c>
      <c r="L403" t="s">
        <v>137</v>
      </c>
      <c r="M403" t="s">
        <v>403</v>
      </c>
      <c r="N403" t="s">
        <v>404</v>
      </c>
      <c r="O403">
        <v>73.400000000000006</v>
      </c>
      <c r="P403">
        <v>138</v>
      </c>
      <c r="Q403">
        <v>6454</v>
      </c>
      <c r="R403" t="s">
        <v>368</v>
      </c>
      <c r="S403" t="s">
        <v>116</v>
      </c>
      <c r="T403" t="s">
        <v>405</v>
      </c>
      <c r="U403" t="s">
        <v>406</v>
      </c>
      <c r="V403" t="s">
        <v>226</v>
      </c>
      <c r="W403" t="s">
        <v>114</v>
      </c>
      <c r="Y403" t="s">
        <v>227</v>
      </c>
      <c r="AA403">
        <v>1</v>
      </c>
      <c r="AB403" t="s">
        <v>101</v>
      </c>
      <c r="AC403" t="s">
        <v>139</v>
      </c>
      <c r="AE403" t="str">
        <f t="shared" si="6"/>
        <v>GrayZimmer</v>
      </c>
      <c r="AF403">
        <v>0.5</v>
      </c>
      <c r="AG403">
        <v>0</v>
      </c>
      <c r="AH403">
        <v>0</v>
      </c>
      <c r="AI403">
        <v>1</v>
      </c>
      <c r="AJ403">
        <v>0.5</v>
      </c>
      <c r="AK403" t="s">
        <v>230</v>
      </c>
      <c r="AL403">
        <v>0.52777777777777801</v>
      </c>
      <c r="AM403" t="s">
        <v>272</v>
      </c>
      <c r="AN403">
        <v>0.51041666666666696</v>
      </c>
    </row>
    <row r="404" spans="2:40" ht="15" customHeight="1" x14ac:dyDescent="0.2">
      <c r="B404">
        <v>10</v>
      </c>
      <c r="C404">
        <v>5</v>
      </c>
      <c r="D404">
        <v>7</v>
      </c>
      <c r="E404" t="s">
        <v>418</v>
      </c>
      <c r="F404" t="s">
        <v>400</v>
      </c>
      <c r="G404" s="15">
        <v>43685</v>
      </c>
      <c r="H404" t="s">
        <v>144</v>
      </c>
      <c r="I404" t="s">
        <v>401</v>
      </c>
      <c r="J404" t="s">
        <v>402</v>
      </c>
      <c r="K404">
        <v>9</v>
      </c>
      <c r="L404" t="s">
        <v>137</v>
      </c>
      <c r="M404" t="s">
        <v>403</v>
      </c>
      <c r="N404" t="s">
        <v>404</v>
      </c>
      <c r="O404">
        <v>73.400000000000006</v>
      </c>
      <c r="P404">
        <v>138</v>
      </c>
      <c r="Q404">
        <v>6454</v>
      </c>
      <c r="R404" t="s">
        <v>368</v>
      </c>
      <c r="S404" t="s">
        <v>116</v>
      </c>
      <c r="T404" t="s">
        <v>405</v>
      </c>
      <c r="U404" t="s">
        <v>406</v>
      </c>
      <c r="V404" t="s">
        <v>693</v>
      </c>
      <c r="W404" t="s">
        <v>114</v>
      </c>
      <c r="Y404" t="s">
        <v>178</v>
      </c>
      <c r="AA404">
        <v>1</v>
      </c>
      <c r="AB404" t="s">
        <v>101</v>
      </c>
      <c r="AC404" t="s">
        <v>139</v>
      </c>
      <c r="AE404" t="str">
        <f t="shared" si="6"/>
        <v>BussiculoConnors</v>
      </c>
      <c r="AF404">
        <v>0.5</v>
      </c>
      <c r="AG404">
        <v>0</v>
      </c>
      <c r="AH404">
        <v>0</v>
      </c>
      <c r="AI404">
        <v>1</v>
      </c>
      <c r="AJ404">
        <v>0.5</v>
      </c>
      <c r="AK404" t="s">
        <v>133</v>
      </c>
      <c r="AL404">
        <v>0.38392857142857201</v>
      </c>
      <c r="AM404" t="s">
        <v>130</v>
      </c>
      <c r="AN404">
        <v>0.48611111111111099</v>
      </c>
    </row>
    <row r="405" spans="2:40" ht="15" customHeight="1" x14ac:dyDescent="0.2">
      <c r="B405">
        <v>10</v>
      </c>
      <c r="C405">
        <v>5</v>
      </c>
      <c r="D405">
        <v>7</v>
      </c>
      <c r="E405" t="s">
        <v>418</v>
      </c>
      <c r="F405" t="s">
        <v>400</v>
      </c>
      <c r="G405" s="15">
        <v>43685</v>
      </c>
      <c r="H405" t="s">
        <v>144</v>
      </c>
      <c r="I405" t="s">
        <v>401</v>
      </c>
      <c r="J405" t="s">
        <v>402</v>
      </c>
      <c r="K405">
        <v>9</v>
      </c>
      <c r="L405" t="s">
        <v>137</v>
      </c>
      <c r="M405" t="s">
        <v>403</v>
      </c>
      <c r="N405" t="s">
        <v>404</v>
      </c>
      <c r="O405">
        <v>73.400000000000006</v>
      </c>
      <c r="P405">
        <v>138</v>
      </c>
      <c r="Q405">
        <v>6454</v>
      </c>
      <c r="R405" t="s">
        <v>368</v>
      </c>
      <c r="S405" t="s">
        <v>116</v>
      </c>
      <c r="T405" t="s">
        <v>407</v>
      </c>
      <c r="U405" t="s">
        <v>408</v>
      </c>
      <c r="V405" t="s">
        <v>133</v>
      </c>
      <c r="W405" t="s">
        <v>156</v>
      </c>
      <c r="Y405" t="s">
        <v>130</v>
      </c>
      <c r="AA405">
        <v>1</v>
      </c>
      <c r="AB405" t="s">
        <v>101</v>
      </c>
      <c r="AC405" t="s">
        <v>139</v>
      </c>
      <c r="AE405" t="str">
        <f t="shared" si="6"/>
        <v>MangoldPoirier</v>
      </c>
      <c r="AF405">
        <v>0.5</v>
      </c>
      <c r="AG405">
        <v>0</v>
      </c>
      <c r="AH405">
        <v>0</v>
      </c>
      <c r="AI405">
        <v>1</v>
      </c>
      <c r="AJ405">
        <v>0.5</v>
      </c>
      <c r="AK405" t="s">
        <v>693</v>
      </c>
      <c r="AL405">
        <v>0.44827586206896602</v>
      </c>
      <c r="AM405" t="s">
        <v>178</v>
      </c>
      <c r="AN405">
        <v>0.34745762711864397</v>
      </c>
    </row>
    <row r="406" spans="2:40" ht="15" customHeight="1" x14ac:dyDescent="0.2">
      <c r="B406">
        <v>11</v>
      </c>
      <c r="C406">
        <v>1</v>
      </c>
      <c r="D406">
        <v>7</v>
      </c>
      <c r="E406" t="s">
        <v>419</v>
      </c>
      <c r="F406" t="s">
        <v>268</v>
      </c>
      <c r="G406" s="15">
        <v>43686</v>
      </c>
      <c r="H406" t="s">
        <v>109</v>
      </c>
      <c r="I406" t="s">
        <v>401</v>
      </c>
      <c r="J406" t="s">
        <v>402</v>
      </c>
      <c r="K406">
        <v>9</v>
      </c>
      <c r="L406" t="s">
        <v>112</v>
      </c>
      <c r="M406" t="s">
        <v>420</v>
      </c>
      <c r="N406" t="s">
        <v>114</v>
      </c>
      <c r="O406">
        <v>71.599999999999994</v>
      </c>
      <c r="P406">
        <v>133</v>
      </c>
      <c r="Q406">
        <v>6123</v>
      </c>
      <c r="R406" t="s">
        <v>115</v>
      </c>
      <c r="S406" t="s">
        <v>116</v>
      </c>
      <c r="T406" t="s">
        <v>405</v>
      </c>
      <c r="U406" t="s">
        <v>406</v>
      </c>
      <c r="V406" t="s">
        <v>179</v>
      </c>
      <c r="W406" t="s">
        <v>156</v>
      </c>
      <c r="Y406" t="s">
        <v>127</v>
      </c>
      <c r="AA406">
        <v>1</v>
      </c>
      <c r="AB406" t="s">
        <v>99</v>
      </c>
      <c r="AC406" t="s">
        <v>410</v>
      </c>
      <c r="AE406" t="str">
        <f t="shared" si="6"/>
        <v>ColeFerrin</v>
      </c>
      <c r="AF406">
        <v>1</v>
      </c>
      <c r="AG406">
        <v>1</v>
      </c>
      <c r="AH406">
        <v>0</v>
      </c>
      <c r="AI406">
        <v>0</v>
      </c>
      <c r="AJ406">
        <v>1</v>
      </c>
      <c r="AK406" t="s">
        <v>122</v>
      </c>
      <c r="AL406">
        <v>0.47321428571428598</v>
      </c>
      <c r="AM406" t="s">
        <v>130</v>
      </c>
      <c r="AN406">
        <v>0.48611111111111099</v>
      </c>
    </row>
    <row r="407" spans="2:40" ht="15" customHeight="1" x14ac:dyDescent="0.2">
      <c r="B407">
        <v>11</v>
      </c>
      <c r="C407">
        <v>1</v>
      </c>
      <c r="D407">
        <v>7</v>
      </c>
      <c r="E407" t="s">
        <v>419</v>
      </c>
      <c r="F407" t="s">
        <v>268</v>
      </c>
      <c r="G407" s="15">
        <v>43686</v>
      </c>
      <c r="H407" t="s">
        <v>109</v>
      </c>
      <c r="I407" t="s">
        <v>401</v>
      </c>
      <c r="J407" t="s">
        <v>402</v>
      </c>
      <c r="K407">
        <v>9</v>
      </c>
      <c r="L407" t="s">
        <v>112</v>
      </c>
      <c r="M407" t="s">
        <v>420</v>
      </c>
      <c r="N407" t="s">
        <v>114</v>
      </c>
      <c r="O407">
        <v>71.599999999999994</v>
      </c>
      <c r="P407">
        <v>133</v>
      </c>
      <c r="Q407">
        <v>6123</v>
      </c>
      <c r="R407" t="s">
        <v>115</v>
      </c>
      <c r="S407" t="s">
        <v>116</v>
      </c>
      <c r="T407" t="s">
        <v>407</v>
      </c>
      <c r="U407" t="s">
        <v>408</v>
      </c>
      <c r="V407" t="s">
        <v>122</v>
      </c>
      <c r="W407" t="s">
        <v>114</v>
      </c>
      <c r="Y407" t="s">
        <v>130</v>
      </c>
      <c r="AA407">
        <v>1</v>
      </c>
      <c r="AB407" t="s">
        <v>100</v>
      </c>
      <c r="AC407" t="s">
        <v>410</v>
      </c>
      <c r="AE407" t="str">
        <f t="shared" si="6"/>
        <v>HiltsPoirier</v>
      </c>
      <c r="AF407">
        <v>0</v>
      </c>
      <c r="AG407">
        <v>0</v>
      </c>
      <c r="AH407">
        <v>1</v>
      </c>
      <c r="AI407">
        <v>0</v>
      </c>
      <c r="AJ407">
        <v>0</v>
      </c>
      <c r="AK407" t="s">
        <v>179</v>
      </c>
      <c r="AL407">
        <v>0.44067796610169502</v>
      </c>
      <c r="AM407" t="s">
        <v>127</v>
      </c>
      <c r="AN407">
        <v>0.59523809523809501</v>
      </c>
    </row>
    <row r="408" spans="2:40" ht="15" customHeight="1" x14ac:dyDescent="0.2">
      <c r="B408">
        <v>12</v>
      </c>
      <c r="C408">
        <v>2</v>
      </c>
      <c r="D408">
        <v>7</v>
      </c>
      <c r="E408" t="s">
        <v>421</v>
      </c>
      <c r="F408" t="s">
        <v>268</v>
      </c>
      <c r="G408" s="15">
        <v>43686</v>
      </c>
      <c r="H408" t="s">
        <v>109</v>
      </c>
      <c r="I408" t="s">
        <v>401</v>
      </c>
      <c r="J408" t="s">
        <v>402</v>
      </c>
      <c r="K408">
        <v>9</v>
      </c>
      <c r="L408" t="s">
        <v>112</v>
      </c>
      <c r="M408" t="s">
        <v>420</v>
      </c>
      <c r="N408" t="s">
        <v>114</v>
      </c>
      <c r="O408">
        <v>71.599999999999994</v>
      </c>
      <c r="P408">
        <v>133</v>
      </c>
      <c r="Q408">
        <v>6123</v>
      </c>
      <c r="R408" t="s">
        <v>115</v>
      </c>
      <c r="S408" t="s">
        <v>116</v>
      </c>
      <c r="T408" t="s">
        <v>407</v>
      </c>
      <c r="U408" t="s">
        <v>408</v>
      </c>
      <c r="V408" t="s">
        <v>1308</v>
      </c>
      <c r="W408" t="s">
        <v>114</v>
      </c>
      <c r="Y408" t="s">
        <v>133</v>
      </c>
      <c r="AA408">
        <v>1</v>
      </c>
      <c r="AB408" t="s">
        <v>100</v>
      </c>
      <c r="AC408" t="s">
        <v>222</v>
      </c>
      <c r="AE408" t="str">
        <f t="shared" si="6"/>
        <v>ConnollyMangold</v>
      </c>
      <c r="AF408">
        <v>0</v>
      </c>
      <c r="AG408">
        <v>0</v>
      </c>
      <c r="AH408">
        <v>1</v>
      </c>
      <c r="AI408">
        <v>0</v>
      </c>
      <c r="AJ408">
        <v>0</v>
      </c>
      <c r="AK408" t="s">
        <v>226</v>
      </c>
      <c r="AL408">
        <v>0.65476190476190499</v>
      </c>
      <c r="AM408" t="s">
        <v>119</v>
      </c>
      <c r="AN408">
        <v>0.546875</v>
      </c>
    </row>
    <row r="409" spans="2:40" ht="15" customHeight="1" x14ac:dyDescent="0.2">
      <c r="B409">
        <v>12</v>
      </c>
      <c r="C409">
        <v>2</v>
      </c>
      <c r="D409">
        <v>7</v>
      </c>
      <c r="E409" t="s">
        <v>421</v>
      </c>
      <c r="F409" t="s">
        <v>268</v>
      </c>
      <c r="G409" s="15">
        <v>43686</v>
      </c>
      <c r="H409" t="s">
        <v>109</v>
      </c>
      <c r="I409" t="s">
        <v>401</v>
      </c>
      <c r="J409" t="s">
        <v>402</v>
      </c>
      <c r="K409">
        <v>9</v>
      </c>
      <c r="L409" t="s">
        <v>112</v>
      </c>
      <c r="M409" t="s">
        <v>420</v>
      </c>
      <c r="N409" t="s">
        <v>114</v>
      </c>
      <c r="O409">
        <v>71.599999999999994</v>
      </c>
      <c r="P409">
        <v>133</v>
      </c>
      <c r="Q409">
        <v>6123</v>
      </c>
      <c r="R409" t="s">
        <v>115</v>
      </c>
      <c r="S409" t="s">
        <v>116</v>
      </c>
      <c r="T409" t="s">
        <v>405</v>
      </c>
      <c r="U409" t="s">
        <v>406</v>
      </c>
      <c r="V409" t="s">
        <v>226</v>
      </c>
      <c r="W409" t="s">
        <v>156</v>
      </c>
      <c r="Y409" t="s">
        <v>119</v>
      </c>
      <c r="AA409">
        <v>1</v>
      </c>
      <c r="AB409" t="s">
        <v>99</v>
      </c>
      <c r="AC409" t="s">
        <v>222</v>
      </c>
      <c r="AE409" t="str">
        <f t="shared" si="6"/>
        <v>GrayGrise</v>
      </c>
      <c r="AF409">
        <v>1</v>
      </c>
      <c r="AG409">
        <v>1</v>
      </c>
      <c r="AH409">
        <v>0</v>
      </c>
      <c r="AI409">
        <v>0</v>
      </c>
      <c r="AJ409">
        <v>1</v>
      </c>
      <c r="AK409" t="s">
        <v>1308</v>
      </c>
      <c r="AL409">
        <v>0.59375</v>
      </c>
      <c r="AM409" t="s">
        <v>133</v>
      </c>
      <c r="AN409">
        <v>0.38392857142857201</v>
      </c>
    </row>
    <row r="410" spans="2:40" ht="15" customHeight="1" x14ac:dyDescent="0.2">
      <c r="B410">
        <v>13</v>
      </c>
      <c r="C410">
        <v>3</v>
      </c>
      <c r="D410">
        <v>7</v>
      </c>
      <c r="E410" t="s">
        <v>422</v>
      </c>
      <c r="F410" t="s">
        <v>268</v>
      </c>
      <c r="G410" s="15">
        <v>43686</v>
      </c>
      <c r="H410" t="s">
        <v>109</v>
      </c>
      <c r="I410" t="s">
        <v>401</v>
      </c>
      <c r="J410" t="s">
        <v>402</v>
      </c>
      <c r="K410">
        <v>9</v>
      </c>
      <c r="L410" t="s">
        <v>112</v>
      </c>
      <c r="M410" t="s">
        <v>420</v>
      </c>
      <c r="N410" t="s">
        <v>114</v>
      </c>
      <c r="O410">
        <v>71.599999999999994</v>
      </c>
      <c r="P410">
        <v>133</v>
      </c>
      <c r="Q410">
        <v>6123</v>
      </c>
      <c r="R410" t="s">
        <v>115</v>
      </c>
      <c r="S410" t="s">
        <v>116</v>
      </c>
      <c r="T410" t="s">
        <v>405</v>
      </c>
      <c r="U410" t="s">
        <v>406</v>
      </c>
      <c r="V410" t="s">
        <v>693</v>
      </c>
      <c r="W410" t="s">
        <v>156</v>
      </c>
      <c r="Y410" t="s">
        <v>132</v>
      </c>
      <c r="AA410">
        <v>1</v>
      </c>
      <c r="AB410" t="s">
        <v>101</v>
      </c>
      <c r="AC410" t="s">
        <v>139</v>
      </c>
      <c r="AE410" t="str">
        <f t="shared" si="6"/>
        <v>BussiculoFlanders</v>
      </c>
      <c r="AF410">
        <v>0.5</v>
      </c>
      <c r="AG410">
        <v>0</v>
      </c>
      <c r="AH410">
        <v>0</v>
      </c>
      <c r="AI410">
        <v>1</v>
      </c>
      <c r="AJ410">
        <v>0.5</v>
      </c>
      <c r="AK410" t="s">
        <v>176</v>
      </c>
      <c r="AL410">
        <v>0.59649122807017496</v>
      </c>
      <c r="AM410" t="s">
        <v>230</v>
      </c>
      <c r="AN410">
        <v>0.52777777777777801</v>
      </c>
    </row>
    <row r="411" spans="2:40" ht="15" customHeight="1" x14ac:dyDescent="0.2">
      <c r="B411">
        <v>13</v>
      </c>
      <c r="C411">
        <v>3</v>
      </c>
      <c r="D411">
        <v>7</v>
      </c>
      <c r="E411" t="s">
        <v>422</v>
      </c>
      <c r="F411" t="s">
        <v>268</v>
      </c>
      <c r="G411" s="15">
        <v>43686</v>
      </c>
      <c r="H411" t="s">
        <v>109</v>
      </c>
      <c r="I411" t="s">
        <v>401</v>
      </c>
      <c r="J411" t="s">
        <v>402</v>
      </c>
      <c r="K411">
        <v>9</v>
      </c>
      <c r="L411" t="s">
        <v>112</v>
      </c>
      <c r="M411" t="s">
        <v>420</v>
      </c>
      <c r="N411" t="s">
        <v>114</v>
      </c>
      <c r="O411">
        <v>71.599999999999994</v>
      </c>
      <c r="P411">
        <v>133</v>
      </c>
      <c r="Q411">
        <v>6123</v>
      </c>
      <c r="R411" t="s">
        <v>115</v>
      </c>
      <c r="S411" t="s">
        <v>116</v>
      </c>
      <c r="T411" t="s">
        <v>407</v>
      </c>
      <c r="U411" t="s">
        <v>408</v>
      </c>
      <c r="V411" t="s">
        <v>176</v>
      </c>
      <c r="W411" t="s">
        <v>114</v>
      </c>
      <c r="Y411" t="s">
        <v>230</v>
      </c>
      <c r="AA411">
        <v>1</v>
      </c>
      <c r="AB411" t="s">
        <v>101</v>
      </c>
      <c r="AC411" t="s">
        <v>139</v>
      </c>
      <c r="AE411" t="str">
        <f t="shared" si="6"/>
        <v>ForsterNorat</v>
      </c>
      <c r="AF411">
        <v>0.5</v>
      </c>
      <c r="AG411">
        <v>0</v>
      </c>
      <c r="AH411">
        <v>0</v>
      </c>
      <c r="AI411">
        <v>1</v>
      </c>
      <c r="AJ411">
        <v>0.5</v>
      </c>
      <c r="AK411" t="s">
        <v>693</v>
      </c>
      <c r="AL411">
        <v>0.44827586206896602</v>
      </c>
      <c r="AM411" t="s">
        <v>132</v>
      </c>
      <c r="AN411">
        <v>0.4296875</v>
      </c>
    </row>
    <row r="412" spans="2:40" ht="15" customHeight="1" x14ac:dyDescent="0.2">
      <c r="B412">
        <v>14</v>
      </c>
      <c r="C412">
        <v>4</v>
      </c>
      <c r="D412">
        <v>7</v>
      </c>
      <c r="E412" t="s">
        <v>423</v>
      </c>
      <c r="F412" t="s">
        <v>268</v>
      </c>
      <c r="G412" s="15">
        <v>43686</v>
      </c>
      <c r="H412" t="s">
        <v>109</v>
      </c>
      <c r="I412" t="s">
        <v>401</v>
      </c>
      <c r="J412" t="s">
        <v>402</v>
      </c>
      <c r="K412">
        <v>9</v>
      </c>
      <c r="L412" t="s">
        <v>112</v>
      </c>
      <c r="M412" t="s">
        <v>420</v>
      </c>
      <c r="N412" t="s">
        <v>114</v>
      </c>
      <c r="O412">
        <v>71.599999999999994</v>
      </c>
      <c r="P412">
        <v>133</v>
      </c>
      <c r="Q412">
        <v>6123</v>
      </c>
      <c r="R412" t="s">
        <v>115</v>
      </c>
      <c r="S412" t="s">
        <v>116</v>
      </c>
      <c r="T412" t="s">
        <v>407</v>
      </c>
      <c r="U412" t="s">
        <v>408</v>
      </c>
      <c r="V412" t="s">
        <v>135</v>
      </c>
      <c r="W412" t="s">
        <v>114</v>
      </c>
      <c r="Y412" t="s">
        <v>272</v>
      </c>
      <c r="AA412">
        <v>1</v>
      </c>
      <c r="AB412" t="s">
        <v>99</v>
      </c>
      <c r="AC412" t="s">
        <v>239</v>
      </c>
      <c r="AE412" t="str">
        <f t="shared" si="6"/>
        <v>ShivelyWelker</v>
      </c>
      <c r="AF412">
        <v>1</v>
      </c>
      <c r="AG412">
        <v>1</v>
      </c>
      <c r="AH412">
        <v>0</v>
      </c>
      <c r="AI412">
        <v>0</v>
      </c>
      <c r="AJ412">
        <v>1</v>
      </c>
      <c r="AK412" t="s">
        <v>178</v>
      </c>
      <c r="AL412">
        <v>0.34745762711864397</v>
      </c>
      <c r="AM412" t="s">
        <v>118</v>
      </c>
      <c r="AN412">
        <v>0.6171875</v>
      </c>
    </row>
    <row r="413" spans="2:40" ht="15" customHeight="1" x14ac:dyDescent="0.2">
      <c r="B413">
        <v>14</v>
      </c>
      <c r="C413">
        <v>4</v>
      </c>
      <c r="D413">
        <v>7</v>
      </c>
      <c r="E413" t="s">
        <v>423</v>
      </c>
      <c r="F413" t="s">
        <v>268</v>
      </c>
      <c r="G413" s="15">
        <v>43686</v>
      </c>
      <c r="H413" t="s">
        <v>109</v>
      </c>
      <c r="I413" t="s">
        <v>401</v>
      </c>
      <c r="J413" t="s">
        <v>402</v>
      </c>
      <c r="K413">
        <v>9</v>
      </c>
      <c r="L413" t="s">
        <v>112</v>
      </c>
      <c r="M413" t="s">
        <v>420</v>
      </c>
      <c r="N413" t="s">
        <v>114</v>
      </c>
      <c r="O413">
        <v>71.599999999999994</v>
      </c>
      <c r="P413">
        <v>133</v>
      </c>
      <c r="Q413">
        <v>6123</v>
      </c>
      <c r="R413" t="s">
        <v>115</v>
      </c>
      <c r="S413" t="s">
        <v>116</v>
      </c>
      <c r="T413" t="s">
        <v>405</v>
      </c>
      <c r="U413" t="s">
        <v>406</v>
      </c>
      <c r="V413" t="s">
        <v>178</v>
      </c>
      <c r="W413" t="s">
        <v>156</v>
      </c>
      <c r="Y413" t="s">
        <v>118</v>
      </c>
      <c r="AA413">
        <v>1</v>
      </c>
      <c r="AB413" t="s">
        <v>100</v>
      </c>
      <c r="AC413" t="s">
        <v>276</v>
      </c>
      <c r="AE413" t="str">
        <f t="shared" si="6"/>
        <v>ConnorsJackson</v>
      </c>
      <c r="AF413">
        <v>0</v>
      </c>
      <c r="AG413">
        <v>0</v>
      </c>
      <c r="AH413">
        <v>1</v>
      </c>
      <c r="AI413">
        <v>0</v>
      </c>
      <c r="AJ413">
        <v>0</v>
      </c>
      <c r="AK413" t="s">
        <v>135</v>
      </c>
      <c r="AM413" t="s">
        <v>272</v>
      </c>
      <c r="AN413">
        <v>0.51041666666666696</v>
      </c>
    </row>
    <row r="414" spans="2:40" ht="15" customHeight="1" x14ac:dyDescent="0.2">
      <c r="B414">
        <v>15</v>
      </c>
      <c r="C414">
        <v>5</v>
      </c>
      <c r="D414">
        <v>7</v>
      </c>
      <c r="E414" t="s">
        <v>424</v>
      </c>
      <c r="F414" t="s">
        <v>268</v>
      </c>
      <c r="G414" s="15">
        <v>43686</v>
      </c>
      <c r="H414" t="s">
        <v>109</v>
      </c>
      <c r="I414" t="s">
        <v>401</v>
      </c>
      <c r="J414" t="s">
        <v>402</v>
      </c>
      <c r="K414">
        <v>9</v>
      </c>
      <c r="L414" t="s">
        <v>112</v>
      </c>
      <c r="M414" t="s">
        <v>420</v>
      </c>
      <c r="N414" t="s">
        <v>114</v>
      </c>
      <c r="O414">
        <v>71.599999999999994</v>
      </c>
      <c r="P414">
        <v>133</v>
      </c>
      <c r="Q414">
        <v>6123</v>
      </c>
      <c r="R414" t="s">
        <v>115</v>
      </c>
      <c r="S414" t="s">
        <v>116</v>
      </c>
      <c r="T414" t="s">
        <v>405</v>
      </c>
      <c r="U414" t="s">
        <v>406</v>
      </c>
      <c r="V414" t="s">
        <v>123</v>
      </c>
      <c r="W414" t="s">
        <v>156</v>
      </c>
      <c r="Y414" t="s">
        <v>227</v>
      </c>
      <c r="AA414">
        <v>1</v>
      </c>
      <c r="AB414" t="s">
        <v>99</v>
      </c>
      <c r="AC414" t="s">
        <v>425</v>
      </c>
      <c r="AE414" t="str">
        <f t="shared" si="6"/>
        <v>LynchZimmer</v>
      </c>
      <c r="AF414">
        <v>1</v>
      </c>
      <c r="AG414">
        <v>1</v>
      </c>
      <c r="AH414">
        <v>0</v>
      </c>
      <c r="AI414">
        <v>0</v>
      </c>
      <c r="AJ414">
        <v>1</v>
      </c>
      <c r="AK414" t="s">
        <v>172</v>
      </c>
      <c r="AL414">
        <v>0.37288135593220301</v>
      </c>
      <c r="AM414" t="s">
        <v>231</v>
      </c>
      <c r="AN414">
        <v>0.5</v>
      </c>
    </row>
    <row r="415" spans="2:40" ht="15" customHeight="1" x14ac:dyDescent="0.2">
      <c r="B415">
        <v>15</v>
      </c>
      <c r="C415">
        <v>5</v>
      </c>
      <c r="D415">
        <v>7</v>
      </c>
      <c r="E415" t="s">
        <v>424</v>
      </c>
      <c r="F415" t="s">
        <v>268</v>
      </c>
      <c r="G415" s="15">
        <v>43686</v>
      </c>
      <c r="H415" t="s">
        <v>109</v>
      </c>
      <c r="I415" t="s">
        <v>401</v>
      </c>
      <c r="J415" t="s">
        <v>402</v>
      </c>
      <c r="K415">
        <v>9</v>
      </c>
      <c r="L415" t="s">
        <v>112</v>
      </c>
      <c r="M415" t="s">
        <v>420</v>
      </c>
      <c r="N415" t="s">
        <v>114</v>
      </c>
      <c r="O415">
        <v>71.599999999999994</v>
      </c>
      <c r="P415">
        <v>133</v>
      </c>
      <c r="Q415">
        <v>6123</v>
      </c>
      <c r="R415" t="s">
        <v>115</v>
      </c>
      <c r="S415" t="s">
        <v>116</v>
      </c>
      <c r="T415" t="s">
        <v>407</v>
      </c>
      <c r="U415" t="s">
        <v>408</v>
      </c>
      <c r="V415" t="s">
        <v>172</v>
      </c>
      <c r="W415" t="s">
        <v>114</v>
      </c>
      <c r="Y415" t="s">
        <v>231</v>
      </c>
      <c r="AA415">
        <v>1</v>
      </c>
      <c r="AB415" t="s">
        <v>100</v>
      </c>
      <c r="AC415" t="s">
        <v>425</v>
      </c>
      <c r="AE415" t="str">
        <f t="shared" si="6"/>
        <v>FoganMcInerney</v>
      </c>
      <c r="AF415">
        <v>0</v>
      </c>
      <c r="AG415">
        <v>0</v>
      </c>
      <c r="AH415">
        <v>1</v>
      </c>
      <c r="AI415">
        <v>0</v>
      </c>
      <c r="AJ415">
        <v>0</v>
      </c>
      <c r="AK415" t="s">
        <v>123</v>
      </c>
      <c r="AL415">
        <v>0.5546875</v>
      </c>
      <c r="AM415" t="s">
        <v>227</v>
      </c>
      <c r="AN415">
        <v>0.5</v>
      </c>
    </row>
    <row r="416" spans="2:40" ht="15" customHeight="1" x14ac:dyDescent="0.2">
      <c r="B416">
        <v>16</v>
      </c>
      <c r="C416">
        <v>1</v>
      </c>
      <c r="D416">
        <v>7</v>
      </c>
      <c r="E416" t="s">
        <v>426</v>
      </c>
      <c r="F416" t="s">
        <v>268</v>
      </c>
      <c r="G416" s="15">
        <v>43686</v>
      </c>
      <c r="H416" t="s">
        <v>109</v>
      </c>
      <c r="I416" t="s">
        <v>401</v>
      </c>
      <c r="J416" t="s">
        <v>402</v>
      </c>
      <c r="K416">
        <v>9</v>
      </c>
      <c r="L416" t="s">
        <v>137</v>
      </c>
      <c r="M416" t="s">
        <v>420</v>
      </c>
      <c r="N416" t="s">
        <v>114</v>
      </c>
      <c r="O416">
        <v>71.599999999999994</v>
      </c>
      <c r="P416">
        <v>133</v>
      </c>
      <c r="Q416">
        <v>6123</v>
      </c>
      <c r="R416" t="s">
        <v>368</v>
      </c>
      <c r="S416" t="s">
        <v>116</v>
      </c>
      <c r="T416" t="s">
        <v>405</v>
      </c>
      <c r="U416" t="s">
        <v>406</v>
      </c>
      <c r="V416" t="s">
        <v>179</v>
      </c>
      <c r="W416" t="s">
        <v>156</v>
      </c>
      <c r="Y416" t="s">
        <v>127</v>
      </c>
      <c r="AA416">
        <v>1</v>
      </c>
      <c r="AB416" t="s">
        <v>100</v>
      </c>
      <c r="AC416" t="s">
        <v>222</v>
      </c>
      <c r="AE416" t="str">
        <f t="shared" si="6"/>
        <v>ColeFerrin</v>
      </c>
      <c r="AF416">
        <v>0</v>
      </c>
      <c r="AG416">
        <v>0</v>
      </c>
      <c r="AH416">
        <v>1</v>
      </c>
      <c r="AI416">
        <v>0</v>
      </c>
      <c r="AJ416">
        <v>0</v>
      </c>
      <c r="AK416" t="s">
        <v>122</v>
      </c>
      <c r="AL416">
        <v>0.47321428571428598</v>
      </c>
      <c r="AM416" t="s">
        <v>130</v>
      </c>
      <c r="AN416">
        <v>0.48611111111111099</v>
      </c>
    </row>
    <row r="417" spans="2:40" ht="15" customHeight="1" x14ac:dyDescent="0.2">
      <c r="B417">
        <v>16</v>
      </c>
      <c r="C417">
        <v>1</v>
      </c>
      <c r="D417">
        <v>7</v>
      </c>
      <c r="E417" t="s">
        <v>426</v>
      </c>
      <c r="F417" t="s">
        <v>268</v>
      </c>
      <c r="G417" s="15">
        <v>43686</v>
      </c>
      <c r="H417" t="s">
        <v>109</v>
      </c>
      <c r="I417" t="s">
        <v>401</v>
      </c>
      <c r="J417" t="s">
        <v>402</v>
      </c>
      <c r="K417">
        <v>9</v>
      </c>
      <c r="L417" t="s">
        <v>137</v>
      </c>
      <c r="M417" t="s">
        <v>420</v>
      </c>
      <c r="N417" t="s">
        <v>114</v>
      </c>
      <c r="O417">
        <v>71.599999999999994</v>
      </c>
      <c r="P417">
        <v>133</v>
      </c>
      <c r="Q417">
        <v>6123</v>
      </c>
      <c r="R417" t="s">
        <v>368</v>
      </c>
      <c r="S417" t="s">
        <v>116</v>
      </c>
      <c r="T417" t="s">
        <v>407</v>
      </c>
      <c r="U417" t="s">
        <v>408</v>
      </c>
      <c r="V417" t="s">
        <v>122</v>
      </c>
      <c r="W417" t="s">
        <v>114</v>
      </c>
      <c r="Y417" t="s">
        <v>130</v>
      </c>
      <c r="AA417">
        <v>1</v>
      </c>
      <c r="AB417" t="s">
        <v>99</v>
      </c>
      <c r="AC417" t="s">
        <v>222</v>
      </c>
      <c r="AE417" t="str">
        <f t="shared" si="6"/>
        <v>HiltsPoirier</v>
      </c>
      <c r="AF417">
        <v>1</v>
      </c>
      <c r="AG417">
        <v>1</v>
      </c>
      <c r="AH417">
        <v>0</v>
      </c>
      <c r="AI417">
        <v>0</v>
      </c>
      <c r="AJ417">
        <v>1</v>
      </c>
      <c r="AK417" t="s">
        <v>179</v>
      </c>
      <c r="AL417">
        <v>0.44067796610169502</v>
      </c>
      <c r="AM417" t="s">
        <v>127</v>
      </c>
      <c r="AN417">
        <v>0.59523809523809501</v>
      </c>
    </row>
    <row r="418" spans="2:40" ht="15" customHeight="1" x14ac:dyDescent="0.2">
      <c r="B418">
        <v>17</v>
      </c>
      <c r="C418">
        <v>2</v>
      </c>
      <c r="D418">
        <v>7</v>
      </c>
      <c r="E418" t="s">
        <v>427</v>
      </c>
      <c r="F418" t="s">
        <v>268</v>
      </c>
      <c r="G418" s="15">
        <v>43686</v>
      </c>
      <c r="H418" t="s">
        <v>109</v>
      </c>
      <c r="I418" t="s">
        <v>401</v>
      </c>
      <c r="J418" t="s">
        <v>402</v>
      </c>
      <c r="K418">
        <v>9</v>
      </c>
      <c r="L418" t="s">
        <v>137</v>
      </c>
      <c r="M418" t="s">
        <v>420</v>
      </c>
      <c r="N418" t="s">
        <v>114</v>
      </c>
      <c r="O418">
        <v>71.599999999999994</v>
      </c>
      <c r="P418">
        <v>133</v>
      </c>
      <c r="Q418">
        <v>6123</v>
      </c>
      <c r="R418" t="s">
        <v>368</v>
      </c>
      <c r="S418" t="s">
        <v>116</v>
      </c>
      <c r="T418" t="s">
        <v>407</v>
      </c>
      <c r="U418" t="s">
        <v>408</v>
      </c>
      <c r="V418" t="s">
        <v>1308</v>
      </c>
      <c r="W418" t="s">
        <v>114</v>
      </c>
      <c r="Y418" t="s">
        <v>133</v>
      </c>
      <c r="AA418">
        <v>1</v>
      </c>
      <c r="AB418" t="s">
        <v>100</v>
      </c>
      <c r="AC418" t="s">
        <v>225</v>
      </c>
      <c r="AE418" t="str">
        <f t="shared" si="6"/>
        <v>ConnollyMangold</v>
      </c>
      <c r="AF418">
        <v>0</v>
      </c>
      <c r="AG418">
        <v>0</v>
      </c>
      <c r="AH418">
        <v>1</v>
      </c>
      <c r="AI418">
        <v>0</v>
      </c>
      <c r="AJ418">
        <v>0</v>
      </c>
      <c r="AK418" t="s">
        <v>226</v>
      </c>
      <c r="AL418">
        <v>0.65476190476190499</v>
      </c>
      <c r="AM418" t="s">
        <v>119</v>
      </c>
      <c r="AN418">
        <v>0.546875</v>
      </c>
    </row>
    <row r="419" spans="2:40" ht="15" customHeight="1" x14ac:dyDescent="0.2">
      <c r="B419">
        <v>17</v>
      </c>
      <c r="C419">
        <v>2</v>
      </c>
      <c r="D419">
        <v>7</v>
      </c>
      <c r="E419" t="s">
        <v>427</v>
      </c>
      <c r="F419" t="s">
        <v>268</v>
      </c>
      <c r="G419" s="15">
        <v>43686</v>
      </c>
      <c r="H419" t="s">
        <v>109</v>
      </c>
      <c r="I419" t="s">
        <v>401</v>
      </c>
      <c r="J419" t="s">
        <v>402</v>
      </c>
      <c r="K419">
        <v>9</v>
      </c>
      <c r="L419" t="s">
        <v>137</v>
      </c>
      <c r="M419" t="s">
        <v>420</v>
      </c>
      <c r="N419" t="s">
        <v>114</v>
      </c>
      <c r="O419">
        <v>71.599999999999994</v>
      </c>
      <c r="P419">
        <v>133</v>
      </c>
      <c r="Q419">
        <v>6123</v>
      </c>
      <c r="R419" t="s">
        <v>368</v>
      </c>
      <c r="S419" t="s">
        <v>116</v>
      </c>
      <c r="T419" t="s">
        <v>405</v>
      </c>
      <c r="U419" t="s">
        <v>406</v>
      </c>
      <c r="V419" t="s">
        <v>226</v>
      </c>
      <c r="W419" t="s">
        <v>156</v>
      </c>
      <c r="Y419" t="s">
        <v>119</v>
      </c>
      <c r="AA419">
        <v>1</v>
      </c>
      <c r="AB419" t="s">
        <v>99</v>
      </c>
      <c r="AC419" t="s">
        <v>225</v>
      </c>
      <c r="AE419" t="str">
        <f t="shared" si="6"/>
        <v>GrayGrise</v>
      </c>
      <c r="AF419">
        <v>1</v>
      </c>
      <c r="AG419">
        <v>1</v>
      </c>
      <c r="AH419">
        <v>0</v>
      </c>
      <c r="AI419">
        <v>0</v>
      </c>
      <c r="AJ419">
        <v>1</v>
      </c>
      <c r="AK419" t="s">
        <v>1308</v>
      </c>
      <c r="AL419">
        <v>0.59375</v>
      </c>
      <c r="AM419" t="s">
        <v>133</v>
      </c>
      <c r="AN419">
        <v>0.38392857142857201</v>
      </c>
    </row>
    <row r="420" spans="2:40" ht="15" customHeight="1" x14ac:dyDescent="0.2">
      <c r="B420">
        <v>18</v>
      </c>
      <c r="C420">
        <v>3</v>
      </c>
      <c r="D420">
        <v>7</v>
      </c>
      <c r="E420" t="s">
        <v>428</v>
      </c>
      <c r="F420" t="s">
        <v>268</v>
      </c>
      <c r="G420" s="15">
        <v>43686</v>
      </c>
      <c r="H420" t="s">
        <v>109</v>
      </c>
      <c r="I420" t="s">
        <v>401</v>
      </c>
      <c r="J420" t="s">
        <v>402</v>
      </c>
      <c r="K420">
        <v>9</v>
      </c>
      <c r="L420" t="s">
        <v>137</v>
      </c>
      <c r="M420" t="s">
        <v>420</v>
      </c>
      <c r="N420" t="s">
        <v>114</v>
      </c>
      <c r="O420">
        <v>71.599999999999994</v>
      </c>
      <c r="P420">
        <v>133</v>
      </c>
      <c r="Q420">
        <v>6123</v>
      </c>
      <c r="R420" t="s">
        <v>368</v>
      </c>
      <c r="S420" t="s">
        <v>116</v>
      </c>
      <c r="T420" t="s">
        <v>405</v>
      </c>
      <c r="U420" t="s">
        <v>406</v>
      </c>
      <c r="V420" t="s">
        <v>693</v>
      </c>
      <c r="W420" t="s">
        <v>156</v>
      </c>
      <c r="Y420" t="s">
        <v>132</v>
      </c>
      <c r="AA420">
        <v>1</v>
      </c>
      <c r="AB420" t="s">
        <v>99</v>
      </c>
      <c r="AC420" t="s">
        <v>239</v>
      </c>
      <c r="AE420" t="str">
        <f t="shared" si="6"/>
        <v>BussiculoFlanders</v>
      </c>
      <c r="AF420">
        <v>1</v>
      </c>
      <c r="AG420">
        <v>1</v>
      </c>
      <c r="AH420">
        <v>0</v>
      </c>
      <c r="AI420">
        <v>0</v>
      </c>
      <c r="AJ420">
        <v>1</v>
      </c>
      <c r="AK420" t="s">
        <v>176</v>
      </c>
      <c r="AL420">
        <v>0.59649122807017496</v>
      </c>
      <c r="AM420" t="s">
        <v>230</v>
      </c>
      <c r="AN420">
        <v>0.52777777777777801</v>
      </c>
    </row>
    <row r="421" spans="2:40" ht="15" customHeight="1" x14ac:dyDescent="0.2">
      <c r="B421">
        <v>18</v>
      </c>
      <c r="C421">
        <v>3</v>
      </c>
      <c r="D421">
        <v>7</v>
      </c>
      <c r="E421" t="s">
        <v>428</v>
      </c>
      <c r="F421" t="s">
        <v>268</v>
      </c>
      <c r="G421" s="15">
        <v>43686</v>
      </c>
      <c r="H421" t="s">
        <v>109</v>
      </c>
      <c r="I421" t="s">
        <v>401</v>
      </c>
      <c r="J421" t="s">
        <v>402</v>
      </c>
      <c r="K421">
        <v>9</v>
      </c>
      <c r="L421" t="s">
        <v>137</v>
      </c>
      <c r="M421" t="s">
        <v>420</v>
      </c>
      <c r="N421" t="s">
        <v>114</v>
      </c>
      <c r="O421">
        <v>71.599999999999994</v>
      </c>
      <c r="P421">
        <v>133</v>
      </c>
      <c r="Q421">
        <v>6123</v>
      </c>
      <c r="R421" t="s">
        <v>368</v>
      </c>
      <c r="S421" t="s">
        <v>116</v>
      </c>
      <c r="T421" t="s">
        <v>407</v>
      </c>
      <c r="U421" t="s">
        <v>408</v>
      </c>
      <c r="V421" t="s">
        <v>176</v>
      </c>
      <c r="W421" t="s">
        <v>114</v>
      </c>
      <c r="Y421" t="s">
        <v>230</v>
      </c>
      <c r="AA421">
        <v>1</v>
      </c>
      <c r="AB421" t="s">
        <v>100</v>
      </c>
      <c r="AC421" t="s">
        <v>239</v>
      </c>
      <c r="AE421" t="str">
        <f t="shared" si="6"/>
        <v>ForsterNorat</v>
      </c>
      <c r="AF421">
        <v>0</v>
      </c>
      <c r="AG421">
        <v>0</v>
      </c>
      <c r="AH421">
        <v>1</v>
      </c>
      <c r="AI421">
        <v>0</v>
      </c>
      <c r="AJ421">
        <v>0</v>
      </c>
      <c r="AK421" t="s">
        <v>693</v>
      </c>
      <c r="AL421">
        <v>0.44827586206896602</v>
      </c>
      <c r="AM421" t="s">
        <v>132</v>
      </c>
      <c r="AN421">
        <v>0.4296875</v>
      </c>
    </row>
    <row r="422" spans="2:40" ht="15" customHeight="1" x14ac:dyDescent="0.2">
      <c r="B422">
        <v>19</v>
      </c>
      <c r="C422">
        <v>4</v>
      </c>
      <c r="D422">
        <v>7</v>
      </c>
      <c r="E422" t="s">
        <v>429</v>
      </c>
      <c r="F422" t="s">
        <v>268</v>
      </c>
      <c r="G422" s="15">
        <v>43686</v>
      </c>
      <c r="H422" t="s">
        <v>109</v>
      </c>
      <c r="I422" t="s">
        <v>401</v>
      </c>
      <c r="J422" t="s">
        <v>402</v>
      </c>
      <c r="K422">
        <v>9</v>
      </c>
      <c r="L422" t="s">
        <v>137</v>
      </c>
      <c r="M422" t="s">
        <v>420</v>
      </c>
      <c r="N422" t="s">
        <v>114</v>
      </c>
      <c r="O422">
        <v>71.599999999999994</v>
      </c>
      <c r="P422">
        <v>133</v>
      </c>
      <c r="Q422">
        <v>6123</v>
      </c>
      <c r="R422" t="s">
        <v>368</v>
      </c>
      <c r="S422" t="s">
        <v>116</v>
      </c>
      <c r="T422" t="s">
        <v>407</v>
      </c>
      <c r="U422" t="s">
        <v>408</v>
      </c>
      <c r="V422" t="s">
        <v>135</v>
      </c>
      <c r="W422" t="s">
        <v>114</v>
      </c>
      <c r="Y422" t="s">
        <v>272</v>
      </c>
      <c r="AA422">
        <v>1</v>
      </c>
      <c r="AB422" t="s">
        <v>101</v>
      </c>
      <c r="AC422" t="s">
        <v>139</v>
      </c>
      <c r="AE422" t="str">
        <f t="shared" si="6"/>
        <v>ShivelyWelker</v>
      </c>
      <c r="AF422">
        <v>0.5</v>
      </c>
      <c r="AG422">
        <v>0</v>
      </c>
      <c r="AH422">
        <v>0</v>
      </c>
      <c r="AI422">
        <v>1</v>
      </c>
      <c r="AJ422">
        <v>0.5</v>
      </c>
      <c r="AK422" t="s">
        <v>178</v>
      </c>
      <c r="AL422">
        <v>0.34745762711864397</v>
      </c>
      <c r="AM422" t="s">
        <v>118</v>
      </c>
      <c r="AN422">
        <v>0.6171875</v>
      </c>
    </row>
    <row r="423" spans="2:40" ht="15" customHeight="1" x14ac:dyDescent="0.2">
      <c r="B423">
        <v>19</v>
      </c>
      <c r="C423">
        <v>4</v>
      </c>
      <c r="D423">
        <v>7</v>
      </c>
      <c r="E423" t="s">
        <v>429</v>
      </c>
      <c r="F423" t="s">
        <v>268</v>
      </c>
      <c r="G423" s="15">
        <v>43686</v>
      </c>
      <c r="H423" t="s">
        <v>109</v>
      </c>
      <c r="I423" t="s">
        <v>401</v>
      </c>
      <c r="J423" t="s">
        <v>402</v>
      </c>
      <c r="K423">
        <v>9</v>
      </c>
      <c r="L423" t="s">
        <v>137</v>
      </c>
      <c r="M423" t="s">
        <v>420</v>
      </c>
      <c r="N423" t="s">
        <v>114</v>
      </c>
      <c r="O423">
        <v>71.599999999999994</v>
      </c>
      <c r="P423">
        <v>133</v>
      </c>
      <c r="Q423">
        <v>6123</v>
      </c>
      <c r="R423" t="s">
        <v>368</v>
      </c>
      <c r="S423" t="s">
        <v>116</v>
      </c>
      <c r="T423" t="s">
        <v>405</v>
      </c>
      <c r="U423" t="s">
        <v>406</v>
      </c>
      <c r="V423" t="s">
        <v>178</v>
      </c>
      <c r="W423" t="s">
        <v>156</v>
      </c>
      <c r="Y423" t="s">
        <v>118</v>
      </c>
      <c r="AA423">
        <v>1</v>
      </c>
      <c r="AB423" t="s">
        <v>101</v>
      </c>
      <c r="AC423" t="s">
        <v>139</v>
      </c>
      <c r="AE423" t="str">
        <f t="shared" si="6"/>
        <v>ConnorsJackson</v>
      </c>
      <c r="AF423">
        <v>0.5</v>
      </c>
      <c r="AG423">
        <v>0</v>
      </c>
      <c r="AH423">
        <v>0</v>
      </c>
      <c r="AI423">
        <v>1</v>
      </c>
      <c r="AJ423">
        <v>0.5</v>
      </c>
      <c r="AK423" t="s">
        <v>135</v>
      </c>
      <c r="AM423" t="s">
        <v>272</v>
      </c>
      <c r="AN423">
        <v>0.51041666666666696</v>
      </c>
    </row>
    <row r="424" spans="2:40" ht="15" customHeight="1" x14ac:dyDescent="0.2">
      <c r="B424">
        <v>20</v>
      </c>
      <c r="C424">
        <v>5</v>
      </c>
      <c r="D424">
        <v>7</v>
      </c>
      <c r="E424" t="s">
        <v>430</v>
      </c>
      <c r="F424" t="s">
        <v>268</v>
      </c>
      <c r="G424" s="15">
        <v>43686</v>
      </c>
      <c r="H424" t="s">
        <v>109</v>
      </c>
      <c r="I424" t="s">
        <v>401</v>
      </c>
      <c r="J424" t="s">
        <v>402</v>
      </c>
      <c r="K424">
        <v>9</v>
      </c>
      <c r="L424" t="s">
        <v>137</v>
      </c>
      <c r="M424" t="s">
        <v>420</v>
      </c>
      <c r="N424" t="s">
        <v>114</v>
      </c>
      <c r="O424">
        <v>71.599999999999994</v>
      </c>
      <c r="P424">
        <v>133</v>
      </c>
      <c r="Q424">
        <v>6123</v>
      </c>
      <c r="R424" t="s">
        <v>368</v>
      </c>
      <c r="S424" t="s">
        <v>116</v>
      </c>
      <c r="T424" t="s">
        <v>405</v>
      </c>
      <c r="U424" t="s">
        <v>406</v>
      </c>
      <c r="V424" t="s">
        <v>123</v>
      </c>
      <c r="W424" t="s">
        <v>156</v>
      </c>
      <c r="Y424" t="s">
        <v>227</v>
      </c>
      <c r="AA424">
        <v>1</v>
      </c>
      <c r="AB424" t="s">
        <v>99</v>
      </c>
      <c r="AC424" t="s">
        <v>276</v>
      </c>
      <c r="AE424" t="str">
        <f t="shared" si="6"/>
        <v>LynchZimmer</v>
      </c>
      <c r="AF424">
        <v>1</v>
      </c>
      <c r="AG424">
        <v>1</v>
      </c>
      <c r="AH424">
        <v>0</v>
      </c>
      <c r="AI424">
        <v>0</v>
      </c>
      <c r="AJ424">
        <v>1</v>
      </c>
      <c r="AK424" t="s">
        <v>172</v>
      </c>
      <c r="AL424">
        <v>0.37288135593220301</v>
      </c>
      <c r="AM424" t="s">
        <v>231</v>
      </c>
      <c r="AN424">
        <v>0.5</v>
      </c>
    </row>
    <row r="425" spans="2:40" ht="15" customHeight="1" x14ac:dyDescent="0.2">
      <c r="B425">
        <v>20</v>
      </c>
      <c r="C425">
        <v>5</v>
      </c>
      <c r="D425">
        <v>7</v>
      </c>
      <c r="E425" t="s">
        <v>430</v>
      </c>
      <c r="F425" t="s">
        <v>268</v>
      </c>
      <c r="G425" s="15">
        <v>43686</v>
      </c>
      <c r="H425" t="s">
        <v>109</v>
      </c>
      <c r="I425" t="s">
        <v>401</v>
      </c>
      <c r="J425" t="s">
        <v>402</v>
      </c>
      <c r="K425">
        <v>9</v>
      </c>
      <c r="L425" t="s">
        <v>137</v>
      </c>
      <c r="M425" t="s">
        <v>420</v>
      </c>
      <c r="N425" t="s">
        <v>114</v>
      </c>
      <c r="O425">
        <v>71.599999999999994</v>
      </c>
      <c r="P425">
        <v>133</v>
      </c>
      <c r="Q425">
        <v>6123</v>
      </c>
      <c r="R425" t="s">
        <v>368</v>
      </c>
      <c r="S425" t="s">
        <v>116</v>
      </c>
      <c r="T425" t="s">
        <v>407</v>
      </c>
      <c r="U425" t="s">
        <v>408</v>
      </c>
      <c r="V425" t="s">
        <v>172</v>
      </c>
      <c r="W425" t="s">
        <v>114</v>
      </c>
      <c r="Y425" t="s">
        <v>231</v>
      </c>
      <c r="AA425">
        <v>1</v>
      </c>
      <c r="AB425" t="s">
        <v>100</v>
      </c>
      <c r="AC425" t="s">
        <v>276</v>
      </c>
      <c r="AE425" t="str">
        <f t="shared" si="6"/>
        <v>FoganMcInerney</v>
      </c>
      <c r="AF425">
        <v>0</v>
      </c>
      <c r="AG425">
        <v>0</v>
      </c>
      <c r="AH425">
        <v>1</v>
      </c>
      <c r="AI425">
        <v>0</v>
      </c>
      <c r="AJ425">
        <v>0</v>
      </c>
      <c r="AK425" t="s">
        <v>123</v>
      </c>
      <c r="AL425">
        <v>0.5546875</v>
      </c>
      <c r="AM425" t="s">
        <v>227</v>
      </c>
      <c r="AN425">
        <v>0.5</v>
      </c>
    </row>
    <row r="426" spans="2:40" ht="15" customHeight="1" x14ac:dyDescent="0.2">
      <c r="B426">
        <v>21</v>
      </c>
      <c r="C426">
        <v>1</v>
      </c>
      <c r="D426">
        <v>7</v>
      </c>
      <c r="E426" t="s">
        <v>431</v>
      </c>
      <c r="F426" t="s">
        <v>268</v>
      </c>
      <c r="G426" s="15">
        <v>43686</v>
      </c>
      <c r="H426" t="s">
        <v>144</v>
      </c>
      <c r="I426" t="s">
        <v>401</v>
      </c>
      <c r="J426" t="s">
        <v>402</v>
      </c>
      <c r="K426">
        <v>9</v>
      </c>
      <c r="L426" t="s">
        <v>112</v>
      </c>
      <c r="M426" t="s">
        <v>432</v>
      </c>
      <c r="N426" t="s">
        <v>156</v>
      </c>
      <c r="O426">
        <v>68</v>
      </c>
      <c r="P426">
        <v>113</v>
      </c>
      <c r="Q426">
        <v>5727</v>
      </c>
      <c r="R426" t="s">
        <v>145</v>
      </c>
      <c r="S426" t="s">
        <v>116</v>
      </c>
      <c r="T426" t="s">
        <v>405</v>
      </c>
      <c r="U426" t="s">
        <v>406</v>
      </c>
      <c r="V426" t="s">
        <v>127</v>
      </c>
      <c r="W426" t="s">
        <v>156</v>
      </c>
      <c r="Y426" t="s">
        <v>118</v>
      </c>
      <c r="AA426">
        <v>1</v>
      </c>
      <c r="AB426" t="s">
        <v>99</v>
      </c>
      <c r="AC426" t="s">
        <v>288</v>
      </c>
      <c r="AE426" t="str">
        <f t="shared" si="6"/>
        <v>FerrinJackson</v>
      </c>
      <c r="AF426">
        <v>1</v>
      </c>
      <c r="AG426">
        <v>1</v>
      </c>
      <c r="AH426">
        <v>0</v>
      </c>
      <c r="AI426">
        <v>0</v>
      </c>
      <c r="AJ426">
        <v>1</v>
      </c>
      <c r="AK426" t="s">
        <v>1308</v>
      </c>
      <c r="AL426">
        <v>0.59375</v>
      </c>
      <c r="AM426" t="s">
        <v>122</v>
      </c>
      <c r="AN426">
        <v>0.47321428571428598</v>
      </c>
    </row>
    <row r="427" spans="2:40" ht="15" customHeight="1" x14ac:dyDescent="0.2">
      <c r="B427">
        <v>21</v>
      </c>
      <c r="C427">
        <v>1</v>
      </c>
      <c r="D427">
        <v>7</v>
      </c>
      <c r="E427" t="s">
        <v>431</v>
      </c>
      <c r="F427" t="s">
        <v>268</v>
      </c>
      <c r="G427" s="15">
        <v>43686</v>
      </c>
      <c r="H427" t="s">
        <v>144</v>
      </c>
      <c r="I427" t="s">
        <v>401</v>
      </c>
      <c r="J427" t="s">
        <v>402</v>
      </c>
      <c r="K427">
        <v>9</v>
      </c>
      <c r="L427" t="s">
        <v>112</v>
      </c>
      <c r="M427" t="s">
        <v>432</v>
      </c>
      <c r="N427" t="s">
        <v>156</v>
      </c>
      <c r="O427">
        <v>68</v>
      </c>
      <c r="P427">
        <v>113</v>
      </c>
      <c r="Q427">
        <v>5727</v>
      </c>
      <c r="R427" t="s">
        <v>145</v>
      </c>
      <c r="S427" t="s">
        <v>116</v>
      </c>
      <c r="T427" t="s">
        <v>407</v>
      </c>
      <c r="U427" t="s">
        <v>408</v>
      </c>
      <c r="V427" t="s">
        <v>1308</v>
      </c>
      <c r="W427" t="s">
        <v>114</v>
      </c>
      <c r="Y427" t="s">
        <v>122</v>
      </c>
      <c r="AA427">
        <v>1</v>
      </c>
      <c r="AB427" t="s">
        <v>100</v>
      </c>
      <c r="AC427" t="s">
        <v>288</v>
      </c>
      <c r="AE427" t="str">
        <f t="shared" si="6"/>
        <v>ConnollyHilts</v>
      </c>
      <c r="AF427">
        <v>0</v>
      </c>
      <c r="AG427">
        <v>0</v>
      </c>
      <c r="AH427">
        <v>1</v>
      </c>
      <c r="AI427">
        <v>0</v>
      </c>
      <c r="AJ427">
        <v>0</v>
      </c>
      <c r="AK427" t="s">
        <v>127</v>
      </c>
      <c r="AL427">
        <v>0.59523809523809501</v>
      </c>
      <c r="AM427" t="s">
        <v>118</v>
      </c>
      <c r="AN427">
        <v>0.6171875</v>
      </c>
    </row>
    <row r="428" spans="2:40" ht="15" customHeight="1" x14ac:dyDescent="0.2">
      <c r="B428">
        <v>22</v>
      </c>
      <c r="C428">
        <v>2</v>
      </c>
      <c r="D428">
        <v>7</v>
      </c>
      <c r="E428" t="s">
        <v>433</v>
      </c>
      <c r="F428" t="s">
        <v>268</v>
      </c>
      <c r="G428" s="15">
        <v>43686</v>
      </c>
      <c r="H428" t="s">
        <v>144</v>
      </c>
      <c r="I428" t="s">
        <v>401</v>
      </c>
      <c r="J428" t="s">
        <v>402</v>
      </c>
      <c r="K428">
        <v>9</v>
      </c>
      <c r="L428" t="s">
        <v>112</v>
      </c>
      <c r="M428" t="s">
        <v>432</v>
      </c>
      <c r="N428" t="s">
        <v>156</v>
      </c>
      <c r="O428">
        <v>68</v>
      </c>
      <c r="P428">
        <v>113</v>
      </c>
      <c r="Q428">
        <v>5727</v>
      </c>
      <c r="R428" t="s">
        <v>145</v>
      </c>
      <c r="S428" t="s">
        <v>116</v>
      </c>
      <c r="T428" t="s">
        <v>407</v>
      </c>
      <c r="U428" t="s">
        <v>408</v>
      </c>
      <c r="V428" t="s">
        <v>130</v>
      </c>
      <c r="W428" t="s">
        <v>114</v>
      </c>
      <c r="Y428" t="s">
        <v>135</v>
      </c>
      <c r="AA428">
        <v>1</v>
      </c>
      <c r="AB428" t="s">
        <v>100</v>
      </c>
      <c r="AC428" t="s">
        <v>410</v>
      </c>
      <c r="AE428" t="str">
        <f t="shared" si="6"/>
        <v>PoirierShively</v>
      </c>
      <c r="AF428">
        <v>0</v>
      </c>
      <c r="AG428">
        <v>0</v>
      </c>
      <c r="AH428">
        <v>1</v>
      </c>
      <c r="AI428">
        <v>0</v>
      </c>
      <c r="AJ428">
        <v>0</v>
      </c>
      <c r="AK428" t="s">
        <v>226</v>
      </c>
      <c r="AL428">
        <v>0.65476190476190499</v>
      </c>
      <c r="AM428" t="s">
        <v>123</v>
      </c>
      <c r="AN428">
        <v>0.5546875</v>
      </c>
    </row>
    <row r="429" spans="2:40" ht="15" customHeight="1" x14ac:dyDescent="0.2">
      <c r="B429">
        <v>22</v>
      </c>
      <c r="C429">
        <v>2</v>
      </c>
      <c r="D429">
        <v>7</v>
      </c>
      <c r="E429" t="s">
        <v>433</v>
      </c>
      <c r="F429" t="s">
        <v>268</v>
      </c>
      <c r="G429" s="15">
        <v>43686</v>
      </c>
      <c r="H429" t="s">
        <v>144</v>
      </c>
      <c r="I429" t="s">
        <v>401</v>
      </c>
      <c r="J429" t="s">
        <v>402</v>
      </c>
      <c r="K429">
        <v>9</v>
      </c>
      <c r="L429" t="s">
        <v>112</v>
      </c>
      <c r="M429" t="s">
        <v>432</v>
      </c>
      <c r="N429" t="s">
        <v>156</v>
      </c>
      <c r="O429">
        <v>68</v>
      </c>
      <c r="P429">
        <v>113</v>
      </c>
      <c r="Q429">
        <v>5727</v>
      </c>
      <c r="R429" t="s">
        <v>145</v>
      </c>
      <c r="S429" t="s">
        <v>116</v>
      </c>
      <c r="T429" t="s">
        <v>405</v>
      </c>
      <c r="U429" t="s">
        <v>406</v>
      </c>
      <c r="V429" t="s">
        <v>226</v>
      </c>
      <c r="W429" t="s">
        <v>156</v>
      </c>
      <c r="Y429" t="s">
        <v>123</v>
      </c>
      <c r="AA429">
        <v>1</v>
      </c>
      <c r="AB429" t="s">
        <v>99</v>
      </c>
      <c r="AC429" t="s">
        <v>410</v>
      </c>
      <c r="AE429" t="str">
        <f t="shared" si="6"/>
        <v>GrayLynch</v>
      </c>
      <c r="AF429">
        <v>1</v>
      </c>
      <c r="AG429">
        <v>1</v>
      </c>
      <c r="AH429">
        <v>0</v>
      </c>
      <c r="AI429">
        <v>0</v>
      </c>
      <c r="AJ429">
        <v>1</v>
      </c>
      <c r="AK429" t="s">
        <v>130</v>
      </c>
      <c r="AL429">
        <v>0.48611111111111099</v>
      </c>
      <c r="AM429" t="s">
        <v>135</v>
      </c>
    </row>
    <row r="430" spans="2:40" ht="15" customHeight="1" x14ac:dyDescent="0.2">
      <c r="B430">
        <v>23</v>
      </c>
      <c r="C430">
        <v>3</v>
      </c>
      <c r="D430">
        <v>7</v>
      </c>
      <c r="E430" t="s">
        <v>434</v>
      </c>
      <c r="F430" t="s">
        <v>268</v>
      </c>
      <c r="G430" s="15">
        <v>43686</v>
      </c>
      <c r="H430" t="s">
        <v>144</v>
      </c>
      <c r="I430" t="s">
        <v>401</v>
      </c>
      <c r="J430" t="s">
        <v>402</v>
      </c>
      <c r="K430">
        <v>9</v>
      </c>
      <c r="L430" t="s">
        <v>112</v>
      </c>
      <c r="M430" t="s">
        <v>432</v>
      </c>
      <c r="N430" t="s">
        <v>156</v>
      </c>
      <c r="O430">
        <v>68</v>
      </c>
      <c r="P430">
        <v>113</v>
      </c>
      <c r="Q430">
        <v>5727</v>
      </c>
      <c r="R430" t="s">
        <v>145</v>
      </c>
      <c r="S430" t="s">
        <v>116</v>
      </c>
      <c r="T430" t="s">
        <v>405</v>
      </c>
      <c r="U430" t="s">
        <v>406</v>
      </c>
      <c r="V430" t="s">
        <v>132</v>
      </c>
      <c r="W430" t="s">
        <v>156</v>
      </c>
      <c r="Y430" t="s">
        <v>227</v>
      </c>
      <c r="AA430">
        <v>1</v>
      </c>
      <c r="AB430" t="s">
        <v>100</v>
      </c>
      <c r="AC430" t="s">
        <v>276</v>
      </c>
      <c r="AE430" t="str">
        <f t="shared" si="6"/>
        <v>FlandersZimmer</v>
      </c>
      <c r="AF430">
        <v>0</v>
      </c>
      <c r="AG430">
        <v>0</v>
      </c>
      <c r="AH430">
        <v>1</v>
      </c>
      <c r="AI430">
        <v>0</v>
      </c>
      <c r="AJ430">
        <v>0</v>
      </c>
      <c r="AK430" t="s">
        <v>231</v>
      </c>
      <c r="AL430">
        <v>0.5</v>
      </c>
      <c r="AM430" t="s">
        <v>230</v>
      </c>
      <c r="AN430">
        <v>0.52777777777777801</v>
      </c>
    </row>
    <row r="431" spans="2:40" ht="15" customHeight="1" x14ac:dyDescent="0.2">
      <c r="B431">
        <v>23</v>
      </c>
      <c r="C431">
        <v>3</v>
      </c>
      <c r="D431">
        <v>7</v>
      </c>
      <c r="E431" t="s">
        <v>434</v>
      </c>
      <c r="F431" t="s">
        <v>268</v>
      </c>
      <c r="G431" s="15">
        <v>43686</v>
      </c>
      <c r="H431" t="s">
        <v>144</v>
      </c>
      <c r="I431" t="s">
        <v>401</v>
      </c>
      <c r="J431" t="s">
        <v>402</v>
      </c>
      <c r="K431">
        <v>9</v>
      </c>
      <c r="L431" t="s">
        <v>112</v>
      </c>
      <c r="M431" t="s">
        <v>432</v>
      </c>
      <c r="N431" t="s">
        <v>156</v>
      </c>
      <c r="O431">
        <v>68</v>
      </c>
      <c r="P431">
        <v>113</v>
      </c>
      <c r="Q431">
        <v>5727</v>
      </c>
      <c r="R431" t="s">
        <v>145</v>
      </c>
      <c r="S431" t="s">
        <v>116</v>
      </c>
      <c r="T431" t="s">
        <v>407</v>
      </c>
      <c r="U431" t="s">
        <v>408</v>
      </c>
      <c r="V431" t="s">
        <v>231</v>
      </c>
      <c r="W431" t="s">
        <v>114</v>
      </c>
      <c r="Y431" t="s">
        <v>230</v>
      </c>
      <c r="AA431">
        <v>1</v>
      </c>
      <c r="AB431" t="s">
        <v>99</v>
      </c>
      <c r="AC431" t="s">
        <v>276</v>
      </c>
      <c r="AE431" t="str">
        <f t="shared" si="6"/>
        <v>McInerneyNorat</v>
      </c>
      <c r="AF431">
        <v>1</v>
      </c>
      <c r="AG431">
        <v>1</v>
      </c>
      <c r="AH431">
        <v>0</v>
      </c>
      <c r="AI431">
        <v>0</v>
      </c>
      <c r="AJ431">
        <v>1</v>
      </c>
      <c r="AK431" t="s">
        <v>132</v>
      </c>
      <c r="AL431">
        <v>0.4296875</v>
      </c>
      <c r="AM431" t="s">
        <v>227</v>
      </c>
      <c r="AN431">
        <v>0.5</v>
      </c>
    </row>
    <row r="432" spans="2:40" ht="15" customHeight="1" x14ac:dyDescent="0.2">
      <c r="B432">
        <v>24</v>
      </c>
      <c r="C432">
        <v>4</v>
      </c>
      <c r="D432">
        <v>7</v>
      </c>
      <c r="E432" t="s">
        <v>435</v>
      </c>
      <c r="F432" t="s">
        <v>268</v>
      </c>
      <c r="G432" s="15">
        <v>43686</v>
      </c>
      <c r="H432" t="s">
        <v>144</v>
      </c>
      <c r="I432" t="s">
        <v>401</v>
      </c>
      <c r="J432" t="s">
        <v>402</v>
      </c>
      <c r="K432">
        <v>9</v>
      </c>
      <c r="L432" t="s">
        <v>112</v>
      </c>
      <c r="M432" t="s">
        <v>432</v>
      </c>
      <c r="N432" t="s">
        <v>156</v>
      </c>
      <c r="O432">
        <v>68</v>
      </c>
      <c r="P432">
        <v>113</v>
      </c>
      <c r="Q432">
        <v>5727</v>
      </c>
      <c r="R432" t="s">
        <v>145</v>
      </c>
      <c r="S432" t="s">
        <v>116</v>
      </c>
      <c r="T432" t="s">
        <v>407</v>
      </c>
      <c r="U432" t="s">
        <v>408</v>
      </c>
      <c r="V432" t="s">
        <v>176</v>
      </c>
      <c r="W432" t="s">
        <v>114</v>
      </c>
      <c r="Y432" t="s">
        <v>272</v>
      </c>
      <c r="AA432">
        <v>1</v>
      </c>
      <c r="AB432" t="s">
        <v>99</v>
      </c>
      <c r="AC432" t="s">
        <v>276</v>
      </c>
      <c r="AE432" t="str">
        <f t="shared" si="6"/>
        <v>ForsterWelker</v>
      </c>
      <c r="AF432">
        <v>1</v>
      </c>
      <c r="AG432">
        <v>1</v>
      </c>
      <c r="AH432">
        <v>0</v>
      </c>
      <c r="AI432">
        <v>0</v>
      </c>
      <c r="AJ432">
        <v>1</v>
      </c>
      <c r="AK432" t="s">
        <v>178</v>
      </c>
      <c r="AL432">
        <v>0.34745762711864397</v>
      </c>
      <c r="AM432" t="s">
        <v>119</v>
      </c>
      <c r="AN432">
        <v>0.546875</v>
      </c>
    </row>
    <row r="433" spans="2:40" ht="15" customHeight="1" x14ac:dyDescent="0.2">
      <c r="B433">
        <v>24</v>
      </c>
      <c r="C433">
        <v>4</v>
      </c>
      <c r="D433">
        <v>7</v>
      </c>
      <c r="E433" t="s">
        <v>435</v>
      </c>
      <c r="F433" t="s">
        <v>268</v>
      </c>
      <c r="G433" s="15">
        <v>43686</v>
      </c>
      <c r="H433" t="s">
        <v>144</v>
      </c>
      <c r="I433" t="s">
        <v>401</v>
      </c>
      <c r="J433" t="s">
        <v>402</v>
      </c>
      <c r="K433">
        <v>9</v>
      </c>
      <c r="L433" t="s">
        <v>112</v>
      </c>
      <c r="M433" t="s">
        <v>432</v>
      </c>
      <c r="N433" t="s">
        <v>156</v>
      </c>
      <c r="O433">
        <v>68</v>
      </c>
      <c r="P433">
        <v>113</v>
      </c>
      <c r="Q433">
        <v>5727</v>
      </c>
      <c r="R433" t="s">
        <v>145</v>
      </c>
      <c r="S433" t="s">
        <v>116</v>
      </c>
      <c r="T433" t="s">
        <v>405</v>
      </c>
      <c r="U433" t="s">
        <v>406</v>
      </c>
      <c r="V433" t="s">
        <v>178</v>
      </c>
      <c r="W433" t="s">
        <v>156</v>
      </c>
      <c r="Y433" t="s">
        <v>119</v>
      </c>
      <c r="AA433">
        <v>1</v>
      </c>
      <c r="AB433" t="s">
        <v>100</v>
      </c>
      <c r="AC433" t="s">
        <v>276</v>
      </c>
      <c r="AE433" t="str">
        <f t="shared" si="6"/>
        <v>ConnorsGrise</v>
      </c>
      <c r="AF433">
        <v>0</v>
      </c>
      <c r="AG433">
        <v>0</v>
      </c>
      <c r="AH433">
        <v>1</v>
      </c>
      <c r="AI433">
        <v>0</v>
      </c>
      <c r="AJ433">
        <v>0</v>
      </c>
      <c r="AK433" t="s">
        <v>176</v>
      </c>
      <c r="AL433">
        <v>0.59649122807017496</v>
      </c>
      <c r="AM433" t="s">
        <v>272</v>
      </c>
      <c r="AN433">
        <v>0.51041666666666696</v>
      </c>
    </row>
    <row r="434" spans="2:40" ht="15" customHeight="1" x14ac:dyDescent="0.2">
      <c r="B434">
        <v>25</v>
      </c>
      <c r="C434">
        <v>5</v>
      </c>
      <c r="D434">
        <v>7</v>
      </c>
      <c r="E434" t="s">
        <v>436</v>
      </c>
      <c r="F434" t="s">
        <v>268</v>
      </c>
      <c r="G434" s="15">
        <v>43686</v>
      </c>
      <c r="H434" t="s">
        <v>144</v>
      </c>
      <c r="I434" t="s">
        <v>401</v>
      </c>
      <c r="J434" t="s">
        <v>402</v>
      </c>
      <c r="K434">
        <v>9</v>
      </c>
      <c r="L434" t="s">
        <v>112</v>
      </c>
      <c r="M434" t="s">
        <v>432</v>
      </c>
      <c r="N434" t="s">
        <v>156</v>
      </c>
      <c r="O434">
        <v>68</v>
      </c>
      <c r="P434">
        <v>113</v>
      </c>
      <c r="Q434">
        <v>5727</v>
      </c>
      <c r="R434" t="s">
        <v>145</v>
      </c>
      <c r="S434" t="s">
        <v>116</v>
      </c>
      <c r="T434" t="s">
        <v>405</v>
      </c>
      <c r="U434" t="s">
        <v>406</v>
      </c>
      <c r="V434" t="s">
        <v>693</v>
      </c>
      <c r="W434" t="s">
        <v>156</v>
      </c>
      <c r="Y434" t="s">
        <v>179</v>
      </c>
      <c r="AA434">
        <v>1</v>
      </c>
      <c r="AB434" t="s">
        <v>100</v>
      </c>
      <c r="AC434" t="s">
        <v>225</v>
      </c>
      <c r="AE434" t="str">
        <f t="shared" si="6"/>
        <v>BussiculoCole</v>
      </c>
      <c r="AF434">
        <v>0</v>
      </c>
      <c r="AG434">
        <v>0</v>
      </c>
      <c r="AH434">
        <v>1</v>
      </c>
      <c r="AI434">
        <v>0</v>
      </c>
      <c r="AJ434">
        <v>0</v>
      </c>
      <c r="AK434" t="s">
        <v>172</v>
      </c>
      <c r="AL434">
        <v>0.37288135593220301</v>
      </c>
      <c r="AM434" t="s">
        <v>133</v>
      </c>
      <c r="AN434">
        <v>0.38392857142857201</v>
      </c>
    </row>
    <row r="435" spans="2:40" ht="15" customHeight="1" x14ac:dyDescent="0.2">
      <c r="B435">
        <v>25</v>
      </c>
      <c r="C435">
        <v>5</v>
      </c>
      <c r="D435">
        <v>7</v>
      </c>
      <c r="E435" t="s">
        <v>436</v>
      </c>
      <c r="F435" t="s">
        <v>268</v>
      </c>
      <c r="G435" s="15">
        <v>43686</v>
      </c>
      <c r="H435" t="s">
        <v>144</v>
      </c>
      <c r="I435" t="s">
        <v>401</v>
      </c>
      <c r="J435" t="s">
        <v>402</v>
      </c>
      <c r="K435">
        <v>9</v>
      </c>
      <c r="L435" t="s">
        <v>112</v>
      </c>
      <c r="M435" t="s">
        <v>432</v>
      </c>
      <c r="N435" t="s">
        <v>156</v>
      </c>
      <c r="O435">
        <v>68</v>
      </c>
      <c r="P435">
        <v>113</v>
      </c>
      <c r="Q435">
        <v>5727</v>
      </c>
      <c r="R435" t="s">
        <v>145</v>
      </c>
      <c r="S435" t="s">
        <v>116</v>
      </c>
      <c r="T435" t="s">
        <v>407</v>
      </c>
      <c r="U435" t="s">
        <v>408</v>
      </c>
      <c r="V435" t="s">
        <v>172</v>
      </c>
      <c r="W435" t="s">
        <v>114</v>
      </c>
      <c r="Y435" t="s">
        <v>133</v>
      </c>
      <c r="AA435">
        <v>1</v>
      </c>
      <c r="AB435" t="s">
        <v>99</v>
      </c>
      <c r="AC435" t="s">
        <v>225</v>
      </c>
      <c r="AE435" t="str">
        <f t="shared" si="6"/>
        <v>FoganMangold</v>
      </c>
      <c r="AF435">
        <v>1</v>
      </c>
      <c r="AG435">
        <v>1</v>
      </c>
      <c r="AH435">
        <v>0</v>
      </c>
      <c r="AI435">
        <v>0</v>
      </c>
      <c r="AJ435">
        <v>1</v>
      </c>
      <c r="AK435" t="s">
        <v>693</v>
      </c>
      <c r="AL435">
        <v>0.44827586206896602</v>
      </c>
      <c r="AM435" t="s">
        <v>179</v>
      </c>
      <c r="AN435">
        <v>0.44067796610169502</v>
      </c>
    </row>
    <row r="436" spans="2:40" ht="15" customHeight="1" x14ac:dyDescent="0.2">
      <c r="B436" t="s">
        <v>300</v>
      </c>
      <c r="D436">
        <v>7</v>
      </c>
      <c r="E436" t="s">
        <v>437</v>
      </c>
      <c r="F436" t="s">
        <v>268</v>
      </c>
      <c r="G436" s="15">
        <v>43686</v>
      </c>
      <c r="H436" t="s">
        <v>144</v>
      </c>
      <c r="I436" t="s">
        <v>401</v>
      </c>
      <c r="J436" t="s">
        <v>402</v>
      </c>
      <c r="K436">
        <v>9</v>
      </c>
      <c r="L436" t="s">
        <v>137</v>
      </c>
      <c r="M436" t="s">
        <v>432</v>
      </c>
      <c r="N436" t="s">
        <v>156</v>
      </c>
      <c r="O436">
        <v>68</v>
      </c>
      <c r="P436">
        <v>113</v>
      </c>
      <c r="Q436">
        <v>5727</v>
      </c>
      <c r="R436" t="s">
        <v>303</v>
      </c>
      <c r="S436" t="s">
        <v>303</v>
      </c>
      <c r="T436" t="s">
        <v>405</v>
      </c>
      <c r="U436" t="s">
        <v>406</v>
      </c>
      <c r="V436" t="s">
        <v>179</v>
      </c>
      <c r="W436" t="s">
        <v>156</v>
      </c>
      <c r="AA436">
        <v>0.5</v>
      </c>
      <c r="AB436" t="s">
        <v>99</v>
      </c>
      <c r="AC436" t="s">
        <v>263</v>
      </c>
      <c r="AE436" t="str">
        <f t="shared" si="6"/>
        <v>Cole</v>
      </c>
      <c r="AF436">
        <v>0.5</v>
      </c>
      <c r="AG436">
        <v>1</v>
      </c>
      <c r="AH436">
        <v>0</v>
      </c>
      <c r="AI436">
        <v>0</v>
      </c>
      <c r="AJ436">
        <v>1</v>
      </c>
    </row>
    <row r="437" spans="2:40" ht="15" customHeight="1" x14ac:dyDescent="0.2">
      <c r="B437" t="s">
        <v>300</v>
      </c>
      <c r="D437">
        <v>7</v>
      </c>
      <c r="E437" t="s">
        <v>437</v>
      </c>
      <c r="F437" t="s">
        <v>268</v>
      </c>
      <c r="G437" s="15">
        <v>43686</v>
      </c>
      <c r="H437" t="s">
        <v>144</v>
      </c>
      <c r="I437" t="s">
        <v>401</v>
      </c>
      <c r="J437" t="s">
        <v>402</v>
      </c>
      <c r="K437">
        <v>9</v>
      </c>
      <c r="L437" t="s">
        <v>137</v>
      </c>
      <c r="M437" t="s">
        <v>432</v>
      </c>
      <c r="N437" t="s">
        <v>156</v>
      </c>
      <c r="O437">
        <v>68</v>
      </c>
      <c r="P437">
        <v>113</v>
      </c>
      <c r="Q437">
        <v>5727</v>
      </c>
      <c r="R437" t="s">
        <v>303</v>
      </c>
      <c r="S437" t="s">
        <v>303</v>
      </c>
      <c r="T437" t="s">
        <v>405</v>
      </c>
      <c r="U437" t="s">
        <v>406</v>
      </c>
      <c r="V437" t="s">
        <v>127</v>
      </c>
      <c r="W437" t="s">
        <v>156</v>
      </c>
      <c r="AA437">
        <v>0.5</v>
      </c>
      <c r="AB437" t="s">
        <v>99</v>
      </c>
      <c r="AC437" t="s">
        <v>263</v>
      </c>
      <c r="AE437" t="str">
        <f t="shared" si="6"/>
        <v>Ferrin</v>
      </c>
      <c r="AF437">
        <v>0.5</v>
      </c>
      <c r="AG437">
        <v>1</v>
      </c>
      <c r="AH437">
        <v>0</v>
      </c>
      <c r="AI437">
        <v>0</v>
      </c>
      <c r="AJ437">
        <v>1</v>
      </c>
    </row>
    <row r="438" spans="2:40" ht="15" customHeight="1" x14ac:dyDescent="0.2">
      <c r="B438" t="s">
        <v>300</v>
      </c>
      <c r="D438">
        <v>7</v>
      </c>
      <c r="E438" t="s">
        <v>437</v>
      </c>
      <c r="F438" t="s">
        <v>268</v>
      </c>
      <c r="G438" s="15">
        <v>43686</v>
      </c>
      <c r="H438" t="s">
        <v>144</v>
      </c>
      <c r="I438" t="s">
        <v>401</v>
      </c>
      <c r="J438" t="s">
        <v>402</v>
      </c>
      <c r="K438">
        <v>9</v>
      </c>
      <c r="L438" t="s">
        <v>137</v>
      </c>
      <c r="M438" t="s">
        <v>432</v>
      </c>
      <c r="N438" t="s">
        <v>156</v>
      </c>
      <c r="O438">
        <v>68</v>
      </c>
      <c r="P438">
        <v>113</v>
      </c>
      <c r="Q438">
        <v>5727</v>
      </c>
      <c r="R438" t="s">
        <v>303</v>
      </c>
      <c r="S438" t="s">
        <v>303</v>
      </c>
      <c r="T438" t="s">
        <v>405</v>
      </c>
      <c r="U438" t="s">
        <v>406</v>
      </c>
      <c r="V438" t="s">
        <v>226</v>
      </c>
      <c r="W438" t="s">
        <v>156</v>
      </c>
      <c r="AA438">
        <v>0.5</v>
      </c>
      <c r="AB438" t="s">
        <v>99</v>
      </c>
      <c r="AC438" t="s">
        <v>263</v>
      </c>
      <c r="AE438" t="str">
        <f t="shared" si="6"/>
        <v>Gray</v>
      </c>
      <c r="AF438">
        <v>0.5</v>
      </c>
      <c r="AG438">
        <v>1</v>
      </c>
      <c r="AH438">
        <v>0</v>
      </c>
      <c r="AI438">
        <v>0</v>
      </c>
      <c r="AJ438">
        <v>1</v>
      </c>
    </row>
    <row r="439" spans="2:40" ht="15" customHeight="1" x14ac:dyDescent="0.2">
      <c r="B439" t="s">
        <v>300</v>
      </c>
      <c r="D439">
        <v>7</v>
      </c>
      <c r="E439" t="s">
        <v>437</v>
      </c>
      <c r="F439" t="s">
        <v>268</v>
      </c>
      <c r="G439" s="15">
        <v>43686</v>
      </c>
      <c r="H439" t="s">
        <v>144</v>
      </c>
      <c r="I439" t="s">
        <v>401</v>
      </c>
      <c r="J439" t="s">
        <v>402</v>
      </c>
      <c r="K439">
        <v>9</v>
      </c>
      <c r="L439" t="s">
        <v>137</v>
      </c>
      <c r="M439" t="s">
        <v>432</v>
      </c>
      <c r="N439" t="s">
        <v>156</v>
      </c>
      <c r="O439">
        <v>68</v>
      </c>
      <c r="P439">
        <v>113</v>
      </c>
      <c r="Q439">
        <v>5727</v>
      </c>
      <c r="R439" t="s">
        <v>303</v>
      </c>
      <c r="S439" t="s">
        <v>303</v>
      </c>
      <c r="T439" t="s">
        <v>405</v>
      </c>
      <c r="U439" t="s">
        <v>406</v>
      </c>
      <c r="V439" t="s">
        <v>119</v>
      </c>
      <c r="W439" t="s">
        <v>156</v>
      </c>
      <c r="AA439">
        <v>0.5</v>
      </c>
      <c r="AB439" t="s">
        <v>99</v>
      </c>
      <c r="AC439" t="s">
        <v>263</v>
      </c>
      <c r="AE439" t="str">
        <f t="shared" si="6"/>
        <v>Grise</v>
      </c>
      <c r="AF439">
        <v>0.5</v>
      </c>
      <c r="AG439">
        <v>1</v>
      </c>
      <c r="AH439">
        <v>0</v>
      </c>
      <c r="AI439">
        <v>0</v>
      </c>
      <c r="AJ439">
        <v>1</v>
      </c>
    </row>
    <row r="440" spans="2:40" ht="15" customHeight="1" x14ac:dyDescent="0.2">
      <c r="B440" t="s">
        <v>300</v>
      </c>
      <c r="D440">
        <v>7</v>
      </c>
      <c r="E440" t="s">
        <v>437</v>
      </c>
      <c r="F440" t="s">
        <v>268</v>
      </c>
      <c r="G440" s="15">
        <v>43686</v>
      </c>
      <c r="H440" t="s">
        <v>144</v>
      </c>
      <c r="I440" t="s">
        <v>401</v>
      </c>
      <c r="J440" t="s">
        <v>402</v>
      </c>
      <c r="K440">
        <v>9</v>
      </c>
      <c r="L440" t="s">
        <v>137</v>
      </c>
      <c r="M440" t="s">
        <v>432</v>
      </c>
      <c r="N440" t="s">
        <v>156</v>
      </c>
      <c r="O440">
        <v>68</v>
      </c>
      <c r="P440">
        <v>113</v>
      </c>
      <c r="Q440">
        <v>5727</v>
      </c>
      <c r="R440" t="s">
        <v>303</v>
      </c>
      <c r="S440" t="s">
        <v>303</v>
      </c>
      <c r="T440" t="s">
        <v>405</v>
      </c>
      <c r="U440" t="s">
        <v>406</v>
      </c>
      <c r="V440" t="s">
        <v>132</v>
      </c>
      <c r="W440" t="s">
        <v>156</v>
      </c>
      <c r="AA440">
        <v>0.5</v>
      </c>
      <c r="AB440" t="s">
        <v>99</v>
      </c>
      <c r="AC440" t="s">
        <v>263</v>
      </c>
      <c r="AE440" t="str">
        <f t="shared" si="6"/>
        <v>Flanders</v>
      </c>
      <c r="AF440">
        <v>0.5</v>
      </c>
      <c r="AG440">
        <v>1</v>
      </c>
      <c r="AH440">
        <v>0</v>
      </c>
      <c r="AI440">
        <v>0</v>
      </c>
      <c r="AJ440">
        <v>1</v>
      </c>
    </row>
    <row r="441" spans="2:40" ht="15" customHeight="1" x14ac:dyDescent="0.2">
      <c r="B441" t="s">
        <v>300</v>
      </c>
      <c r="D441">
        <v>7</v>
      </c>
      <c r="E441" t="s">
        <v>437</v>
      </c>
      <c r="F441" t="s">
        <v>268</v>
      </c>
      <c r="G441" s="15">
        <v>43686</v>
      </c>
      <c r="H441" t="s">
        <v>144</v>
      </c>
      <c r="I441" t="s">
        <v>401</v>
      </c>
      <c r="J441" t="s">
        <v>402</v>
      </c>
      <c r="K441">
        <v>9</v>
      </c>
      <c r="L441" t="s">
        <v>137</v>
      </c>
      <c r="M441" t="s">
        <v>432</v>
      </c>
      <c r="N441" t="s">
        <v>156</v>
      </c>
      <c r="O441">
        <v>68</v>
      </c>
      <c r="P441">
        <v>113</v>
      </c>
      <c r="Q441">
        <v>5727</v>
      </c>
      <c r="R441" t="s">
        <v>303</v>
      </c>
      <c r="S441" t="s">
        <v>303</v>
      </c>
      <c r="T441" t="s">
        <v>405</v>
      </c>
      <c r="U441" t="s">
        <v>406</v>
      </c>
      <c r="V441" t="s">
        <v>693</v>
      </c>
      <c r="W441" t="s">
        <v>156</v>
      </c>
      <c r="AA441">
        <v>0.5</v>
      </c>
      <c r="AB441" t="s">
        <v>99</v>
      </c>
      <c r="AC441" t="s">
        <v>263</v>
      </c>
      <c r="AE441" t="str">
        <f t="shared" si="6"/>
        <v>Bussiculo</v>
      </c>
      <c r="AF441">
        <v>0.5</v>
      </c>
      <c r="AG441">
        <v>1</v>
      </c>
      <c r="AH441">
        <v>0</v>
      </c>
      <c r="AI441">
        <v>0</v>
      </c>
      <c r="AJ441">
        <v>1</v>
      </c>
    </row>
    <row r="442" spans="2:40" ht="15" customHeight="1" x14ac:dyDescent="0.2">
      <c r="B442" t="s">
        <v>300</v>
      </c>
      <c r="D442">
        <v>7</v>
      </c>
      <c r="E442" t="s">
        <v>437</v>
      </c>
      <c r="F442" t="s">
        <v>268</v>
      </c>
      <c r="G442" s="15">
        <v>43686</v>
      </c>
      <c r="H442" t="s">
        <v>144</v>
      </c>
      <c r="I442" t="s">
        <v>401</v>
      </c>
      <c r="J442" t="s">
        <v>402</v>
      </c>
      <c r="K442">
        <v>9</v>
      </c>
      <c r="L442" t="s">
        <v>137</v>
      </c>
      <c r="M442" t="s">
        <v>432</v>
      </c>
      <c r="N442" t="s">
        <v>156</v>
      </c>
      <c r="O442">
        <v>68</v>
      </c>
      <c r="P442">
        <v>113</v>
      </c>
      <c r="Q442">
        <v>5727</v>
      </c>
      <c r="R442" t="s">
        <v>303</v>
      </c>
      <c r="S442" t="s">
        <v>303</v>
      </c>
      <c r="T442" t="s">
        <v>405</v>
      </c>
      <c r="U442" t="s">
        <v>406</v>
      </c>
      <c r="V442" t="s">
        <v>118</v>
      </c>
      <c r="W442" t="s">
        <v>156</v>
      </c>
      <c r="AA442">
        <v>0.5</v>
      </c>
      <c r="AB442" t="s">
        <v>99</v>
      </c>
      <c r="AC442" t="s">
        <v>263</v>
      </c>
      <c r="AE442" t="str">
        <f t="shared" si="6"/>
        <v>Jackson</v>
      </c>
      <c r="AF442">
        <v>0.5</v>
      </c>
      <c r="AG442">
        <v>1</v>
      </c>
      <c r="AH442">
        <v>0</v>
      </c>
      <c r="AI442">
        <v>0</v>
      </c>
      <c r="AJ442">
        <v>1</v>
      </c>
    </row>
    <row r="443" spans="2:40" ht="15" customHeight="1" x14ac:dyDescent="0.2">
      <c r="B443" t="s">
        <v>300</v>
      </c>
      <c r="D443">
        <v>7</v>
      </c>
      <c r="E443" t="s">
        <v>437</v>
      </c>
      <c r="F443" t="s">
        <v>268</v>
      </c>
      <c r="G443" s="15">
        <v>43686</v>
      </c>
      <c r="H443" t="s">
        <v>144</v>
      </c>
      <c r="I443" t="s">
        <v>401</v>
      </c>
      <c r="J443" t="s">
        <v>402</v>
      </c>
      <c r="K443">
        <v>9</v>
      </c>
      <c r="L443" t="s">
        <v>137</v>
      </c>
      <c r="M443" t="s">
        <v>432</v>
      </c>
      <c r="N443" t="s">
        <v>156</v>
      </c>
      <c r="O443">
        <v>68</v>
      </c>
      <c r="P443">
        <v>113</v>
      </c>
      <c r="Q443">
        <v>5727</v>
      </c>
      <c r="R443" t="s">
        <v>303</v>
      </c>
      <c r="S443" t="s">
        <v>303</v>
      </c>
      <c r="T443" t="s">
        <v>405</v>
      </c>
      <c r="U443" t="s">
        <v>406</v>
      </c>
      <c r="V443" t="s">
        <v>178</v>
      </c>
      <c r="W443" t="s">
        <v>156</v>
      </c>
      <c r="AA443">
        <v>0.5</v>
      </c>
      <c r="AB443" t="s">
        <v>99</v>
      </c>
      <c r="AC443" t="s">
        <v>263</v>
      </c>
      <c r="AE443" t="str">
        <f t="shared" si="6"/>
        <v>Connors</v>
      </c>
      <c r="AF443">
        <v>0.5</v>
      </c>
      <c r="AG443">
        <v>1</v>
      </c>
      <c r="AH443">
        <v>0</v>
      </c>
      <c r="AI443">
        <v>0</v>
      </c>
      <c r="AJ443">
        <v>1</v>
      </c>
    </row>
    <row r="444" spans="2:40" ht="15" customHeight="1" x14ac:dyDescent="0.2">
      <c r="B444" t="s">
        <v>300</v>
      </c>
      <c r="D444">
        <v>7</v>
      </c>
      <c r="E444" t="s">
        <v>437</v>
      </c>
      <c r="F444" t="s">
        <v>268</v>
      </c>
      <c r="G444" s="15">
        <v>43686</v>
      </c>
      <c r="H444" t="s">
        <v>144</v>
      </c>
      <c r="I444" t="s">
        <v>401</v>
      </c>
      <c r="J444" t="s">
        <v>402</v>
      </c>
      <c r="K444">
        <v>9</v>
      </c>
      <c r="L444" t="s">
        <v>137</v>
      </c>
      <c r="M444" t="s">
        <v>432</v>
      </c>
      <c r="N444" t="s">
        <v>156</v>
      </c>
      <c r="O444">
        <v>68</v>
      </c>
      <c r="P444">
        <v>113</v>
      </c>
      <c r="Q444">
        <v>5727</v>
      </c>
      <c r="R444" t="s">
        <v>303</v>
      </c>
      <c r="S444" t="s">
        <v>303</v>
      </c>
      <c r="T444" t="s">
        <v>405</v>
      </c>
      <c r="U444" t="s">
        <v>406</v>
      </c>
      <c r="V444" t="s">
        <v>123</v>
      </c>
      <c r="W444" t="s">
        <v>156</v>
      </c>
      <c r="AA444">
        <v>0.5</v>
      </c>
      <c r="AB444" t="s">
        <v>99</v>
      </c>
      <c r="AC444" t="s">
        <v>263</v>
      </c>
      <c r="AE444" t="str">
        <f t="shared" si="6"/>
        <v>Lynch</v>
      </c>
      <c r="AF444">
        <v>0.5</v>
      </c>
      <c r="AG444">
        <v>1</v>
      </c>
      <c r="AH444">
        <v>0</v>
      </c>
      <c r="AI444">
        <v>0</v>
      </c>
      <c r="AJ444">
        <v>1</v>
      </c>
    </row>
    <row r="445" spans="2:40" ht="15" customHeight="1" x14ac:dyDescent="0.2">
      <c r="B445" t="s">
        <v>300</v>
      </c>
      <c r="D445">
        <v>7</v>
      </c>
      <c r="E445" t="s">
        <v>437</v>
      </c>
      <c r="F445" t="s">
        <v>268</v>
      </c>
      <c r="G445" s="15">
        <v>43686</v>
      </c>
      <c r="H445" t="s">
        <v>144</v>
      </c>
      <c r="I445" t="s">
        <v>401</v>
      </c>
      <c r="J445" t="s">
        <v>402</v>
      </c>
      <c r="K445">
        <v>9</v>
      </c>
      <c r="L445" t="s">
        <v>137</v>
      </c>
      <c r="M445" t="s">
        <v>432</v>
      </c>
      <c r="N445" t="s">
        <v>156</v>
      </c>
      <c r="O445">
        <v>68</v>
      </c>
      <c r="P445">
        <v>113</v>
      </c>
      <c r="Q445">
        <v>5727</v>
      </c>
      <c r="R445" t="s">
        <v>303</v>
      </c>
      <c r="S445" t="s">
        <v>303</v>
      </c>
      <c r="T445" t="s">
        <v>405</v>
      </c>
      <c r="U445" t="s">
        <v>406</v>
      </c>
      <c r="V445" t="s">
        <v>227</v>
      </c>
      <c r="W445" t="s">
        <v>156</v>
      </c>
      <c r="AA445">
        <v>0.5</v>
      </c>
      <c r="AB445" t="s">
        <v>99</v>
      </c>
      <c r="AC445" t="s">
        <v>263</v>
      </c>
      <c r="AE445" t="str">
        <f t="shared" si="6"/>
        <v>Zimmer</v>
      </c>
      <c r="AF445">
        <v>0.5</v>
      </c>
      <c r="AG445">
        <v>1</v>
      </c>
      <c r="AH445">
        <v>0</v>
      </c>
      <c r="AI445">
        <v>0</v>
      </c>
      <c r="AJ445">
        <v>1</v>
      </c>
    </row>
    <row r="446" spans="2:40" ht="15" customHeight="1" x14ac:dyDescent="0.2">
      <c r="B446" t="s">
        <v>300</v>
      </c>
      <c r="D446">
        <v>7</v>
      </c>
      <c r="E446" t="s">
        <v>437</v>
      </c>
      <c r="F446" t="s">
        <v>268</v>
      </c>
      <c r="G446" s="15">
        <v>43686</v>
      </c>
      <c r="H446" t="s">
        <v>144</v>
      </c>
      <c r="I446" t="s">
        <v>401</v>
      </c>
      <c r="J446" t="s">
        <v>402</v>
      </c>
      <c r="K446">
        <v>9</v>
      </c>
      <c r="L446" t="s">
        <v>137</v>
      </c>
      <c r="M446" t="s">
        <v>432</v>
      </c>
      <c r="N446" t="s">
        <v>156</v>
      </c>
      <c r="O446">
        <v>68</v>
      </c>
      <c r="P446">
        <v>113</v>
      </c>
      <c r="Q446">
        <v>5727</v>
      </c>
      <c r="R446" t="s">
        <v>303</v>
      </c>
      <c r="S446" t="s">
        <v>303</v>
      </c>
      <c r="T446" t="s">
        <v>407</v>
      </c>
      <c r="U446" t="s">
        <v>408</v>
      </c>
      <c r="V446" t="s">
        <v>122</v>
      </c>
      <c r="W446" t="s">
        <v>114</v>
      </c>
      <c r="AA446">
        <v>0.5</v>
      </c>
      <c r="AB446" t="s">
        <v>100</v>
      </c>
      <c r="AC446" t="s">
        <v>263</v>
      </c>
      <c r="AE446" t="str">
        <f t="shared" si="6"/>
        <v>Hilts</v>
      </c>
      <c r="AF446">
        <v>0</v>
      </c>
      <c r="AG446">
        <v>0</v>
      </c>
      <c r="AH446">
        <v>1</v>
      </c>
      <c r="AI446">
        <v>0</v>
      </c>
      <c r="AJ446">
        <v>0</v>
      </c>
    </row>
    <row r="447" spans="2:40" ht="15" customHeight="1" x14ac:dyDescent="0.2">
      <c r="B447" t="s">
        <v>300</v>
      </c>
      <c r="D447">
        <v>7</v>
      </c>
      <c r="E447" t="s">
        <v>437</v>
      </c>
      <c r="F447" t="s">
        <v>268</v>
      </c>
      <c r="G447" s="15">
        <v>43686</v>
      </c>
      <c r="H447" t="s">
        <v>144</v>
      </c>
      <c r="I447" t="s">
        <v>401</v>
      </c>
      <c r="J447" t="s">
        <v>402</v>
      </c>
      <c r="K447">
        <v>9</v>
      </c>
      <c r="L447" t="s">
        <v>137</v>
      </c>
      <c r="M447" t="s">
        <v>432</v>
      </c>
      <c r="N447" t="s">
        <v>156</v>
      </c>
      <c r="O447">
        <v>68</v>
      </c>
      <c r="P447">
        <v>113</v>
      </c>
      <c r="Q447">
        <v>5727</v>
      </c>
      <c r="R447" t="s">
        <v>303</v>
      </c>
      <c r="S447" t="s">
        <v>303</v>
      </c>
      <c r="T447" t="s">
        <v>407</v>
      </c>
      <c r="U447" t="s">
        <v>408</v>
      </c>
      <c r="V447" t="s">
        <v>130</v>
      </c>
      <c r="W447" t="s">
        <v>114</v>
      </c>
      <c r="AA447">
        <v>0.5</v>
      </c>
      <c r="AB447" t="s">
        <v>100</v>
      </c>
      <c r="AC447" t="s">
        <v>263</v>
      </c>
      <c r="AE447" t="str">
        <f t="shared" si="6"/>
        <v>Poirier</v>
      </c>
      <c r="AF447">
        <v>0</v>
      </c>
      <c r="AG447">
        <v>0</v>
      </c>
      <c r="AH447">
        <v>1</v>
      </c>
      <c r="AI447">
        <v>0</v>
      </c>
      <c r="AJ447">
        <v>0</v>
      </c>
    </row>
    <row r="448" spans="2:40" ht="15" customHeight="1" x14ac:dyDescent="0.2">
      <c r="B448" t="s">
        <v>300</v>
      </c>
      <c r="D448">
        <v>7</v>
      </c>
      <c r="E448" t="s">
        <v>437</v>
      </c>
      <c r="F448" t="s">
        <v>268</v>
      </c>
      <c r="G448" s="15">
        <v>43686</v>
      </c>
      <c r="H448" t="s">
        <v>144</v>
      </c>
      <c r="I448" t="s">
        <v>401</v>
      </c>
      <c r="J448" t="s">
        <v>402</v>
      </c>
      <c r="K448">
        <v>9</v>
      </c>
      <c r="L448" t="s">
        <v>137</v>
      </c>
      <c r="M448" t="s">
        <v>432</v>
      </c>
      <c r="N448" t="s">
        <v>156</v>
      </c>
      <c r="O448">
        <v>68</v>
      </c>
      <c r="P448">
        <v>113</v>
      </c>
      <c r="Q448">
        <v>5727</v>
      </c>
      <c r="R448" t="s">
        <v>303</v>
      </c>
      <c r="S448" t="s">
        <v>303</v>
      </c>
      <c r="T448" t="s">
        <v>407</v>
      </c>
      <c r="U448" t="s">
        <v>408</v>
      </c>
      <c r="V448" t="s">
        <v>1308</v>
      </c>
      <c r="W448" t="s">
        <v>114</v>
      </c>
      <c r="AA448">
        <v>0.5</v>
      </c>
      <c r="AB448" t="s">
        <v>100</v>
      </c>
      <c r="AC448" t="s">
        <v>263</v>
      </c>
      <c r="AE448" t="str">
        <f t="shared" si="6"/>
        <v>Connolly</v>
      </c>
      <c r="AF448">
        <v>0</v>
      </c>
      <c r="AG448">
        <v>0</v>
      </c>
      <c r="AH448">
        <v>1</v>
      </c>
      <c r="AI448">
        <v>0</v>
      </c>
      <c r="AJ448">
        <v>0</v>
      </c>
    </row>
    <row r="449" spans="2:38" ht="15" customHeight="1" x14ac:dyDescent="0.2">
      <c r="B449" t="s">
        <v>300</v>
      </c>
      <c r="D449">
        <v>7</v>
      </c>
      <c r="E449" t="s">
        <v>437</v>
      </c>
      <c r="F449" t="s">
        <v>268</v>
      </c>
      <c r="G449" s="15">
        <v>43686</v>
      </c>
      <c r="H449" t="s">
        <v>144</v>
      </c>
      <c r="I449" t="s">
        <v>401</v>
      </c>
      <c r="J449" t="s">
        <v>402</v>
      </c>
      <c r="K449">
        <v>9</v>
      </c>
      <c r="L449" t="s">
        <v>137</v>
      </c>
      <c r="M449" t="s">
        <v>432</v>
      </c>
      <c r="N449" t="s">
        <v>156</v>
      </c>
      <c r="O449">
        <v>68</v>
      </c>
      <c r="P449">
        <v>113</v>
      </c>
      <c r="Q449">
        <v>5727</v>
      </c>
      <c r="R449" t="s">
        <v>303</v>
      </c>
      <c r="S449" t="s">
        <v>303</v>
      </c>
      <c r="T449" t="s">
        <v>407</v>
      </c>
      <c r="U449" t="s">
        <v>408</v>
      </c>
      <c r="V449" t="s">
        <v>133</v>
      </c>
      <c r="W449" t="s">
        <v>114</v>
      </c>
      <c r="AA449">
        <v>0.5</v>
      </c>
      <c r="AB449" t="s">
        <v>100</v>
      </c>
      <c r="AC449" t="s">
        <v>263</v>
      </c>
      <c r="AE449" t="str">
        <f t="shared" si="6"/>
        <v>Mangold</v>
      </c>
      <c r="AF449">
        <v>0</v>
      </c>
      <c r="AG449">
        <v>0</v>
      </c>
      <c r="AH449">
        <v>1</v>
      </c>
      <c r="AI449">
        <v>0</v>
      </c>
      <c r="AJ449">
        <v>0</v>
      </c>
    </row>
    <row r="450" spans="2:38" ht="15" customHeight="1" x14ac:dyDescent="0.2">
      <c r="B450" t="s">
        <v>300</v>
      </c>
      <c r="D450">
        <v>7</v>
      </c>
      <c r="E450" t="s">
        <v>437</v>
      </c>
      <c r="F450" t="s">
        <v>268</v>
      </c>
      <c r="G450" s="15">
        <v>43686</v>
      </c>
      <c r="H450" t="s">
        <v>144</v>
      </c>
      <c r="I450" t="s">
        <v>401</v>
      </c>
      <c r="J450" t="s">
        <v>402</v>
      </c>
      <c r="K450">
        <v>9</v>
      </c>
      <c r="L450" t="s">
        <v>137</v>
      </c>
      <c r="M450" t="s">
        <v>432</v>
      </c>
      <c r="N450" t="s">
        <v>156</v>
      </c>
      <c r="O450">
        <v>68</v>
      </c>
      <c r="P450">
        <v>113</v>
      </c>
      <c r="Q450">
        <v>5727</v>
      </c>
      <c r="R450" t="s">
        <v>303</v>
      </c>
      <c r="S450" t="s">
        <v>303</v>
      </c>
      <c r="T450" t="s">
        <v>407</v>
      </c>
      <c r="U450" t="s">
        <v>408</v>
      </c>
      <c r="V450" t="s">
        <v>176</v>
      </c>
      <c r="W450" t="s">
        <v>114</v>
      </c>
      <c r="AA450">
        <v>0.5</v>
      </c>
      <c r="AB450" t="s">
        <v>100</v>
      </c>
      <c r="AC450" t="s">
        <v>263</v>
      </c>
      <c r="AE450" t="str">
        <f t="shared" ref="AE450:AE513" si="7">$V450&amp;$Y450</f>
        <v>Forster</v>
      </c>
      <c r="AF450">
        <v>0</v>
      </c>
      <c r="AG450">
        <v>0</v>
      </c>
      <c r="AH450">
        <v>1</v>
      </c>
      <c r="AI450">
        <v>0</v>
      </c>
      <c r="AJ450">
        <v>0</v>
      </c>
    </row>
    <row r="451" spans="2:38" ht="15" customHeight="1" x14ac:dyDescent="0.2">
      <c r="B451" t="s">
        <v>300</v>
      </c>
      <c r="D451">
        <v>7</v>
      </c>
      <c r="E451" t="s">
        <v>437</v>
      </c>
      <c r="F451" t="s">
        <v>268</v>
      </c>
      <c r="G451" s="15">
        <v>43686</v>
      </c>
      <c r="H451" t="s">
        <v>144</v>
      </c>
      <c r="I451" t="s">
        <v>401</v>
      </c>
      <c r="J451" t="s">
        <v>402</v>
      </c>
      <c r="K451">
        <v>9</v>
      </c>
      <c r="L451" t="s">
        <v>137</v>
      </c>
      <c r="M451" t="s">
        <v>432</v>
      </c>
      <c r="N451" t="s">
        <v>156</v>
      </c>
      <c r="O451">
        <v>68</v>
      </c>
      <c r="P451">
        <v>113</v>
      </c>
      <c r="Q451">
        <v>5727</v>
      </c>
      <c r="R451" t="s">
        <v>303</v>
      </c>
      <c r="S451" t="s">
        <v>303</v>
      </c>
      <c r="T451" t="s">
        <v>407</v>
      </c>
      <c r="U451" t="s">
        <v>408</v>
      </c>
      <c r="V451" t="s">
        <v>230</v>
      </c>
      <c r="W451" t="s">
        <v>114</v>
      </c>
      <c r="AA451">
        <v>0.5</v>
      </c>
      <c r="AB451" t="s">
        <v>100</v>
      </c>
      <c r="AC451" t="s">
        <v>263</v>
      </c>
      <c r="AE451" t="str">
        <f t="shared" si="7"/>
        <v>Norat</v>
      </c>
      <c r="AF451">
        <v>0</v>
      </c>
      <c r="AG451">
        <v>0</v>
      </c>
      <c r="AH451">
        <v>1</v>
      </c>
      <c r="AI451">
        <v>0</v>
      </c>
      <c r="AJ451">
        <v>0</v>
      </c>
    </row>
    <row r="452" spans="2:38" ht="15" customHeight="1" x14ac:dyDescent="0.2">
      <c r="B452" t="s">
        <v>300</v>
      </c>
      <c r="D452">
        <v>7</v>
      </c>
      <c r="E452" t="s">
        <v>437</v>
      </c>
      <c r="F452" t="s">
        <v>268</v>
      </c>
      <c r="G452" s="15">
        <v>43686</v>
      </c>
      <c r="H452" t="s">
        <v>144</v>
      </c>
      <c r="I452" t="s">
        <v>401</v>
      </c>
      <c r="J452" t="s">
        <v>402</v>
      </c>
      <c r="K452">
        <v>9</v>
      </c>
      <c r="L452" t="s">
        <v>137</v>
      </c>
      <c r="M452" t="s">
        <v>432</v>
      </c>
      <c r="N452" t="s">
        <v>156</v>
      </c>
      <c r="O452">
        <v>68</v>
      </c>
      <c r="P452">
        <v>113</v>
      </c>
      <c r="Q452">
        <v>5727</v>
      </c>
      <c r="R452" t="s">
        <v>303</v>
      </c>
      <c r="S452" t="s">
        <v>303</v>
      </c>
      <c r="T452" t="s">
        <v>407</v>
      </c>
      <c r="U452" t="s">
        <v>408</v>
      </c>
      <c r="V452" t="s">
        <v>272</v>
      </c>
      <c r="W452" t="s">
        <v>114</v>
      </c>
      <c r="AA452">
        <v>0.5</v>
      </c>
      <c r="AB452" t="s">
        <v>100</v>
      </c>
      <c r="AC452" t="s">
        <v>263</v>
      </c>
      <c r="AE452" t="str">
        <f t="shared" si="7"/>
        <v>Welker</v>
      </c>
      <c r="AF452">
        <v>0</v>
      </c>
      <c r="AG452">
        <v>0</v>
      </c>
      <c r="AH452">
        <v>1</v>
      </c>
      <c r="AI452">
        <v>0</v>
      </c>
      <c r="AJ452">
        <v>0</v>
      </c>
    </row>
    <row r="453" spans="2:38" ht="15" customHeight="1" x14ac:dyDescent="0.2">
      <c r="B453" t="s">
        <v>300</v>
      </c>
      <c r="D453">
        <v>7</v>
      </c>
      <c r="E453" t="s">
        <v>437</v>
      </c>
      <c r="F453" t="s">
        <v>268</v>
      </c>
      <c r="G453" s="15">
        <v>43686</v>
      </c>
      <c r="H453" t="s">
        <v>144</v>
      </c>
      <c r="I453" t="s">
        <v>401</v>
      </c>
      <c r="J453" t="s">
        <v>402</v>
      </c>
      <c r="K453">
        <v>9</v>
      </c>
      <c r="L453" t="s">
        <v>137</v>
      </c>
      <c r="M453" t="s">
        <v>432</v>
      </c>
      <c r="N453" t="s">
        <v>156</v>
      </c>
      <c r="O453">
        <v>68</v>
      </c>
      <c r="P453">
        <v>113</v>
      </c>
      <c r="Q453">
        <v>5727</v>
      </c>
      <c r="R453" t="s">
        <v>303</v>
      </c>
      <c r="S453" t="s">
        <v>303</v>
      </c>
      <c r="T453" t="s">
        <v>407</v>
      </c>
      <c r="U453" t="s">
        <v>408</v>
      </c>
      <c r="V453" t="s">
        <v>135</v>
      </c>
      <c r="W453" t="s">
        <v>114</v>
      </c>
      <c r="AA453">
        <v>0.5</v>
      </c>
      <c r="AB453" t="s">
        <v>100</v>
      </c>
      <c r="AC453" t="s">
        <v>263</v>
      </c>
      <c r="AE453" t="str">
        <f t="shared" si="7"/>
        <v>Shively</v>
      </c>
      <c r="AF453">
        <v>0</v>
      </c>
      <c r="AG453">
        <v>0</v>
      </c>
      <c r="AH453">
        <v>1</v>
      </c>
      <c r="AI453">
        <v>0</v>
      </c>
      <c r="AJ453">
        <v>0</v>
      </c>
    </row>
    <row r="454" spans="2:38" ht="15" customHeight="1" x14ac:dyDescent="0.2">
      <c r="B454" t="s">
        <v>300</v>
      </c>
      <c r="D454">
        <v>7</v>
      </c>
      <c r="E454" t="s">
        <v>437</v>
      </c>
      <c r="F454" t="s">
        <v>268</v>
      </c>
      <c r="G454" s="15">
        <v>43686</v>
      </c>
      <c r="H454" t="s">
        <v>144</v>
      </c>
      <c r="I454" t="s">
        <v>401</v>
      </c>
      <c r="J454" t="s">
        <v>402</v>
      </c>
      <c r="K454">
        <v>9</v>
      </c>
      <c r="L454" t="s">
        <v>137</v>
      </c>
      <c r="M454" t="s">
        <v>432</v>
      </c>
      <c r="N454" t="s">
        <v>156</v>
      </c>
      <c r="O454">
        <v>68</v>
      </c>
      <c r="P454">
        <v>113</v>
      </c>
      <c r="Q454">
        <v>5727</v>
      </c>
      <c r="R454" t="s">
        <v>303</v>
      </c>
      <c r="S454" t="s">
        <v>303</v>
      </c>
      <c r="T454" t="s">
        <v>407</v>
      </c>
      <c r="U454" t="s">
        <v>408</v>
      </c>
      <c r="V454" t="s">
        <v>231</v>
      </c>
      <c r="W454" t="s">
        <v>114</v>
      </c>
      <c r="AA454">
        <v>0.5</v>
      </c>
      <c r="AB454" t="s">
        <v>100</v>
      </c>
      <c r="AC454" t="s">
        <v>263</v>
      </c>
      <c r="AE454" t="str">
        <f t="shared" si="7"/>
        <v>McInerney</v>
      </c>
      <c r="AF454">
        <v>0</v>
      </c>
      <c r="AG454">
        <v>0</v>
      </c>
      <c r="AH454">
        <v>1</v>
      </c>
      <c r="AI454">
        <v>0</v>
      </c>
      <c r="AJ454">
        <v>0</v>
      </c>
    </row>
    <row r="455" spans="2:38" ht="15" customHeight="1" x14ac:dyDescent="0.2">
      <c r="B455" t="s">
        <v>300</v>
      </c>
      <c r="D455">
        <v>7</v>
      </c>
      <c r="E455" t="s">
        <v>437</v>
      </c>
      <c r="F455" t="s">
        <v>268</v>
      </c>
      <c r="G455" s="15">
        <v>43686</v>
      </c>
      <c r="H455" t="s">
        <v>144</v>
      </c>
      <c r="I455" t="s">
        <v>401</v>
      </c>
      <c r="J455" t="s">
        <v>402</v>
      </c>
      <c r="K455">
        <v>9</v>
      </c>
      <c r="L455" t="s">
        <v>137</v>
      </c>
      <c r="M455" t="s">
        <v>432</v>
      </c>
      <c r="N455" t="s">
        <v>156</v>
      </c>
      <c r="O455">
        <v>68</v>
      </c>
      <c r="P455">
        <v>113</v>
      </c>
      <c r="Q455">
        <v>5727</v>
      </c>
      <c r="R455" t="s">
        <v>303</v>
      </c>
      <c r="S455" t="s">
        <v>303</v>
      </c>
      <c r="T455" t="s">
        <v>407</v>
      </c>
      <c r="U455" t="s">
        <v>408</v>
      </c>
      <c r="V455" t="s">
        <v>172</v>
      </c>
      <c r="W455" t="s">
        <v>114</v>
      </c>
      <c r="AA455">
        <v>0.5</v>
      </c>
      <c r="AB455" t="s">
        <v>100</v>
      </c>
      <c r="AC455" t="s">
        <v>263</v>
      </c>
      <c r="AE455" t="str">
        <f t="shared" si="7"/>
        <v>Fogan</v>
      </c>
      <c r="AF455">
        <v>0</v>
      </c>
      <c r="AG455">
        <v>0</v>
      </c>
      <c r="AH455">
        <v>1</v>
      </c>
      <c r="AI455">
        <v>0</v>
      </c>
      <c r="AJ455">
        <v>0</v>
      </c>
    </row>
    <row r="456" spans="2:38" ht="15" customHeight="1" x14ac:dyDescent="0.2">
      <c r="B456">
        <v>21</v>
      </c>
      <c r="C456">
        <v>1</v>
      </c>
      <c r="D456">
        <v>7</v>
      </c>
      <c r="E456" t="s">
        <v>1298</v>
      </c>
      <c r="F456" t="s">
        <v>108</v>
      </c>
      <c r="G456" s="15">
        <v>43687</v>
      </c>
      <c r="H456" t="s">
        <v>109</v>
      </c>
      <c r="I456" t="s">
        <v>401</v>
      </c>
      <c r="J456" t="s">
        <v>402</v>
      </c>
      <c r="K456">
        <v>18</v>
      </c>
      <c r="L456" t="s">
        <v>154</v>
      </c>
      <c r="M456" t="s">
        <v>438</v>
      </c>
      <c r="N456" t="s">
        <v>404</v>
      </c>
      <c r="O456">
        <v>72.099999999999994</v>
      </c>
      <c r="P456">
        <v>136</v>
      </c>
      <c r="Q456">
        <v>6422</v>
      </c>
      <c r="R456" t="s">
        <v>157</v>
      </c>
      <c r="S456" t="s">
        <v>158</v>
      </c>
      <c r="T456" t="s">
        <v>405</v>
      </c>
      <c r="U456" t="s">
        <v>406</v>
      </c>
      <c r="V456" t="s">
        <v>693</v>
      </c>
      <c r="W456" t="s">
        <v>114</v>
      </c>
      <c r="AA456">
        <v>2</v>
      </c>
      <c r="AB456" t="s">
        <v>100</v>
      </c>
      <c r="AC456" t="s">
        <v>263</v>
      </c>
      <c r="AD456" t="s">
        <v>1308</v>
      </c>
      <c r="AE456" t="str">
        <f t="shared" si="7"/>
        <v>Bussiculo</v>
      </c>
      <c r="AF456">
        <v>0</v>
      </c>
      <c r="AG456">
        <v>0</v>
      </c>
      <c r="AH456">
        <v>1</v>
      </c>
      <c r="AI456">
        <v>0</v>
      </c>
      <c r="AJ456">
        <v>0</v>
      </c>
      <c r="AK456" t="s">
        <v>1308</v>
      </c>
      <c r="AL456">
        <v>0.59375</v>
      </c>
    </row>
    <row r="457" spans="2:38" ht="15" customHeight="1" x14ac:dyDescent="0.2">
      <c r="B457">
        <v>21</v>
      </c>
      <c r="C457">
        <v>2</v>
      </c>
      <c r="D457">
        <v>7</v>
      </c>
      <c r="E457" t="s">
        <v>439</v>
      </c>
      <c r="F457" t="s">
        <v>108</v>
      </c>
      <c r="G457" s="15">
        <v>43687</v>
      </c>
      <c r="H457" t="s">
        <v>109</v>
      </c>
      <c r="I457" t="s">
        <v>401</v>
      </c>
      <c r="J457" t="s">
        <v>402</v>
      </c>
      <c r="K457">
        <v>18</v>
      </c>
      <c r="L457" t="s">
        <v>154</v>
      </c>
      <c r="M457" t="s">
        <v>438</v>
      </c>
      <c r="N457" t="s">
        <v>404</v>
      </c>
      <c r="O457">
        <v>72.099999999999994</v>
      </c>
      <c r="P457">
        <v>136</v>
      </c>
      <c r="Q457">
        <v>6422</v>
      </c>
      <c r="R457" t="s">
        <v>157</v>
      </c>
      <c r="S457" t="s">
        <v>158</v>
      </c>
      <c r="T457" t="s">
        <v>405</v>
      </c>
      <c r="U457" t="s">
        <v>406</v>
      </c>
      <c r="V457" t="s">
        <v>127</v>
      </c>
      <c r="W457" t="s">
        <v>114</v>
      </c>
      <c r="AA457">
        <v>2</v>
      </c>
      <c r="AB457" t="s">
        <v>100</v>
      </c>
      <c r="AC457" t="s">
        <v>263</v>
      </c>
      <c r="AD457" t="s">
        <v>176</v>
      </c>
      <c r="AE457" t="str">
        <f t="shared" si="7"/>
        <v>Ferrin</v>
      </c>
      <c r="AF457">
        <v>0</v>
      </c>
      <c r="AG457">
        <v>0</v>
      </c>
      <c r="AH457">
        <v>1</v>
      </c>
      <c r="AI457">
        <v>0</v>
      </c>
      <c r="AJ457">
        <v>0</v>
      </c>
      <c r="AK457" t="s">
        <v>176</v>
      </c>
      <c r="AL457">
        <v>0.59649122807017496</v>
      </c>
    </row>
    <row r="458" spans="2:38" ht="15" customHeight="1" x14ac:dyDescent="0.2">
      <c r="B458">
        <v>22</v>
      </c>
      <c r="C458">
        <v>3</v>
      </c>
      <c r="D458">
        <v>7</v>
      </c>
      <c r="E458" t="s">
        <v>440</v>
      </c>
      <c r="F458" t="s">
        <v>108</v>
      </c>
      <c r="G458" s="15">
        <v>43687</v>
      </c>
      <c r="H458" t="s">
        <v>109</v>
      </c>
      <c r="I458" t="s">
        <v>401</v>
      </c>
      <c r="J458" t="s">
        <v>402</v>
      </c>
      <c r="K458">
        <v>18</v>
      </c>
      <c r="L458" t="s">
        <v>154</v>
      </c>
      <c r="M458" t="s">
        <v>438</v>
      </c>
      <c r="N458" t="s">
        <v>404</v>
      </c>
      <c r="O458">
        <v>72.099999999999994</v>
      </c>
      <c r="P458">
        <v>136</v>
      </c>
      <c r="Q458">
        <v>6422</v>
      </c>
      <c r="R458" t="s">
        <v>157</v>
      </c>
      <c r="S458" t="s">
        <v>158</v>
      </c>
      <c r="T458" t="s">
        <v>405</v>
      </c>
      <c r="U458" t="s">
        <v>406</v>
      </c>
      <c r="V458" t="s">
        <v>227</v>
      </c>
      <c r="W458" t="s">
        <v>114</v>
      </c>
      <c r="AA458">
        <v>2</v>
      </c>
      <c r="AB458" t="s">
        <v>99</v>
      </c>
      <c r="AC458" t="s">
        <v>288</v>
      </c>
      <c r="AD458" t="s">
        <v>122</v>
      </c>
      <c r="AE458" t="str">
        <f t="shared" si="7"/>
        <v>Zimmer</v>
      </c>
      <c r="AF458">
        <v>2</v>
      </c>
      <c r="AG458">
        <v>1</v>
      </c>
      <c r="AH458">
        <v>0</v>
      </c>
      <c r="AI458">
        <v>0</v>
      </c>
      <c r="AJ458">
        <v>1</v>
      </c>
      <c r="AK458" t="s">
        <v>122</v>
      </c>
      <c r="AL458">
        <v>0.47321428571428598</v>
      </c>
    </row>
    <row r="459" spans="2:38" ht="15" customHeight="1" x14ac:dyDescent="0.2">
      <c r="B459">
        <v>22</v>
      </c>
      <c r="C459">
        <v>4</v>
      </c>
      <c r="D459">
        <v>7</v>
      </c>
      <c r="E459" t="s">
        <v>441</v>
      </c>
      <c r="F459" t="s">
        <v>108</v>
      </c>
      <c r="G459" s="15">
        <v>43687</v>
      </c>
      <c r="H459" t="s">
        <v>109</v>
      </c>
      <c r="I459" t="s">
        <v>401</v>
      </c>
      <c r="J459" t="s">
        <v>402</v>
      </c>
      <c r="K459">
        <v>18</v>
      </c>
      <c r="L459" t="s">
        <v>154</v>
      </c>
      <c r="M459" t="s">
        <v>438</v>
      </c>
      <c r="N459" t="s">
        <v>404</v>
      </c>
      <c r="O459">
        <v>72.099999999999994</v>
      </c>
      <c r="P459">
        <v>136</v>
      </c>
      <c r="Q459">
        <v>6422</v>
      </c>
      <c r="R459" t="s">
        <v>157</v>
      </c>
      <c r="S459" t="s">
        <v>158</v>
      </c>
      <c r="T459" t="s">
        <v>405</v>
      </c>
      <c r="U459" t="s">
        <v>406</v>
      </c>
      <c r="V459" t="s">
        <v>226</v>
      </c>
      <c r="W459" t="s">
        <v>114</v>
      </c>
      <c r="AA459">
        <v>2</v>
      </c>
      <c r="AB459" t="s">
        <v>99</v>
      </c>
      <c r="AC459" t="s">
        <v>263</v>
      </c>
      <c r="AD459" t="s">
        <v>272</v>
      </c>
      <c r="AE459" t="str">
        <f t="shared" si="7"/>
        <v>Gray</v>
      </c>
      <c r="AF459">
        <v>2</v>
      </c>
      <c r="AG459">
        <v>1</v>
      </c>
      <c r="AH459">
        <v>0</v>
      </c>
      <c r="AI459">
        <v>0</v>
      </c>
      <c r="AJ459">
        <v>1</v>
      </c>
      <c r="AK459" t="s">
        <v>272</v>
      </c>
      <c r="AL459">
        <v>0.51041666666666696</v>
      </c>
    </row>
    <row r="460" spans="2:38" ht="15" customHeight="1" x14ac:dyDescent="0.2">
      <c r="B460">
        <v>23</v>
      </c>
      <c r="C460">
        <v>5</v>
      </c>
      <c r="D460">
        <v>7</v>
      </c>
      <c r="E460" t="s">
        <v>442</v>
      </c>
      <c r="F460" t="s">
        <v>108</v>
      </c>
      <c r="G460" s="15">
        <v>43687</v>
      </c>
      <c r="H460" t="s">
        <v>109</v>
      </c>
      <c r="I460" t="s">
        <v>401</v>
      </c>
      <c r="J460" t="s">
        <v>402</v>
      </c>
      <c r="K460">
        <v>18</v>
      </c>
      <c r="L460" t="s">
        <v>154</v>
      </c>
      <c r="M460" t="s">
        <v>438</v>
      </c>
      <c r="N460" t="s">
        <v>404</v>
      </c>
      <c r="O460">
        <v>72.099999999999994</v>
      </c>
      <c r="P460">
        <v>136</v>
      </c>
      <c r="Q460">
        <v>6422</v>
      </c>
      <c r="R460" t="s">
        <v>157</v>
      </c>
      <c r="S460" t="s">
        <v>158</v>
      </c>
      <c r="T460" t="s">
        <v>405</v>
      </c>
      <c r="U460" t="s">
        <v>406</v>
      </c>
      <c r="V460" t="s">
        <v>119</v>
      </c>
      <c r="W460" t="s">
        <v>114</v>
      </c>
      <c r="AA460">
        <v>2</v>
      </c>
      <c r="AB460" t="s">
        <v>99</v>
      </c>
      <c r="AC460" t="s">
        <v>239</v>
      </c>
      <c r="AD460" t="s">
        <v>133</v>
      </c>
      <c r="AE460" t="str">
        <f t="shared" si="7"/>
        <v>Grise</v>
      </c>
      <c r="AF460">
        <v>2</v>
      </c>
      <c r="AG460">
        <v>1</v>
      </c>
      <c r="AH460">
        <v>0</v>
      </c>
      <c r="AI460">
        <v>0</v>
      </c>
      <c r="AJ460">
        <v>1</v>
      </c>
      <c r="AK460" t="s">
        <v>133</v>
      </c>
      <c r="AL460">
        <v>0.38392857142857201</v>
      </c>
    </row>
    <row r="461" spans="2:38" ht="15" customHeight="1" x14ac:dyDescent="0.2">
      <c r="B461">
        <v>23</v>
      </c>
      <c r="C461">
        <v>6</v>
      </c>
      <c r="D461">
        <v>7</v>
      </c>
      <c r="E461" t="s">
        <v>443</v>
      </c>
      <c r="F461" t="s">
        <v>108</v>
      </c>
      <c r="G461" s="15">
        <v>43687</v>
      </c>
      <c r="H461" t="s">
        <v>109</v>
      </c>
      <c r="I461" t="s">
        <v>401</v>
      </c>
      <c r="J461" t="s">
        <v>402</v>
      </c>
      <c r="K461">
        <v>18</v>
      </c>
      <c r="L461" t="s">
        <v>154</v>
      </c>
      <c r="M461" t="s">
        <v>438</v>
      </c>
      <c r="N461" t="s">
        <v>404</v>
      </c>
      <c r="O461">
        <v>72.099999999999994</v>
      </c>
      <c r="P461">
        <v>136</v>
      </c>
      <c r="Q461">
        <v>6422</v>
      </c>
      <c r="R461" t="s">
        <v>157</v>
      </c>
      <c r="S461" t="s">
        <v>158</v>
      </c>
      <c r="T461" t="s">
        <v>405</v>
      </c>
      <c r="U461" t="s">
        <v>406</v>
      </c>
      <c r="V461" t="s">
        <v>132</v>
      </c>
      <c r="W461" t="s">
        <v>114</v>
      </c>
      <c r="AA461">
        <v>2</v>
      </c>
      <c r="AB461" t="s">
        <v>100</v>
      </c>
      <c r="AC461" t="s">
        <v>263</v>
      </c>
      <c r="AD461" t="s">
        <v>130</v>
      </c>
      <c r="AE461" t="str">
        <f t="shared" si="7"/>
        <v>Flanders</v>
      </c>
      <c r="AF461">
        <v>0</v>
      </c>
      <c r="AG461">
        <v>0</v>
      </c>
      <c r="AH461">
        <v>1</v>
      </c>
      <c r="AI461">
        <v>0</v>
      </c>
      <c r="AJ461">
        <v>0</v>
      </c>
      <c r="AK461" t="s">
        <v>130</v>
      </c>
      <c r="AL461">
        <v>0.48611111111111099</v>
      </c>
    </row>
    <row r="462" spans="2:38" ht="15" customHeight="1" x14ac:dyDescent="0.2">
      <c r="B462">
        <v>24</v>
      </c>
      <c r="C462">
        <v>7</v>
      </c>
      <c r="D462">
        <v>7</v>
      </c>
      <c r="E462" t="s">
        <v>444</v>
      </c>
      <c r="F462" t="s">
        <v>108</v>
      </c>
      <c r="G462" s="15">
        <v>43687</v>
      </c>
      <c r="H462" t="s">
        <v>109</v>
      </c>
      <c r="I462" t="s">
        <v>401</v>
      </c>
      <c r="J462" t="s">
        <v>402</v>
      </c>
      <c r="K462">
        <v>18</v>
      </c>
      <c r="L462" t="s">
        <v>154</v>
      </c>
      <c r="M462" t="s">
        <v>438</v>
      </c>
      <c r="N462" t="s">
        <v>404</v>
      </c>
      <c r="O462">
        <v>72.099999999999994</v>
      </c>
      <c r="P462">
        <v>136</v>
      </c>
      <c r="Q462">
        <v>6422</v>
      </c>
      <c r="R462" t="s">
        <v>157</v>
      </c>
      <c r="S462" t="s">
        <v>158</v>
      </c>
      <c r="T462" t="s">
        <v>405</v>
      </c>
      <c r="U462" t="s">
        <v>406</v>
      </c>
      <c r="V462" t="s">
        <v>123</v>
      </c>
      <c r="W462" t="s">
        <v>114</v>
      </c>
      <c r="AA462">
        <v>2</v>
      </c>
      <c r="AB462" t="s">
        <v>100</v>
      </c>
      <c r="AC462" t="s">
        <v>313</v>
      </c>
      <c r="AD462" t="s">
        <v>135</v>
      </c>
      <c r="AE462" t="str">
        <f t="shared" si="7"/>
        <v>Lynch</v>
      </c>
      <c r="AF462">
        <v>0</v>
      </c>
      <c r="AG462">
        <v>0</v>
      </c>
      <c r="AH462">
        <v>1</v>
      </c>
      <c r="AI462">
        <v>0</v>
      </c>
      <c r="AJ462">
        <v>0</v>
      </c>
      <c r="AK462" t="s">
        <v>135</v>
      </c>
    </row>
    <row r="463" spans="2:38" ht="15" customHeight="1" x14ac:dyDescent="0.2">
      <c r="B463">
        <v>24</v>
      </c>
      <c r="C463">
        <v>8</v>
      </c>
      <c r="D463">
        <v>7</v>
      </c>
      <c r="E463" t="s">
        <v>445</v>
      </c>
      <c r="F463" t="s">
        <v>108</v>
      </c>
      <c r="G463" s="15">
        <v>43687</v>
      </c>
      <c r="H463" t="s">
        <v>109</v>
      </c>
      <c r="I463" t="s">
        <v>401</v>
      </c>
      <c r="J463" t="s">
        <v>402</v>
      </c>
      <c r="K463">
        <v>18</v>
      </c>
      <c r="L463" t="s">
        <v>154</v>
      </c>
      <c r="M463" t="s">
        <v>438</v>
      </c>
      <c r="N463" t="s">
        <v>404</v>
      </c>
      <c r="O463">
        <v>72.099999999999994</v>
      </c>
      <c r="P463">
        <v>136</v>
      </c>
      <c r="Q463">
        <v>6422</v>
      </c>
      <c r="R463" t="s">
        <v>157</v>
      </c>
      <c r="S463" t="s">
        <v>158</v>
      </c>
      <c r="T463" t="s">
        <v>405</v>
      </c>
      <c r="U463" t="s">
        <v>406</v>
      </c>
      <c r="V463" t="s">
        <v>118</v>
      </c>
      <c r="W463" t="s">
        <v>114</v>
      </c>
      <c r="AA463">
        <v>2</v>
      </c>
      <c r="AB463" t="s">
        <v>100</v>
      </c>
      <c r="AC463" t="s">
        <v>239</v>
      </c>
      <c r="AD463" t="s">
        <v>231</v>
      </c>
      <c r="AE463" t="str">
        <f t="shared" si="7"/>
        <v>Jackson</v>
      </c>
      <c r="AF463">
        <v>0</v>
      </c>
      <c r="AG463">
        <v>0</v>
      </c>
      <c r="AH463">
        <v>1</v>
      </c>
      <c r="AI463">
        <v>0</v>
      </c>
      <c r="AJ463">
        <v>0</v>
      </c>
      <c r="AK463" t="s">
        <v>231</v>
      </c>
      <c r="AL463">
        <v>0.5</v>
      </c>
    </row>
    <row r="464" spans="2:38" ht="15" customHeight="1" x14ac:dyDescent="0.2">
      <c r="B464">
        <v>25</v>
      </c>
      <c r="C464">
        <v>9</v>
      </c>
      <c r="D464">
        <v>7</v>
      </c>
      <c r="E464" t="s">
        <v>446</v>
      </c>
      <c r="F464" t="s">
        <v>108</v>
      </c>
      <c r="G464" s="15">
        <v>43687</v>
      </c>
      <c r="H464" t="s">
        <v>109</v>
      </c>
      <c r="I464" t="s">
        <v>401</v>
      </c>
      <c r="J464" t="s">
        <v>402</v>
      </c>
      <c r="K464">
        <v>18</v>
      </c>
      <c r="L464" t="s">
        <v>154</v>
      </c>
      <c r="M464" t="s">
        <v>438</v>
      </c>
      <c r="N464" t="s">
        <v>404</v>
      </c>
      <c r="O464">
        <v>72.099999999999994</v>
      </c>
      <c r="P464">
        <v>136</v>
      </c>
      <c r="Q464">
        <v>6422</v>
      </c>
      <c r="R464" t="s">
        <v>157</v>
      </c>
      <c r="S464" t="s">
        <v>158</v>
      </c>
      <c r="T464" t="s">
        <v>405</v>
      </c>
      <c r="U464" t="s">
        <v>406</v>
      </c>
      <c r="V464" t="s">
        <v>179</v>
      </c>
      <c r="W464" t="s">
        <v>114</v>
      </c>
      <c r="AA464">
        <v>2</v>
      </c>
      <c r="AB464" t="s">
        <v>99</v>
      </c>
      <c r="AC464" t="s">
        <v>239</v>
      </c>
      <c r="AD464" t="s">
        <v>230</v>
      </c>
      <c r="AE464" t="str">
        <f t="shared" si="7"/>
        <v>Cole</v>
      </c>
      <c r="AF464">
        <v>2</v>
      </c>
      <c r="AG464">
        <v>1</v>
      </c>
      <c r="AH464">
        <v>0</v>
      </c>
      <c r="AI464">
        <v>0</v>
      </c>
      <c r="AJ464">
        <v>1</v>
      </c>
      <c r="AK464" t="s">
        <v>230</v>
      </c>
      <c r="AL464">
        <v>0.52777777777777801</v>
      </c>
    </row>
    <row r="465" spans="2:40" ht="15" customHeight="1" x14ac:dyDescent="0.2">
      <c r="B465">
        <v>25</v>
      </c>
      <c r="C465">
        <v>10</v>
      </c>
      <c r="D465">
        <v>7</v>
      </c>
      <c r="E465" t="s">
        <v>447</v>
      </c>
      <c r="F465" t="s">
        <v>108</v>
      </c>
      <c r="G465" s="15">
        <v>43687</v>
      </c>
      <c r="H465" t="s">
        <v>109</v>
      </c>
      <c r="I465" t="s">
        <v>401</v>
      </c>
      <c r="J465" t="s">
        <v>402</v>
      </c>
      <c r="K465">
        <v>18</v>
      </c>
      <c r="L465" t="s">
        <v>154</v>
      </c>
      <c r="M465" t="s">
        <v>438</v>
      </c>
      <c r="N465" t="s">
        <v>404</v>
      </c>
      <c r="O465">
        <v>72.099999999999994</v>
      </c>
      <c r="P465">
        <v>136</v>
      </c>
      <c r="Q465">
        <v>6422</v>
      </c>
      <c r="R465" t="s">
        <v>157</v>
      </c>
      <c r="S465" t="s">
        <v>158</v>
      </c>
      <c r="T465" t="s">
        <v>405</v>
      </c>
      <c r="U465" t="s">
        <v>406</v>
      </c>
      <c r="V465" t="s">
        <v>178</v>
      </c>
      <c r="W465" t="s">
        <v>114</v>
      </c>
      <c r="AA465">
        <v>2</v>
      </c>
      <c r="AB465" t="s">
        <v>100</v>
      </c>
      <c r="AC465" t="s">
        <v>257</v>
      </c>
      <c r="AD465" t="s">
        <v>172</v>
      </c>
      <c r="AE465" t="str">
        <f t="shared" si="7"/>
        <v>Connors</v>
      </c>
      <c r="AF465">
        <v>0</v>
      </c>
      <c r="AG465">
        <v>0</v>
      </c>
      <c r="AH465">
        <v>1</v>
      </c>
      <c r="AI465">
        <v>0</v>
      </c>
      <c r="AJ465">
        <v>0</v>
      </c>
      <c r="AK465" t="s">
        <v>172</v>
      </c>
      <c r="AL465">
        <v>0.37288135593220301</v>
      </c>
    </row>
    <row r="466" spans="2:40" ht="15" customHeight="1" x14ac:dyDescent="0.2">
      <c r="B466">
        <v>26</v>
      </c>
      <c r="C466">
        <v>1</v>
      </c>
      <c r="D466">
        <v>7</v>
      </c>
      <c r="E466" t="s">
        <v>1298</v>
      </c>
      <c r="F466" t="s">
        <v>108</v>
      </c>
      <c r="G466" s="15">
        <v>43687</v>
      </c>
      <c r="H466" t="s">
        <v>109</v>
      </c>
      <c r="I466" t="s">
        <v>401</v>
      </c>
      <c r="J466" t="s">
        <v>402</v>
      </c>
      <c r="K466">
        <v>18</v>
      </c>
      <c r="L466" t="s">
        <v>154</v>
      </c>
      <c r="M466" t="s">
        <v>438</v>
      </c>
      <c r="N466" t="s">
        <v>404</v>
      </c>
      <c r="O466">
        <v>72.099999999999994</v>
      </c>
      <c r="P466">
        <v>136</v>
      </c>
      <c r="Q466">
        <v>6422</v>
      </c>
      <c r="R466" t="s">
        <v>157</v>
      </c>
      <c r="S466" t="s">
        <v>158</v>
      </c>
      <c r="T466" t="s">
        <v>407</v>
      </c>
      <c r="U466" t="s">
        <v>408</v>
      </c>
      <c r="V466" t="s">
        <v>1308</v>
      </c>
      <c r="W466" t="s">
        <v>125</v>
      </c>
      <c r="AA466">
        <v>2</v>
      </c>
      <c r="AB466" t="s">
        <v>99</v>
      </c>
      <c r="AC466" t="s">
        <v>263</v>
      </c>
      <c r="AD466" t="s">
        <v>693</v>
      </c>
      <c r="AE466" t="str">
        <f t="shared" si="7"/>
        <v>Connolly</v>
      </c>
      <c r="AF466">
        <v>2</v>
      </c>
      <c r="AG466">
        <v>1</v>
      </c>
      <c r="AH466">
        <v>0</v>
      </c>
      <c r="AI466">
        <v>0</v>
      </c>
      <c r="AJ466">
        <v>1</v>
      </c>
      <c r="AK466" t="s">
        <v>693</v>
      </c>
      <c r="AL466">
        <v>0.44827586206896602</v>
      </c>
    </row>
    <row r="467" spans="2:40" ht="15" customHeight="1" x14ac:dyDescent="0.2">
      <c r="B467">
        <v>26</v>
      </c>
      <c r="C467">
        <v>2</v>
      </c>
      <c r="D467">
        <v>7</v>
      </c>
      <c r="E467" t="s">
        <v>439</v>
      </c>
      <c r="F467" t="s">
        <v>108</v>
      </c>
      <c r="G467" s="15">
        <v>43687</v>
      </c>
      <c r="H467" t="s">
        <v>109</v>
      </c>
      <c r="I467" t="s">
        <v>401</v>
      </c>
      <c r="J467" t="s">
        <v>402</v>
      </c>
      <c r="K467">
        <v>18</v>
      </c>
      <c r="L467" t="s">
        <v>154</v>
      </c>
      <c r="M467" t="s">
        <v>438</v>
      </c>
      <c r="N467" t="s">
        <v>404</v>
      </c>
      <c r="O467">
        <v>72.099999999999994</v>
      </c>
      <c r="P467">
        <v>136</v>
      </c>
      <c r="Q467">
        <v>6422</v>
      </c>
      <c r="R467" t="s">
        <v>157</v>
      </c>
      <c r="S467" t="s">
        <v>158</v>
      </c>
      <c r="T467" t="s">
        <v>407</v>
      </c>
      <c r="U467" t="s">
        <v>408</v>
      </c>
      <c r="V467" t="s">
        <v>176</v>
      </c>
      <c r="W467" t="s">
        <v>125</v>
      </c>
      <c r="AA467">
        <v>2</v>
      </c>
      <c r="AB467" t="s">
        <v>99</v>
      </c>
      <c r="AC467" t="s">
        <v>263</v>
      </c>
      <c r="AD467" t="s">
        <v>127</v>
      </c>
      <c r="AE467" t="str">
        <f t="shared" si="7"/>
        <v>Forster</v>
      </c>
      <c r="AF467">
        <v>2</v>
      </c>
      <c r="AG467">
        <v>1</v>
      </c>
      <c r="AH467">
        <v>0</v>
      </c>
      <c r="AI467">
        <v>0</v>
      </c>
      <c r="AJ467">
        <v>1</v>
      </c>
      <c r="AK467" t="s">
        <v>127</v>
      </c>
      <c r="AL467">
        <v>0.59523809523809501</v>
      </c>
    </row>
    <row r="468" spans="2:40" ht="15" customHeight="1" x14ac:dyDescent="0.2">
      <c r="B468">
        <v>27</v>
      </c>
      <c r="C468">
        <v>3</v>
      </c>
      <c r="D468">
        <v>7</v>
      </c>
      <c r="E468" t="s">
        <v>440</v>
      </c>
      <c r="F468" t="s">
        <v>108</v>
      </c>
      <c r="G468" s="15">
        <v>43687</v>
      </c>
      <c r="H468" t="s">
        <v>109</v>
      </c>
      <c r="I468" t="s">
        <v>401</v>
      </c>
      <c r="J468" t="s">
        <v>402</v>
      </c>
      <c r="K468">
        <v>18</v>
      </c>
      <c r="L468" t="s">
        <v>154</v>
      </c>
      <c r="M468" t="s">
        <v>438</v>
      </c>
      <c r="N468" t="s">
        <v>404</v>
      </c>
      <c r="O468">
        <v>72.099999999999994</v>
      </c>
      <c r="P468">
        <v>136</v>
      </c>
      <c r="Q468">
        <v>6422</v>
      </c>
      <c r="R468" t="s">
        <v>157</v>
      </c>
      <c r="S468" t="s">
        <v>158</v>
      </c>
      <c r="T468" t="s">
        <v>407</v>
      </c>
      <c r="U468" t="s">
        <v>408</v>
      </c>
      <c r="V468" t="s">
        <v>122</v>
      </c>
      <c r="W468" t="s">
        <v>125</v>
      </c>
      <c r="AA468">
        <v>2</v>
      </c>
      <c r="AB468" t="s">
        <v>100</v>
      </c>
      <c r="AC468" t="s">
        <v>288</v>
      </c>
      <c r="AD468" t="s">
        <v>227</v>
      </c>
      <c r="AE468" t="str">
        <f t="shared" si="7"/>
        <v>Hilts</v>
      </c>
      <c r="AF468">
        <v>0</v>
      </c>
      <c r="AG468">
        <v>0</v>
      </c>
      <c r="AH468">
        <v>1</v>
      </c>
      <c r="AI468">
        <v>0</v>
      </c>
      <c r="AJ468">
        <v>0</v>
      </c>
      <c r="AK468" t="s">
        <v>227</v>
      </c>
      <c r="AL468">
        <v>0.5</v>
      </c>
    </row>
    <row r="469" spans="2:40" ht="15" customHeight="1" x14ac:dyDescent="0.2">
      <c r="B469">
        <v>27</v>
      </c>
      <c r="C469">
        <v>4</v>
      </c>
      <c r="D469">
        <v>7</v>
      </c>
      <c r="E469" t="s">
        <v>441</v>
      </c>
      <c r="F469" t="s">
        <v>108</v>
      </c>
      <c r="G469" s="15">
        <v>43687</v>
      </c>
      <c r="H469" t="s">
        <v>109</v>
      </c>
      <c r="I469" t="s">
        <v>401</v>
      </c>
      <c r="J469" t="s">
        <v>402</v>
      </c>
      <c r="K469">
        <v>18</v>
      </c>
      <c r="L469" t="s">
        <v>154</v>
      </c>
      <c r="M469" t="s">
        <v>438</v>
      </c>
      <c r="N469" t="s">
        <v>404</v>
      </c>
      <c r="O469">
        <v>72.099999999999994</v>
      </c>
      <c r="P469">
        <v>136</v>
      </c>
      <c r="Q469">
        <v>6422</v>
      </c>
      <c r="R469" t="s">
        <v>157</v>
      </c>
      <c r="S469" t="s">
        <v>158</v>
      </c>
      <c r="T469" t="s">
        <v>407</v>
      </c>
      <c r="U469" t="s">
        <v>408</v>
      </c>
      <c r="V469" t="s">
        <v>272</v>
      </c>
      <c r="W469" t="s">
        <v>125</v>
      </c>
      <c r="AA469">
        <v>2</v>
      </c>
      <c r="AB469" t="s">
        <v>100</v>
      </c>
      <c r="AC469" t="s">
        <v>263</v>
      </c>
      <c r="AD469" t="s">
        <v>226</v>
      </c>
      <c r="AE469" t="str">
        <f t="shared" si="7"/>
        <v>Welker</v>
      </c>
      <c r="AF469">
        <v>0</v>
      </c>
      <c r="AG469">
        <v>0</v>
      </c>
      <c r="AH469">
        <v>1</v>
      </c>
      <c r="AI469">
        <v>0</v>
      </c>
      <c r="AJ469">
        <v>0</v>
      </c>
      <c r="AK469" t="s">
        <v>226</v>
      </c>
      <c r="AL469">
        <v>0.65476190476190499</v>
      </c>
    </row>
    <row r="470" spans="2:40" ht="15" customHeight="1" x14ac:dyDescent="0.2">
      <c r="B470">
        <v>28</v>
      </c>
      <c r="C470">
        <v>5</v>
      </c>
      <c r="D470">
        <v>7</v>
      </c>
      <c r="E470" t="s">
        <v>442</v>
      </c>
      <c r="F470" t="s">
        <v>108</v>
      </c>
      <c r="G470" s="15">
        <v>43687</v>
      </c>
      <c r="H470" t="s">
        <v>109</v>
      </c>
      <c r="I470" t="s">
        <v>401</v>
      </c>
      <c r="J470" t="s">
        <v>402</v>
      </c>
      <c r="K470">
        <v>18</v>
      </c>
      <c r="L470" t="s">
        <v>154</v>
      </c>
      <c r="M470" t="s">
        <v>438</v>
      </c>
      <c r="N470" t="s">
        <v>404</v>
      </c>
      <c r="O470">
        <v>72.099999999999994</v>
      </c>
      <c r="P470">
        <v>136</v>
      </c>
      <c r="Q470">
        <v>6422</v>
      </c>
      <c r="R470" t="s">
        <v>157</v>
      </c>
      <c r="S470" t="s">
        <v>158</v>
      </c>
      <c r="T470" t="s">
        <v>407</v>
      </c>
      <c r="U470" t="s">
        <v>408</v>
      </c>
      <c r="V470" t="s">
        <v>133</v>
      </c>
      <c r="W470" t="s">
        <v>125</v>
      </c>
      <c r="AA470">
        <v>2</v>
      </c>
      <c r="AB470" t="s">
        <v>100</v>
      </c>
      <c r="AC470" t="s">
        <v>239</v>
      </c>
      <c r="AD470" t="s">
        <v>119</v>
      </c>
      <c r="AE470" t="str">
        <f t="shared" si="7"/>
        <v>Mangold</v>
      </c>
      <c r="AF470">
        <v>0</v>
      </c>
      <c r="AG470">
        <v>0</v>
      </c>
      <c r="AH470">
        <v>1</v>
      </c>
      <c r="AI470">
        <v>0</v>
      </c>
      <c r="AJ470">
        <v>0</v>
      </c>
      <c r="AK470" t="s">
        <v>119</v>
      </c>
      <c r="AL470">
        <v>0.546875</v>
      </c>
    </row>
    <row r="471" spans="2:40" ht="15" customHeight="1" x14ac:dyDescent="0.2">
      <c r="B471">
        <v>28</v>
      </c>
      <c r="C471">
        <v>6</v>
      </c>
      <c r="D471">
        <v>7</v>
      </c>
      <c r="E471" t="s">
        <v>443</v>
      </c>
      <c r="F471" t="s">
        <v>108</v>
      </c>
      <c r="G471" s="15">
        <v>43687</v>
      </c>
      <c r="H471" t="s">
        <v>109</v>
      </c>
      <c r="I471" t="s">
        <v>401</v>
      </c>
      <c r="J471" t="s">
        <v>402</v>
      </c>
      <c r="K471">
        <v>18</v>
      </c>
      <c r="L471" t="s">
        <v>154</v>
      </c>
      <c r="M471" t="s">
        <v>438</v>
      </c>
      <c r="N471" t="s">
        <v>404</v>
      </c>
      <c r="O471">
        <v>72.099999999999994</v>
      </c>
      <c r="P471">
        <v>136</v>
      </c>
      <c r="Q471">
        <v>6422</v>
      </c>
      <c r="R471" t="s">
        <v>157</v>
      </c>
      <c r="S471" t="s">
        <v>158</v>
      </c>
      <c r="T471" t="s">
        <v>407</v>
      </c>
      <c r="U471" t="s">
        <v>408</v>
      </c>
      <c r="V471" t="s">
        <v>130</v>
      </c>
      <c r="W471" t="s">
        <v>125</v>
      </c>
      <c r="AA471">
        <v>2</v>
      </c>
      <c r="AB471" t="s">
        <v>99</v>
      </c>
      <c r="AC471" t="s">
        <v>263</v>
      </c>
      <c r="AD471" t="s">
        <v>132</v>
      </c>
      <c r="AE471" t="str">
        <f t="shared" si="7"/>
        <v>Poirier</v>
      </c>
      <c r="AF471">
        <v>2</v>
      </c>
      <c r="AG471">
        <v>1</v>
      </c>
      <c r="AH471">
        <v>0</v>
      </c>
      <c r="AI471">
        <v>0</v>
      </c>
      <c r="AJ471">
        <v>1</v>
      </c>
      <c r="AK471" t="s">
        <v>132</v>
      </c>
      <c r="AL471">
        <v>0.4296875</v>
      </c>
    </row>
    <row r="472" spans="2:40" ht="15" customHeight="1" x14ac:dyDescent="0.2">
      <c r="B472">
        <v>29</v>
      </c>
      <c r="C472">
        <v>7</v>
      </c>
      <c r="D472">
        <v>7</v>
      </c>
      <c r="E472" t="s">
        <v>444</v>
      </c>
      <c r="F472" t="s">
        <v>108</v>
      </c>
      <c r="G472" s="15">
        <v>43687</v>
      </c>
      <c r="H472" t="s">
        <v>109</v>
      </c>
      <c r="I472" t="s">
        <v>401</v>
      </c>
      <c r="J472" t="s">
        <v>402</v>
      </c>
      <c r="K472">
        <v>18</v>
      </c>
      <c r="L472" t="s">
        <v>154</v>
      </c>
      <c r="M472" t="s">
        <v>438</v>
      </c>
      <c r="N472" t="s">
        <v>404</v>
      </c>
      <c r="O472">
        <v>72.099999999999994</v>
      </c>
      <c r="P472">
        <v>136</v>
      </c>
      <c r="Q472">
        <v>6422</v>
      </c>
      <c r="R472" t="s">
        <v>157</v>
      </c>
      <c r="S472" t="s">
        <v>158</v>
      </c>
      <c r="T472" t="s">
        <v>407</v>
      </c>
      <c r="U472" t="s">
        <v>408</v>
      </c>
      <c r="V472" t="s">
        <v>135</v>
      </c>
      <c r="W472" t="s">
        <v>125</v>
      </c>
      <c r="AA472">
        <v>2</v>
      </c>
      <c r="AB472" t="s">
        <v>99</v>
      </c>
      <c r="AC472" t="s">
        <v>313</v>
      </c>
      <c r="AD472" t="s">
        <v>123</v>
      </c>
      <c r="AE472" t="str">
        <f t="shared" si="7"/>
        <v>Shively</v>
      </c>
      <c r="AF472">
        <v>2</v>
      </c>
      <c r="AG472">
        <v>1</v>
      </c>
      <c r="AH472">
        <v>0</v>
      </c>
      <c r="AI472">
        <v>0</v>
      </c>
      <c r="AJ472">
        <v>1</v>
      </c>
      <c r="AK472" t="s">
        <v>123</v>
      </c>
      <c r="AL472">
        <v>0.5546875</v>
      </c>
    </row>
    <row r="473" spans="2:40" ht="15" customHeight="1" x14ac:dyDescent="0.2">
      <c r="B473">
        <v>29</v>
      </c>
      <c r="C473">
        <v>8</v>
      </c>
      <c r="D473">
        <v>7</v>
      </c>
      <c r="E473" t="s">
        <v>445</v>
      </c>
      <c r="F473" t="s">
        <v>108</v>
      </c>
      <c r="G473" s="15">
        <v>43687</v>
      </c>
      <c r="H473" t="s">
        <v>109</v>
      </c>
      <c r="I473" t="s">
        <v>401</v>
      </c>
      <c r="J473" t="s">
        <v>402</v>
      </c>
      <c r="K473">
        <v>18</v>
      </c>
      <c r="L473" t="s">
        <v>154</v>
      </c>
      <c r="M473" t="s">
        <v>438</v>
      </c>
      <c r="N473" t="s">
        <v>404</v>
      </c>
      <c r="O473">
        <v>72.099999999999994</v>
      </c>
      <c r="P473">
        <v>136</v>
      </c>
      <c r="Q473">
        <v>6422</v>
      </c>
      <c r="R473" t="s">
        <v>157</v>
      </c>
      <c r="S473" t="s">
        <v>158</v>
      </c>
      <c r="T473" t="s">
        <v>407</v>
      </c>
      <c r="U473" t="s">
        <v>408</v>
      </c>
      <c r="V473" t="s">
        <v>231</v>
      </c>
      <c r="W473" t="s">
        <v>125</v>
      </c>
      <c r="AA473">
        <v>2</v>
      </c>
      <c r="AB473" t="s">
        <v>99</v>
      </c>
      <c r="AC473" t="s">
        <v>239</v>
      </c>
      <c r="AD473" t="s">
        <v>118</v>
      </c>
      <c r="AE473" t="str">
        <f t="shared" si="7"/>
        <v>McInerney</v>
      </c>
      <c r="AF473">
        <v>2</v>
      </c>
      <c r="AG473">
        <v>1</v>
      </c>
      <c r="AH473">
        <v>0</v>
      </c>
      <c r="AI473">
        <v>0</v>
      </c>
      <c r="AJ473">
        <v>1</v>
      </c>
      <c r="AK473" t="s">
        <v>118</v>
      </c>
      <c r="AL473">
        <v>0.6171875</v>
      </c>
    </row>
    <row r="474" spans="2:40" ht="15" customHeight="1" x14ac:dyDescent="0.2">
      <c r="B474">
        <v>30</v>
      </c>
      <c r="C474">
        <v>9</v>
      </c>
      <c r="D474">
        <v>7</v>
      </c>
      <c r="E474" t="s">
        <v>446</v>
      </c>
      <c r="F474" t="s">
        <v>108</v>
      </c>
      <c r="G474" s="15">
        <v>43687</v>
      </c>
      <c r="H474" t="s">
        <v>109</v>
      </c>
      <c r="I474" t="s">
        <v>401</v>
      </c>
      <c r="J474" t="s">
        <v>402</v>
      </c>
      <c r="K474">
        <v>18</v>
      </c>
      <c r="L474" t="s">
        <v>154</v>
      </c>
      <c r="M474" t="s">
        <v>438</v>
      </c>
      <c r="N474" t="s">
        <v>404</v>
      </c>
      <c r="O474">
        <v>72.099999999999994</v>
      </c>
      <c r="P474">
        <v>136</v>
      </c>
      <c r="Q474">
        <v>6422</v>
      </c>
      <c r="R474" t="s">
        <v>157</v>
      </c>
      <c r="S474" t="s">
        <v>158</v>
      </c>
      <c r="T474" t="s">
        <v>407</v>
      </c>
      <c r="U474" t="s">
        <v>408</v>
      </c>
      <c r="V474" t="s">
        <v>230</v>
      </c>
      <c r="W474" t="s">
        <v>125</v>
      </c>
      <c r="AA474">
        <v>2</v>
      </c>
      <c r="AB474" t="s">
        <v>100</v>
      </c>
      <c r="AC474" t="s">
        <v>239</v>
      </c>
      <c r="AD474" t="s">
        <v>179</v>
      </c>
      <c r="AE474" t="str">
        <f t="shared" si="7"/>
        <v>Norat</v>
      </c>
      <c r="AF474">
        <v>0</v>
      </c>
      <c r="AG474">
        <v>0</v>
      </c>
      <c r="AH474">
        <v>1</v>
      </c>
      <c r="AI474">
        <v>0</v>
      </c>
      <c r="AJ474">
        <v>0</v>
      </c>
      <c r="AK474" t="s">
        <v>179</v>
      </c>
      <c r="AL474">
        <v>0.44067796610169502</v>
      </c>
    </row>
    <row r="475" spans="2:40" ht="15" customHeight="1" x14ac:dyDescent="0.2">
      <c r="B475">
        <v>30</v>
      </c>
      <c r="C475">
        <v>10</v>
      </c>
      <c r="D475">
        <v>7</v>
      </c>
      <c r="E475" t="s">
        <v>447</v>
      </c>
      <c r="F475" t="s">
        <v>108</v>
      </c>
      <c r="G475" s="15">
        <v>43687</v>
      </c>
      <c r="H475" t="s">
        <v>109</v>
      </c>
      <c r="I475" t="s">
        <v>401</v>
      </c>
      <c r="J475" t="s">
        <v>402</v>
      </c>
      <c r="K475">
        <v>18</v>
      </c>
      <c r="L475" t="s">
        <v>154</v>
      </c>
      <c r="M475" t="s">
        <v>438</v>
      </c>
      <c r="N475" t="s">
        <v>404</v>
      </c>
      <c r="O475">
        <v>72.099999999999994</v>
      </c>
      <c r="P475">
        <v>136</v>
      </c>
      <c r="Q475">
        <v>6422</v>
      </c>
      <c r="R475" t="s">
        <v>157</v>
      </c>
      <c r="S475" t="s">
        <v>158</v>
      </c>
      <c r="T475" t="s">
        <v>407</v>
      </c>
      <c r="U475" t="s">
        <v>408</v>
      </c>
      <c r="V475" t="s">
        <v>172</v>
      </c>
      <c r="W475" t="s">
        <v>125</v>
      </c>
      <c r="AA475">
        <v>2</v>
      </c>
      <c r="AB475" t="s">
        <v>99</v>
      </c>
      <c r="AC475" t="s">
        <v>257</v>
      </c>
      <c r="AD475" t="s">
        <v>178</v>
      </c>
      <c r="AE475" t="str">
        <f t="shared" si="7"/>
        <v>Fogan</v>
      </c>
      <c r="AF475">
        <v>2</v>
      </c>
      <c r="AG475">
        <v>1</v>
      </c>
      <c r="AH475">
        <v>0</v>
      </c>
      <c r="AI475">
        <v>0</v>
      </c>
      <c r="AJ475">
        <v>1</v>
      </c>
      <c r="AK475" t="s">
        <v>178</v>
      </c>
      <c r="AL475">
        <v>0.34745762711864397</v>
      </c>
    </row>
    <row r="476" spans="2:40" ht="15" customHeight="1" x14ac:dyDescent="0.2">
      <c r="B476">
        <v>1</v>
      </c>
      <c r="C476">
        <v>1</v>
      </c>
      <c r="D476">
        <v>8</v>
      </c>
      <c r="E476" t="s">
        <v>448</v>
      </c>
      <c r="F476" t="s">
        <v>268</v>
      </c>
      <c r="G476" s="15">
        <v>44414</v>
      </c>
      <c r="H476" t="s">
        <v>109</v>
      </c>
      <c r="I476" t="s">
        <v>449</v>
      </c>
      <c r="J476" t="s">
        <v>270</v>
      </c>
      <c r="K476">
        <v>9</v>
      </c>
      <c r="L476" t="s">
        <v>112</v>
      </c>
      <c r="M476" t="s">
        <v>450</v>
      </c>
      <c r="N476" t="s">
        <v>451</v>
      </c>
      <c r="O476">
        <v>71.400000000000006</v>
      </c>
      <c r="P476">
        <v>130</v>
      </c>
      <c r="Q476">
        <v>6535</v>
      </c>
      <c r="R476" t="s">
        <v>158</v>
      </c>
      <c r="S476" t="s">
        <v>158</v>
      </c>
      <c r="T476" t="s">
        <v>124</v>
      </c>
      <c r="U476" t="s">
        <v>132</v>
      </c>
      <c r="V476" t="s">
        <v>231</v>
      </c>
      <c r="W476" t="s">
        <v>173</v>
      </c>
      <c r="AA476">
        <v>1</v>
      </c>
      <c r="AB476" t="s">
        <v>101</v>
      </c>
      <c r="AC476" t="s">
        <v>139</v>
      </c>
      <c r="AD476" t="s">
        <v>452</v>
      </c>
      <c r="AE476" t="str">
        <f t="shared" si="7"/>
        <v>McInerney</v>
      </c>
      <c r="AF476">
        <v>0.5</v>
      </c>
      <c r="AG476">
        <v>0</v>
      </c>
      <c r="AH476">
        <v>0</v>
      </c>
      <c r="AI476">
        <v>1</v>
      </c>
      <c r="AJ476">
        <v>0.5</v>
      </c>
      <c r="AK476" t="s">
        <v>452</v>
      </c>
      <c r="AL476">
        <v>0.65909090909090895</v>
      </c>
    </row>
    <row r="477" spans="2:40" ht="15" customHeight="1" x14ac:dyDescent="0.2">
      <c r="B477">
        <v>1</v>
      </c>
      <c r="C477">
        <v>1</v>
      </c>
      <c r="D477">
        <v>8</v>
      </c>
      <c r="E477" t="s">
        <v>448</v>
      </c>
      <c r="F477" t="s">
        <v>268</v>
      </c>
      <c r="G477" s="15">
        <v>44414</v>
      </c>
      <c r="H477" t="s">
        <v>109</v>
      </c>
      <c r="I477" t="s">
        <v>449</v>
      </c>
      <c r="J477" t="s">
        <v>270</v>
      </c>
      <c r="K477">
        <v>9</v>
      </c>
      <c r="L477" t="s">
        <v>112</v>
      </c>
      <c r="M477" t="s">
        <v>450</v>
      </c>
      <c r="N477" t="s">
        <v>451</v>
      </c>
      <c r="O477">
        <v>71.400000000000006</v>
      </c>
      <c r="P477">
        <v>130</v>
      </c>
      <c r="Q477">
        <v>6535</v>
      </c>
      <c r="R477" t="s">
        <v>158</v>
      </c>
      <c r="S477" t="s">
        <v>158</v>
      </c>
      <c r="T477" t="s">
        <v>124</v>
      </c>
      <c r="U477" t="s">
        <v>272</v>
      </c>
      <c r="V477" t="s">
        <v>452</v>
      </c>
      <c r="W477" t="s">
        <v>453</v>
      </c>
      <c r="AA477">
        <v>1</v>
      </c>
      <c r="AB477" t="s">
        <v>101</v>
      </c>
      <c r="AC477" t="s">
        <v>139</v>
      </c>
      <c r="AD477" t="s">
        <v>231</v>
      </c>
      <c r="AE477" t="str">
        <f t="shared" si="7"/>
        <v>Delneky</v>
      </c>
      <c r="AF477">
        <v>0.5</v>
      </c>
      <c r="AG477">
        <v>0</v>
      </c>
      <c r="AH477">
        <v>0</v>
      </c>
      <c r="AI477">
        <v>1</v>
      </c>
      <c r="AJ477">
        <v>0.5</v>
      </c>
      <c r="AK477" t="s">
        <v>231</v>
      </c>
      <c r="AL477">
        <v>0.5</v>
      </c>
    </row>
    <row r="478" spans="2:40" ht="15" customHeight="1" x14ac:dyDescent="0.2">
      <c r="B478">
        <v>2</v>
      </c>
      <c r="C478">
        <v>2</v>
      </c>
      <c r="D478">
        <v>8</v>
      </c>
      <c r="E478" t="s">
        <v>454</v>
      </c>
      <c r="F478" t="s">
        <v>268</v>
      </c>
      <c r="G478" s="15">
        <v>44414</v>
      </c>
      <c r="H478" t="s">
        <v>109</v>
      </c>
      <c r="I478" t="s">
        <v>449</v>
      </c>
      <c r="J478" t="s">
        <v>270</v>
      </c>
      <c r="K478">
        <v>9</v>
      </c>
      <c r="L478" t="s">
        <v>112</v>
      </c>
      <c r="M478" t="s">
        <v>450</v>
      </c>
      <c r="N478" t="s">
        <v>451</v>
      </c>
      <c r="O478">
        <v>71.400000000000006</v>
      </c>
      <c r="P478">
        <v>130</v>
      </c>
      <c r="Q478">
        <v>6535</v>
      </c>
      <c r="R478" t="s">
        <v>115</v>
      </c>
      <c r="S478" t="s">
        <v>116</v>
      </c>
      <c r="T478" t="s">
        <v>124</v>
      </c>
      <c r="U478" t="s">
        <v>132</v>
      </c>
      <c r="V478" t="s">
        <v>132</v>
      </c>
      <c r="W478" t="s">
        <v>173</v>
      </c>
      <c r="Y478" t="s">
        <v>176</v>
      </c>
      <c r="AA478">
        <v>1</v>
      </c>
      <c r="AB478" t="s">
        <v>100</v>
      </c>
      <c r="AC478" t="s">
        <v>259</v>
      </c>
      <c r="AE478" t="str">
        <f t="shared" si="7"/>
        <v>FlandersForster</v>
      </c>
      <c r="AF478">
        <v>0</v>
      </c>
      <c r="AG478">
        <v>0</v>
      </c>
      <c r="AH478">
        <v>1</v>
      </c>
      <c r="AI478">
        <v>0</v>
      </c>
      <c r="AJ478">
        <v>0</v>
      </c>
      <c r="AK478" t="s">
        <v>1285</v>
      </c>
      <c r="AL478">
        <v>0.54545454545454497</v>
      </c>
      <c r="AM478" t="s">
        <v>127</v>
      </c>
      <c r="AN478">
        <v>0.59523809523809501</v>
      </c>
    </row>
    <row r="479" spans="2:40" ht="15" customHeight="1" x14ac:dyDescent="0.2">
      <c r="B479">
        <v>2</v>
      </c>
      <c r="C479">
        <v>2</v>
      </c>
      <c r="D479">
        <v>8</v>
      </c>
      <c r="E479" t="s">
        <v>454</v>
      </c>
      <c r="F479" t="s">
        <v>268</v>
      </c>
      <c r="G479" s="15">
        <v>44414</v>
      </c>
      <c r="H479" t="s">
        <v>109</v>
      </c>
      <c r="I479" t="s">
        <v>449</v>
      </c>
      <c r="J479" t="s">
        <v>270</v>
      </c>
      <c r="K479">
        <v>9</v>
      </c>
      <c r="L479" t="s">
        <v>112</v>
      </c>
      <c r="M479" t="s">
        <v>450</v>
      </c>
      <c r="N479" t="s">
        <v>451</v>
      </c>
      <c r="O479">
        <v>71.400000000000006</v>
      </c>
      <c r="P479">
        <v>130</v>
      </c>
      <c r="Q479">
        <v>6535</v>
      </c>
      <c r="R479" t="s">
        <v>115</v>
      </c>
      <c r="S479" t="s">
        <v>116</v>
      </c>
      <c r="T479" t="s">
        <v>124</v>
      </c>
      <c r="U479" t="s">
        <v>272</v>
      </c>
      <c r="V479" t="s">
        <v>1285</v>
      </c>
      <c r="W479" t="s">
        <v>453</v>
      </c>
      <c r="Y479" t="s">
        <v>127</v>
      </c>
      <c r="AA479">
        <v>1</v>
      </c>
      <c r="AB479" t="s">
        <v>99</v>
      </c>
      <c r="AC479" t="s">
        <v>259</v>
      </c>
      <c r="AE479" t="str">
        <f t="shared" si="7"/>
        <v>DeOterisFerrin</v>
      </c>
      <c r="AF479">
        <v>1</v>
      </c>
      <c r="AG479">
        <v>1</v>
      </c>
      <c r="AH479">
        <v>0</v>
      </c>
      <c r="AI479">
        <v>0</v>
      </c>
      <c r="AJ479">
        <v>1</v>
      </c>
      <c r="AK479" t="s">
        <v>132</v>
      </c>
      <c r="AL479">
        <v>0.4296875</v>
      </c>
      <c r="AM479" t="s">
        <v>176</v>
      </c>
      <c r="AN479">
        <v>0.59649122807017496</v>
      </c>
    </row>
    <row r="480" spans="2:40" ht="15" customHeight="1" x14ac:dyDescent="0.2">
      <c r="B480">
        <v>3</v>
      </c>
      <c r="C480">
        <v>3</v>
      </c>
      <c r="D480">
        <v>8</v>
      </c>
      <c r="E480" t="s">
        <v>455</v>
      </c>
      <c r="F480" t="s">
        <v>268</v>
      </c>
      <c r="G480" s="15">
        <v>44414</v>
      </c>
      <c r="H480" t="s">
        <v>109</v>
      </c>
      <c r="I480" t="s">
        <v>449</v>
      </c>
      <c r="J480" t="s">
        <v>270</v>
      </c>
      <c r="K480">
        <v>9</v>
      </c>
      <c r="L480" t="s">
        <v>112</v>
      </c>
      <c r="M480" t="s">
        <v>450</v>
      </c>
      <c r="N480" t="s">
        <v>451</v>
      </c>
      <c r="O480">
        <v>71.400000000000006</v>
      </c>
      <c r="P480">
        <v>130</v>
      </c>
      <c r="Q480">
        <v>6535</v>
      </c>
      <c r="R480" t="s">
        <v>115</v>
      </c>
      <c r="S480" t="s">
        <v>116</v>
      </c>
      <c r="T480" t="s">
        <v>124</v>
      </c>
      <c r="U480" t="s">
        <v>272</v>
      </c>
      <c r="V480" t="s">
        <v>321</v>
      </c>
      <c r="W480" t="s">
        <v>453</v>
      </c>
      <c r="Y480" t="s">
        <v>456</v>
      </c>
      <c r="AA480">
        <v>1</v>
      </c>
      <c r="AB480" t="s">
        <v>99</v>
      </c>
      <c r="AC480" t="s">
        <v>425</v>
      </c>
      <c r="AE480" t="str">
        <f t="shared" si="7"/>
        <v>DelaneyPerkins</v>
      </c>
      <c r="AF480">
        <v>1</v>
      </c>
      <c r="AG480">
        <v>1</v>
      </c>
      <c r="AH480">
        <v>0</v>
      </c>
      <c r="AI480">
        <v>0</v>
      </c>
      <c r="AJ480">
        <v>1</v>
      </c>
      <c r="AK480" t="s">
        <v>133</v>
      </c>
      <c r="AL480">
        <v>0.38392857142857201</v>
      </c>
      <c r="AM480" t="s">
        <v>457</v>
      </c>
      <c r="AN480">
        <v>0.33333333333333298</v>
      </c>
    </row>
    <row r="481" spans="2:40" ht="15" customHeight="1" x14ac:dyDescent="0.2">
      <c r="B481">
        <v>3</v>
      </c>
      <c r="C481">
        <v>3</v>
      </c>
      <c r="D481">
        <v>8</v>
      </c>
      <c r="E481" t="s">
        <v>455</v>
      </c>
      <c r="F481" t="s">
        <v>268</v>
      </c>
      <c r="G481" s="15">
        <v>44414</v>
      </c>
      <c r="H481" t="s">
        <v>109</v>
      </c>
      <c r="I481" t="s">
        <v>449</v>
      </c>
      <c r="J481" t="s">
        <v>270</v>
      </c>
      <c r="K481">
        <v>9</v>
      </c>
      <c r="L481" t="s">
        <v>112</v>
      </c>
      <c r="M481" t="s">
        <v>450</v>
      </c>
      <c r="N481" t="s">
        <v>451</v>
      </c>
      <c r="O481">
        <v>71.400000000000006</v>
      </c>
      <c r="P481">
        <v>130</v>
      </c>
      <c r="Q481">
        <v>6535</v>
      </c>
      <c r="R481" t="s">
        <v>115</v>
      </c>
      <c r="S481" t="s">
        <v>116</v>
      </c>
      <c r="T481" t="s">
        <v>124</v>
      </c>
      <c r="U481" t="s">
        <v>132</v>
      </c>
      <c r="V481" t="s">
        <v>133</v>
      </c>
      <c r="W481" t="s">
        <v>173</v>
      </c>
      <c r="Y481" t="s">
        <v>457</v>
      </c>
      <c r="AA481">
        <v>1</v>
      </c>
      <c r="AB481" t="s">
        <v>100</v>
      </c>
      <c r="AC481" t="s">
        <v>425</v>
      </c>
      <c r="AE481" t="str">
        <f t="shared" si="7"/>
        <v>MangoldPiegari</v>
      </c>
      <c r="AF481">
        <v>0</v>
      </c>
      <c r="AG481">
        <v>0</v>
      </c>
      <c r="AH481">
        <v>1</v>
      </c>
      <c r="AI481">
        <v>0</v>
      </c>
      <c r="AJ481">
        <v>0</v>
      </c>
      <c r="AK481" t="s">
        <v>321</v>
      </c>
      <c r="AL481">
        <v>0.46551724137931</v>
      </c>
      <c r="AM481" t="s">
        <v>456</v>
      </c>
      <c r="AN481">
        <v>0.63888888888888895</v>
      </c>
    </row>
    <row r="482" spans="2:40" ht="15" customHeight="1" x14ac:dyDescent="0.2">
      <c r="B482">
        <v>4</v>
      </c>
      <c r="C482">
        <v>4</v>
      </c>
      <c r="D482">
        <v>8</v>
      </c>
      <c r="E482" t="s">
        <v>458</v>
      </c>
      <c r="F482" t="s">
        <v>268</v>
      </c>
      <c r="G482" s="15">
        <v>44414</v>
      </c>
      <c r="H482" t="s">
        <v>109</v>
      </c>
      <c r="I482" t="s">
        <v>449</v>
      </c>
      <c r="J482" t="s">
        <v>270</v>
      </c>
      <c r="K482">
        <v>9</v>
      </c>
      <c r="L482" t="s">
        <v>112</v>
      </c>
      <c r="M482" t="s">
        <v>450</v>
      </c>
      <c r="N482" t="s">
        <v>451</v>
      </c>
      <c r="O482">
        <v>71.400000000000006</v>
      </c>
      <c r="P482">
        <v>130</v>
      </c>
      <c r="Q482">
        <v>6535</v>
      </c>
      <c r="R482" t="s">
        <v>115</v>
      </c>
      <c r="S482" t="s">
        <v>116</v>
      </c>
      <c r="T482" t="s">
        <v>124</v>
      </c>
      <c r="U482" t="s">
        <v>132</v>
      </c>
      <c r="V482" t="s">
        <v>179</v>
      </c>
      <c r="W482" t="s">
        <v>173</v>
      </c>
      <c r="Y482" t="s">
        <v>172</v>
      </c>
      <c r="AA482">
        <v>1</v>
      </c>
      <c r="AB482" t="s">
        <v>100</v>
      </c>
      <c r="AC482" t="s">
        <v>288</v>
      </c>
      <c r="AE482" t="str">
        <f t="shared" si="7"/>
        <v>ColeFogan</v>
      </c>
      <c r="AF482">
        <v>0</v>
      </c>
      <c r="AG482">
        <v>0</v>
      </c>
      <c r="AH482">
        <v>1</v>
      </c>
      <c r="AI482">
        <v>0</v>
      </c>
      <c r="AJ482">
        <v>0</v>
      </c>
      <c r="AK482" t="s">
        <v>122</v>
      </c>
      <c r="AL482">
        <v>0.47321428571428598</v>
      </c>
      <c r="AM482" t="s">
        <v>272</v>
      </c>
      <c r="AN482">
        <v>0.51041666666666696</v>
      </c>
    </row>
    <row r="483" spans="2:40" ht="15" customHeight="1" x14ac:dyDescent="0.2">
      <c r="B483">
        <v>4</v>
      </c>
      <c r="C483">
        <v>4</v>
      </c>
      <c r="D483">
        <v>8</v>
      </c>
      <c r="E483" t="s">
        <v>458</v>
      </c>
      <c r="F483" t="s">
        <v>268</v>
      </c>
      <c r="G483" s="15">
        <v>44414</v>
      </c>
      <c r="H483" t="s">
        <v>109</v>
      </c>
      <c r="I483" t="s">
        <v>449</v>
      </c>
      <c r="J483" t="s">
        <v>270</v>
      </c>
      <c r="K483">
        <v>9</v>
      </c>
      <c r="L483" t="s">
        <v>112</v>
      </c>
      <c r="M483" t="s">
        <v>450</v>
      </c>
      <c r="N483" t="s">
        <v>451</v>
      </c>
      <c r="O483">
        <v>71.400000000000006</v>
      </c>
      <c r="P483">
        <v>130</v>
      </c>
      <c r="Q483">
        <v>6535</v>
      </c>
      <c r="R483" t="s">
        <v>115</v>
      </c>
      <c r="S483" t="s">
        <v>116</v>
      </c>
      <c r="T483" t="s">
        <v>124</v>
      </c>
      <c r="U483" t="s">
        <v>272</v>
      </c>
      <c r="V483" t="s">
        <v>122</v>
      </c>
      <c r="W483" t="s">
        <v>453</v>
      </c>
      <c r="Y483" t="s">
        <v>272</v>
      </c>
      <c r="AA483">
        <v>1</v>
      </c>
      <c r="AB483" t="s">
        <v>99</v>
      </c>
      <c r="AC483" t="s">
        <v>288</v>
      </c>
      <c r="AE483" t="str">
        <f t="shared" si="7"/>
        <v>HiltsWelker</v>
      </c>
      <c r="AF483">
        <v>1</v>
      </c>
      <c r="AG483">
        <v>1</v>
      </c>
      <c r="AH483">
        <v>0</v>
      </c>
      <c r="AI483">
        <v>0</v>
      </c>
      <c r="AJ483">
        <v>1</v>
      </c>
      <c r="AK483" t="s">
        <v>179</v>
      </c>
      <c r="AL483">
        <v>0.44067796610169502</v>
      </c>
      <c r="AM483" t="s">
        <v>172</v>
      </c>
      <c r="AN483">
        <v>0.37288135593220301</v>
      </c>
    </row>
    <row r="484" spans="2:40" ht="15" customHeight="1" x14ac:dyDescent="0.2">
      <c r="B484">
        <v>5</v>
      </c>
      <c r="C484">
        <v>5</v>
      </c>
      <c r="D484">
        <v>8</v>
      </c>
      <c r="E484" t="s">
        <v>459</v>
      </c>
      <c r="F484" t="s">
        <v>268</v>
      </c>
      <c r="G484" s="15">
        <v>44414</v>
      </c>
      <c r="H484" t="s">
        <v>109</v>
      </c>
      <c r="I484" t="s">
        <v>449</v>
      </c>
      <c r="J484" t="s">
        <v>270</v>
      </c>
      <c r="K484">
        <v>9</v>
      </c>
      <c r="L484" t="s">
        <v>112</v>
      </c>
      <c r="M484" t="s">
        <v>450</v>
      </c>
      <c r="N484" t="s">
        <v>451</v>
      </c>
      <c r="O484">
        <v>71.400000000000006</v>
      </c>
      <c r="P484">
        <v>130</v>
      </c>
      <c r="Q484">
        <v>6535</v>
      </c>
      <c r="R484" t="s">
        <v>115</v>
      </c>
      <c r="S484" t="s">
        <v>116</v>
      </c>
      <c r="T484" t="s">
        <v>124</v>
      </c>
      <c r="U484" t="s">
        <v>272</v>
      </c>
      <c r="V484" t="s">
        <v>119</v>
      </c>
      <c r="W484" t="s">
        <v>453</v>
      </c>
      <c r="Y484" t="s">
        <v>227</v>
      </c>
      <c r="AA484">
        <v>1</v>
      </c>
      <c r="AB484" t="s">
        <v>99</v>
      </c>
      <c r="AC484" t="s">
        <v>425</v>
      </c>
      <c r="AE484" t="str">
        <f t="shared" si="7"/>
        <v>GriseZimmer</v>
      </c>
      <c r="AF484">
        <v>1</v>
      </c>
      <c r="AG484">
        <v>1</v>
      </c>
      <c r="AH484">
        <v>0</v>
      </c>
      <c r="AI484">
        <v>0</v>
      </c>
      <c r="AJ484">
        <v>1</v>
      </c>
      <c r="AK484" t="s">
        <v>123</v>
      </c>
      <c r="AL484">
        <v>0.5546875</v>
      </c>
      <c r="AM484" t="s">
        <v>460</v>
      </c>
    </row>
    <row r="485" spans="2:40" ht="15" customHeight="1" x14ac:dyDescent="0.2">
      <c r="B485">
        <v>5</v>
      </c>
      <c r="C485">
        <v>5</v>
      </c>
      <c r="D485">
        <v>8</v>
      </c>
      <c r="E485" t="s">
        <v>459</v>
      </c>
      <c r="F485" t="s">
        <v>268</v>
      </c>
      <c r="G485" s="15">
        <v>44414</v>
      </c>
      <c r="H485" t="s">
        <v>109</v>
      </c>
      <c r="I485" t="s">
        <v>449</v>
      </c>
      <c r="J485" t="s">
        <v>270</v>
      </c>
      <c r="K485">
        <v>9</v>
      </c>
      <c r="L485" t="s">
        <v>112</v>
      </c>
      <c r="M485" t="s">
        <v>450</v>
      </c>
      <c r="N485" t="s">
        <v>451</v>
      </c>
      <c r="O485">
        <v>71.400000000000006</v>
      </c>
      <c r="P485">
        <v>130</v>
      </c>
      <c r="Q485">
        <v>6535</v>
      </c>
      <c r="R485" t="s">
        <v>115</v>
      </c>
      <c r="S485" t="s">
        <v>116</v>
      </c>
      <c r="T485" t="s">
        <v>124</v>
      </c>
      <c r="U485" t="s">
        <v>132</v>
      </c>
      <c r="V485" t="s">
        <v>123</v>
      </c>
      <c r="W485" t="s">
        <v>173</v>
      </c>
      <c r="Y485" t="s">
        <v>460</v>
      </c>
      <c r="AA485">
        <v>1</v>
      </c>
      <c r="AB485" t="s">
        <v>100</v>
      </c>
      <c r="AC485" t="s">
        <v>425</v>
      </c>
      <c r="AE485" t="str">
        <f t="shared" si="7"/>
        <v>LynchRamsay</v>
      </c>
      <c r="AF485">
        <v>0</v>
      </c>
      <c r="AG485">
        <v>0</v>
      </c>
      <c r="AH485">
        <v>1</v>
      </c>
      <c r="AI485">
        <v>0</v>
      </c>
      <c r="AJ485">
        <v>0</v>
      </c>
      <c r="AK485" t="s">
        <v>119</v>
      </c>
      <c r="AL485">
        <v>0.546875</v>
      </c>
      <c r="AM485" t="s">
        <v>227</v>
      </c>
      <c r="AN485">
        <v>0.5</v>
      </c>
    </row>
    <row r="486" spans="2:40" ht="15" customHeight="1" x14ac:dyDescent="0.2">
      <c r="B486">
        <v>6</v>
      </c>
      <c r="C486">
        <v>6</v>
      </c>
      <c r="D486">
        <v>8</v>
      </c>
      <c r="E486" t="s">
        <v>461</v>
      </c>
      <c r="F486" t="s">
        <v>268</v>
      </c>
      <c r="G486" s="15">
        <v>44414</v>
      </c>
      <c r="H486" t="s">
        <v>109</v>
      </c>
      <c r="I486" t="s">
        <v>449</v>
      </c>
      <c r="J486" t="s">
        <v>270</v>
      </c>
      <c r="K486">
        <v>9</v>
      </c>
      <c r="L486" t="s">
        <v>112</v>
      </c>
      <c r="M486" t="s">
        <v>450</v>
      </c>
      <c r="N486" t="s">
        <v>451</v>
      </c>
      <c r="O486">
        <v>71.400000000000006</v>
      </c>
      <c r="P486">
        <v>130</v>
      </c>
      <c r="Q486">
        <v>6535</v>
      </c>
      <c r="R486" t="s">
        <v>115</v>
      </c>
      <c r="S486" t="s">
        <v>116</v>
      </c>
      <c r="T486" t="s">
        <v>124</v>
      </c>
      <c r="U486" t="s">
        <v>132</v>
      </c>
      <c r="V486" t="s">
        <v>118</v>
      </c>
      <c r="W486" t="s">
        <v>173</v>
      </c>
      <c r="Y486" t="s">
        <v>135</v>
      </c>
      <c r="AA486">
        <v>1</v>
      </c>
      <c r="AB486" t="s">
        <v>100</v>
      </c>
      <c r="AC486" t="s">
        <v>239</v>
      </c>
      <c r="AE486" t="str">
        <f t="shared" si="7"/>
        <v>JacksonShively</v>
      </c>
      <c r="AF486">
        <v>0</v>
      </c>
      <c r="AG486">
        <v>0</v>
      </c>
      <c r="AH486">
        <v>1</v>
      </c>
      <c r="AI486">
        <v>0</v>
      </c>
      <c r="AJ486">
        <v>0</v>
      </c>
      <c r="AK486" t="s">
        <v>1308</v>
      </c>
      <c r="AL486">
        <v>0.59375</v>
      </c>
      <c r="AM486" t="s">
        <v>178</v>
      </c>
      <c r="AN486">
        <v>0.34745762711864397</v>
      </c>
    </row>
    <row r="487" spans="2:40" ht="15" customHeight="1" x14ac:dyDescent="0.2">
      <c r="B487">
        <v>6</v>
      </c>
      <c r="C487">
        <v>6</v>
      </c>
      <c r="D487">
        <v>8</v>
      </c>
      <c r="E487" t="s">
        <v>461</v>
      </c>
      <c r="F487" t="s">
        <v>268</v>
      </c>
      <c r="G487" s="15">
        <v>44414</v>
      </c>
      <c r="H487" t="s">
        <v>109</v>
      </c>
      <c r="I487" t="s">
        <v>449</v>
      </c>
      <c r="J487" t="s">
        <v>270</v>
      </c>
      <c r="K487">
        <v>9</v>
      </c>
      <c r="L487" t="s">
        <v>112</v>
      </c>
      <c r="M487" t="s">
        <v>450</v>
      </c>
      <c r="N487" t="s">
        <v>451</v>
      </c>
      <c r="O487">
        <v>71.400000000000006</v>
      </c>
      <c r="P487">
        <v>130</v>
      </c>
      <c r="Q487">
        <v>6535</v>
      </c>
      <c r="R487" t="s">
        <v>115</v>
      </c>
      <c r="S487" t="s">
        <v>116</v>
      </c>
      <c r="T487" t="s">
        <v>124</v>
      </c>
      <c r="U487" t="s">
        <v>272</v>
      </c>
      <c r="V487" t="s">
        <v>1308</v>
      </c>
      <c r="W487" t="s">
        <v>453</v>
      </c>
      <c r="Y487" t="s">
        <v>178</v>
      </c>
      <c r="AA487">
        <v>1</v>
      </c>
      <c r="AB487" t="s">
        <v>99</v>
      </c>
      <c r="AC487" t="s">
        <v>239</v>
      </c>
      <c r="AE487" t="str">
        <f t="shared" si="7"/>
        <v>ConnollyConnors</v>
      </c>
      <c r="AF487">
        <v>1</v>
      </c>
      <c r="AG487">
        <v>1</v>
      </c>
      <c r="AH487">
        <v>0</v>
      </c>
      <c r="AI487">
        <v>0</v>
      </c>
      <c r="AJ487">
        <v>1</v>
      </c>
      <c r="AK487" t="s">
        <v>118</v>
      </c>
      <c r="AL487">
        <v>0.6171875</v>
      </c>
      <c r="AM487" t="s">
        <v>135</v>
      </c>
    </row>
    <row r="488" spans="2:40" ht="15" customHeight="1" x14ac:dyDescent="0.2">
      <c r="B488">
        <v>7</v>
      </c>
      <c r="C488">
        <v>1</v>
      </c>
      <c r="D488">
        <v>8</v>
      </c>
      <c r="E488" t="s">
        <v>462</v>
      </c>
      <c r="F488" t="s">
        <v>268</v>
      </c>
      <c r="G488" s="15">
        <v>44414</v>
      </c>
      <c r="H488" t="s">
        <v>109</v>
      </c>
      <c r="I488" t="s">
        <v>449</v>
      </c>
      <c r="J488" t="s">
        <v>270</v>
      </c>
      <c r="K488">
        <v>9</v>
      </c>
      <c r="L488" t="s">
        <v>137</v>
      </c>
      <c r="M488" t="s">
        <v>450</v>
      </c>
      <c r="N488" t="s">
        <v>451</v>
      </c>
      <c r="O488">
        <v>71.400000000000006</v>
      </c>
      <c r="P488">
        <v>130</v>
      </c>
      <c r="Q488">
        <v>6535</v>
      </c>
      <c r="R488" t="s">
        <v>158</v>
      </c>
      <c r="S488" t="s">
        <v>158</v>
      </c>
      <c r="T488" t="s">
        <v>124</v>
      </c>
      <c r="U488" t="s">
        <v>132</v>
      </c>
      <c r="V488" t="s">
        <v>231</v>
      </c>
      <c r="W488" t="s">
        <v>173</v>
      </c>
      <c r="AA488">
        <v>1</v>
      </c>
      <c r="AB488" t="s">
        <v>99</v>
      </c>
      <c r="AC488" t="s">
        <v>425</v>
      </c>
      <c r="AD488" t="s">
        <v>452</v>
      </c>
      <c r="AE488" t="str">
        <f t="shared" si="7"/>
        <v>McInerney</v>
      </c>
      <c r="AF488">
        <v>1</v>
      </c>
      <c r="AG488">
        <v>1</v>
      </c>
      <c r="AH488">
        <v>0</v>
      </c>
      <c r="AI488">
        <v>0</v>
      </c>
      <c r="AJ488">
        <v>1</v>
      </c>
      <c r="AK488" t="s">
        <v>452</v>
      </c>
      <c r="AL488">
        <v>0.65909090909090895</v>
      </c>
    </row>
    <row r="489" spans="2:40" ht="15" customHeight="1" x14ac:dyDescent="0.2">
      <c r="B489">
        <v>7</v>
      </c>
      <c r="C489">
        <v>1</v>
      </c>
      <c r="D489">
        <v>8</v>
      </c>
      <c r="E489" t="s">
        <v>462</v>
      </c>
      <c r="F489" t="s">
        <v>268</v>
      </c>
      <c r="G489" s="15">
        <v>44414</v>
      </c>
      <c r="H489" t="s">
        <v>109</v>
      </c>
      <c r="I489" t="s">
        <v>449</v>
      </c>
      <c r="J489" t="s">
        <v>270</v>
      </c>
      <c r="K489">
        <v>9</v>
      </c>
      <c r="L489" t="s">
        <v>137</v>
      </c>
      <c r="M489" t="s">
        <v>450</v>
      </c>
      <c r="N489" t="s">
        <v>451</v>
      </c>
      <c r="O489">
        <v>71.400000000000006</v>
      </c>
      <c r="P489">
        <v>130</v>
      </c>
      <c r="Q489">
        <v>6535</v>
      </c>
      <c r="R489" t="s">
        <v>158</v>
      </c>
      <c r="S489" t="s">
        <v>158</v>
      </c>
      <c r="T489" t="s">
        <v>124</v>
      </c>
      <c r="U489" t="s">
        <v>272</v>
      </c>
      <c r="V489" t="s">
        <v>452</v>
      </c>
      <c r="W489" t="s">
        <v>453</v>
      </c>
      <c r="AA489">
        <v>1</v>
      </c>
      <c r="AB489" t="s">
        <v>100</v>
      </c>
      <c r="AC489" t="s">
        <v>425</v>
      </c>
      <c r="AD489" t="s">
        <v>231</v>
      </c>
      <c r="AE489" t="str">
        <f t="shared" si="7"/>
        <v>Delneky</v>
      </c>
      <c r="AF489">
        <v>0</v>
      </c>
      <c r="AG489">
        <v>0</v>
      </c>
      <c r="AH489">
        <v>1</v>
      </c>
      <c r="AI489">
        <v>0</v>
      </c>
      <c r="AJ489">
        <v>0</v>
      </c>
      <c r="AK489" t="s">
        <v>231</v>
      </c>
      <c r="AL489">
        <v>0.5</v>
      </c>
    </row>
    <row r="490" spans="2:40" ht="15" customHeight="1" x14ac:dyDescent="0.2">
      <c r="B490">
        <v>8</v>
      </c>
      <c r="C490">
        <v>2</v>
      </c>
      <c r="D490">
        <v>8</v>
      </c>
      <c r="E490" t="s">
        <v>463</v>
      </c>
      <c r="F490" t="s">
        <v>268</v>
      </c>
      <c r="G490" s="15">
        <v>44414</v>
      </c>
      <c r="H490" t="s">
        <v>109</v>
      </c>
      <c r="I490" t="s">
        <v>449</v>
      </c>
      <c r="J490" t="s">
        <v>270</v>
      </c>
      <c r="K490">
        <v>9</v>
      </c>
      <c r="L490" t="s">
        <v>137</v>
      </c>
      <c r="M490" t="s">
        <v>450</v>
      </c>
      <c r="N490" t="s">
        <v>451</v>
      </c>
      <c r="O490">
        <v>71.400000000000006</v>
      </c>
      <c r="P490">
        <v>130</v>
      </c>
      <c r="Q490">
        <v>6535</v>
      </c>
      <c r="R490" t="s">
        <v>368</v>
      </c>
      <c r="S490" t="s">
        <v>116</v>
      </c>
      <c r="T490" t="s">
        <v>124</v>
      </c>
      <c r="U490" t="s">
        <v>132</v>
      </c>
      <c r="V490" t="s">
        <v>132</v>
      </c>
      <c r="W490" t="s">
        <v>173</v>
      </c>
      <c r="Y490" t="s">
        <v>176</v>
      </c>
      <c r="AA490">
        <v>1</v>
      </c>
      <c r="AB490" t="s">
        <v>100</v>
      </c>
      <c r="AC490" t="s">
        <v>257</v>
      </c>
      <c r="AE490" t="str">
        <f t="shared" si="7"/>
        <v>FlandersForster</v>
      </c>
      <c r="AF490">
        <v>0</v>
      </c>
      <c r="AG490">
        <v>0</v>
      </c>
      <c r="AH490">
        <v>1</v>
      </c>
      <c r="AI490">
        <v>0</v>
      </c>
      <c r="AJ490">
        <v>0</v>
      </c>
      <c r="AK490" t="s">
        <v>1285</v>
      </c>
      <c r="AL490">
        <v>0.54545454545454497</v>
      </c>
      <c r="AM490" t="s">
        <v>127</v>
      </c>
      <c r="AN490">
        <v>0.59523809523809501</v>
      </c>
    </row>
    <row r="491" spans="2:40" ht="15" customHeight="1" x14ac:dyDescent="0.2">
      <c r="B491">
        <v>8</v>
      </c>
      <c r="C491">
        <v>2</v>
      </c>
      <c r="D491">
        <v>8</v>
      </c>
      <c r="E491" t="s">
        <v>463</v>
      </c>
      <c r="F491" t="s">
        <v>268</v>
      </c>
      <c r="G491" s="15">
        <v>44414</v>
      </c>
      <c r="H491" t="s">
        <v>109</v>
      </c>
      <c r="I491" t="s">
        <v>449</v>
      </c>
      <c r="J491" t="s">
        <v>270</v>
      </c>
      <c r="K491">
        <v>9</v>
      </c>
      <c r="L491" t="s">
        <v>137</v>
      </c>
      <c r="M491" t="s">
        <v>450</v>
      </c>
      <c r="N491" t="s">
        <v>451</v>
      </c>
      <c r="O491">
        <v>71.400000000000006</v>
      </c>
      <c r="P491">
        <v>130</v>
      </c>
      <c r="Q491">
        <v>6535</v>
      </c>
      <c r="R491" t="s">
        <v>368</v>
      </c>
      <c r="S491" t="s">
        <v>116</v>
      </c>
      <c r="T491" t="s">
        <v>124</v>
      </c>
      <c r="U491" t="s">
        <v>272</v>
      </c>
      <c r="V491" t="s">
        <v>1285</v>
      </c>
      <c r="W491" t="s">
        <v>453</v>
      </c>
      <c r="Y491" t="s">
        <v>127</v>
      </c>
      <c r="AA491">
        <v>1</v>
      </c>
      <c r="AB491" t="s">
        <v>99</v>
      </c>
      <c r="AC491" t="s">
        <v>257</v>
      </c>
      <c r="AE491" t="str">
        <f t="shared" si="7"/>
        <v>DeOterisFerrin</v>
      </c>
      <c r="AF491">
        <v>1</v>
      </c>
      <c r="AG491">
        <v>1</v>
      </c>
      <c r="AH491">
        <v>0</v>
      </c>
      <c r="AI491">
        <v>0</v>
      </c>
      <c r="AJ491">
        <v>1</v>
      </c>
      <c r="AK491" t="s">
        <v>132</v>
      </c>
      <c r="AL491">
        <v>0.4296875</v>
      </c>
      <c r="AM491" t="s">
        <v>176</v>
      </c>
      <c r="AN491">
        <v>0.59649122807017496</v>
      </c>
    </row>
    <row r="492" spans="2:40" ht="15" customHeight="1" x14ac:dyDescent="0.2">
      <c r="B492">
        <v>9</v>
      </c>
      <c r="C492">
        <v>3</v>
      </c>
      <c r="D492">
        <v>8</v>
      </c>
      <c r="E492" t="s">
        <v>464</v>
      </c>
      <c r="F492" t="s">
        <v>268</v>
      </c>
      <c r="G492" s="15">
        <v>44414</v>
      </c>
      <c r="H492" t="s">
        <v>109</v>
      </c>
      <c r="I492" t="s">
        <v>449</v>
      </c>
      <c r="J492" t="s">
        <v>270</v>
      </c>
      <c r="K492">
        <v>9</v>
      </c>
      <c r="L492" t="s">
        <v>137</v>
      </c>
      <c r="M492" t="s">
        <v>450</v>
      </c>
      <c r="N492" t="s">
        <v>451</v>
      </c>
      <c r="O492">
        <v>71.400000000000006</v>
      </c>
      <c r="P492">
        <v>130</v>
      </c>
      <c r="Q492">
        <v>6535</v>
      </c>
      <c r="R492" t="s">
        <v>368</v>
      </c>
      <c r="S492" t="s">
        <v>116</v>
      </c>
      <c r="T492" t="s">
        <v>124</v>
      </c>
      <c r="U492" t="s">
        <v>272</v>
      </c>
      <c r="V492" t="s">
        <v>321</v>
      </c>
      <c r="W492" t="s">
        <v>453</v>
      </c>
      <c r="Y492" t="s">
        <v>456</v>
      </c>
      <c r="AA492">
        <v>1</v>
      </c>
      <c r="AB492" t="s">
        <v>99</v>
      </c>
      <c r="AC492" t="s">
        <v>225</v>
      </c>
      <c r="AE492" t="str">
        <f t="shared" si="7"/>
        <v>DelaneyPerkins</v>
      </c>
      <c r="AF492">
        <v>1</v>
      </c>
      <c r="AG492">
        <v>1</v>
      </c>
      <c r="AH492">
        <v>0</v>
      </c>
      <c r="AI492">
        <v>0</v>
      </c>
      <c r="AJ492">
        <v>1</v>
      </c>
      <c r="AK492" t="s">
        <v>133</v>
      </c>
      <c r="AL492">
        <v>0.38392857142857201</v>
      </c>
      <c r="AM492" t="s">
        <v>457</v>
      </c>
      <c r="AN492">
        <v>0.33333333333333298</v>
      </c>
    </row>
    <row r="493" spans="2:40" ht="15" customHeight="1" x14ac:dyDescent="0.2">
      <c r="B493">
        <v>9</v>
      </c>
      <c r="C493">
        <v>3</v>
      </c>
      <c r="D493">
        <v>8</v>
      </c>
      <c r="E493" t="s">
        <v>464</v>
      </c>
      <c r="F493" t="s">
        <v>268</v>
      </c>
      <c r="G493" s="15">
        <v>44414</v>
      </c>
      <c r="H493" t="s">
        <v>109</v>
      </c>
      <c r="I493" t="s">
        <v>449</v>
      </c>
      <c r="J493" t="s">
        <v>270</v>
      </c>
      <c r="K493">
        <v>9</v>
      </c>
      <c r="L493" t="s">
        <v>137</v>
      </c>
      <c r="M493" t="s">
        <v>450</v>
      </c>
      <c r="N493" t="s">
        <v>451</v>
      </c>
      <c r="O493">
        <v>71.400000000000006</v>
      </c>
      <c r="P493">
        <v>130</v>
      </c>
      <c r="Q493">
        <v>6535</v>
      </c>
      <c r="R493" t="s">
        <v>368</v>
      </c>
      <c r="S493" t="s">
        <v>116</v>
      </c>
      <c r="T493" t="s">
        <v>124</v>
      </c>
      <c r="U493" t="s">
        <v>132</v>
      </c>
      <c r="V493" t="s">
        <v>133</v>
      </c>
      <c r="W493" t="s">
        <v>173</v>
      </c>
      <c r="Y493" t="s">
        <v>457</v>
      </c>
      <c r="AA493">
        <v>1</v>
      </c>
      <c r="AB493" t="s">
        <v>100</v>
      </c>
      <c r="AC493" t="s">
        <v>225</v>
      </c>
      <c r="AE493" t="str">
        <f t="shared" si="7"/>
        <v>MangoldPiegari</v>
      </c>
      <c r="AF493">
        <v>0</v>
      </c>
      <c r="AG493">
        <v>0</v>
      </c>
      <c r="AH493">
        <v>1</v>
      </c>
      <c r="AI493">
        <v>0</v>
      </c>
      <c r="AJ493">
        <v>0</v>
      </c>
      <c r="AK493" t="s">
        <v>321</v>
      </c>
      <c r="AL493">
        <v>0.46551724137931</v>
      </c>
      <c r="AM493" t="s">
        <v>456</v>
      </c>
      <c r="AN493">
        <v>0.63888888888888895</v>
      </c>
    </row>
    <row r="494" spans="2:40" ht="15" customHeight="1" x14ac:dyDescent="0.2">
      <c r="B494">
        <v>10</v>
      </c>
      <c r="C494">
        <v>4</v>
      </c>
      <c r="D494">
        <v>8</v>
      </c>
      <c r="E494" t="s">
        <v>465</v>
      </c>
      <c r="F494" t="s">
        <v>268</v>
      </c>
      <c r="G494" s="15">
        <v>44414</v>
      </c>
      <c r="H494" t="s">
        <v>109</v>
      </c>
      <c r="I494" t="s">
        <v>449</v>
      </c>
      <c r="J494" t="s">
        <v>270</v>
      </c>
      <c r="K494">
        <v>9</v>
      </c>
      <c r="L494" t="s">
        <v>137</v>
      </c>
      <c r="M494" t="s">
        <v>450</v>
      </c>
      <c r="N494" t="s">
        <v>451</v>
      </c>
      <c r="O494">
        <v>71.400000000000006</v>
      </c>
      <c r="P494">
        <v>130</v>
      </c>
      <c r="Q494">
        <v>6535</v>
      </c>
      <c r="R494" t="s">
        <v>368</v>
      </c>
      <c r="S494" t="s">
        <v>116</v>
      </c>
      <c r="T494" t="s">
        <v>124</v>
      </c>
      <c r="U494" t="s">
        <v>132</v>
      </c>
      <c r="V494" t="s">
        <v>179</v>
      </c>
      <c r="W494" t="s">
        <v>173</v>
      </c>
      <c r="Y494" t="s">
        <v>172</v>
      </c>
      <c r="AA494">
        <v>1</v>
      </c>
      <c r="AB494" t="s">
        <v>100</v>
      </c>
      <c r="AC494" t="s">
        <v>257</v>
      </c>
      <c r="AE494" t="str">
        <f t="shared" si="7"/>
        <v>ColeFogan</v>
      </c>
      <c r="AF494">
        <v>0</v>
      </c>
      <c r="AG494">
        <v>0</v>
      </c>
      <c r="AH494">
        <v>1</v>
      </c>
      <c r="AI494">
        <v>0</v>
      </c>
      <c r="AJ494">
        <v>0</v>
      </c>
      <c r="AK494" t="s">
        <v>122</v>
      </c>
      <c r="AL494">
        <v>0.47321428571428598</v>
      </c>
      <c r="AM494" t="s">
        <v>272</v>
      </c>
      <c r="AN494">
        <v>0.51041666666666696</v>
      </c>
    </row>
    <row r="495" spans="2:40" ht="15" customHeight="1" x14ac:dyDescent="0.2">
      <c r="B495">
        <v>10</v>
      </c>
      <c r="C495">
        <v>4</v>
      </c>
      <c r="D495">
        <v>8</v>
      </c>
      <c r="E495" t="s">
        <v>465</v>
      </c>
      <c r="F495" t="s">
        <v>268</v>
      </c>
      <c r="G495" s="15">
        <v>44414</v>
      </c>
      <c r="H495" t="s">
        <v>109</v>
      </c>
      <c r="I495" t="s">
        <v>449</v>
      </c>
      <c r="J495" t="s">
        <v>270</v>
      </c>
      <c r="K495">
        <v>9</v>
      </c>
      <c r="L495" t="s">
        <v>137</v>
      </c>
      <c r="M495" t="s">
        <v>450</v>
      </c>
      <c r="N495" t="s">
        <v>451</v>
      </c>
      <c r="O495">
        <v>71.400000000000006</v>
      </c>
      <c r="P495">
        <v>130</v>
      </c>
      <c r="Q495">
        <v>6535</v>
      </c>
      <c r="R495" t="s">
        <v>368</v>
      </c>
      <c r="S495" t="s">
        <v>116</v>
      </c>
      <c r="T495" t="s">
        <v>124</v>
      </c>
      <c r="U495" t="s">
        <v>272</v>
      </c>
      <c r="V495" t="s">
        <v>122</v>
      </c>
      <c r="W495" t="s">
        <v>453</v>
      </c>
      <c r="Y495" t="s">
        <v>272</v>
      </c>
      <c r="AA495">
        <v>1</v>
      </c>
      <c r="AB495" t="s">
        <v>99</v>
      </c>
      <c r="AC495" t="s">
        <v>257</v>
      </c>
      <c r="AE495" t="str">
        <f t="shared" si="7"/>
        <v>HiltsWelker</v>
      </c>
      <c r="AF495">
        <v>1</v>
      </c>
      <c r="AG495">
        <v>1</v>
      </c>
      <c r="AH495">
        <v>0</v>
      </c>
      <c r="AI495">
        <v>0</v>
      </c>
      <c r="AJ495">
        <v>1</v>
      </c>
      <c r="AK495" t="s">
        <v>179</v>
      </c>
      <c r="AL495">
        <v>0.44067796610169502</v>
      </c>
      <c r="AM495" t="s">
        <v>172</v>
      </c>
      <c r="AN495">
        <v>0.37288135593220301</v>
      </c>
    </row>
    <row r="496" spans="2:40" ht="15" customHeight="1" x14ac:dyDescent="0.2">
      <c r="B496">
        <v>11</v>
      </c>
      <c r="C496">
        <v>5</v>
      </c>
      <c r="D496">
        <v>8</v>
      </c>
      <c r="E496" t="s">
        <v>466</v>
      </c>
      <c r="F496" t="s">
        <v>268</v>
      </c>
      <c r="G496" s="15">
        <v>44414</v>
      </c>
      <c r="H496" t="s">
        <v>109</v>
      </c>
      <c r="I496" t="s">
        <v>449</v>
      </c>
      <c r="J496" t="s">
        <v>270</v>
      </c>
      <c r="K496">
        <v>9</v>
      </c>
      <c r="L496" t="s">
        <v>137</v>
      </c>
      <c r="M496" t="s">
        <v>450</v>
      </c>
      <c r="N496" t="s">
        <v>451</v>
      </c>
      <c r="O496">
        <v>71.400000000000006</v>
      </c>
      <c r="P496">
        <v>130</v>
      </c>
      <c r="Q496">
        <v>6535</v>
      </c>
      <c r="R496" t="s">
        <v>368</v>
      </c>
      <c r="S496" t="s">
        <v>116</v>
      </c>
      <c r="T496" t="s">
        <v>124</v>
      </c>
      <c r="U496" t="s">
        <v>272</v>
      </c>
      <c r="V496" t="s">
        <v>119</v>
      </c>
      <c r="W496" t="s">
        <v>453</v>
      </c>
      <c r="Y496" t="s">
        <v>227</v>
      </c>
      <c r="AA496">
        <v>1</v>
      </c>
      <c r="AB496" t="s">
        <v>100</v>
      </c>
      <c r="AC496" t="s">
        <v>225</v>
      </c>
      <c r="AE496" t="str">
        <f t="shared" si="7"/>
        <v>GriseZimmer</v>
      </c>
      <c r="AF496">
        <v>0</v>
      </c>
      <c r="AG496">
        <v>0</v>
      </c>
      <c r="AH496">
        <v>1</v>
      </c>
      <c r="AI496">
        <v>0</v>
      </c>
      <c r="AJ496">
        <v>0</v>
      </c>
      <c r="AK496" t="s">
        <v>123</v>
      </c>
      <c r="AL496">
        <v>0.5546875</v>
      </c>
      <c r="AM496" t="s">
        <v>460</v>
      </c>
    </row>
    <row r="497" spans="2:40" ht="15" customHeight="1" x14ac:dyDescent="0.2">
      <c r="B497">
        <v>11</v>
      </c>
      <c r="C497">
        <v>5</v>
      </c>
      <c r="D497">
        <v>8</v>
      </c>
      <c r="E497" t="s">
        <v>466</v>
      </c>
      <c r="F497" t="s">
        <v>268</v>
      </c>
      <c r="G497" s="15">
        <v>44414</v>
      </c>
      <c r="H497" t="s">
        <v>109</v>
      </c>
      <c r="I497" t="s">
        <v>449</v>
      </c>
      <c r="J497" t="s">
        <v>270</v>
      </c>
      <c r="K497">
        <v>9</v>
      </c>
      <c r="L497" t="s">
        <v>137</v>
      </c>
      <c r="M497" t="s">
        <v>450</v>
      </c>
      <c r="N497" t="s">
        <v>451</v>
      </c>
      <c r="O497">
        <v>71.400000000000006</v>
      </c>
      <c r="P497">
        <v>130</v>
      </c>
      <c r="Q497">
        <v>6535</v>
      </c>
      <c r="R497" t="s">
        <v>368</v>
      </c>
      <c r="S497" t="s">
        <v>116</v>
      </c>
      <c r="T497" t="s">
        <v>124</v>
      </c>
      <c r="U497" t="s">
        <v>132</v>
      </c>
      <c r="V497" t="s">
        <v>123</v>
      </c>
      <c r="W497" t="s">
        <v>173</v>
      </c>
      <c r="Y497" t="s">
        <v>460</v>
      </c>
      <c r="AA497">
        <v>1</v>
      </c>
      <c r="AB497" t="s">
        <v>99</v>
      </c>
      <c r="AC497" t="s">
        <v>225</v>
      </c>
      <c r="AE497" t="str">
        <f t="shared" si="7"/>
        <v>LynchRamsay</v>
      </c>
      <c r="AF497">
        <v>1</v>
      </c>
      <c r="AG497">
        <v>1</v>
      </c>
      <c r="AH497">
        <v>0</v>
      </c>
      <c r="AI497">
        <v>0</v>
      </c>
      <c r="AJ497">
        <v>1</v>
      </c>
      <c r="AK497" t="s">
        <v>119</v>
      </c>
      <c r="AL497">
        <v>0.546875</v>
      </c>
      <c r="AM497" t="s">
        <v>227</v>
      </c>
      <c r="AN497">
        <v>0.5</v>
      </c>
    </row>
    <row r="498" spans="2:40" ht="15" customHeight="1" x14ac:dyDescent="0.2">
      <c r="B498">
        <v>12</v>
      </c>
      <c r="C498">
        <v>6</v>
      </c>
      <c r="D498">
        <v>8</v>
      </c>
      <c r="E498" t="s">
        <v>467</v>
      </c>
      <c r="F498" t="s">
        <v>268</v>
      </c>
      <c r="G498" s="15">
        <v>44414</v>
      </c>
      <c r="H498" t="s">
        <v>109</v>
      </c>
      <c r="I498" t="s">
        <v>449</v>
      </c>
      <c r="J498" t="s">
        <v>270</v>
      </c>
      <c r="K498">
        <v>9</v>
      </c>
      <c r="L498" t="s">
        <v>137</v>
      </c>
      <c r="M498" t="s">
        <v>450</v>
      </c>
      <c r="N498" t="s">
        <v>451</v>
      </c>
      <c r="O498">
        <v>71.400000000000006</v>
      </c>
      <c r="P498">
        <v>130</v>
      </c>
      <c r="Q498">
        <v>6535</v>
      </c>
      <c r="R498" t="s">
        <v>368</v>
      </c>
      <c r="S498" t="s">
        <v>116</v>
      </c>
      <c r="T498" t="s">
        <v>124</v>
      </c>
      <c r="U498" t="s">
        <v>132</v>
      </c>
      <c r="V498" t="s">
        <v>118</v>
      </c>
      <c r="W498" t="s">
        <v>173</v>
      </c>
      <c r="Y498" t="s">
        <v>135</v>
      </c>
      <c r="AA498">
        <v>1</v>
      </c>
      <c r="AB498" t="s">
        <v>99</v>
      </c>
      <c r="AC498" t="s">
        <v>225</v>
      </c>
      <c r="AE498" t="str">
        <f t="shared" si="7"/>
        <v>JacksonShively</v>
      </c>
      <c r="AF498">
        <v>1</v>
      </c>
      <c r="AG498">
        <v>1</v>
      </c>
      <c r="AH498">
        <v>0</v>
      </c>
      <c r="AI498">
        <v>0</v>
      </c>
      <c r="AJ498">
        <v>1</v>
      </c>
      <c r="AK498" t="s">
        <v>1308</v>
      </c>
      <c r="AL498">
        <v>0.59375</v>
      </c>
      <c r="AM498" t="s">
        <v>178</v>
      </c>
      <c r="AN498">
        <v>0.34745762711864397</v>
      </c>
    </row>
    <row r="499" spans="2:40" ht="15" customHeight="1" x14ac:dyDescent="0.2">
      <c r="B499">
        <v>12</v>
      </c>
      <c r="C499">
        <v>6</v>
      </c>
      <c r="D499">
        <v>8</v>
      </c>
      <c r="E499" t="s">
        <v>467</v>
      </c>
      <c r="F499" t="s">
        <v>268</v>
      </c>
      <c r="G499" s="15">
        <v>44414</v>
      </c>
      <c r="H499" t="s">
        <v>109</v>
      </c>
      <c r="I499" t="s">
        <v>449</v>
      </c>
      <c r="J499" t="s">
        <v>270</v>
      </c>
      <c r="K499">
        <v>9</v>
      </c>
      <c r="L499" t="s">
        <v>137</v>
      </c>
      <c r="M499" t="s">
        <v>450</v>
      </c>
      <c r="N499" t="s">
        <v>451</v>
      </c>
      <c r="O499">
        <v>71.400000000000006</v>
      </c>
      <c r="P499">
        <v>130</v>
      </c>
      <c r="Q499">
        <v>6535</v>
      </c>
      <c r="R499" t="s">
        <v>368</v>
      </c>
      <c r="S499" t="s">
        <v>116</v>
      </c>
      <c r="T499" t="s">
        <v>124</v>
      </c>
      <c r="U499" t="s">
        <v>272</v>
      </c>
      <c r="V499" t="s">
        <v>1308</v>
      </c>
      <c r="W499" t="s">
        <v>453</v>
      </c>
      <c r="Y499" t="s">
        <v>178</v>
      </c>
      <c r="AA499">
        <v>1</v>
      </c>
      <c r="AB499" t="s">
        <v>100</v>
      </c>
      <c r="AC499" t="s">
        <v>225</v>
      </c>
      <c r="AE499" t="str">
        <f t="shared" si="7"/>
        <v>ConnollyConnors</v>
      </c>
      <c r="AF499">
        <v>0</v>
      </c>
      <c r="AG499">
        <v>0</v>
      </c>
      <c r="AH499">
        <v>1</v>
      </c>
      <c r="AI499">
        <v>0</v>
      </c>
      <c r="AJ499">
        <v>0</v>
      </c>
      <c r="AK499" t="s">
        <v>118</v>
      </c>
      <c r="AL499">
        <v>0.6171875</v>
      </c>
      <c r="AM499" t="s">
        <v>135</v>
      </c>
    </row>
    <row r="500" spans="2:40" ht="15" customHeight="1" x14ac:dyDescent="0.2">
      <c r="B500">
        <v>13</v>
      </c>
      <c r="C500">
        <v>1</v>
      </c>
      <c r="D500">
        <v>8</v>
      </c>
      <c r="E500" t="s">
        <v>468</v>
      </c>
      <c r="F500" t="s">
        <v>268</v>
      </c>
      <c r="G500" s="15">
        <v>44414</v>
      </c>
      <c r="H500" t="s">
        <v>144</v>
      </c>
      <c r="I500" t="s">
        <v>449</v>
      </c>
      <c r="J500" t="s">
        <v>270</v>
      </c>
      <c r="K500">
        <v>9</v>
      </c>
      <c r="L500" t="s">
        <v>112</v>
      </c>
      <c r="M500" t="s">
        <v>469</v>
      </c>
      <c r="N500" t="s">
        <v>451</v>
      </c>
      <c r="O500">
        <v>70.5</v>
      </c>
      <c r="P500">
        <v>124</v>
      </c>
      <c r="Q500">
        <v>6587</v>
      </c>
      <c r="R500" t="s">
        <v>158</v>
      </c>
      <c r="S500" t="s">
        <v>158</v>
      </c>
      <c r="T500" t="s">
        <v>124</v>
      </c>
      <c r="U500" t="s">
        <v>132</v>
      </c>
      <c r="V500" t="s">
        <v>176</v>
      </c>
      <c r="W500" t="s">
        <v>173</v>
      </c>
      <c r="AA500">
        <v>1</v>
      </c>
      <c r="AB500" t="s">
        <v>101</v>
      </c>
      <c r="AC500" t="s">
        <v>139</v>
      </c>
      <c r="AD500" t="s">
        <v>227</v>
      </c>
      <c r="AE500" t="str">
        <f t="shared" si="7"/>
        <v>Forster</v>
      </c>
      <c r="AF500">
        <v>0.5</v>
      </c>
      <c r="AG500">
        <v>0</v>
      </c>
      <c r="AH500">
        <v>0</v>
      </c>
      <c r="AI500">
        <v>1</v>
      </c>
      <c r="AJ500">
        <v>0.5</v>
      </c>
      <c r="AK500" t="s">
        <v>227</v>
      </c>
      <c r="AL500">
        <v>0.5</v>
      </c>
    </row>
    <row r="501" spans="2:40" ht="15" customHeight="1" x14ac:dyDescent="0.2">
      <c r="B501">
        <v>13</v>
      </c>
      <c r="C501">
        <v>1</v>
      </c>
      <c r="D501">
        <v>8</v>
      </c>
      <c r="E501" t="s">
        <v>468</v>
      </c>
      <c r="F501" t="s">
        <v>268</v>
      </c>
      <c r="G501" s="15">
        <v>44414</v>
      </c>
      <c r="H501" t="s">
        <v>144</v>
      </c>
      <c r="I501" t="s">
        <v>449</v>
      </c>
      <c r="J501" t="s">
        <v>270</v>
      </c>
      <c r="K501">
        <v>9</v>
      </c>
      <c r="L501" t="s">
        <v>112</v>
      </c>
      <c r="M501" t="s">
        <v>469</v>
      </c>
      <c r="N501" t="s">
        <v>451</v>
      </c>
      <c r="O501">
        <v>70.5</v>
      </c>
      <c r="P501">
        <v>124</v>
      </c>
      <c r="Q501">
        <v>6587</v>
      </c>
      <c r="R501" t="s">
        <v>158</v>
      </c>
      <c r="S501" t="s">
        <v>158</v>
      </c>
      <c r="T501" t="s">
        <v>124</v>
      </c>
      <c r="U501" t="s">
        <v>272</v>
      </c>
      <c r="V501" t="s">
        <v>227</v>
      </c>
      <c r="W501" t="s">
        <v>453</v>
      </c>
      <c r="AA501">
        <v>1</v>
      </c>
      <c r="AB501" t="s">
        <v>101</v>
      </c>
      <c r="AC501" t="s">
        <v>139</v>
      </c>
      <c r="AD501" t="s">
        <v>176</v>
      </c>
      <c r="AE501" t="str">
        <f t="shared" si="7"/>
        <v>Zimmer</v>
      </c>
      <c r="AF501">
        <v>0.5</v>
      </c>
      <c r="AG501">
        <v>0</v>
      </c>
      <c r="AH501">
        <v>0</v>
      </c>
      <c r="AI501">
        <v>1</v>
      </c>
      <c r="AJ501">
        <v>0.5</v>
      </c>
      <c r="AK501" t="s">
        <v>176</v>
      </c>
      <c r="AL501">
        <v>0.59649122807017496</v>
      </c>
    </row>
    <row r="502" spans="2:40" ht="15" customHeight="1" x14ac:dyDescent="0.2">
      <c r="B502">
        <v>14</v>
      </c>
      <c r="C502">
        <v>2</v>
      </c>
      <c r="D502">
        <v>8</v>
      </c>
      <c r="E502" t="s">
        <v>470</v>
      </c>
      <c r="F502" t="s">
        <v>268</v>
      </c>
      <c r="G502" s="15">
        <v>44414</v>
      </c>
      <c r="H502" t="s">
        <v>144</v>
      </c>
      <c r="I502" t="s">
        <v>449</v>
      </c>
      <c r="J502" t="s">
        <v>270</v>
      </c>
      <c r="K502">
        <v>9</v>
      </c>
      <c r="L502" t="s">
        <v>112</v>
      </c>
      <c r="M502" t="s">
        <v>469</v>
      </c>
      <c r="N502" t="s">
        <v>451</v>
      </c>
      <c r="O502">
        <v>70.5</v>
      </c>
      <c r="P502">
        <v>124</v>
      </c>
      <c r="Q502">
        <v>6587</v>
      </c>
      <c r="R502" t="s">
        <v>145</v>
      </c>
      <c r="S502" t="s">
        <v>116</v>
      </c>
      <c r="T502" t="s">
        <v>124</v>
      </c>
      <c r="U502" t="s">
        <v>132</v>
      </c>
      <c r="V502" t="s">
        <v>231</v>
      </c>
      <c r="W502" t="s">
        <v>173</v>
      </c>
      <c r="Y502" t="s">
        <v>460</v>
      </c>
      <c r="AA502">
        <v>1</v>
      </c>
      <c r="AB502" t="s">
        <v>100</v>
      </c>
      <c r="AC502" t="s">
        <v>263</v>
      </c>
      <c r="AE502" t="str">
        <f t="shared" si="7"/>
        <v>McInerneyRamsay</v>
      </c>
      <c r="AF502">
        <v>0</v>
      </c>
      <c r="AG502">
        <v>0</v>
      </c>
      <c r="AH502">
        <v>1</v>
      </c>
      <c r="AI502">
        <v>0</v>
      </c>
      <c r="AJ502">
        <v>0</v>
      </c>
      <c r="AK502" t="s">
        <v>1285</v>
      </c>
      <c r="AL502">
        <v>0.54545454545454497</v>
      </c>
      <c r="AM502" t="s">
        <v>272</v>
      </c>
      <c r="AN502">
        <v>0.51041666666666696</v>
      </c>
    </row>
    <row r="503" spans="2:40" ht="15" customHeight="1" x14ac:dyDescent="0.2">
      <c r="B503">
        <v>14</v>
      </c>
      <c r="C503">
        <v>2</v>
      </c>
      <c r="D503">
        <v>8</v>
      </c>
      <c r="E503" t="s">
        <v>470</v>
      </c>
      <c r="F503" t="s">
        <v>268</v>
      </c>
      <c r="G503" s="15">
        <v>44414</v>
      </c>
      <c r="H503" t="s">
        <v>144</v>
      </c>
      <c r="I503" t="s">
        <v>449</v>
      </c>
      <c r="J503" t="s">
        <v>270</v>
      </c>
      <c r="K503">
        <v>9</v>
      </c>
      <c r="L503" t="s">
        <v>112</v>
      </c>
      <c r="M503" t="s">
        <v>469</v>
      </c>
      <c r="N503" t="s">
        <v>451</v>
      </c>
      <c r="O503">
        <v>70.5</v>
      </c>
      <c r="P503">
        <v>124</v>
      </c>
      <c r="Q503">
        <v>6587</v>
      </c>
      <c r="R503" t="s">
        <v>145</v>
      </c>
      <c r="S503" t="s">
        <v>116</v>
      </c>
      <c r="T503" t="s">
        <v>124</v>
      </c>
      <c r="U503" t="s">
        <v>272</v>
      </c>
      <c r="V503" t="s">
        <v>1285</v>
      </c>
      <c r="W503" t="s">
        <v>453</v>
      </c>
      <c r="Y503" t="s">
        <v>272</v>
      </c>
      <c r="AA503">
        <v>1</v>
      </c>
      <c r="AB503" t="s">
        <v>99</v>
      </c>
      <c r="AC503" t="s">
        <v>263</v>
      </c>
      <c r="AE503" t="str">
        <f t="shared" si="7"/>
        <v>DeOterisWelker</v>
      </c>
      <c r="AF503">
        <v>1</v>
      </c>
      <c r="AG503">
        <v>1</v>
      </c>
      <c r="AH503">
        <v>0</v>
      </c>
      <c r="AI503">
        <v>0</v>
      </c>
      <c r="AJ503">
        <v>1</v>
      </c>
      <c r="AK503" t="s">
        <v>231</v>
      </c>
      <c r="AL503">
        <v>0.5</v>
      </c>
      <c r="AM503" t="s">
        <v>460</v>
      </c>
    </row>
    <row r="504" spans="2:40" ht="15" customHeight="1" x14ac:dyDescent="0.2">
      <c r="B504">
        <v>15</v>
      </c>
      <c r="C504">
        <v>3</v>
      </c>
      <c r="D504">
        <v>8</v>
      </c>
      <c r="E504" t="s">
        <v>471</v>
      </c>
      <c r="F504" t="s">
        <v>268</v>
      </c>
      <c r="G504" s="15">
        <v>44414</v>
      </c>
      <c r="H504" t="s">
        <v>144</v>
      </c>
      <c r="I504" t="s">
        <v>449</v>
      </c>
      <c r="J504" t="s">
        <v>270</v>
      </c>
      <c r="K504">
        <v>9</v>
      </c>
      <c r="L504" t="s">
        <v>112</v>
      </c>
      <c r="M504" t="s">
        <v>469</v>
      </c>
      <c r="N504" t="s">
        <v>451</v>
      </c>
      <c r="O504">
        <v>70.5</v>
      </c>
      <c r="P504">
        <v>124</v>
      </c>
      <c r="Q504">
        <v>6587</v>
      </c>
      <c r="R504" t="s">
        <v>145</v>
      </c>
      <c r="S504" t="s">
        <v>116</v>
      </c>
      <c r="T504" t="s">
        <v>124</v>
      </c>
      <c r="U504" t="s">
        <v>272</v>
      </c>
      <c r="V504" t="s">
        <v>1308</v>
      </c>
      <c r="W504" t="s">
        <v>453</v>
      </c>
      <c r="Y504" t="s">
        <v>452</v>
      </c>
      <c r="AA504">
        <v>1</v>
      </c>
      <c r="AB504" t="s">
        <v>100</v>
      </c>
      <c r="AC504" t="s">
        <v>225</v>
      </c>
      <c r="AE504" t="str">
        <f t="shared" si="7"/>
        <v>ConnollyDelneky</v>
      </c>
      <c r="AF504">
        <v>0</v>
      </c>
      <c r="AG504">
        <v>0</v>
      </c>
      <c r="AH504">
        <v>1</v>
      </c>
      <c r="AI504">
        <v>0</v>
      </c>
      <c r="AJ504">
        <v>0</v>
      </c>
      <c r="AK504" t="s">
        <v>179</v>
      </c>
      <c r="AL504">
        <v>0.44067796610169502</v>
      </c>
      <c r="AM504" t="s">
        <v>118</v>
      </c>
      <c r="AN504">
        <v>0.6171875</v>
      </c>
    </row>
    <row r="505" spans="2:40" ht="15" customHeight="1" x14ac:dyDescent="0.2">
      <c r="B505">
        <v>15</v>
      </c>
      <c r="C505">
        <v>3</v>
      </c>
      <c r="D505">
        <v>8</v>
      </c>
      <c r="E505" t="s">
        <v>471</v>
      </c>
      <c r="F505" t="s">
        <v>268</v>
      </c>
      <c r="G505" s="15">
        <v>44414</v>
      </c>
      <c r="H505" t="s">
        <v>144</v>
      </c>
      <c r="I505" t="s">
        <v>449</v>
      </c>
      <c r="J505" t="s">
        <v>270</v>
      </c>
      <c r="K505">
        <v>9</v>
      </c>
      <c r="L505" t="s">
        <v>112</v>
      </c>
      <c r="M505" t="s">
        <v>469</v>
      </c>
      <c r="N505" t="s">
        <v>451</v>
      </c>
      <c r="O505">
        <v>70.5</v>
      </c>
      <c r="P505">
        <v>124</v>
      </c>
      <c r="Q505">
        <v>6587</v>
      </c>
      <c r="R505" t="s">
        <v>145</v>
      </c>
      <c r="S505" t="s">
        <v>116</v>
      </c>
      <c r="T505" t="s">
        <v>124</v>
      </c>
      <c r="U505" t="s">
        <v>132</v>
      </c>
      <c r="V505" t="s">
        <v>179</v>
      </c>
      <c r="W505" t="s">
        <v>173</v>
      </c>
      <c r="Y505" t="s">
        <v>118</v>
      </c>
      <c r="AA505">
        <v>1</v>
      </c>
      <c r="AB505" t="s">
        <v>99</v>
      </c>
      <c r="AC505" t="s">
        <v>225</v>
      </c>
      <c r="AE505" t="str">
        <f t="shared" si="7"/>
        <v>ColeJackson</v>
      </c>
      <c r="AF505">
        <v>1</v>
      </c>
      <c r="AG505">
        <v>1</v>
      </c>
      <c r="AH505">
        <v>0</v>
      </c>
      <c r="AI505">
        <v>0</v>
      </c>
      <c r="AJ505">
        <v>1</v>
      </c>
      <c r="AK505" t="s">
        <v>1308</v>
      </c>
      <c r="AL505">
        <v>0.59375</v>
      </c>
      <c r="AM505" t="s">
        <v>452</v>
      </c>
      <c r="AN505">
        <v>0.65909090909090895</v>
      </c>
    </row>
    <row r="506" spans="2:40" ht="15" customHeight="1" x14ac:dyDescent="0.2">
      <c r="B506">
        <v>16</v>
      </c>
      <c r="C506">
        <v>4</v>
      </c>
      <c r="D506">
        <v>8</v>
      </c>
      <c r="E506" t="s">
        <v>472</v>
      </c>
      <c r="F506" t="s">
        <v>268</v>
      </c>
      <c r="G506" s="15">
        <v>44414</v>
      </c>
      <c r="H506" t="s">
        <v>144</v>
      </c>
      <c r="I506" t="s">
        <v>449</v>
      </c>
      <c r="J506" t="s">
        <v>270</v>
      </c>
      <c r="K506">
        <v>9</v>
      </c>
      <c r="L506" t="s">
        <v>112</v>
      </c>
      <c r="M506" t="s">
        <v>469</v>
      </c>
      <c r="N506" t="s">
        <v>451</v>
      </c>
      <c r="O506">
        <v>70.5</v>
      </c>
      <c r="P506">
        <v>124</v>
      </c>
      <c r="Q506">
        <v>6587</v>
      </c>
      <c r="R506" t="s">
        <v>145</v>
      </c>
      <c r="S506" t="s">
        <v>116</v>
      </c>
      <c r="T506" t="s">
        <v>124</v>
      </c>
      <c r="U506" t="s">
        <v>132</v>
      </c>
      <c r="V506" t="s">
        <v>457</v>
      </c>
      <c r="W506" t="s">
        <v>173</v>
      </c>
      <c r="Y506" t="s">
        <v>135</v>
      </c>
      <c r="AA506">
        <v>1</v>
      </c>
      <c r="AB506" t="s">
        <v>100</v>
      </c>
      <c r="AC506" t="s">
        <v>425</v>
      </c>
      <c r="AE506" t="str">
        <f t="shared" si="7"/>
        <v>PiegariShively</v>
      </c>
      <c r="AF506">
        <v>0</v>
      </c>
      <c r="AG506">
        <v>0</v>
      </c>
      <c r="AH506">
        <v>1</v>
      </c>
      <c r="AI506">
        <v>0</v>
      </c>
      <c r="AJ506">
        <v>0</v>
      </c>
      <c r="AK506" t="s">
        <v>321</v>
      </c>
      <c r="AL506">
        <v>0.46551724137931</v>
      </c>
      <c r="AM506" t="s">
        <v>122</v>
      </c>
      <c r="AN506">
        <v>0.47321428571428598</v>
      </c>
    </row>
    <row r="507" spans="2:40" ht="15" customHeight="1" x14ac:dyDescent="0.2">
      <c r="B507">
        <v>16</v>
      </c>
      <c r="C507">
        <v>4</v>
      </c>
      <c r="D507">
        <v>8</v>
      </c>
      <c r="E507" t="s">
        <v>472</v>
      </c>
      <c r="F507" t="s">
        <v>268</v>
      </c>
      <c r="G507" s="15">
        <v>44414</v>
      </c>
      <c r="H507" t="s">
        <v>144</v>
      </c>
      <c r="I507" t="s">
        <v>449</v>
      </c>
      <c r="J507" t="s">
        <v>270</v>
      </c>
      <c r="K507">
        <v>9</v>
      </c>
      <c r="L507" t="s">
        <v>112</v>
      </c>
      <c r="M507" t="s">
        <v>469</v>
      </c>
      <c r="N507" t="s">
        <v>451</v>
      </c>
      <c r="O507">
        <v>70.5</v>
      </c>
      <c r="P507">
        <v>124</v>
      </c>
      <c r="Q507">
        <v>6587</v>
      </c>
      <c r="R507" t="s">
        <v>145</v>
      </c>
      <c r="S507" t="s">
        <v>116</v>
      </c>
      <c r="T507" t="s">
        <v>124</v>
      </c>
      <c r="U507" t="s">
        <v>272</v>
      </c>
      <c r="V507" t="s">
        <v>321</v>
      </c>
      <c r="W507" t="s">
        <v>453</v>
      </c>
      <c r="Y507" t="s">
        <v>122</v>
      </c>
      <c r="AA507">
        <v>1</v>
      </c>
      <c r="AB507" t="s">
        <v>99</v>
      </c>
      <c r="AC507" t="s">
        <v>425</v>
      </c>
      <c r="AE507" t="str">
        <f t="shared" si="7"/>
        <v>DelaneyHilts</v>
      </c>
      <c r="AF507">
        <v>1</v>
      </c>
      <c r="AG507">
        <v>1</v>
      </c>
      <c r="AH507">
        <v>0</v>
      </c>
      <c r="AI507">
        <v>0</v>
      </c>
      <c r="AJ507">
        <v>1</v>
      </c>
      <c r="AK507" t="s">
        <v>457</v>
      </c>
      <c r="AL507">
        <v>0.33333333333333298</v>
      </c>
      <c r="AM507" t="s">
        <v>135</v>
      </c>
    </row>
    <row r="508" spans="2:40" ht="15" customHeight="1" x14ac:dyDescent="0.2">
      <c r="B508">
        <v>17</v>
      </c>
      <c r="C508">
        <v>5</v>
      </c>
      <c r="D508">
        <v>8</v>
      </c>
      <c r="E508" t="s">
        <v>473</v>
      </c>
      <c r="F508" t="s">
        <v>268</v>
      </c>
      <c r="G508" s="15">
        <v>44414</v>
      </c>
      <c r="H508" t="s">
        <v>144</v>
      </c>
      <c r="I508" t="s">
        <v>449</v>
      </c>
      <c r="J508" t="s">
        <v>270</v>
      </c>
      <c r="K508">
        <v>9</v>
      </c>
      <c r="L508" t="s">
        <v>112</v>
      </c>
      <c r="M508" t="s">
        <v>469</v>
      </c>
      <c r="N508" t="s">
        <v>451</v>
      </c>
      <c r="O508">
        <v>70.5</v>
      </c>
      <c r="P508">
        <v>124</v>
      </c>
      <c r="Q508">
        <v>6587</v>
      </c>
      <c r="R508" t="s">
        <v>145</v>
      </c>
      <c r="S508" t="s">
        <v>116</v>
      </c>
      <c r="T508" t="s">
        <v>124</v>
      </c>
      <c r="U508" t="s">
        <v>272</v>
      </c>
      <c r="V508" t="s">
        <v>178</v>
      </c>
      <c r="W508" t="s">
        <v>453</v>
      </c>
      <c r="Y508" t="s">
        <v>456</v>
      </c>
      <c r="AA508">
        <v>1</v>
      </c>
      <c r="AB508" t="s">
        <v>99</v>
      </c>
      <c r="AC508" t="s">
        <v>225</v>
      </c>
      <c r="AE508" t="str">
        <f t="shared" si="7"/>
        <v>ConnorsPerkins</v>
      </c>
      <c r="AF508">
        <v>1</v>
      </c>
      <c r="AG508">
        <v>1</v>
      </c>
      <c r="AH508">
        <v>0</v>
      </c>
      <c r="AI508">
        <v>0</v>
      </c>
      <c r="AJ508">
        <v>1</v>
      </c>
      <c r="AK508" t="s">
        <v>132</v>
      </c>
      <c r="AL508">
        <v>0.4296875</v>
      </c>
      <c r="AM508" t="s">
        <v>172</v>
      </c>
      <c r="AN508">
        <v>0.37288135593220301</v>
      </c>
    </row>
    <row r="509" spans="2:40" ht="15" customHeight="1" x14ac:dyDescent="0.2">
      <c r="B509">
        <v>17</v>
      </c>
      <c r="C509">
        <v>5</v>
      </c>
      <c r="D509">
        <v>8</v>
      </c>
      <c r="E509" t="s">
        <v>473</v>
      </c>
      <c r="F509" t="s">
        <v>268</v>
      </c>
      <c r="G509" s="15">
        <v>44414</v>
      </c>
      <c r="H509" t="s">
        <v>144</v>
      </c>
      <c r="I509" t="s">
        <v>449</v>
      </c>
      <c r="J509" t="s">
        <v>270</v>
      </c>
      <c r="K509">
        <v>9</v>
      </c>
      <c r="L509" t="s">
        <v>112</v>
      </c>
      <c r="M509" t="s">
        <v>469</v>
      </c>
      <c r="N509" t="s">
        <v>451</v>
      </c>
      <c r="O509">
        <v>70.5</v>
      </c>
      <c r="P509">
        <v>124</v>
      </c>
      <c r="Q509">
        <v>6587</v>
      </c>
      <c r="R509" t="s">
        <v>145</v>
      </c>
      <c r="S509" t="s">
        <v>116</v>
      </c>
      <c r="T509" t="s">
        <v>124</v>
      </c>
      <c r="U509" t="s">
        <v>132</v>
      </c>
      <c r="V509" t="s">
        <v>132</v>
      </c>
      <c r="W509" t="s">
        <v>173</v>
      </c>
      <c r="Y509" t="s">
        <v>172</v>
      </c>
      <c r="AA509">
        <v>1</v>
      </c>
      <c r="AB509" t="s">
        <v>100</v>
      </c>
      <c r="AC509" t="s">
        <v>225</v>
      </c>
      <c r="AE509" t="str">
        <f t="shared" si="7"/>
        <v>FlandersFogan</v>
      </c>
      <c r="AF509">
        <v>0</v>
      </c>
      <c r="AG509">
        <v>0</v>
      </c>
      <c r="AH509">
        <v>1</v>
      </c>
      <c r="AI509">
        <v>0</v>
      </c>
      <c r="AJ509">
        <v>0</v>
      </c>
      <c r="AK509" t="s">
        <v>178</v>
      </c>
      <c r="AL509">
        <v>0.34745762711864397</v>
      </c>
      <c r="AM509" t="s">
        <v>456</v>
      </c>
      <c r="AN509">
        <v>0.63888888888888895</v>
      </c>
    </row>
    <row r="510" spans="2:40" ht="15" customHeight="1" x14ac:dyDescent="0.2">
      <c r="B510">
        <v>18</v>
      </c>
      <c r="C510">
        <v>6</v>
      </c>
      <c r="D510">
        <v>8</v>
      </c>
      <c r="E510" t="s">
        <v>474</v>
      </c>
      <c r="F510" t="s">
        <v>268</v>
      </c>
      <c r="G510" s="15">
        <v>44414</v>
      </c>
      <c r="H510" t="s">
        <v>144</v>
      </c>
      <c r="I510" t="s">
        <v>449</v>
      </c>
      <c r="J510" t="s">
        <v>270</v>
      </c>
      <c r="K510">
        <v>9</v>
      </c>
      <c r="L510" t="s">
        <v>112</v>
      </c>
      <c r="M510" t="s">
        <v>469</v>
      </c>
      <c r="N510" t="s">
        <v>451</v>
      </c>
      <c r="O510">
        <v>70.5</v>
      </c>
      <c r="P510">
        <v>124</v>
      </c>
      <c r="Q510">
        <v>6587</v>
      </c>
      <c r="R510" t="s">
        <v>145</v>
      </c>
      <c r="S510" t="s">
        <v>116</v>
      </c>
      <c r="T510" t="s">
        <v>124</v>
      </c>
      <c r="U510" t="s">
        <v>132</v>
      </c>
      <c r="V510" t="s">
        <v>123</v>
      </c>
      <c r="W510" t="s">
        <v>173</v>
      </c>
      <c r="Y510" t="s">
        <v>133</v>
      </c>
      <c r="AA510">
        <v>1</v>
      </c>
      <c r="AB510" t="s">
        <v>100</v>
      </c>
      <c r="AC510" t="s">
        <v>276</v>
      </c>
      <c r="AE510" t="str">
        <f t="shared" si="7"/>
        <v>LynchMangold</v>
      </c>
      <c r="AF510">
        <v>0</v>
      </c>
      <c r="AG510">
        <v>0</v>
      </c>
      <c r="AH510">
        <v>1</v>
      </c>
      <c r="AI510">
        <v>0</v>
      </c>
      <c r="AJ510">
        <v>0</v>
      </c>
      <c r="AK510" t="s">
        <v>127</v>
      </c>
      <c r="AL510">
        <v>0.59523809523809501</v>
      </c>
      <c r="AM510" t="s">
        <v>119</v>
      </c>
      <c r="AN510">
        <v>0.546875</v>
      </c>
    </row>
    <row r="511" spans="2:40" ht="15" customHeight="1" x14ac:dyDescent="0.2">
      <c r="B511">
        <v>18</v>
      </c>
      <c r="C511">
        <v>6</v>
      </c>
      <c r="D511">
        <v>8</v>
      </c>
      <c r="E511" t="s">
        <v>474</v>
      </c>
      <c r="F511" t="s">
        <v>268</v>
      </c>
      <c r="G511" s="15">
        <v>44414</v>
      </c>
      <c r="H511" t="s">
        <v>144</v>
      </c>
      <c r="I511" t="s">
        <v>449</v>
      </c>
      <c r="J511" t="s">
        <v>270</v>
      </c>
      <c r="K511">
        <v>9</v>
      </c>
      <c r="L511" t="s">
        <v>112</v>
      </c>
      <c r="M511" t="s">
        <v>469</v>
      </c>
      <c r="N511" t="s">
        <v>451</v>
      </c>
      <c r="O511">
        <v>70.5</v>
      </c>
      <c r="P511">
        <v>124</v>
      </c>
      <c r="Q511">
        <v>6587</v>
      </c>
      <c r="R511" t="s">
        <v>145</v>
      </c>
      <c r="S511" t="s">
        <v>116</v>
      </c>
      <c r="T511" t="s">
        <v>124</v>
      </c>
      <c r="U511" t="s">
        <v>272</v>
      </c>
      <c r="V511" t="s">
        <v>127</v>
      </c>
      <c r="W511" t="s">
        <v>453</v>
      </c>
      <c r="Y511" t="s">
        <v>119</v>
      </c>
      <c r="AA511">
        <v>1</v>
      </c>
      <c r="AB511" t="s">
        <v>99</v>
      </c>
      <c r="AC511" t="s">
        <v>276</v>
      </c>
      <c r="AE511" t="str">
        <f t="shared" si="7"/>
        <v>FerrinGrise</v>
      </c>
      <c r="AF511">
        <v>1</v>
      </c>
      <c r="AG511">
        <v>1</v>
      </c>
      <c r="AH511">
        <v>0</v>
      </c>
      <c r="AI511">
        <v>0</v>
      </c>
      <c r="AJ511">
        <v>1</v>
      </c>
      <c r="AK511" t="s">
        <v>123</v>
      </c>
      <c r="AL511">
        <v>0.5546875</v>
      </c>
      <c r="AM511" t="s">
        <v>133</v>
      </c>
      <c r="AN511">
        <v>0.38392857142857201</v>
      </c>
    </row>
    <row r="512" spans="2:40" ht="15" customHeight="1" x14ac:dyDescent="0.2">
      <c r="B512">
        <v>19</v>
      </c>
      <c r="C512">
        <v>1</v>
      </c>
      <c r="D512">
        <v>8</v>
      </c>
      <c r="E512" t="s">
        <v>475</v>
      </c>
      <c r="F512" t="s">
        <v>268</v>
      </c>
      <c r="G512" s="15">
        <v>44414</v>
      </c>
      <c r="H512" t="s">
        <v>144</v>
      </c>
      <c r="I512" t="s">
        <v>449</v>
      </c>
      <c r="J512" t="s">
        <v>270</v>
      </c>
      <c r="K512">
        <v>9</v>
      </c>
      <c r="L512" t="s">
        <v>137</v>
      </c>
      <c r="M512" t="s">
        <v>469</v>
      </c>
      <c r="N512" t="s">
        <v>451</v>
      </c>
      <c r="O512">
        <v>70.5</v>
      </c>
      <c r="P512">
        <v>124</v>
      </c>
      <c r="Q512">
        <v>6587</v>
      </c>
      <c r="R512" t="s">
        <v>158</v>
      </c>
      <c r="S512" t="s">
        <v>158</v>
      </c>
      <c r="T512" t="s">
        <v>124</v>
      </c>
      <c r="U512" t="s">
        <v>132</v>
      </c>
      <c r="V512" t="s">
        <v>176</v>
      </c>
      <c r="W512" t="s">
        <v>173</v>
      </c>
      <c r="AA512">
        <v>1</v>
      </c>
      <c r="AB512" t="s">
        <v>100</v>
      </c>
      <c r="AC512" t="s">
        <v>276</v>
      </c>
      <c r="AD512" t="s">
        <v>227</v>
      </c>
      <c r="AE512" t="str">
        <f t="shared" si="7"/>
        <v>Forster</v>
      </c>
      <c r="AF512">
        <v>0</v>
      </c>
      <c r="AG512">
        <v>0</v>
      </c>
      <c r="AH512">
        <v>1</v>
      </c>
      <c r="AI512">
        <v>0</v>
      </c>
      <c r="AJ512">
        <v>0</v>
      </c>
      <c r="AK512" t="s">
        <v>227</v>
      </c>
      <c r="AL512">
        <v>0.5</v>
      </c>
    </row>
    <row r="513" spans="2:40" ht="15" customHeight="1" x14ac:dyDescent="0.2">
      <c r="B513">
        <v>19</v>
      </c>
      <c r="C513">
        <v>1</v>
      </c>
      <c r="D513">
        <v>8</v>
      </c>
      <c r="E513" t="s">
        <v>475</v>
      </c>
      <c r="F513" t="s">
        <v>268</v>
      </c>
      <c r="G513" s="15">
        <v>44414</v>
      </c>
      <c r="H513" t="s">
        <v>144</v>
      </c>
      <c r="I513" t="s">
        <v>449</v>
      </c>
      <c r="J513" t="s">
        <v>270</v>
      </c>
      <c r="K513">
        <v>9</v>
      </c>
      <c r="L513" t="s">
        <v>137</v>
      </c>
      <c r="M513" t="s">
        <v>469</v>
      </c>
      <c r="N513" t="s">
        <v>451</v>
      </c>
      <c r="O513">
        <v>70.5</v>
      </c>
      <c r="P513">
        <v>124</v>
      </c>
      <c r="Q513">
        <v>6587</v>
      </c>
      <c r="R513" t="s">
        <v>158</v>
      </c>
      <c r="S513" t="s">
        <v>158</v>
      </c>
      <c r="T513" t="s">
        <v>124</v>
      </c>
      <c r="U513" t="s">
        <v>272</v>
      </c>
      <c r="V513" t="s">
        <v>227</v>
      </c>
      <c r="W513" t="s">
        <v>453</v>
      </c>
      <c r="AA513">
        <v>1</v>
      </c>
      <c r="AB513" t="s">
        <v>99</v>
      </c>
      <c r="AC513" t="s">
        <v>276</v>
      </c>
      <c r="AD513" t="s">
        <v>176</v>
      </c>
      <c r="AE513" t="str">
        <f t="shared" si="7"/>
        <v>Zimmer</v>
      </c>
      <c r="AF513">
        <v>1</v>
      </c>
      <c r="AG513">
        <v>1</v>
      </c>
      <c r="AH513">
        <v>0</v>
      </c>
      <c r="AI513">
        <v>0</v>
      </c>
      <c r="AJ513">
        <v>1</v>
      </c>
      <c r="AK513" t="s">
        <v>176</v>
      </c>
      <c r="AL513">
        <v>0.59649122807017496</v>
      </c>
    </row>
    <row r="514" spans="2:40" ht="15" customHeight="1" x14ac:dyDescent="0.2">
      <c r="B514">
        <v>20</v>
      </c>
      <c r="C514">
        <v>2</v>
      </c>
      <c r="D514">
        <v>8</v>
      </c>
      <c r="E514" t="s">
        <v>476</v>
      </c>
      <c r="F514" t="s">
        <v>268</v>
      </c>
      <c r="G514" s="15">
        <v>44414</v>
      </c>
      <c r="H514" t="s">
        <v>144</v>
      </c>
      <c r="I514" t="s">
        <v>449</v>
      </c>
      <c r="J514" t="s">
        <v>270</v>
      </c>
      <c r="K514">
        <v>9</v>
      </c>
      <c r="L514" t="s">
        <v>137</v>
      </c>
      <c r="M514" t="s">
        <v>469</v>
      </c>
      <c r="N514" t="s">
        <v>451</v>
      </c>
      <c r="O514">
        <v>70.5</v>
      </c>
      <c r="P514">
        <v>124</v>
      </c>
      <c r="Q514">
        <v>6587</v>
      </c>
      <c r="R514" t="s">
        <v>197</v>
      </c>
      <c r="S514" t="s">
        <v>116</v>
      </c>
      <c r="T514" t="s">
        <v>124</v>
      </c>
      <c r="U514" t="s">
        <v>132</v>
      </c>
      <c r="V514" t="s">
        <v>231</v>
      </c>
      <c r="W514" t="s">
        <v>173</v>
      </c>
      <c r="Y514" t="s">
        <v>460</v>
      </c>
      <c r="AA514">
        <v>1</v>
      </c>
      <c r="AB514" t="s">
        <v>99</v>
      </c>
      <c r="AC514" t="s">
        <v>225</v>
      </c>
      <c r="AE514" t="str">
        <f t="shared" ref="AE514:AE577" si="8">$V514&amp;$Y514</f>
        <v>McInerneyRamsay</v>
      </c>
      <c r="AF514">
        <v>1</v>
      </c>
      <c r="AG514">
        <v>1</v>
      </c>
      <c r="AH514">
        <v>0</v>
      </c>
      <c r="AI514">
        <v>0</v>
      </c>
      <c r="AJ514">
        <v>1</v>
      </c>
      <c r="AK514" t="s">
        <v>1285</v>
      </c>
      <c r="AL514">
        <v>0.54545454545454497</v>
      </c>
      <c r="AM514" t="s">
        <v>272</v>
      </c>
      <c r="AN514">
        <v>0.51041666666666696</v>
      </c>
    </row>
    <row r="515" spans="2:40" ht="15" customHeight="1" x14ac:dyDescent="0.2">
      <c r="B515">
        <v>20</v>
      </c>
      <c r="C515">
        <v>2</v>
      </c>
      <c r="D515">
        <v>8</v>
      </c>
      <c r="E515" t="s">
        <v>476</v>
      </c>
      <c r="F515" t="s">
        <v>268</v>
      </c>
      <c r="G515" s="15">
        <v>44414</v>
      </c>
      <c r="H515" t="s">
        <v>144</v>
      </c>
      <c r="I515" t="s">
        <v>449</v>
      </c>
      <c r="J515" t="s">
        <v>270</v>
      </c>
      <c r="K515">
        <v>9</v>
      </c>
      <c r="L515" t="s">
        <v>137</v>
      </c>
      <c r="M515" t="s">
        <v>469</v>
      </c>
      <c r="N515" t="s">
        <v>451</v>
      </c>
      <c r="O515">
        <v>70.5</v>
      </c>
      <c r="P515">
        <v>124</v>
      </c>
      <c r="Q515">
        <v>6587</v>
      </c>
      <c r="R515" t="s">
        <v>197</v>
      </c>
      <c r="S515" t="s">
        <v>116</v>
      </c>
      <c r="T515" t="s">
        <v>124</v>
      </c>
      <c r="U515" t="s">
        <v>272</v>
      </c>
      <c r="V515" t="s">
        <v>1285</v>
      </c>
      <c r="W515" t="s">
        <v>453</v>
      </c>
      <c r="Y515" t="s">
        <v>272</v>
      </c>
      <c r="AA515">
        <v>1</v>
      </c>
      <c r="AB515" t="s">
        <v>100</v>
      </c>
      <c r="AC515" t="s">
        <v>225</v>
      </c>
      <c r="AE515" t="str">
        <f t="shared" si="8"/>
        <v>DeOterisWelker</v>
      </c>
      <c r="AF515">
        <v>0</v>
      </c>
      <c r="AG515">
        <v>0</v>
      </c>
      <c r="AH515">
        <v>1</v>
      </c>
      <c r="AI515">
        <v>0</v>
      </c>
      <c r="AJ515">
        <v>0</v>
      </c>
      <c r="AK515" t="s">
        <v>231</v>
      </c>
      <c r="AL515">
        <v>0.5</v>
      </c>
      <c r="AM515" t="s">
        <v>460</v>
      </c>
    </row>
    <row r="516" spans="2:40" ht="15" customHeight="1" x14ac:dyDescent="0.2">
      <c r="B516">
        <v>21</v>
      </c>
      <c r="C516">
        <v>3</v>
      </c>
      <c r="D516">
        <v>8</v>
      </c>
      <c r="E516" t="s">
        <v>477</v>
      </c>
      <c r="F516" t="s">
        <v>268</v>
      </c>
      <c r="G516" s="15">
        <v>44414</v>
      </c>
      <c r="H516" t="s">
        <v>144</v>
      </c>
      <c r="I516" t="s">
        <v>449</v>
      </c>
      <c r="J516" t="s">
        <v>270</v>
      </c>
      <c r="K516">
        <v>9</v>
      </c>
      <c r="L516" t="s">
        <v>137</v>
      </c>
      <c r="M516" t="s">
        <v>469</v>
      </c>
      <c r="N516" t="s">
        <v>451</v>
      </c>
      <c r="O516">
        <v>70.5</v>
      </c>
      <c r="P516">
        <v>124</v>
      </c>
      <c r="Q516">
        <v>6587</v>
      </c>
      <c r="R516" t="s">
        <v>197</v>
      </c>
      <c r="S516" t="s">
        <v>116</v>
      </c>
      <c r="T516" t="s">
        <v>124</v>
      </c>
      <c r="U516" t="s">
        <v>272</v>
      </c>
      <c r="V516" t="s">
        <v>1308</v>
      </c>
      <c r="W516" t="s">
        <v>453</v>
      </c>
      <c r="Y516" t="s">
        <v>452</v>
      </c>
      <c r="AA516">
        <v>1</v>
      </c>
      <c r="AB516" t="s">
        <v>99</v>
      </c>
      <c r="AC516" t="s">
        <v>225</v>
      </c>
      <c r="AE516" t="str">
        <f t="shared" si="8"/>
        <v>ConnollyDelneky</v>
      </c>
      <c r="AF516">
        <v>1</v>
      </c>
      <c r="AG516">
        <v>1</v>
      </c>
      <c r="AH516">
        <v>0</v>
      </c>
      <c r="AI516">
        <v>0</v>
      </c>
      <c r="AJ516">
        <v>1</v>
      </c>
      <c r="AK516" t="s">
        <v>179</v>
      </c>
      <c r="AL516">
        <v>0.44067796610169502</v>
      </c>
      <c r="AM516" t="s">
        <v>118</v>
      </c>
      <c r="AN516">
        <v>0.6171875</v>
      </c>
    </row>
    <row r="517" spans="2:40" ht="15" customHeight="1" x14ac:dyDescent="0.2">
      <c r="B517">
        <v>21</v>
      </c>
      <c r="C517">
        <v>3</v>
      </c>
      <c r="D517">
        <v>8</v>
      </c>
      <c r="E517" t="s">
        <v>477</v>
      </c>
      <c r="F517" t="s">
        <v>268</v>
      </c>
      <c r="G517" s="15">
        <v>44414</v>
      </c>
      <c r="H517" t="s">
        <v>144</v>
      </c>
      <c r="I517" t="s">
        <v>449</v>
      </c>
      <c r="J517" t="s">
        <v>270</v>
      </c>
      <c r="K517">
        <v>9</v>
      </c>
      <c r="L517" t="s">
        <v>137</v>
      </c>
      <c r="M517" t="s">
        <v>469</v>
      </c>
      <c r="N517" t="s">
        <v>451</v>
      </c>
      <c r="O517">
        <v>70.5</v>
      </c>
      <c r="P517">
        <v>124</v>
      </c>
      <c r="Q517">
        <v>6587</v>
      </c>
      <c r="R517" t="s">
        <v>197</v>
      </c>
      <c r="S517" t="s">
        <v>116</v>
      </c>
      <c r="T517" t="s">
        <v>124</v>
      </c>
      <c r="U517" t="s">
        <v>132</v>
      </c>
      <c r="V517" t="s">
        <v>179</v>
      </c>
      <c r="W517" t="s">
        <v>173</v>
      </c>
      <c r="Y517" t="s">
        <v>118</v>
      </c>
      <c r="AA517">
        <v>1</v>
      </c>
      <c r="AB517" t="s">
        <v>100</v>
      </c>
      <c r="AC517" t="s">
        <v>225</v>
      </c>
      <c r="AE517" t="str">
        <f t="shared" si="8"/>
        <v>ColeJackson</v>
      </c>
      <c r="AF517">
        <v>0</v>
      </c>
      <c r="AG517">
        <v>0</v>
      </c>
      <c r="AH517">
        <v>1</v>
      </c>
      <c r="AI517">
        <v>0</v>
      </c>
      <c r="AJ517">
        <v>0</v>
      </c>
      <c r="AK517" t="s">
        <v>1308</v>
      </c>
      <c r="AL517">
        <v>0.59375</v>
      </c>
      <c r="AM517" t="s">
        <v>452</v>
      </c>
      <c r="AN517">
        <v>0.65909090909090895</v>
      </c>
    </row>
    <row r="518" spans="2:40" ht="15" customHeight="1" x14ac:dyDescent="0.2">
      <c r="B518">
        <v>22</v>
      </c>
      <c r="C518">
        <v>4</v>
      </c>
      <c r="D518">
        <v>8</v>
      </c>
      <c r="E518" t="s">
        <v>478</v>
      </c>
      <c r="F518" t="s">
        <v>268</v>
      </c>
      <c r="G518" s="15">
        <v>44414</v>
      </c>
      <c r="H518" t="s">
        <v>144</v>
      </c>
      <c r="I518" t="s">
        <v>449</v>
      </c>
      <c r="J518" t="s">
        <v>270</v>
      </c>
      <c r="K518">
        <v>9</v>
      </c>
      <c r="L518" t="s">
        <v>137</v>
      </c>
      <c r="M518" t="s">
        <v>469</v>
      </c>
      <c r="N518" t="s">
        <v>451</v>
      </c>
      <c r="O518">
        <v>70.5</v>
      </c>
      <c r="P518">
        <v>124</v>
      </c>
      <c r="Q518">
        <v>6587</v>
      </c>
      <c r="R518" t="s">
        <v>197</v>
      </c>
      <c r="S518" t="s">
        <v>116</v>
      </c>
      <c r="T518" t="s">
        <v>124</v>
      </c>
      <c r="U518" t="s">
        <v>132</v>
      </c>
      <c r="V518" t="s">
        <v>457</v>
      </c>
      <c r="W518" t="s">
        <v>173</v>
      </c>
      <c r="Y518" t="s">
        <v>135</v>
      </c>
      <c r="AA518">
        <v>1</v>
      </c>
      <c r="AB518" t="s">
        <v>99</v>
      </c>
      <c r="AC518" t="s">
        <v>222</v>
      </c>
      <c r="AE518" t="str">
        <f t="shared" si="8"/>
        <v>PiegariShively</v>
      </c>
      <c r="AF518">
        <v>1</v>
      </c>
      <c r="AG518">
        <v>1</v>
      </c>
      <c r="AH518">
        <v>0</v>
      </c>
      <c r="AI518">
        <v>0</v>
      </c>
      <c r="AJ518">
        <v>1</v>
      </c>
      <c r="AK518" t="s">
        <v>321</v>
      </c>
      <c r="AL518">
        <v>0.46551724137931</v>
      </c>
      <c r="AM518" t="s">
        <v>122</v>
      </c>
      <c r="AN518">
        <v>0.47321428571428598</v>
      </c>
    </row>
    <row r="519" spans="2:40" ht="15" customHeight="1" x14ac:dyDescent="0.2">
      <c r="B519">
        <v>22</v>
      </c>
      <c r="C519">
        <v>4</v>
      </c>
      <c r="D519">
        <v>8</v>
      </c>
      <c r="E519" t="s">
        <v>478</v>
      </c>
      <c r="F519" t="s">
        <v>268</v>
      </c>
      <c r="G519" s="15">
        <v>44414</v>
      </c>
      <c r="H519" t="s">
        <v>144</v>
      </c>
      <c r="I519" t="s">
        <v>449</v>
      </c>
      <c r="J519" t="s">
        <v>270</v>
      </c>
      <c r="K519">
        <v>9</v>
      </c>
      <c r="L519" t="s">
        <v>137</v>
      </c>
      <c r="M519" t="s">
        <v>469</v>
      </c>
      <c r="N519" t="s">
        <v>451</v>
      </c>
      <c r="O519">
        <v>70.5</v>
      </c>
      <c r="P519">
        <v>124</v>
      </c>
      <c r="Q519">
        <v>6587</v>
      </c>
      <c r="R519" t="s">
        <v>197</v>
      </c>
      <c r="S519" t="s">
        <v>116</v>
      </c>
      <c r="T519" t="s">
        <v>124</v>
      </c>
      <c r="U519" t="s">
        <v>272</v>
      </c>
      <c r="V519" t="s">
        <v>321</v>
      </c>
      <c r="W519" t="s">
        <v>453</v>
      </c>
      <c r="Y519" t="s">
        <v>122</v>
      </c>
      <c r="AA519">
        <v>1</v>
      </c>
      <c r="AB519" t="s">
        <v>100</v>
      </c>
      <c r="AC519" t="s">
        <v>222</v>
      </c>
      <c r="AE519" t="str">
        <f t="shared" si="8"/>
        <v>DelaneyHilts</v>
      </c>
      <c r="AF519">
        <v>0</v>
      </c>
      <c r="AG519">
        <v>0</v>
      </c>
      <c r="AH519">
        <v>1</v>
      </c>
      <c r="AI519">
        <v>0</v>
      </c>
      <c r="AJ519">
        <v>0</v>
      </c>
      <c r="AK519" t="s">
        <v>457</v>
      </c>
      <c r="AL519">
        <v>0.33333333333333298</v>
      </c>
      <c r="AM519" t="s">
        <v>135</v>
      </c>
    </row>
    <row r="520" spans="2:40" ht="15" customHeight="1" x14ac:dyDescent="0.2">
      <c r="B520">
        <v>23</v>
      </c>
      <c r="C520">
        <v>5</v>
      </c>
      <c r="D520">
        <v>8</v>
      </c>
      <c r="E520" t="s">
        <v>479</v>
      </c>
      <c r="F520" t="s">
        <v>268</v>
      </c>
      <c r="G520" s="15">
        <v>44414</v>
      </c>
      <c r="H520" t="s">
        <v>144</v>
      </c>
      <c r="I520" t="s">
        <v>449</v>
      </c>
      <c r="J520" t="s">
        <v>270</v>
      </c>
      <c r="K520">
        <v>9</v>
      </c>
      <c r="L520" t="s">
        <v>137</v>
      </c>
      <c r="M520" t="s">
        <v>469</v>
      </c>
      <c r="N520" t="s">
        <v>451</v>
      </c>
      <c r="O520">
        <v>70.5</v>
      </c>
      <c r="P520">
        <v>124</v>
      </c>
      <c r="Q520">
        <v>6587</v>
      </c>
      <c r="R520" t="s">
        <v>197</v>
      </c>
      <c r="S520" t="s">
        <v>116</v>
      </c>
      <c r="T520" t="s">
        <v>124</v>
      </c>
      <c r="U520" t="s">
        <v>272</v>
      </c>
      <c r="V520" t="s">
        <v>178</v>
      </c>
      <c r="W520" t="s">
        <v>453</v>
      </c>
      <c r="Y520" t="s">
        <v>456</v>
      </c>
      <c r="AA520">
        <v>1</v>
      </c>
      <c r="AB520" t="s">
        <v>101</v>
      </c>
      <c r="AC520" t="s">
        <v>139</v>
      </c>
      <c r="AE520" t="str">
        <f t="shared" si="8"/>
        <v>ConnorsPerkins</v>
      </c>
      <c r="AF520">
        <v>0.5</v>
      </c>
      <c r="AG520">
        <v>0</v>
      </c>
      <c r="AH520">
        <v>0</v>
      </c>
      <c r="AI520">
        <v>1</v>
      </c>
      <c r="AJ520">
        <v>0.5</v>
      </c>
      <c r="AK520" t="s">
        <v>132</v>
      </c>
      <c r="AL520">
        <v>0.4296875</v>
      </c>
      <c r="AM520" t="s">
        <v>172</v>
      </c>
      <c r="AN520">
        <v>0.37288135593220301</v>
      </c>
    </row>
    <row r="521" spans="2:40" ht="15" customHeight="1" x14ac:dyDescent="0.2">
      <c r="B521">
        <v>23</v>
      </c>
      <c r="C521">
        <v>5</v>
      </c>
      <c r="D521">
        <v>8</v>
      </c>
      <c r="E521" t="s">
        <v>479</v>
      </c>
      <c r="F521" t="s">
        <v>268</v>
      </c>
      <c r="G521" s="15">
        <v>44414</v>
      </c>
      <c r="H521" t="s">
        <v>144</v>
      </c>
      <c r="I521" t="s">
        <v>449</v>
      </c>
      <c r="J521" t="s">
        <v>270</v>
      </c>
      <c r="K521">
        <v>9</v>
      </c>
      <c r="L521" t="s">
        <v>137</v>
      </c>
      <c r="M521" t="s">
        <v>469</v>
      </c>
      <c r="N521" t="s">
        <v>451</v>
      </c>
      <c r="O521">
        <v>70.5</v>
      </c>
      <c r="P521">
        <v>124</v>
      </c>
      <c r="Q521">
        <v>6587</v>
      </c>
      <c r="R521" t="s">
        <v>197</v>
      </c>
      <c r="S521" t="s">
        <v>116</v>
      </c>
      <c r="T521" t="s">
        <v>124</v>
      </c>
      <c r="U521" t="s">
        <v>132</v>
      </c>
      <c r="V521" t="s">
        <v>132</v>
      </c>
      <c r="W521" t="s">
        <v>173</v>
      </c>
      <c r="Y521" t="s">
        <v>172</v>
      </c>
      <c r="AA521">
        <v>1</v>
      </c>
      <c r="AB521" t="s">
        <v>101</v>
      </c>
      <c r="AC521" t="s">
        <v>139</v>
      </c>
      <c r="AE521" t="str">
        <f t="shared" si="8"/>
        <v>FlandersFogan</v>
      </c>
      <c r="AF521">
        <v>0.5</v>
      </c>
      <c r="AG521">
        <v>0</v>
      </c>
      <c r="AH521">
        <v>0</v>
      </c>
      <c r="AI521">
        <v>1</v>
      </c>
      <c r="AJ521">
        <v>0.5</v>
      </c>
      <c r="AK521" t="s">
        <v>178</v>
      </c>
      <c r="AL521">
        <v>0.34745762711864397</v>
      </c>
      <c r="AM521" t="s">
        <v>456</v>
      </c>
      <c r="AN521">
        <v>0.63888888888888895</v>
      </c>
    </row>
    <row r="522" spans="2:40" ht="15" customHeight="1" x14ac:dyDescent="0.2">
      <c r="B522">
        <v>24</v>
      </c>
      <c r="C522">
        <v>6</v>
      </c>
      <c r="D522">
        <v>8</v>
      </c>
      <c r="E522" t="s">
        <v>480</v>
      </c>
      <c r="F522" t="s">
        <v>268</v>
      </c>
      <c r="G522" s="15">
        <v>44414</v>
      </c>
      <c r="H522" t="s">
        <v>144</v>
      </c>
      <c r="I522" t="s">
        <v>449</v>
      </c>
      <c r="J522" t="s">
        <v>270</v>
      </c>
      <c r="K522">
        <v>9</v>
      </c>
      <c r="L522" t="s">
        <v>137</v>
      </c>
      <c r="M522" t="s">
        <v>469</v>
      </c>
      <c r="N522" t="s">
        <v>451</v>
      </c>
      <c r="O522">
        <v>70.5</v>
      </c>
      <c r="P522">
        <v>124</v>
      </c>
      <c r="Q522">
        <v>6587</v>
      </c>
      <c r="R522" t="s">
        <v>197</v>
      </c>
      <c r="S522" t="s">
        <v>116</v>
      </c>
      <c r="T522" t="s">
        <v>124</v>
      </c>
      <c r="U522" t="s">
        <v>132</v>
      </c>
      <c r="V522" t="s">
        <v>123</v>
      </c>
      <c r="W522" t="s">
        <v>173</v>
      </c>
      <c r="Y522" t="s">
        <v>133</v>
      </c>
      <c r="AA522">
        <v>1</v>
      </c>
      <c r="AB522" t="s">
        <v>101</v>
      </c>
      <c r="AC522" t="s">
        <v>139</v>
      </c>
      <c r="AE522" t="str">
        <f t="shared" si="8"/>
        <v>LynchMangold</v>
      </c>
      <c r="AF522">
        <v>0.5</v>
      </c>
      <c r="AG522">
        <v>0</v>
      </c>
      <c r="AH522">
        <v>0</v>
      </c>
      <c r="AI522">
        <v>1</v>
      </c>
      <c r="AJ522">
        <v>0.5</v>
      </c>
      <c r="AK522" t="s">
        <v>127</v>
      </c>
      <c r="AL522">
        <v>0.59523809523809501</v>
      </c>
      <c r="AM522" t="s">
        <v>119</v>
      </c>
      <c r="AN522">
        <v>0.546875</v>
      </c>
    </row>
    <row r="523" spans="2:40" ht="15" customHeight="1" x14ac:dyDescent="0.2">
      <c r="B523">
        <v>24</v>
      </c>
      <c r="C523">
        <v>6</v>
      </c>
      <c r="D523">
        <v>8</v>
      </c>
      <c r="E523" t="s">
        <v>480</v>
      </c>
      <c r="F523" t="s">
        <v>268</v>
      </c>
      <c r="G523" s="15">
        <v>44414</v>
      </c>
      <c r="H523" t="s">
        <v>144</v>
      </c>
      <c r="I523" t="s">
        <v>449</v>
      </c>
      <c r="J523" t="s">
        <v>270</v>
      </c>
      <c r="K523">
        <v>9</v>
      </c>
      <c r="L523" t="s">
        <v>137</v>
      </c>
      <c r="M523" t="s">
        <v>469</v>
      </c>
      <c r="N523" t="s">
        <v>451</v>
      </c>
      <c r="O523">
        <v>70.5</v>
      </c>
      <c r="P523">
        <v>124</v>
      </c>
      <c r="Q523">
        <v>6587</v>
      </c>
      <c r="R523" t="s">
        <v>197</v>
      </c>
      <c r="S523" t="s">
        <v>116</v>
      </c>
      <c r="T523" t="s">
        <v>124</v>
      </c>
      <c r="U523" t="s">
        <v>272</v>
      </c>
      <c r="V523" t="s">
        <v>127</v>
      </c>
      <c r="W523" t="s">
        <v>453</v>
      </c>
      <c r="Y523" t="s">
        <v>119</v>
      </c>
      <c r="AA523">
        <v>1</v>
      </c>
      <c r="AB523" t="s">
        <v>101</v>
      </c>
      <c r="AC523" t="s">
        <v>139</v>
      </c>
      <c r="AE523" t="str">
        <f t="shared" si="8"/>
        <v>FerrinGrise</v>
      </c>
      <c r="AF523">
        <v>0.5</v>
      </c>
      <c r="AG523">
        <v>0</v>
      </c>
      <c r="AH523">
        <v>0</v>
      </c>
      <c r="AI523">
        <v>1</v>
      </c>
      <c r="AJ523">
        <v>0.5</v>
      </c>
      <c r="AK523" t="s">
        <v>123</v>
      </c>
      <c r="AL523">
        <v>0.5546875</v>
      </c>
      <c r="AM523" t="s">
        <v>133</v>
      </c>
      <c r="AN523">
        <v>0.38392857142857201</v>
      </c>
    </row>
    <row r="524" spans="2:40" ht="15" customHeight="1" x14ac:dyDescent="0.2">
      <c r="B524" t="s">
        <v>300</v>
      </c>
      <c r="D524">
        <v>8</v>
      </c>
      <c r="E524" t="s">
        <v>481</v>
      </c>
      <c r="F524" t="s">
        <v>268</v>
      </c>
      <c r="G524" s="15">
        <v>44414</v>
      </c>
      <c r="H524" t="s">
        <v>144</v>
      </c>
      <c r="I524" t="s">
        <v>449</v>
      </c>
      <c r="J524" t="s">
        <v>270</v>
      </c>
      <c r="K524">
        <v>9</v>
      </c>
      <c r="L524" t="s">
        <v>137</v>
      </c>
      <c r="M524" t="s">
        <v>482</v>
      </c>
      <c r="N524" t="s">
        <v>483</v>
      </c>
      <c r="R524" t="s">
        <v>303</v>
      </c>
      <c r="S524" t="s">
        <v>303</v>
      </c>
      <c r="T524" t="s">
        <v>124</v>
      </c>
      <c r="U524" t="s">
        <v>132</v>
      </c>
      <c r="V524" t="s">
        <v>176</v>
      </c>
      <c r="W524" t="s">
        <v>173</v>
      </c>
      <c r="AA524">
        <v>0.5</v>
      </c>
      <c r="AB524" t="s">
        <v>99</v>
      </c>
      <c r="AE524" t="str">
        <f t="shared" si="8"/>
        <v>Forster</v>
      </c>
      <c r="AF524">
        <v>0.5</v>
      </c>
      <c r="AG524">
        <v>1</v>
      </c>
      <c r="AH524">
        <v>0</v>
      </c>
      <c r="AI524">
        <v>0</v>
      </c>
      <c r="AJ524">
        <v>1</v>
      </c>
    </row>
    <row r="525" spans="2:40" ht="15" customHeight="1" x14ac:dyDescent="0.2">
      <c r="B525" t="s">
        <v>300</v>
      </c>
      <c r="D525">
        <v>8</v>
      </c>
      <c r="E525" t="s">
        <v>481</v>
      </c>
      <c r="F525" t="s">
        <v>268</v>
      </c>
      <c r="G525" s="15">
        <v>44414</v>
      </c>
      <c r="H525" t="s">
        <v>144</v>
      </c>
      <c r="I525" t="s">
        <v>449</v>
      </c>
      <c r="J525" t="s">
        <v>270</v>
      </c>
      <c r="K525">
        <v>9</v>
      </c>
      <c r="L525" t="s">
        <v>137</v>
      </c>
      <c r="M525" t="s">
        <v>482</v>
      </c>
      <c r="N525" t="s">
        <v>483</v>
      </c>
      <c r="R525" t="s">
        <v>303</v>
      </c>
      <c r="S525" t="s">
        <v>303</v>
      </c>
      <c r="T525" t="s">
        <v>124</v>
      </c>
      <c r="U525" t="s">
        <v>132</v>
      </c>
      <c r="V525" t="s">
        <v>231</v>
      </c>
      <c r="W525" t="s">
        <v>173</v>
      </c>
      <c r="AA525">
        <v>0.5</v>
      </c>
      <c r="AB525" t="s">
        <v>99</v>
      </c>
      <c r="AE525" t="str">
        <f t="shared" si="8"/>
        <v>McInerney</v>
      </c>
      <c r="AF525">
        <v>0.5</v>
      </c>
      <c r="AG525">
        <v>1</v>
      </c>
      <c r="AH525">
        <v>0</v>
      </c>
      <c r="AI525">
        <v>0</v>
      </c>
      <c r="AJ525">
        <v>1</v>
      </c>
    </row>
    <row r="526" spans="2:40" ht="15" customHeight="1" x14ac:dyDescent="0.2">
      <c r="B526" t="s">
        <v>300</v>
      </c>
      <c r="D526">
        <v>8</v>
      </c>
      <c r="E526" t="s">
        <v>481</v>
      </c>
      <c r="F526" t="s">
        <v>268</v>
      </c>
      <c r="G526" s="15">
        <v>44414</v>
      </c>
      <c r="H526" t="s">
        <v>144</v>
      </c>
      <c r="I526" t="s">
        <v>449</v>
      </c>
      <c r="J526" t="s">
        <v>270</v>
      </c>
      <c r="K526">
        <v>9</v>
      </c>
      <c r="L526" t="s">
        <v>137</v>
      </c>
      <c r="M526" t="s">
        <v>482</v>
      </c>
      <c r="N526" t="s">
        <v>483</v>
      </c>
      <c r="R526" t="s">
        <v>303</v>
      </c>
      <c r="S526" t="s">
        <v>303</v>
      </c>
      <c r="T526" t="s">
        <v>124</v>
      </c>
      <c r="U526" t="s">
        <v>132</v>
      </c>
      <c r="V526" t="s">
        <v>460</v>
      </c>
      <c r="W526" t="s">
        <v>173</v>
      </c>
      <c r="AA526">
        <v>0.5</v>
      </c>
      <c r="AB526" t="s">
        <v>99</v>
      </c>
      <c r="AE526" t="str">
        <f t="shared" si="8"/>
        <v>Ramsay</v>
      </c>
      <c r="AF526">
        <v>0.5</v>
      </c>
      <c r="AG526">
        <v>1</v>
      </c>
      <c r="AH526">
        <v>0</v>
      </c>
      <c r="AI526">
        <v>0</v>
      </c>
      <c r="AJ526">
        <v>1</v>
      </c>
    </row>
    <row r="527" spans="2:40" ht="15" customHeight="1" x14ac:dyDescent="0.2">
      <c r="B527" t="s">
        <v>300</v>
      </c>
      <c r="D527">
        <v>8</v>
      </c>
      <c r="E527" t="s">
        <v>481</v>
      </c>
      <c r="F527" t="s">
        <v>268</v>
      </c>
      <c r="G527" s="15">
        <v>44414</v>
      </c>
      <c r="H527" t="s">
        <v>144</v>
      </c>
      <c r="I527" t="s">
        <v>449</v>
      </c>
      <c r="J527" t="s">
        <v>270</v>
      </c>
      <c r="K527">
        <v>9</v>
      </c>
      <c r="L527" t="s">
        <v>137</v>
      </c>
      <c r="M527" t="s">
        <v>482</v>
      </c>
      <c r="N527" t="s">
        <v>483</v>
      </c>
      <c r="R527" t="s">
        <v>303</v>
      </c>
      <c r="S527" t="s">
        <v>303</v>
      </c>
      <c r="T527" t="s">
        <v>124</v>
      </c>
      <c r="U527" t="s">
        <v>132</v>
      </c>
      <c r="V527" t="s">
        <v>118</v>
      </c>
      <c r="W527" t="s">
        <v>173</v>
      </c>
      <c r="AA527">
        <v>0.5</v>
      </c>
      <c r="AB527" t="s">
        <v>99</v>
      </c>
      <c r="AE527" t="str">
        <f t="shared" si="8"/>
        <v>Jackson</v>
      </c>
      <c r="AF527">
        <v>0.5</v>
      </c>
      <c r="AG527">
        <v>1</v>
      </c>
      <c r="AH527">
        <v>0</v>
      </c>
      <c r="AI527">
        <v>0</v>
      </c>
      <c r="AJ527">
        <v>1</v>
      </c>
    </row>
    <row r="528" spans="2:40" ht="15" customHeight="1" x14ac:dyDescent="0.2">
      <c r="B528" t="s">
        <v>300</v>
      </c>
      <c r="D528">
        <v>8</v>
      </c>
      <c r="E528" t="s">
        <v>481</v>
      </c>
      <c r="F528" t="s">
        <v>268</v>
      </c>
      <c r="G528" s="15">
        <v>44414</v>
      </c>
      <c r="H528" t="s">
        <v>144</v>
      </c>
      <c r="I528" t="s">
        <v>449</v>
      </c>
      <c r="J528" t="s">
        <v>270</v>
      </c>
      <c r="K528">
        <v>17</v>
      </c>
      <c r="L528" t="s">
        <v>112</v>
      </c>
      <c r="M528" t="s">
        <v>482</v>
      </c>
      <c r="N528" t="s">
        <v>483</v>
      </c>
      <c r="R528" t="s">
        <v>303</v>
      </c>
      <c r="S528" t="s">
        <v>303</v>
      </c>
      <c r="T528" t="s">
        <v>124</v>
      </c>
      <c r="U528" t="s">
        <v>132</v>
      </c>
      <c r="V528" t="s">
        <v>179</v>
      </c>
      <c r="W528" t="s">
        <v>173</v>
      </c>
      <c r="AA528">
        <v>0.5</v>
      </c>
      <c r="AB528" t="s">
        <v>99</v>
      </c>
      <c r="AE528" t="str">
        <f t="shared" si="8"/>
        <v>Cole</v>
      </c>
      <c r="AF528">
        <v>0.5</v>
      </c>
      <c r="AG528">
        <v>1</v>
      </c>
      <c r="AH528">
        <v>0</v>
      </c>
      <c r="AI528">
        <v>0</v>
      </c>
      <c r="AJ528">
        <v>1</v>
      </c>
    </row>
    <row r="529" spans="2:36" ht="15" customHeight="1" x14ac:dyDescent="0.2">
      <c r="B529" t="s">
        <v>300</v>
      </c>
      <c r="D529">
        <v>8</v>
      </c>
      <c r="E529" t="s">
        <v>481</v>
      </c>
      <c r="F529" t="s">
        <v>268</v>
      </c>
      <c r="G529" s="15">
        <v>44414</v>
      </c>
      <c r="H529" t="s">
        <v>144</v>
      </c>
      <c r="I529" t="s">
        <v>449</v>
      </c>
      <c r="J529" t="s">
        <v>270</v>
      </c>
      <c r="K529">
        <v>17</v>
      </c>
      <c r="L529" t="s">
        <v>112</v>
      </c>
      <c r="M529" t="s">
        <v>482</v>
      </c>
      <c r="N529" t="s">
        <v>483</v>
      </c>
      <c r="R529" t="s">
        <v>303</v>
      </c>
      <c r="S529" t="s">
        <v>303</v>
      </c>
      <c r="T529" t="s">
        <v>124</v>
      </c>
      <c r="U529" t="s">
        <v>132</v>
      </c>
      <c r="V529" t="s">
        <v>457</v>
      </c>
      <c r="W529" t="s">
        <v>173</v>
      </c>
      <c r="AA529">
        <v>0.5</v>
      </c>
      <c r="AB529" t="s">
        <v>99</v>
      </c>
      <c r="AE529" t="str">
        <f t="shared" si="8"/>
        <v>Piegari</v>
      </c>
      <c r="AF529">
        <v>0.5</v>
      </c>
      <c r="AG529">
        <v>1</v>
      </c>
      <c r="AH529">
        <v>0</v>
      </c>
      <c r="AI529">
        <v>0</v>
      </c>
      <c r="AJ529">
        <v>1</v>
      </c>
    </row>
    <row r="530" spans="2:36" ht="15" customHeight="1" x14ac:dyDescent="0.2">
      <c r="B530" t="s">
        <v>300</v>
      </c>
      <c r="D530">
        <v>8</v>
      </c>
      <c r="E530" t="s">
        <v>481</v>
      </c>
      <c r="F530" t="s">
        <v>268</v>
      </c>
      <c r="G530" s="15">
        <v>44414</v>
      </c>
      <c r="H530" t="s">
        <v>144</v>
      </c>
      <c r="I530" t="s">
        <v>449</v>
      </c>
      <c r="J530" t="s">
        <v>270</v>
      </c>
      <c r="K530">
        <v>17</v>
      </c>
      <c r="L530" t="s">
        <v>112</v>
      </c>
      <c r="M530" t="s">
        <v>482</v>
      </c>
      <c r="N530" t="s">
        <v>483</v>
      </c>
      <c r="R530" t="s">
        <v>303</v>
      </c>
      <c r="S530" t="s">
        <v>303</v>
      </c>
      <c r="T530" t="s">
        <v>124</v>
      </c>
      <c r="U530" t="s">
        <v>132</v>
      </c>
      <c r="V530" t="s">
        <v>135</v>
      </c>
      <c r="W530" t="s">
        <v>173</v>
      </c>
      <c r="AA530">
        <v>0.5</v>
      </c>
      <c r="AB530" t="s">
        <v>99</v>
      </c>
      <c r="AE530" t="str">
        <f t="shared" si="8"/>
        <v>Shively</v>
      </c>
      <c r="AF530">
        <v>0.5</v>
      </c>
      <c r="AG530">
        <v>1</v>
      </c>
      <c r="AH530">
        <v>0</v>
      </c>
      <c r="AI530">
        <v>0</v>
      </c>
      <c r="AJ530">
        <v>1</v>
      </c>
    </row>
    <row r="531" spans="2:36" ht="15" customHeight="1" x14ac:dyDescent="0.2">
      <c r="B531" t="s">
        <v>300</v>
      </c>
      <c r="D531">
        <v>8</v>
      </c>
      <c r="E531" t="s">
        <v>481</v>
      </c>
      <c r="F531" t="s">
        <v>268</v>
      </c>
      <c r="G531" s="15">
        <v>44414</v>
      </c>
      <c r="H531" t="s">
        <v>144</v>
      </c>
      <c r="I531" t="s">
        <v>449</v>
      </c>
      <c r="J531" t="s">
        <v>270</v>
      </c>
      <c r="K531">
        <v>17</v>
      </c>
      <c r="L531" t="s">
        <v>112</v>
      </c>
      <c r="M531" t="s">
        <v>482</v>
      </c>
      <c r="N531" t="s">
        <v>483</v>
      </c>
      <c r="R531" t="s">
        <v>303</v>
      </c>
      <c r="S531" t="s">
        <v>303</v>
      </c>
      <c r="T531" t="s">
        <v>124</v>
      </c>
      <c r="U531" t="s">
        <v>132</v>
      </c>
      <c r="V531" t="s">
        <v>132</v>
      </c>
      <c r="W531" t="s">
        <v>173</v>
      </c>
      <c r="AA531">
        <v>0.5</v>
      </c>
      <c r="AB531" t="s">
        <v>99</v>
      </c>
      <c r="AE531" t="str">
        <f t="shared" si="8"/>
        <v>Flanders</v>
      </c>
      <c r="AF531">
        <v>0.5</v>
      </c>
      <c r="AG531">
        <v>1</v>
      </c>
      <c r="AH531">
        <v>0</v>
      </c>
      <c r="AI531">
        <v>0</v>
      </c>
      <c r="AJ531">
        <v>1</v>
      </c>
    </row>
    <row r="532" spans="2:36" ht="15" customHeight="1" x14ac:dyDescent="0.2">
      <c r="B532" t="s">
        <v>300</v>
      </c>
      <c r="D532">
        <v>8</v>
      </c>
      <c r="E532" t="s">
        <v>481</v>
      </c>
      <c r="F532" t="s">
        <v>268</v>
      </c>
      <c r="G532" s="15">
        <v>44414</v>
      </c>
      <c r="H532" t="s">
        <v>144</v>
      </c>
      <c r="I532" t="s">
        <v>449</v>
      </c>
      <c r="J532" t="s">
        <v>270</v>
      </c>
      <c r="K532">
        <v>17</v>
      </c>
      <c r="L532" t="s">
        <v>112</v>
      </c>
      <c r="M532" t="s">
        <v>482</v>
      </c>
      <c r="N532" t="s">
        <v>483</v>
      </c>
      <c r="R532" t="s">
        <v>303</v>
      </c>
      <c r="S532" t="s">
        <v>303</v>
      </c>
      <c r="T532" t="s">
        <v>124</v>
      </c>
      <c r="U532" t="s">
        <v>132</v>
      </c>
      <c r="V532" t="s">
        <v>172</v>
      </c>
      <c r="W532" t="s">
        <v>173</v>
      </c>
      <c r="AA532">
        <v>0.5</v>
      </c>
      <c r="AB532" t="s">
        <v>99</v>
      </c>
      <c r="AE532" t="str">
        <f t="shared" si="8"/>
        <v>Fogan</v>
      </c>
      <c r="AF532">
        <v>0.5</v>
      </c>
      <c r="AG532">
        <v>1</v>
      </c>
      <c r="AH532">
        <v>0</v>
      </c>
      <c r="AI532">
        <v>0</v>
      </c>
      <c r="AJ532">
        <v>1</v>
      </c>
    </row>
    <row r="533" spans="2:36" ht="15" customHeight="1" x14ac:dyDescent="0.2">
      <c r="B533" t="s">
        <v>300</v>
      </c>
      <c r="D533">
        <v>8</v>
      </c>
      <c r="E533" t="s">
        <v>481</v>
      </c>
      <c r="F533" t="s">
        <v>268</v>
      </c>
      <c r="G533" s="15">
        <v>44414</v>
      </c>
      <c r="H533" t="s">
        <v>144</v>
      </c>
      <c r="I533" t="s">
        <v>449</v>
      </c>
      <c r="J533" t="s">
        <v>270</v>
      </c>
      <c r="K533">
        <v>17</v>
      </c>
      <c r="L533" t="s">
        <v>112</v>
      </c>
      <c r="M533" t="s">
        <v>482</v>
      </c>
      <c r="N533" t="s">
        <v>483</v>
      </c>
      <c r="R533" t="s">
        <v>303</v>
      </c>
      <c r="S533" t="s">
        <v>303</v>
      </c>
      <c r="T533" t="s">
        <v>124</v>
      </c>
      <c r="U533" t="s">
        <v>132</v>
      </c>
      <c r="V533" t="s">
        <v>123</v>
      </c>
      <c r="W533" t="s">
        <v>173</v>
      </c>
      <c r="AA533">
        <v>0.5</v>
      </c>
      <c r="AB533" t="s">
        <v>99</v>
      </c>
      <c r="AE533" t="str">
        <f t="shared" si="8"/>
        <v>Lynch</v>
      </c>
      <c r="AF533">
        <v>0.5</v>
      </c>
      <c r="AG533">
        <v>1</v>
      </c>
      <c r="AH533">
        <v>0</v>
      </c>
      <c r="AI533">
        <v>0</v>
      </c>
      <c r="AJ533">
        <v>1</v>
      </c>
    </row>
    <row r="534" spans="2:36" ht="15" customHeight="1" x14ac:dyDescent="0.2">
      <c r="B534" t="s">
        <v>300</v>
      </c>
      <c r="D534">
        <v>8</v>
      </c>
      <c r="E534" t="s">
        <v>481</v>
      </c>
      <c r="F534" t="s">
        <v>268</v>
      </c>
      <c r="G534" s="15">
        <v>44414</v>
      </c>
      <c r="H534" t="s">
        <v>144</v>
      </c>
      <c r="I534" t="s">
        <v>449</v>
      </c>
      <c r="J534" t="s">
        <v>270</v>
      </c>
      <c r="K534">
        <v>17</v>
      </c>
      <c r="L534" t="s">
        <v>112</v>
      </c>
      <c r="M534" t="s">
        <v>482</v>
      </c>
      <c r="N534" t="s">
        <v>483</v>
      </c>
      <c r="R534" t="s">
        <v>303</v>
      </c>
      <c r="S534" t="s">
        <v>303</v>
      </c>
      <c r="T534" t="s">
        <v>124</v>
      </c>
      <c r="U534" t="s">
        <v>132</v>
      </c>
      <c r="V534" t="s">
        <v>133</v>
      </c>
      <c r="W534" t="s">
        <v>173</v>
      </c>
      <c r="AA534">
        <v>0.5</v>
      </c>
      <c r="AB534" t="s">
        <v>99</v>
      </c>
      <c r="AE534" t="str">
        <f t="shared" si="8"/>
        <v>Mangold</v>
      </c>
      <c r="AF534">
        <v>0.5</v>
      </c>
      <c r="AG534">
        <v>1</v>
      </c>
      <c r="AH534">
        <v>0</v>
      </c>
      <c r="AI534">
        <v>0</v>
      </c>
      <c r="AJ534">
        <v>1</v>
      </c>
    </row>
    <row r="535" spans="2:36" ht="15" customHeight="1" x14ac:dyDescent="0.2">
      <c r="B535" t="s">
        <v>300</v>
      </c>
      <c r="D535">
        <v>8</v>
      </c>
      <c r="E535" t="s">
        <v>481</v>
      </c>
      <c r="F535" t="s">
        <v>268</v>
      </c>
      <c r="G535" s="15">
        <v>44414</v>
      </c>
      <c r="H535" t="s">
        <v>144</v>
      </c>
      <c r="I535" t="s">
        <v>449</v>
      </c>
      <c r="J535" t="s">
        <v>270</v>
      </c>
      <c r="K535">
        <v>17</v>
      </c>
      <c r="L535" t="s">
        <v>112</v>
      </c>
      <c r="M535" t="s">
        <v>482</v>
      </c>
      <c r="N535" t="s">
        <v>483</v>
      </c>
      <c r="R535" t="s">
        <v>303</v>
      </c>
      <c r="S535" t="s">
        <v>303</v>
      </c>
      <c r="T535" t="s">
        <v>124</v>
      </c>
      <c r="U535" t="s">
        <v>272</v>
      </c>
      <c r="V535" t="s">
        <v>227</v>
      </c>
      <c r="W535" t="s">
        <v>453</v>
      </c>
      <c r="AA535">
        <v>0.5</v>
      </c>
      <c r="AB535" t="s">
        <v>100</v>
      </c>
      <c r="AE535" t="str">
        <f t="shared" si="8"/>
        <v>Zimmer</v>
      </c>
      <c r="AF535">
        <v>0</v>
      </c>
      <c r="AG535">
        <v>0</v>
      </c>
      <c r="AH535">
        <v>1</v>
      </c>
      <c r="AI535">
        <v>0</v>
      </c>
      <c r="AJ535">
        <v>0</v>
      </c>
    </row>
    <row r="536" spans="2:36" ht="15" customHeight="1" x14ac:dyDescent="0.2">
      <c r="B536" t="s">
        <v>300</v>
      </c>
      <c r="D536">
        <v>8</v>
      </c>
      <c r="E536" t="s">
        <v>481</v>
      </c>
      <c r="F536" t="s">
        <v>268</v>
      </c>
      <c r="G536" s="15">
        <v>44414</v>
      </c>
      <c r="H536" t="s">
        <v>144</v>
      </c>
      <c r="I536" t="s">
        <v>449</v>
      </c>
      <c r="J536" t="s">
        <v>270</v>
      </c>
      <c r="K536">
        <v>17</v>
      </c>
      <c r="L536" t="s">
        <v>112</v>
      </c>
      <c r="M536" t="s">
        <v>482</v>
      </c>
      <c r="N536" t="s">
        <v>483</v>
      </c>
      <c r="R536" t="s">
        <v>303</v>
      </c>
      <c r="S536" t="s">
        <v>303</v>
      </c>
      <c r="T536" t="s">
        <v>124</v>
      </c>
      <c r="U536" t="s">
        <v>272</v>
      </c>
      <c r="V536" t="s">
        <v>272</v>
      </c>
      <c r="W536" t="s">
        <v>453</v>
      </c>
      <c r="AA536">
        <v>0.5</v>
      </c>
      <c r="AB536" t="s">
        <v>100</v>
      </c>
      <c r="AE536" t="str">
        <f t="shared" si="8"/>
        <v>Welker</v>
      </c>
      <c r="AF536">
        <v>0</v>
      </c>
      <c r="AG536">
        <v>0</v>
      </c>
      <c r="AH536">
        <v>1</v>
      </c>
      <c r="AI536">
        <v>0</v>
      </c>
      <c r="AJ536">
        <v>0</v>
      </c>
    </row>
    <row r="537" spans="2:36" ht="15" customHeight="1" x14ac:dyDescent="0.2">
      <c r="B537" t="s">
        <v>300</v>
      </c>
      <c r="D537">
        <v>8</v>
      </c>
      <c r="E537" t="s">
        <v>481</v>
      </c>
      <c r="F537" t="s">
        <v>268</v>
      </c>
      <c r="G537" s="15">
        <v>44414</v>
      </c>
      <c r="H537" t="s">
        <v>144</v>
      </c>
      <c r="I537" t="s">
        <v>449</v>
      </c>
      <c r="J537" t="s">
        <v>270</v>
      </c>
      <c r="K537">
        <v>17</v>
      </c>
      <c r="L537" t="s">
        <v>112</v>
      </c>
      <c r="M537" t="s">
        <v>482</v>
      </c>
      <c r="N537" t="s">
        <v>483</v>
      </c>
      <c r="R537" t="s">
        <v>303</v>
      </c>
      <c r="S537" t="s">
        <v>303</v>
      </c>
      <c r="T537" t="s">
        <v>124</v>
      </c>
      <c r="U537" t="s">
        <v>272</v>
      </c>
      <c r="V537" t="s">
        <v>1285</v>
      </c>
      <c r="W537" t="s">
        <v>453</v>
      </c>
      <c r="AA537">
        <v>0.5</v>
      </c>
      <c r="AB537" t="s">
        <v>100</v>
      </c>
      <c r="AE537" t="str">
        <f t="shared" si="8"/>
        <v>DeOteris</v>
      </c>
      <c r="AF537">
        <v>0</v>
      </c>
      <c r="AG537">
        <v>0</v>
      </c>
      <c r="AH537">
        <v>1</v>
      </c>
      <c r="AI537">
        <v>0</v>
      </c>
      <c r="AJ537">
        <v>0</v>
      </c>
    </row>
    <row r="538" spans="2:36" ht="15" customHeight="1" x14ac:dyDescent="0.2">
      <c r="B538" t="s">
        <v>300</v>
      </c>
      <c r="D538">
        <v>8</v>
      </c>
      <c r="E538" t="s">
        <v>481</v>
      </c>
      <c r="F538" t="s">
        <v>268</v>
      </c>
      <c r="G538" s="15">
        <v>44414</v>
      </c>
      <c r="H538" t="s">
        <v>144</v>
      </c>
      <c r="I538" t="s">
        <v>449</v>
      </c>
      <c r="J538" t="s">
        <v>270</v>
      </c>
      <c r="K538">
        <v>17</v>
      </c>
      <c r="L538" t="s">
        <v>112</v>
      </c>
      <c r="M538" t="s">
        <v>482</v>
      </c>
      <c r="N538" t="s">
        <v>483</v>
      </c>
      <c r="R538" t="s">
        <v>303</v>
      </c>
      <c r="S538" t="s">
        <v>303</v>
      </c>
      <c r="T538" t="s">
        <v>124</v>
      </c>
      <c r="U538" t="s">
        <v>272</v>
      </c>
      <c r="V538" t="s">
        <v>452</v>
      </c>
      <c r="W538" t="s">
        <v>453</v>
      </c>
      <c r="AA538">
        <v>0.5</v>
      </c>
      <c r="AB538" t="s">
        <v>100</v>
      </c>
      <c r="AE538" t="str">
        <f t="shared" si="8"/>
        <v>Delneky</v>
      </c>
      <c r="AF538">
        <v>0</v>
      </c>
      <c r="AG538">
        <v>0</v>
      </c>
      <c r="AH538">
        <v>1</v>
      </c>
      <c r="AI538">
        <v>0</v>
      </c>
      <c r="AJ538">
        <v>0</v>
      </c>
    </row>
    <row r="539" spans="2:36" ht="15" customHeight="1" x14ac:dyDescent="0.2">
      <c r="B539" t="s">
        <v>300</v>
      </c>
      <c r="D539">
        <v>8</v>
      </c>
      <c r="E539" t="s">
        <v>481</v>
      </c>
      <c r="F539" t="s">
        <v>268</v>
      </c>
      <c r="G539" s="15">
        <v>44414</v>
      </c>
      <c r="H539" t="s">
        <v>144</v>
      </c>
      <c r="I539" t="s">
        <v>449</v>
      </c>
      <c r="J539" t="s">
        <v>270</v>
      </c>
      <c r="K539">
        <v>17</v>
      </c>
      <c r="L539" t="s">
        <v>112</v>
      </c>
      <c r="M539" t="s">
        <v>482</v>
      </c>
      <c r="N539" t="s">
        <v>483</v>
      </c>
      <c r="R539" t="s">
        <v>303</v>
      </c>
      <c r="S539" t="s">
        <v>303</v>
      </c>
      <c r="T539" t="s">
        <v>124</v>
      </c>
      <c r="U539" t="s">
        <v>272</v>
      </c>
      <c r="V539" t="s">
        <v>1308</v>
      </c>
      <c r="W539" t="s">
        <v>453</v>
      </c>
      <c r="AA539">
        <v>0.5</v>
      </c>
      <c r="AB539" t="s">
        <v>100</v>
      </c>
      <c r="AE539" t="str">
        <f t="shared" si="8"/>
        <v>Connolly</v>
      </c>
      <c r="AF539">
        <v>0</v>
      </c>
      <c r="AG539">
        <v>0</v>
      </c>
      <c r="AH539">
        <v>1</v>
      </c>
      <c r="AI539">
        <v>0</v>
      </c>
      <c r="AJ539">
        <v>0</v>
      </c>
    </row>
    <row r="540" spans="2:36" ht="15" customHeight="1" x14ac:dyDescent="0.2">
      <c r="B540" t="s">
        <v>300</v>
      </c>
      <c r="D540">
        <v>8</v>
      </c>
      <c r="E540" t="s">
        <v>481</v>
      </c>
      <c r="F540" t="s">
        <v>268</v>
      </c>
      <c r="G540" s="15">
        <v>44414</v>
      </c>
      <c r="H540" t="s">
        <v>144</v>
      </c>
      <c r="I540" t="s">
        <v>449</v>
      </c>
      <c r="J540" t="s">
        <v>270</v>
      </c>
      <c r="K540">
        <v>17</v>
      </c>
      <c r="L540" t="s">
        <v>112</v>
      </c>
      <c r="M540" t="s">
        <v>482</v>
      </c>
      <c r="N540" t="s">
        <v>483</v>
      </c>
      <c r="R540" t="s">
        <v>303</v>
      </c>
      <c r="S540" t="s">
        <v>303</v>
      </c>
      <c r="T540" t="s">
        <v>124</v>
      </c>
      <c r="U540" t="s">
        <v>272</v>
      </c>
      <c r="V540" t="s">
        <v>321</v>
      </c>
      <c r="W540" t="s">
        <v>453</v>
      </c>
      <c r="AA540">
        <v>0.5</v>
      </c>
      <c r="AB540" t="s">
        <v>100</v>
      </c>
      <c r="AE540" t="str">
        <f t="shared" si="8"/>
        <v>Delaney</v>
      </c>
      <c r="AF540">
        <v>0</v>
      </c>
      <c r="AG540">
        <v>0</v>
      </c>
      <c r="AH540">
        <v>1</v>
      </c>
      <c r="AI540">
        <v>0</v>
      </c>
      <c r="AJ540">
        <v>0</v>
      </c>
    </row>
    <row r="541" spans="2:36" ht="15" customHeight="1" x14ac:dyDescent="0.2">
      <c r="B541" t="s">
        <v>300</v>
      </c>
      <c r="D541">
        <v>8</v>
      </c>
      <c r="E541" t="s">
        <v>481</v>
      </c>
      <c r="F541" t="s">
        <v>268</v>
      </c>
      <c r="G541" s="15">
        <v>44414</v>
      </c>
      <c r="H541" t="s">
        <v>144</v>
      </c>
      <c r="I541" t="s">
        <v>449</v>
      </c>
      <c r="J541" t="s">
        <v>270</v>
      </c>
      <c r="K541">
        <v>17</v>
      </c>
      <c r="L541" t="s">
        <v>112</v>
      </c>
      <c r="M541" t="s">
        <v>482</v>
      </c>
      <c r="N541" t="s">
        <v>483</v>
      </c>
      <c r="R541" t="s">
        <v>303</v>
      </c>
      <c r="S541" t="s">
        <v>303</v>
      </c>
      <c r="T541" t="s">
        <v>124</v>
      </c>
      <c r="U541" t="s">
        <v>272</v>
      </c>
      <c r="V541" t="s">
        <v>122</v>
      </c>
      <c r="W541" t="s">
        <v>453</v>
      </c>
      <c r="AA541">
        <v>0.5</v>
      </c>
      <c r="AB541" t="s">
        <v>100</v>
      </c>
      <c r="AE541" t="str">
        <f t="shared" si="8"/>
        <v>Hilts</v>
      </c>
      <c r="AF541">
        <v>0</v>
      </c>
      <c r="AG541">
        <v>0</v>
      </c>
      <c r="AH541">
        <v>1</v>
      </c>
      <c r="AI541">
        <v>0</v>
      </c>
      <c r="AJ541">
        <v>0</v>
      </c>
    </row>
    <row r="542" spans="2:36" ht="15" customHeight="1" x14ac:dyDescent="0.2">
      <c r="B542" t="s">
        <v>300</v>
      </c>
      <c r="D542">
        <v>8</v>
      </c>
      <c r="E542" t="s">
        <v>481</v>
      </c>
      <c r="F542" t="s">
        <v>268</v>
      </c>
      <c r="G542" s="15">
        <v>44414</v>
      </c>
      <c r="H542" t="s">
        <v>144</v>
      </c>
      <c r="I542" t="s">
        <v>449</v>
      </c>
      <c r="J542" t="s">
        <v>270</v>
      </c>
      <c r="K542">
        <v>17</v>
      </c>
      <c r="L542" t="s">
        <v>112</v>
      </c>
      <c r="M542" t="s">
        <v>482</v>
      </c>
      <c r="N542" t="s">
        <v>483</v>
      </c>
      <c r="R542" t="s">
        <v>303</v>
      </c>
      <c r="S542" t="s">
        <v>303</v>
      </c>
      <c r="T542" t="s">
        <v>124</v>
      </c>
      <c r="U542" t="s">
        <v>272</v>
      </c>
      <c r="V542" t="s">
        <v>456</v>
      </c>
      <c r="W542" t="s">
        <v>453</v>
      </c>
      <c r="AA542">
        <v>0.5</v>
      </c>
      <c r="AB542" t="s">
        <v>100</v>
      </c>
      <c r="AE542" t="str">
        <f t="shared" si="8"/>
        <v>Perkins</v>
      </c>
      <c r="AF542">
        <v>0</v>
      </c>
      <c r="AG542">
        <v>0</v>
      </c>
      <c r="AH542">
        <v>1</v>
      </c>
      <c r="AI542">
        <v>0</v>
      </c>
      <c r="AJ542">
        <v>0</v>
      </c>
    </row>
    <row r="543" spans="2:36" ht="15" customHeight="1" x14ac:dyDescent="0.2">
      <c r="B543" t="s">
        <v>300</v>
      </c>
      <c r="D543">
        <v>8</v>
      </c>
      <c r="E543" t="s">
        <v>481</v>
      </c>
      <c r="F543" t="s">
        <v>268</v>
      </c>
      <c r="G543" s="15">
        <v>44414</v>
      </c>
      <c r="H543" t="s">
        <v>144</v>
      </c>
      <c r="I543" t="s">
        <v>449</v>
      </c>
      <c r="J543" t="s">
        <v>270</v>
      </c>
      <c r="K543">
        <v>17</v>
      </c>
      <c r="L543" t="s">
        <v>112</v>
      </c>
      <c r="M543" t="s">
        <v>482</v>
      </c>
      <c r="N543" t="s">
        <v>483</v>
      </c>
      <c r="R543" t="s">
        <v>303</v>
      </c>
      <c r="S543" t="s">
        <v>303</v>
      </c>
      <c r="T543" t="s">
        <v>124</v>
      </c>
      <c r="U543" t="s">
        <v>272</v>
      </c>
      <c r="V543" t="s">
        <v>178</v>
      </c>
      <c r="W543" t="s">
        <v>453</v>
      </c>
      <c r="AA543">
        <v>0.5</v>
      </c>
      <c r="AB543" t="s">
        <v>100</v>
      </c>
      <c r="AE543" t="str">
        <f t="shared" si="8"/>
        <v>Connors</v>
      </c>
      <c r="AF543">
        <v>0</v>
      </c>
      <c r="AG543">
        <v>0</v>
      </c>
      <c r="AH543">
        <v>1</v>
      </c>
      <c r="AI543">
        <v>0</v>
      </c>
      <c r="AJ543">
        <v>0</v>
      </c>
    </row>
    <row r="544" spans="2:36" ht="15" customHeight="1" x14ac:dyDescent="0.2">
      <c r="B544" t="s">
        <v>300</v>
      </c>
      <c r="D544">
        <v>8</v>
      </c>
      <c r="E544" t="s">
        <v>481</v>
      </c>
      <c r="F544" t="s">
        <v>268</v>
      </c>
      <c r="G544" s="15">
        <v>44414</v>
      </c>
      <c r="H544" t="s">
        <v>144</v>
      </c>
      <c r="I544" t="s">
        <v>449</v>
      </c>
      <c r="J544" t="s">
        <v>270</v>
      </c>
      <c r="K544">
        <v>17</v>
      </c>
      <c r="L544" t="s">
        <v>112</v>
      </c>
      <c r="M544" t="s">
        <v>482</v>
      </c>
      <c r="N544" t="s">
        <v>483</v>
      </c>
      <c r="R544" t="s">
        <v>303</v>
      </c>
      <c r="S544" t="s">
        <v>303</v>
      </c>
      <c r="T544" t="s">
        <v>124</v>
      </c>
      <c r="U544" t="s">
        <v>272</v>
      </c>
      <c r="V544" t="s">
        <v>127</v>
      </c>
      <c r="W544" t="s">
        <v>453</v>
      </c>
      <c r="AA544">
        <v>0.5</v>
      </c>
      <c r="AB544" t="s">
        <v>100</v>
      </c>
      <c r="AE544" t="str">
        <f t="shared" si="8"/>
        <v>Ferrin</v>
      </c>
      <c r="AF544">
        <v>0</v>
      </c>
      <c r="AG544">
        <v>0</v>
      </c>
      <c r="AH544">
        <v>1</v>
      </c>
      <c r="AI544">
        <v>0</v>
      </c>
      <c r="AJ544">
        <v>0</v>
      </c>
    </row>
    <row r="545" spans="2:38" ht="15" customHeight="1" x14ac:dyDescent="0.2">
      <c r="B545" t="s">
        <v>300</v>
      </c>
      <c r="D545">
        <v>8</v>
      </c>
      <c r="E545" t="s">
        <v>481</v>
      </c>
      <c r="F545" t="s">
        <v>268</v>
      </c>
      <c r="G545" s="15">
        <v>44414</v>
      </c>
      <c r="H545" t="s">
        <v>144</v>
      </c>
      <c r="I545" t="s">
        <v>449</v>
      </c>
      <c r="J545" t="s">
        <v>270</v>
      </c>
      <c r="K545">
        <v>17</v>
      </c>
      <c r="L545" t="s">
        <v>112</v>
      </c>
      <c r="M545" t="s">
        <v>482</v>
      </c>
      <c r="N545" t="s">
        <v>483</v>
      </c>
      <c r="R545" t="s">
        <v>303</v>
      </c>
      <c r="S545" t="s">
        <v>303</v>
      </c>
      <c r="T545" t="s">
        <v>124</v>
      </c>
      <c r="U545" t="s">
        <v>272</v>
      </c>
      <c r="V545" t="s">
        <v>119</v>
      </c>
      <c r="W545" t="s">
        <v>453</v>
      </c>
      <c r="AA545">
        <v>0.5</v>
      </c>
      <c r="AB545" t="s">
        <v>100</v>
      </c>
      <c r="AE545" t="str">
        <f t="shared" si="8"/>
        <v>Grise</v>
      </c>
      <c r="AF545">
        <v>0</v>
      </c>
      <c r="AG545">
        <v>0</v>
      </c>
      <c r="AH545">
        <v>1</v>
      </c>
      <c r="AI545">
        <v>0</v>
      </c>
      <c r="AJ545">
        <v>0</v>
      </c>
    </row>
    <row r="546" spans="2:38" ht="15" customHeight="1" x14ac:dyDescent="0.2">
      <c r="B546">
        <v>25</v>
      </c>
      <c r="C546">
        <v>1</v>
      </c>
      <c r="D546">
        <v>8</v>
      </c>
      <c r="E546" t="s">
        <v>484</v>
      </c>
      <c r="F546" t="s">
        <v>153</v>
      </c>
      <c r="G546" s="15">
        <v>44430</v>
      </c>
      <c r="H546" t="s">
        <v>144</v>
      </c>
      <c r="I546" t="s">
        <v>485</v>
      </c>
      <c r="J546" t="s">
        <v>219</v>
      </c>
      <c r="K546">
        <v>18</v>
      </c>
      <c r="L546" t="s">
        <v>154</v>
      </c>
      <c r="M546" t="s">
        <v>486</v>
      </c>
      <c r="R546" t="s">
        <v>157</v>
      </c>
      <c r="S546" t="s">
        <v>158</v>
      </c>
      <c r="T546" t="s">
        <v>124</v>
      </c>
      <c r="U546" t="s">
        <v>132</v>
      </c>
      <c r="V546" t="s">
        <v>172</v>
      </c>
      <c r="AA546">
        <v>2</v>
      </c>
      <c r="AB546" t="s">
        <v>99</v>
      </c>
      <c r="AC546" t="s">
        <v>259</v>
      </c>
      <c r="AD546" t="s">
        <v>321</v>
      </c>
      <c r="AE546" t="str">
        <f t="shared" si="8"/>
        <v>Fogan</v>
      </c>
      <c r="AF546">
        <v>2</v>
      </c>
      <c r="AG546">
        <v>1</v>
      </c>
      <c r="AH546">
        <v>0</v>
      </c>
      <c r="AI546">
        <v>0</v>
      </c>
      <c r="AJ546">
        <v>1</v>
      </c>
      <c r="AK546" t="s">
        <v>321</v>
      </c>
      <c r="AL546">
        <v>0.46551724137931</v>
      </c>
    </row>
    <row r="547" spans="2:38" ht="15" customHeight="1" x14ac:dyDescent="0.2">
      <c r="B547">
        <v>26</v>
      </c>
      <c r="C547">
        <v>2</v>
      </c>
      <c r="D547">
        <v>8</v>
      </c>
      <c r="E547" t="s">
        <v>487</v>
      </c>
      <c r="F547" t="s">
        <v>153</v>
      </c>
      <c r="G547" s="15">
        <v>44451</v>
      </c>
      <c r="H547" t="s">
        <v>109</v>
      </c>
      <c r="I547" t="s">
        <v>488</v>
      </c>
      <c r="J547" t="s">
        <v>219</v>
      </c>
      <c r="K547">
        <v>18</v>
      </c>
      <c r="L547" t="s">
        <v>154</v>
      </c>
      <c r="M547" t="s">
        <v>489</v>
      </c>
      <c r="R547" t="s">
        <v>157</v>
      </c>
      <c r="S547" t="s">
        <v>158</v>
      </c>
      <c r="T547" t="s">
        <v>124</v>
      </c>
      <c r="U547" t="s">
        <v>132</v>
      </c>
      <c r="V547" t="s">
        <v>123</v>
      </c>
      <c r="AA547">
        <v>2</v>
      </c>
      <c r="AB547" t="s">
        <v>99</v>
      </c>
      <c r="AC547" t="s">
        <v>222</v>
      </c>
      <c r="AD547" t="s">
        <v>127</v>
      </c>
      <c r="AE547" t="str">
        <f t="shared" si="8"/>
        <v>Lynch</v>
      </c>
      <c r="AF547">
        <v>2</v>
      </c>
      <c r="AG547">
        <v>1</v>
      </c>
      <c r="AH547">
        <v>0</v>
      </c>
      <c r="AI547">
        <v>0</v>
      </c>
      <c r="AJ547">
        <v>1</v>
      </c>
      <c r="AK547" t="s">
        <v>127</v>
      </c>
      <c r="AL547">
        <v>0.59523809523809501</v>
      </c>
    </row>
    <row r="548" spans="2:38" ht="15" customHeight="1" x14ac:dyDescent="0.2">
      <c r="B548">
        <v>27</v>
      </c>
      <c r="C548">
        <v>3</v>
      </c>
      <c r="D548">
        <v>8</v>
      </c>
      <c r="E548" t="s">
        <v>490</v>
      </c>
      <c r="F548" t="s">
        <v>153</v>
      </c>
      <c r="G548" s="15">
        <v>44451</v>
      </c>
      <c r="H548" t="s">
        <v>109</v>
      </c>
      <c r="I548" t="s">
        <v>488</v>
      </c>
      <c r="J548" t="s">
        <v>219</v>
      </c>
      <c r="K548">
        <v>18</v>
      </c>
      <c r="L548" t="s">
        <v>154</v>
      </c>
      <c r="M548" t="s">
        <v>489</v>
      </c>
      <c r="R548" t="s">
        <v>157</v>
      </c>
      <c r="S548" t="s">
        <v>158</v>
      </c>
      <c r="T548" t="s">
        <v>124</v>
      </c>
      <c r="U548" t="s">
        <v>132</v>
      </c>
      <c r="V548" t="s">
        <v>118</v>
      </c>
      <c r="AA548">
        <v>2</v>
      </c>
      <c r="AB548" t="s">
        <v>100</v>
      </c>
      <c r="AC548" t="s">
        <v>222</v>
      </c>
      <c r="AD548" t="s">
        <v>227</v>
      </c>
      <c r="AE548" t="str">
        <f t="shared" si="8"/>
        <v>Jackson</v>
      </c>
      <c r="AF548">
        <v>0</v>
      </c>
      <c r="AG548">
        <v>0</v>
      </c>
      <c r="AH548">
        <v>1</v>
      </c>
      <c r="AI548">
        <v>0</v>
      </c>
      <c r="AJ548">
        <v>0</v>
      </c>
      <c r="AK548" t="s">
        <v>227</v>
      </c>
      <c r="AL548">
        <v>0.5</v>
      </c>
    </row>
    <row r="549" spans="2:38" ht="15" customHeight="1" x14ac:dyDescent="0.2">
      <c r="B549">
        <v>28</v>
      </c>
      <c r="C549">
        <v>4</v>
      </c>
      <c r="D549">
        <v>8</v>
      </c>
      <c r="E549" t="s">
        <v>491</v>
      </c>
      <c r="F549" t="s">
        <v>153</v>
      </c>
      <c r="G549" s="15">
        <v>44451</v>
      </c>
      <c r="H549" t="s">
        <v>109</v>
      </c>
      <c r="I549" t="s">
        <v>488</v>
      </c>
      <c r="J549" t="s">
        <v>219</v>
      </c>
      <c r="K549">
        <v>18</v>
      </c>
      <c r="L549" t="s">
        <v>154</v>
      </c>
      <c r="M549" t="s">
        <v>489</v>
      </c>
      <c r="R549" t="s">
        <v>157</v>
      </c>
      <c r="S549" t="s">
        <v>158</v>
      </c>
      <c r="T549" t="s">
        <v>124</v>
      </c>
      <c r="U549" t="s">
        <v>132</v>
      </c>
      <c r="V549" t="s">
        <v>231</v>
      </c>
      <c r="AA549">
        <v>2</v>
      </c>
      <c r="AB549" t="s">
        <v>100</v>
      </c>
      <c r="AC549" t="s">
        <v>239</v>
      </c>
      <c r="AD549" t="s">
        <v>1308</v>
      </c>
      <c r="AE549" t="str">
        <f t="shared" si="8"/>
        <v>McInerney</v>
      </c>
      <c r="AF549">
        <v>0</v>
      </c>
      <c r="AG549">
        <v>0</v>
      </c>
      <c r="AH549">
        <v>1</v>
      </c>
      <c r="AI549">
        <v>0</v>
      </c>
      <c r="AJ549">
        <v>0</v>
      </c>
      <c r="AK549" t="s">
        <v>1308</v>
      </c>
      <c r="AL549">
        <v>0.59375</v>
      </c>
    </row>
    <row r="550" spans="2:38" ht="15" customHeight="1" x14ac:dyDescent="0.2">
      <c r="B550">
        <v>29</v>
      </c>
      <c r="C550">
        <v>5</v>
      </c>
      <c r="D550">
        <v>8</v>
      </c>
      <c r="E550" t="s">
        <v>492</v>
      </c>
      <c r="F550" t="s">
        <v>153</v>
      </c>
      <c r="G550" s="15">
        <v>44451</v>
      </c>
      <c r="H550" t="s">
        <v>109</v>
      </c>
      <c r="I550" t="s">
        <v>488</v>
      </c>
      <c r="J550" t="s">
        <v>219</v>
      </c>
      <c r="K550">
        <v>18</v>
      </c>
      <c r="L550" t="s">
        <v>154</v>
      </c>
      <c r="M550" t="s">
        <v>489</v>
      </c>
      <c r="R550" t="s">
        <v>157</v>
      </c>
      <c r="S550" t="s">
        <v>158</v>
      </c>
      <c r="T550" t="s">
        <v>124</v>
      </c>
      <c r="U550" t="s">
        <v>132</v>
      </c>
      <c r="V550" t="s">
        <v>179</v>
      </c>
      <c r="AA550">
        <v>2</v>
      </c>
      <c r="AB550" t="s">
        <v>99</v>
      </c>
      <c r="AC550" t="s">
        <v>259</v>
      </c>
      <c r="AD550" t="s">
        <v>178</v>
      </c>
      <c r="AE550" t="str">
        <f t="shared" si="8"/>
        <v>Cole</v>
      </c>
      <c r="AF550">
        <v>2</v>
      </c>
      <c r="AG550">
        <v>1</v>
      </c>
      <c r="AH550">
        <v>0</v>
      </c>
      <c r="AI550">
        <v>0</v>
      </c>
      <c r="AJ550">
        <v>1</v>
      </c>
      <c r="AK550" t="s">
        <v>178</v>
      </c>
      <c r="AL550">
        <v>0.34745762711864397</v>
      </c>
    </row>
    <row r="551" spans="2:38" ht="15" customHeight="1" x14ac:dyDescent="0.2">
      <c r="B551">
        <v>30</v>
      </c>
      <c r="C551">
        <v>6</v>
      </c>
      <c r="D551">
        <v>8</v>
      </c>
      <c r="E551" t="s">
        <v>493</v>
      </c>
      <c r="F551" t="s">
        <v>153</v>
      </c>
      <c r="G551" s="15">
        <v>44451</v>
      </c>
      <c r="H551" t="s">
        <v>109</v>
      </c>
      <c r="I551" t="s">
        <v>488</v>
      </c>
      <c r="J551" t="s">
        <v>219</v>
      </c>
      <c r="K551">
        <v>18</v>
      </c>
      <c r="L551" t="s">
        <v>154</v>
      </c>
      <c r="M551" t="s">
        <v>489</v>
      </c>
      <c r="R551" t="s">
        <v>157</v>
      </c>
      <c r="S551" t="s">
        <v>158</v>
      </c>
      <c r="T551" t="s">
        <v>124</v>
      </c>
      <c r="U551" t="s">
        <v>132</v>
      </c>
      <c r="V551" t="s">
        <v>135</v>
      </c>
      <c r="AA551">
        <v>2</v>
      </c>
      <c r="AB551" t="s">
        <v>100</v>
      </c>
      <c r="AC551" t="s">
        <v>304</v>
      </c>
      <c r="AD551" t="s">
        <v>119</v>
      </c>
      <c r="AE551" t="str">
        <f t="shared" si="8"/>
        <v>Shively</v>
      </c>
      <c r="AF551">
        <v>0</v>
      </c>
      <c r="AG551">
        <v>0</v>
      </c>
      <c r="AH551">
        <v>1</v>
      </c>
      <c r="AI551">
        <v>0</v>
      </c>
      <c r="AJ551">
        <v>0</v>
      </c>
      <c r="AK551" t="s">
        <v>119</v>
      </c>
      <c r="AL551">
        <v>0.546875</v>
      </c>
    </row>
    <row r="552" spans="2:38" ht="15" customHeight="1" x14ac:dyDescent="0.2">
      <c r="B552">
        <v>31</v>
      </c>
      <c r="C552">
        <v>7</v>
      </c>
      <c r="D552">
        <v>8</v>
      </c>
      <c r="E552" t="s">
        <v>494</v>
      </c>
      <c r="F552" t="s">
        <v>153</v>
      </c>
      <c r="G552" s="15">
        <v>44451</v>
      </c>
      <c r="H552" t="s">
        <v>109</v>
      </c>
      <c r="I552" t="s">
        <v>495</v>
      </c>
      <c r="J552" t="s">
        <v>219</v>
      </c>
      <c r="K552">
        <v>18</v>
      </c>
      <c r="L552" t="s">
        <v>154</v>
      </c>
      <c r="M552" t="s">
        <v>496</v>
      </c>
      <c r="R552" t="s">
        <v>157</v>
      </c>
      <c r="S552" t="s">
        <v>158</v>
      </c>
      <c r="T552" t="s">
        <v>124</v>
      </c>
      <c r="U552" t="s">
        <v>132</v>
      </c>
      <c r="V552" t="s">
        <v>132</v>
      </c>
      <c r="AA552">
        <v>2</v>
      </c>
      <c r="AB552" t="s">
        <v>99</v>
      </c>
      <c r="AC552" t="s">
        <v>425</v>
      </c>
      <c r="AD552" t="s">
        <v>272</v>
      </c>
      <c r="AE552" t="str">
        <f t="shared" si="8"/>
        <v>Flanders</v>
      </c>
      <c r="AF552">
        <v>2</v>
      </c>
      <c r="AG552">
        <v>1</v>
      </c>
      <c r="AH552">
        <v>0</v>
      </c>
      <c r="AI552">
        <v>0</v>
      </c>
      <c r="AJ552">
        <v>1</v>
      </c>
      <c r="AK552" t="s">
        <v>272</v>
      </c>
      <c r="AL552">
        <v>0.51041666666666696</v>
      </c>
    </row>
    <row r="553" spans="2:38" ht="15" customHeight="1" x14ac:dyDescent="0.2">
      <c r="B553">
        <v>32</v>
      </c>
      <c r="C553">
        <v>8</v>
      </c>
      <c r="D553">
        <v>8</v>
      </c>
      <c r="E553" t="s">
        <v>497</v>
      </c>
      <c r="F553" t="s">
        <v>153</v>
      </c>
      <c r="G553" s="15">
        <v>44821</v>
      </c>
      <c r="H553" t="s">
        <v>109</v>
      </c>
      <c r="I553" t="s">
        <v>498</v>
      </c>
      <c r="J553" t="s">
        <v>402</v>
      </c>
      <c r="K553">
        <v>18</v>
      </c>
      <c r="L553" t="s">
        <v>154</v>
      </c>
      <c r="M553" t="s">
        <v>499</v>
      </c>
      <c r="R553" t="s">
        <v>157</v>
      </c>
      <c r="S553" t="s">
        <v>158</v>
      </c>
      <c r="T553" t="s">
        <v>124</v>
      </c>
      <c r="U553" t="s">
        <v>132</v>
      </c>
      <c r="V553" t="s">
        <v>457</v>
      </c>
      <c r="AA553">
        <v>2</v>
      </c>
      <c r="AB553" t="s">
        <v>100</v>
      </c>
      <c r="AC553" t="s">
        <v>425</v>
      </c>
      <c r="AD553" t="s">
        <v>456</v>
      </c>
      <c r="AE553" t="str">
        <f t="shared" si="8"/>
        <v>Piegari</v>
      </c>
      <c r="AF553">
        <v>0</v>
      </c>
      <c r="AG553">
        <v>0</v>
      </c>
      <c r="AH553">
        <v>1</v>
      </c>
      <c r="AI553">
        <v>0</v>
      </c>
      <c r="AJ553">
        <v>0</v>
      </c>
      <c r="AK553" t="s">
        <v>456</v>
      </c>
      <c r="AL553">
        <v>0.63888888888888895</v>
      </c>
    </row>
    <row r="554" spans="2:38" ht="15" customHeight="1" x14ac:dyDescent="0.2">
      <c r="B554">
        <v>25</v>
      </c>
      <c r="C554">
        <v>1</v>
      </c>
      <c r="D554">
        <v>8</v>
      </c>
      <c r="E554" t="s">
        <v>484</v>
      </c>
      <c r="F554" t="s">
        <v>153</v>
      </c>
      <c r="G554" s="15">
        <v>44430</v>
      </c>
      <c r="H554" t="s">
        <v>144</v>
      </c>
      <c r="I554" t="s">
        <v>485</v>
      </c>
      <c r="J554" t="s">
        <v>219</v>
      </c>
      <c r="K554">
        <v>18</v>
      </c>
      <c r="L554" t="s">
        <v>154</v>
      </c>
      <c r="M554" t="s">
        <v>486</v>
      </c>
      <c r="R554" t="s">
        <v>157</v>
      </c>
      <c r="S554" t="s">
        <v>158</v>
      </c>
      <c r="T554" t="s">
        <v>124</v>
      </c>
      <c r="U554" t="s">
        <v>272</v>
      </c>
      <c r="V554" t="s">
        <v>321</v>
      </c>
      <c r="AA554">
        <v>2</v>
      </c>
      <c r="AB554" t="s">
        <v>100</v>
      </c>
      <c r="AC554" t="s">
        <v>259</v>
      </c>
      <c r="AD554" t="s">
        <v>172</v>
      </c>
      <c r="AE554" t="str">
        <f t="shared" si="8"/>
        <v>Delaney</v>
      </c>
      <c r="AF554">
        <v>0</v>
      </c>
      <c r="AG554">
        <v>0</v>
      </c>
      <c r="AH554">
        <v>1</v>
      </c>
      <c r="AI554">
        <v>0</v>
      </c>
      <c r="AJ554">
        <v>0</v>
      </c>
      <c r="AK554" t="s">
        <v>172</v>
      </c>
      <c r="AL554">
        <v>0.37288135593220301</v>
      </c>
    </row>
    <row r="555" spans="2:38" ht="15" customHeight="1" x14ac:dyDescent="0.2">
      <c r="B555">
        <v>26</v>
      </c>
      <c r="C555">
        <v>2</v>
      </c>
      <c r="D555">
        <v>8</v>
      </c>
      <c r="E555" t="s">
        <v>487</v>
      </c>
      <c r="F555" t="s">
        <v>153</v>
      </c>
      <c r="G555" s="15">
        <v>44451</v>
      </c>
      <c r="H555" t="s">
        <v>109</v>
      </c>
      <c r="I555" t="s">
        <v>488</v>
      </c>
      <c r="J555" t="s">
        <v>219</v>
      </c>
      <c r="K555">
        <v>18</v>
      </c>
      <c r="L555" t="s">
        <v>154</v>
      </c>
      <c r="M555" t="s">
        <v>489</v>
      </c>
      <c r="R555" t="s">
        <v>157</v>
      </c>
      <c r="S555" t="s">
        <v>158</v>
      </c>
      <c r="T555" t="s">
        <v>124</v>
      </c>
      <c r="U555" t="s">
        <v>272</v>
      </c>
      <c r="V555" t="s">
        <v>127</v>
      </c>
      <c r="AA555">
        <v>2</v>
      </c>
      <c r="AB555" t="s">
        <v>100</v>
      </c>
      <c r="AC555" t="s">
        <v>222</v>
      </c>
      <c r="AD555" t="s">
        <v>123</v>
      </c>
      <c r="AE555" t="str">
        <f t="shared" si="8"/>
        <v>Ferrin</v>
      </c>
      <c r="AF555">
        <v>0</v>
      </c>
      <c r="AG555">
        <v>0</v>
      </c>
      <c r="AH555">
        <v>1</v>
      </c>
      <c r="AI555">
        <v>0</v>
      </c>
      <c r="AJ555">
        <v>0</v>
      </c>
      <c r="AK555" t="s">
        <v>123</v>
      </c>
      <c r="AL555">
        <v>0.5546875</v>
      </c>
    </row>
    <row r="556" spans="2:38" ht="15" customHeight="1" x14ac:dyDescent="0.2">
      <c r="B556">
        <v>27</v>
      </c>
      <c r="C556">
        <v>3</v>
      </c>
      <c r="D556">
        <v>8</v>
      </c>
      <c r="E556" t="s">
        <v>490</v>
      </c>
      <c r="F556" t="s">
        <v>153</v>
      </c>
      <c r="G556" s="15">
        <v>44451</v>
      </c>
      <c r="H556" t="s">
        <v>109</v>
      </c>
      <c r="I556" t="s">
        <v>488</v>
      </c>
      <c r="J556" t="s">
        <v>219</v>
      </c>
      <c r="K556">
        <v>18</v>
      </c>
      <c r="L556" t="s">
        <v>154</v>
      </c>
      <c r="M556" t="s">
        <v>489</v>
      </c>
      <c r="R556" t="s">
        <v>157</v>
      </c>
      <c r="S556" t="s">
        <v>158</v>
      </c>
      <c r="T556" t="s">
        <v>124</v>
      </c>
      <c r="U556" t="s">
        <v>272</v>
      </c>
      <c r="V556" t="s">
        <v>227</v>
      </c>
      <c r="AA556">
        <v>2</v>
      </c>
      <c r="AB556" t="s">
        <v>99</v>
      </c>
      <c r="AC556" t="s">
        <v>222</v>
      </c>
      <c r="AD556" t="s">
        <v>118</v>
      </c>
      <c r="AE556" t="str">
        <f t="shared" si="8"/>
        <v>Zimmer</v>
      </c>
      <c r="AF556">
        <v>2</v>
      </c>
      <c r="AG556">
        <v>1</v>
      </c>
      <c r="AH556">
        <v>0</v>
      </c>
      <c r="AI556">
        <v>0</v>
      </c>
      <c r="AJ556">
        <v>1</v>
      </c>
      <c r="AK556" t="s">
        <v>118</v>
      </c>
      <c r="AL556">
        <v>0.6171875</v>
      </c>
    </row>
    <row r="557" spans="2:38" ht="15" customHeight="1" x14ac:dyDescent="0.2">
      <c r="B557">
        <v>28</v>
      </c>
      <c r="C557">
        <v>4</v>
      </c>
      <c r="D557">
        <v>8</v>
      </c>
      <c r="E557" t="s">
        <v>491</v>
      </c>
      <c r="F557" t="s">
        <v>153</v>
      </c>
      <c r="G557" s="15">
        <v>44451</v>
      </c>
      <c r="H557" t="s">
        <v>109</v>
      </c>
      <c r="I557" t="s">
        <v>488</v>
      </c>
      <c r="J557" t="s">
        <v>219</v>
      </c>
      <c r="K557">
        <v>18</v>
      </c>
      <c r="L557" t="s">
        <v>154</v>
      </c>
      <c r="M557" t="s">
        <v>489</v>
      </c>
      <c r="R557" t="s">
        <v>157</v>
      </c>
      <c r="S557" t="s">
        <v>158</v>
      </c>
      <c r="T557" t="s">
        <v>124</v>
      </c>
      <c r="U557" t="s">
        <v>272</v>
      </c>
      <c r="V557" t="s">
        <v>1308</v>
      </c>
      <c r="AA557">
        <v>2</v>
      </c>
      <c r="AB557" t="s">
        <v>99</v>
      </c>
      <c r="AC557" t="s">
        <v>239</v>
      </c>
      <c r="AD557" t="s">
        <v>231</v>
      </c>
      <c r="AE557" t="str">
        <f t="shared" si="8"/>
        <v>Connolly</v>
      </c>
      <c r="AF557">
        <v>2</v>
      </c>
      <c r="AG557">
        <v>1</v>
      </c>
      <c r="AH557">
        <v>0</v>
      </c>
      <c r="AI557">
        <v>0</v>
      </c>
      <c r="AJ557">
        <v>1</v>
      </c>
      <c r="AK557" t="s">
        <v>231</v>
      </c>
      <c r="AL557">
        <v>0.5</v>
      </c>
    </row>
    <row r="558" spans="2:38" ht="15" customHeight="1" x14ac:dyDescent="0.2">
      <c r="B558">
        <v>29</v>
      </c>
      <c r="C558">
        <v>5</v>
      </c>
      <c r="D558">
        <v>8</v>
      </c>
      <c r="E558" t="s">
        <v>492</v>
      </c>
      <c r="F558" t="s">
        <v>153</v>
      </c>
      <c r="G558" s="15">
        <v>44451</v>
      </c>
      <c r="H558" t="s">
        <v>109</v>
      </c>
      <c r="I558" t="s">
        <v>488</v>
      </c>
      <c r="J558" t="s">
        <v>219</v>
      </c>
      <c r="K558">
        <v>18</v>
      </c>
      <c r="L558" t="s">
        <v>154</v>
      </c>
      <c r="M558" t="s">
        <v>489</v>
      </c>
      <c r="R558" t="s">
        <v>157</v>
      </c>
      <c r="S558" t="s">
        <v>158</v>
      </c>
      <c r="T558" t="s">
        <v>124</v>
      </c>
      <c r="U558" t="s">
        <v>272</v>
      </c>
      <c r="V558" t="s">
        <v>178</v>
      </c>
      <c r="AA558">
        <v>2</v>
      </c>
      <c r="AB558" t="s">
        <v>100</v>
      </c>
      <c r="AC558" t="s">
        <v>259</v>
      </c>
      <c r="AD558" t="s">
        <v>179</v>
      </c>
      <c r="AE558" t="str">
        <f t="shared" si="8"/>
        <v>Connors</v>
      </c>
      <c r="AF558">
        <v>0</v>
      </c>
      <c r="AG558">
        <v>0</v>
      </c>
      <c r="AH558">
        <v>1</v>
      </c>
      <c r="AI558">
        <v>0</v>
      </c>
      <c r="AJ558">
        <v>0</v>
      </c>
      <c r="AK558" t="s">
        <v>179</v>
      </c>
      <c r="AL558">
        <v>0.44067796610169502</v>
      </c>
    </row>
    <row r="559" spans="2:38" ht="15" customHeight="1" x14ac:dyDescent="0.2">
      <c r="B559">
        <v>30</v>
      </c>
      <c r="C559">
        <v>6</v>
      </c>
      <c r="D559">
        <v>8</v>
      </c>
      <c r="E559" t="s">
        <v>493</v>
      </c>
      <c r="F559" t="s">
        <v>153</v>
      </c>
      <c r="G559" s="15">
        <v>44451</v>
      </c>
      <c r="H559" t="s">
        <v>109</v>
      </c>
      <c r="I559" t="s">
        <v>488</v>
      </c>
      <c r="J559" t="s">
        <v>219</v>
      </c>
      <c r="K559">
        <v>18</v>
      </c>
      <c r="L559" t="s">
        <v>154</v>
      </c>
      <c r="M559" t="s">
        <v>489</v>
      </c>
      <c r="R559" t="s">
        <v>157</v>
      </c>
      <c r="S559" t="s">
        <v>158</v>
      </c>
      <c r="T559" t="s">
        <v>124</v>
      </c>
      <c r="U559" t="s">
        <v>272</v>
      </c>
      <c r="V559" t="s">
        <v>119</v>
      </c>
      <c r="AA559">
        <v>2</v>
      </c>
      <c r="AB559" t="s">
        <v>99</v>
      </c>
      <c r="AC559" t="s">
        <v>304</v>
      </c>
      <c r="AD559" t="s">
        <v>135</v>
      </c>
      <c r="AE559" t="str">
        <f t="shared" si="8"/>
        <v>Grise</v>
      </c>
      <c r="AF559">
        <v>2</v>
      </c>
      <c r="AG559">
        <v>1</v>
      </c>
      <c r="AH559">
        <v>0</v>
      </c>
      <c r="AI559">
        <v>0</v>
      </c>
      <c r="AJ559">
        <v>1</v>
      </c>
      <c r="AK559" t="s">
        <v>135</v>
      </c>
    </row>
    <row r="560" spans="2:38" ht="15" customHeight="1" x14ac:dyDescent="0.2">
      <c r="B560">
        <v>31</v>
      </c>
      <c r="C560">
        <v>7</v>
      </c>
      <c r="D560">
        <v>8</v>
      </c>
      <c r="E560" t="s">
        <v>494</v>
      </c>
      <c r="F560" t="s">
        <v>153</v>
      </c>
      <c r="G560" s="15">
        <v>44451</v>
      </c>
      <c r="H560" t="s">
        <v>109</v>
      </c>
      <c r="I560" t="s">
        <v>495</v>
      </c>
      <c r="J560" t="s">
        <v>219</v>
      </c>
      <c r="K560">
        <v>18</v>
      </c>
      <c r="L560" t="s">
        <v>154</v>
      </c>
      <c r="M560" t="s">
        <v>496</v>
      </c>
      <c r="R560" t="s">
        <v>157</v>
      </c>
      <c r="S560" t="s">
        <v>158</v>
      </c>
      <c r="T560" t="s">
        <v>124</v>
      </c>
      <c r="U560" t="s">
        <v>272</v>
      </c>
      <c r="V560" t="s">
        <v>272</v>
      </c>
      <c r="AA560">
        <v>2</v>
      </c>
      <c r="AB560" t="s">
        <v>100</v>
      </c>
      <c r="AC560" t="s">
        <v>425</v>
      </c>
      <c r="AD560" t="s">
        <v>132</v>
      </c>
      <c r="AE560" t="str">
        <f t="shared" si="8"/>
        <v>Welker</v>
      </c>
      <c r="AF560">
        <v>0</v>
      </c>
      <c r="AG560">
        <v>0</v>
      </c>
      <c r="AH560">
        <v>1</v>
      </c>
      <c r="AI560">
        <v>0</v>
      </c>
      <c r="AJ560">
        <v>0</v>
      </c>
      <c r="AK560" t="s">
        <v>132</v>
      </c>
      <c r="AL560">
        <v>0.4296875</v>
      </c>
    </row>
    <row r="561" spans="2:40" ht="15" customHeight="1" x14ac:dyDescent="0.2">
      <c r="B561">
        <v>1</v>
      </c>
      <c r="C561">
        <v>1</v>
      </c>
      <c r="D561">
        <v>9</v>
      </c>
      <c r="E561" t="s">
        <v>500</v>
      </c>
      <c r="F561" t="s">
        <v>268</v>
      </c>
      <c r="G561" s="15">
        <v>44757</v>
      </c>
      <c r="H561" t="s">
        <v>109</v>
      </c>
      <c r="I561" t="s">
        <v>218</v>
      </c>
      <c r="J561" t="s">
        <v>219</v>
      </c>
      <c r="K561">
        <v>9</v>
      </c>
      <c r="L561" t="s">
        <v>112</v>
      </c>
      <c r="M561" t="s">
        <v>220</v>
      </c>
      <c r="N561" t="s">
        <v>170</v>
      </c>
      <c r="O561">
        <v>70.900000000000006</v>
      </c>
      <c r="P561">
        <v>133</v>
      </c>
      <c r="Q561">
        <v>6264</v>
      </c>
      <c r="R561" t="s">
        <v>115</v>
      </c>
      <c r="S561" t="s">
        <v>116</v>
      </c>
      <c r="U561" t="s">
        <v>226</v>
      </c>
      <c r="V561" t="s">
        <v>1308</v>
      </c>
      <c r="W561" t="s">
        <v>156</v>
      </c>
      <c r="Y561" t="s">
        <v>456</v>
      </c>
      <c r="AA561">
        <v>1</v>
      </c>
      <c r="AB561" t="s">
        <v>99</v>
      </c>
      <c r="AC561" t="s">
        <v>304</v>
      </c>
      <c r="AE561" t="str">
        <f t="shared" si="8"/>
        <v>ConnollyPerkins</v>
      </c>
      <c r="AF561">
        <v>1</v>
      </c>
      <c r="AG561">
        <v>1</v>
      </c>
      <c r="AH561">
        <v>0</v>
      </c>
      <c r="AI561">
        <v>0</v>
      </c>
      <c r="AJ561">
        <v>1</v>
      </c>
      <c r="AK561" t="s">
        <v>127</v>
      </c>
      <c r="AL561">
        <v>0.59523809523809501</v>
      </c>
      <c r="AM561" t="s">
        <v>118</v>
      </c>
      <c r="AN561">
        <v>0.6171875</v>
      </c>
    </row>
    <row r="562" spans="2:40" ht="15" customHeight="1" x14ac:dyDescent="0.2">
      <c r="B562">
        <v>1</v>
      </c>
      <c r="C562">
        <v>1</v>
      </c>
      <c r="D562">
        <v>9</v>
      </c>
      <c r="E562" t="s">
        <v>500</v>
      </c>
      <c r="F562" t="s">
        <v>268</v>
      </c>
      <c r="G562" s="15">
        <v>44757</v>
      </c>
      <c r="H562" t="s">
        <v>109</v>
      </c>
      <c r="I562" t="s">
        <v>218</v>
      </c>
      <c r="J562" t="s">
        <v>219</v>
      </c>
      <c r="K562">
        <v>9</v>
      </c>
      <c r="L562" t="s">
        <v>112</v>
      </c>
      <c r="M562" t="s">
        <v>220</v>
      </c>
      <c r="N562" t="s">
        <v>170</v>
      </c>
      <c r="O562">
        <v>70.5</v>
      </c>
      <c r="P562">
        <v>134</v>
      </c>
      <c r="Q562">
        <v>6389</v>
      </c>
      <c r="R562" t="s">
        <v>115</v>
      </c>
      <c r="S562" t="s">
        <v>116</v>
      </c>
      <c r="U562" t="s">
        <v>227</v>
      </c>
      <c r="V562" t="s">
        <v>127</v>
      </c>
      <c r="W562" t="s">
        <v>156</v>
      </c>
      <c r="Y562" t="s">
        <v>118</v>
      </c>
      <c r="AA562">
        <v>1</v>
      </c>
      <c r="AB562" t="s">
        <v>100</v>
      </c>
      <c r="AC562" t="s">
        <v>304</v>
      </c>
      <c r="AE562" t="str">
        <f t="shared" si="8"/>
        <v>FerrinJackson</v>
      </c>
      <c r="AF562">
        <v>0</v>
      </c>
      <c r="AG562">
        <v>0</v>
      </c>
      <c r="AH562">
        <v>1</v>
      </c>
      <c r="AI562">
        <v>0</v>
      </c>
      <c r="AJ562">
        <v>0</v>
      </c>
      <c r="AK562" t="s">
        <v>1308</v>
      </c>
      <c r="AL562">
        <v>0.59375</v>
      </c>
      <c r="AM562" t="s">
        <v>456</v>
      </c>
      <c r="AN562">
        <v>0.63888888888888895</v>
      </c>
    </row>
    <row r="563" spans="2:40" ht="15" customHeight="1" x14ac:dyDescent="0.2">
      <c r="B563">
        <v>2</v>
      </c>
      <c r="C563">
        <v>2</v>
      </c>
      <c r="D563">
        <v>9</v>
      </c>
      <c r="E563" t="s">
        <v>501</v>
      </c>
      <c r="F563" t="s">
        <v>268</v>
      </c>
      <c r="G563" s="15">
        <v>44757</v>
      </c>
      <c r="H563" t="s">
        <v>109</v>
      </c>
      <c r="I563" t="s">
        <v>218</v>
      </c>
      <c r="J563" t="s">
        <v>219</v>
      </c>
      <c r="K563">
        <v>9</v>
      </c>
      <c r="L563" t="s">
        <v>112</v>
      </c>
      <c r="M563" t="s">
        <v>220</v>
      </c>
      <c r="N563" t="s">
        <v>170</v>
      </c>
      <c r="O563">
        <v>70.5</v>
      </c>
      <c r="P563">
        <v>134</v>
      </c>
      <c r="Q563">
        <v>6389</v>
      </c>
      <c r="R563" t="s">
        <v>115</v>
      </c>
      <c r="S563" t="s">
        <v>116</v>
      </c>
      <c r="U563" t="s">
        <v>227</v>
      </c>
      <c r="V563" t="s">
        <v>1285</v>
      </c>
      <c r="W563" t="s">
        <v>156</v>
      </c>
      <c r="Y563" t="s">
        <v>227</v>
      </c>
      <c r="AA563">
        <v>1</v>
      </c>
      <c r="AB563" t="s">
        <v>100</v>
      </c>
      <c r="AC563" t="s">
        <v>222</v>
      </c>
      <c r="AE563" t="str">
        <f t="shared" si="8"/>
        <v>DeOterisZimmer</v>
      </c>
      <c r="AF563">
        <v>0</v>
      </c>
      <c r="AG563">
        <v>0</v>
      </c>
      <c r="AH563">
        <v>1</v>
      </c>
      <c r="AI563">
        <v>0</v>
      </c>
      <c r="AJ563">
        <v>0</v>
      </c>
      <c r="AK563" t="s">
        <v>321</v>
      </c>
      <c r="AL563">
        <v>0.46551724137931</v>
      </c>
      <c r="AM563" t="s">
        <v>135</v>
      </c>
    </row>
    <row r="564" spans="2:40" ht="15" customHeight="1" x14ac:dyDescent="0.2">
      <c r="B564">
        <v>2</v>
      </c>
      <c r="C564">
        <v>2</v>
      </c>
      <c r="D564">
        <v>9</v>
      </c>
      <c r="E564" t="s">
        <v>501</v>
      </c>
      <c r="F564" t="s">
        <v>268</v>
      </c>
      <c r="G564" s="15">
        <v>44757</v>
      </c>
      <c r="H564" t="s">
        <v>109</v>
      </c>
      <c r="I564" t="s">
        <v>218</v>
      </c>
      <c r="J564" t="s">
        <v>219</v>
      </c>
      <c r="K564">
        <v>9</v>
      </c>
      <c r="L564" t="s">
        <v>112</v>
      </c>
      <c r="M564" t="s">
        <v>220</v>
      </c>
      <c r="N564" t="s">
        <v>170</v>
      </c>
      <c r="O564">
        <v>70.5</v>
      </c>
      <c r="P564">
        <v>134</v>
      </c>
      <c r="Q564">
        <v>6389</v>
      </c>
      <c r="R564" t="s">
        <v>115</v>
      </c>
      <c r="S564" t="s">
        <v>116</v>
      </c>
      <c r="U564" t="s">
        <v>226</v>
      </c>
      <c r="V564" t="s">
        <v>321</v>
      </c>
      <c r="W564" t="s">
        <v>156</v>
      </c>
      <c r="Y564" t="s">
        <v>135</v>
      </c>
      <c r="AA564">
        <v>1</v>
      </c>
      <c r="AB564" t="s">
        <v>99</v>
      </c>
      <c r="AC564" t="s">
        <v>222</v>
      </c>
      <c r="AE564" t="str">
        <f t="shared" si="8"/>
        <v>DelaneyShively</v>
      </c>
      <c r="AF564">
        <v>1</v>
      </c>
      <c r="AG564">
        <v>1</v>
      </c>
      <c r="AH564">
        <v>0</v>
      </c>
      <c r="AI564">
        <v>0</v>
      </c>
      <c r="AJ564">
        <v>1</v>
      </c>
      <c r="AK564" t="s">
        <v>1285</v>
      </c>
      <c r="AL564">
        <v>0.54545454545454497</v>
      </c>
      <c r="AM564" t="s">
        <v>227</v>
      </c>
      <c r="AN564">
        <v>0.5</v>
      </c>
    </row>
    <row r="565" spans="2:40" ht="15" customHeight="1" x14ac:dyDescent="0.2">
      <c r="B565">
        <v>3</v>
      </c>
      <c r="C565">
        <v>3</v>
      </c>
      <c r="D565">
        <v>9</v>
      </c>
      <c r="E565" t="s">
        <v>502</v>
      </c>
      <c r="F565" t="s">
        <v>268</v>
      </c>
      <c r="G565" s="15">
        <v>44757</v>
      </c>
      <c r="H565" t="s">
        <v>109</v>
      </c>
      <c r="I565" t="s">
        <v>218</v>
      </c>
      <c r="J565" t="s">
        <v>219</v>
      </c>
      <c r="K565">
        <v>9</v>
      </c>
      <c r="L565" t="s">
        <v>112</v>
      </c>
      <c r="M565" t="s">
        <v>220</v>
      </c>
      <c r="N565" t="s">
        <v>170</v>
      </c>
      <c r="O565">
        <v>70.5</v>
      </c>
      <c r="P565">
        <v>134</v>
      </c>
      <c r="Q565">
        <v>6389</v>
      </c>
      <c r="R565" t="s">
        <v>115</v>
      </c>
      <c r="S565" t="s">
        <v>116</v>
      </c>
      <c r="U565" t="s">
        <v>226</v>
      </c>
      <c r="V565" t="s">
        <v>178</v>
      </c>
      <c r="W565" t="s">
        <v>156</v>
      </c>
      <c r="Y565" t="s">
        <v>231</v>
      </c>
      <c r="AA565">
        <v>1</v>
      </c>
      <c r="AB565" t="s">
        <v>100</v>
      </c>
      <c r="AC565" t="s">
        <v>239</v>
      </c>
      <c r="AE565" t="str">
        <f t="shared" si="8"/>
        <v>ConnorsMcInerney</v>
      </c>
      <c r="AF565">
        <v>0</v>
      </c>
      <c r="AG565">
        <v>0</v>
      </c>
      <c r="AH565">
        <v>1</v>
      </c>
      <c r="AI565">
        <v>0</v>
      </c>
      <c r="AJ565">
        <v>0</v>
      </c>
      <c r="AK565" t="s">
        <v>452</v>
      </c>
      <c r="AL565">
        <v>0.65909090909090895</v>
      </c>
      <c r="AM565" t="s">
        <v>176</v>
      </c>
      <c r="AN565">
        <v>0.59649122807017496</v>
      </c>
    </row>
    <row r="566" spans="2:40" ht="15" customHeight="1" x14ac:dyDescent="0.2">
      <c r="B566">
        <v>3</v>
      </c>
      <c r="C566">
        <v>3</v>
      </c>
      <c r="D566">
        <v>9</v>
      </c>
      <c r="E566" t="s">
        <v>502</v>
      </c>
      <c r="F566" t="s">
        <v>268</v>
      </c>
      <c r="G566" s="15">
        <v>44757</v>
      </c>
      <c r="H566" t="s">
        <v>109</v>
      </c>
      <c r="I566" t="s">
        <v>218</v>
      </c>
      <c r="J566" t="s">
        <v>219</v>
      </c>
      <c r="K566">
        <v>9</v>
      </c>
      <c r="L566" t="s">
        <v>112</v>
      </c>
      <c r="M566" t="s">
        <v>220</v>
      </c>
      <c r="N566" t="s">
        <v>170</v>
      </c>
      <c r="O566">
        <v>70.5</v>
      </c>
      <c r="P566">
        <v>134</v>
      </c>
      <c r="Q566">
        <v>6389</v>
      </c>
      <c r="R566" t="s">
        <v>115</v>
      </c>
      <c r="S566" t="s">
        <v>116</v>
      </c>
      <c r="U566" t="s">
        <v>227</v>
      </c>
      <c r="V566" t="s">
        <v>452</v>
      </c>
      <c r="W566" t="s">
        <v>156</v>
      </c>
      <c r="Y566" t="s">
        <v>176</v>
      </c>
      <c r="AA566">
        <v>1</v>
      </c>
      <c r="AB566" t="s">
        <v>99</v>
      </c>
      <c r="AC566" t="s">
        <v>239</v>
      </c>
      <c r="AE566" t="str">
        <f t="shared" si="8"/>
        <v>DelnekyForster</v>
      </c>
      <c r="AF566">
        <v>1</v>
      </c>
      <c r="AG566">
        <v>1</v>
      </c>
      <c r="AH566">
        <v>0</v>
      </c>
      <c r="AI566">
        <v>0</v>
      </c>
      <c r="AJ566">
        <v>1</v>
      </c>
      <c r="AK566" t="s">
        <v>178</v>
      </c>
      <c r="AL566">
        <v>0.34745762711864397</v>
      </c>
      <c r="AM566" t="s">
        <v>231</v>
      </c>
      <c r="AN566">
        <v>0.5</v>
      </c>
    </row>
    <row r="567" spans="2:40" ht="15" customHeight="1" x14ac:dyDescent="0.2">
      <c r="B567">
        <v>4</v>
      </c>
      <c r="C567">
        <v>4</v>
      </c>
      <c r="D567">
        <v>9</v>
      </c>
      <c r="E567" t="s">
        <v>503</v>
      </c>
      <c r="F567" t="s">
        <v>268</v>
      </c>
      <c r="G567" s="15">
        <v>44757</v>
      </c>
      <c r="H567" t="s">
        <v>109</v>
      </c>
      <c r="I567" t="s">
        <v>218</v>
      </c>
      <c r="J567" t="s">
        <v>219</v>
      </c>
      <c r="K567">
        <v>9</v>
      </c>
      <c r="L567" t="s">
        <v>112</v>
      </c>
      <c r="M567" t="s">
        <v>220</v>
      </c>
      <c r="N567" t="s">
        <v>170</v>
      </c>
      <c r="O567">
        <v>70.5</v>
      </c>
      <c r="P567">
        <v>134</v>
      </c>
      <c r="Q567">
        <v>6389</v>
      </c>
      <c r="R567" t="s">
        <v>115</v>
      </c>
      <c r="S567" t="s">
        <v>116</v>
      </c>
      <c r="U567" t="s">
        <v>227</v>
      </c>
      <c r="V567" t="s">
        <v>172</v>
      </c>
      <c r="W567" t="s">
        <v>156</v>
      </c>
      <c r="Y567" t="s">
        <v>272</v>
      </c>
      <c r="AA567">
        <v>1</v>
      </c>
      <c r="AB567" t="s">
        <v>100</v>
      </c>
      <c r="AC567" t="s">
        <v>239</v>
      </c>
      <c r="AE567" t="str">
        <f t="shared" si="8"/>
        <v>FoganWelker</v>
      </c>
      <c r="AF567">
        <v>0</v>
      </c>
      <c r="AG567">
        <v>0</v>
      </c>
      <c r="AH567">
        <v>1</v>
      </c>
      <c r="AI567">
        <v>0</v>
      </c>
      <c r="AJ567">
        <v>0</v>
      </c>
      <c r="AK567" t="s">
        <v>122</v>
      </c>
      <c r="AL567">
        <v>0.47321428571428598</v>
      </c>
      <c r="AM567" t="s">
        <v>123</v>
      </c>
      <c r="AN567">
        <v>0.5546875</v>
      </c>
    </row>
    <row r="568" spans="2:40" ht="15" customHeight="1" x14ac:dyDescent="0.2">
      <c r="B568">
        <v>4</v>
      </c>
      <c r="C568">
        <v>4</v>
      </c>
      <c r="D568">
        <v>9</v>
      </c>
      <c r="E568" t="s">
        <v>503</v>
      </c>
      <c r="F568" t="s">
        <v>268</v>
      </c>
      <c r="G568" s="15">
        <v>44757</v>
      </c>
      <c r="H568" t="s">
        <v>109</v>
      </c>
      <c r="I568" t="s">
        <v>218</v>
      </c>
      <c r="J568" t="s">
        <v>219</v>
      </c>
      <c r="K568">
        <v>9</v>
      </c>
      <c r="L568" t="s">
        <v>112</v>
      </c>
      <c r="M568" t="s">
        <v>220</v>
      </c>
      <c r="N568" t="s">
        <v>170</v>
      </c>
      <c r="O568">
        <v>70.5</v>
      </c>
      <c r="P568">
        <v>134</v>
      </c>
      <c r="Q568">
        <v>6389</v>
      </c>
      <c r="R568" t="s">
        <v>115</v>
      </c>
      <c r="S568" t="s">
        <v>116</v>
      </c>
      <c r="U568" t="s">
        <v>226</v>
      </c>
      <c r="V568" t="s">
        <v>122</v>
      </c>
      <c r="W568" t="s">
        <v>156</v>
      </c>
      <c r="Y568" t="s">
        <v>123</v>
      </c>
      <c r="AA568">
        <v>1</v>
      </c>
      <c r="AB568" t="s">
        <v>99</v>
      </c>
      <c r="AC568" t="s">
        <v>239</v>
      </c>
      <c r="AE568" t="str">
        <f t="shared" si="8"/>
        <v>HiltsLynch</v>
      </c>
      <c r="AF568">
        <v>1</v>
      </c>
      <c r="AG568">
        <v>1</v>
      </c>
      <c r="AH568">
        <v>0</v>
      </c>
      <c r="AI568">
        <v>0</v>
      </c>
      <c r="AJ568">
        <v>1</v>
      </c>
      <c r="AK568" t="s">
        <v>172</v>
      </c>
      <c r="AL568">
        <v>0.37288135593220301</v>
      </c>
      <c r="AM568" t="s">
        <v>272</v>
      </c>
      <c r="AN568">
        <v>0.51041666666666696</v>
      </c>
    </row>
    <row r="569" spans="2:40" ht="15" customHeight="1" x14ac:dyDescent="0.2">
      <c r="B569">
        <v>5</v>
      </c>
      <c r="C569">
        <v>5</v>
      </c>
      <c r="D569">
        <v>9</v>
      </c>
      <c r="E569" t="s">
        <v>504</v>
      </c>
      <c r="F569" t="s">
        <v>268</v>
      </c>
      <c r="G569" s="15">
        <v>44757</v>
      </c>
      <c r="H569" t="s">
        <v>109</v>
      </c>
      <c r="I569" t="s">
        <v>218</v>
      </c>
      <c r="J569" t="s">
        <v>219</v>
      </c>
      <c r="K569">
        <v>9</v>
      </c>
      <c r="L569" t="s">
        <v>112</v>
      </c>
      <c r="M569" t="s">
        <v>220</v>
      </c>
      <c r="N569" t="s">
        <v>170</v>
      </c>
      <c r="O569">
        <v>70.5</v>
      </c>
      <c r="P569">
        <v>134</v>
      </c>
      <c r="Q569">
        <v>6389</v>
      </c>
      <c r="R569" t="s">
        <v>115</v>
      </c>
      <c r="S569" t="s">
        <v>116</v>
      </c>
      <c r="U569" t="s">
        <v>226</v>
      </c>
      <c r="V569" t="s">
        <v>132</v>
      </c>
      <c r="W569" t="s">
        <v>156</v>
      </c>
      <c r="Y569" t="s">
        <v>179</v>
      </c>
      <c r="AA569">
        <v>1</v>
      </c>
      <c r="AB569" t="s">
        <v>100</v>
      </c>
      <c r="AC569" t="s">
        <v>410</v>
      </c>
      <c r="AE569" t="str">
        <f t="shared" si="8"/>
        <v>FlandersCole</v>
      </c>
      <c r="AF569">
        <v>0</v>
      </c>
      <c r="AG569">
        <v>0</v>
      </c>
      <c r="AH569">
        <v>1</v>
      </c>
      <c r="AI569">
        <v>0</v>
      </c>
      <c r="AJ569">
        <v>0</v>
      </c>
      <c r="AK569" t="s">
        <v>119</v>
      </c>
      <c r="AL569">
        <v>0.546875</v>
      </c>
      <c r="AM569" t="s">
        <v>130</v>
      </c>
      <c r="AN569">
        <v>0.48611111111111099</v>
      </c>
    </row>
    <row r="570" spans="2:40" ht="15" customHeight="1" x14ac:dyDescent="0.2">
      <c r="B570">
        <v>5</v>
      </c>
      <c r="C570">
        <v>5</v>
      </c>
      <c r="D570">
        <v>9</v>
      </c>
      <c r="E570" t="s">
        <v>504</v>
      </c>
      <c r="F570" t="s">
        <v>268</v>
      </c>
      <c r="G570" s="15">
        <v>44757</v>
      </c>
      <c r="H570" t="s">
        <v>109</v>
      </c>
      <c r="I570" t="s">
        <v>218</v>
      </c>
      <c r="J570" t="s">
        <v>219</v>
      </c>
      <c r="K570">
        <v>9</v>
      </c>
      <c r="L570" t="s">
        <v>112</v>
      </c>
      <c r="M570" t="s">
        <v>220</v>
      </c>
      <c r="N570" t="s">
        <v>170</v>
      </c>
      <c r="O570">
        <v>70.5</v>
      </c>
      <c r="P570">
        <v>134</v>
      </c>
      <c r="Q570">
        <v>6389</v>
      </c>
      <c r="R570" t="s">
        <v>115</v>
      </c>
      <c r="S570" t="s">
        <v>116</v>
      </c>
      <c r="U570" t="s">
        <v>227</v>
      </c>
      <c r="V570" t="s">
        <v>119</v>
      </c>
      <c r="W570" t="s">
        <v>156</v>
      </c>
      <c r="Y570" t="s">
        <v>130</v>
      </c>
      <c r="AA570">
        <v>1</v>
      </c>
      <c r="AB570" t="s">
        <v>99</v>
      </c>
      <c r="AC570" t="s">
        <v>304</v>
      </c>
      <c r="AE570" t="str">
        <f t="shared" si="8"/>
        <v>GrisePoirier</v>
      </c>
      <c r="AF570">
        <v>1</v>
      </c>
      <c r="AG570">
        <v>1</v>
      </c>
      <c r="AH570">
        <v>0</v>
      </c>
      <c r="AI570">
        <v>0</v>
      </c>
      <c r="AJ570">
        <v>1</v>
      </c>
      <c r="AK570" t="s">
        <v>132</v>
      </c>
      <c r="AL570">
        <v>0.4296875</v>
      </c>
      <c r="AM570" t="s">
        <v>179</v>
      </c>
      <c r="AN570">
        <v>0.44067796610169502</v>
      </c>
    </row>
    <row r="571" spans="2:40" ht="15" customHeight="1" x14ac:dyDescent="0.2">
      <c r="B571">
        <v>6</v>
      </c>
      <c r="C571">
        <v>1</v>
      </c>
      <c r="D571">
        <v>9</v>
      </c>
      <c r="E571" t="s">
        <v>505</v>
      </c>
      <c r="F571" t="s">
        <v>268</v>
      </c>
      <c r="G571" s="15">
        <v>44757</v>
      </c>
      <c r="H571" t="s">
        <v>109</v>
      </c>
      <c r="I571" t="s">
        <v>218</v>
      </c>
      <c r="J571" t="s">
        <v>219</v>
      </c>
      <c r="K571">
        <v>9</v>
      </c>
      <c r="L571" t="s">
        <v>137</v>
      </c>
      <c r="M571" t="s">
        <v>220</v>
      </c>
      <c r="N571" t="s">
        <v>170</v>
      </c>
      <c r="O571">
        <v>70.5</v>
      </c>
      <c r="P571">
        <v>134</v>
      </c>
      <c r="Q571">
        <v>6389</v>
      </c>
      <c r="R571" t="s">
        <v>368</v>
      </c>
      <c r="S571" t="s">
        <v>116</v>
      </c>
      <c r="U571" t="s">
        <v>226</v>
      </c>
      <c r="V571" t="s">
        <v>1308</v>
      </c>
      <c r="W571" t="s">
        <v>156</v>
      </c>
      <c r="Y571" t="s">
        <v>456</v>
      </c>
      <c r="AA571">
        <v>1</v>
      </c>
      <c r="AB571" t="s">
        <v>99</v>
      </c>
      <c r="AC571" t="s">
        <v>225</v>
      </c>
      <c r="AE571" t="str">
        <f t="shared" si="8"/>
        <v>ConnollyPerkins</v>
      </c>
      <c r="AF571">
        <v>1</v>
      </c>
      <c r="AG571">
        <v>1</v>
      </c>
      <c r="AH571">
        <v>0</v>
      </c>
      <c r="AI571">
        <v>0</v>
      </c>
      <c r="AJ571">
        <v>1</v>
      </c>
      <c r="AK571" t="s">
        <v>127</v>
      </c>
      <c r="AL571">
        <v>0.59523809523809501</v>
      </c>
      <c r="AM571" t="s">
        <v>118</v>
      </c>
      <c r="AN571">
        <v>0.6171875</v>
      </c>
    </row>
    <row r="572" spans="2:40" ht="15" customHeight="1" x14ac:dyDescent="0.2">
      <c r="B572">
        <v>6</v>
      </c>
      <c r="C572">
        <v>1</v>
      </c>
      <c r="D572">
        <v>9</v>
      </c>
      <c r="E572" t="s">
        <v>505</v>
      </c>
      <c r="F572" t="s">
        <v>268</v>
      </c>
      <c r="G572" s="15">
        <v>44757</v>
      </c>
      <c r="H572" t="s">
        <v>109</v>
      </c>
      <c r="I572" t="s">
        <v>218</v>
      </c>
      <c r="J572" t="s">
        <v>219</v>
      </c>
      <c r="K572">
        <v>9</v>
      </c>
      <c r="L572" t="s">
        <v>137</v>
      </c>
      <c r="M572" t="s">
        <v>220</v>
      </c>
      <c r="N572" t="s">
        <v>170</v>
      </c>
      <c r="O572">
        <v>70.5</v>
      </c>
      <c r="P572">
        <v>134</v>
      </c>
      <c r="Q572">
        <v>6389</v>
      </c>
      <c r="R572" t="s">
        <v>368</v>
      </c>
      <c r="S572" t="s">
        <v>116</v>
      </c>
      <c r="U572" t="s">
        <v>227</v>
      </c>
      <c r="V572" t="s">
        <v>127</v>
      </c>
      <c r="W572" t="s">
        <v>156</v>
      </c>
      <c r="Y572" t="s">
        <v>118</v>
      </c>
      <c r="AA572">
        <v>1</v>
      </c>
      <c r="AB572" t="s">
        <v>100</v>
      </c>
      <c r="AC572" t="s">
        <v>225</v>
      </c>
      <c r="AE572" t="str">
        <f t="shared" si="8"/>
        <v>FerrinJackson</v>
      </c>
      <c r="AF572">
        <v>0</v>
      </c>
      <c r="AG572">
        <v>0</v>
      </c>
      <c r="AH572">
        <v>1</v>
      </c>
      <c r="AI572">
        <v>0</v>
      </c>
      <c r="AJ572">
        <v>0</v>
      </c>
      <c r="AK572" t="s">
        <v>1308</v>
      </c>
      <c r="AL572">
        <v>0.59375</v>
      </c>
      <c r="AM572" t="s">
        <v>456</v>
      </c>
      <c r="AN572">
        <v>0.63888888888888895</v>
      </c>
    </row>
    <row r="573" spans="2:40" ht="15" customHeight="1" x14ac:dyDescent="0.2">
      <c r="B573">
        <v>7</v>
      </c>
      <c r="C573">
        <v>2</v>
      </c>
      <c r="D573">
        <v>9</v>
      </c>
      <c r="E573" t="s">
        <v>506</v>
      </c>
      <c r="F573" t="s">
        <v>268</v>
      </c>
      <c r="G573" s="15">
        <v>44757</v>
      </c>
      <c r="H573" t="s">
        <v>109</v>
      </c>
      <c r="I573" t="s">
        <v>218</v>
      </c>
      <c r="J573" t="s">
        <v>219</v>
      </c>
      <c r="K573">
        <v>9</v>
      </c>
      <c r="L573" t="s">
        <v>137</v>
      </c>
      <c r="M573" t="s">
        <v>220</v>
      </c>
      <c r="N573" t="s">
        <v>170</v>
      </c>
      <c r="O573">
        <v>70.5</v>
      </c>
      <c r="P573">
        <v>134</v>
      </c>
      <c r="Q573">
        <v>6389</v>
      </c>
      <c r="R573" t="s">
        <v>368</v>
      </c>
      <c r="S573" t="s">
        <v>116</v>
      </c>
      <c r="U573" t="s">
        <v>227</v>
      </c>
      <c r="V573" t="s">
        <v>1285</v>
      </c>
      <c r="W573" t="s">
        <v>156</v>
      </c>
      <c r="Y573" t="s">
        <v>227</v>
      </c>
      <c r="AA573">
        <v>1</v>
      </c>
      <c r="AB573" t="s">
        <v>99</v>
      </c>
      <c r="AC573" t="s">
        <v>225</v>
      </c>
      <c r="AE573" t="str">
        <f t="shared" si="8"/>
        <v>DeOterisZimmer</v>
      </c>
      <c r="AF573">
        <v>1</v>
      </c>
      <c r="AG573">
        <v>1</v>
      </c>
      <c r="AH573">
        <v>0</v>
      </c>
      <c r="AI573">
        <v>0</v>
      </c>
      <c r="AJ573">
        <v>1</v>
      </c>
      <c r="AK573" t="s">
        <v>321</v>
      </c>
      <c r="AL573">
        <v>0.46551724137931</v>
      </c>
      <c r="AM573" t="s">
        <v>135</v>
      </c>
    </row>
    <row r="574" spans="2:40" ht="15" customHeight="1" x14ac:dyDescent="0.2">
      <c r="B574">
        <v>7</v>
      </c>
      <c r="C574">
        <v>2</v>
      </c>
      <c r="D574">
        <v>9</v>
      </c>
      <c r="E574" t="s">
        <v>506</v>
      </c>
      <c r="F574" t="s">
        <v>268</v>
      </c>
      <c r="G574" s="15">
        <v>44757</v>
      </c>
      <c r="H574" t="s">
        <v>109</v>
      </c>
      <c r="I574" t="s">
        <v>218</v>
      </c>
      <c r="J574" t="s">
        <v>219</v>
      </c>
      <c r="K574">
        <v>9</v>
      </c>
      <c r="L574" t="s">
        <v>137</v>
      </c>
      <c r="M574" t="s">
        <v>220</v>
      </c>
      <c r="N574" t="s">
        <v>170</v>
      </c>
      <c r="O574">
        <v>70.5</v>
      </c>
      <c r="P574">
        <v>134</v>
      </c>
      <c r="Q574">
        <v>6389</v>
      </c>
      <c r="R574" t="s">
        <v>368</v>
      </c>
      <c r="S574" t="s">
        <v>116</v>
      </c>
      <c r="U574" t="s">
        <v>226</v>
      </c>
      <c r="V574" t="s">
        <v>321</v>
      </c>
      <c r="W574" t="s">
        <v>156</v>
      </c>
      <c r="Y574" t="s">
        <v>135</v>
      </c>
      <c r="AA574">
        <v>1</v>
      </c>
      <c r="AB574" t="s">
        <v>100</v>
      </c>
      <c r="AC574" t="s">
        <v>225</v>
      </c>
      <c r="AE574" t="str">
        <f t="shared" si="8"/>
        <v>DelaneyShively</v>
      </c>
      <c r="AF574">
        <v>0</v>
      </c>
      <c r="AG574">
        <v>0</v>
      </c>
      <c r="AH574">
        <v>1</v>
      </c>
      <c r="AI574">
        <v>0</v>
      </c>
      <c r="AJ574">
        <v>0</v>
      </c>
      <c r="AK574" t="s">
        <v>1285</v>
      </c>
      <c r="AL574">
        <v>0.54545454545454497</v>
      </c>
      <c r="AM574" t="s">
        <v>227</v>
      </c>
      <c r="AN574">
        <v>0.5</v>
      </c>
    </row>
    <row r="575" spans="2:40" ht="15" customHeight="1" x14ac:dyDescent="0.2">
      <c r="B575">
        <v>8</v>
      </c>
      <c r="C575">
        <v>3</v>
      </c>
      <c r="D575">
        <v>9</v>
      </c>
      <c r="E575" t="s">
        <v>507</v>
      </c>
      <c r="F575" t="s">
        <v>268</v>
      </c>
      <c r="G575" s="15">
        <v>44757</v>
      </c>
      <c r="H575" t="s">
        <v>109</v>
      </c>
      <c r="I575" t="s">
        <v>218</v>
      </c>
      <c r="J575" t="s">
        <v>219</v>
      </c>
      <c r="K575">
        <v>9</v>
      </c>
      <c r="L575" t="s">
        <v>137</v>
      </c>
      <c r="M575" t="s">
        <v>220</v>
      </c>
      <c r="N575" t="s">
        <v>170</v>
      </c>
      <c r="O575">
        <v>70.5</v>
      </c>
      <c r="P575">
        <v>134</v>
      </c>
      <c r="Q575">
        <v>6389</v>
      </c>
      <c r="R575" t="s">
        <v>368</v>
      </c>
      <c r="S575" t="s">
        <v>116</v>
      </c>
      <c r="U575" t="s">
        <v>226</v>
      </c>
      <c r="V575" t="s">
        <v>178</v>
      </c>
      <c r="W575" t="s">
        <v>156</v>
      </c>
      <c r="Y575" t="s">
        <v>231</v>
      </c>
      <c r="AA575">
        <v>1</v>
      </c>
      <c r="AB575" t="s">
        <v>100</v>
      </c>
      <c r="AC575" t="s">
        <v>225</v>
      </c>
      <c r="AE575" t="str">
        <f t="shared" si="8"/>
        <v>ConnorsMcInerney</v>
      </c>
      <c r="AF575">
        <v>0</v>
      </c>
      <c r="AG575">
        <v>0</v>
      </c>
      <c r="AH575">
        <v>1</v>
      </c>
      <c r="AI575">
        <v>0</v>
      </c>
      <c r="AJ575">
        <v>0</v>
      </c>
      <c r="AK575" t="s">
        <v>452</v>
      </c>
      <c r="AL575">
        <v>0.65909090909090895</v>
      </c>
      <c r="AM575" t="s">
        <v>176</v>
      </c>
      <c r="AN575">
        <v>0.59649122807017496</v>
      </c>
    </row>
    <row r="576" spans="2:40" ht="15" customHeight="1" x14ac:dyDescent="0.2">
      <c r="B576">
        <v>8</v>
      </c>
      <c r="C576">
        <v>3</v>
      </c>
      <c r="D576">
        <v>9</v>
      </c>
      <c r="E576" t="s">
        <v>507</v>
      </c>
      <c r="F576" t="s">
        <v>268</v>
      </c>
      <c r="G576" s="15">
        <v>44757</v>
      </c>
      <c r="H576" t="s">
        <v>109</v>
      </c>
      <c r="I576" t="s">
        <v>218</v>
      </c>
      <c r="J576" t="s">
        <v>219</v>
      </c>
      <c r="K576">
        <v>9</v>
      </c>
      <c r="L576" t="s">
        <v>137</v>
      </c>
      <c r="M576" t="s">
        <v>220</v>
      </c>
      <c r="N576" t="s">
        <v>170</v>
      </c>
      <c r="O576">
        <v>70.5</v>
      </c>
      <c r="P576">
        <v>134</v>
      </c>
      <c r="Q576">
        <v>6389</v>
      </c>
      <c r="R576" t="s">
        <v>368</v>
      </c>
      <c r="S576" t="s">
        <v>116</v>
      </c>
      <c r="U576" t="s">
        <v>227</v>
      </c>
      <c r="V576" t="s">
        <v>452</v>
      </c>
      <c r="W576" t="s">
        <v>156</v>
      </c>
      <c r="Y576" t="s">
        <v>176</v>
      </c>
      <c r="AA576">
        <v>1</v>
      </c>
      <c r="AB576" t="s">
        <v>99</v>
      </c>
      <c r="AC576" t="s">
        <v>225</v>
      </c>
      <c r="AE576" t="str">
        <f t="shared" si="8"/>
        <v>DelnekyForster</v>
      </c>
      <c r="AF576">
        <v>1</v>
      </c>
      <c r="AG576">
        <v>1</v>
      </c>
      <c r="AH576">
        <v>0</v>
      </c>
      <c r="AI576">
        <v>0</v>
      </c>
      <c r="AJ576">
        <v>1</v>
      </c>
      <c r="AK576" t="s">
        <v>178</v>
      </c>
      <c r="AL576">
        <v>0.34745762711864397</v>
      </c>
      <c r="AM576" t="s">
        <v>231</v>
      </c>
      <c r="AN576">
        <v>0.5</v>
      </c>
    </row>
    <row r="577" spans="2:40" ht="15" customHeight="1" x14ac:dyDescent="0.2">
      <c r="B577">
        <v>9</v>
      </c>
      <c r="C577">
        <v>4</v>
      </c>
      <c r="D577">
        <v>9</v>
      </c>
      <c r="E577" t="s">
        <v>508</v>
      </c>
      <c r="F577" t="s">
        <v>268</v>
      </c>
      <c r="G577" s="15">
        <v>44757</v>
      </c>
      <c r="H577" t="s">
        <v>109</v>
      </c>
      <c r="I577" t="s">
        <v>218</v>
      </c>
      <c r="J577" t="s">
        <v>219</v>
      </c>
      <c r="K577">
        <v>9</v>
      </c>
      <c r="L577" t="s">
        <v>137</v>
      </c>
      <c r="M577" t="s">
        <v>220</v>
      </c>
      <c r="N577" t="s">
        <v>170</v>
      </c>
      <c r="O577">
        <v>70.5</v>
      </c>
      <c r="P577">
        <v>134</v>
      </c>
      <c r="Q577">
        <v>6389</v>
      </c>
      <c r="R577" t="s">
        <v>368</v>
      </c>
      <c r="S577" t="s">
        <v>116</v>
      </c>
      <c r="U577" t="s">
        <v>227</v>
      </c>
      <c r="V577" t="s">
        <v>172</v>
      </c>
      <c r="W577" t="s">
        <v>156</v>
      </c>
      <c r="Y577" t="s">
        <v>272</v>
      </c>
      <c r="AA577">
        <v>1</v>
      </c>
      <c r="AB577" t="s">
        <v>100</v>
      </c>
      <c r="AC577" t="s">
        <v>222</v>
      </c>
      <c r="AE577" t="str">
        <f t="shared" si="8"/>
        <v>FoganWelker</v>
      </c>
      <c r="AF577">
        <v>0</v>
      </c>
      <c r="AG577">
        <v>0</v>
      </c>
      <c r="AH577">
        <v>1</v>
      </c>
      <c r="AI577">
        <v>0</v>
      </c>
      <c r="AJ577">
        <v>0</v>
      </c>
      <c r="AK577" t="s">
        <v>122</v>
      </c>
      <c r="AL577">
        <v>0.47321428571428598</v>
      </c>
      <c r="AM577" t="s">
        <v>123</v>
      </c>
      <c r="AN577">
        <v>0.5546875</v>
      </c>
    </row>
    <row r="578" spans="2:40" ht="15" customHeight="1" x14ac:dyDescent="0.2">
      <c r="B578">
        <v>9</v>
      </c>
      <c r="C578">
        <v>4</v>
      </c>
      <c r="D578">
        <v>9</v>
      </c>
      <c r="E578" t="s">
        <v>508</v>
      </c>
      <c r="F578" t="s">
        <v>268</v>
      </c>
      <c r="G578" s="15">
        <v>44757</v>
      </c>
      <c r="H578" t="s">
        <v>109</v>
      </c>
      <c r="I578" t="s">
        <v>218</v>
      </c>
      <c r="J578" t="s">
        <v>219</v>
      </c>
      <c r="K578">
        <v>9</v>
      </c>
      <c r="L578" t="s">
        <v>137</v>
      </c>
      <c r="M578" t="s">
        <v>220</v>
      </c>
      <c r="N578" t="s">
        <v>170</v>
      </c>
      <c r="O578">
        <v>70.5</v>
      </c>
      <c r="P578">
        <v>134</v>
      </c>
      <c r="Q578">
        <v>6389</v>
      </c>
      <c r="R578" t="s">
        <v>368</v>
      </c>
      <c r="S578" t="s">
        <v>116</v>
      </c>
      <c r="U578" t="s">
        <v>226</v>
      </c>
      <c r="V578" t="s">
        <v>122</v>
      </c>
      <c r="W578" t="s">
        <v>156</v>
      </c>
      <c r="Y578" t="s">
        <v>123</v>
      </c>
      <c r="AA578">
        <v>1</v>
      </c>
      <c r="AB578" t="s">
        <v>99</v>
      </c>
      <c r="AC578" t="s">
        <v>222</v>
      </c>
      <c r="AE578" t="str">
        <f t="shared" ref="AE578:AE641" si="9">$V578&amp;$Y578</f>
        <v>HiltsLynch</v>
      </c>
      <c r="AF578">
        <v>1</v>
      </c>
      <c r="AG578">
        <v>1</v>
      </c>
      <c r="AH578">
        <v>0</v>
      </c>
      <c r="AI578">
        <v>0</v>
      </c>
      <c r="AJ578">
        <v>1</v>
      </c>
      <c r="AK578" t="s">
        <v>172</v>
      </c>
      <c r="AL578">
        <v>0.37288135593220301</v>
      </c>
      <c r="AM578" t="s">
        <v>272</v>
      </c>
      <c r="AN578">
        <v>0.51041666666666696</v>
      </c>
    </row>
    <row r="579" spans="2:40" ht="15" customHeight="1" x14ac:dyDescent="0.2">
      <c r="B579">
        <v>10</v>
      </c>
      <c r="C579">
        <v>5</v>
      </c>
      <c r="D579">
        <v>9</v>
      </c>
      <c r="E579" t="s">
        <v>509</v>
      </c>
      <c r="F579" t="s">
        <v>268</v>
      </c>
      <c r="G579" s="15">
        <v>44757</v>
      </c>
      <c r="H579" t="s">
        <v>109</v>
      </c>
      <c r="I579" t="s">
        <v>218</v>
      </c>
      <c r="J579" t="s">
        <v>219</v>
      </c>
      <c r="K579">
        <v>9</v>
      </c>
      <c r="L579" t="s">
        <v>137</v>
      </c>
      <c r="M579" t="s">
        <v>220</v>
      </c>
      <c r="N579" t="s">
        <v>170</v>
      </c>
      <c r="O579">
        <v>70.5</v>
      </c>
      <c r="P579">
        <v>134</v>
      </c>
      <c r="Q579">
        <v>6389</v>
      </c>
      <c r="R579" t="s">
        <v>368</v>
      </c>
      <c r="S579" t="s">
        <v>116</v>
      </c>
      <c r="U579" t="s">
        <v>226</v>
      </c>
      <c r="V579" t="s">
        <v>132</v>
      </c>
      <c r="W579" t="s">
        <v>156</v>
      </c>
      <c r="Y579" t="s">
        <v>179</v>
      </c>
      <c r="AA579">
        <v>1</v>
      </c>
      <c r="AB579" t="s">
        <v>99</v>
      </c>
      <c r="AC579" t="s">
        <v>239</v>
      </c>
      <c r="AE579" t="str">
        <f t="shared" si="9"/>
        <v>FlandersCole</v>
      </c>
      <c r="AF579">
        <v>1</v>
      </c>
      <c r="AG579">
        <v>1</v>
      </c>
      <c r="AH579">
        <v>0</v>
      </c>
      <c r="AI579">
        <v>0</v>
      </c>
      <c r="AJ579">
        <v>1</v>
      </c>
      <c r="AK579" t="s">
        <v>119</v>
      </c>
      <c r="AL579">
        <v>0.546875</v>
      </c>
      <c r="AM579" t="s">
        <v>130</v>
      </c>
      <c r="AN579">
        <v>0.48611111111111099</v>
      </c>
    </row>
    <row r="580" spans="2:40" ht="15" customHeight="1" x14ac:dyDescent="0.2">
      <c r="B580">
        <v>10</v>
      </c>
      <c r="C580">
        <v>5</v>
      </c>
      <c r="D580">
        <v>9</v>
      </c>
      <c r="E580" t="s">
        <v>509</v>
      </c>
      <c r="F580" t="s">
        <v>268</v>
      </c>
      <c r="G580" s="15">
        <v>44757</v>
      </c>
      <c r="H580" t="s">
        <v>109</v>
      </c>
      <c r="I580" t="s">
        <v>218</v>
      </c>
      <c r="J580" t="s">
        <v>219</v>
      </c>
      <c r="K580">
        <v>9</v>
      </c>
      <c r="L580" t="s">
        <v>137</v>
      </c>
      <c r="M580" t="s">
        <v>220</v>
      </c>
      <c r="N580" t="s">
        <v>170</v>
      </c>
      <c r="O580">
        <v>70.5</v>
      </c>
      <c r="P580">
        <v>134</v>
      </c>
      <c r="Q580">
        <v>6389</v>
      </c>
      <c r="R580" t="s">
        <v>368</v>
      </c>
      <c r="S580" t="s">
        <v>116</v>
      </c>
      <c r="U580" t="s">
        <v>227</v>
      </c>
      <c r="V580" t="s">
        <v>119</v>
      </c>
      <c r="W580" t="s">
        <v>156</v>
      </c>
      <c r="Y580" t="s">
        <v>130</v>
      </c>
      <c r="AA580">
        <v>1</v>
      </c>
      <c r="AB580" t="s">
        <v>100</v>
      </c>
      <c r="AC580" t="s">
        <v>239</v>
      </c>
      <c r="AE580" t="str">
        <f t="shared" si="9"/>
        <v>GrisePoirier</v>
      </c>
      <c r="AF580">
        <v>0</v>
      </c>
      <c r="AG580">
        <v>0</v>
      </c>
      <c r="AH580">
        <v>1</v>
      </c>
      <c r="AI580">
        <v>0</v>
      </c>
      <c r="AJ580">
        <v>0</v>
      </c>
      <c r="AK580" t="s">
        <v>132</v>
      </c>
      <c r="AL580">
        <v>0.4296875</v>
      </c>
      <c r="AM580" t="s">
        <v>179</v>
      </c>
      <c r="AN580">
        <v>0.44067796610169502</v>
      </c>
    </row>
    <row r="581" spans="2:40" ht="15" customHeight="1" x14ac:dyDescent="0.2">
      <c r="B581">
        <v>11</v>
      </c>
      <c r="C581">
        <v>1</v>
      </c>
      <c r="D581">
        <v>9</v>
      </c>
      <c r="E581" t="s">
        <v>510</v>
      </c>
      <c r="F581" t="s">
        <v>268</v>
      </c>
      <c r="G581" s="15">
        <v>44757</v>
      </c>
      <c r="H581" t="s">
        <v>144</v>
      </c>
      <c r="I581" t="s">
        <v>218</v>
      </c>
      <c r="J581" t="s">
        <v>219</v>
      </c>
      <c r="K581">
        <v>9</v>
      </c>
      <c r="L581" t="s">
        <v>112</v>
      </c>
      <c r="M581" t="s">
        <v>220</v>
      </c>
      <c r="N581" t="s">
        <v>170</v>
      </c>
      <c r="O581">
        <v>70.5</v>
      </c>
      <c r="P581">
        <v>134</v>
      </c>
      <c r="Q581">
        <v>6389</v>
      </c>
      <c r="R581" t="s">
        <v>145</v>
      </c>
      <c r="S581" t="s">
        <v>116</v>
      </c>
      <c r="U581" t="s">
        <v>226</v>
      </c>
      <c r="V581" t="s">
        <v>231</v>
      </c>
      <c r="W581" t="s">
        <v>156</v>
      </c>
      <c r="Y581" t="s">
        <v>456</v>
      </c>
      <c r="AA581">
        <v>1</v>
      </c>
      <c r="AB581" t="s">
        <v>99</v>
      </c>
      <c r="AC581" t="s">
        <v>239</v>
      </c>
      <c r="AE581" t="str">
        <f t="shared" si="9"/>
        <v>McInerneyPerkins</v>
      </c>
      <c r="AF581">
        <v>1</v>
      </c>
      <c r="AG581">
        <v>1</v>
      </c>
      <c r="AH581">
        <v>0</v>
      </c>
      <c r="AI581">
        <v>0</v>
      </c>
      <c r="AJ581">
        <v>1</v>
      </c>
      <c r="AK581" t="s">
        <v>127</v>
      </c>
      <c r="AL581">
        <v>0.59523809523809501</v>
      </c>
      <c r="AM581" t="s">
        <v>227</v>
      </c>
      <c r="AN581">
        <v>0.5</v>
      </c>
    </row>
    <row r="582" spans="2:40" ht="15" customHeight="1" x14ac:dyDescent="0.2">
      <c r="B582">
        <v>11</v>
      </c>
      <c r="C582">
        <v>1</v>
      </c>
      <c r="D582">
        <v>9</v>
      </c>
      <c r="E582" t="s">
        <v>510</v>
      </c>
      <c r="F582" t="s">
        <v>268</v>
      </c>
      <c r="G582" s="15">
        <v>44757</v>
      </c>
      <c r="H582" t="s">
        <v>144</v>
      </c>
      <c r="I582" t="s">
        <v>218</v>
      </c>
      <c r="J582" t="s">
        <v>219</v>
      </c>
      <c r="K582">
        <v>9</v>
      </c>
      <c r="L582" t="s">
        <v>112</v>
      </c>
      <c r="M582" t="s">
        <v>220</v>
      </c>
      <c r="N582" t="s">
        <v>170</v>
      </c>
      <c r="O582">
        <v>70.5</v>
      </c>
      <c r="P582">
        <v>134</v>
      </c>
      <c r="Q582">
        <v>6389</v>
      </c>
      <c r="R582" t="s">
        <v>145</v>
      </c>
      <c r="S582" t="s">
        <v>116</v>
      </c>
      <c r="U582" t="s">
        <v>227</v>
      </c>
      <c r="V582" t="s">
        <v>127</v>
      </c>
      <c r="W582" t="s">
        <v>156</v>
      </c>
      <c r="Y582" t="s">
        <v>227</v>
      </c>
      <c r="AA582">
        <v>1</v>
      </c>
      <c r="AB582" t="s">
        <v>100</v>
      </c>
      <c r="AC582" t="s">
        <v>239</v>
      </c>
      <c r="AE582" t="str">
        <f t="shared" si="9"/>
        <v>FerrinZimmer</v>
      </c>
      <c r="AF582">
        <v>0</v>
      </c>
      <c r="AG582">
        <v>0</v>
      </c>
      <c r="AH582">
        <v>1</v>
      </c>
      <c r="AI582">
        <v>0</v>
      </c>
      <c r="AJ582">
        <v>0</v>
      </c>
      <c r="AK582" t="s">
        <v>231</v>
      </c>
      <c r="AL582">
        <v>0.5</v>
      </c>
      <c r="AM582" t="s">
        <v>456</v>
      </c>
      <c r="AN582">
        <v>0.63888888888888895</v>
      </c>
    </row>
    <row r="583" spans="2:40" ht="15" customHeight="1" x14ac:dyDescent="0.2">
      <c r="B583">
        <v>12</v>
      </c>
      <c r="C583">
        <v>2</v>
      </c>
      <c r="D583">
        <v>9</v>
      </c>
      <c r="E583" t="s">
        <v>511</v>
      </c>
      <c r="F583" t="s">
        <v>268</v>
      </c>
      <c r="G583" s="15">
        <v>44757</v>
      </c>
      <c r="H583" t="s">
        <v>144</v>
      </c>
      <c r="I583" t="s">
        <v>218</v>
      </c>
      <c r="J583" t="s">
        <v>219</v>
      </c>
      <c r="K583">
        <v>9</v>
      </c>
      <c r="L583" t="s">
        <v>112</v>
      </c>
      <c r="M583" t="s">
        <v>220</v>
      </c>
      <c r="N583" t="s">
        <v>170</v>
      </c>
      <c r="O583">
        <v>70.5</v>
      </c>
      <c r="P583">
        <v>134</v>
      </c>
      <c r="Q583">
        <v>6389</v>
      </c>
      <c r="R583" t="s">
        <v>145</v>
      </c>
      <c r="S583" t="s">
        <v>116</v>
      </c>
      <c r="U583" t="s">
        <v>227</v>
      </c>
      <c r="V583" t="s">
        <v>176</v>
      </c>
      <c r="W583" t="s">
        <v>156</v>
      </c>
      <c r="Y583" t="s">
        <v>130</v>
      </c>
      <c r="AA583">
        <v>1</v>
      </c>
      <c r="AB583" t="s">
        <v>99</v>
      </c>
      <c r="AC583" t="s">
        <v>239</v>
      </c>
      <c r="AE583" t="str">
        <f t="shared" si="9"/>
        <v>ForsterPoirier</v>
      </c>
      <c r="AF583">
        <v>1</v>
      </c>
      <c r="AG583">
        <v>1</v>
      </c>
      <c r="AH583">
        <v>0</v>
      </c>
      <c r="AI583">
        <v>0</v>
      </c>
      <c r="AJ583">
        <v>1</v>
      </c>
      <c r="AK583" t="s">
        <v>321</v>
      </c>
      <c r="AL583">
        <v>0.46551724137931</v>
      </c>
      <c r="AM583" t="s">
        <v>132</v>
      </c>
      <c r="AN583">
        <v>0.4296875</v>
      </c>
    </row>
    <row r="584" spans="2:40" ht="15" customHeight="1" x14ac:dyDescent="0.2">
      <c r="B584">
        <v>12</v>
      </c>
      <c r="C584">
        <v>2</v>
      </c>
      <c r="D584">
        <v>9</v>
      </c>
      <c r="E584" t="s">
        <v>511</v>
      </c>
      <c r="F584" t="s">
        <v>268</v>
      </c>
      <c r="G584" s="15">
        <v>44757</v>
      </c>
      <c r="H584" t="s">
        <v>144</v>
      </c>
      <c r="I584" t="s">
        <v>218</v>
      </c>
      <c r="J584" t="s">
        <v>219</v>
      </c>
      <c r="K584">
        <v>9</v>
      </c>
      <c r="L584" t="s">
        <v>112</v>
      </c>
      <c r="M584" t="s">
        <v>220</v>
      </c>
      <c r="N584" t="s">
        <v>170</v>
      </c>
      <c r="O584">
        <v>70.5</v>
      </c>
      <c r="P584">
        <v>134</v>
      </c>
      <c r="Q584">
        <v>6389</v>
      </c>
      <c r="R584" t="s">
        <v>145</v>
      </c>
      <c r="S584" t="s">
        <v>116</v>
      </c>
      <c r="U584" t="s">
        <v>226</v>
      </c>
      <c r="V584" t="s">
        <v>321</v>
      </c>
      <c r="W584" t="s">
        <v>156</v>
      </c>
      <c r="Y584" t="s">
        <v>132</v>
      </c>
      <c r="AA584">
        <v>1</v>
      </c>
      <c r="AB584" t="s">
        <v>100</v>
      </c>
      <c r="AC584" t="s">
        <v>239</v>
      </c>
      <c r="AE584" t="str">
        <f t="shared" si="9"/>
        <v>DelaneyFlanders</v>
      </c>
      <c r="AF584">
        <v>0</v>
      </c>
      <c r="AG584">
        <v>0</v>
      </c>
      <c r="AH584">
        <v>1</v>
      </c>
      <c r="AI584">
        <v>0</v>
      </c>
      <c r="AJ584">
        <v>0</v>
      </c>
      <c r="AK584" t="s">
        <v>176</v>
      </c>
      <c r="AL584">
        <v>0.59649122807017496</v>
      </c>
      <c r="AM584" t="s">
        <v>130</v>
      </c>
      <c r="AN584">
        <v>0.48611111111111099</v>
      </c>
    </row>
    <row r="585" spans="2:40" ht="15" customHeight="1" x14ac:dyDescent="0.2">
      <c r="B585">
        <v>13</v>
      </c>
      <c r="C585">
        <v>3</v>
      </c>
      <c r="D585">
        <v>9</v>
      </c>
      <c r="E585" t="s">
        <v>512</v>
      </c>
      <c r="F585" t="s">
        <v>268</v>
      </c>
      <c r="G585" s="15">
        <v>44757</v>
      </c>
      <c r="H585" t="s">
        <v>144</v>
      </c>
      <c r="I585" t="s">
        <v>218</v>
      </c>
      <c r="J585" t="s">
        <v>219</v>
      </c>
      <c r="K585">
        <v>9</v>
      </c>
      <c r="L585" t="s">
        <v>112</v>
      </c>
      <c r="M585" t="s">
        <v>220</v>
      </c>
      <c r="N585" t="s">
        <v>170</v>
      </c>
      <c r="O585">
        <v>70.5</v>
      </c>
      <c r="P585">
        <v>134</v>
      </c>
      <c r="Q585">
        <v>6389</v>
      </c>
      <c r="R585" t="s">
        <v>145</v>
      </c>
      <c r="S585" t="s">
        <v>116</v>
      </c>
      <c r="U585" t="s">
        <v>226</v>
      </c>
      <c r="V585" t="s">
        <v>179</v>
      </c>
      <c r="W585" t="s">
        <v>156</v>
      </c>
      <c r="Y585" t="s">
        <v>123</v>
      </c>
      <c r="AA585">
        <v>1</v>
      </c>
      <c r="AB585" t="s">
        <v>101</v>
      </c>
      <c r="AC585" t="s">
        <v>139</v>
      </c>
      <c r="AE585" t="str">
        <f t="shared" si="9"/>
        <v>ColeLynch</v>
      </c>
      <c r="AF585">
        <v>0.5</v>
      </c>
      <c r="AG585">
        <v>0</v>
      </c>
      <c r="AH585">
        <v>0</v>
      </c>
      <c r="AI585">
        <v>1</v>
      </c>
      <c r="AJ585">
        <v>0.5</v>
      </c>
      <c r="AK585" t="s">
        <v>118</v>
      </c>
      <c r="AL585">
        <v>0.6171875</v>
      </c>
      <c r="AM585" t="s">
        <v>272</v>
      </c>
      <c r="AN585">
        <v>0.51041666666666696</v>
      </c>
    </row>
    <row r="586" spans="2:40" ht="15" customHeight="1" x14ac:dyDescent="0.2">
      <c r="B586">
        <v>13</v>
      </c>
      <c r="C586">
        <v>3</v>
      </c>
      <c r="D586">
        <v>9</v>
      </c>
      <c r="E586" t="s">
        <v>512</v>
      </c>
      <c r="F586" t="s">
        <v>268</v>
      </c>
      <c r="G586" s="15">
        <v>44757</v>
      </c>
      <c r="H586" t="s">
        <v>144</v>
      </c>
      <c r="I586" t="s">
        <v>218</v>
      </c>
      <c r="J586" t="s">
        <v>219</v>
      </c>
      <c r="K586">
        <v>9</v>
      </c>
      <c r="L586" t="s">
        <v>112</v>
      </c>
      <c r="M586" t="s">
        <v>220</v>
      </c>
      <c r="N586" t="s">
        <v>170</v>
      </c>
      <c r="O586">
        <v>70.5</v>
      </c>
      <c r="P586">
        <v>134</v>
      </c>
      <c r="Q586">
        <v>6389</v>
      </c>
      <c r="R586" t="s">
        <v>145</v>
      </c>
      <c r="S586" t="s">
        <v>116</v>
      </c>
      <c r="U586" t="s">
        <v>227</v>
      </c>
      <c r="V586" t="s">
        <v>118</v>
      </c>
      <c r="W586" t="s">
        <v>156</v>
      </c>
      <c r="Y586" t="s">
        <v>272</v>
      </c>
      <c r="AA586">
        <v>1</v>
      </c>
      <c r="AB586" t="s">
        <v>101</v>
      </c>
      <c r="AC586" t="s">
        <v>139</v>
      </c>
      <c r="AE586" t="str">
        <f t="shared" si="9"/>
        <v>JacksonWelker</v>
      </c>
      <c r="AF586">
        <v>0.5</v>
      </c>
      <c r="AG586">
        <v>0</v>
      </c>
      <c r="AH586">
        <v>0</v>
      </c>
      <c r="AI586">
        <v>1</v>
      </c>
      <c r="AJ586">
        <v>0.5</v>
      </c>
      <c r="AK586" t="s">
        <v>179</v>
      </c>
      <c r="AL586">
        <v>0.44067796610169502</v>
      </c>
      <c r="AM586" t="s">
        <v>123</v>
      </c>
      <c r="AN586">
        <v>0.5546875</v>
      </c>
    </row>
    <row r="587" spans="2:40" ht="15" customHeight="1" x14ac:dyDescent="0.2">
      <c r="B587">
        <v>14</v>
      </c>
      <c r="C587">
        <v>4</v>
      </c>
      <c r="D587">
        <v>9</v>
      </c>
      <c r="E587" t="s">
        <v>513</v>
      </c>
      <c r="F587" t="s">
        <v>268</v>
      </c>
      <c r="G587" s="15">
        <v>44757</v>
      </c>
      <c r="H587" t="s">
        <v>144</v>
      </c>
      <c r="I587" t="s">
        <v>218</v>
      </c>
      <c r="J587" t="s">
        <v>219</v>
      </c>
      <c r="K587">
        <v>9</v>
      </c>
      <c r="L587" t="s">
        <v>112</v>
      </c>
      <c r="M587" t="s">
        <v>220</v>
      </c>
      <c r="N587" t="s">
        <v>170</v>
      </c>
      <c r="O587">
        <v>70.5</v>
      </c>
      <c r="P587">
        <v>134</v>
      </c>
      <c r="Q587">
        <v>6389</v>
      </c>
      <c r="R587" t="s">
        <v>145</v>
      </c>
      <c r="S587" t="s">
        <v>116</v>
      </c>
      <c r="U587" t="s">
        <v>227</v>
      </c>
      <c r="V587" t="s">
        <v>1285</v>
      </c>
      <c r="W587" t="s">
        <v>156</v>
      </c>
      <c r="Y587" t="s">
        <v>119</v>
      </c>
      <c r="AA587">
        <v>1</v>
      </c>
      <c r="AB587" t="s">
        <v>101</v>
      </c>
      <c r="AC587" t="s">
        <v>139</v>
      </c>
      <c r="AE587" t="str">
        <f t="shared" si="9"/>
        <v>DeOterisGrise</v>
      </c>
      <c r="AF587">
        <v>0.5</v>
      </c>
      <c r="AG587">
        <v>0</v>
      </c>
      <c r="AH587">
        <v>0</v>
      </c>
      <c r="AI587">
        <v>1</v>
      </c>
      <c r="AJ587">
        <v>0.5</v>
      </c>
      <c r="AK587" t="s">
        <v>1308</v>
      </c>
      <c r="AL587">
        <v>0.59375</v>
      </c>
      <c r="AM587" t="s">
        <v>122</v>
      </c>
      <c r="AN587">
        <v>0.47321428571428598</v>
      </c>
    </row>
    <row r="588" spans="2:40" ht="15" customHeight="1" x14ac:dyDescent="0.2">
      <c r="B588">
        <v>14</v>
      </c>
      <c r="C588">
        <v>4</v>
      </c>
      <c r="D588">
        <v>9</v>
      </c>
      <c r="E588" t="s">
        <v>513</v>
      </c>
      <c r="F588" t="s">
        <v>268</v>
      </c>
      <c r="G588" s="15">
        <v>44757</v>
      </c>
      <c r="H588" t="s">
        <v>144</v>
      </c>
      <c r="I588" t="s">
        <v>218</v>
      </c>
      <c r="J588" t="s">
        <v>219</v>
      </c>
      <c r="K588">
        <v>9</v>
      </c>
      <c r="L588" t="s">
        <v>112</v>
      </c>
      <c r="M588" t="s">
        <v>220</v>
      </c>
      <c r="N588" t="s">
        <v>170</v>
      </c>
      <c r="O588">
        <v>70.5</v>
      </c>
      <c r="P588">
        <v>134</v>
      </c>
      <c r="Q588">
        <v>6389</v>
      </c>
      <c r="R588" t="s">
        <v>145</v>
      </c>
      <c r="S588" t="s">
        <v>116</v>
      </c>
      <c r="U588" t="s">
        <v>226</v>
      </c>
      <c r="V588" t="s">
        <v>1308</v>
      </c>
      <c r="W588" t="s">
        <v>156</v>
      </c>
      <c r="Y588" t="s">
        <v>122</v>
      </c>
      <c r="AA588">
        <v>1</v>
      </c>
      <c r="AB588" t="s">
        <v>101</v>
      </c>
      <c r="AC588" t="s">
        <v>139</v>
      </c>
      <c r="AE588" t="str">
        <f t="shared" si="9"/>
        <v>ConnollyHilts</v>
      </c>
      <c r="AF588">
        <v>0.5</v>
      </c>
      <c r="AG588">
        <v>0</v>
      </c>
      <c r="AH588">
        <v>0</v>
      </c>
      <c r="AI588">
        <v>1</v>
      </c>
      <c r="AJ588">
        <v>0.5</v>
      </c>
      <c r="AK588" t="s">
        <v>1285</v>
      </c>
      <c r="AL588">
        <v>0.54545454545454497</v>
      </c>
      <c r="AM588" t="s">
        <v>119</v>
      </c>
      <c r="AN588">
        <v>0.546875</v>
      </c>
    </row>
    <row r="589" spans="2:40" ht="15" customHeight="1" x14ac:dyDescent="0.2">
      <c r="B589">
        <v>15</v>
      </c>
      <c r="C589">
        <v>5</v>
      </c>
      <c r="D589">
        <v>9</v>
      </c>
      <c r="E589" t="s">
        <v>514</v>
      </c>
      <c r="F589" t="s">
        <v>268</v>
      </c>
      <c r="G589" s="15">
        <v>44757</v>
      </c>
      <c r="H589" t="s">
        <v>144</v>
      </c>
      <c r="I589" t="s">
        <v>218</v>
      </c>
      <c r="J589" t="s">
        <v>219</v>
      </c>
      <c r="K589">
        <v>9</v>
      </c>
      <c r="L589" t="s">
        <v>112</v>
      </c>
      <c r="M589" t="s">
        <v>220</v>
      </c>
      <c r="N589" t="s">
        <v>170</v>
      </c>
      <c r="O589">
        <v>70.5</v>
      </c>
      <c r="P589">
        <v>134</v>
      </c>
      <c r="Q589">
        <v>6389</v>
      </c>
      <c r="R589" t="s">
        <v>145</v>
      </c>
      <c r="S589" t="s">
        <v>116</v>
      </c>
      <c r="U589" t="s">
        <v>226</v>
      </c>
      <c r="V589" t="s">
        <v>178</v>
      </c>
      <c r="W589" t="s">
        <v>156</v>
      </c>
      <c r="Y589" t="s">
        <v>135</v>
      </c>
      <c r="AA589">
        <v>1</v>
      </c>
      <c r="AB589" t="s">
        <v>100</v>
      </c>
      <c r="AC589" t="s">
        <v>257</v>
      </c>
      <c r="AE589" t="str">
        <f t="shared" si="9"/>
        <v>ConnorsShively</v>
      </c>
      <c r="AF589">
        <v>0</v>
      </c>
      <c r="AG589">
        <v>0</v>
      </c>
      <c r="AH589">
        <v>1</v>
      </c>
      <c r="AI589">
        <v>0</v>
      </c>
      <c r="AJ589">
        <v>0</v>
      </c>
      <c r="AK589" t="s">
        <v>452</v>
      </c>
      <c r="AL589">
        <v>0.65909090909090895</v>
      </c>
      <c r="AM589" t="s">
        <v>172</v>
      </c>
      <c r="AN589">
        <v>0.37288135593220301</v>
      </c>
    </row>
    <row r="590" spans="2:40" ht="15" customHeight="1" x14ac:dyDescent="0.2">
      <c r="B590">
        <v>15</v>
      </c>
      <c r="C590">
        <v>5</v>
      </c>
      <c r="D590">
        <v>9</v>
      </c>
      <c r="E590" t="s">
        <v>514</v>
      </c>
      <c r="F590" t="s">
        <v>268</v>
      </c>
      <c r="G590" s="15">
        <v>44757</v>
      </c>
      <c r="H590" t="s">
        <v>144</v>
      </c>
      <c r="I590" t="s">
        <v>218</v>
      </c>
      <c r="J590" t="s">
        <v>219</v>
      </c>
      <c r="K590">
        <v>9</v>
      </c>
      <c r="L590" t="s">
        <v>112</v>
      </c>
      <c r="M590" t="s">
        <v>220</v>
      </c>
      <c r="N590" t="s">
        <v>170</v>
      </c>
      <c r="O590">
        <v>70.5</v>
      </c>
      <c r="P590">
        <v>134</v>
      </c>
      <c r="Q590">
        <v>6389</v>
      </c>
      <c r="R590" t="s">
        <v>145</v>
      </c>
      <c r="S590" t="s">
        <v>116</v>
      </c>
      <c r="U590" t="s">
        <v>227</v>
      </c>
      <c r="V590" t="s">
        <v>452</v>
      </c>
      <c r="W590" t="s">
        <v>156</v>
      </c>
      <c r="Y590" t="s">
        <v>172</v>
      </c>
      <c r="AA590">
        <v>1</v>
      </c>
      <c r="AB590" t="s">
        <v>99</v>
      </c>
      <c r="AC590" t="s">
        <v>257</v>
      </c>
      <c r="AE590" t="str">
        <f t="shared" si="9"/>
        <v>DelnekyFogan</v>
      </c>
      <c r="AF590">
        <v>1</v>
      </c>
      <c r="AG590">
        <v>1</v>
      </c>
      <c r="AH590">
        <v>0</v>
      </c>
      <c r="AI590">
        <v>0</v>
      </c>
      <c r="AJ590">
        <v>1</v>
      </c>
      <c r="AK590" t="s">
        <v>178</v>
      </c>
      <c r="AL590">
        <v>0.34745762711864397</v>
      </c>
      <c r="AM590" t="s">
        <v>135</v>
      </c>
    </row>
    <row r="591" spans="2:40" ht="15" customHeight="1" x14ac:dyDescent="0.2">
      <c r="B591">
        <v>16</v>
      </c>
      <c r="C591">
        <v>1</v>
      </c>
      <c r="D591">
        <v>9</v>
      </c>
      <c r="E591" t="s">
        <v>515</v>
      </c>
      <c r="F591" t="s">
        <v>268</v>
      </c>
      <c r="G591" s="15">
        <v>44757</v>
      </c>
      <c r="H591" t="s">
        <v>144</v>
      </c>
      <c r="I591" t="s">
        <v>218</v>
      </c>
      <c r="J591" t="s">
        <v>219</v>
      </c>
      <c r="K591">
        <v>9</v>
      </c>
      <c r="L591" t="s">
        <v>137</v>
      </c>
      <c r="M591" t="s">
        <v>220</v>
      </c>
      <c r="N591" t="s">
        <v>170</v>
      </c>
      <c r="O591">
        <v>70.5</v>
      </c>
      <c r="P591">
        <v>134</v>
      </c>
      <c r="Q591">
        <v>6389</v>
      </c>
      <c r="R591" t="s">
        <v>197</v>
      </c>
      <c r="S591" t="s">
        <v>116</v>
      </c>
      <c r="U591" t="s">
        <v>226</v>
      </c>
      <c r="V591" t="s">
        <v>231</v>
      </c>
      <c r="W591" t="s">
        <v>156</v>
      </c>
      <c r="Y591" t="s">
        <v>456</v>
      </c>
      <c r="AA591">
        <v>1</v>
      </c>
      <c r="AB591" t="s">
        <v>99</v>
      </c>
      <c r="AC591" t="s">
        <v>239</v>
      </c>
      <c r="AE591" t="str">
        <f t="shared" si="9"/>
        <v>McInerneyPerkins</v>
      </c>
      <c r="AF591">
        <v>1</v>
      </c>
      <c r="AG591">
        <v>1</v>
      </c>
      <c r="AH591">
        <v>0</v>
      </c>
      <c r="AI591">
        <v>0</v>
      </c>
      <c r="AJ591">
        <v>1</v>
      </c>
      <c r="AK591" t="s">
        <v>127</v>
      </c>
      <c r="AL591">
        <v>0.59523809523809501</v>
      </c>
      <c r="AM591" t="s">
        <v>227</v>
      </c>
      <c r="AN591">
        <v>0.5</v>
      </c>
    </row>
    <row r="592" spans="2:40" ht="15" customHeight="1" x14ac:dyDescent="0.2">
      <c r="B592">
        <v>16</v>
      </c>
      <c r="C592">
        <v>1</v>
      </c>
      <c r="D592">
        <v>9</v>
      </c>
      <c r="E592" t="s">
        <v>515</v>
      </c>
      <c r="F592" t="s">
        <v>268</v>
      </c>
      <c r="G592" s="15">
        <v>44757</v>
      </c>
      <c r="H592" t="s">
        <v>144</v>
      </c>
      <c r="I592" t="s">
        <v>218</v>
      </c>
      <c r="J592" t="s">
        <v>219</v>
      </c>
      <c r="K592">
        <v>9</v>
      </c>
      <c r="L592" t="s">
        <v>137</v>
      </c>
      <c r="M592" t="s">
        <v>220</v>
      </c>
      <c r="N592" t="s">
        <v>170</v>
      </c>
      <c r="O592">
        <v>70.5</v>
      </c>
      <c r="P592">
        <v>134</v>
      </c>
      <c r="Q592">
        <v>6389</v>
      </c>
      <c r="R592" t="s">
        <v>197</v>
      </c>
      <c r="S592" t="s">
        <v>116</v>
      </c>
      <c r="U592" t="s">
        <v>227</v>
      </c>
      <c r="V592" t="s">
        <v>127</v>
      </c>
      <c r="W592" t="s">
        <v>156</v>
      </c>
      <c r="Y592" t="s">
        <v>227</v>
      </c>
      <c r="AA592">
        <v>1</v>
      </c>
      <c r="AB592" t="s">
        <v>100</v>
      </c>
      <c r="AC592" t="s">
        <v>239</v>
      </c>
      <c r="AE592" t="str">
        <f t="shared" si="9"/>
        <v>FerrinZimmer</v>
      </c>
      <c r="AF592">
        <v>0</v>
      </c>
      <c r="AG592">
        <v>0</v>
      </c>
      <c r="AH592">
        <v>1</v>
      </c>
      <c r="AI592">
        <v>0</v>
      </c>
      <c r="AJ592">
        <v>0</v>
      </c>
      <c r="AK592" t="s">
        <v>231</v>
      </c>
      <c r="AL592">
        <v>0.5</v>
      </c>
      <c r="AM592" t="s">
        <v>456</v>
      </c>
      <c r="AN592">
        <v>0.63888888888888895</v>
      </c>
    </row>
    <row r="593" spans="2:40" ht="15" customHeight="1" x14ac:dyDescent="0.2">
      <c r="B593">
        <v>17</v>
      </c>
      <c r="C593">
        <v>2</v>
      </c>
      <c r="D593">
        <v>9</v>
      </c>
      <c r="E593" t="s">
        <v>516</v>
      </c>
      <c r="F593" t="s">
        <v>268</v>
      </c>
      <c r="G593" s="15">
        <v>44757</v>
      </c>
      <c r="H593" t="s">
        <v>144</v>
      </c>
      <c r="I593" t="s">
        <v>218</v>
      </c>
      <c r="J593" t="s">
        <v>219</v>
      </c>
      <c r="K593">
        <v>9</v>
      </c>
      <c r="L593" t="s">
        <v>137</v>
      </c>
      <c r="M593" t="s">
        <v>220</v>
      </c>
      <c r="N593" t="s">
        <v>170</v>
      </c>
      <c r="O593">
        <v>70.5</v>
      </c>
      <c r="P593">
        <v>134</v>
      </c>
      <c r="Q593">
        <v>6389</v>
      </c>
      <c r="R593" t="s">
        <v>197</v>
      </c>
      <c r="S593" t="s">
        <v>116</v>
      </c>
      <c r="U593" t="s">
        <v>227</v>
      </c>
      <c r="V593" t="s">
        <v>176</v>
      </c>
      <c r="W593" t="s">
        <v>156</v>
      </c>
      <c r="Y593" t="s">
        <v>130</v>
      </c>
      <c r="AA593">
        <v>1</v>
      </c>
      <c r="AB593" t="s">
        <v>99</v>
      </c>
      <c r="AC593" t="s">
        <v>239</v>
      </c>
      <c r="AE593" t="str">
        <f t="shared" si="9"/>
        <v>ForsterPoirier</v>
      </c>
      <c r="AF593">
        <v>1</v>
      </c>
      <c r="AG593">
        <v>1</v>
      </c>
      <c r="AH593">
        <v>0</v>
      </c>
      <c r="AI593">
        <v>0</v>
      </c>
      <c r="AJ593">
        <v>1</v>
      </c>
      <c r="AK593" t="s">
        <v>321</v>
      </c>
      <c r="AL593">
        <v>0.46551724137931</v>
      </c>
      <c r="AM593" t="s">
        <v>132</v>
      </c>
      <c r="AN593">
        <v>0.4296875</v>
      </c>
    </row>
    <row r="594" spans="2:40" ht="15" customHeight="1" x14ac:dyDescent="0.2">
      <c r="B594">
        <v>17</v>
      </c>
      <c r="C594">
        <v>2</v>
      </c>
      <c r="D594">
        <v>9</v>
      </c>
      <c r="E594" t="s">
        <v>516</v>
      </c>
      <c r="F594" t="s">
        <v>268</v>
      </c>
      <c r="G594" s="15">
        <v>44757</v>
      </c>
      <c r="H594" t="s">
        <v>144</v>
      </c>
      <c r="I594" t="s">
        <v>218</v>
      </c>
      <c r="J594" t="s">
        <v>219</v>
      </c>
      <c r="K594">
        <v>9</v>
      </c>
      <c r="L594" t="s">
        <v>137</v>
      </c>
      <c r="M594" t="s">
        <v>220</v>
      </c>
      <c r="N594" t="s">
        <v>170</v>
      </c>
      <c r="O594">
        <v>70.5</v>
      </c>
      <c r="P594">
        <v>134</v>
      </c>
      <c r="Q594">
        <v>6389</v>
      </c>
      <c r="R594" t="s">
        <v>197</v>
      </c>
      <c r="S594" t="s">
        <v>116</v>
      </c>
      <c r="U594" t="s">
        <v>226</v>
      </c>
      <c r="V594" t="s">
        <v>321</v>
      </c>
      <c r="W594" t="s">
        <v>156</v>
      </c>
      <c r="Y594" t="s">
        <v>132</v>
      </c>
      <c r="AA594">
        <v>1</v>
      </c>
      <c r="AB594" t="s">
        <v>100</v>
      </c>
      <c r="AC594" t="s">
        <v>239</v>
      </c>
      <c r="AE594" t="str">
        <f t="shared" si="9"/>
        <v>DelaneyFlanders</v>
      </c>
      <c r="AF594">
        <v>0</v>
      </c>
      <c r="AG594">
        <v>0</v>
      </c>
      <c r="AH594">
        <v>1</v>
      </c>
      <c r="AI594">
        <v>0</v>
      </c>
      <c r="AJ594">
        <v>0</v>
      </c>
      <c r="AK594" t="s">
        <v>176</v>
      </c>
      <c r="AL594">
        <v>0.59649122807017496</v>
      </c>
      <c r="AM594" t="s">
        <v>130</v>
      </c>
      <c r="AN594">
        <v>0.48611111111111099</v>
      </c>
    </row>
    <row r="595" spans="2:40" ht="15" customHeight="1" x14ac:dyDescent="0.2">
      <c r="B595">
        <v>18</v>
      </c>
      <c r="C595">
        <v>3</v>
      </c>
      <c r="D595">
        <v>9</v>
      </c>
      <c r="E595" t="s">
        <v>517</v>
      </c>
      <c r="F595" t="s">
        <v>268</v>
      </c>
      <c r="G595" s="15">
        <v>44757</v>
      </c>
      <c r="H595" t="s">
        <v>144</v>
      </c>
      <c r="I595" t="s">
        <v>218</v>
      </c>
      <c r="J595" t="s">
        <v>219</v>
      </c>
      <c r="K595">
        <v>9</v>
      </c>
      <c r="L595" t="s">
        <v>137</v>
      </c>
      <c r="M595" t="s">
        <v>220</v>
      </c>
      <c r="N595" t="s">
        <v>170</v>
      </c>
      <c r="O595">
        <v>70.5</v>
      </c>
      <c r="P595">
        <v>134</v>
      </c>
      <c r="Q595">
        <v>6389</v>
      </c>
      <c r="R595" t="s">
        <v>197</v>
      </c>
      <c r="S595" t="s">
        <v>116</v>
      </c>
      <c r="U595" t="s">
        <v>226</v>
      </c>
      <c r="V595" t="s">
        <v>179</v>
      </c>
      <c r="W595" t="s">
        <v>156</v>
      </c>
      <c r="Y595" t="s">
        <v>123</v>
      </c>
      <c r="AA595">
        <v>1</v>
      </c>
      <c r="AB595" t="s">
        <v>99</v>
      </c>
      <c r="AC595" t="s">
        <v>263</v>
      </c>
      <c r="AE595" t="str">
        <f t="shared" si="9"/>
        <v>ColeLynch</v>
      </c>
      <c r="AF595">
        <v>1</v>
      </c>
      <c r="AG595">
        <v>1</v>
      </c>
      <c r="AH595">
        <v>0</v>
      </c>
      <c r="AI595">
        <v>0</v>
      </c>
      <c r="AJ595">
        <v>1</v>
      </c>
      <c r="AK595" t="s">
        <v>118</v>
      </c>
      <c r="AL595">
        <v>0.6171875</v>
      </c>
      <c r="AM595" t="s">
        <v>272</v>
      </c>
      <c r="AN595">
        <v>0.51041666666666696</v>
      </c>
    </row>
    <row r="596" spans="2:40" ht="15" customHeight="1" x14ac:dyDescent="0.2">
      <c r="B596">
        <v>18</v>
      </c>
      <c r="C596">
        <v>3</v>
      </c>
      <c r="D596">
        <v>9</v>
      </c>
      <c r="E596" t="s">
        <v>517</v>
      </c>
      <c r="F596" t="s">
        <v>268</v>
      </c>
      <c r="G596" s="15">
        <v>44757</v>
      </c>
      <c r="H596" t="s">
        <v>144</v>
      </c>
      <c r="I596" t="s">
        <v>218</v>
      </c>
      <c r="J596" t="s">
        <v>219</v>
      </c>
      <c r="K596">
        <v>9</v>
      </c>
      <c r="L596" t="s">
        <v>137</v>
      </c>
      <c r="M596" t="s">
        <v>220</v>
      </c>
      <c r="N596" t="s">
        <v>170</v>
      </c>
      <c r="O596">
        <v>70.5</v>
      </c>
      <c r="P596">
        <v>134</v>
      </c>
      <c r="Q596">
        <v>6389</v>
      </c>
      <c r="R596" t="s">
        <v>197</v>
      </c>
      <c r="S596" t="s">
        <v>116</v>
      </c>
      <c r="U596" t="s">
        <v>227</v>
      </c>
      <c r="V596" t="s">
        <v>118</v>
      </c>
      <c r="W596" t="s">
        <v>156</v>
      </c>
      <c r="Y596" t="s">
        <v>272</v>
      </c>
      <c r="AA596">
        <v>1</v>
      </c>
      <c r="AB596" t="s">
        <v>100</v>
      </c>
      <c r="AC596" t="s">
        <v>263</v>
      </c>
      <c r="AE596" t="str">
        <f t="shared" si="9"/>
        <v>JacksonWelker</v>
      </c>
      <c r="AF596">
        <v>0</v>
      </c>
      <c r="AG596">
        <v>0</v>
      </c>
      <c r="AH596">
        <v>1</v>
      </c>
      <c r="AI596">
        <v>0</v>
      </c>
      <c r="AJ596">
        <v>0</v>
      </c>
      <c r="AK596" t="s">
        <v>179</v>
      </c>
      <c r="AL596">
        <v>0.44067796610169502</v>
      </c>
      <c r="AM596" t="s">
        <v>123</v>
      </c>
      <c r="AN596">
        <v>0.5546875</v>
      </c>
    </row>
    <row r="597" spans="2:40" ht="15" customHeight="1" x14ac:dyDescent="0.2">
      <c r="B597">
        <v>19</v>
      </c>
      <c r="C597">
        <v>4</v>
      </c>
      <c r="D597">
        <v>9</v>
      </c>
      <c r="E597" t="s">
        <v>518</v>
      </c>
      <c r="F597" t="s">
        <v>268</v>
      </c>
      <c r="G597" s="15">
        <v>44757</v>
      </c>
      <c r="H597" t="s">
        <v>144</v>
      </c>
      <c r="I597" t="s">
        <v>218</v>
      </c>
      <c r="J597" t="s">
        <v>219</v>
      </c>
      <c r="K597">
        <v>9</v>
      </c>
      <c r="L597" t="s">
        <v>137</v>
      </c>
      <c r="M597" t="s">
        <v>220</v>
      </c>
      <c r="N597" t="s">
        <v>170</v>
      </c>
      <c r="O597">
        <v>70.5</v>
      </c>
      <c r="P597">
        <v>134</v>
      </c>
      <c r="Q597">
        <v>6389</v>
      </c>
      <c r="R597" t="s">
        <v>197</v>
      </c>
      <c r="S597" t="s">
        <v>116</v>
      </c>
      <c r="U597" t="s">
        <v>227</v>
      </c>
      <c r="V597" t="s">
        <v>1285</v>
      </c>
      <c r="W597" t="s">
        <v>156</v>
      </c>
      <c r="Y597" t="s">
        <v>119</v>
      </c>
      <c r="AA597">
        <v>1</v>
      </c>
      <c r="AB597" t="s">
        <v>100</v>
      </c>
      <c r="AC597" t="s">
        <v>519</v>
      </c>
      <c r="AE597" t="str">
        <f t="shared" si="9"/>
        <v>DeOterisGrise</v>
      </c>
      <c r="AF597">
        <v>0</v>
      </c>
      <c r="AG597">
        <v>0</v>
      </c>
      <c r="AH597">
        <v>1</v>
      </c>
      <c r="AI597">
        <v>0</v>
      </c>
      <c r="AJ597">
        <v>0</v>
      </c>
      <c r="AK597" t="s">
        <v>1308</v>
      </c>
      <c r="AL597">
        <v>0.59375</v>
      </c>
      <c r="AM597" t="s">
        <v>122</v>
      </c>
      <c r="AN597">
        <v>0.47321428571428598</v>
      </c>
    </row>
    <row r="598" spans="2:40" ht="15" customHeight="1" x14ac:dyDescent="0.2">
      <c r="B598">
        <v>19</v>
      </c>
      <c r="C598">
        <v>4</v>
      </c>
      <c r="D598">
        <v>9</v>
      </c>
      <c r="E598" t="s">
        <v>518</v>
      </c>
      <c r="F598" t="s">
        <v>268</v>
      </c>
      <c r="G598" s="15">
        <v>44757</v>
      </c>
      <c r="H598" t="s">
        <v>144</v>
      </c>
      <c r="I598" t="s">
        <v>218</v>
      </c>
      <c r="J598" t="s">
        <v>219</v>
      </c>
      <c r="K598">
        <v>9</v>
      </c>
      <c r="L598" t="s">
        <v>137</v>
      </c>
      <c r="M598" t="s">
        <v>220</v>
      </c>
      <c r="N598" t="s">
        <v>170</v>
      </c>
      <c r="O598">
        <v>70.5</v>
      </c>
      <c r="P598">
        <v>134</v>
      </c>
      <c r="Q598">
        <v>6389</v>
      </c>
      <c r="R598" t="s">
        <v>197</v>
      </c>
      <c r="S598" t="s">
        <v>116</v>
      </c>
      <c r="U598" t="s">
        <v>226</v>
      </c>
      <c r="V598" t="s">
        <v>1308</v>
      </c>
      <c r="W598" t="s">
        <v>156</v>
      </c>
      <c r="Y598" t="s">
        <v>122</v>
      </c>
      <c r="AA598">
        <v>1</v>
      </c>
      <c r="AB598" t="s">
        <v>99</v>
      </c>
      <c r="AC598" t="s">
        <v>304</v>
      </c>
      <c r="AE598" t="str">
        <f t="shared" si="9"/>
        <v>ConnollyHilts</v>
      </c>
      <c r="AF598">
        <v>1</v>
      </c>
      <c r="AG598">
        <v>1</v>
      </c>
      <c r="AH598">
        <v>0</v>
      </c>
      <c r="AI598">
        <v>0</v>
      </c>
      <c r="AJ598">
        <v>1</v>
      </c>
      <c r="AK598" t="s">
        <v>1285</v>
      </c>
      <c r="AL598">
        <v>0.54545454545454497</v>
      </c>
      <c r="AM598" t="s">
        <v>119</v>
      </c>
      <c r="AN598">
        <v>0.546875</v>
      </c>
    </row>
    <row r="599" spans="2:40" ht="15" customHeight="1" x14ac:dyDescent="0.2">
      <c r="B599">
        <v>20</v>
      </c>
      <c r="C599">
        <v>5</v>
      </c>
      <c r="D599">
        <v>9</v>
      </c>
      <c r="E599" t="s">
        <v>520</v>
      </c>
      <c r="F599" t="s">
        <v>268</v>
      </c>
      <c r="G599" s="15">
        <v>44757</v>
      </c>
      <c r="H599" t="s">
        <v>144</v>
      </c>
      <c r="I599" t="s">
        <v>218</v>
      </c>
      <c r="J599" t="s">
        <v>219</v>
      </c>
      <c r="K599">
        <v>9</v>
      </c>
      <c r="L599" t="s">
        <v>137</v>
      </c>
      <c r="M599" t="s">
        <v>220</v>
      </c>
      <c r="N599" t="s">
        <v>170</v>
      </c>
      <c r="O599">
        <v>70.5</v>
      </c>
      <c r="P599">
        <v>134</v>
      </c>
      <c r="Q599">
        <v>6389</v>
      </c>
      <c r="R599" t="s">
        <v>197</v>
      </c>
      <c r="S599" t="s">
        <v>116</v>
      </c>
      <c r="U599" t="s">
        <v>226</v>
      </c>
      <c r="V599" t="s">
        <v>178</v>
      </c>
      <c r="W599" t="s">
        <v>156</v>
      </c>
      <c r="Y599" t="s">
        <v>135</v>
      </c>
      <c r="AA599">
        <v>1</v>
      </c>
      <c r="AB599" t="s">
        <v>100</v>
      </c>
      <c r="AC599" t="s">
        <v>304</v>
      </c>
      <c r="AE599" t="str">
        <f t="shared" si="9"/>
        <v>ConnorsShively</v>
      </c>
      <c r="AF599">
        <v>0</v>
      </c>
      <c r="AG599">
        <v>0</v>
      </c>
      <c r="AH599">
        <v>1</v>
      </c>
      <c r="AI599">
        <v>0</v>
      </c>
      <c r="AJ599">
        <v>0</v>
      </c>
      <c r="AK599" t="s">
        <v>452</v>
      </c>
      <c r="AL599">
        <v>0.65909090909090895</v>
      </c>
      <c r="AM599" t="s">
        <v>172</v>
      </c>
      <c r="AN599">
        <v>0.37288135593220301</v>
      </c>
    </row>
    <row r="600" spans="2:40" ht="15" customHeight="1" x14ac:dyDescent="0.2">
      <c r="B600">
        <v>20</v>
      </c>
      <c r="C600">
        <v>5</v>
      </c>
      <c r="D600">
        <v>9</v>
      </c>
      <c r="E600" t="s">
        <v>520</v>
      </c>
      <c r="F600" t="s">
        <v>268</v>
      </c>
      <c r="G600" s="15">
        <v>44757</v>
      </c>
      <c r="H600" t="s">
        <v>144</v>
      </c>
      <c r="I600" t="s">
        <v>218</v>
      </c>
      <c r="J600" t="s">
        <v>219</v>
      </c>
      <c r="K600">
        <v>9</v>
      </c>
      <c r="L600" t="s">
        <v>137</v>
      </c>
      <c r="M600" t="s">
        <v>220</v>
      </c>
      <c r="N600" t="s">
        <v>170</v>
      </c>
      <c r="O600">
        <v>70.5</v>
      </c>
      <c r="P600">
        <v>134</v>
      </c>
      <c r="Q600">
        <v>6389</v>
      </c>
      <c r="R600" t="s">
        <v>197</v>
      </c>
      <c r="S600" t="s">
        <v>116</v>
      </c>
      <c r="U600" t="s">
        <v>227</v>
      </c>
      <c r="V600" t="s">
        <v>452</v>
      </c>
      <c r="W600" t="s">
        <v>156</v>
      </c>
      <c r="Y600" t="s">
        <v>172</v>
      </c>
      <c r="AA600">
        <v>1</v>
      </c>
      <c r="AB600" t="s">
        <v>99</v>
      </c>
      <c r="AC600" t="s">
        <v>304</v>
      </c>
      <c r="AE600" t="str">
        <f t="shared" si="9"/>
        <v>DelnekyFogan</v>
      </c>
      <c r="AF600">
        <v>1</v>
      </c>
      <c r="AG600">
        <v>1</v>
      </c>
      <c r="AH600">
        <v>0</v>
      </c>
      <c r="AI600">
        <v>0</v>
      </c>
      <c r="AJ600">
        <v>1</v>
      </c>
      <c r="AK600" t="s">
        <v>178</v>
      </c>
      <c r="AL600">
        <v>0.34745762711864397</v>
      </c>
      <c r="AM600" t="s">
        <v>135</v>
      </c>
    </row>
    <row r="601" spans="2:40" ht="15" customHeight="1" x14ac:dyDescent="0.2">
      <c r="B601" t="s">
        <v>300</v>
      </c>
      <c r="D601">
        <v>9</v>
      </c>
      <c r="E601" t="s">
        <v>521</v>
      </c>
      <c r="F601" t="s">
        <v>268</v>
      </c>
      <c r="G601" s="15">
        <v>44757</v>
      </c>
      <c r="H601" t="s">
        <v>144</v>
      </c>
      <c r="I601" t="s">
        <v>218</v>
      </c>
      <c r="J601" t="s">
        <v>219</v>
      </c>
      <c r="K601">
        <v>9</v>
      </c>
      <c r="L601" t="s">
        <v>112</v>
      </c>
      <c r="M601" t="s">
        <v>220</v>
      </c>
      <c r="N601" t="s">
        <v>170</v>
      </c>
      <c r="O601">
        <v>70.5</v>
      </c>
      <c r="P601">
        <v>134</v>
      </c>
      <c r="Q601">
        <v>6389</v>
      </c>
      <c r="R601" t="s">
        <v>303</v>
      </c>
      <c r="S601" t="s">
        <v>303</v>
      </c>
      <c r="U601" t="s">
        <v>227</v>
      </c>
      <c r="V601" t="s">
        <v>130</v>
      </c>
      <c r="W601" t="s">
        <v>156</v>
      </c>
      <c r="AA601">
        <v>0.5</v>
      </c>
      <c r="AB601" t="s">
        <v>99</v>
      </c>
      <c r="AC601" t="s">
        <v>263</v>
      </c>
      <c r="AE601" t="str">
        <f t="shared" si="9"/>
        <v>Poirier</v>
      </c>
      <c r="AF601">
        <v>0.5</v>
      </c>
      <c r="AG601">
        <v>1</v>
      </c>
      <c r="AH601">
        <v>0</v>
      </c>
      <c r="AI601">
        <v>0</v>
      </c>
      <c r="AJ601">
        <v>1</v>
      </c>
    </row>
    <row r="602" spans="2:40" ht="15" customHeight="1" x14ac:dyDescent="0.2">
      <c r="B602" t="s">
        <v>300</v>
      </c>
      <c r="D602">
        <v>9</v>
      </c>
      <c r="E602" t="s">
        <v>521</v>
      </c>
      <c r="F602" t="s">
        <v>268</v>
      </c>
      <c r="G602" s="15">
        <v>44757</v>
      </c>
      <c r="H602" t="s">
        <v>144</v>
      </c>
      <c r="I602" t="s">
        <v>218</v>
      </c>
      <c r="J602" t="s">
        <v>219</v>
      </c>
      <c r="K602">
        <v>9</v>
      </c>
      <c r="L602" t="s">
        <v>112</v>
      </c>
      <c r="M602" t="s">
        <v>220</v>
      </c>
      <c r="N602" t="s">
        <v>170</v>
      </c>
      <c r="O602">
        <v>70.5</v>
      </c>
      <c r="P602">
        <v>134</v>
      </c>
      <c r="Q602">
        <v>6389</v>
      </c>
      <c r="R602" t="s">
        <v>303</v>
      </c>
      <c r="S602" t="s">
        <v>303</v>
      </c>
      <c r="U602" t="s">
        <v>227</v>
      </c>
      <c r="V602" t="s">
        <v>118</v>
      </c>
      <c r="W602" t="s">
        <v>156</v>
      </c>
      <c r="AA602">
        <v>0.5</v>
      </c>
      <c r="AB602" t="s">
        <v>99</v>
      </c>
      <c r="AC602" t="s">
        <v>263</v>
      </c>
      <c r="AE602" t="str">
        <f t="shared" si="9"/>
        <v>Jackson</v>
      </c>
      <c r="AF602">
        <v>0.5</v>
      </c>
      <c r="AG602">
        <v>1</v>
      </c>
      <c r="AH602">
        <v>0</v>
      </c>
      <c r="AI602">
        <v>0</v>
      </c>
      <c r="AJ602">
        <v>1</v>
      </c>
    </row>
    <row r="603" spans="2:40" ht="15" customHeight="1" x14ac:dyDescent="0.2">
      <c r="B603" t="s">
        <v>300</v>
      </c>
      <c r="D603">
        <v>9</v>
      </c>
      <c r="E603" t="s">
        <v>521</v>
      </c>
      <c r="F603" t="s">
        <v>268</v>
      </c>
      <c r="G603" s="15">
        <v>44757</v>
      </c>
      <c r="H603" t="s">
        <v>144</v>
      </c>
      <c r="I603" t="s">
        <v>218</v>
      </c>
      <c r="J603" t="s">
        <v>219</v>
      </c>
      <c r="K603">
        <v>9</v>
      </c>
      <c r="L603" t="s">
        <v>112</v>
      </c>
      <c r="M603" t="s">
        <v>220</v>
      </c>
      <c r="N603" t="s">
        <v>170</v>
      </c>
      <c r="O603">
        <v>70.5</v>
      </c>
      <c r="P603">
        <v>134</v>
      </c>
      <c r="Q603">
        <v>6389</v>
      </c>
      <c r="R603" t="s">
        <v>303</v>
      </c>
      <c r="S603" t="s">
        <v>303</v>
      </c>
      <c r="U603" t="s">
        <v>227</v>
      </c>
      <c r="V603" t="s">
        <v>272</v>
      </c>
      <c r="W603" t="s">
        <v>156</v>
      </c>
      <c r="AA603">
        <v>0.5</v>
      </c>
      <c r="AB603" t="s">
        <v>99</v>
      </c>
      <c r="AC603" t="s">
        <v>263</v>
      </c>
      <c r="AE603" t="str">
        <f t="shared" si="9"/>
        <v>Welker</v>
      </c>
      <c r="AF603">
        <v>0.5</v>
      </c>
      <c r="AG603">
        <v>1</v>
      </c>
      <c r="AH603">
        <v>0</v>
      </c>
      <c r="AI603">
        <v>0</v>
      </c>
      <c r="AJ603">
        <v>1</v>
      </c>
    </row>
    <row r="604" spans="2:40" ht="15" customHeight="1" x14ac:dyDescent="0.2">
      <c r="B604" t="s">
        <v>300</v>
      </c>
      <c r="D604">
        <v>9</v>
      </c>
      <c r="E604" t="s">
        <v>521</v>
      </c>
      <c r="F604" t="s">
        <v>268</v>
      </c>
      <c r="G604" s="15">
        <v>44757</v>
      </c>
      <c r="H604" t="s">
        <v>144</v>
      </c>
      <c r="I604" t="s">
        <v>218</v>
      </c>
      <c r="J604" t="s">
        <v>219</v>
      </c>
      <c r="K604">
        <v>9</v>
      </c>
      <c r="L604" t="s">
        <v>112</v>
      </c>
      <c r="M604" t="s">
        <v>220</v>
      </c>
      <c r="N604" t="s">
        <v>170</v>
      </c>
      <c r="O604">
        <v>70.5</v>
      </c>
      <c r="P604">
        <v>134</v>
      </c>
      <c r="Q604">
        <v>6389</v>
      </c>
      <c r="R604" t="s">
        <v>303</v>
      </c>
      <c r="S604" t="s">
        <v>303</v>
      </c>
      <c r="U604" t="s">
        <v>227</v>
      </c>
      <c r="V604" t="s">
        <v>227</v>
      </c>
      <c r="W604" t="s">
        <v>156</v>
      </c>
      <c r="AA604">
        <v>0.5</v>
      </c>
      <c r="AB604" t="s">
        <v>99</v>
      </c>
      <c r="AC604" t="s">
        <v>263</v>
      </c>
      <c r="AE604" t="str">
        <f t="shared" si="9"/>
        <v>Zimmer</v>
      </c>
      <c r="AF604">
        <v>0.5</v>
      </c>
      <c r="AG604">
        <v>1</v>
      </c>
      <c r="AH604">
        <v>0</v>
      </c>
      <c r="AI604">
        <v>0</v>
      </c>
      <c r="AJ604">
        <v>1</v>
      </c>
    </row>
    <row r="605" spans="2:40" ht="15" customHeight="1" x14ac:dyDescent="0.2">
      <c r="B605" t="s">
        <v>300</v>
      </c>
      <c r="D605">
        <v>9</v>
      </c>
      <c r="E605" t="s">
        <v>521</v>
      </c>
      <c r="F605" t="s">
        <v>268</v>
      </c>
      <c r="G605" s="15">
        <v>44757</v>
      </c>
      <c r="H605" t="s">
        <v>144</v>
      </c>
      <c r="I605" t="s">
        <v>218</v>
      </c>
      <c r="J605" t="s">
        <v>219</v>
      </c>
      <c r="K605">
        <v>9</v>
      </c>
      <c r="L605" t="s">
        <v>112</v>
      </c>
      <c r="M605" t="s">
        <v>220</v>
      </c>
      <c r="N605" t="s">
        <v>170</v>
      </c>
      <c r="O605">
        <v>70.5</v>
      </c>
      <c r="P605">
        <v>134</v>
      </c>
      <c r="Q605">
        <v>6389</v>
      </c>
      <c r="R605" t="s">
        <v>303</v>
      </c>
      <c r="S605" t="s">
        <v>303</v>
      </c>
      <c r="U605" t="s">
        <v>227</v>
      </c>
      <c r="V605" t="s">
        <v>119</v>
      </c>
      <c r="W605" t="s">
        <v>156</v>
      </c>
      <c r="AA605">
        <v>0.5</v>
      </c>
      <c r="AB605" t="s">
        <v>99</v>
      </c>
      <c r="AC605" t="s">
        <v>263</v>
      </c>
      <c r="AE605" t="str">
        <f t="shared" si="9"/>
        <v>Grise</v>
      </c>
      <c r="AF605">
        <v>0.5</v>
      </c>
      <c r="AG605">
        <v>1</v>
      </c>
      <c r="AH605">
        <v>0</v>
      </c>
      <c r="AI605">
        <v>0</v>
      </c>
      <c r="AJ605">
        <v>1</v>
      </c>
    </row>
    <row r="606" spans="2:40" ht="15" customHeight="1" x14ac:dyDescent="0.2">
      <c r="B606" t="s">
        <v>300</v>
      </c>
      <c r="D606">
        <v>9</v>
      </c>
      <c r="E606" t="s">
        <v>521</v>
      </c>
      <c r="F606" t="s">
        <v>268</v>
      </c>
      <c r="G606" s="15">
        <v>44757</v>
      </c>
      <c r="H606" t="s">
        <v>144</v>
      </c>
      <c r="I606" t="s">
        <v>218</v>
      </c>
      <c r="J606" t="s">
        <v>219</v>
      </c>
      <c r="K606">
        <v>9</v>
      </c>
      <c r="L606" t="s">
        <v>112</v>
      </c>
      <c r="M606" t="s">
        <v>220</v>
      </c>
      <c r="N606" t="s">
        <v>170</v>
      </c>
      <c r="O606">
        <v>70.5</v>
      </c>
      <c r="P606">
        <v>134</v>
      </c>
      <c r="Q606">
        <v>6389</v>
      </c>
      <c r="R606" t="s">
        <v>303</v>
      </c>
      <c r="S606" t="s">
        <v>303</v>
      </c>
      <c r="U606" t="s">
        <v>227</v>
      </c>
      <c r="V606" t="s">
        <v>176</v>
      </c>
      <c r="W606" t="s">
        <v>156</v>
      </c>
      <c r="AA606">
        <v>0.5</v>
      </c>
      <c r="AB606" t="s">
        <v>99</v>
      </c>
      <c r="AC606" t="s">
        <v>263</v>
      </c>
      <c r="AE606" t="str">
        <f t="shared" si="9"/>
        <v>Forster</v>
      </c>
      <c r="AF606">
        <v>0.5</v>
      </c>
      <c r="AG606">
        <v>1</v>
      </c>
      <c r="AH606">
        <v>0</v>
      </c>
      <c r="AI606">
        <v>0</v>
      </c>
      <c r="AJ606">
        <v>1</v>
      </c>
    </row>
    <row r="607" spans="2:40" ht="15" customHeight="1" x14ac:dyDescent="0.2">
      <c r="B607" t="s">
        <v>300</v>
      </c>
      <c r="D607">
        <v>9</v>
      </c>
      <c r="E607" t="s">
        <v>521</v>
      </c>
      <c r="F607" t="s">
        <v>268</v>
      </c>
      <c r="G607" s="15">
        <v>44757</v>
      </c>
      <c r="H607" t="s">
        <v>144</v>
      </c>
      <c r="I607" t="s">
        <v>218</v>
      </c>
      <c r="J607" t="s">
        <v>219</v>
      </c>
      <c r="K607">
        <v>9</v>
      </c>
      <c r="L607" t="s">
        <v>112</v>
      </c>
      <c r="M607" t="s">
        <v>220</v>
      </c>
      <c r="N607" t="s">
        <v>170</v>
      </c>
      <c r="O607">
        <v>70.5</v>
      </c>
      <c r="P607">
        <v>134</v>
      </c>
      <c r="Q607">
        <v>6389</v>
      </c>
      <c r="R607" t="s">
        <v>303</v>
      </c>
      <c r="S607" t="s">
        <v>303</v>
      </c>
      <c r="U607" t="s">
        <v>227</v>
      </c>
      <c r="V607" t="s">
        <v>1285</v>
      </c>
      <c r="W607" t="s">
        <v>156</v>
      </c>
      <c r="AA607">
        <v>0.5</v>
      </c>
      <c r="AB607" t="s">
        <v>99</v>
      </c>
      <c r="AC607" t="s">
        <v>263</v>
      </c>
      <c r="AE607" t="str">
        <f t="shared" si="9"/>
        <v>DeOteris</v>
      </c>
      <c r="AF607">
        <v>0.5</v>
      </c>
      <c r="AG607">
        <v>1</v>
      </c>
      <c r="AH607">
        <v>0</v>
      </c>
      <c r="AI607">
        <v>0</v>
      </c>
      <c r="AJ607">
        <v>1</v>
      </c>
    </row>
    <row r="608" spans="2:40" ht="15" customHeight="1" x14ac:dyDescent="0.2">
      <c r="B608" t="s">
        <v>300</v>
      </c>
      <c r="D608">
        <v>9</v>
      </c>
      <c r="E608" t="s">
        <v>521</v>
      </c>
      <c r="F608" t="s">
        <v>268</v>
      </c>
      <c r="G608" s="15">
        <v>44757</v>
      </c>
      <c r="H608" t="s">
        <v>144</v>
      </c>
      <c r="I608" t="s">
        <v>218</v>
      </c>
      <c r="J608" t="s">
        <v>219</v>
      </c>
      <c r="K608">
        <v>9</v>
      </c>
      <c r="L608" t="s">
        <v>112</v>
      </c>
      <c r="M608" t="s">
        <v>220</v>
      </c>
      <c r="N608" t="s">
        <v>170</v>
      </c>
      <c r="O608">
        <v>70.5</v>
      </c>
      <c r="P608">
        <v>134</v>
      </c>
      <c r="Q608">
        <v>6389</v>
      </c>
      <c r="R608" t="s">
        <v>303</v>
      </c>
      <c r="S608" t="s">
        <v>303</v>
      </c>
      <c r="U608" t="s">
        <v>227</v>
      </c>
      <c r="V608" t="s">
        <v>127</v>
      </c>
      <c r="W608" t="s">
        <v>156</v>
      </c>
      <c r="AA608">
        <v>0.5</v>
      </c>
      <c r="AB608" t="s">
        <v>99</v>
      </c>
      <c r="AC608" t="s">
        <v>263</v>
      </c>
      <c r="AE608" t="str">
        <f t="shared" si="9"/>
        <v>Ferrin</v>
      </c>
      <c r="AF608">
        <v>0.5</v>
      </c>
      <c r="AG608">
        <v>1</v>
      </c>
      <c r="AH608">
        <v>0</v>
      </c>
      <c r="AI608">
        <v>0</v>
      </c>
      <c r="AJ608">
        <v>1</v>
      </c>
    </row>
    <row r="609" spans="2:38" ht="15" customHeight="1" x14ac:dyDescent="0.2">
      <c r="B609" t="s">
        <v>300</v>
      </c>
      <c r="D609">
        <v>9</v>
      </c>
      <c r="E609" t="s">
        <v>521</v>
      </c>
      <c r="F609" t="s">
        <v>268</v>
      </c>
      <c r="G609" s="15">
        <v>44757</v>
      </c>
      <c r="H609" t="s">
        <v>144</v>
      </c>
      <c r="I609" t="s">
        <v>218</v>
      </c>
      <c r="J609" t="s">
        <v>219</v>
      </c>
      <c r="K609">
        <v>9</v>
      </c>
      <c r="L609" t="s">
        <v>112</v>
      </c>
      <c r="M609" t="s">
        <v>220</v>
      </c>
      <c r="N609" t="s">
        <v>170</v>
      </c>
      <c r="O609">
        <v>70.5</v>
      </c>
      <c r="P609">
        <v>134</v>
      </c>
      <c r="Q609">
        <v>6389</v>
      </c>
      <c r="R609" t="s">
        <v>303</v>
      </c>
      <c r="S609" t="s">
        <v>303</v>
      </c>
      <c r="U609" t="s">
        <v>227</v>
      </c>
      <c r="V609" t="s">
        <v>452</v>
      </c>
      <c r="W609" t="s">
        <v>156</v>
      </c>
      <c r="AA609">
        <v>0.5</v>
      </c>
      <c r="AB609" t="s">
        <v>99</v>
      </c>
      <c r="AC609" t="s">
        <v>263</v>
      </c>
      <c r="AE609" t="str">
        <f t="shared" si="9"/>
        <v>Delneky</v>
      </c>
      <c r="AF609">
        <v>0.5</v>
      </c>
      <c r="AG609">
        <v>1</v>
      </c>
      <c r="AH609">
        <v>0</v>
      </c>
      <c r="AI609">
        <v>0</v>
      </c>
      <c r="AJ609">
        <v>1</v>
      </c>
    </row>
    <row r="610" spans="2:38" ht="15" customHeight="1" x14ac:dyDescent="0.2">
      <c r="B610" t="s">
        <v>300</v>
      </c>
      <c r="D610">
        <v>9</v>
      </c>
      <c r="E610" t="s">
        <v>521</v>
      </c>
      <c r="F610" t="s">
        <v>268</v>
      </c>
      <c r="G610" s="15">
        <v>44757</v>
      </c>
      <c r="H610" t="s">
        <v>144</v>
      </c>
      <c r="I610" t="s">
        <v>218</v>
      </c>
      <c r="J610" t="s">
        <v>219</v>
      </c>
      <c r="K610">
        <v>9</v>
      </c>
      <c r="L610" t="s">
        <v>112</v>
      </c>
      <c r="M610" t="s">
        <v>220</v>
      </c>
      <c r="N610" t="s">
        <v>170</v>
      </c>
      <c r="O610">
        <v>70.5</v>
      </c>
      <c r="P610">
        <v>134</v>
      </c>
      <c r="Q610">
        <v>6389</v>
      </c>
      <c r="R610" t="s">
        <v>303</v>
      </c>
      <c r="S610" t="s">
        <v>303</v>
      </c>
      <c r="U610" t="s">
        <v>227</v>
      </c>
      <c r="V610" t="s">
        <v>172</v>
      </c>
      <c r="W610" t="s">
        <v>156</v>
      </c>
      <c r="AA610">
        <v>0.5</v>
      </c>
      <c r="AB610" t="s">
        <v>99</v>
      </c>
      <c r="AC610" t="s">
        <v>263</v>
      </c>
      <c r="AE610" t="str">
        <f t="shared" si="9"/>
        <v>Fogan</v>
      </c>
      <c r="AF610">
        <v>0.5</v>
      </c>
      <c r="AG610">
        <v>1</v>
      </c>
      <c r="AH610">
        <v>0</v>
      </c>
      <c r="AI610">
        <v>0</v>
      </c>
      <c r="AJ610">
        <v>1</v>
      </c>
    </row>
    <row r="611" spans="2:38" ht="15" customHeight="1" x14ac:dyDescent="0.2">
      <c r="B611" t="s">
        <v>300</v>
      </c>
      <c r="D611">
        <v>9</v>
      </c>
      <c r="E611" t="s">
        <v>521</v>
      </c>
      <c r="F611" t="s">
        <v>268</v>
      </c>
      <c r="G611" s="15">
        <v>44757</v>
      </c>
      <c r="H611" t="s">
        <v>144</v>
      </c>
      <c r="I611" t="s">
        <v>218</v>
      </c>
      <c r="J611" t="s">
        <v>219</v>
      </c>
      <c r="K611">
        <v>9</v>
      </c>
      <c r="L611" t="s">
        <v>112</v>
      </c>
      <c r="M611" t="s">
        <v>220</v>
      </c>
      <c r="N611" t="s">
        <v>170</v>
      </c>
      <c r="O611">
        <v>70.5</v>
      </c>
      <c r="P611">
        <v>134</v>
      </c>
      <c r="Q611">
        <v>6389</v>
      </c>
      <c r="R611" t="s">
        <v>303</v>
      </c>
      <c r="S611" t="s">
        <v>303</v>
      </c>
      <c r="U611" t="s">
        <v>226</v>
      </c>
      <c r="V611" t="s">
        <v>231</v>
      </c>
      <c r="W611" t="s">
        <v>156</v>
      </c>
      <c r="AA611">
        <v>0.5</v>
      </c>
      <c r="AB611" t="s">
        <v>100</v>
      </c>
      <c r="AC611" t="s">
        <v>263</v>
      </c>
      <c r="AE611" t="str">
        <f t="shared" si="9"/>
        <v>McInerney</v>
      </c>
      <c r="AF611">
        <v>0</v>
      </c>
      <c r="AG611">
        <v>0</v>
      </c>
      <c r="AH611">
        <v>1</v>
      </c>
      <c r="AI611">
        <v>0</v>
      </c>
      <c r="AJ611">
        <v>0</v>
      </c>
    </row>
    <row r="612" spans="2:38" ht="15" customHeight="1" x14ac:dyDescent="0.2">
      <c r="B612" t="s">
        <v>300</v>
      </c>
      <c r="D612">
        <v>9</v>
      </c>
      <c r="E612" t="s">
        <v>521</v>
      </c>
      <c r="F612" t="s">
        <v>268</v>
      </c>
      <c r="G612" s="15">
        <v>44757</v>
      </c>
      <c r="H612" t="s">
        <v>144</v>
      </c>
      <c r="I612" t="s">
        <v>218</v>
      </c>
      <c r="J612" t="s">
        <v>219</v>
      </c>
      <c r="K612">
        <v>9</v>
      </c>
      <c r="L612" t="s">
        <v>112</v>
      </c>
      <c r="M612" t="s">
        <v>220</v>
      </c>
      <c r="N612" t="s">
        <v>170</v>
      </c>
      <c r="O612">
        <v>70.5</v>
      </c>
      <c r="P612">
        <v>134</v>
      </c>
      <c r="Q612">
        <v>6389</v>
      </c>
      <c r="R612" t="s">
        <v>303</v>
      </c>
      <c r="S612" t="s">
        <v>303</v>
      </c>
      <c r="U612" t="s">
        <v>226</v>
      </c>
      <c r="V612" t="s">
        <v>132</v>
      </c>
      <c r="W612" t="s">
        <v>156</v>
      </c>
      <c r="AA612">
        <v>0.5</v>
      </c>
      <c r="AB612" t="s">
        <v>100</v>
      </c>
      <c r="AC612" t="s">
        <v>263</v>
      </c>
      <c r="AE612" t="str">
        <f t="shared" si="9"/>
        <v>Flanders</v>
      </c>
      <c r="AF612">
        <v>0</v>
      </c>
      <c r="AG612">
        <v>0</v>
      </c>
      <c r="AH612">
        <v>1</v>
      </c>
      <c r="AI612">
        <v>0</v>
      </c>
      <c r="AJ612">
        <v>0</v>
      </c>
    </row>
    <row r="613" spans="2:38" ht="15" customHeight="1" x14ac:dyDescent="0.2">
      <c r="B613" t="s">
        <v>300</v>
      </c>
      <c r="D613">
        <v>9</v>
      </c>
      <c r="E613" t="s">
        <v>521</v>
      </c>
      <c r="F613" t="s">
        <v>268</v>
      </c>
      <c r="G613" s="15">
        <v>44757</v>
      </c>
      <c r="H613" t="s">
        <v>144</v>
      </c>
      <c r="I613" t="s">
        <v>218</v>
      </c>
      <c r="J613" t="s">
        <v>219</v>
      </c>
      <c r="K613">
        <v>9</v>
      </c>
      <c r="L613" t="s">
        <v>112</v>
      </c>
      <c r="M613" t="s">
        <v>220</v>
      </c>
      <c r="N613" t="s">
        <v>170</v>
      </c>
      <c r="O613">
        <v>70.5</v>
      </c>
      <c r="P613">
        <v>134</v>
      </c>
      <c r="Q613">
        <v>6389</v>
      </c>
      <c r="R613" t="s">
        <v>303</v>
      </c>
      <c r="S613" t="s">
        <v>303</v>
      </c>
      <c r="U613" t="s">
        <v>226</v>
      </c>
      <c r="V613" t="s">
        <v>1308</v>
      </c>
      <c r="W613" t="s">
        <v>156</v>
      </c>
      <c r="AA613">
        <v>0.5</v>
      </c>
      <c r="AB613" t="s">
        <v>100</v>
      </c>
      <c r="AC613" t="s">
        <v>263</v>
      </c>
      <c r="AE613" t="str">
        <f t="shared" si="9"/>
        <v>Connolly</v>
      </c>
      <c r="AF613">
        <v>0</v>
      </c>
      <c r="AG613">
        <v>0</v>
      </c>
      <c r="AH613">
        <v>1</v>
      </c>
      <c r="AI613">
        <v>0</v>
      </c>
      <c r="AJ613">
        <v>0</v>
      </c>
    </row>
    <row r="614" spans="2:38" ht="15" customHeight="1" x14ac:dyDescent="0.2">
      <c r="B614" t="s">
        <v>300</v>
      </c>
      <c r="D614">
        <v>9</v>
      </c>
      <c r="E614" t="s">
        <v>521</v>
      </c>
      <c r="F614" t="s">
        <v>268</v>
      </c>
      <c r="G614" s="15">
        <v>44757</v>
      </c>
      <c r="H614" t="s">
        <v>144</v>
      </c>
      <c r="I614" t="s">
        <v>218</v>
      </c>
      <c r="J614" t="s">
        <v>219</v>
      </c>
      <c r="K614">
        <v>9</v>
      </c>
      <c r="L614" t="s">
        <v>112</v>
      </c>
      <c r="M614" t="s">
        <v>220</v>
      </c>
      <c r="N614" t="s">
        <v>170</v>
      </c>
      <c r="O614">
        <v>70.5</v>
      </c>
      <c r="P614">
        <v>134</v>
      </c>
      <c r="Q614">
        <v>6389</v>
      </c>
      <c r="R614" t="s">
        <v>303</v>
      </c>
      <c r="S614" t="s">
        <v>303</v>
      </c>
      <c r="U614" t="s">
        <v>226</v>
      </c>
      <c r="V614" t="s">
        <v>123</v>
      </c>
      <c r="W614" t="s">
        <v>156</v>
      </c>
      <c r="AA614">
        <v>0.5</v>
      </c>
      <c r="AB614" t="s">
        <v>100</v>
      </c>
      <c r="AC614" t="s">
        <v>263</v>
      </c>
      <c r="AE614" t="str">
        <f t="shared" si="9"/>
        <v>Lynch</v>
      </c>
      <c r="AF614">
        <v>0</v>
      </c>
      <c r="AG614">
        <v>0</v>
      </c>
      <c r="AH614">
        <v>1</v>
      </c>
      <c r="AI614">
        <v>0</v>
      </c>
      <c r="AJ614">
        <v>0</v>
      </c>
    </row>
    <row r="615" spans="2:38" ht="15" customHeight="1" x14ac:dyDescent="0.2">
      <c r="B615" t="s">
        <v>300</v>
      </c>
      <c r="D615">
        <v>9</v>
      </c>
      <c r="E615" t="s">
        <v>521</v>
      </c>
      <c r="F615" t="s">
        <v>268</v>
      </c>
      <c r="G615" s="15">
        <v>44757</v>
      </c>
      <c r="H615" t="s">
        <v>144</v>
      </c>
      <c r="I615" t="s">
        <v>218</v>
      </c>
      <c r="J615" t="s">
        <v>219</v>
      </c>
      <c r="K615">
        <v>9</v>
      </c>
      <c r="L615" t="s">
        <v>112</v>
      </c>
      <c r="M615" t="s">
        <v>220</v>
      </c>
      <c r="N615" t="s">
        <v>170</v>
      </c>
      <c r="O615">
        <v>70.5</v>
      </c>
      <c r="P615">
        <v>134</v>
      </c>
      <c r="Q615">
        <v>6389</v>
      </c>
      <c r="R615" t="s">
        <v>303</v>
      </c>
      <c r="S615" t="s">
        <v>303</v>
      </c>
      <c r="U615" t="s">
        <v>226</v>
      </c>
      <c r="V615" t="s">
        <v>456</v>
      </c>
      <c r="W615" t="s">
        <v>156</v>
      </c>
      <c r="AA615">
        <v>0.5</v>
      </c>
      <c r="AB615" t="s">
        <v>100</v>
      </c>
      <c r="AC615" t="s">
        <v>263</v>
      </c>
      <c r="AE615" t="str">
        <f t="shared" si="9"/>
        <v>Perkins</v>
      </c>
      <c r="AF615">
        <v>0</v>
      </c>
      <c r="AG615">
        <v>0</v>
      </c>
      <c r="AH615">
        <v>1</v>
      </c>
      <c r="AI615">
        <v>0</v>
      </c>
      <c r="AJ615">
        <v>0</v>
      </c>
    </row>
    <row r="616" spans="2:38" ht="15" customHeight="1" x14ac:dyDescent="0.2">
      <c r="B616" t="s">
        <v>300</v>
      </c>
      <c r="D616">
        <v>9</v>
      </c>
      <c r="E616" t="s">
        <v>521</v>
      </c>
      <c r="F616" t="s">
        <v>268</v>
      </c>
      <c r="G616" s="15">
        <v>44757</v>
      </c>
      <c r="H616" t="s">
        <v>144</v>
      </c>
      <c r="I616" t="s">
        <v>218</v>
      </c>
      <c r="J616" t="s">
        <v>219</v>
      </c>
      <c r="K616">
        <v>9</v>
      </c>
      <c r="L616" t="s">
        <v>112</v>
      </c>
      <c r="M616" t="s">
        <v>220</v>
      </c>
      <c r="N616" t="s">
        <v>170</v>
      </c>
      <c r="O616">
        <v>70.5</v>
      </c>
      <c r="P616">
        <v>134</v>
      </c>
      <c r="Q616">
        <v>6389</v>
      </c>
      <c r="R616" t="s">
        <v>303</v>
      </c>
      <c r="S616" t="s">
        <v>303</v>
      </c>
      <c r="U616" t="s">
        <v>226</v>
      </c>
      <c r="V616" t="s">
        <v>321</v>
      </c>
      <c r="W616" t="s">
        <v>156</v>
      </c>
      <c r="AA616">
        <v>0.5</v>
      </c>
      <c r="AB616" t="s">
        <v>100</v>
      </c>
      <c r="AC616" t="s">
        <v>263</v>
      </c>
      <c r="AE616" t="str">
        <f t="shared" si="9"/>
        <v>Delaney</v>
      </c>
      <c r="AF616">
        <v>0</v>
      </c>
      <c r="AG616">
        <v>0</v>
      </c>
      <c r="AH616">
        <v>1</v>
      </c>
      <c r="AI616">
        <v>0</v>
      </c>
      <c r="AJ616">
        <v>0</v>
      </c>
    </row>
    <row r="617" spans="2:38" ht="15" customHeight="1" x14ac:dyDescent="0.2">
      <c r="B617" t="s">
        <v>300</v>
      </c>
      <c r="D617">
        <v>9</v>
      </c>
      <c r="E617" t="s">
        <v>521</v>
      </c>
      <c r="F617" t="s">
        <v>268</v>
      </c>
      <c r="G617" s="15">
        <v>44757</v>
      </c>
      <c r="H617" t="s">
        <v>144</v>
      </c>
      <c r="I617" t="s">
        <v>218</v>
      </c>
      <c r="J617" t="s">
        <v>219</v>
      </c>
      <c r="K617">
        <v>9</v>
      </c>
      <c r="L617" t="s">
        <v>112</v>
      </c>
      <c r="M617" t="s">
        <v>220</v>
      </c>
      <c r="N617" t="s">
        <v>170</v>
      </c>
      <c r="O617">
        <v>70.5</v>
      </c>
      <c r="P617">
        <v>134</v>
      </c>
      <c r="Q617">
        <v>6389</v>
      </c>
      <c r="R617" t="s">
        <v>303</v>
      </c>
      <c r="S617" t="s">
        <v>303</v>
      </c>
      <c r="U617" t="s">
        <v>226</v>
      </c>
      <c r="V617" t="s">
        <v>135</v>
      </c>
      <c r="W617" t="s">
        <v>156</v>
      </c>
      <c r="AA617">
        <v>0.5</v>
      </c>
      <c r="AB617" t="s">
        <v>100</v>
      </c>
      <c r="AC617" t="s">
        <v>263</v>
      </c>
      <c r="AE617" t="str">
        <f t="shared" si="9"/>
        <v>Shively</v>
      </c>
      <c r="AF617">
        <v>0</v>
      </c>
      <c r="AG617">
        <v>0</v>
      </c>
      <c r="AH617">
        <v>1</v>
      </c>
      <c r="AI617">
        <v>0</v>
      </c>
      <c r="AJ617">
        <v>0</v>
      </c>
    </row>
    <row r="618" spans="2:38" ht="15" customHeight="1" x14ac:dyDescent="0.2">
      <c r="B618" t="s">
        <v>300</v>
      </c>
      <c r="D618">
        <v>9</v>
      </c>
      <c r="E618" t="s">
        <v>521</v>
      </c>
      <c r="F618" t="s">
        <v>268</v>
      </c>
      <c r="G618" s="15">
        <v>44757</v>
      </c>
      <c r="H618" t="s">
        <v>144</v>
      </c>
      <c r="I618" t="s">
        <v>218</v>
      </c>
      <c r="J618" t="s">
        <v>219</v>
      </c>
      <c r="K618">
        <v>9</v>
      </c>
      <c r="L618" t="s">
        <v>112</v>
      </c>
      <c r="M618" t="s">
        <v>220</v>
      </c>
      <c r="N618" t="s">
        <v>170</v>
      </c>
      <c r="O618">
        <v>70.5</v>
      </c>
      <c r="P618">
        <v>134</v>
      </c>
      <c r="Q618">
        <v>6389</v>
      </c>
      <c r="R618" t="s">
        <v>303</v>
      </c>
      <c r="S618" t="s">
        <v>303</v>
      </c>
      <c r="U618" t="s">
        <v>226</v>
      </c>
      <c r="V618" t="s">
        <v>179</v>
      </c>
      <c r="W618" t="s">
        <v>156</v>
      </c>
      <c r="AA618">
        <v>0.5</v>
      </c>
      <c r="AB618" t="s">
        <v>100</v>
      </c>
      <c r="AC618" t="s">
        <v>263</v>
      </c>
      <c r="AE618" t="str">
        <f t="shared" si="9"/>
        <v>Cole</v>
      </c>
      <c r="AF618">
        <v>0</v>
      </c>
      <c r="AG618">
        <v>0</v>
      </c>
      <c r="AH618">
        <v>1</v>
      </c>
      <c r="AI618">
        <v>0</v>
      </c>
      <c r="AJ618">
        <v>0</v>
      </c>
    </row>
    <row r="619" spans="2:38" ht="15" customHeight="1" x14ac:dyDescent="0.2">
      <c r="B619" t="s">
        <v>300</v>
      </c>
      <c r="D619">
        <v>9</v>
      </c>
      <c r="E619" t="s">
        <v>521</v>
      </c>
      <c r="F619" t="s">
        <v>268</v>
      </c>
      <c r="G619" s="15">
        <v>44757</v>
      </c>
      <c r="H619" t="s">
        <v>144</v>
      </c>
      <c r="I619" t="s">
        <v>218</v>
      </c>
      <c r="J619" t="s">
        <v>219</v>
      </c>
      <c r="K619">
        <v>9</v>
      </c>
      <c r="L619" t="s">
        <v>112</v>
      </c>
      <c r="M619" t="s">
        <v>220</v>
      </c>
      <c r="N619" t="s">
        <v>170</v>
      </c>
      <c r="O619">
        <v>70.5</v>
      </c>
      <c r="P619">
        <v>134</v>
      </c>
      <c r="Q619">
        <v>6389</v>
      </c>
      <c r="R619" t="s">
        <v>303</v>
      </c>
      <c r="S619" t="s">
        <v>303</v>
      </c>
      <c r="U619" t="s">
        <v>226</v>
      </c>
      <c r="V619" t="s">
        <v>122</v>
      </c>
      <c r="W619" t="s">
        <v>156</v>
      </c>
      <c r="AA619">
        <v>0.5</v>
      </c>
      <c r="AB619" t="s">
        <v>100</v>
      </c>
      <c r="AC619" t="s">
        <v>263</v>
      </c>
      <c r="AE619" t="str">
        <f t="shared" si="9"/>
        <v>Hilts</v>
      </c>
      <c r="AF619">
        <v>0</v>
      </c>
      <c r="AG619">
        <v>0</v>
      </c>
      <c r="AH619">
        <v>1</v>
      </c>
      <c r="AI619">
        <v>0</v>
      </c>
      <c r="AJ619">
        <v>0</v>
      </c>
    </row>
    <row r="620" spans="2:38" ht="15" customHeight="1" x14ac:dyDescent="0.2">
      <c r="B620" t="s">
        <v>300</v>
      </c>
      <c r="D620">
        <v>9</v>
      </c>
      <c r="E620" t="s">
        <v>521</v>
      </c>
      <c r="F620" t="s">
        <v>268</v>
      </c>
      <c r="G620" s="15">
        <v>44757</v>
      </c>
      <c r="H620" t="s">
        <v>144</v>
      </c>
      <c r="I620" t="s">
        <v>218</v>
      </c>
      <c r="J620" t="s">
        <v>219</v>
      </c>
      <c r="K620">
        <v>9</v>
      </c>
      <c r="L620" t="s">
        <v>112</v>
      </c>
      <c r="M620" t="s">
        <v>220</v>
      </c>
      <c r="N620" t="s">
        <v>170</v>
      </c>
      <c r="O620">
        <v>70.5</v>
      </c>
      <c r="P620">
        <v>134</v>
      </c>
      <c r="Q620">
        <v>6389</v>
      </c>
      <c r="R620" t="s">
        <v>303</v>
      </c>
      <c r="S620" t="s">
        <v>303</v>
      </c>
      <c r="U620" t="s">
        <v>226</v>
      </c>
      <c r="V620" t="s">
        <v>178</v>
      </c>
      <c r="W620" t="s">
        <v>156</v>
      </c>
      <c r="AA620">
        <v>0.5</v>
      </c>
      <c r="AB620" t="s">
        <v>100</v>
      </c>
      <c r="AC620" t="s">
        <v>263</v>
      </c>
      <c r="AE620" t="str">
        <f t="shared" si="9"/>
        <v>Connors</v>
      </c>
      <c r="AF620">
        <v>0</v>
      </c>
      <c r="AG620">
        <v>0</v>
      </c>
      <c r="AH620">
        <v>1</v>
      </c>
      <c r="AI620">
        <v>0</v>
      </c>
      <c r="AJ620">
        <v>0</v>
      </c>
    </row>
    <row r="621" spans="2:38" ht="15" customHeight="1" x14ac:dyDescent="0.2">
      <c r="B621">
        <v>21</v>
      </c>
      <c r="C621">
        <v>1</v>
      </c>
      <c r="D621">
        <v>9</v>
      </c>
      <c r="E621" t="s">
        <v>522</v>
      </c>
      <c r="F621" t="s">
        <v>108</v>
      </c>
      <c r="G621" s="15">
        <v>44758</v>
      </c>
      <c r="H621" t="s">
        <v>109</v>
      </c>
      <c r="I621" t="s">
        <v>218</v>
      </c>
      <c r="J621" t="s">
        <v>219</v>
      </c>
      <c r="K621">
        <v>18</v>
      </c>
      <c r="L621" t="s">
        <v>154</v>
      </c>
      <c r="M621" t="s">
        <v>220</v>
      </c>
      <c r="N621" t="s">
        <v>170</v>
      </c>
      <c r="O621">
        <v>70.5</v>
      </c>
      <c r="P621">
        <v>134</v>
      </c>
      <c r="Q621">
        <v>6389</v>
      </c>
      <c r="R621" t="s">
        <v>157</v>
      </c>
      <c r="S621" t="s">
        <v>158</v>
      </c>
      <c r="U621" t="s">
        <v>226</v>
      </c>
      <c r="V621" t="s">
        <v>123</v>
      </c>
      <c r="AA621">
        <v>2</v>
      </c>
      <c r="AB621" t="s">
        <v>99</v>
      </c>
      <c r="AC621" t="s">
        <v>225</v>
      </c>
      <c r="AD621" t="s">
        <v>118</v>
      </c>
      <c r="AE621" t="str">
        <f t="shared" si="9"/>
        <v>Lynch</v>
      </c>
      <c r="AF621">
        <v>2</v>
      </c>
      <c r="AG621">
        <v>1</v>
      </c>
      <c r="AH621">
        <v>0</v>
      </c>
      <c r="AI621">
        <v>0</v>
      </c>
      <c r="AJ621">
        <v>1</v>
      </c>
      <c r="AK621" t="s">
        <v>118</v>
      </c>
      <c r="AL621">
        <v>0.6171875</v>
      </c>
    </row>
    <row r="622" spans="2:38" ht="15" customHeight="1" x14ac:dyDescent="0.2">
      <c r="B622">
        <v>21</v>
      </c>
      <c r="C622">
        <v>2</v>
      </c>
      <c r="D622">
        <v>9</v>
      </c>
      <c r="E622" t="s">
        <v>523</v>
      </c>
      <c r="F622" t="s">
        <v>108</v>
      </c>
      <c r="G622" s="15">
        <v>44758</v>
      </c>
      <c r="H622" t="s">
        <v>109</v>
      </c>
      <c r="I622" t="s">
        <v>218</v>
      </c>
      <c r="J622" t="s">
        <v>219</v>
      </c>
      <c r="K622">
        <v>18</v>
      </c>
      <c r="L622" t="s">
        <v>154</v>
      </c>
      <c r="M622" t="s">
        <v>220</v>
      </c>
      <c r="N622" t="s">
        <v>170</v>
      </c>
      <c r="O622">
        <v>70.5</v>
      </c>
      <c r="P622">
        <v>134</v>
      </c>
      <c r="Q622">
        <v>6389</v>
      </c>
      <c r="R622" t="s">
        <v>157</v>
      </c>
      <c r="S622" t="s">
        <v>158</v>
      </c>
      <c r="U622" t="s">
        <v>226</v>
      </c>
      <c r="V622" t="s">
        <v>179</v>
      </c>
      <c r="AA622">
        <v>2</v>
      </c>
      <c r="AB622" t="s">
        <v>100</v>
      </c>
      <c r="AC622" t="s">
        <v>263</v>
      </c>
      <c r="AD622" t="s">
        <v>127</v>
      </c>
      <c r="AE622" t="str">
        <f t="shared" si="9"/>
        <v>Cole</v>
      </c>
      <c r="AF622">
        <v>0</v>
      </c>
      <c r="AG622">
        <v>0</v>
      </c>
      <c r="AH622">
        <v>1</v>
      </c>
      <c r="AI622">
        <v>0</v>
      </c>
      <c r="AJ622">
        <v>0</v>
      </c>
      <c r="AK622" t="s">
        <v>127</v>
      </c>
      <c r="AL622">
        <v>0.59523809523809501</v>
      </c>
    </row>
    <row r="623" spans="2:38" ht="15" customHeight="1" x14ac:dyDescent="0.2">
      <c r="B623">
        <v>22</v>
      </c>
      <c r="C623">
        <v>3</v>
      </c>
      <c r="D623">
        <v>9</v>
      </c>
      <c r="E623" t="s">
        <v>524</v>
      </c>
      <c r="F623" t="s">
        <v>108</v>
      </c>
      <c r="G623" s="15">
        <v>44758</v>
      </c>
      <c r="H623" t="s">
        <v>109</v>
      </c>
      <c r="I623" t="s">
        <v>218</v>
      </c>
      <c r="J623" t="s">
        <v>219</v>
      </c>
      <c r="K623">
        <v>18</v>
      </c>
      <c r="L623" t="s">
        <v>154</v>
      </c>
      <c r="M623" t="s">
        <v>220</v>
      </c>
      <c r="N623" t="s">
        <v>170</v>
      </c>
      <c r="O623">
        <v>70.5</v>
      </c>
      <c r="P623">
        <v>134</v>
      </c>
      <c r="Q623">
        <v>6389</v>
      </c>
      <c r="R623" t="s">
        <v>157</v>
      </c>
      <c r="S623" t="s">
        <v>158</v>
      </c>
      <c r="U623" t="s">
        <v>226</v>
      </c>
      <c r="V623" t="s">
        <v>135</v>
      </c>
      <c r="AA623">
        <v>2</v>
      </c>
      <c r="AB623" t="s">
        <v>100</v>
      </c>
      <c r="AC623" t="s">
        <v>304</v>
      </c>
      <c r="AD623" t="s">
        <v>227</v>
      </c>
      <c r="AE623" t="str">
        <f t="shared" si="9"/>
        <v>Shively</v>
      </c>
      <c r="AF623">
        <v>0</v>
      </c>
      <c r="AG623">
        <v>0</v>
      </c>
      <c r="AH623">
        <v>1</v>
      </c>
      <c r="AI623">
        <v>0</v>
      </c>
      <c r="AJ623">
        <v>0</v>
      </c>
      <c r="AK623" t="s">
        <v>227</v>
      </c>
      <c r="AL623">
        <v>0.5</v>
      </c>
    </row>
    <row r="624" spans="2:38" ht="15" customHeight="1" x14ac:dyDescent="0.2">
      <c r="B624">
        <v>22</v>
      </c>
      <c r="C624">
        <v>4</v>
      </c>
      <c r="D624">
        <v>9</v>
      </c>
      <c r="E624" t="s">
        <v>525</v>
      </c>
      <c r="F624" t="s">
        <v>108</v>
      </c>
      <c r="G624" s="15">
        <v>44758</v>
      </c>
      <c r="H624" t="s">
        <v>109</v>
      </c>
      <c r="I624" t="s">
        <v>218</v>
      </c>
      <c r="J624" t="s">
        <v>219</v>
      </c>
      <c r="K624">
        <v>18</v>
      </c>
      <c r="L624" t="s">
        <v>154</v>
      </c>
      <c r="M624" t="s">
        <v>220</v>
      </c>
      <c r="N624" t="s">
        <v>170</v>
      </c>
      <c r="O624">
        <v>70.5</v>
      </c>
      <c r="P624">
        <v>134</v>
      </c>
      <c r="Q624">
        <v>6389</v>
      </c>
      <c r="R624" t="s">
        <v>157</v>
      </c>
      <c r="S624" t="s">
        <v>158</v>
      </c>
      <c r="U624" t="s">
        <v>226</v>
      </c>
      <c r="V624" t="s">
        <v>456</v>
      </c>
      <c r="AA624">
        <v>2</v>
      </c>
      <c r="AB624" t="s">
        <v>99</v>
      </c>
      <c r="AC624" t="s">
        <v>526</v>
      </c>
      <c r="AD624" t="s">
        <v>176</v>
      </c>
      <c r="AE624" t="str">
        <f t="shared" si="9"/>
        <v>Perkins</v>
      </c>
      <c r="AF624">
        <v>2</v>
      </c>
      <c r="AG624">
        <v>1</v>
      </c>
      <c r="AH624">
        <v>0</v>
      </c>
      <c r="AI624">
        <v>0</v>
      </c>
      <c r="AJ624">
        <v>1</v>
      </c>
      <c r="AK624" t="s">
        <v>176</v>
      </c>
      <c r="AL624">
        <v>0.59649122807017496</v>
      </c>
    </row>
    <row r="625" spans="2:38" ht="15" customHeight="1" x14ac:dyDescent="0.2">
      <c r="B625">
        <v>23</v>
      </c>
      <c r="C625">
        <v>5</v>
      </c>
      <c r="D625">
        <v>9</v>
      </c>
      <c r="E625" t="s">
        <v>527</v>
      </c>
      <c r="F625" t="s">
        <v>108</v>
      </c>
      <c r="G625" s="15">
        <v>44758</v>
      </c>
      <c r="H625" t="s">
        <v>109</v>
      </c>
      <c r="I625" t="s">
        <v>218</v>
      </c>
      <c r="J625" t="s">
        <v>219</v>
      </c>
      <c r="K625">
        <v>18</v>
      </c>
      <c r="L625" t="s">
        <v>154</v>
      </c>
      <c r="M625" t="s">
        <v>220</v>
      </c>
      <c r="N625" t="s">
        <v>170</v>
      </c>
      <c r="O625">
        <v>70.5</v>
      </c>
      <c r="P625">
        <v>134</v>
      </c>
      <c r="Q625">
        <v>6389</v>
      </c>
      <c r="R625" t="s">
        <v>157</v>
      </c>
      <c r="S625" t="s">
        <v>158</v>
      </c>
      <c r="U625" t="s">
        <v>226</v>
      </c>
      <c r="V625" t="s">
        <v>1308</v>
      </c>
      <c r="AA625">
        <v>2</v>
      </c>
      <c r="AB625" t="s">
        <v>100</v>
      </c>
      <c r="AC625" t="s">
        <v>313</v>
      </c>
      <c r="AD625" t="s">
        <v>272</v>
      </c>
      <c r="AE625" t="str">
        <f t="shared" si="9"/>
        <v>Connolly</v>
      </c>
      <c r="AF625">
        <v>0</v>
      </c>
      <c r="AG625">
        <v>0</v>
      </c>
      <c r="AH625">
        <v>1</v>
      </c>
      <c r="AI625">
        <v>0</v>
      </c>
      <c r="AJ625">
        <v>0</v>
      </c>
      <c r="AK625" t="s">
        <v>272</v>
      </c>
      <c r="AL625">
        <v>0.51041666666666696</v>
      </c>
    </row>
    <row r="626" spans="2:38" ht="15" customHeight="1" x14ac:dyDescent="0.2">
      <c r="B626">
        <v>23</v>
      </c>
      <c r="C626">
        <v>6</v>
      </c>
      <c r="D626">
        <v>9</v>
      </c>
      <c r="E626" t="s">
        <v>528</v>
      </c>
      <c r="F626" t="s">
        <v>108</v>
      </c>
      <c r="G626" s="15">
        <v>44758</v>
      </c>
      <c r="H626" t="s">
        <v>109</v>
      </c>
      <c r="I626" t="s">
        <v>218</v>
      </c>
      <c r="J626" t="s">
        <v>219</v>
      </c>
      <c r="K626">
        <v>18</v>
      </c>
      <c r="L626" t="s">
        <v>154</v>
      </c>
      <c r="M626" t="s">
        <v>220</v>
      </c>
      <c r="N626" t="s">
        <v>170</v>
      </c>
      <c r="O626">
        <v>70.5</v>
      </c>
      <c r="P626">
        <v>134</v>
      </c>
      <c r="Q626">
        <v>6389</v>
      </c>
      <c r="R626" t="s">
        <v>157</v>
      </c>
      <c r="S626" t="s">
        <v>158</v>
      </c>
      <c r="U626" t="s">
        <v>226</v>
      </c>
      <c r="V626" t="s">
        <v>231</v>
      </c>
      <c r="AA626">
        <v>2</v>
      </c>
      <c r="AB626" t="s">
        <v>99</v>
      </c>
      <c r="AC626" t="s">
        <v>222</v>
      </c>
      <c r="AD626" t="s">
        <v>119</v>
      </c>
      <c r="AE626" t="str">
        <f t="shared" si="9"/>
        <v>McInerney</v>
      </c>
      <c r="AF626">
        <v>2</v>
      </c>
      <c r="AG626">
        <v>1</v>
      </c>
      <c r="AH626">
        <v>0</v>
      </c>
      <c r="AI626">
        <v>0</v>
      </c>
      <c r="AJ626">
        <v>1</v>
      </c>
      <c r="AK626" t="s">
        <v>119</v>
      </c>
      <c r="AL626">
        <v>0.546875</v>
      </c>
    </row>
    <row r="627" spans="2:38" ht="15" customHeight="1" x14ac:dyDescent="0.2">
      <c r="B627">
        <v>24</v>
      </c>
      <c r="C627">
        <v>7</v>
      </c>
      <c r="D627">
        <v>9</v>
      </c>
      <c r="E627" t="s">
        <v>529</v>
      </c>
      <c r="F627" t="s">
        <v>108</v>
      </c>
      <c r="G627" s="15">
        <v>44758</v>
      </c>
      <c r="H627" t="s">
        <v>109</v>
      </c>
      <c r="I627" t="s">
        <v>218</v>
      </c>
      <c r="J627" t="s">
        <v>219</v>
      </c>
      <c r="K627">
        <v>18</v>
      </c>
      <c r="L627" t="s">
        <v>154</v>
      </c>
      <c r="M627" t="s">
        <v>220</v>
      </c>
      <c r="N627" t="s">
        <v>170</v>
      </c>
      <c r="O627">
        <v>70.5</v>
      </c>
      <c r="P627">
        <v>134</v>
      </c>
      <c r="Q627">
        <v>6389</v>
      </c>
      <c r="R627" t="s">
        <v>157</v>
      </c>
      <c r="S627" t="s">
        <v>158</v>
      </c>
      <c r="U627" t="s">
        <v>226</v>
      </c>
      <c r="V627" t="s">
        <v>122</v>
      </c>
      <c r="AA627">
        <v>2</v>
      </c>
      <c r="AB627" t="s">
        <v>100</v>
      </c>
      <c r="AC627" t="s">
        <v>263</v>
      </c>
      <c r="AD627" t="s">
        <v>172</v>
      </c>
      <c r="AE627" t="str">
        <f t="shared" si="9"/>
        <v>Hilts</v>
      </c>
      <c r="AF627">
        <v>0</v>
      </c>
      <c r="AG627">
        <v>0</v>
      </c>
      <c r="AH627">
        <v>1</v>
      </c>
      <c r="AI627">
        <v>0</v>
      </c>
      <c r="AJ627">
        <v>0</v>
      </c>
      <c r="AK627" t="s">
        <v>172</v>
      </c>
      <c r="AL627">
        <v>0.37288135593220301</v>
      </c>
    </row>
    <row r="628" spans="2:38" ht="15" customHeight="1" x14ac:dyDescent="0.2">
      <c r="B628">
        <v>24</v>
      </c>
      <c r="C628">
        <v>8</v>
      </c>
      <c r="D628">
        <v>9</v>
      </c>
      <c r="E628" t="s">
        <v>530</v>
      </c>
      <c r="F628" t="s">
        <v>108</v>
      </c>
      <c r="G628" s="15">
        <v>44758</v>
      </c>
      <c r="H628" t="s">
        <v>109</v>
      </c>
      <c r="I628" t="s">
        <v>218</v>
      </c>
      <c r="J628" t="s">
        <v>219</v>
      </c>
      <c r="K628">
        <v>18</v>
      </c>
      <c r="L628" t="s">
        <v>154</v>
      </c>
      <c r="M628" t="s">
        <v>220</v>
      </c>
      <c r="N628" t="s">
        <v>170</v>
      </c>
      <c r="O628">
        <v>70.5</v>
      </c>
      <c r="P628">
        <v>134</v>
      </c>
      <c r="Q628">
        <v>6389</v>
      </c>
      <c r="R628" t="s">
        <v>157</v>
      </c>
      <c r="S628" t="s">
        <v>158</v>
      </c>
      <c r="U628" t="s">
        <v>226</v>
      </c>
      <c r="V628" t="s">
        <v>132</v>
      </c>
      <c r="AA628">
        <v>2</v>
      </c>
      <c r="AB628" t="s">
        <v>101</v>
      </c>
      <c r="AC628" t="s">
        <v>139</v>
      </c>
      <c r="AD628" t="s">
        <v>130</v>
      </c>
      <c r="AE628" t="str">
        <f t="shared" si="9"/>
        <v>Flanders</v>
      </c>
      <c r="AF628">
        <v>1</v>
      </c>
      <c r="AG628">
        <v>0</v>
      </c>
      <c r="AH628">
        <v>0</v>
      </c>
      <c r="AI628">
        <v>1</v>
      </c>
      <c r="AJ628">
        <v>0.5</v>
      </c>
      <c r="AK628" t="s">
        <v>130</v>
      </c>
      <c r="AL628">
        <v>0.48611111111111099</v>
      </c>
    </row>
    <row r="629" spans="2:38" ht="15" customHeight="1" x14ac:dyDescent="0.2">
      <c r="B629">
        <v>25</v>
      </c>
      <c r="C629">
        <v>9</v>
      </c>
      <c r="D629">
        <v>9</v>
      </c>
      <c r="E629" t="s">
        <v>531</v>
      </c>
      <c r="F629" t="s">
        <v>108</v>
      </c>
      <c r="G629" s="15">
        <v>44758</v>
      </c>
      <c r="H629" t="s">
        <v>109</v>
      </c>
      <c r="I629" t="s">
        <v>218</v>
      </c>
      <c r="J629" t="s">
        <v>219</v>
      </c>
      <c r="K629">
        <v>18</v>
      </c>
      <c r="L629" t="s">
        <v>154</v>
      </c>
      <c r="M629" t="s">
        <v>220</v>
      </c>
      <c r="N629" t="s">
        <v>170</v>
      </c>
      <c r="O629">
        <v>70.5</v>
      </c>
      <c r="P629">
        <v>134</v>
      </c>
      <c r="Q629">
        <v>6389</v>
      </c>
      <c r="R629" t="s">
        <v>157</v>
      </c>
      <c r="S629" t="s">
        <v>158</v>
      </c>
      <c r="U629" t="s">
        <v>226</v>
      </c>
      <c r="V629" t="s">
        <v>321</v>
      </c>
      <c r="AA629">
        <v>2</v>
      </c>
      <c r="AB629" t="s">
        <v>99</v>
      </c>
      <c r="AC629" t="s">
        <v>313</v>
      </c>
      <c r="AD629" t="s">
        <v>452</v>
      </c>
      <c r="AE629" t="str">
        <f t="shared" si="9"/>
        <v>Delaney</v>
      </c>
      <c r="AF629">
        <v>2</v>
      </c>
      <c r="AG629">
        <v>1</v>
      </c>
      <c r="AH629">
        <v>0</v>
      </c>
      <c r="AI629">
        <v>0</v>
      </c>
      <c r="AJ629">
        <v>1</v>
      </c>
      <c r="AK629" t="s">
        <v>452</v>
      </c>
      <c r="AL629">
        <v>0.65909090909090895</v>
      </c>
    </row>
    <row r="630" spans="2:38" ht="15" customHeight="1" x14ac:dyDescent="0.2">
      <c r="B630">
        <v>25</v>
      </c>
      <c r="C630">
        <v>10</v>
      </c>
      <c r="D630">
        <v>9</v>
      </c>
      <c r="E630" t="s">
        <v>1286</v>
      </c>
      <c r="F630" t="s">
        <v>108</v>
      </c>
      <c r="G630" s="15">
        <v>44758</v>
      </c>
      <c r="H630" t="s">
        <v>109</v>
      </c>
      <c r="I630" t="s">
        <v>218</v>
      </c>
      <c r="J630" t="s">
        <v>219</v>
      </c>
      <c r="K630">
        <v>18</v>
      </c>
      <c r="L630" t="s">
        <v>154</v>
      </c>
      <c r="M630" t="s">
        <v>220</v>
      </c>
      <c r="N630" t="s">
        <v>170</v>
      </c>
      <c r="O630">
        <v>70.5</v>
      </c>
      <c r="P630">
        <v>134</v>
      </c>
      <c r="Q630">
        <v>6389</v>
      </c>
      <c r="R630" t="s">
        <v>157</v>
      </c>
      <c r="S630" t="s">
        <v>158</v>
      </c>
      <c r="U630" t="s">
        <v>226</v>
      </c>
      <c r="V630" t="s">
        <v>178</v>
      </c>
      <c r="AA630">
        <v>2</v>
      </c>
      <c r="AB630" t="s">
        <v>101</v>
      </c>
      <c r="AC630" t="s">
        <v>139</v>
      </c>
      <c r="AD630" t="s">
        <v>1285</v>
      </c>
      <c r="AE630" t="str">
        <f t="shared" si="9"/>
        <v>Connors</v>
      </c>
      <c r="AF630">
        <v>1</v>
      </c>
      <c r="AG630">
        <v>0</v>
      </c>
      <c r="AH630">
        <v>0</v>
      </c>
      <c r="AI630">
        <v>1</v>
      </c>
      <c r="AJ630">
        <v>0.5</v>
      </c>
      <c r="AK630" t="s">
        <v>1285</v>
      </c>
      <c r="AL630">
        <v>0.54545454545454497</v>
      </c>
    </row>
    <row r="631" spans="2:38" ht="15" customHeight="1" x14ac:dyDescent="0.2">
      <c r="B631">
        <v>26</v>
      </c>
      <c r="C631">
        <v>1</v>
      </c>
      <c r="D631">
        <v>9</v>
      </c>
      <c r="E631" t="s">
        <v>522</v>
      </c>
      <c r="F631" t="s">
        <v>108</v>
      </c>
      <c r="G631" s="15">
        <v>44758</v>
      </c>
      <c r="H631" t="s">
        <v>109</v>
      </c>
      <c r="I631" t="s">
        <v>218</v>
      </c>
      <c r="J631" t="s">
        <v>219</v>
      </c>
      <c r="K631">
        <v>18</v>
      </c>
      <c r="L631" t="s">
        <v>154</v>
      </c>
      <c r="M631" t="s">
        <v>220</v>
      </c>
      <c r="N631" t="s">
        <v>170</v>
      </c>
      <c r="O631">
        <v>70.5</v>
      </c>
      <c r="P631">
        <v>134</v>
      </c>
      <c r="Q631">
        <v>6389</v>
      </c>
      <c r="R631" t="s">
        <v>157</v>
      </c>
      <c r="S631" t="s">
        <v>158</v>
      </c>
      <c r="U631" t="s">
        <v>227</v>
      </c>
      <c r="V631" t="s">
        <v>118</v>
      </c>
      <c r="AA631">
        <v>2</v>
      </c>
      <c r="AB631" t="s">
        <v>100</v>
      </c>
      <c r="AC631" t="s">
        <v>225</v>
      </c>
      <c r="AD631" t="s">
        <v>123</v>
      </c>
      <c r="AE631" t="str">
        <f t="shared" si="9"/>
        <v>Jackson</v>
      </c>
      <c r="AF631">
        <v>0</v>
      </c>
      <c r="AG631">
        <v>0</v>
      </c>
      <c r="AH631">
        <v>1</v>
      </c>
      <c r="AI631">
        <v>0</v>
      </c>
      <c r="AJ631">
        <v>0</v>
      </c>
      <c r="AK631" t="s">
        <v>123</v>
      </c>
      <c r="AL631">
        <v>0.5546875</v>
      </c>
    </row>
    <row r="632" spans="2:38" ht="15" customHeight="1" x14ac:dyDescent="0.2">
      <c r="B632">
        <v>26</v>
      </c>
      <c r="C632">
        <v>2</v>
      </c>
      <c r="D632">
        <v>9</v>
      </c>
      <c r="E632" t="s">
        <v>523</v>
      </c>
      <c r="F632" t="s">
        <v>108</v>
      </c>
      <c r="G632" s="15">
        <v>44758</v>
      </c>
      <c r="H632" t="s">
        <v>109</v>
      </c>
      <c r="I632" t="s">
        <v>218</v>
      </c>
      <c r="J632" t="s">
        <v>219</v>
      </c>
      <c r="K632">
        <v>18</v>
      </c>
      <c r="L632" t="s">
        <v>154</v>
      </c>
      <c r="M632" t="s">
        <v>220</v>
      </c>
      <c r="N632" t="s">
        <v>170</v>
      </c>
      <c r="O632">
        <v>70.5</v>
      </c>
      <c r="P632">
        <v>134</v>
      </c>
      <c r="Q632">
        <v>6389</v>
      </c>
      <c r="R632" t="s">
        <v>157</v>
      </c>
      <c r="S632" t="s">
        <v>158</v>
      </c>
      <c r="U632" t="s">
        <v>227</v>
      </c>
      <c r="V632" t="s">
        <v>127</v>
      </c>
      <c r="AA632">
        <v>2</v>
      </c>
      <c r="AB632" t="s">
        <v>99</v>
      </c>
      <c r="AC632" t="s">
        <v>263</v>
      </c>
      <c r="AD632" t="s">
        <v>179</v>
      </c>
      <c r="AE632" t="str">
        <f t="shared" si="9"/>
        <v>Ferrin</v>
      </c>
      <c r="AF632">
        <v>2</v>
      </c>
      <c r="AG632">
        <v>1</v>
      </c>
      <c r="AH632">
        <v>0</v>
      </c>
      <c r="AI632">
        <v>0</v>
      </c>
      <c r="AJ632">
        <v>1</v>
      </c>
      <c r="AK632" t="s">
        <v>179</v>
      </c>
      <c r="AL632">
        <v>0.44067796610169502</v>
      </c>
    </row>
    <row r="633" spans="2:38" ht="15" customHeight="1" x14ac:dyDescent="0.2">
      <c r="B633">
        <v>27</v>
      </c>
      <c r="C633">
        <v>3</v>
      </c>
      <c r="D633">
        <v>9</v>
      </c>
      <c r="E633" t="s">
        <v>524</v>
      </c>
      <c r="F633" t="s">
        <v>108</v>
      </c>
      <c r="G633" s="15">
        <v>44758</v>
      </c>
      <c r="H633" t="s">
        <v>109</v>
      </c>
      <c r="I633" t="s">
        <v>218</v>
      </c>
      <c r="J633" t="s">
        <v>219</v>
      </c>
      <c r="K633">
        <v>18</v>
      </c>
      <c r="L633" t="s">
        <v>154</v>
      </c>
      <c r="M633" t="s">
        <v>220</v>
      </c>
      <c r="N633" t="s">
        <v>170</v>
      </c>
      <c r="O633">
        <v>70.5</v>
      </c>
      <c r="P633">
        <v>134</v>
      </c>
      <c r="Q633">
        <v>6389</v>
      </c>
      <c r="R633" t="s">
        <v>157</v>
      </c>
      <c r="S633" t="s">
        <v>158</v>
      </c>
      <c r="U633" t="s">
        <v>227</v>
      </c>
      <c r="V633" t="s">
        <v>227</v>
      </c>
      <c r="AA633">
        <v>2</v>
      </c>
      <c r="AB633" t="s">
        <v>99</v>
      </c>
      <c r="AC633" t="s">
        <v>304</v>
      </c>
      <c r="AD633" t="s">
        <v>135</v>
      </c>
      <c r="AE633" t="str">
        <f t="shared" si="9"/>
        <v>Zimmer</v>
      </c>
      <c r="AF633">
        <v>2</v>
      </c>
      <c r="AG633">
        <v>1</v>
      </c>
      <c r="AH633">
        <v>0</v>
      </c>
      <c r="AI633">
        <v>0</v>
      </c>
      <c r="AJ633">
        <v>1</v>
      </c>
      <c r="AK633" t="s">
        <v>135</v>
      </c>
    </row>
    <row r="634" spans="2:38" ht="15" customHeight="1" x14ac:dyDescent="0.2">
      <c r="B634">
        <v>27</v>
      </c>
      <c r="C634">
        <v>4</v>
      </c>
      <c r="D634">
        <v>9</v>
      </c>
      <c r="E634" t="s">
        <v>525</v>
      </c>
      <c r="F634" t="s">
        <v>108</v>
      </c>
      <c r="G634" s="15">
        <v>44758</v>
      </c>
      <c r="H634" t="s">
        <v>109</v>
      </c>
      <c r="I634" t="s">
        <v>218</v>
      </c>
      <c r="J634" t="s">
        <v>219</v>
      </c>
      <c r="K634">
        <v>18</v>
      </c>
      <c r="L634" t="s">
        <v>154</v>
      </c>
      <c r="M634" t="s">
        <v>220</v>
      </c>
      <c r="N634" t="s">
        <v>170</v>
      </c>
      <c r="O634">
        <v>70.5</v>
      </c>
      <c r="P634">
        <v>134</v>
      </c>
      <c r="Q634">
        <v>6389</v>
      </c>
      <c r="R634" t="s">
        <v>157</v>
      </c>
      <c r="S634" t="s">
        <v>158</v>
      </c>
      <c r="U634" t="s">
        <v>227</v>
      </c>
      <c r="V634" t="s">
        <v>176</v>
      </c>
      <c r="AA634">
        <v>2</v>
      </c>
      <c r="AB634" t="s">
        <v>100</v>
      </c>
      <c r="AC634" t="s">
        <v>526</v>
      </c>
      <c r="AD634" t="s">
        <v>456</v>
      </c>
      <c r="AE634" t="str">
        <f t="shared" si="9"/>
        <v>Forster</v>
      </c>
      <c r="AF634">
        <v>0</v>
      </c>
      <c r="AG634">
        <v>0</v>
      </c>
      <c r="AH634">
        <v>1</v>
      </c>
      <c r="AI634">
        <v>0</v>
      </c>
      <c r="AJ634">
        <v>0</v>
      </c>
      <c r="AK634" t="s">
        <v>456</v>
      </c>
      <c r="AL634">
        <v>0.63888888888888895</v>
      </c>
    </row>
    <row r="635" spans="2:38" ht="15" customHeight="1" x14ac:dyDescent="0.2">
      <c r="B635">
        <v>28</v>
      </c>
      <c r="C635">
        <v>5</v>
      </c>
      <c r="D635">
        <v>9</v>
      </c>
      <c r="E635" t="s">
        <v>527</v>
      </c>
      <c r="F635" t="s">
        <v>108</v>
      </c>
      <c r="G635" s="15">
        <v>44758</v>
      </c>
      <c r="H635" t="s">
        <v>109</v>
      </c>
      <c r="I635" t="s">
        <v>218</v>
      </c>
      <c r="J635" t="s">
        <v>219</v>
      </c>
      <c r="K635">
        <v>18</v>
      </c>
      <c r="L635" t="s">
        <v>154</v>
      </c>
      <c r="M635" t="s">
        <v>220</v>
      </c>
      <c r="N635" t="s">
        <v>170</v>
      </c>
      <c r="O635">
        <v>70.5</v>
      </c>
      <c r="P635">
        <v>134</v>
      </c>
      <c r="Q635">
        <v>6389</v>
      </c>
      <c r="R635" t="s">
        <v>157</v>
      </c>
      <c r="S635" t="s">
        <v>158</v>
      </c>
      <c r="U635" t="s">
        <v>227</v>
      </c>
      <c r="V635" t="s">
        <v>272</v>
      </c>
      <c r="AA635">
        <v>2</v>
      </c>
      <c r="AB635" t="s">
        <v>99</v>
      </c>
      <c r="AC635" t="s">
        <v>313</v>
      </c>
      <c r="AD635" t="s">
        <v>1308</v>
      </c>
      <c r="AE635" t="str">
        <f t="shared" si="9"/>
        <v>Welker</v>
      </c>
      <c r="AF635">
        <v>2</v>
      </c>
      <c r="AG635">
        <v>1</v>
      </c>
      <c r="AH635">
        <v>0</v>
      </c>
      <c r="AI635">
        <v>0</v>
      </c>
      <c r="AJ635">
        <v>1</v>
      </c>
      <c r="AK635" t="s">
        <v>1308</v>
      </c>
      <c r="AL635">
        <v>0.59375</v>
      </c>
    </row>
    <row r="636" spans="2:38" ht="15" customHeight="1" x14ac:dyDescent="0.2">
      <c r="B636">
        <v>28</v>
      </c>
      <c r="C636">
        <v>6</v>
      </c>
      <c r="D636">
        <v>9</v>
      </c>
      <c r="E636" t="s">
        <v>528</v>
      </c>
      <c r="F636" t="s">
        <v>108</v>
      </c>
      <c r="G636" s="15">
        <v>44758</v>
      </c>
      <c r="H636" t="s">
        <v>109</v>
      </c>
      <c r="I636" t="s">
        <v>218</v>
      </c>
      <c r="J636" t="s">
        <v>219</v>
      </c>
      <c r="K636">
        <v>18</v>
      </c>
      <c r="L636" t="s">
        <v>154</v>
      </c>
      <c r="M636" t="s">
        <v>220</v>
      </c>
      <c r="N636" t="s">
        <v>170</v>
      </c>
      <c r="O636">
        <v>70.5</v>
      </c>
      <c r="P636">
        <v>134</v>
      </c>
      <c r="Q636">
        <v>6389</v>
      </c>
      <c r="R636" t="s">
        <v>157</v>
      </c>
      <c r="S636" t="s">
        <v>158</v>
      </c>
      <c r="U636" t="s">
        <v>227</v>
      </c>
      <c r="V636" t="s">
        <v>119</v>
      </c>
      <c r="AA636">
        <v>2</v>
      </c>
      <c r="AB636" t="s">
        <v>100</v>
      </c>
      <c r="AC636" t="s">
        <v>222</v>
      </c>
      <c r="AD636" t="s">
        <v>231</v>
      </c>
      <c r="AE636" t="str">
        <f t="shared" si="9"/>
        <v>Grise</v>
      </c>
      <c r="AF636">
        <v>0</v>
      </c>
      <c r="AG636">
        <v>0</v>
      </c>
      <c r="AH636">
        <v>1</v>
      </c>
      <c r="AI636">
        <v>0</v>
      </c>
      <c r="AJ636">
        <v>0</v>
      </c>
      <c r="AK636" t="s">
        <v>231</v>
      </c>
      <c r="AL636">
        <v>0.5</v>
      </c>
    </row>
    <row r="637" spans="2:38" ht="15" customHeight="1" x14ac:dyDescent="0.2">
      <c r="B637">
        <v>29</v>
      </c>
      <c r="C637">
        <v>7</v>
      </c>
      <c r="D637">
        <v>9</v>
      </c>
      <c r="E637" t="s">
        <v>529</v>
      </c>
      <c r="F637" t="s">
        <v>108</v>
      </c>
      <c r="G637" s="15">
        <v>44758</v>
      </c>
      <c r="H637" t="s">
        <v>109</v>
      </c>
      <c r="I637" t="s">
        <v>218</v>
      </c>
      <c r="J637" t="s">
        <v>219</v>
      </c>
      <c r="K637">
        <v>18</v>
      </c>
      <c r="L637" t="s">
        <v>154</v>
      </c>
      <c r="M637" t="s">
        <v>220</v>
      </c>
      <c r="N637" t="s">
        <v>170</v>
      </c>
      <c r="O637">
        <v>70.5</v>
      </c>
      <c r="P637">
        <v>134</v>
      </c>
      <c r="Q637">
        <v>6389</v>
      </c>
      <c r="R637" t="s">
        <v>157</v>
      </c>
      <c r="S637" t="s">
        <v>158</v>
      </c>
      <c r="U637" t="s">
        <v>227</v>
      </c>
      <c r="V637" t="s">
        <v>172</v>
      </c>
      <c r="AA637">
        <v>2</v>
      </c>
      <c r="AB637" t="s">
        <v>99</v>
      </c>
      <c r="AC637" t="s">
        <v>263</v>
      </c>
      <c r="AD637" t="s">
        <v>122</v>
      </c>
      <c r="AE637" t="str">
        <f t="shared" si="9"/>
        <v>Fogan</v>
      </c>
      <c r="AF637">
        <v>2</v>
      </c>
      <c r="AG637">
        <v>1</v>
      </c>
      <c r="AH637">
        <v>0</v>
      </c>
      <c r="AI637">
        <v>0</v>
      </c>
      <c r="AJ637">
        <v>1</v>
      </c>
      <c r="AK637" t="s">
        <v>122</v>
      </c>
      <c r="AL637">
        <v>0.47321428571428598</v>
      </c>
    </row>
    <row r="638" spans="2:38" ht="15" customHeight="1" x14ac:dyDescent="0.2">
      <c r="B638">
        <v>29</v>
      </c>
      <c r="C638">
        <v>8</v>
      </c>
      <c r="D638">
        <v>9</v>
      </c>
      <c r="E638" t="s">
        <v>530</v>
      </c>
      <c r="F638" t="s">
        <v>108</v>
      </c>
      <c r="G638" s="15">
        <v>44758</v>
      </c>
      <c r="H638" t="s">
        <v>109</v>
      </c>
      <c r="I638" t="s">
        <v>218</v>
      </c>
      <c r="J638" t="s">
        <v>219</v>
      </c>
      <c r="K638">
        <v>18</v>
      </c>
      <c r="L638" t="s">
        <v>154</v>
      </c>
      <c r="M638" t="s">
        <v>220</v>
      </c>
      <c r="N638" t="s">
        <v>170</v>
      </c>
      <c r="O638">
        <v>70.5</v>
      </c>
      <c r="P638">
        <v>134</v>
      </c>
      <c r="Q638">
        <v>6389</v>
      </c>
      <c r="R638" t="s">
        <v>157</v>
      </c>
      <c r="S638" t="s">
        <v>158</v>
      </c>
      <c r="U638" t="s">
        <v>227</v>
      </c>
      <c r="V638" t="s">
        <v>130</v>
      </c>
      <c r="AA638">
        <v>2</v>
      </c>
      <c r="AB638" t="s">
        <v>101</v>
      </c>
      <c r="AC638" t="s">
        <v>139</v>
      </c>
      <c r="AD638" t="s">
        <v>132</v>
      </c>
      <c r="AE638" t="str">
        <f t="shared" si="9"/>
        <v>Poirier</v>
      </c>
      <c r="AF638">
        <v>1</v>
      </c>
      <c r="AG638">
        <v>0</v>
      </c>
      <c r="AH638">
        <v>0</v>
      </c>
      <c r="AI638">
        <v>1</v>
      </c>
      <c r="AJ638">
        <v>0.5</v>
      </c>
      <c r="AK638" t="s">
        <v>132</v>
      </c>
      <c r="AL638">
        <v>0.4296875</v>
      </c>
    </row>
    <row r="639" spans="2:38" ht="15" customHeight="1" x14ac:dyDescent="0.2">
      <c r="B639">
        <v>30</v>
      </c>
      <c r="C639">
        <v>9</v>
      </c>
      <c r="D639">
        <v>9</v>
      </c>
      <c r="E639" t="s">
        <v>531</v>
      </c>
      <c r="F639" t="s">
        <v>108</v>
      </c>
      <c r="G639" s="15">
        <v>44758</v>
      </c>
      <c r="H639" t="s">
        <v>109</v>
      </c>
      <c r="I639" t="s">
        <v>218</v>
      </c>
      <c r="J639" t="s">
        <v>219</v>
      </c>
      <c r="K639">
        <v>18</v>
      </c>
      <c r="L639" t="s">
        <v>154</v>
      </c>
      <c r="M639" t="s">
        <v>220</v>
      </c>
      <c r="N639" t="s">
        <v>170</v>
      </c>
      <c r="O639">
        <v>70.5</v>
      </c>
      <c r="P639">
        <v>134</v>
      </c>
      <c r="Q639">
        <v>6389</v>
      </c>
      <c r="R639" t="s">
        <v>157</v>
      </c>
      <c r="S639" t="s">
        <v>158</v>
      </c>
      <c r="U639" t="s">
        <v>227</v>
      </c>
      <c r="V639" t="s">
        <v>452</v>
      </c>
      <c r="AA639">
        <v>2</v>
      </c>
      <c r="AB639" t="s">
        <v>100</v>
      </c>
      <c r="AC639" t="s">
        <v>313</v>
      </c>
      <c r="AD639" t="s">
        <v>321</v>
      </c>
      <c r="AE639" t="str">
        <f t="shared" si="9"/>
        <v>Delneky</v>
      </c>
      <c r="AF639">
        <v>0</v>
      </c>
      <c r="AG639">
        <v>0</v>
      </c>
      <c r="AH639">
        <v>1</v>
      </c>
      <c r="AI639">
        <v>0</v>
      </c>
      <c r="AJ639">
        <v>0</v>
      </c>
      <c r="AK639" t="s">
        <v>321</v>
      </c>
      <c r="AL639">
        <v>0.46551724137931</v>
      </c>
    </row>
    <row r="640" spans="2:38" ht="15" customHeight="1" x14ac:dyDescent="0.2">
      <c r="B640">
        <v>30</v>
      </c>
      <c r="C640">
        <v>10</v>
      </c>
      <c r="D640">
        <v>9</v>
      </c>
      <c r="E640" t="s">
        <v>1286</v>
      </c>
      <c r="F640" t="s">
        <v>108</v>
      </c>
      <c r="G640" s="15">
        <v>44758</v>
      </c>
      <c r="H640" t="s">
        <v>109</v>
      </c>
      <c r="I640" t="s">
        <v>218</v>
      </c>
      <c r="J640" t="s">
        <v>219</v>
      </c>
      <c r="K640">
        <v>18</v>
      </c>
      <c r="L640" t="s">
        <v>154</v>
      </c>
      <c r="M640" t="s">
        <v>220</v>
      </c>
      <c r="N640" t="s">
        <v>170</v>
      </c>
      <c r="O640">
        <v>70.5</v>
      </c>
      <c r="P640">
        <v>134</v>
      </c>
      <c r="Q640">
        <v>6389</v>
      </c>
      <c r="R640" t="s">
        <v>157</v>
      </c>
      <c r="S640" t="s">
        <v>158</v>
      </c>
      <c r="U640" t="s">
        <v>227</v>
      </c>
      <c r="V640" t="s">
        <v>1285</v>
      </c>
      <c r="AA640">
        <v>2</v>
      </c>
      <c r="AB640" t="s">
        <v>101</v>
      </c>
      <c r="AC640" t="s">
        <v>139</v>
      </c>
      <c r="AD640" t="s">
        <v>178</v>
      </c>
      <c r="AE640" t="str">
        <f t="shared" si="9"/>
        <v>DeOteris</v>
      </c>
      <c r="AF640">
        <v>1</v>
      </c>
      <c r="AG640">
        <v>0</v>
      </c>
      <c r="AH640">
        <v>0</v>
      </c>
      <c r="AI640">
        <v>1</v>
      </c>
      <c r="AJ640">
        <v>0.5</v>
      </c>
      <c r="AK640" t="s">
        <v>178</v>
      </c>
      <c r="AL640">
        <v>0.34745762711864397</v>
      </c>
    </row>
    <row r="641" spans="2:40" ht="15" customHeight="1" x14ac:dyDescent="0.2">
      <c r="B641">
        <v>1</v>
      </c>
      <c r="C641">
        <v>1</v>
      </c>
      <c r="D641">
        <v>10</v>
      </c>
      <c r="E641" t="s">
        <v>532</v>
      </c>
      <c r="F641" t="s">
        <v>400</v>
      </c>
      <c r="G641" s="15">
        <v>45141</v>
      </c>
      <c r="H641" t="s">
        <v>144</v>
      </c>
      <c r="I641" t="s">
        <v>533</v>
      </c>
      <c r="J641" t="s">
        <v>534</v>
      </c>
      <c r="K641">
        <v>9</v>
      </c>
      <c r="L641" t="s">
        <v>112</v>
      </c>
      <c r="M641" t="s">
        <v>535</v>
      </c>
      <c r="N641" t="s">
        <v>170</v>
      </c>
      <c r="O641">
        <v>72.8</v>
      </c>
      <c r="P641">
        <v>131</v>
      </c>
      <c r="Q641">
        <v>6692</v>
      </c>
      <c r="R641" t="s">
        <v>115</v>
      </c>
      <c r="S641" t="s">
        <v>116</v>
      </c>
      <c r="T641" t="s">
        <v>407</v>
      </c>
      <c r="U641" t="s">
        <v>231</v>
      </c>
      <c r="V641" t="s">
        <v>178</v>
      </c>
      <c r="W641" t="s">
        <v>536</v>
      </c>
      <c r="Y641" t="s">
        <v>133</v>
      </c>
      <c r="AA641">
        <v>1</v>
      </c>
      <c r="AB641" t="s">
        <v>100</v>
      </c>
      <c r="AC641" t="s">
        <v>222</v>
      </c>
      <c r="AE641" t="str">
        <f t="shared" si="9"/>
        <v>ConnorsMangold</v>
      </c>
      <c r="AF641">
        <v>0</v>
      </c>
      <c r="AG641">
        <v>0</v>
      </c>
      <c r="AH641">
        <v>1</v>
      </c>
      <c r="AI641">
        <v>0</v>
      </c>
      <c r="AJ641">
        <v>0</v>
      </c>
      <c r="AK641" t="s">
        <v>179</v>
      </c>
      <c r="AL641">
        <v>0.44067796610169502</v>
      </c>
      <c r="AM641" t="s">
        <v>122</v>
      </c>
      <c r="AN641">
        <v>0.47321428571428598</v>
      </c>
    </row>
    <row r="642" spans="2:40" ht="15" customHeight="1" x14ac:dyDescent="0.2">
      <c r="B642">
        <v>1</v>
      </c>
      <c r="C642">
        <v>1</v>
      </c>
      <c r="D642">
        <v>10</v>
      </c>
      <c r="E642" t="s">
        <v>532</v>
      </c>
      <c r="F642" t="s">
        <v>400</v>
      </c>
      <c r="G642" s="15">
        <v>45141</v>
      </c>
      <c r="H642" t="s">
        <v>144</v>
      </c>
      <c r="I642" t="s">
        <v>533</v>
      </c>
      <c r="J642" t="s">
        <v>534</v>
      </c>
      <c r="K642">
        <v>9</v>
      </c>
      <c r="L642" t="s">
        <v>112</v>
      </c>
      <c r="M642" t="s">
        <v>535</v>
      </c>
      <c r="N642" t="s">
        <v>170</v>
      </c>
      <c r="O642">
        <v>72.8</v>
      </c>
      <c r="P642">
        <v>131</v>
      </c>
      <c r="Q642">
        <v>6692</v>
      </c>
      <c r="R642" t="s">
        <v>115</v>
      </c>
      <c r="S642" t="s">
        <v>116</v>
      </c>
      <c r="T642" t="s">
        <v>407</v>
      </c>
      <c r="U642" t="s">
        <v>179</v>
      </c>
      <c r="V642" t="s">
        <v>179</v>
      </c>
      <c r="W642" t="s">
        <v>537</v>
      </c>
      <c r="Y642" t="s">
        <v>122</v>
      </c>
      <c r="AA642">
        <v>1</v>
      </c>
      <c r="AB642" t="s">
        <v>99</v>
      </c>
      <c r="AC642" t="s">
        <v>222</v>
      </c>
      <c r="AE642" t="str">
        <f t="shared" ref="AE642:AE705" si="10">$V642&amp;$Y642</f>
        <v>ColeHilts</v>
      </c>
      <c r="AF642">
        <v>1</v>
      </c>
      <c r="AG642">
        <v>1</v>
      </c>
      <c r="AH642">
        <v>0</v>
      </c>
      <c r="AI642">
        <v>0</v>
      </c>
      <c r="AJ642">
        <v>1</v>
      </c>
      <c r="AK642" t="s">
        <v>178</v>
      </c>
      <c r="AL642">
        <v>0.34745762711864397</v>
      </c>
      <c r="AM642" t="s">
        <v>133</v>
      </c>
      <c r="AN642">
        <v>0.38392857142857201</v>
      </c>
    </row>
    <row r="643" spans="2:40" ht="15" customHeight="1" x14ac:dyDescent="0.2">
      <c r="B643">
        <v>2</v>
      </c>
      <c r="C643">
        <v>2</v>
      </c>
      <c r="D643">
        <v>10</v>
      </c>
      <c r="E643" t="s">
        <v>538</v>
      </c>
      <c r="F643" t="s">
        <v>400</v>
      </c>
      <c r="G643" s="15">
        <v>45141</v>
      </c>
      <c r="H643" t="s">
        <v>144</v>
      </c>
      <c r="I643" t="s">
        <v>533</v>
      </c>
      <c r="J643" t="s">
        <v>534</v>
      </c>
      <c r="K643">
        <v>9</v>
      </c>
      <c r="L643" t="s">
        <v>112</v>
      </c>
      <c r="M643" t="s">
        <v>535</v>
      </c>
      <c r="N643" t="s">
        <v>170</v>
      </c>
      <c r="O643">
        <v>72.8</v>
      </c>
      <c r="P643">
        <v>131</v>
      </c>
      <c r="Q643">
        <v>6692</v>
      </c>
      <c r="R643" t="s">
        <v>115</v>
      </c>
      <c r="S643" t="s">
        <v>116</v>
      </c>
      <c r="T643" t="s">
        <v>407</v>
      </c>
      <c r="U643" t="s">
        <v>179</v>
      </c>
      <c r="V643" t="s">
        <v>127</v>
      </c>
      <c r="W643" t="s">
        <v>537</v>
      </c>
      <c r="Y643" t="s">
        <v>119</v>
      </c>
      <c r="AA643">
        <v>1</v>
      </c>
      <c r="AB643" t="s">
        <v>100</v>
      </c>
      <c r="AC643" t="s">
        <v>425</v>
      </c>
      <c r="AE643" t="str">
        <f t="shared" si="10"/>
        <v>FerrinGrise</v>
      </c>
      <c r="AF643">
        <v>0</v>
      </c>
      <c r="AG643">
        <v>0</v>
      </c>
      <c r="AH643">
        <v>1</v>
      </c>
      <c r="AI643">
        <v>0</v>
      </c>
      <c r="AJ643">
        <v>0</v>
      </c>
      <c r="AK643" t="s">
        <v>118</v>
      </c>
      <c r="AL643">
        <v>0.6171875</v>
      </c>
      <c r="AM643" t="s">
        <v>227</v>
      </c>
      <c r="AN643">
        <v>0.5</v>
      </c>
    </row>
    <row r="644" spans="2:40" ht="15" customHeight="1" x14ac:dyDescent="0.2">
      <c r="B644">
        <v>2</v>
      </c>
      <c r="C644">
        <v>2</v>
      </c>
      <c r="D644">
        <v>10</v>
      </c>
      <c r="E644" t="s">
        <v>538</v>
      </c>
      <c r="F644" t="s">
        <v>400</v>
      </c>
      <c r="G644" s="15">
        <v>45141</v>
      </c>
      <c r="H644" t="s">
        <v>144</v>
      </c>
      <c r="I644" t="s">
        <v>533</v>
      </c>
      <c r="J644" t="s">
        <v>534</v>
      </c>
      <c r="K644">
        <v>9</v>
      </c>
      <c r="L644" t="s">
        <v>112</v>
      </c>
      <c r="M644" t="s">
        <v>535</v>
      </c>
      <c r="N644" t="s">
        <v>170</v>
      </c>
      <c r="O644">
        <v>72.8</v>
      </c>
      <c r="P644">
        <v>131</v>
      </c>
      <c r="Q644">
        <v>6692</v>
      </c>
      <c r="R644" t="s">
        <v>115</v>
      </c>
      <c r="S644" t="s">
        <v>116</v>
      </c>
      <c r="T644" t="s">
        <v>407</v>
      </c>
      <c r="U644" t="s">
        <v>231</v>
      </c>
      <c r="V644" t="s">
        <v>118</v>
      </c>
      <c r="W644" t="s">
        <v>536</v>
      </c>
      <c r="Y644" t="s">
        <v>227</v>
      </c>
      <c r="AA644">
        <v>1</v>
      </c>
      <c r="AB644" t="s">
        <v>99</v>
      </c>
      <c r="AC644" t="s">
        <v>425</v>
      </c>
      <c r="AE644" t="str">
        <f t="shared" si="10"/>
        <v>JacksonZimmer</v>
      </c>
      <c r="AF644">
        <v>1</v>
      </c>
      <c r="AG644">
        <v>1</v>
      </c>
      <c r="AH644">
        <v>0</v>
      </c>
      <c r="AI644">
        <v>0</v>
      </c>
      <c r="AJ644">
        <v>1</v>
      </c>
      <c r="AK644" t="s">
        <v>127</v>
      </c>
      <c r="AL644">
        <v>0.59523809523809501</v>
      </c>
      <c r="AM644" t="s">
        <v>119</v>
      </c>
      <c r="AN644">
        <v>0.546875</v>
      </c>
    </row>
    <row r="645" spans="2:40" ht="15" customHeight="1" x14ac:dyDescent="0.2">
      <c r="B645">
        <v>3</v>
      </c>
      <c r="C645">
        <v>3</v>
      </c>
      <c r="D645">
        <v>10</v>
      </c>
      <c r="E645" t="s">
        <v>539</v>
      </c>
      <c r="F645" t="s">
        <v>400</v>
      </c>
      <c r="G645" s="15">
        <v>45141</v>
      </c>
      <c r="H645" t="s">
        <v>144</v>
      </c>
      <c r="I645" t="s">
        <v>533</v>
      </c>
      <c r="J645" t="s">
        <v>534</v>
      </c>
      <c r="K645">
        <v>9</v>
      </c>
      <c r="L645" t="s">
        <v>112</v>
      </c>
      <c r="M645" t="s">
        <v>535</v>
      </c>
      <c r="N645" t="s">
        <v>170</v>
      </c>
      <c r="O645">
        <v>72.8</v>
      </c>
      <c r="P645">
        <v>131</v>
      </c>
      <c r="Q645">
        <v>6692</v>
      </c>
      <c r="R645" t="s">
        <v>115</v>
      </c>
      <c r="S645" t="s">
        <v>116</v>
      </c>
      <c r="T645" t="s">
        <v>407</v>
      </c>
      <c r="U645" t="s">
        <v>231</v>
      </c>
      <c r="V645" t="s">
        <v>176</v>
      </c>
      <c r="W645" t="s">
        <v>536</v>
      </c>
      <c r="Y645" t="s">
        <v>272</v>
      </c>
      <c r="AA645">
        <v>1</v>
      </c>
      <c r="AB645" t="s">
        <v>100</v>
      </c>
      <c r="AC645" t="s">
        <v>222</v>
      </c>
      <c r="AE645" t="str">
        <f t="shared" si="10"/>
        <v>ForsterWelker</v>
      </c>
      <c r="AF645">
        <v>0</v>
      </c>
      <c r="AG645">
        <v>0</v>
      </c>
      <c r="AH645">
        <v>1</v>
      </c>
      <c r="AI645">
        <v>0</v>
      </c>
      <c r="AJ645">
        <v>0</v>
      </c>
      <c r="AK645" t="s">
        <v>132</v>
      </c>
      <c r="AL645">
        <v>0.4296875</v>
      </c>
      <c r="AM645" t="s">
        <v>123</v>
      </c>
      <c r="AN645">
        <v>0.5546875</v>
      </c>
    </row>
    <row r="646" spans="2:40" ht="15" customHeight="1" x14ac:dyDescent="0.2">
      <c r="B646">
        <v>3</v>
      </c>
      <c r="C646">
        <v>3</v>
      </c>
      <c r="D646">
        <v>10</v>
      </c>
      <c r="E646" t="s">
        <v>539</v>
      </c>
      <c r="F646" t="s">
        <v>400</v>
      </c>
      <c r="G646" s="15">
        <v>45141</v>
      </c>
      <c r="H646" t="s">
        <v>144</v>
      </c>
      <c r="I646" t="s">
        <v>533</v>
      </c>
      <c r="J646" t="s">
        <v>534</v>
      </c>
      <c r="K646">
        <v>9</v>
      </c>
      <c r="L646" t="s">
        <v>112</v>
      </c>
      <c r="M646" t="s">
        <v>535</v>
      </c>
      <c r="N646" t="s">
        <v>170</v>
      </c>
      <c r="O646">
        <v>72.8</v>
      </c>
      <c r="P646">
        <v>131</v>
      </c>
      <c r="Q646">
        <v>6692</v>
      </c>
      <c r="R646" t="s">
        <v>115</v>
      </c>
      <c r="S646" t="s">
        <v>116</v>
      </c>
      <c r="T646" t="s">
        <v>407</v>
      </c>
      <c r="U646" t="s">
        <v>179</v>
      </c>
      <c r="V646" t="s">
        <v>132</v>
      </c>
      <c r="W646" t="s">
        <v>537</v>
      </c>
      <c r="Y646" t="s">
        <v>123</v>
      </c>
      <c r="AA646">
        <v>1</v>
      </c>
      <c r="AB646" t="s">
        <v>99</v>
      </c>
      <c r="AC646" t="s">
        <v>222</v>
      </c>
      <c r="AE646" t="str">
        <f t="shared" si="10"/>
        <v>FlandersLynch</v>
      </c>
      <c r="AF646">
        <v>1</v>
      </c>
      <c r="AG646">
        <v>1</v>
      </c>
      <c r="AH646">
        <v>0</v>
      </c>
      <c r="AI646">
        <v>0</v>
      </c>
      <c r="AJ646">
        <v>1</v>
      </c>
      <c r="AK646" t="s">
        <v>176</v>
      </c>
      <c r="AL646">
        <v>0.59649122807017496</v>
      </c>
      <c r="AM646" t="s">
        <v>272</v>
      </c>
      <c r="AN646">
        <v>0.51041666666666696</v>
      </c>
    </row>
    <row r="647" spans="2:40" ht="15" customHeight="1" x14ac:dyDescent="0.2">
      <c r="B647">
        <v>4</v>
      </c>
      <c r="C647">
        <v>4</v>
      </c>
      <c r="D647">
        <v>10</v>
      </c>
      <c r="E647" t="s">
        <v>540</v>
      </c>
      <c r="F647" t="s">
        <v>400</v>
      </c>
      <c r="G647" s="15">
        <v>45141</v>
      </c>
      <c r="H647" t="s">
        <v>144</v>
      </c>
      <c r="I647" t="s">
        <v>533</v>
      </c>
      <c r="J647" t="s">
        <v>534</v>
      </c>
      <c r="K647">
        <v>9</v>
      </c>
      <c r="L647" t="s">
        <v>112</v>
      </c>
      <c r="M647" t="s">
        <v>535</v>
      </c>
      <c r="N647" t="s">
        <v>170</v>
      </c>
      <c r="O647">
        <v>72.8</v>
      </c>
      <c r="P647">
        <v>131</v>
      </c>
      <c r="Q647">
        <v>6692</v>
      </c>
      <c r="R647" t="s">
        <v>115</v>
      </c>
      <c r="S647" t="s">
        <v>116</v>
      </c>
      <c r="T647" t="s">
        <v>407</v>
      </c>
      <c r="U647" t="s">
        <v>179</v>
      </c>
      <c r="V647" t="s">
        <v>1308</v>
      </c>
      <c r="W647" t="s">
        <v>537</v>
      </c>
      <c r="Y647" t="s">
        <v>541</v>
      </c>
      <c r="AA647">
        <v>1</v>
      </c>
      <c r="AB647" t="s">
        <v>101</v>
      </c>
      <c r="AC647" t="s">
        <v>139</v>
      </c>
      <c r="AE647" t="str">
        <f t="shared" si="10"/>
        <v>ConnollyR. Connolly</v>
      </c>
      <c r="AF647">
        <v>0.5</v>
      </c>
      <c r="AG647">
        <v>0</v>
      </c>
      <c r="AH647">
        <v>0</v>
      </c>
      <c r="AI647">
        <v>1</v>
      </c>
      <c r="AJ647">
        <v>0.5</v>
      </c>
      <c r="AK647" t="s">
        <v>226</v>
      </c>
      <c r="AL647">
        <v>0.65476190476190499</v>
      </c>
      <c r="AM647" t="s">
        <v>231</v>
      </c>
      <c r="AN647">
        <v>0.5</v>
      </c>
    </row>
    <row r="648" spans="2:40" ht="15" customHeight="1" x14ac:dyDescent="0.2">
      <c r="B648">
        <v>4</v>
      </c>
      <c r="C648">
        <v>4</v>
      </c>
      <c r="D648">
        <v>10</v>
      </c>
      <c r="E648" t="s">
        <v>540</v>
      </c>
      <c r="F648" t="s">
        <v>400</v>
      </c>
      <c r="G648" s="15">
        <v>45141</v>
      </c>
      <c r="H648" t="s">
        <v>144</v>
      </c>
      <c r="I648" t="s">
        <v>533</v>
      </c>
      <c r="J648" t="s">
        <v>534</v>
      </c>
      <c r="K648">
        <v>9</v>
      </c>
      <c r="L648" t="s">
        <v>112</v>
      </c>
      <c r="M648" t="s">
        <v>535</v>
      </c>
      <c r="N648" t="s">
        <v>170</v>
      </c>
      <c r="O648">
        <v>72.8</v>
      </c>
      <c r="P648">
        <v>131</v>
      </c>
      <c r="Q648">
        <v>6692</v>
      </c>
      <c r="R648" t="s">
        <v>115</v>
      </c>
      <c r="S648" t="s">
        <v>116</v>
      </c>
      <c r="T648" t="s">
        <v>407</v>
      </c>
      <c r="U648" t="s">
        <v>231</v>
      </c>
      <c r="V648" t="s">
        <v>226</v>
      </c>
      <c r="W648" t="s">
        <v>536</v>
      </c>
      <c r="Y648" t="s">
        <v>231</v>
      </c>
      <c r="AA648">
        <v>1</v>
      </c>
      <c r="AB648" t="s">
        <v>101</v>
      </c>
      <c r="AC648" t="s">
        <v>139</v>
      </c>
      <c r="AE648" t="str">
        <f t="shared" si="10"/>
        <v>GrayMcInerney</v>
      </c>
      <c r="AF648">
        <v>0.5</v>
      </c>
      <c r="AG648">
        <v>0</v>
      </c>
      <c r="AH648">
        <v>0</v>
      </c>
      <c r="AI648">
        <v>1</v>
      </c>
      <c r="AJ648">
        <v>0.5</v>
      </c>
      <c r="AK648" t="s">
        <v>1308</v>
      </c>
      <c r="AL648">
        <v>0.59375</v>
      </c>
      <c r="AM648" t="s">
        <v>541</v>
      </c>
      <c r="AN648">
        <v>0.33333333333333298</v>
      </c>
    </row>
    <row r="649" spans="2:40" ht="15" customHeight="1" x14ac:dyDescent="0.2">
      <c r="B649">
        <v>5</v>
      </c>
      <c r="C649">
        <v>5</v>
      </c>
      <c r="D649">
        <v>10</v>
      </c>
      <c r="E649" t="s">
        <v>542</v>
      </c>
      <c r="F649" t="s">
        <v>400</v>
      </c>
      <c r="G649" s="15">
        <v>45141</v>
      </c>
      <c r="H649" t="s">
        <v>144</v>
      </c>
      <c r="I649" t="s">
        <v>533</v>
      </c>
      <c r="J649" t="s">
        <v>534</v>
      </c>
      <c r="K649">
        <v>9</v>
      </c>
      <c r="L649" t="s">
        <v>112</v>
      </c>
      <c r="M649" t="s">
        <v>535</v>
      </c>
      <c r="N649" t="s">
        <v>170</v>
      </c>
      <c r="O649">
        <v>72.8</v>
      </c>
      <c r="P649">
        <v>131</v>
      </c>
      <c r="Q649">
        <v>6692</v>
      </c>
      <c r="R649" t="s">
        <v>543</v>
      </c>
      <c r="S649" t="s">
        <v>116</v>
      </c>
      <c r="T649" t="s">
        <v>407</v>
      </c>
      <c r="U649" t="s">
        <v>231</v>
      </c>
      <c r="V649" t="s">
        <v>172</v>
      </c>
      <c r="W649" t="s">
        <v>536</v>
      </c>
      <c r="Y649" t="s">
        <v>452</v>
      </c>
      <c r="AA649">
        <v>1</v>
      </c>
      <c r="AB649" t="s">
        <v>100</v>
      </c>
      <c r="AC649" t="s">
        <v>544</v>
      </c>
      <c r="AE649" t="str">
        <f t="shared" si="10"/>
        <v>FoganDelneky</v>
      </c>
      <c r="AF649">
        <v>0</v>
      </c>
      <c r="AG649">
        <v>0</v>
      </c>
      <c r="AH649">
        <v>1</v>
      </c>
      <c r="AI649">
        <v>0</v>
      </c>
      <c r="AJ649">
        <v>0</v>
      </c>
      <c r="AK649" t="s">
        <v>321</v>
      </c>
      <c r="AL649">
        <v>0.46551724137931</v>
      </c>
      <c r="AM649" t="s">
        <v>456</v>
      </c>
      <c r="AN649">
        <v>0.63888888888888895</v>
      </c>
    </row>
    <row r="650" spans="2:40" ht="15" customHeight="1" x14ac:dyDescent="0.2">
      <c r="B650">
        <v>5</v>
      </c>
      <c r="C650">
        <v>5</v>
      </c>
      <c r="D650">
        <v>10</v>
      </c>
      <c r="E650" t="s">
        <v>542</v>
      </c>
      <c r="F650" t="s">
        <v>400</v>
      </c>
      <c r="G650" s="15">
        <v>45141</v>
      </c>
      <c r="H650" t="s">
        <v>144</v>
      </c>
      <c r="I650" t="s">
        <v>533</v>
      </c>
      <c r="J650" t="s">
        <v>534</v>
      </c>
      <c r="K650">
        <v>9</v>
      </c>
      <c r="L650" t="s">
        <v>112</v>
      </c>
      <c r="M650" t="s">
        <v>535</v>
      </c>
      <c r="N650" t="s">
        <v>170</v>
      </c>
      <c r="O650">
        <v>72.8</v>
      </c>
      <c r="P650">
        <v>131</v>
      </c>
      <c r="Q650">
        <v>6692</v>
      </c>
      <c r="R650" t="s">
        <v>543</v>
      </c>
      <c r="S650" t="s">
        <v>116</v>
      </c>
      <c r="T650" t="s">
        <v>407</v>
      </c>
      <c r="U650" t="s">
        <v>179</v>
      </c>
      <c r="V650" t="s">
        <v>321</v>
      </c>
      <c r="W650" t="s">
        <v>537</v>
      </c>
      <c r="Y650" t="s">
        <v>456</v>
      </c>
      <c r="AA650">
        <v>1</v>
      </c>
      <c r="AB650" t="s">
        <v>99</v>
      </c>
      <c r="AC650" t="s">
        <v>544</v>
      </c>
      <c r="AE650" t="str">
        <f t="shared" si="10"/>
        <v>DelaneyPerkins</v>
      </c>
      <c r="AF650">
        <v>1</v>
      </c>
      <c r="AG650">
        <v>1</v>
      </c>
      <c r="AH650">
        <v>0</v>
      </c>
      <c r="AI650">
        <v>0</v>
      </c>
      <c r="AJ650">
        <v>1</v>
      </c>
      <c r="AK650" t="s">
        <v>172</v>
      </c>
      <c r="AL650">
        <v>0.37288135593220301</v>
      </c>
      <c r="AM650" t="s">
        <v>452</v>
      </c>
      <c r="AN650">
        <v>0.37288135593220301</v>
      </c>
    </row>
    <row r="651" spans="2:40" ht="15" customHeight="1" x14ac:dyDescent="0.2">
      <c r="B651">
        <v>6</v>
      </c>
      <c r="C651">
        <v>1</v>
      </c>
      <c r="D651">
        <v>10</v>
      </c>
      <c r="E651" t="s">
        <v>545</v>
      </c>
      <c r="F651" t="s">
        <v>400</v>
      </c>
      <c r="G651" s="15">
        <v>45141</v>
      </c>
      <c r="H651" t="s">
        <v>144</v>
      </c>
      <c r="I651" t="s">
        <v>533</v>
      </c>
      <c r="J651" t="s">
        <v>534</v>
      </c>
      <c r="K651">
        <v>9</v>
      </c>
      <c r="L651" t="s">
        <v>137</v>
      </c>
      <c r="M651" t="s">
        <v>535</v>
      </c>
      <c r="N651" t="s">
        <v>170</v>
      </c>
      <c r="O651">
        <v>72.8</v>
      </c>
      <c r="P651">
        <v>131</v>
      </c>
      <c r="Q651">
        <v>6692</v>
      </c>
      <c r="R651" t="s">
        <v>145</v>
      </c>
      <c r="S651" t="s">
        <v>116</v>
      </c>
      <c r="T651" t="s">
        <v>407</v>
      </c>
      <c r="U651" t="s">
        <v>231</v>
      </c>
      <c r="V651" t="s">
        <v>178</v>
      </c>
      <c r="W651" t="s">
        <v>536</v>
      </c>
      <c r="Y651" t="s">
        <v>133</v>
      </c>
      <c r="AA651">
        <v>1</v>
      </c>
      <c r="AB651" t="s">
        <v>101</v>
      </c>
      <c r="AC651" t="s">
        <v>139</v>
      </c>
      <c r="AE651" t="str">
        <f t="shared" si="10"/>
        <v>ConnorsMangold</v>
      </c>
      <c r="AF651">
        <v>0.5</v>
      </c>
      <c r="AG651">
        <v>0</v>
      </c>
      <c r="AH651">
        <v>0</v>
      </c>
      <c r="AI651">
        <v>1</v>
      </c>
      <c r="AJ651">
        <v>0.5</v>
      </c>
      <c r="AK651" t="s">
        <v>179</v>
      </c>
      <c r="AL651">
        <v>0.44067796610169502</v>
      </c>
      <c r="AM651" t="s">
        <v>122</v>
      </c>
      <c r="AN651">
        <v>0.47321428571428598</v>
      </c>
    </row>
    <row r="652" spans="2:40" ht="15" customHeight="1" x14ac:dyDescent="0.2">
      <c r="B652">
        <v>6</v>
      </c>
      <c r="C652">
        <v>1</v>
      </c>
      <c r="D652">
        <v>10</v>
      </c>
      <c r="E652" t="s">
        <v>545</v>
      </c>
      <c r="F652" t="s">
        <v>400</v>
      </c>
      <c r="G652" s="15">
        <v>45141</v>
      </c>
      <c r="H652" t="s">
        <v>144</v>
      </c>
      <c r="I652" t="s">
        <v>533</v>
      </c>
      <c r="J652" t="s">
        <v>534</v>
      </c>
      <c r="K652">
        <v>9</v>
      </c>
      <c r="L652" t="s">
        <v>137</v>
      </c>
      <c r="M652" t="s">
        <v>535</v>
      </c>
      <c r="N652" t="s">
        <v>170</v>
      </c>
      <c r="O652">
        <v>72.8</v>
      </c>
      <c r="P652">
        <v>131</v>
      </c>
      <c r="Q652">
        <v>6692</v>
      </c>
      <c r="R652" t="s">
        <v>145</v>
      </c>
      <c r="S652" t="s">
        <v>116</v>
      </c>
      <c r="T652" t="s">
        <v>407</v>
      </c>
      <c r="U652" t="s">
        <v>179</v>
      </c>
      <c r="V652" t="s">
        <v>179</v>
      </c>
      <c r="W652" t="s">
        <v>537</v>
      </c>
      <c r="Y652" t="s">
        <v>122</v>
      </c>
      <c r="AA652">
        <v>1</v>
      </c>
      <c r="AB652" t="s">
        <v>101</v>
      </c>
      <c r="AC652" t="s">
        <v>139</v>
      </c>
      <c r="AE652" t="str">
        <f t="shared" si="10"/>
        <v>ColeHilts</v>
      </c>
      <c r="AF652">
        <v>0.5</v>
      </c>
      <c r="AG652">
        <v>0</v>
      </c>
      <c r="AH652">
        <v>0</v>
      </c>
      <c r="AI652">
        <v>1</v>
      </c>
      <c r="AJ652">
        <v>0.5</v>
      </c>
      <c r="AK652" t="s">
        <v>178</v>
      </c>
      <c r="AL652">
        <v>0.34745762711864397</v>
      </c>
      <c r="AM652" t="s">
        <v>133</v>
      </c>
      <c r="AN652">
        <v>0.38392857142857201</v>
      </c>
    </row>
    <row r="653" spans="2:40" ht="15" customHeight="1" x14ac:dyDescent="0.2">
      <c r="B653">
        <v>7</v>
      </c>
      <c r="C653">
        <v>2</v>
      </c>
      <c r="D653">
        <v>10</v>
      </c>
      <c r="E653" t="s">
        <v>546</v>
      </c>
      <c r="F653" t="s">
        <v>400</v>
      </c>
      <c r="G653" s="15">
        <v>45141</v>
      </c>
      <c r="H653" t="s">
        <v>144</v>
      </c>
      <c r="I653" t="s">
        <v>533</v>
      </c>
      <c r="J653" t="s">
        <v>534</v>
      </c>
      <c r="K653">
        <v>9</v>
      </c>
      <c r="L653" t="s">
        <v>137</v>
      </c>
      <c r="M653" t="s">
        <v>535</v>
      </c>
      <c r="N653" t="s">
        <v>170</v>
      </c>
      <c r="O653">
        <v>72.8</v>
      </c>
      <c r="P653">
        <v>131</v>
      </c>
      <c r="Q653">
        <v>6692</v>
      </c>
      <c r="R653" t="s">
        <v>145</v>
      </c>
      <c r="S653" t="s">
        <v>116</v>
      </c>
      <c r="T653" t="s">
        <v>407</v>
      </c>
      <c r="U653" t="s">
        <v>179</v>
      </c>
      <c r="V653" t="s">
        <v>127</v>
      </c>
      <c r="W653" t="s">
        <v>537</v>
      </c>
      <c r="Y653" t="s">
        <v>119</v>
      </c>
      <c r="AA653">
        <v>1</v>
      </c>
      <c r="AB653" t="s">
        <v>99</v>
      </c>
      <c r="AC653" t="s">
        <v>304</v>
      </c>
      <c r="AE653" t="str">
        <f t="shared" si="10"/>
        <v>FerrinGrise</v>
      </c>
      <c r="AF653">
        <v>1</v>
      </c>
      <c r="AG653">
        <v>1</v>
      </c>
      <c r="AH653">
        <v>0</v>
      </c>
      <c r="AI653">
        <v>0</v>
      </c>
      <c r="AJ653">
        <v>1</v>
      </c>
      <c r="AK653" t="s">
        <v>118</v>
      </c>
      <c r="AL653">
        <v>0.6171875</v>
      </c>
      <c r="AM653" t="s">
        <v>227</v>
      </c>
      <c r="AN653">
        <v>0.5</v>
      </c>
    </row>
    <row r="654" spans="2:40" ht="15" customHeight="1" x14ac:dyDescent="0.2">
      <c r="B654">
        <v>7</v>
      </c>
      <c r="C654">
        <v>2</v>
      </c>
      <c r="D654">
        <v>10</v>
      </c>
      <c r="E654" t="s">
        <v>546</v>
      </c>
      <c r="F654" t="s">
        <v>400</v>
      </c>
      <c r="G654" s="15">
        <v>45141</v>
      </c>
      <c r="H654" t="s">
        <v>144</v>
      </c>
      <c r="I654" t="s">
        <v>533</v>
      </c>
      <c r="J654" t="s">
        <v>534</v>
      </c>
      <c r="K654">
        <v>9</v>
      </c>
      <c r="L654" t="s">
        <v>137</v>
      </c>
      <c r="M654" t="s">
        <v>535</v>
      </c>
      <c r="N654" t="s">
        <v>170</v>
      </c>
      <c r="O654">
        <v>72.8</v>
      </c>
      <c r="P654">
        <v>131</v>
      </c>
      <c r="Q654">
        <v>6692</v>
      </c>
      <c r="R654" t="s">
        <v>145</v>
      </c>
      <c r="S654" t="s">
        <v>116</v>
      </c>
      <c r="T654" t="s">
        <v>407</v>
      </c>
      <c r="U654" t="s">
        <v>231</v>
      </c>
      <c r="V654" t="s">
        <v>118</v>
      </c>
      <c r="W654" t="s">
        <v>536</v>
      </c>
      <c r="Y654" t="s">
        <v>227</v>
      </c>
      <c r="AA654">
        <v>1</v>
      </c>
      <c r="AB654" t="s">
        <v>100</v>
      </c>
      <c r="AC654" t="s">
        <v>304</v>
      </c>
      <c r="AE654" t="str">
        <f t="shared" si="10"/>
        <v>JacksonZimmer</v>
      </c>
      <c r="AF654">
        <v>0</v>
      </c>
      <c r="AG654">
        <v>0</v>
      </c>
      <c r="AH654">
        <v>1</v>
      </c>
      <c r="AI654">
        <v>0</v>
      </c>
      <c r="AJ654">
        <v>0</v>
      </c>
      <c r="AK654" t="s">
        <v>127</v>
      </c>
      <c r="AL654">
        <v>0.59523809523809501</v>
      </c>
      <c r="AM654" t="s">
        <v>119</v>
      </c>
      <c r="AN654">
        <v>0.546875</v>
      </c>
    </row>
    <row r="655" spans="2:40" ht="15" customHeight="1" x14ac:dyDescent="0.2">
      <c r="B655">
        <v>8</v>
      </c>
      <c r="C655">
        <v>3</v>
      </c>
      <c r="D655">
        <v>10</v>
      </c>
      <c r="E655" t="s">
        <v>547</v>
      </c>
      <c r="F655" t="s">
        <v>400</v>
      </c>
      <c r="G655" s="15">
        <v>45141</v>
      </c>
      <c r="H655" t="s">
        <v>144</v>
      </c>
      <c r="I655" t="s">
        <v>533</v>
      </c>
      <c r="J655" t="s">
        <v>534</v>
      </c>
      <c r="K655">
        <v>9</v>
      </c>
      <c r="L655" t="s">
        <v>137</v>
      </c>
      <c r="M655" t="s">
        <v>535</v>
      </c>
      <c r="N655" t="s">
        <v>170</v>
      </c>
      <c r="O655">
        <v>72.8</v>
      </c>
      <c r="P655">
        <v>131</v>
      </c>
      <c r="Q655">
        <v>6692</v>
      </c>
      <c r="R655" t="s">
        <v>145</v>
      </c>
      <c r="S655" t="s">
        <v>116</v>
      </c>
      <c r="T655" t="s">
        <v>407</v>
      </c>
      <c r="U655" t="s">
        <v>231</v>
      </c>
      <c r="V655" t="s">
        <v>176</v>
      </c>
      <c r="W655" t="s">
        <v>536</v>
      </c>
      <c r="Y655" t="s">
        <v>272</v>
      </c>
      <c r="AA655">
        <v>1</v>
      </c>
      <c r="AB655" t="s">
        <v>100</v>
      </c>
      <c r="AC655" t="s">
        <v>222</v>
      </c>
      <c r="AE655" t="str">
        <f t="shared" si="10"/>
        <v>ForsterWelker</v>
      </c>
      <c r="AF655">
        <v>0</v>
      </c>
      <c r="AG655">
        <v>0</v>
      </c>
      <c r="AH655">
        <v>1</v>
      </c>
      <c r="AI655">
        <v>0</v>
      </c>
      <c r="AJ655">
        <v>0</v>
      </c>
      <c r="AK655" t="s">
        <v>132</v>
      </c>
      <c r="AL655">
        <v>0.4296875</v>
      </c>
      <c r="AM655" t="s">
        <v>123</v>
      </c>
      <c r="AN655">
        <v>0.5546875</v>
      </c>
    </row>
    <row r="656" spans="2:40" ht="15" customHeight="1" x14ac:dyDescent="0.2">
      <c r="B656">
        <v>8</v>
      </c>
      <c r="C656">
        <v>3</v>
      </c>
      <c r="D656">
        <v>10</v>
      </c>
      <c r="E656" t="s">
        <v>547</v>
      </c>
      <c r="F656" t="s">
        <v>400</v>
      </c>
      <c r="G656" s="15">
        <v>45141</v>
      </c>
      <c r="H656" t="s">
        <v>144</v>
      </c>
      <c r="I656" t="s">
        <v>533</v>
      </c>
      <c r="J656" t="s">
        <v>534</v>
      </c>
      <c r="K656">
        <v>9</v>
      </c>
      <c r="L656" t="s">
        <v>137</v>
      </c>
      <c r="M656" t="s">
        <v>535</v>
      </c>
      <c r="N656" t="s">
        <v>170</v>
      </c>
      <c r="O656">
        <v>72.8</v>
      </c>
      <c r="P656">
        <v>131</v>
      </c>
      <c r="Q656">
        <v>6692</v>
      </c>
      <c r="R656" t="s">
        <v>145</v>
      </c>
      <c r="S656" t="s">
        <v>116</v>
      </c>
      <c r="T656" t="s">
        <v>407</v>
      </c>
      <c r="U656" t="s">
        <v>179</v>
      </c>
      <c r="V656" t="s">
        <v>132</v>
      </c>
      <c r="W656" t="s">
        <v>537</v>
      </c>
      <c r="Y656" t="s">
        <v>123</v>
      </c>
      <c r="AA656">
        <v>1</v>
      </c>
      <c r="AB656" t="s">
        <v>99</v>
      </c>
      <c r="AC656" t="s">
        <v>222</v>
      </c>
      <c r="AE656" t="str">
        <f t="shared" si="10"/>
        <v>FlandersLynch</v>
      </c>
      <c r="AF656">
        <v>1</v>
      </c>
      <c r="AG656">
        <v>1</v>
      </c>
      <c r="AH656">
        <v>0</v>
      </c>
      <c r="AI656">
        <v>0</v>
      </c>
      <c r="AJ656">
        <v>1</v>
      </c>
      <c r="AK656" t="s">
        <v>176</v>
      </c>
      <c r="AL656">
        <v>0.59649122807017496</v>
      </c>
      <c r="AM656" t="s">
        <v>272</v>
      </c>
      <c r="AN656">
        <v>0.51041666666666696</v>
      </c>
    </row>
    <row r="657" spans="2:40" ht="15" customHeight="1" x14ac:dyDescent="0.2">
      <c r="B657">
        <v>9</v>
      </c>
      <c r="C657">
        <v>4</v>
      </c>
      <c r="D657">
        <v>10</v>
      </c>
      <c r="E657" t="s">
        <v>548</v>
      </c>
      <c r="F657" t="s">
        <v>400</v>
      </c>
      <c r="G657" s="15">
        <v>45141</v>
      </c>
      <c r="H657" t="s">
        <v>144</v>
      </c>
      <c r="I657" t="s">
        <v>533</v>
      </c>
      <c r="J657" t="s">
        <v>534</v>
      </c>
      <c r="K657">
        <v>9</v>
      </c>
      <c r="L657" t="s">
        <v>137</v>
      </c>
      <c r="M657" t="s">
        <v>535</v>
      </c>
      <c r="N657" t="s">
        <v>170</v>
      </c>
      <c r="O657">
        <v>72.8</v>
      </c>
      <c r="P657">
        <v>131</v>
      </c>
      <c r="Q657">
        <v>6692</v>
      </c>
      <c r="R657" t="s">
        <v>145</v>
      </c>
      <c r="S657" t="s">
        <v>116</v>
      </c>
      <c r="T657" t="s">
        <v>407</v>
      </c>
      <c r="U657" t="s">
        <v>179</v>
      </c>
      <c r="V657" t="s">
        <v>1308</v>
      </c>
      <c r="W657" t="s">
        <v>537</v>
      </c>
      <c r="Y657" t="s">
        <v>541</v>
      </c>
      <c r="AA657">
        <v>1</v>
      </c>
      <c r="AB657" t="s">
        <v>101</v>
      </c>
      <c r="AC657" t="s">
        <v>139</v>
      </c>
      <c r="AE657" t="str">
        <f t="shared" si="10"/>
        <v>ConnollyR. Connolly</v>
      </c>
      <c r="AF657">
        <v>0.5</v>
      </c>
      <c r="AG657">
        <v>0</v>
      </c>
      <c r="AH657">
        <v>0</v>
      </c>
      <c r="AI657">
        <v>1</v>
      </c>
      <c r="AJ657">
        <v>0.5</v>
      </c>
      <c r="AK657" t="s">
        <v>226</v>
      </c>
      <c r="AL657">
        <v>0.65476190476190499</v>
      </c>
      <c r="AM657" t="s">
        <v>231</v>
      </c>
      <c r="AN657">
        <v>0.5</v>
      </c>
    </row>
    <row r="658" spans="2:40" ht="15" customHeight="1" x14ac:dyDescent="0.2">
      <c r="B658">
        <v>9</v>
      </c>
      <c r="C658">
        <v>4</v>
      </c>
      <c r="D658">
        <v>10</v>
      </c>
      <c r="E658" t="s">
        <v>548</v>
      </c>
      <c r="F658" t="s">
        <v>400</v>
      </c>
      <c r="G658" s="15">
        <v>45141</v>
      </c>
      <c r="H658" t="s">
        <v>144</v>
      </c>
      <c r="I658" t="s">
        <v>533</v>
      </c>
      <c r="J658" t="s">
        <v>534</v>
      </c>
      <c r="K658">
        <v>9</v>
      </c>
      <c r="L658" t="s">
        <v>137</v>
      </c>
      <c r="M658" t="s">
        <v>535</v>
      </c>
      <c r="N658" t="s">
        <v>170</v>
      </c>
      <c r="O658">
        <v>72.8</v>
      </c>
      <c r="P658">
        <v>131</v>
      </c>
      <c r="Q658">
        <v>6692</v>
      </c>
      <c r="R658" t="s">
        <v>145</v>
      </c>
      <c r="S658" t="s">
        <v>116</v>
      </c>
      <c r="T658" t="s">
        <v>407</v>
      </c>
      <c r="U658" t="s">
        <v>231</v>
      </c>
      <c r="V658" t="s">
        <v>226</v>
      </c>
      <c r="W658" t="s">
        <v>536</v>
      </c>
      <c r="Y658" t="s">
        <v>231</v>
      </c>
      <c r="AA658">
        <v>1</v>
      </c>
      <c r="AB658" t="s">
        <v>101</v>
      </c>
      <c r="AC658" t="s">
        <v>139</v>
      </c>
      <c r="AE658" t="str">
        <f t="shared" si="10"/>
        <v>GrayMcInerney</v>
      </c>
      <c r="AF658">
        <v>0.5</v>
      </c>
      <c r="AG658">
        <v>0</v>
      </c>
      <c r="AH658">
        <v>0</v>
      </c>
      <c r="AI658">
        <v>1</v>
      </c>
      <c r="AJ658">
        <v>0.5</v>
      </c>
      <c r="AK658" t="s">
        <v>1308</v>
      </c>
      <c r="AL658">
        <v>0.59375</v>
      </c>
      <c r="AM658" t="s">
        <v>541</v>
      </c>
      <c r="AN658">
        <v>0.33333333333333298</v>
      </c>
    </row>
    <row r="659" spans="2:40" ht="15" customHeight="1" x14ac:dyDescent="0.2">
      <c r="B659">
        <v>10</v>
      </c>
      <c r="C659">
        <v>5</v>
      </c>
      <c r="D659">
        <v>10</v>
      </c>
      <c r="E659" t="s">
        <v>549</v>
      </c>
      <c r="F659" t="s">
        <v>400</v>
      </c>
      <c r="G659" s="15">
        <v>45141</v>
      </c>
      <c r="H659" t="s">
        <v>144</v>
      </c>
      <c r="I659" t="s">
        <v>533</v>
      </c>
      <c r="J659" t="s">
        <v>534</v>
      </c>
      <c r="K659">
        <v>9</v>
      </c>
      <c r="L659" t="s">
        <v>137</v>
      </c>
      <c r="M659" t="s">
        <v>535</v>
      </c>
      <c r="N659" t="s">
        <v>170</v>
      </c>
      <c r="O659">
        <v>72.8</v>
      </c>
      <c r="P659">
        <v>131</v>
      </c>
      <c r="Q659">
        <v>6692</v>
      </c>
      <c r="R659" t="s">
        <v>145</v>
      </c>
      <c r="S659" t="s">
        <v>116</v>
      </c>
      <c r="T659" t="s">
        <v>407</v>
      </c>
      <c r="U659" t="s">
        <v>231</v>
      </c>
      <c r="V659" t="s">
        <v>452</v>
      </c>
      <c r="W659" t="s">
        <v>536</v>
      </c>
      <c r="Y659" t="s">
        <v>172</v>
      </c>
      <c r="AA659">
        <v>1</v>
      </c>
      <c r="AB659" t="s">
        <v>101</v>
      </c>
      <c r="AC659" t="s">
        <v>139</v>
      </c>
      <c r="AE659" t="str">
        <f t="shared" si="10"/>
        <v>DelnekyFogan</v>
      </c>
      <c r="AF659">
        <v>0.5</v>
      </c>
      <c r="AG659">
        <v>0</v>
      </c>
      <c r="AH659">
        <v>0</v>
      </c>
      <c r="AI659">
        <v>1</v>
      </c>
      <c r="AJ659">
        <v>0.5</v>
      </c>
      <c r="AK659" t="s">
        <v>321</v>
      </c>
      <c r="AL659">
        <v>0.46551724137931</v>
      </c>
      <c r="AM659" t="s">
        <v>456</v>
      </c>
      <c r="AN659">
        <v>0.63888888888888895</v>
      </c>
    </row>
    <row r="660" spans="2:40" ht="15" customHeight="1" x14ac:dyDescent="0.2">
      <c r="B660">
        <v>10</v>
      </c>
      <c r="C660">
        <v>5</v>
      </c>
      <c r="D660">
        <v>10</v>
      </c>
      <c r="E660" t="s">
        <v>549</v>
      </c>
      <c r="F660" t="s">
        <v>400</v>
      </c>
      <c r="G660" s="15">
        <v>45141</v>
      </c>
      <c r="H660" t="s">
        <v>144</v>
      </c>
      <c r="I660" t="s">
        <v>533</v>
      </c>
      <c r="J660" t="s">
        <v>534</v>
      </c>
      <c r="K660">
        <v>9</v>
      </c>
      <c r="L660" t="s">
        <v>137</v>
      </c>
      <c r="M660" t="s">
        <v>535</v>
      </c>
      <c r="N660" t="s">
        <v>170</v>
      </c>
      <c r="O660">
        <v>72.8</v>
      </c>
      <c r="P660">
        <v>131</v>
      </c>
      <c r="Q660">
        <v>6692</v>
      </c>
      <c r="R660" t="s">
        <v>145</v>
      </c>
      <c r="S660" t="s">
        <v>116</v>
      </c>
      <c r="T660" t="s">
        <v>407</v>
      </c>
      <c r="U660" t="s">
        <v>179</v>
      </c>
      <c r="V660" t="s">
        <v>321</v>
      </c>
      <c r="W660" t="s">
        <v>537</v>
      </c>
      <c r="Y660" t="s">
        <v>456</v>
      </c>
      <c r="AA660">
        <v>1</v>
      </c>
      <c r="AB660" t="s">
        <v>101</v>
      </c>
      <c r="AC660" t="s">
        <v>139</v>
      </c>
      <c r="AE660" t="str">
        <f t="shared" si="10"/>
        <v>DelaneyPerkins</v>
      </c>
      <c r="AF660">
        <v>0.5</v>
      </c>
      <c r="AG660">
        <v>0</v>
      </c>
      <c r="AH660">
        <v>0</v>
      </c>
      <c r="AI660">
        <v>1</v>
      </c>
      <c r="AJ660">
        <v>0.5</v>
      </c>
      <c r="AK660" t="s">
        <v>452</v>
      </c>
      <c r="AL660">
        <v>0.65909090909090895</v>
      </c>
      <c r="AM660" t="s">
        <v>172</v>
      </c>
      <c r="AN660">
        <v>0.37288135593220301</v>
      </c>
    </row>
    <row r="661" spans="2:40" ht="15" customHeight="1" x14ac:dyDescent="0.2">
      <c r="B661">
        <v>11</v>
      </c>
      <c r="C661">
        <v>1</v>
      </c>
      <c r="D661">
        <v>10</v>
      </c>
      <c r="E661" t="s">
        <v>550</v>
      </c>
      <c r="F661" t="s">
        <v>268</v>
      </c>
      <c r="G661" s="15">
        <v>45142</v>
      </c>
      <c r="H661" t="s">
        <v>109</v>
      </c>
      <c r="I661" t="s">
        <v>533</v>
      </c>
      <c r="J661" t="s">
        <v>534</v>
      </c>
      <c r="K661">
        <v>9</v>
      </c>
      <c r="L661" t="s">
        <v>112</v>
      </c>
      <c r="M661" t="s">
        <v>551</v>
      </c>
      <c r="N661" t="s">
        <v>170</v>
      </c>
      <c r="O661">
        <v>73.599999999999994</v>
      </c>
      <c r="P661">
        <v>135</v>
      </c>
      <c r="Q661">
        <v>6705</v>
      </c>
      <c r="R661" t="s">
        <v>115</v>
      </c>
      <c r="S661" t="s">
        <v>116</v>
      </c>
      <c r="T661" t="s">
        <v>407</v>
      </c>
      <c r="U661" t="s">
        <v>231</v>
      </c>
      <c r="V661" t="s">
        <v>133</v>
      </c>
      <c r="W661" t="s">
        <v>552</v>
      </c>
      <c r="Y661" t="s">
        <v>272</v>
      </c>
      <c r="AA661">
        <v>1</v>
      </c>
      <c r="AB661" t="s">
        <v>99</v>
      </c>
      <c r="AC661" t="s">
        <v>225</v>
      </c>
      <c r="AE661" t="str">
        <f t="shared" si="10"/>
        <v>MangoldWelker</v>
      </c>
      <c r="AF661">
        <v>1</v>
      </c>
      <c r="AG661">
        <v>1</v>
      </c>
      <c r="AH661">
        <v>0</v>
      </c>
      <c r="AI661">
        <v>0</v>
      </c>
      <c r="AJ661">
        <v>1</v>
      </c>
      <c r="AK661" t="s">
        <v>179</v>
      </c>
      <c r="AL661">
        <v>0.44067796610169502</v>
      </c>
      <c r="AM661" t="s">
        <v>541</v>
      </c>
      <c r="AN661">
        <v>0.33333333333333298</v>
      </c>
    </row>
    <row r="662" spans="2:40" ht="15" customHeight="1" x14ac:dyDescent="0.2">
      <c r="B662">
        <v>11</v>
      </c>
      <c r="C662">
        <v>1</v>
      </c>
      <c r="D662">
        <v>10</v>
      </c>
      <c r="E662" t="s">
        <v>550</v>
      </c>
      <c r="F662" t="s">
        <v>268</v>
      </c>
      <c r="G662" s="15">
        <v>45142</v>
      </c>
      <c r="H662" t="s">
        <v>109</v>
      </c>
      <c r="I662" t="s">
        <v>533</v>
      </c>
      <c r="J662" t="s">
        <v>534</v>
      </c>
      <c r="K662">
        <v>9</v>
      </c>
      <c r="L662" t="s">
        <v>112</v>
      </c>
      <c r="M662" t="s">
        <v>551</v>
      </c>
      <c r="N662" t="s">
        <v>170</v>
      </c>
      <c r="O662">
        <v>73.599999999999994</v>
      </c>
      <c r="P662">
        <v>135</v>
      </c>
      <c r="Q662">
        <v>6705</v>
      </c>
      <c r="R662" t="s">
        <v>115</v>
      </c>
      <c r="S662" t="s">
        <v>116</v>
      </c>
      <c r="T662" t="s">
        <v>407</v>
      </c>
      <c r="U662" t="s">
        <v>179</v>
      </c>
      <c r="V662" t="s">
        <v>179</v>
      </c>
      <c r="W662" t="s">
        <v>553</v>
      </c>
      <c r="Y662" t="s">
        <v>541</v>
      </c>
      <c r="AA662">
        <v>1</v>
      </c>
      <c r="AB662" t="s">
        <v>100</v>
      </c>
      <c r="AC662" t="s">
        <v>225</v>
      </c>
      <c r="AE662" t="str">
        <f t="shared" si="10"/>
        <v>ColeR. Connolly</v>
      </c>
      <c r="AF662">
        <v>0</v>
      </c>
      <c r="AG662">
        <v>0</v>
      </c>
      <c r="AH662">
        <v>1</v>
      </c>
      <c r="AI662">
        <v>0</v>
      </c>
      <c r="AJ662">
        <v>0</v>
      </c>
      <c r="AK662" t="s">
        <v>133</v>
      </c>
      <c r="AL662">
        <v>0.38392857142857201</v>
      </c>
      <c r="AM662" t="s">
        <v>272</v>
      </c>
      <c r="AN662">
        <v>0.51041666666666696</v>
      </c>
    </row>
    <row r="663" spans="2:40" ht="15" customHeight="1" x14ac:dyDescent="0.2">
      <c r="B663">
        <v>12</v>
      </c>
      <c r="C663">
        <v>2</v>
      </c>
      <c r="D663">
        <v>10</v>
      </c>
      <c r="E663" t="s">
        <v>554</v>
      </c>
      <c r="F663" t="s">
        <v>268</v>
      </c>
      <c r="G663" s="15">
        <v>45142</v>
      </c>
      <c r="H663" t="s">
        <v>109</v>
      </c>
      <c r="I663" t="s">
        <v>533</v>
      </c>
      <c r="J663" t="s">
        <v>534</v>
      </c>
      <c r="K663">
        <v>9</v>
      </c>
      <c r="L663" t="s">
        <v>112</v>
      </c>
      <c r="M663" t="s">
        <v>551</v>
      </c>
      <c r="N663" t="s">
        <v>170</v>
      </c>
      <c r="O663">
        <v>73.599999999999994</v>
      </c>
      <c r="P663">
        <v>135</v>
      </c>
      <c r="Q663">
        <v>6705</v>
      </c>
      <c r="R663" t="s">
        <v>115</v>
      </c>
      <c r="S663" t="s">
        <v>116</v>
      </c>
      <c r="T663" t="s">
        <v>407</v>
      </c>
      <c r="U663" t="s">
        <v>179</v>
      </c>
      <c r="V663" t="s">
        <v>321</v>
      </c>
      <c r="W663" t="s">
        <v>553</v>
      </c>
      <c r="Y663" t="s">
        <v>122</v>
      </c>
      <c r="AA663">
        <v>1</v>
      </c>
      <c r="AB663" t="s">
        <v>100</v>
      </c>
      <c r="AC663" t="s">
        <v>263</v>
      </c>
      <c r="AE663" t="str">
        <f t="shared" si="10"/>
        <v>DelaneyHilts</v>
      </c>
      <c r="AF663">
        <v>0</v>
      </c>
      <c r="AG663">
        <v>0</v>
      </c>
      <c r="AH663">
        <v>1</v>
      </c>
      <c r="AI663">
        <v>0</v>
      </c>
      <c r="AJ663">
        <v>0</v>
      </c>
      <c r="AK663" t="s">
        <v>178</v>
      </c>
      <c r="AL663">
        <v>0.34745762711864397</v>
      </c>
      <c r="AM663" t="s">
        <v>118</v>
      </c>
      <c r="AN663">
        <v>0.6171875</v>
      </c>
    </row>
    <row r="664" spans="2:40" ht="15" customHeight="1" x14ac:dyDescent="0.2">
      <c r="B664">
        <v>12</v>
      </c>
      <c r="C664">
        <v>2</v>
      </c>
      <c r="D664">
        <v>10</v>
      </c>
      <c r="E664" t="s">
        <v>554</v>
      </c>
      <c r="F664" t="s">
        <v>268</v>
      </c>
      <c r="G664" s="15">
        <v>45142</v>
      </c>
      <c r="H664" t="s">
        <v>109</v>
      </c>
      <c r="I664" t="s">
        <v>533</v>
      </c>
      <c r="J664" t="s">
        <v>534</v>
      </c>
      <c r="K664">
        <v>9</v>
      </c>
      <c r="L664" t="s">
        <v>112</v>
      </c>
      <c r="M664" t="s">
        <v>551</v>
      </c>
      <c r="N664" t="s">
        <v>170</v>
      </c>
      <c r="O664">
        <v>73.599999999999994</v>
      </c>
      <c r="P664">
        <v>135</v>
      </c>
      <c r="Q664">
        <v>6705</v>
      </c>
      <c r="R664" t="s">
        <v>115</v>
      </c>
      <c r="S664" t="s">
        <v>116</v>
      </c>
      <c r="T664" t="s">
        <v>407</v>
      </c>
      <c r="U664" t="s">
        <v>231</v>
      </c>
      <c r="V664" t="s">
        <v>178</v>
      </c>
      <c r="W664" t="s">
        <v>552</v>
      </c>
      <c r="Y664" t="s">
        <v>118</v>
      </c>
      <c r="AA664">
        <v>1</v>
      </c>
      <c r="AB664" t="s">
        <v>99</v>
      </c>
      <c r="AC664" t="s">
        <v>263</v>
      </c>
      <c r="AE664" t="str">
        <f t="shared" si="10"/>
        <v>ConnorsJackson</v>
      </c>
      <c r="AF664">
        <v>1</v>
      </c>
      <c r="AG664">
        <v>1</v>
      </c>
      <c r="AH664">
        <v>0</v>
      </c>
      <c r="AI664">
        <v>0</v>
      </c>
      <c r="AJ664">
        <v>1</v>
      </c>
      <c r="AK664" t="s">
        <v>321</v>
      </c>
      <c r="AL664">
        <v>0.46551724137931</v>
      </c>
      <c r="AM664" t="s">
        <v>122</v>
      </c>
      <c r="AN664">
        <v>0.47321428571428598</v>
      </c>
    </row>
    <row r="665" spans="2:40" ht="15" customHeight="1" x14ac:dyDescent="0.2">
      <c r="B665">
        <v>13</v>
      </c>
      <c r="C665">
        <v>3</v>
      </c>
      <c r="D665">
        <v>10</v>
      </c>
      <c r="E665" t="s">
        <v>555</v>
      </c>
      <c r="F665" t="s">
        <v>268</v>
      </c>
      <c r="G665" s="15">
        <v>45142</v>
      </c>
      <c r="H665" t="s">
        <v>109</v>
      </c>
      <c r="I665" t="s">
        <v>533</v>
      </c>
      <c r="J665" t="s">
        <v>534</v>
      </c>
      <c r="K665">
        <v>9</v>
      </c>
      <c r="L665" t="s">
        <v>112</v>
      </c>
      <c r="M665" t="s">
        <v>551</v>
      </c>
      <c r="N665" t="s">
        <v>170</v>
      </c>
      <c r="O665">
        <v>73.599999999999994</v>
      </c>
      <c r="P665">
        <v>135</v>
      </c>
      <c r="Q665">
        <v>6705</v>
      </c>
      <c r="R665" t="s">
        <v>115</v>
      </c>
      <c r="S665" t="s">
        <v>116</v>
      </c>
      <c r="T665" t="s">
        <v>407</v>
      </c>
      <c r="U665" t="s">
        <v>231</v>
      </c>
      <c r="V665" t="s">
        <v>452</v>
      </c>
      <c r="W665" t="s">
        <v>552</v>
      </c>
      <c r="Y665" t="s">
        <v>226</v>
      </c>
      <c r="AA665">
        <v>1</v>
      </c>
      <c r="AB665" t="s">
        <v>99</v>
      </c>
      <c r="AC665" t="s">
        <v>288</v>
      </c>
      <c r="AE665" t="str">
        <f t="shared" si="10"/>
        <v>DelnekyGray</v>
      </c>
      <c r="AF665">
        <v>1</v>
      </c>
      <c r="AG665">
        <v>1</v>
      </c>
      <c r="AH665">
        <v>0</v>
      </c>
      <c r="AI665">
        <v>0</v>
      </c>
      <c r="AJ665">
        <v>1</v>
      </c>
      <c r="AK665" t="s">
        <v>123</v>
      </c>
      <c r="AL665">
        <v>0.5546875</v>
      </c>
      <c r="AM665" t="s">
        <v>456</v>
      </c>
      <c r="AN665">
        <v>0.63888888888888895</v>
      </c>
    </row>
    <row r="666" spans="2:40" ht="15" customHeight="1" x14ac:dyDescent="0.2">
      <c r="B666">
        <v>13</v>
      </c>
      <c r="C666">
        <v>3</v>
      </c>
      <c r="D666">
        <v>10</v>
      </c>
      <c r="E666" t="s">
        <v>555</v>
      </c>
      <c r="F666" t="s">
        <v>268</v>
      </c>
      <c r="G666" s="15">
        <v>45142</v>
      </c>
      <c r="H666" t="s">
        <v>109</v>
      </c>
      <c r="I666" t="s">
        <v>533</v>
      </c>
      <c r="J666" t="s">
        <v>534</v>
      </c>
      <c r="K666">
        <v>9</v>
      </c>
      <c r="L666" t="s">
        <v>112</v>
      </c>
      <c r="M666" t="s">
        <v>551</v>
      </c>
      <c r="N666" t="s">
        <v>170</v>
      </c>
      <c r="O666">
        <v>73.599999999999994</v>
      </c>
      <c r="P666">
        <v>135</v>
      </c>
      <c r="Q666">
        <v>6705</v>
      </c>
      <c r="R666" t="s">
        <v>115</v>
      </c>
      <c r="S666" t="s">
        <v>116</v>
      </c>
      <c r="T666" t="s">
        <v>407</v>
      </c>
      <c r="U666" t="s">
        <v>179</v>
      </c>
      <c r="V666" t="s">
        <v>123</v>
      </c>
      <c r="W666" t="s">
        <v>553</v>
      </c>
      <c r="Y666" t="s">
        <v>456</v>
      </c>
      <c r="AA666">
        <v>1</v>
      </c>
      <c r="AB666" t="s">
        <v>100</v>
      </c>
      <c r="AC666" t="s">
        <v>288</v>
      </c>
      <c r="AE666" t="str">
        <f t="shared" si="10"/>
        <v>LynchPerkins</v>
      </c>
      <c r="AF666">
        <v>0</v>
      </c>
      <c r="AG666">
        <v>0</v>
      </c>
      <c r="AH666">
        <v>1</v>
      </c>
      <c r="AI666">
        <v>0</v>
      </c>
      <c r="AJ666">
        <v>0</v>
      </c>
      <c r="AK666" t="s">
        <v>452</v>
      </c>
      <c r="AL666">
        <v>0.65909090909090895</v>
      </c>
      <c r="AM666" t="s">
        <v>226</v>
      </c>
      <c r="AN666">
        <v>0.65476190476190499</v>
      </c>
    </row>
    <row r="667" spans="2:40" ht="15" customHeight="1" x14ac:dyDescent="0.2">
      <c r="B667">
        <v>14</v>
      </c>
      <c r="C667">
        <v>4</v>
      </c>
      <c r="D667">
        <v>10</v>
      </c>
      <c r="E667" t="s">
        <v>556</v>
      </c>
      <c r="F667" t="s">
        <v>268</v>
      </c>
      <c r="G667" s="15">
        <v>45142</v>
      </c>
      <c r="H667" t="s">
        <v>109</v>
      </c>
      <c r="I667" t="s">
        <v>533</v>
      </c>
      <c r="J667" t="s">
        <v>534</v>
      </c>
      <c r="K667">
        <v>9</v>
      </c>
      <c r="L667" t="s">
        <v>112</v>
      </c>
      <c r="M667" t="s">
        <v>551</v>
      </c>
      <c r="N667" t="s">
        <v>170</v>
      </c>
      <c r="O667">
        <v>73.599999999999994</v>
      </c>
      <c r="P667">
        <v>135</v>
      </c>
      <c r="Q667">
        <v>6705</v>
      </c>
      <c r="R667" t="s">
        <v>115</v>
      </c>
      <c r="S667" t="s">
        <v>116</v>
      </c>
      <c r="T667" t="s">
        <v>407</v>
      </c>
      <c r="U667" t="s">
        <v>179</v>
      </c>
      <c r="V667" t="s">
        <v>1308</v>
      </c>
      <c r="W667" t="s">
        <v>553</v>
      </c>
      <c r="Y667" t="s">
        <v>119</v>
      </c>
      <c r="AA667">
        <v>1</v>
      </c>
      <c r="AB667" t="s">
        <v>99</v>
      </c>
      <c r="AC667" t="s">
        <v>263</v>
      </c>
      <c r="AE667" t="str">
        <f t="shared" si="10"/>
        <v>ConnollyGrise</v>
      </c>
      <c r="AF667">
        <v>1</v>
      </c>
      <c r="AG667">
        <v>1</v>
      </c>
      <c r="AH667">
        <v>0</v>
      </c>
      <c r="AI667">
        <v>0</v>
      </c>
      <c r="AJ667">
        <v>1</v>
      </c>
      <c r="AK667" t="s">
        <v>231</v>
      </c>
      <c r="AL667">
        <v>0.5</v>
      </c>
      <c r="AM667" t="s">
        <v>172</v>
      </c>
      <c r="AN667">
        <v>0.37288135593220301</v>
      </c>
    </row>
    <row r="668" spans="2:40" ht="15" customHeight="1" x14ac:dyDescent="0.2">
      <c r="B668">
        <v>14</v>
      </c>
      <c r="C668">
        <v>4</v>
      </c>
      <c r="D668">
        <v>10</v>
      </c>
      <c r="E668" t="s">
        <v>556</v>
      </c>
      <c r="F668" t="s">
        <v>268</v>
      </c>
      <c r="G668" s="15">
        <v>45142</v>
      </c>
      <c r="H668" t="s">
        <v>109</v>
      </c>
      <c r="I668" t="s">
        <v>533</v>
      </c>
      <c r="J668" t="s">
        <v>534</v>
      </c>
      <c r="K668">
        <v>9</v>
      </c>
      <c r="L668" t="s">
        <v>112</v>
      </c>
      <c r="M668" t="s">
        <v>551</v>
      </c>
      <c r="N668" t="s">
        <v>170</v>
      </c>
      <c r="O668">
        <v>73.599999999999994</v>
      </c>
      <c r="P668">
        <v>135</v>
      </c>
      <c r="Q668">
        <v>6705</v>
      </c>
      <c r="R668" t="s">
        <v>115</v>
      </c>
      <c r="S668" t="s">
        <v>116</v>
      </c>
      <c r="T668" t="s">
        <v>407</v>
      </c>
      <c r="U668" t="s">
        <v>231</v>
      </c>
      <c r="V668" t="s">
        <v>231</v>
      </c>
      <c r="W668" t="s">
        <v>552</v>
      </c>
      <c r="Y668" t="s">
        <v>172</v>
      </c>
      <c r="AA668">
        <v>1</v>
      </c>
      <c r="AB668" t="s">
        <v>100</v>
      </c>
      <c r="AC668" t="s">
        <v>263</v>
      </c>
      <c r="AE668" t="str">
        <f t="shared" si="10"/>
        <v>McInerneyFogan</v>
      </c>
      <c r="AF668">
        <v>0</v>
      </c>
      <c r="AG668">
        <v>0</v>
      </c>
      <c r="AH668">
        <v>1</v>
      </c>
      <c r="AI668">
        <v>0</v>
      </c>
      <c r="AJ668">
        <v>0</v>
      </c>
      <c r="AK668" t="s">
        <v>1308</v>
      </c>
      <c r="AL668">
        <v>0.59375</v>
      </c>
      <c r="AM668" t="s">
        <v>119</v>
      </c>
      <c r="AN668">
        <v>0.546875</v>
      </c>
    </row>
    <row r="669" spans="2:40" ht="15" customHeight="1" x14ac:dyDescent="0.2">
      <c r="B669">
        <v>15</v>
      </c>
      <c r="C669">
        <v>5</v>
      </c>
      <c r="D669">
        <v>10</v>
      </c>
      <c r="E669" t="s">
        <v>557</v>
      </c>
      <c r="F669" t="s">
        <v>268</v>
      </c>
      <c r="G669" s="15">
        <v>45142</v>
      </c>
      <c r="H669" t="s">
        <v>109</v>
      </c>
      <c r="I669" t="s">
        <v>533</v>
      </c>
      <c r="J669" t="s">
        <v>534</v>
      </c>
      <c r="K669">
        <v>9</v>
      </c>
      <c r="L669" t="s">
        <v>112</v>
      </c>
      <c r="M669" t="s">
        <v>551</v>
      </c>
      <c r="N669" t="s">
        <v>170</v>
      </c>
      <c r="O669">
        <v>73.599999999999994</v>
      </c>
      <c r="P669">
        <v>135</v>
      </c>
      <c r="Q669">
        <v>6705</v>
      </c>
      <c r="R669" t="s">
        <v>115</v>
      </c>
      <c r="S669" t="s">
        <v>116</v>
      </c>
      <c r="T669" t="s">
        <v>407</v>
      </c>
      <c r="U669" t="s">
        <v>231</v>
      </c>
      <c r="V669" t="s">
        <v>176</v>
      </c>
      <c r="W669" t="s">
        <v>552</v>
      </c>
      <c r="Y669" t="s">
        <v>227</v>
      </c>
      <c r="AA669">
        <v>1</v>
      </c>
      <c r="AB669" t="s">
        <v>100</v>
      </c>
      <c r="AC669" t="s">
        <v>239</v>
      </c>
      <c r="AE669" t="str">
        <f t="shared" si="10"/>
        <v>ForsterZimmer</v>
      </c>
      <c r="AF669">
        <v>0</v>
      </c>
      <c r="AG669">
        <v>0</v>
      </c>
      <c r="AH669">
        <v>1</v>
      </c>
      <c r="AI669">
        <v>0</v>
      </c>
      <c r="AJ669">
        <v>0</v>
      </c>
      <c r="AK669" t="s">
        <v>127</v>
      </c>
      <c r="AL669">
        <v>0.59523809523809501</v>
      </c>
      <c r="AM669" t="s">
        <v>132</v>
      </c>
      <c r="AN669">
        <v>0.4296875</v>
      </c>
    </row>
    <row r="670" spans="2:40" ht="15" customHeight="1" x14ac:dyDescent="0.2">
      <c r="B670">
        <v>15</v>
      </c>
      <c r="C670">
        <v>5</v>
      </c>
      <c r="D670">
        <v>10</v>
      </c>
      <c r="E670" t="s">
        <v>557</v>
      </c>
      <c r="F670" t="s">
        <v>268</v>
      </c>
      <c r="G670" s="15">
        <v>45142</v>
      </c>
      <c r="H670" t="s">
        <v>109</v>
      </c>
      <c r="I670" t="s">
        <v>533</v>
      </c>
      <c r="J670" t="s">
        <v>534</v>
      </c>
      <c r="K670">
        <v>9</v>
      </c>
      <c r="L670" t="s">
        <v>112</v>
      </c>
      <c r="M670" t="s">
        <v>551</v>
      </c>
      <c r="N670" t="s">
        <v>170</v>
      </c>
      <c r="O670">
        <v>73.599999999999994</v>
      </c>
      <c r="P670">
        <v>135</v>
      </c>
      <c r="Q670">
        <v>6705</v>
      </c>
      <c r="R670" t="s">
        <v>115</v>
      </c>
      <c r="S670" t="s">
        <v>116</v>
      </c>
      <c r="T670" t="s">
        <v>407</v>
      </c>
      <c r="U670" t="s">
        <v>179</v>
      </c>
      <c r="V670" t="s">
        <v>127</v>
      </c>
      <c r="W670" t="s">
        <v>553</v>
      </c>
      <c r="Y670" t="s">
        <v>132</v>
      </c>
      <c r="AA670">
        <v>1</v>
      </c>
      <c r="AB670" t="s">
        <v>99</v>
      </c>
      <c r="AC670" t="s">
        <v>239</v>
      </c>
      <c r="AE670" t="str">
        <f t="shared" si="10"/>
        <v>FerrinFlanders</v>
      </c>
      <c r="AF670">
        <v>1</v>
      </c>
      <c r="AG670">
        <v>1</v>
      </c>
      <c r="AH670">
        <v>0</v>
      </c>
      <c r="AI670">
        <v>0</v>
      </c>
      <c r="AJ670">
        <v>1</v>
      </c>
      <c r="AK670" t="s">
        <v>176</v>
      </c>
      <c r="AL670">
        <v>0.59649122807017496</v>
      </c>
      <c r="AM670" t="s">
        <v>227</v>
      </c>
      <c r="AN670">
        <v>0.5</v>
      </c>
    </row>
    <row r="671" spans="2:40" ht="15" customHeight="1" x14ac:dyDescent="0.2">
      <c r="B671">
        <v>16</v>
      </c>
      <c r="C671">
        <v>1</v>
      </c>
      <c r="D671">
        <v>10</v>
      </c>
      <c r="E671" t="s">
        <v>558</v>
      </c>
      <c r="F671" t="s">
        <v>268</v>
      </c>
      <c r="G671" s="15">
        <v>45142</v>
      </c>
      <c r="H671" t="s">
        <v>109</v>
      </c>
      <c r="I671" t="s">
        <v>533</v>
      </c>
      <c r="J671" t="s">
        <v>534</v>
      </c>
      <c r="K671">
        <v>9</v>
      </c>
      <c r="L671" t="s">
        <v>137</v>
      </c>
      <c r="M671" t="s">
        <v>559</v>
      </c>
      <c r="N671" t="s">
        <v>170</v>
      </c>
      <c r="O671">
        <v>73.599999999999994</v>
      </c>
      <c r="P671">
        <v>135</v>
      </c>
      <c r="Q671">
        <v>6705</v>
      </c>
      <c r="R671" t="s">
        <v>368</v>
      </c>
      <c r="S671" t="s">
        <v>116</v>
      </c>
      <c r="T671" t="s">
        <v>407</v>
      </c>
      <c r="U671" t="s">
        <v>231</v>
      </c>
      <c r="V671" t="s">
        <v>133</v>
      </c>
      <c r="W671" t="s">
        <v>552</v>
      </c>
      <c r="Y671" t="s">
        <v>272</v>
      </c>
      <c r="AA671">
        <v>1</v>
      </c>
      <c r="AB671" t="s">
        <v>99</v>
      </c>
      <c r="AC671" t="s">
        <v>239</v>
      </c>
      <c r="AE671" t="str">
        <f t="shared" si="10"/>
        <v>MangoldWelker</v>
      </c>
      <c r="AF671">
        <v>1</v>
      </c>
      <c r="AG671">
        <v>1</v>
      </c>
      <c r="AH671">
        <v>0</v>
      </c>
      <c r="AI671">
        <v>0</v>
      </c>
      <c r="AJ671">
        <v>1</v>
      </c>
      <c r="AK671" t="s">
        <v>179</v>
      </c>
      <c r="AL671">
        <v>0.44067796610169502</v>
      </c>
      <c r="AM671" t="s">
        <v>541</v>
      </c>
      <c r="AN671">
        <v>0.33333333333333298</v>
      </c>
    </row>
    <row r="672" spans="2:40" ht="15" customHeight="1" x14ac:dyDescent="0.2">
      <c r="B672">
        <v>16</v>
      </c>
      <c r="C672">
        <v>1</v>
      </c>
      <c r="D672">
        <v>10</v>
      </c>
      <c r="E672" t="s">
        <v>558</v>
      </c>
      <c r="F672" t="s">
        <v>268</v>
      </c>
      <c r="G672" s="15">
        <v>45142</v>
      </c>
      <c r="H672" t="s">
        <v>109</v>
      </c>
      <c r="I672" t="s">
        <v>533</v>
      </c>
      <c r="J672" t="s">
        <v>534</v>
      </c>
      <c r="K672">
        <v>9</v>
      </c>
      <c r="L672" t="s">
        <v>137</v>
      </c>
      <c r="M672" t="s">
        <v>559</v>
      </c>
      <c r="N672" t="s">
        <v>170</v>
      </c>
      <c r="O672">
        <v>73.599999999999994</v>
      </c>
      <c r="P672">
        <v>135</v>
      </c>
      <c r="Q672">
        <v>6705</v>
      </c>
      <c r="R672" t="s">
        <v>368</v>
      </c>
      <c r="S672" t="s">
        <v>116</v>
      </c>
      <c r="T672" t="s">
        <v>407</v>
      </c>
      <c r="U672" t="s">
        <v>179</v>
      </c>
      <c r="V672" t="s">
        <v>179</v>
      </c>
      <c r="W672" t="s">
        <v>553</v>
      </c>
      <c r="Y672" t="s">
        <v>541</v>
      </c>
      <c r="AA672">
        <v>1</v>
      </c>
      <c r="AB672" t="s">
        <v>100</v>
      </c>
      <c r="AC672" t="s">
        <v>239</v>
      </c>
      <c r="AE672" t="str">
        <f t="shared" si="10"/>
        <v>ColeR. Connolly</v>
      </c>
      <c r="AF672">
        <v>0</v>
      </c>
      <c r="AG672">
        <v>0</v>
      </c>
      <c r="AH672">
        <v>1</v>
      </c>
      <c r="AI672">
        <v>0</v>
      </c>
      <c r="AJ672">
        <v>0</v>
      </c>
      <c r="AK672" t="s">
        <v>133</v>
      </c>
      <c r="AL672">
        <v>0.38392857142857201</v>
      </c>
      <c r="AM672" t="s">
        <v>272</v>
      </c>
      <c r="AN672">
        <v>0.51041666666666696</v>
      </c>
    </row>
    <row r="673" spans="2:40" ht="15" customHeight="1" x14ac:dyDescent="0.2">
      <c r="B673">
        <v>17</v>
      </c>
      <c r="C673">
        <v>2</v>
      </c>
      <c r="D673">
        <v>10</v>
      </c>
      <c r="E673" t="s">
        <v>560</v>
      </c>
      <c r="F673" t="s">
        <v>268</v>
      </c>
      <c r="G673" s="15">
        <v>45142</v>
      </c>
      <c r="H673" t="s">
        <v>109</v>
      </c>
      <c r="I673" t="s">
        <v>533</v>
      </c>
      <c r="J673" t="s">
        <v>534</v>
      </c>
      <c r="K673">
        <v>9</v>
      </c>
      <c r="L673" t="s">
        <v>137</v>
      </c>
      <c r="M673" t="s">
        <v>559</v>
      </c>
      <c r="N673" t="s">
        <v>170</v>
      </c>
      <c r="O673">
        <v>73.599999999999994</v>
      </c>
      <c r="P673">
        <v>135</v>
      </c>
      <c r="Q673">
        <v>6705</v>
      </c>
      <c r="R673" t="s">
        <v>368</v>
      </c>
      <c r="S673" t="s">
        <v>116</v>
      </c>
      <c r="T673" t="s">
        <v>407</v>
      </c>
      <c r="U673" t="s">
        <v>179</v>
      </c>
      <c r="V673" t="s">
        <v>321</v>
      </c>
      <c r="W673" t="s">
        <v>553</v>
      </c>
      <c r="Y673" t="s">
        <v>122</v>
      </c>
      <c r="AA673">
        <v>1</v>
      </c>
      <c r="AB673" t="s">
        <v>101</v>
      </c>
      <c r="AC673" t="s">
        <v>139</v>
      </c>
      <c r="AE673" t="str">
        <f t="shared" si="10"/>
        <v>DelaneyHilts</v>
      </c>
      <c r="AF673">
        <v>0.5</v>
      </c>
      <c r="AG673">
        <v>0</v>
      </c>
      <c r="AH673">
        <v>0</v>
      </c>
      <c r="AI673">
        <v>1</v>
      </c>
      <c r="AJ673">
        <v>0.5</v>
      </c>
      <c r="AK673" t="s">
        <v>178</v>
      </c>
      <c r="AL673">
        <v>0.34745762711864397</v>
      </c>
      <c r="AM673" t="s">
        <v>118</v>
      </c>
      <c r="AN673">
        <v>0.6171875</v>
      </c>
    </row>
    <row r="674" spans="2:40" ht="15" customHeight="1" x14ac:dyDescent="0.2">
      <c r="B674">
        <v>17</v>
      </c>
      <c r="C674">
        <v>2</v>
      </c>
      <c r="D674">
        <v>10</v>
      </c>
      <c r="E674" t="s">
        <v>560</v>
      </c>
      <c r="F674" t="s">
        <v>268</v>
      </c>
      <c r="G674" s="15">
        <v>45142</v>
      </c>
      <c r="H674" t="s">
        <v>109</v>
      </c>
      <c r="I674" t="s">
        <v>533</v>
      </c>
      <c r="J674" t="s">
        <v>534</v>
      </c>
      <c r="K674">
        <v>9</v>
      </c>
      <c r="L674" t="s">
        <v>137</v>
      </c>
      <c r="M674" t="s">
        <v>559</v>
      </c>
      <c r="N674" t="s">
        <v>170</v>
      </c>
      <c r="O674">
        <v>73.599999999999994</v>
      </c>
      <c r="P674">
        <v>135</v>
      </c>
      <c r="Q674">
        <v>6705</v>
      </c>
      <c r="R674" t="s">
        <v>368</v>
      </c>
      <c r="S674" t="s">
        <v>116</v>
      </c>
      <c r="T674" t="s">
        <v>407</v>
      </c>
      <c r="U674" t="s">
        <v>231</v>
      </c>
      <c r="V674" t="s">
        <v>178</v>
      </c>
      <c r="W674" t="s">
        <v>552</v>
      </c>
      <c r="Y674" t="s">
        <v>118</v>
      </c>
      <c r="AA674">
        <v>1</v>
      </c>
      <c r="AB674" t="s">
        <v>101</v>
      </c>
      <c r="AC674" t="s">
        <v>139</v>
      </c>
      <c r="AE674" t="str">
        <f t="shared" si="10"/>
        <v>ConnorsJackson</v>
      </c>
      <c r="AF674">
        <v>0.5</v>
      </c>
      <c r="AG674">
        <v>0</v>
      </c>
      <c r="AH674">
        <v>0</v>
      </c>
      <c r="AI674">
        <v>1</v>
      </c>
      <c r="AJ674">
        <v>0.5</v>
      </c>
      <c r="AK674" t="s">
        <v>321</v>
      </c>
      <c r="AL674">
        <v>0.46551724137931</v>
      </c>
      <c r="AM674" t="s">
        <v>122</v>
      </c>
      <c r="AN674">
        <v>0.47321428571428598</v>
      </c>
    </row>
    <row r="675" spans="2:40" ht="15" customHeight="1" x14ac:dyDescent="0.2">
      <c r="B675">
        <v>18</v>
      </c>
      <c r="C675">
        <v>3</v>
      </c>
      <c r="D675">
        <v>10</v>
      </c>
      <c r="E675" t="s">
        <v>561</v>
      </c>
      <c r="F675" t="s">
        <v>268</v>
      </c>
      <c r="G675" s="15">
        <v>45142</v>
      </c>
      <c r="H675" t="s">
        <v>109</v>
      </c>
      <c r="I675" t="s">
        <v>533</v>
      </c>
      <c r="J675" t="s">
        <v>534</v>
      </c>
      <c r="K675">
        <v>9</v>
      </c>
      <c r="L675" t="s">
        <v>137</v>
      </c>
      <c r="M675" t="s">
        <v>559</v>
      </c>
      <c r="N675" t="s">
        <v>170</v>
      </c>
      <c r="O675">
        <v>73.599999999999994</v>
      </c>
      <c r="P675">
        <v>135</v>
      </c>
      <c r="Q675">
        <v>6705</v>
      </c>
      <c r="R675" t="s">
        <v>368</v>
      </c>
      <c r="S675" t="s">
        <v>116</v>
      </c>
      <c r="T675" t="s">
        <v>407</v>
      </c>
      <c r="U675" t="s">
        <v>231</v>
      </c>
      <c r="V675" t="s">
        <v>452</v>
      </c>
      <c r="W675" t="s">
        <v>552</v>
      </c>
      <c r="Y675" t="s">
        <v>226</v>
      </c>
      <c r="AA675">
        <v>1</v>
      </c>
      <c r="AB675" t="s">
        <v>101</v>
      </c>
      <c r="AC675" t="s">
        <v>139</v>
      </c>
      <c r="AE675" t="str">
        <f t="shared" si="10"/>
        <v>DelnekyGray</v>
      </c>
      <c r="AF675">
        <v>0.5</v>
      </c>
      <c r="AG675">
        <v>0</v>
      </c>
      <c r="AH675">
        <v>0</v>
      </c>
      <c r="AI675">
        <v>1</v>
      </c>
      <c r="AJ675">
        <v>0.5</v>
      </c>
      <c r="AK675" t="s">
        <v>123</v>
      </c>
      <c r="AL675">
        <v>0.5546875</v>
      </c>
      <c r="AM675" t="s">
        <v>456</v>
      </c>
      <c r="AN675">
        <v>0.63888888888888895</v>
      </c>
    </row>
    <row r="676" spans="2:40" ht="15" customHeight="1" x14ac:dyDescent="0.2">
      <c r="B676">
        <v>18</v>
      </c>
      <c r="C676">
        <v>3</v>
      </c>
      <c r="D676">
        <v>10</v>
      </c>
      <c r="E676" t="s">
        <v>561</v>
      </c>
      <c r="F676" t="s">
        <v>268</v>
      </c>
      <c r="G676" s="15">
        <v>45142</v>
      </c>
      <c r="H676" t="s">
        <v>109</v>
      </c>
      <c r="I676" t="s">
        <v>533</v>
      </c>
      <c r="J676" t="s">
        <v>534</v>
      </c>
      <c r="K676">
        <v>9</v>
      </c>
      <c r="L676" t="s">
        <v>137</v>
      </c>
      <c r="M676" t="s">
        <v>559</v>
      </c>
      <c r="N676" t="s">
        <v>170</v>
      </c>
      <c r="O676">
        <v>73.599999999999994</v>
      </c>
      <c r="P676">
        <v>135</v>
      </c>
      <c r="Q676">
        <v>6705</v>
      </c>
      <c r="R676" t="s">
        <v>368</v>
      </c>
      <c r="S676" t="s">
        <v>116</v>
      </c>
      <c r="T676" t="s">
        <v>407</v>
      </c>
      <c r="U676" t="s">
        <v>179</v>
      </c>
      <c r="V676" t="s">
        <v>123</v>
      </c>
      <c r="W676" t="s">
        <v>553</v>
      </c>
      <c r="Y676" t="s">
        <v>456</v>
      </c>
      <c r="AA676">
        <v>1</v>
      </c>
      <c r="AB676" t="s">
        <v>101</v>
      </c>
      <c r="AC676" t="s">
        <v>139</v>
      </c>
      <c r="AE676" t="str">
        <f t="shared" si="10"/>
        <v>LynchPerkins</v>
      </c>
      <c r="AF676">
        <v>0.5</v>
      </c>
      <c r="AG676">
        <v>0</v>
      </c>
      <c r="AH676">
        <v>0</v>
      </c>
      <c r="AI676">
        <v>1</v>
      </c>
      <c r="AJ676">
        <v>0.5</v>
      </c>
      <c r="AK676" t="s">
        <v>452</v>
      </c>
      <c r="AL676">
        <v>0.65909090909090895</v>
      </c>
      <c r="AM676" t="s">
        <v>226</v>
      </c>
      <c r="AN676">
        <v>0.65476190476190499</v>
      </c>
    </row>
    <row r="677" spans="2:40" ht="15" customHeight="1" x14ac:dyDescent="0.2">
      <c r="B677">
        <v>19</v>
      </c>
      <c r="C677">
        <v>4</v>
      </c>
      <c r="D677">
        <v>10</v>
      </c>
      <c r="E677" t="s">
        <v>562</v>
      </c>
      <c r="F677" t="s">
        <v>268</v>
      </c>
      <c r="G677" s="15">
        <v>45142</v>
      </c>
      <c r="H677" t="s">
        <v>109</v>
      </c>
      <c r="I677" t="s">
        <v>533</v>
      </c>
      <c r="J677" t="s">
        <v>534</v>
      </c>
      <c r="K677">
        <v>9</v>
      </c>
      <c r="L677" t="s">
        <v>137</v>
      </c>
      <c r="M677" t="s">
        <v>559</v>
      </c>
      <c r="N677" t="s">
        <v>170</v>
      </c>
      <c r="O677">
        <v>73.599999999999994</v>
      </c>
      <c r="P677">
        <v>135</v>
      </c>
      <c r="Q677">
        <v>6705</v>
      </c>
      <c r="R677" t="s">
        <v>368</v>
      </c>
      <c r="S677" t="s">
        <v>116</v>
      </c>
      <c r="T677" t="s">
        <v>407</v>
      </c>
      <c r="U677" t="s">
        <v>179</v>
      </c>
      <c r="V677" t="s">
        <v>1308</v>
      </c>
      <c r="W677" t="s">
        <v>553</v>
      </c>
      <c r="Y677" t="s">
        <v>119</v>
      </c>
      <c r="AA677">
        <v>1</v>
      </c>
      <c r="AB677" t="s">
        <v>99</v>
      </c>
      <c r="AC677" t="s">
        <v>239</v>
      </c>
      <c r="AE677" t="str">
        <f t="shared" si="10"/>
        <v>ConnollyGrise</v>
      </c>
      <c r="AF677">
        <v>1</v>
      </c>
      <c r="AG677">
        <v>1</v>
      </c>
      <c r="AH677">
        <v>0</v>
      </c>
      <c r="AI677">
        <v>0</v>
      </c>
      <c r="AJ677">
        <v>1</v>
      </c>
      <c r="AK677" t="s">
        <v>231</v>
      </c>
      <c r="AL677">
        <v>0.5</v>
      </c>
      <c r="AM677" t="s">
        <v>172</v>
      </c>
      <c r="AN677">
        <v>0.37288135593220301</v>
      </c>
    </row>
    <row r="678" spans="2:40" ht="15" customHeight="1" x14ac:dyDescent="0.2">
      <c r="B678">
        <v>19</v>
      </c>
      <c r="C678">
        <v>4</v>
      </c>
      <c r="D678">
        <v>10</v>
      </c>
      <c r="E678" t="s">
        <v>562</v>
      </c>
      <c r="F678" t="s">
        <v>268</v>
      </c>
      <c r="G678" s="15">
        <v>45142</v>
      </c>
      <c r="H678" t="s">
        <v>109</v>
      </c>
      <c r="I678" t="s">
        <v>533</v>
      </c>
      <c r="J678" t="s">
        <v>534</v>
      </c>
      <c r="K678">
        <v>9</v>
      </c>
      <c r="L678" t="s">
        <v>137</v>
      </c>
      <c r="M678" t="s">
        <v>559</v>
      </c>
      <c r="N678" t="s">
        <v>170</v>
      </c>
      <c r="O678">
        <v>73.599999999999994</v>
      </c>
      <c r="P678">
        <v>135</v>
      </c>
      <c r="Q678">
        <v>6705</v>
      </c>
      <c r="R678" t="s">
        <v>368</v>
      </c>
      <c r="S678" t="s">
        <v>116</v>
      </c>
      <c r="T678" t="s">
        <v>407</v>
      </c>
      <c r="U678" t="s">
        <v>231</v>
      </c>
      <c r="V678" t="s">
        <v>231</v>
      </c>
      <c r="W678" t="s">
        <v>552</v>
      </c>
      <c r="Y678" t="s">
        <v>172</v>
      </c>
      <c r="AA678">
        <v>1</v>
      </c>
      <c r="AB678" t="s">
        <v>100</v>
      </c>
      <c r="AC678" t="s">
        <v>239</v>
      </c>
      <c r="AE678" t="str">
        <f t="shared" si="10"/>
        <v>McInerneyFogan</v>
      </c>
      <c r="AF678">
        <v>0</v>
      </c>
      <c r="AG678">
        <v>0</v>
      </c>
      <c r="AH678">
        <v>1</v>
      </c>
      <c r="AI678">
        <v>0</v>
      </c>
      <c r="AJ678">
        <v>0</v>
      </c>
      <c r="AK678" t="s">
        <v>1308</v>
      </c>
      <c r="AL678">
        <v>0.59375</v>
      </c>
      <c r="AM678" t="s">
        <v>119</v>
      </c>
      <c r="AN678">
        <v>0.546875</v>
      </c>
    </row>
    <row r="679" spans="2:40" ht="15" customHeight="1" x14ac:dyDescent="0.2">
      <c r="B679">
        <v>20</v>
      </c>
      <c r="C679">
        <v>5</v>
      </c>
      <c r="D679">
        <v>10</v>
      </c>
      <c r="E679" t="s">
        <v>563</v>
      </c>
      <c r="F679" t="s">
        <v>268</v>
      </c>
      <c r="G679" s="15">
        <v>45142</v>
      </c>
      <c r="H679" t="s">
        <v>109</v>
      </c>
      <c r="I679" t="s">
        <v>533</v>
      </c>
      <c r="J679" t="s">
        <v>534</v>
      </c>
      <c r="K679">
        <v>9</v>
      </c>
      <c r="L679" t="s">
        <v>137</v>
      </c>
      <c r="M679" t="s">
        <v>559</v>
      </c>
      <c r="N679" t="s">
        <v>170</v>
      </c>
      <c r="O679">
        <v>73.599999999999994</v>
      </c>
      <c r="P679">
        <v>135</v>
      </c>
      <c r="Q679">
        <v>6705</v>
      </c>
      <c r="R679" t="s">
        <v>368</v>
      </c>
      <c r="S679" t="s">
        <v>116</v>
      </c>
      <c r="T679" t="s">
        <v>407</v>
      </c>
      <c r="U679" t="s">
        <v>231</v>
      </c>
      <c r="V679" t="s">
        <v>176</v>
      </c>
      <c r="W679" t="s">
        <v>552</v>
      </c>
      <c r="Y679" t="s">
        <v>227</v>
      </c>
      <c r="AA679">
        <v>1</v>
      </c>
      <c r="AB679" t="s">
        <v>100</v>
      </c>
      <c r="AC679" t="s">
        <v>222</v>
      </c>
      <c r="AE679" t="str">
        <f t="shared" si="10"/>
        <v>ForsterZimmer</v>
      </c>
      <c r="AF679">
        <v>0</v>
      </c>
      <c r="AG679">
        <v>0</v>
      </c>
      <c r="AH679">
        <v>1</v>
      </c>
      <c r="AI679">
        <v>0</v>
      </c>
      <c r="AJ679">
        <v>0</v>
      </c>
      <c r="AK679" t="s">
        <v>127</v>
      </c>
      <c r="AL679">
        <v>0.59523809523809501</v>
      </c>
      <c r="AM679" t="s">
        <v>132</v>
      </c>
      <c r="AN679">
        <v>0.4296875</v>
      </c>
    </row>
    <row r="680" spans="2:40" ht="15" customHeight="1" x14ac:dyDescent="0.2">
      <c r="B680">
        <v>20</v>
      </c>
      <c r="C680">
        <v>5</v>
      </c>
      <c r="D680">
        <v>10</v>
      </c>
      <c r="E680" t="s">
        <v>563</v>
      </c>
      <c r="F680" t="s">
        <v>268</v>
      </c>
      <c r="G680" s="15">
        <v>45142</v>
      </c>
      <c r="H680" t="s">
        <v>109</v>
      </c>
      <c r="I680" t="s">
        <v>533</v>
      </c>
      <c r="J680" t="s">
        <v>534</v>
      </c>
      <c r="K680">
        <v>9</v>
      </c>
      <c r="L680" t="s">
        <v>137</v>
      </c>
      <c r="M680" t="s">
        <v>559</v>
      </c>
      <c r="N680" t="s">
        <v>170</v>
      </c>
      <c r="O680">
        <v>73.599999999999994</v>
      </c>
      <c r="P680">
        <v>135</v>
      </c>
      <c r="Q680">
        <v>6705</v>
      </c>
      <c r="R680" t="s">
        <v>368</v>
      </c>
      <c r="S680" t="s">
        <v>116</v>
      </c>
      <c r="T680" t="s">
        <v>407</v>
      </c>
      <c r="U680" t="s">
        <v>179</v>
      </c>
      <c r="V680" t="s">
        <v>127</v>
      </c>
      <c r="W680" t="s">
        <v>553</v>
      </c>
      <c r="Y680" t="s">
        <v>132</v>
      </c>
      <c r="AA680">
        <v>1</v>
      </c>
      <c r="AB680" t="s">
        <v>99</v>
      </c>
      <c r="AC680" t="s">
        <v>222</v>
      </c>
      <c r="AE680" t="str">
        <f t="shared" si="10"/>
        <v>FerrinFlanders</v>
      </c>
      <c r="AF680">
        <v>1</v>
      </c>
      <c r="AG680">
        <v>1</v>
      </c>
      <c r="AH680">
        <v>0</v>
      </c>
      <c r="AI680">
        <v>0</v>
      </c>
      <c r="AJ680">
        <v>1</v>
      </c>
      <c r="AK680" t="s">
        <v>176</v>
      </c>
      <c r="AL680">
        <v>0.59649122807017496</v>
      </c>
      <c r="AM680" t="s">
        <v>227</v>
      </c>
      <c r="AN680">
        <v>0.5</v>
      </c>
    </row>
    <row r="681" spans="2:40" ht="15" customHeight="1" x14ac:dyDescent="0.2">
      <c r="B681">
        <v>21</v>
      </c>
      <c r="C681">
        <v>1</v>
      </c>
      <c r="D681">
        <v>10</v>
      </c>
      <c r="E681" t="s">
        <v>564</v>
      </c>
      <c r="F681" t="s">
        <v>268</v>
      </c>
      <c r="G681" s="15">
        <v>45142</v>
      </c>
      <c r="H681" t="s">
        <v>144</v>
      </c>
      <c r="I681" t="s">
        <v>533</v>
      </c>
      <c r="J681" t="s">
        <v>534</v>
      </c>
      <c r="K681">
        <v>9</v>
      </c>
      <c r="L681" t="s">
        <v>112</v>
      </c>
      <c r="M681" t="s">
        <v>565</v>
      </c>
      <c r="N681" t="s">
        <v>170</v>
      </c>
      <c r="O681">
        <v>36.1</v>
      </c>
      <c r="P681">
        <v>125</v>
      </c>
      <c r="Q681">
        <v>2959</v>
      </c>
      <c r="R681" t="s">
        <v>138</v>
      </c>
      <c r="S681" t="s">
        <v>116</v>
      </c>
      <c r="T681" t="s">
        <v>407</v>
      </c>
      <c r="U681" t="s">
        <v>231</v>
      </c>
      <c r="V681" t="s">
        <v>172</v>
      </c>
      <c r="W681" t="s">
        <v>552</v>
      </c>
      <c r="Y681" t="s">
        <v>272</v>
      </c>
      <c r="AA681">
        <v>1</v>
      </c>
      <c r="AB681" t="s">
        <v>99</v>
      </c>
      <c r="AC681" t="s">
        <v>239</v>
      </c>
      <c r="AE681" t="str">
        <f t="shared" si="10"/>
        <v>FoganWelker</v>
      </c>
      <c r="AF681">
        <v>1</v>
      </c>
      <c r="AG681">
        <v>1</v>
      </c>
      <c r="AH681">
        <v>0</v>
      </c>
      <c r="AI681">
        <v>0</v>
      </c>
      <c r="AJ681">
        <v>1</v>
      </c>
      <c r="AK681" t="s">
        <v>321</v>
      </c>
      <c r="AL681">
        <v>0.46551724137931</v>
      </c>
      <c r="AM681" t="s">
        <v>127</v>
      </c>
      <c r="AN681">
        <v>0.59523809523809501</v>
      </c>
    </row>
    <row r="682" spans="2:40" ht="15" customHeight="1" x14ac:dyDescent="0.2">
      <c r="B682">
        <v>21</v>
      </c>
      <c r="C682">
        <v>1</v>
      </c>
      <c r="D682">
        <v>10</v>
      </c>
      <c r="E682" t="s">
        <v>564</v>
      </c>
      <c r="F682" t="s">
        <v>268</v>
      </c>
      <c r="G682" s="15">
        <v>45142</v>
      </c>
      <c r="H682" t="s">
        <v>144</v>
      </c>
      <c r="I682" t="s">
        <v>533</v>
      </c>
      <c r="J682" t="s">
        <v>534</v>
      </c>
      <c r="K682">
        <v>9</v>
      </c>
      <c r="L682" t="s">
        <v>112</v>
      </c>
      <c r="M682" t="s">
        <v>565</v>
      </c>
      <c r="N682" t="s">
        <v>170</v>
      </c>
      <c r="O682">
        <v>36.1</v>
      </c>
      <c r="P682">
        <v>125</v>
      </c>
      <c r="Q682">
        <v>2959</v>
      </c>
      <c r="R682" t="s">
        <v>138</v>
      </c>
      <c r="S682" t="s">
        <v>116</v>
      </c>
      <c r="T682" t="s">
        <v>407</v>
      </c>
      <c r="U682" t="s">
        <v>179</v>
      </c>
      <c r="V682" t="s">
        <v>321</v>
      </c>
      <c r="W682" t="s">
        <v>553</v>
      </c>
      <c r="Y682" t="s">
        <v>127</v>
      </c>
      <c r="AA682">
        <v>1</v>
      </c>
      <c r="AB682" t="s">
        <v>100</v>
      </c>
      <c r="AC682" t="s">
        <v>239</v>
      </c>
      <c r="AE682" t="str">
        <f t="shared" si="10"/>
        <v>DelaneyFerrin</v>
      </c>
      <c r="AF682">
        <v>0</v>
      </c>
      <c r="AG682">
        <v>0</v>
      </c>
      <c r="AH682">
        <v>1</v>
      </c>
      <c r="AI682">
        <v>0</v>
      </c>
      <c r="AJ682">
        <v>0</v>
      </c>
      <c r="AK682" t="s">
        <v>172</v>
      </c>
      <c r="AL682">
        <v>0.37288135593220301</v>
      </c>
      <c r="AM682" t="s">
        <v>272</v>
      </c>
      <c r="AN682">
        <v>0.51041666666666696</v>
      </c>
    </row>
    <row r="683" spans="2:40" ht="15" customHeight="1" x14ac:dyDescent="0.2">
      <c r="B683">
        <v>22</v>
      </c>
      <c r="C683">
        <v>2</v>
      </c>
      <c r="D683">
        <v>10</v>
      </c>
      <c r="E683" t="s">
        <v>566</v>
      </c>
      <c r="F683" t="s">
        <v>268</v>
      </c>
      <c r="G683" s="15">
        <v>45142</v>
      </c>
      <c r="H683" t="s">
        <v>144</v>
      </c>
      <c r="I683" t="s">
        <v>533</v>
      </c>
      <c r="J683" t="s">
        <v>534</v>
      </c>
      <c r="K683">
        <v>9</v>
      </c>
      <c r="L683" t="s">
        <v>112</v>
      </c>
      <c r="M683" t="s">
        <v>565</v>
      </c>
      <c r="N683" t="s">
        <v>170</v>
      </c>
      <c r="O683">
        <v>36.1</v>
      </c>
      <c r="P683">
        <v>125</v>
      </c>
      <c r="Q683">
        <v>2959</v>
      </c>
      <c r="R683" t="s">
        <v>138</v>
      </c>
      <c r="S683" t="s">
        <v>116</v>
      </c>
      <c r="T683" t="s">
        <v>407</v>
      </c>
      <c r="U683" t="s">
        <v>179</v>
      </c>
      <c r="V683" t="s">
        <v>122</v>
      </c>
      <c r="W683" t="s">
        <v>553</v>
      </c>
      <c r="Y683" t="s">
        <v>123</v>
      </c>
      <c r="AA683">
        <v>1</v>
      </c>
      <c r="AB683" t="s">
        <v>99</v>
      </c>
      <c r="AC683" t="s">
        <v>304</v>
      </c>
      <c r="AE683" t="str">
        <f t="shared" si="10"/>
        <v>HiltsLynch</v>
      </c>
      <c r="AF683">
        <v>1</v>
      </c>
      <c r="AG683">
        <v>1</v>
      </c>
      <c r="AH683">
        <v>0</v>
      </c>
      <c r="AI683">
        <v>0</v>
      </c>
      <c r="AJ683">
        <v>1</v>
      </c>
      <c r="AK683" t="s">
        <v>176</v>
      </c>
      <c r="AL683">
        <v>0.59649122807017496</v>
      </c>
      <c r="AM683" t="s">
        <v>133</v>
      </c>
      <c r="AN683">
        <v>0.38392857142857201</v>
      </c>
    </row>
    <row r="684" spans="2:40" ht="15" customHeight="1" x14ac:dyDescent="0.2">
      <c r="B684">
        <v>22</v>
      </c>
      <c r="C684">
        <v>2</v>
      </c>
      <c r="D684">
        <v>10</v>
      </c>
      <c r="E684" t="s">
        <v>566</v>
      </c>
      <c r="F684" t="s">
        <v>268</v>
      </c>
      <c r="G684" s="15">
        <v>45142</v>
      </c>
      <c r="H684" t="s">
        <v>144</v>
      </c>
      <c r="I684" t="s">
        <v>533</v>
      </c>
      <c r="J684" t="s">
        <v>534</v>
      </c>
      <c r="K684">
        <v>9</v>
      </c>
      <c r="L684" t="s">
        <v>112</v>
      </c>
      <c r="M684" t="s">
        <v>565</v>
      </c>
      <c r="N684" t="s">
        <v>170</v>
      </c>
      <c r="O684">
        <v>36.1</v>
      </c>
      <c r="P684">
        <v>125</v>
      </c>
      <c r="Q684">
        <v>2959</v>
      </c>
      <c r="R684" t="s">
        <v>138</v>
      </c>
      <c r="S684" t="s">
        <v>116</v>
      </c>
      <c r="T684" t="s">
        <v>407</v>
      </c>
      <c r="U684" t="s">
        <v>231</v>
      </c>
      <c r="V684" t="s">
        <v>176</v>
      </c>
      <c r="W684" t="s">
        <v>552</v>
      </c>
      <c r="Y684" t="s">
        <v>133</v>
      </c>
      <c r="AA684">
        <v>1</v>
      </c>
      <c r="AB684" t="s">
        <v>100</v>
      </c>
      <c r="AC684" t="s">
        <v>410</v>
      </c>
      <c r="AE684" t="str">
        <f t="shared" si="10"/>
        <v>ForsterMangold</v>
      </c>
      <c r="AF684">
        <v>0</v>
      </c>
      <c r="AG684">
        <v>0</v>
      </c>
      <c r="AH684">
        <v>1</v>
      </c>
      <c r="AI684">
        <v>0</v>
      </c>
      <c r="AJ684">
        <v>0</v>
      </c>
      <c r="AK684" t="s">
        <v>122</v>
      </c>
      <c r="AL684">
        <v>0.47321428571428598</v>
      </c>
      <c r="AM684" t="s">
        <v>123</v>
      </c>
      <c r="AN684">
        <v>0.5546875</v>
      </c>
    </row>
    <row r="685" spans="2:40" ht="15" customHeight="1" x14ac:dyDescent="0.2">
      <c r="B685">
        <v>23</v>
      </c>
      <c r="C685">
        <v>3</v>
      </c>
      <c r="D685">
        <v>10</v>
      </c>
      <c r="E685" t="s">
        <v>567</v>
      </c>
      <c r="F685" t="s">
        <v>268</v>
      </c>
      <c r="G685" s="15">
        <v>45142</v>
      </c>
      <c r="H685" t="s">
        <v>144</v>
      </c>
      <c r="I685" t="s">
        <v>533</v>
      </c>
      <c r="J685" t="s">
        <v>534</v>
      </c>
      <c r="K685">
        <v>9</v>
      </c>
      <c r="L685" t="s">
        <v>112</v>
      </c>
      <c r="M685" t="s">
        <v>565</v>
      </c>
      <c r="N685" t="s">
        <v>170</v>
      </c>
      <c r="O685">
        <v>36.1</v>
      </c>
      <c r="P685">
        <v>125</v>
      </c>
      <c r="Q685">
        <v>2959</v>
      </c>
      <c r="R685" t="s">
        <v>138</v>
      </c>
      <c r="S685" t="s">
        <v>116</v>
      </c>
      <c r="T685" t="s">
        <v>407</v>
      </c>
      <c r="U685" t="s">
        <v>231</v>
      </c>
      <c r="V685" t="s">
        <v>226</v>
      </c>
      <c r="W685" t="s">
        <v>552</v>
      </c>
      <c r="Y685" t="s">
        <v>118</v>
      </c>
      <c r="AA685">
        <v>1</v>
      </c>
      <c r="AB685" t="s">
        <v>99</v>
      </c>
      <c r="AC685" t="s">
        <v>239</v>
      </c>
      <c r="AE685" t="str">
        <f t="shared" si="10"/>
        <v>GrayJackson</v>
      </c>
      <c r="AF685">
        <v>1</v>
      </c>
      <c r="AG685">
        <v>1</v>
      </c>
      <c r="AH685">
        <v>0</v>
      </c>
      <c r="AI685">
        <v>0</v>
      </c>
      <c r="AJ685">
        <v>1</v>
      </c>
      <c r="AK685" t="s">
        <v>132</v>
      </c>
      <c r="AL685">
        <v>0.4296875</v>
      </c>
      <c r="AM685" t="s">
        <v>119</v>
      </c>
      <c r="AN685">
        <v>0.546875</v>
      </c>
    </row>
    <row r="686" spans="2:40" ht="15" customHeight="1" x14ac:dyDescent="0.2">
      <c r="B686">
        <v>23</v>
      </c>
      <c r="C686">
        <v>3</v>
      </c>
      <c r="D686">
        <v>10</v>
      </c>
      <c r="E686" t="s">
        <v>567</v>
      </c>
      <c r="F686" t="s">
        <v>268</v>
      </c>
      <c r="G686" s="15">
        <v>45142</v>
      </c>
      <c r="H686" t="s">
        <v>144</v>
      </c>
      <c r="I686" t="s">
        <v>533</v>
      </c>
      <c r="J686" t="s">
        <v>534</v>
      </c>
      <c r="K686">
        <v>9</v>
      </c>
      <c r="L686" t="s">
        <v>112</v>
      </c>
      <c r="M686" t="s">
        <v>565</v>
      </c>
      <c r="N686" t="s">
        <v>170</v>
      </c>
      <c r="O686">
        <v>36.1</v>
      </c>
      <c r="P686">
        <v>125</v>
      </c>
      <c r="Q686">
        <v>2959</v>
      </c>
      <c r="R686" t="s">
        <v>138</v>
      </c>
      <c r="S686" t="s">
        <v>116</v>
      </c>
      <c r="T686" t="s">
        <v>407</v>
      </c>
      <c r="U686" t="s">
        <v>179</v>
      </c>
      <c r="V686" t="s">
        <v>132</v>
      </c>
      <c r="W686" t="s">
        <v>553</v>
      </c>
      <c r="Y686" t="s">
        <v>119</v>
      </c>
      <c r="AA686">
        <v>1</v>
      </c>
      <c r="AB686" t="s">
        <v>100</v>
      </c>
      <c r="AC686" t="s">
        <v>239</v>
      </c>
      <c r="AE686" t="str">
        <f t="shared" si="10"/>
        <v>FlandersGrise</v>
      </c>
      <c r="AF686">
        <v>0</v>
      </c>
      <c r="AG686">
        <v>0</v>
      </c>
      <c r="AH686">
        <v>1</v>
      </c>
      <c r="AI686">
        <v>0</v>
      </c>
      <c r="AJ686">
        <v>0</v>
      </c>
      <c r="AK686" t="s">
        <v>226</v>
      </c>
      <c r="AL686">
        <v>0.65476190476190499</v>
      </c>
      <c r="AM686" t="s">
        <v>118</v>
      </c>
      <c r="AN686">
        <v>0.6171875</v>
      </c>
    </row>
    <row r="687" spans="2:40" ht="15" customHeight="1" x14ac:dyDescent="0.2">
      <c r="B687">
        <v>24</v>
      </c>
      <c r="C687">
        <v>4</v>
      </c>
      <c r="D687">
        <v>10</v>
      </c>
      <c r="E687" t="s">
        <v>568</v>
      </c>
      <c r="F687" t="s">
        <v>268</v>
      </c>
      <c r="G687" s="15">
        <v>45142</v>
      </c>
      <c r="H687" t="s">
        <v>144</v>
      </c>
      <c r="I687" t="s">
        <v>533</v>
      </c>
      <c r="J687" t="s">
        <v>534</v>
      </c>
      <c r="K687">
        <v>9</v>
      </c>
      <c r="L687" t="s">
        <v>112</v>
      </c>
      <c r="M687" t="s">
        <v>565</v>
      </c>
      <c r="N687" t="s">
        <v>170</v>
      </c>
      <c r="O687">
        <v>36.1</v>
      </c>
      <c r="P687">
        <v>125</v>
      </c>
      <c r="Q687">
        <v>2959</v>
      </c>
      <c r="R687" t="s">
        <v>138</v>
      </c>
      <c r="S687" t="s">
        <v>116</v>
      </c>
      <c r="T687" t="s">
        <v>407</v>
      </c>
      <c r="U687" t="s">
        <v>179</v>
      </c>
      <c r="V687" t="s">
        <v>179</v>
      </c>
      <c r="W687" t="s">
        <v>553</v>
      </c>
      <c r="Y687" t="s">
        <v>1308</v>
      </c>
      <c r="AA687">
        <v>1</v>
      </c>
      <c r="AB687" t="s">
        <v>99</v>
      </c>
      <c r="AC687" t="s">
        <v>222</v>
      </c>
      <c r="AE687" t="str">
        <f t="shared" si="10"/>
        <v>ColeConnolly</v>
      </c>
      <c r="AF687">
        <v>1</v>
      </c>
      <c r="AG687">
        <v>1</v>
      </c>
      <c r="AH687">
        <v>0</v>
      </c>
      <c r="AI687">
        <v>0</v>
      </c>
      <c r="AJ687">
        <v>1</v>
      </c>
      <c r="AK687" t="s">
        <v>231</v>
      </c>
      <c r="AL687">
        <v>0.5</v>
      </c>
      <c r="AM687" t="s">
        <v>227</v>
      </c>
      <c r="AN687">
        <v>0.5</v>
      </c>
    </row>
    <row r="688" spans="2:40" ht="15" customHeight="1" x14ac:dyDescent="0.2">
      <c r="B688">
        <v>24</v>
      </c>
      <c r="C688">
        <v>4</v>
      </c>
      <c r="D688">
        <v>10</v>
      </c>
      <c r="E688" t="s">
        <v>568</v>
      </c>
      <c r="F688" t="s">
        <v>268</v>
      </c>
      <c r="G688" s="15">
        <v>45142</v>
      </c>
      <c r="H688" t="s">
        <v>144</v>
      </c>
      <c r="I688" t="s">
        <v>533</v>
      </c>
      <c r="J688" t="s">
        <v>534</v>
      </c>
      <c r="K688">
        <v>9</v>
      </c>
      <c r="L688" t="s">
        <v>112</v>
      </c>
      <c r="M688" t="s">
        <v>565</v>
      </c>
      <c r="N688" t="s">
        <v>170</v>
      </c>
      <c r="O688">
        <v>36.1</v>
      </c>
      <c r="P688">
        <v>125</v>
      </c>
      <c r="Q688">
        <v>2959</v>
      </c>
      <c r="R688" t="s">
        <v>138</v>
      </c>
      <c r="S688" t="s">
        <v>116</v>
      </c>
      <c r="T688" t="s">
        <v>407</v>
      </c>
      <c r="U688" t="s">
        <v>231</v>
      </c>
      <c r="V688" t="s">
        <v>231</v>
      </c>
      <c r="W688" t="s">
        <v>552</v>
      </c>
      <c r="Y688" t="s">
        <v>227</v>
      </c>
      <c r="AA688">
        <v>1</v>
      </c>
      <c r="AB688" t="s">
        <v>100</v>
      </c>
      <c r="AC688" t="s">
        <v>222</v>
      </c>
      <c r="AE688" t="str">
        <f t="shared" si="10"/>
        <v>McInerneyZimmer</v>
      </c>
      <c r="AF688">
        <v>0</v>
      </c>
      <c r="AG688">
        <v>0</v>
      </c>
      <c r="AH688">
        <v>1</v>
      </c>
      <c r="AI688">
        <v>0</v>
      </c>
      <c r="AJ688">
        <v>0</v>
      </c>
      <c r="AK688" t="s">
        <v>179</v>
      </c>
      <c r="AL688">
        <v>0.44067796610169502</v>
      </c>
      <c r="AM688" t="s">
        <v>1308</v>
      </c>
      <c r="AN688">
        <v>0.59375</v>
      </c>
    </row>
    <row r="689" spans="2:40" ht="15" customHeight="1" x14ac:dyDescent="0.2">
      <c r="B689">
        <v>25</v>
      </c>
      <c r="C689">
        <v>5</v>
      </c>
      <c r="D689">
        <v>10</v>
      </c>
      <c r="E689" t="s">
        <v>569</v>
      </c>
      <c r="F689" t="s">
        <v>268</v>
      </c>
      <c r="G689" s="15">
        <v>45142</v>
      </c>
      <c r="H689" t="s">
        <v>144</v>
      </c>
      <c r="I689" t="s">
        <v>533</v>
      </c>
      <c r="J689" t="s">
        <v>534</v>
      </c>
      <c r="K689">
        <v>9</v>
      </c>
      <c r="L689" t="s">
        <v>112</v>
      </c>
      <c r="M689" t="s">
        <v>565</v>
      </c>
      <c r="N689" t="s">
        <v>170</v>
      </c>
      <c r="O689">
        <v>36.1</v>
      </c>
      <c r="P689">
        <v>125</v>
      </c>
      <c r="Q689">
        <v>2959</v>
      </c>
      <c r="R689" t="s">
        <v>138</v>
      </c>
      <c r="S689" t="s">
        <v>116</v>
      </c>
      <c r="T689" t="s">
        <v>407</v>
      </c>
      <c r="U689" t="s">
        <v>231</v>
      </c>
      <c r="V689" t="s">
        <v>178</v>
      </c>
      <c r="W689" t="s">
        <v>552</v>
      </c>
      <c r="Y689" t="s">
        <v>452</v>
      </c>
      <c r="AA689">
        <v>1</v>
      </c>
      <c r="AB689" t="s">
        <v>99</v>
      </c>
      <c r="AC689" t="s">
        <v>225</v>
      </c>
      <c r="AE689" t="str">
        <f t="shared" si="10"/>
        <v>ConnorsDelneky</v>
      </c>
      <c r="AF689">
        <v>1</v>
      </c>
      <c r="AG689">
        <v>1</v>
      </c>
      <c r="AH689">
        <v>0</v>
      </c>
      <c r="AI689">
        <v>0</v>
      </c>
      <c r="AJ689">
        <v>1</v>
      </c>
      <c r="AK689" t="s">
        <v>541</v>
      </c>
      <c r="AL689">
        <v>0.33333333333333298</v>
      </c>
      <c r="AM689" t="s">
        <v>456</v>
      </c>
      <c r="AN689">
        <v>0.63888888888888895</v>
      </c>
    </row>
    <row r="690" spans="2:40" ht="15" customHeight="1" x14ac:dyDescent="0.2">
      <c r="B690">
        <v>25</v>
      </c>
      <c r="C690">
        <v>5</v>
      </c>
      <c r="D690">
        <v>10</v>
      </c>
      <c r="E690" t="s">
        <v>569</v>
      </c>
      <c r="F690" t="s">
        <v>268</v>
      </c>
      <c r="G690" s="15">
        <v>45142</v>
      </c>
      <c r="H690" t="s">
        <v>144</v>
      </c>
      <c r="I690" t="s">
        <v>533</v>
      </c>
      <c r="J690" t="s">
        <v>534</v>
      </c>
      <c r="K690">
        <v>9</v>
      </c>
      <c r="L690" t="s">
        <v>112</v>
      </c>
      <c r="M690" t="s">
        <v>565</v>
      </c>
      <c r="N690" t="s">
        <v>170</v>
      </c>
      <c r="O690">
        <v>36.1</v>
      </c>
      <c r="P690">
        <v>125</v>
      </c>
      <c r="Q690">
        <v>2959</v>
      </c>
      <c r="R690" t="s">
        <v>138</v>
      </c>
      <c r="S690" t="s">
        <v>116</v>
      </c>
      <c r="T690" t="s">
        <v>407</v>
      </c>
      <c r="U690" t="s">
        <v>179</v>
      </c>
      <c r="V690" t="s">
        <v>541</v>
      </c>
      <c r="W690" t="s">
        <v>553</v>
      </c>
      <c r="Y690" t="s">
        <v>456</v>
      </c>
      <c r="AA690">
        <v>1</v>
      </c>
      <c r="AB690" t="s">
        <v>100</v>
      </c>
      <c r="AC690" t="s">
        <v>225</v>
      </c>
      <c r="AE690" t="str">
        <f t="shared" si="10"/>
        <v>R. ConnollyPerkins</v>
      </c>
      <c r="AF690">
        <v>0</v>
      </c>
      <c r="AG690">
        <v>0</v>
      </c>
      <c r="AH690">
        <v>1</v>
      </c>
      <c r="AI690">
        <v>0</v>
      </c>
      <c r="AJ690">
        <v>0</v>
      </c>
      <c r="AK690" t="s">
        <v>178</v>
      </c>
      <c r="AL690">
        <v>0.34745762711864397</v>
      </c>
      <c r="AM690" t="s">
        <v>452</v>
      </c>
      <c r="AN690">
        <v>0.65909090909090895</v>
      </c>
    </row>
    <row r="691" spans="2:40" ht="15" customHeight="1" x14ac:dyDescent="0.2">
      <c r="B691">
        <v>21</v>
      </c>
      <c r="C691">
        <v>1</v>
      </c>
      <c r="D691">
        <v>10</v>
      </c>
      <c r="E691" t="s">
        <v>570</v>
      </c>
      <c r="F691" t="s">
        <v>108</v>
      </c>
      <c r="G691" s="15">
        <v>45143</v>
      </c>
      <c r="H691" t="s">
        <v>109</v>
      </c>
      <c r="I691" t="s">
        <v>533</v>
      </c>
      <c r="J691" t="s">
        <v>534</v>
      </c>
      <c r="K691">
        <v>18</v>
      </c>
      <c r="L691" t="s">
        <v>154</v>
      </c>
      <c r="M691" t="s">
        <v>571</v>
      </c>
      <c r="N691" t="s">
        <v>572</v>
      </c>
      <c r="O691">
        <v>70.2</v>
      </c>
      <c r="P691">
        <v>130</v>
      </c>
      <c r="Q691">
        <v>5675</v>
      </c>
      <c r="R691" t="s">
        <v>157</v>
      </c>
      <c r="S691" t="s">
        <v>158</v>
      </c>
      <c r="T691" t="s">
        <v>407</v>
      </c>
      <c r="U691" t="s">
        <v>231</v>
      </c>
      <c r="V691" t="s">
        <v>118</v>
      </c>
      <c r="W691" t="s">
        <v>573</v>
      </c>
      <c r="AA691">
        <v>2</v>
      </c>
      <c r="AB691" t="s">
        <v>99</v>
      </c>
      <c r="AC691" t="s">
        <v>263</v>
      </c>
      <c r="AD691" t="s">
        <v>321</v>
      </c>
      <c r="AE691" t="str">
        <f t="shared" si="10"/>
        <v>Jackson</v>
      </c>
      <c r="AF691">
        <v>2</v>
      </c>
      <c r="AG691">
        <v>1</v>
      </c>
      <c r="AH691">
        <v>0</v>
      </c>
      <c r="AI691">
        <v>0</v>
      </c>
      <c r="AJ691">
        <v>1</v>
      </c>
      <c r="AK691" t="s">
        <v>321</v>
      </c>
      <c r="AL691">
        <v>0.46551724137931</v>
      </c>
    </row>
    <row r="692" spans="2:40" ht="15" customHeight="1" x14ac:dyDescent="0.2">
      <c r="B692">
        <v>21</v>
      </c>
      <c r="C692">
        <v>2</v>
      </c>
      <c r="D692">
        <v>10</v>
      </c>
      <c r="E692" t="s">
        <v>574</v>
      </c>
      <c r="F692" t="s">
        <v>108</v>
      </c>
      <c r="G692" s="15">
        <v>45143</v>
      </c>
      <c r="H692" t="s">
        <v>109</v>
      </c>
      <c r="I692" t="s">
        <v>533</v>
      </c>
      <c r="J692" t="s">
        <v>534</v>
      </c>
      <c r="K692">
        <v>18</v>
      </c>
      <c r="L692" t="s">
        <v>154</v>
      </c>
      <c r="M692" t="s">
        <v>571</v>
      </c>
      <c r="N692" t="s">
        <v>572</v>
      </c>
      <c r="O692">
        <v>70.2</v>
      </c>
      <c r="P692">
        <v>130</v>
      </c>
      <c r="Q692">
        <v>5675</v>
      </c>
      <c r="R692" t="s">
        <v>157</v>
      </c>
      <c r="S692" t="s">
        <v>158</v>
      </c>
      <c r="T692" t="s">
        <v>407</v>
      </c>
      <c r="U692" t="s">
        <v>231</v>
      </c>
      <c r="V692" t="s">
        <v>227</v>
      </c>
      <c r="W692" t="s">
        <v>573</v>
      </c>
      <c r="AA692">
        <v>2</v>
      </c>
      <c r="AB692" t="s">
        <v>100</v>
      </c>
      <c r="AC692" t="s">
        <v>575</v>
      </c>
      <c r="AD692" t="s">
        <v>1308</v>
      </c>
      <c r="AE692" t="str">
        <f t="shared" si="10"/>
        <v>Zimmer</v>
      </c>
      <c r="AF692">
        <v>0</v>
      </c>
      <c r="AG692">
        <v>0</v>
      </c>
      <c r="AH692">
        <v>1</v>
      </c>
      <c r="AI692">
        <v>0</v>
      </c>
      <c r="AJ692">
        <v>0</v>
      </c>
      <c r="AK692" t="s">
        <v>1308</v>
      </c>
      <c r="AL692">
        <v>0.59375</v>
      </c>
    </row>
    <row r="693" spans="2:40" ht="15" customHeight="1" x14ac:dyDescent="0.2">
      <c r="B693">
        <v>22</v>
      </c>
      <c r="C693">
        <v>3</v>
      </c>
      <c r="D693">
        <v>10</v>
      </c>
      <c r="E693" t="s">
        <v>576</v>
      </c>
      <c r="F693" t="s">
        <v>108</v>
      </c>
      <c r="G693" s="15">
        <v>45143</v>
      </c>
      <c r="H693" t="s">
        <v>109</v>
      </c>
      <c r="I693" t="s">
        <v>533</v>
      </c>
      <c r="J693" t="s">
        <v>534</v>
      </c>
      <c r="K693">
        <v>18</v>
      </c>
      <c r="L693" t="s">
        <v>154</v>
      </c>
      <c r="M693" t="s">
        <v>571</v>
      </c>
      <c r="N693" t="s">
        <v>572</v>
      </c>
      <c r="O693">
        <v>70.2</v>
      </c>
      <c r="P693">
        <v>130</v>
      </c>
      <c r="Q693">
        <v>5675</v>
      </c>
      <c r="R693" t="s">
        <v>157</v>
      </c>
      <c r="S693" t="s">
        <v>158</v>
      </c>
      <c r="T693" t="s">
        <v>407</v>
      </c>
      <c r="U693" t="s">
        <v>231</v>
      </c>
      <c r="V693" t="s">
        <v>452</v>
      </c>
      <c r="W693" t="s">
        <v>573</v>
      </c>
      <c r="AA693">
        <v>2</v>
      </c>
      <c r="AB693" t="s">
        <v>99</v>
      </c>
      <c r="AC693" t="s">
        <v>396</v>
      </c>
      <c r="AD693" t="s">
        <v>122</v>
      </c>
      <c r="AE693" t="str">
        <f t="shared" si="10"/>
        <v>Delneky</v>
      </c>
      <c r="AF693">
        <v>2</v>
      </c>
      <c r="AG693">
        <v>1</v>
      </c>
      <c r="AH693">
        <v>0</v>
      </c>
      <c r="AI693">
        <v>0</v>
      </c>
      <c r="AJ693">
        <v>1</v>
      </c>
      <c r="AK693" t="s">
        <v>122</v>
      </c>
      <c r="AL693">
        <v>0.47321428571428598</v>
      </c>
    </row>
    <row r="694" spans="2:40" ht="15" customHeight="1" x14ac:dyDescent="0.2">
      <c r="B694">
        <v>22</v>
      </c>
      <c r="C694">
        <v>4</v>
      </c>
      <c r="D694">
        <v>10</v>
      </c>
      <c r="E694" t="s">
        <v>577</v>
      </c>
      <c r="F694" t="s">
        <v>108</v>
      </c>
      <c r="G694" s="15">
        <v>45143</v>
      </c>
      <c r="H694" t="s">
        <v>109</v>
      </c>
      <c r="I694" t="s">
        <v>533</v>
      </c>
      <c r="J694" t="s">
        <v>534</v>
      </c>
      <c r="K694">
        <v>18</v>
      </c>
      <c r="L694" t="s">
        <v>154</v>
      </c>
      <c r="M694" t="s">
        <v>571</v>
      </c>
      <c r="N694" t="s">
        <v>572</v>
      </c>
      <c r="O694">
        <v>70.2</v>
      </c>
      <c r="P694">
        <v>130</v>
      </c>
      <c r="Q694">
        <v>5675</v>
      </c>
      <c r="R694" t="s">
        <v>157</v>
      </c>
      <c r="S694" t="s">
        <v>158</v>
      </c>
      <c r="T694" t="s">
        <v>407</v>
      </c>
      <c r="U694" t="s">
        <v>231</v>
      </c>
      <c r="V694" t="s">
        <v>172</v>
      </c>
      <c r="W694" t="s">
        <v>573</v>
      </c>
      <c r="AA694">
        <v>2</v>
      </c>
      <c r="AB694" t="s">
        <v>100</v>
      </c>
      <c r="AC694" t="s">
        <v>222</v>
      </c>
      <c r="AD694" t="s">
        <v>541</v>
      </c>
      <c r="AE694" t="str">
        <f t="shared" si="10"/>
        <v>Fogan</v>
      </c>
      <c r="AF694">
        <v>0</v>
      </c>
      <c r="AG694">
        <v>0</v>
      </c>
      <c r="AH694">
        <v>1</v>
      </c>
      <c r="AI694">
        <v>0</v>
      </c>
      <c r="AJ694">
        <v>0</v>
      </c>
      <c r="AK694" t="s">
        <v>541</v>
      </c>
      <c r="AL694">
        <v>0.33333333333333298</v>
      </c>
    </row>
    <row r="695" spans="2:40" ht="15" customHeight="1" x14ac:dyDescent="0.2">
      <c r="B695">
        <v>23</v>
      </c>
      <c r="C695">
        <v>5</v>
      </c>
      <c r="D695">
        <v>10</v>
      </c>
      <c r="E695" t="s">
        <v>578</v>
      </c>
      <c r="F695" t="s">
        <v>108</v>
      </c>
      <c r="G695" s="15">
        <v>45143</v>
      </c>
      <c r="H695" t="s">
        <v>109</v>
      </c>
      <c r="I695" t="s">
        <v>533</v>
      </c>
      <c r="J695" t="s">
        <v>534</v>
      </c>
      <c r="K695">
        <v>18</v>
      </c>
      <c r="L695" t="s">
        <v>154</v>
      </c>
      <c r="M695" t="s">
        <v>571</v>
      </c>
      <c r="N695" t="s">
        <v>572</v>
      </c>
      <c r="O695">
        <v>70.2</v>
      </c>
      <c r="P695">
        <v>130</v>
      </c>
      <c r="Q695">
        <v>5675</v>
      </c>
      <c r="R695" t="s">
        <v>157</v>
      </c>
      <c r="S695" t="s">
        <v>158</v>
      </c>
      <c r="T695" t="s">
        <v>407</v>
      </c>
      <c r="U695" t="s">
        <v>231</v>
      </c>
      <c r="V695" t="s">
        <v>226</v>
      </c>
      <c r="W695" t="s">
        <v>573</v>
      </c>
      <c r="AA695">
        <v>2</v>
      </c>
      <c r="AB695" t="s">
        <v>99</v>
      </c>
      <c r="AC695" t="s">
        <v>288</v>
      </c>
      <c r="AD695" t="s">
        <v>132</v>
      </c>
      <c r="AE695" t="str">
        <f t="shared" si="10"/>
        <v>Gray</v>
      </c>
      <c r="AF695">
        <v>2</v>
      </c>
      <c r="AG695">
        <v>1</v>
      </c>
      <c r="AH695">
        <v>0</v>
      </c>
      <c r="AI695">
        <v>0</v>
      </c>
      <c r="AJ695">
        <v>1</v>
      </c>
      <c r="AK695" t="s">
        <v>132</v>
      </c>
      <c r="AL695">
        <v>0.4296875</v>
      </c>
    </row>
    <row r="696" spans="2:40" ht="15" customHeight="1" x14ac:dyDescent="0.2">
      <c r="B696">
        <v>23</v>
      </c>
      <c r="C696">
        <v>6</v>
      </c>
      <c r="D696">
        <v>10</v>
      </c>
      <c r="E696" t="s">
        <v>579</v>
      </c>
      <c r="F696" t="s">
        <v>108</v>
      </c>
      <c r="G696" s="15">
        <v>45143</v>
      </c>
      <c r="H696" t="s">
        <v>109</v>
      </c>
      <c r="I696" t="s">
        <v>533</v>
      </c>
      <c r="J696" t="s">
        <v>534</v>
      </c>
      <c r="K696">
        <v>18</v>
      </c>
      <c r="L696" t="s">
        <v>154</v>
      </c>
      <c r="M696" t="s">
        <v>571</v>
      </c>
      <c r="N696" t="s">
        <v>572</v>
      </c>
      <c r="O696">
        <v>70.2</v>
      </c>
      <c r="P696">
        <v>130</v>
      </c>
      <c r="Q696">
        <v>5675</v>
      </c>
      <c r="R696" t="s">
        <v>157</v>
      </c>
      <c r="S696" t="s">
        <v>158</v>
      </c>
      <c r="T696" t="s">
        <v>407</v>
      </c>
      <c r="U696" t="s">
        <v>231</v>
      </c>
      <c r="V696" t="s">
        <v>231</v>
      </c>
      <c r="W696" t="s">
        <v>573</v>
      </c>
      <c r="AA696">
        <v>2</v>
      </c>
      <c r="AB696" t="s">
        <v>99</v>
      </c>
      <c r="AC696" t="s">
        <v>222</v>
      </c>
      <c r="AD696" t="s">
        <v>456</v>
      </c>
      <c r="AE696" t="str">
        <f t="shared" si="10"/>
        <v>McInerney</v>
      </c>
      <c r="AF696">
        <v>2</v>
      </c>
      <c r="AG696">
        <v>1</v>
      </c>
      <c r="AH696">
        <v>0</v>
      </c>
      <c r="AI696">
        <v>0</v>
      </c>
      <c r="AJ696">
        <v>1</v>
      </c>
      <c r="AK696" t="s">
        <v>456</v>
      </c>
      <c r="AL696">
        <v>0.63888888888888895</v>
      </c>
    </row>
    <row r="697" spans="2:40" ht="15" customHeight="1" x14ac:dyDescent="0.2">
      <c r="B697">
        <v>24</v>
      </c>
      <c r="C697">
        <v>7</v>
      </c>
      <c r="D697">
        <v>10</v>
      </c>
      <c r="E697" t="s">
        <v>580</v>
      </c>
      <c r="F697" t="s">
        <v>108</v>
      </c>
      <c r="G697" s="15">
        <v>45143</v>
      </c>
      <c r="H697" t="s">
        <v>109</v>
      </c>
      <c r="I697" t="s">
        <v>533</v>
      </c>
      <c r="J697" t="s">
        <v>534</v>
      </c>
      <c r="K697">
        <v>18</v>
      </c>
      <c r="L697" t="s">
        <v>154</v>
      </c>
      <c r="M697" t="s">
        <v>571</v>
      </c>
      <c r="N697" t="s">
        <v>572</v>
      </c>
      <c r="O697">
        <v>70.2</v>
      </c>
      <c r="P697">
        <v>130</v>
      </c>
      <c r="Q697">
        <v>5675</v>
      </c>
      <c r="R697" t="s">
        <v>157</v>
      </c>
      <c r="S697" t="s">
        <v>158</v>
      </c>
      <c r="T697" t="s">
        <v>407</v>
      </c>
      <c r="U697" t="s">
        <v>231</v>
      </c>
      <c r="V697" t="s">
        <v>178</v>
      </c>
      <c r="W697" t="s">
        <v>573</v>
      </c>
      <c r="AA697">
        <v>2</v>
      </c>
      <c r="AB697" t="s">
        <v>100</v>
      </c>
      <c r="AC697" t="s">
        <v>239</v>
      </c>
      <c r="AD697" t="s">
        <v>179</v>
      </c>
      <c r="AE697" t="str">
        <f t="shared" si="10"/>
        <v>Connors</v>
      </c>
      <c r="AF697">
        <v>0</v>
      </c>
      <c r="AG697">
        <v>0</v>
      </c>
      <c r="AH697">
        <v>1</v>
      </c>
      <c r="AI697">
        <v>0</v>
      </c>
      <c r="AJ697">
        <v>0</v>
      </c>
      <c r="AK697" t="s">
        <v>179</v>
      </c>
      <c r="AL697">
        <v>0.44067796610169502</v>
      </c>
    </row>
    <row r="698" spans="2:40" ht="15" customHeight="1" x14ac:dyDescent="0.2">
      <c r="B698">
        <v>24</v>
      </c>
      <c r="C698">
        <v>8</v>
      </c>
      <c r="D698">
        <v>10</v>
      </c>
      <c r="E698" t="s">
        <v>581</v>
      </c>
      <c r="F698" t="s">
        <v>108</v>
      </c>
      <c r="G698" s="15">
        <v>45143</v>
      </c>
      <c r="H698" t="s">
        <v>109</v>
      </c>
      <c r="I698" t="s">
        <v>533</v>
      </c>
      <c r="J698" t="s">
        <v>534</v>
      </c>
      <c r="K698">
        <v>18</v>
      </c>
      <c r="L698" t="s">
        <v>154</v>
      </c>
      <c r="M698" t="s">
        <v>571</v>
      </c>
      <c r="N698" t="s">
        <v>572</v>
      </c>
      <c r="O698">
        <v>70.2</v>
      </c>
      <c r="P698">
        <v>130</v>
      </c>
      <c r="Q698">
        <v>5675</v>
      </c>
      <c r="R698" t="s">
        <v>157</v>
      </c>
      <c r="S698" t="s">
        <v>158</v>
      </c>
      <c r="T698" t="s">
        <v>407</v>
      </c>
      <c r="U698" t="s">
        <v>231</v>
      </c>
      <c r="V698" t="s">
        <v>272</v>
      </c>
      <c r="W698" t="s">
        <v>573</v>
      </c>
      <c r="AA698">
        <v>2</v>
      </c>
      <c r="AB698" t="s">
        <v>99</v>
      </c>
      <c r="AC698" t="s">
        <v>239</v>
      </c>
      <c r="AD698" t="s">
        <v>123</v>
      </c>
      <c r="AE698" t="str">
        <f t="shared" si="10"/>
        <v>Welker</v>
      </c>
      <c r="AF698">
        <v>2</v>
      </c>
      <c r="AG698">
        <v>1</v>
      </c>
      <c r="AH698">
        <v>0</v>
      </c>
      <c r="AI698">
        <v>0</v>
      </c>
      <c r="AJ698">
        <v>1</v>
      </c>
      <c r="AK698" t="s">
        <v>123</v>
      </c>
      <c r="AL698">
        <v>0.5546875</v>
      </c>
    </row>
    <row r="699" spans="2:40" ht="15" customHeight="1" x14ac:dyDescent="0.2">
      <c r="B699">
        <v>25</v>
      </c>
      <c r="C699">
        <v>9</v>
      </c>
      <c r="D699">
        <v>10</v>
      </c>
      <c r="E699" t="s">
        <v>582</v>
      </c>
      <c r="F699" t="s">
        <v>108</v>
      </c>
      <c r="G699" s="15">
        <v>45143</v>
      </c>
      <c r="H699" t="s">
        <v>109</v>
      </c>
      <c r="I699" t="s">
        <v>533</v>
      </c>
      <c r="J699" t="s">
        <v>534</v>
      </c>
      <c r="K699">
        <v>18</v>
      </c>
      <c r="L699" t="s">
        <v>154</v>
      </c>
      <c r="M699" t="s">
        <v>571</v>
      </c>
      <c r="N699" t="s">
        <v>572</v>
      </c>
      <c r="O699">
        <v>70.2</v>
      </c>
      <c r="P699">
        <v>130</v>
      </c>
      <c r="Q699">
        <v>5675</v>
      </c>
      <c r="R699" t="s">
        <v>157</v>
      </c>
      <c r="S699" t="s">
        <v>158</v>
      </c>
      <c r="T699" t="s">
        <v>407</v>
      </c>
      <c r="U699" t="s">
        <v>231</v>
      </c>
      <c r="V699" t="s">
        <v>133</v>
      </c>
      <c r="W699" t="s">
        <v>573</v>
      </c>
      <c r="AA699">
        <v>2</v>
      </c>
      <c r="AB699" t="s">
        <v>101</v>
      </c>
      <c r="AC699" t="s">
        <v>139</v>
      </c>
      <c r="AD699" t="s">
        <v>127</v>
      </c>
      <c r="AE699" t="str">
        <f t="shared" si="10"/>
        <v>Mangold</v>
      </c>
      <c r="AF699">
        <v>1</v>
      </c>
      <c r="AG699">
        <v>0</v>
      </c>
      <c r="AH699">
        <v>0</v>
      </c>
      <c r="AI699">
        <v>1</v>
      </c>
      <c r="AJ699">
        <v>0.5</v>
      </c>
      <c r="AK699" t="s">
        <v>127</v>
      </c>
      <c r="AL699">
        <v>0.59523809523809501</v>
      </c>
    </row>
    <row r="700" spans="2:40" ht="15" customHeight="1" x14ac:dyDescent="0.2">
      <c r="B700">
        <v>25</v>
      </c>
      <c r="C700">
        <v>10</v>
      </c>
      <c r="D700">
        <v>10</v>
      </c>
      <c r="E700" t="s">
        <v>583</v>
      </c>
      <c r="F700" t="s">
        <v>108</v>
      </c>
      <c r="G700" s="15">
        <v>45143</v>
      </c>
      <c r="H700" t="s">
        <v>109</v>
      </c>
      <c r="I700" t="s">
        <v>533</v>
      </c>
      <c r="J700" t="s">
        <v>534</v>
      </c>
      <c r="K700">
        <v>18</v>
      </c>
      <c r="L700" t="s">
        <v>154</v>
      </c>
      <c r="M700" t="s">
        <v>571</v>
      </c>
      <c r="N700" t="s">
        <v>572</v>
      </c>
      <c r="O700">
        <v>70.2</v>
      </c>
      <c r="P700">
        <v>130</v>
      </c>
      <c r="Q700">
        <v>5675</v>
      </c>
      <c r="R700" t="s">
        <v>157</v>
      </c>
      <c r="S700" t="s">
        <v>158</v>
      </c>
      <c r="T700" t="s">
        <v>407</v>
      </c>
      <c r="U700" t="s">
        <v>231</v>
      </c>
      <c r="V700" t="s">
        <v>176</v>
      </c>
      <c r="W700" t="s">
        <v>573</v>
      </c>
      <c r="AA700">
        <v>2</v>
      </c>
      <c r="AB700" t="s">
        <v>100</v>
      </c>
      <c r="AC700" t="s">
        <v>222</v>
      </c>
      <c r="AD700" t="s">
        <v>119</v>
      </c>
      <c r="AE700" t="str">
        <f t="shared" si="10"/>
        <v>Forster</v>
      </c>
      <c r="AF700">
        <v>0</v>
      </c>
      <c r="AG700">
        <v>0</v>
      </c>
      <c r="AH700">
        <v>1</v>
      </c>
      <c r="AI700">
        <v>0</v>
      </c>
      <c r="AJ700">
        <v>0</v>
      </c>
      <c r="AK700" t="s">
        <v>119</v>
      </c>
      <c r="AL700">
        <v>0.546875</v>
      </c>
    </row>
    <row r="701" spans="2:40" ht="15" customHeight="1" x14ac:dyDescent="0.2">
      <c r="B701">
        <v>26</v>
      </c>
      <c r="C701">
        <v>1</v>
      </c>
      <c r="D701">
        <v>10</v>
      </c>
      <c r="E701" t="s">
        <v>570</v>
      </c>
      <c r="F701" t="s">
        <v>108</v>
      </c>
      <c r="G701" s="15">
        <v>45143</v>
      </c>
      <c r="H701" t="s">
        <v>109</v>
      </c>
      <c r="I701" t="s">
        <v>533</v>
      </c>
      <c r="J701" t="s">
        <v>534</v>
      </c>
      <c r="K701">
        <v>18</v>
      </c>
      <c r="L701" t="s">
        <v>154</v>
      </c>
      <c r="M701" t="s">
        <v>571</v>
      </c>
      <c r="N701" t="s">
        <v>572</v>
      </c>
      <c r="O701">
        <v>70.2</v>
      </c>
      <c r="P701">
        <v>130</v>
      </c>
      <c r="Q701">
        <v>5675</v>
      </c>
      <c r="R701" t="s">
        <v>157</v>
      </c>
      <c r="S701" t="s">
        <v>158</v>
      </c>
      <c r="T701" t="s">
        <v>407</v>
      </c>
      <c r="U701" t="s">
        <v>179</v>
      </c>
      <c r="V701" t="s">
        <v>321</v>
      </c>
      <c r="W701" t="s">
        <v>170</v>
      </c>
      <c r="AA701">
        <v>2</v>
      </c>
      <c r="AB701" t="s">
        <v>100</v>
      </c>
      <c r="AC701" t="s">
        <v>263</v>
      </c>
      <c r="AD701" t="s">
        <v>118</v>
      </c>
      <c r="AE701" t="str">
        <f t="shared" si="10"/>
        <v>Delaney</v>
      </c>
      <c r="AF701">
        <v>0</v>
      </c>
      <c r="AG701">
        <v>0</v>
      </c>
      <c r="AH701">
        <v>1</v>
      </c>
      <c r="AI701">
        <v>0</v>
      </c>
      <c r="AJ701">
        <v>0</v>
      </c>
      <c r="AK701" t="s">
        <v>118</v>
      </c>
      <c r="AL701">
        <v>0.6171875</v>
      </c>
    </row>
    <row r="702" spans="2:40" ht="15" customHeight="1" x14ac:dyDescent="0.2">
      <c r="B702">
        <v>26</v>
      </c>
      <c r="C702">
        <v>2</v>
      </c>
      <c r="D702">
        <v>10</v>
      </c>
      <c r="E702" t="s">
        <v>574</v>
      </c>
      <c r="F702" t="s">
        <v>108</v>
      </c>
      <c r="G702" s="15">
        <v>45143</v>
      </c>
      <c r="H702" t="s">
        <v>109</v>
      </c>
      <c r="I702" t="s">
        <v>533</v>
      </c>
      <c r="J702" t="s">
        <v>534</v>
      </c>
      <c r="K702">
        <v>18</v>
      </c>
      <c r="L702" t="s">
        <v>154</v>
      </c>
      <c r="M702" t="s">
        <v>571</v>
      </c>
      <c r="N702" t="s">
        <v>572</v>
      </c>
      <c r="O702">
        <v>70.2</v>
      </c>
      <c r="P702">
        <v>130</v>
      </c>
      <c r="Q702">
        <v>5675</v>
      </c>
      <c r="R702" t="s">
        <v>157</v>
      </c>
      <c r="S702" t="s">
        <v>158</v>
      </c>
      <c r="T702" t="s">
        <v>407</v>
      </c>
      <c r="U702" t="s">
        <v>179</v>
      </c>
      <c r="V702" t="s">
        <v>1308</v>
      </c>
      <c r="W702" t="s">
        <v>170</v>
      </c>
      <c r="AA702">
        <v>2</v>
      </c>
      <c r="AB702" t="s">
        <v>99</v>
      </c>
      <c r="AC702" t="s">
        <v>575</v>
      </c>
      <c r="AD702" t="s">
        <v>227</v>
      </c>
      <c r="AE702" t="str">
        <f t="shared" si="10"/>
        <v>Connolly</v>
      </c>
      <c r="AF702">
        <v>2</v>
      </c>
      <c r="AG702">
        <v>1</v>
      </c>
      <c r="AH702">
        <v>0</v>
      </c>
      <c r="AI702">
        <v>0</v>
      </c>
      <c r="AJ702">
        <v>1</v>
      </c>
      <c r="AK702" t="s">
        <v>227</v>
      </c>
      <c r="AL702">
        <v>0.5</v>
      </c>
    </row>
    <row r="703" spans="2:40" ht="15" customHeight="1" x14ac:dyDescent="0.2">
      <c r="B703">
        <v>27</v>
      </c>
      <c r="C703">
        <v>3</v>
      </c>
      <c r="D703">
        <v>10</v>
      </c>
      <c r="E703" t="s">
        <v>576</v>
      </c>
      <c r="F703" t="s">
        <v>108</v>
      </c>
      <c r="G703" s="15">
        <v>45143</v>
      </c>
      <c r="H703" t="s">
        <v>109</v>
      </c>
      <c r="I703" t="s">
        <v>533</v>
      </c>
      <c r="J703" t="s">
        <v>534</v>
      </c>
      <c r="K703">
        <v>18</v>
      </c>
      <c r="L703" t="s">
        <v>154</v>
      </c>
      <c r="M703" t="s">
        <v>571</v>
      </c>
      <c r="N703" t="s">
        <v>572</v>
      </c>
      <c r="O703">
        <v>70.2</v>
      </c>
      <c r="P703">
        <v>130</v>
      </c>
      <c r="Q703">
        <v>5675</v>
      </c>
      <c r="R703" t="s">
        <v>157</v>
      </c>
      <c r="S703" t="s">
        <v>158</v>
      </c>
      <c r="T703" t="s">
        <v>407</v>
      </c>
      <c r="U703" t="s">
        <v>179</v>
      </c>
      <c r="V703" t="s">
        <v>122</v>
      </c>
      <c r="W703" t="s">
        <v>170</v>
      </c>
      <c r="AA703">
        <v>2</v>
      </c>
      <c r="AB703" t="s">
        <v>100</v>
      </c>
      <c r="AC703" t="s">
        <v>396</v>
      </c>
      <c r="AD703" t="s">
        <v>452</v>
      </c>
      <c r="AE703" t="str">
        <f t="shared" si="10"/>
        <v>Hilts</v>
      </c>
      <c r="AF703">
        <v>0</v>
      </c>
      <c r="AG703">
        <v>0</v>
      </c>
      <c r="AH703">
        <v>1</v>
      </c>
      <c r="AI703">
        <v>0</v>
      </c>
      <c r="AJ703">
        <v>0</v>
      </c>
      <c r="AK703" t="s">
        <v>452</v>
      </c>
      <c r="AL703">
        <v>0.65909090909090895</v>
      </c>
    </row>
    <row r="704" spans="2:40" ht="15" customHeight="1" x14ac:dyDescent="0.2">
      <c r="B704">
        <v>27</v>
      </c>
      <c r="C704">
        <v>4</v>
      </c>
      <c r="D704">
        <v>10</v>
      </c>
      <c r="E704" t="s">
        <v>577</v>
      </c>
      <c r="F704" t="s">
        <v>108</v>
      </c>
      <c r="G704" s="15">
        <v>45143</v>
      </c>
      <c r="H704" t="s">
        <v>109</v>
      </c>
      <c r="I704" t="s">
        <v>533</v>
      </c>
      <c r="J704" t="s">
        <v>534</v>
      </c>
      <c r="K704">
        <v>18</v>
      </c>
      <c r="L704" t="s">
        <v>154</v>
      </c>
      <c r="M704" t="s">
        <v>571</v>
      </c>
      <c r="N704" t="s">
        <v>572</v>
      </c>
      <c r="O704">
        <v>70.2</v>
      </c>
      <c r="P704">
        <v>130</v>
      </c>
      <c r="Q704">
        <v>5675</v>
      </c>
      <c r="R704" t="s">
        <v>157</v>
      </c>
      <c r="S704" t="s">
        <v>158</v>
      </c>
      <c r="T704" t="s">
        <v>407</v>
      </c>
      <c r="U704" t="s">
        <v>179</v>
      </c>
      <c r="V704" t="s">
        <v>541</v>
      </c>
      <c r="W704" t="s">
        <v>170</v>
      </c>
      <c r="AA704">
        <v>2</v>
      </c>
      <c r="AB704" t="s">
        <v>99</v>
      </c>
      <c r="AC704" t="s">
        <v>222</v>
      </c>
      <c r="AD704" t="s">
        <v>172</v>
      </c>
      <c r="AE704" t="str">
        <f t="shared" si="10"/>
        <v>R. Connolly</v>
      </c>
      <c r="AF704">
        <v>2</v>
      </c>
      <c r="AG704">
        <v>1</v>
      </c>
      <c r="AH704">
        <v>0</v>
      </c>
      <c r="AI704">
        <v>0</v>
      </c>
      <c r="AJ704">
        <v>1</v>
      </c>
      <c r="AK704" t="s">
        <v>172</v>
      </c>
      <c r="AL704">
        <v>0.37288135593220301</v>
      </c>
    </row>
    <row r="705" spans="2:40" ht="15" customHeight="1" x14ac:dyDescent="0.2">
      <c r="B705">
        <v>28</v>
      </c>
      <c r="C705">
        <v>5</v>
      </c>
      <c r="D705">
        <v>10</v>
      </c>
      <c r="E705" t="s">
        <v>578</v>
      </c>
      <c r="F705" t="s">
        <v>108</v>
      </c>
      <c r="G705" s="15">
        <v>45143</v>
      </c>
      <c r="H705" t="s">
        <v>109</v>
      </c>
      <c r="I705" t="s">
        <v>533</v>
      </c>
      <c r="J705" t="s">
        <v>534</v>
      </c>
      <c r="K705">
        <v>18</v>
      </c>
      <c r="L705" t="s">
        <v>154</v>
      </c>
      <c r="M705" t="s">
        <v>571</v>
      </c>
      <c r="N705" t="s">
        <v>572</v>
      </c>
      <c r="O705">
        <v>70.2</v>
      </c>
      <c r="P705">
        <v>130</v>
      </c>
      <c r="Q705">
        <v>5675</v>
      </c>
      <c r="R705" t="s">
        <v>157</v>
      </c>
      <c r="S705" t="s">
        <v>158</v>
      </c>
      <c r="T705" t="s">
        <v>407</v>
      </c>
      <c r="U705" t="s">
        <v>179</v>
      </c>
      <c r="V705" t="s">
        <v>132</v>
      </c>
      <c r="W705" t="s">
        <v>170</v>
      </c>
      <c r="AA705">
        <v>2</v>
      </c>
      <c r="AB705" t="s">
        <v>100</v>
      </c>
      <c r="AC705" t="s">
        <v>288</v>
      </c>
      <c r="AD705" t="s">
        <v>226</v>
      </c>
      <c r="AE705" t="str">
        <f t="shared" si="10"/>
        <v>Flanders</v>
      </c>
      <c r="AF705">
        <v>0</v>
      </c>
      <c r="AG705">
        <v>0</v>
      </c>
      <c r="AH705">
        <v>1</v>
      </c>
      <c r="AI705">
        <v>0</v>
      </c>
      <c r="AJ705">
        <v>0</v>
      </c>
      <c r="AK705" t="s">
        <v>226</v>
      </c>
      <c r="AL705">
        <v>0.65476190476190499</v>
      </c>
    </row>
    <row r="706" spans="2:40" ht="15" customHeight="1" x14ac:dyDescent="0.2">
      <c r="B706">
        <v>28</v>
      </c>
      <c r="C706">
        <v>6</v>
      </c>
      <c r="D706">
        <v>10</v>
      </c>
      <c r="E706" t="s">
        <v>579</v>
      </c>
      <c r="F706" t="s">
        <v>108</v>
      </c>
      <c r="G706" s="15">
        <v>45143</v>
      </c>
      <c r="H706" t="s">
        <v>109</v>
      </c>
      <c r="I706" t="s">
        <v>533</v>
      </c>
      <c r="J706" t="s">
        <v>534</v>
      </c>
      <c r="K706">
        <v>18</v>
      </c>
      <c r="L706" t="s">
        <v>154</v>
      </c>
      <c r="M706" t="s">
        <v>571</v>
      </c>
      <c r="N706" t="s">
        <v>572</v>
      </c>
      <c r="O706">
        <v>70.2</v>
      </c>
      <c r="P706">
        <v>130</v>
      </c>
      <c r="Q706">
        <v>5675</v>
      </c>
      <c r="R706" t="s">
        <v>157</v>
      </c>
      <c r="S706" t="s">
        <v>158</v>
      </c>
      <c r="T706" t="s">
        <v>407</v>
      </c>
      <c r="U706" t="s">
        <v>179</v>
      </c>
      <c r="V706" t="s">
        <v>456</v>
      </c>
      <c r="W706" t="s">
        <v>170</v>
      </c>
      <c r="AA706">
        <v>2</v>
      </c>
      <c r="AB706" t="s">
        <v>100</v>
      </c>
      <c r="AC706" t="s">
        <v>222</v>
      </c>
      <c r="AD706" t="s">
        <v>231</v>
      </c>
      <c r="AE706" t="str">
        <f t="shared" ref="AE706:AE769" si="11">$V706&amp;$Y706</f>
        <v>Perkins</v>
      </c>
      <c r="AF706">
        <v>0</v>
      </c>
      <c r="AG706">
        <v>0</v>
      </c>
      <c r="AH706">
        <v>1</v>
      </c>
      <c r="AI706">
        <v>0</v>
      </c>
      <c r="AJ706">
        <v>0</v>
      </c>
      <c r="AK706" t="s">
        <v>231</v>
      </c>
      <c r="AL706">
        <v>0.5</v>
      </c>
    </row>
    <row r="707" spans="2:40" ht="15" customHeight="1" x14ac:dyDescent="0.2">
      <c r="B707">
        <v>29</v>
      </c>
      <c r="C707">
        <v>7</v>
      </c>
      <c r="D707">
        <v>10</v>
      </c>
      <c r="E707" t="s">
        <v>580</v>
      </c>
      <c r="F707" t="s">
        <v>108</v>
      </c>
      <c r="G707" s="15">
        <v>45143</v>
      </c>
      <c r="H707" t="s">
        <v>109</v>
      </c>
      <c r="I707" t="s">
        <v>533</v>
      </c>
      <c r="J707" t="s">
        <v>534</v>
      </c>
      <c r="K707">
        <v>18</v>
      </c>
      <c r="L707" t="s">
        <v>154</v>
      </c>
      <c r="M707" t="s">
        <v>571</v>
      </c>
      <c r="N707" t="s">
        <v>572</v>
      </c>
      <c r="O707">
        <v>70.2</v>
      </c>
      <c r="P707">
        <v>130</v>
      </c>
      <c r="Q707">
        <v>5675</v>
      </c>
      <c r="R707" t="s">
        <v>157</v>
      </c>
      <c r="S707" t="s">
        <v>158</v>
      </c>
      <c r="T707" t="s">
        <v>407</v>
      </c>
      <c r="U707" t="s">
        <v>179</v>
      </c>
      <c r="V707" t="s">
        <v>179</v>
      </c>
      <c r="W707" t="s">
        <v>170</v>
      </c>
      <c r="AA707">
        <v>2</v>
      </c>
      <c r="AB707" t="s">
        <v>99</v>
      </c>
      <c r="AC707" t="s">
        <v>239</v>
      </c>
      <c r="AD707" t="s">
        <v>178</v>
      </c>
      <c r="AE707" t="str">
        <f t="shared" si="11"/>
        <v>Cole</v>
      </c>
      <c r="AF707">
        <v>2</v>
      </c>
      <c r="AG707">
        <v>1</v>
      </c>
      <c r="AH707">
        <v>0</v>
      </c>
      <c r="AI707">
        <v>0</v>
      </c>
      <c r="AJ707">
        <v>1</v>
      </c>
      <c r="AK707" t="s">
        <v>178</v>
      </c>
      <c r="AL707">
        <v>0.34745762711864397</v>
      </c>
    </row>
    <row r="708" spans="2:40" ht="15" customHeight="1" x14ac:dyDescent="0.2">
      <c r="B708">
        <v>29</v>
      </c>
      <c r="C708">
        <v>8</v>
      </c>
      <c r="D708">
        <v>10</v>
      </c>
      <c r="E708" t="s">
        <v>581</v>
      </c>
      <c r="F708" t="s">
        <v>108</v>
      </c>
      <c r="G708" s="15">
        <v>45143</v>
      </c>
      <c r="H708" t="s">
        <v>109</v>
      </c>
      <c r="I708" t="s">
        <v>533</v>
      </c>
      <c r="J708" t="s">
        <v>534</v>
      </c>
      <c r="K708">
        <v>18</v>
      </c>
      <c r="L708" t="s">
        <v>154</v>
      </c>
      <c r="M708" t="s">
        <v>571</v>
      </c>
      <c r="N708" t="s">
        <v>572</v>
      </c>
      <c r="O708">
        <v>70.2</v>
      </c>
      <c r="P708">
        <v>130</v>
      </c>
      <c r="Q708">
        <v>5675</v>
      </c>
      <c r="R708" t="s">
        <v>157</v>
      </c>
      <c r="S708" t="s">
        <v>158</v>
      </c>
      <c r="T708" t="s">
        <v>407</v>
      </c>
      <c r="U708" t="s">
        <v>179</v>
      </c>
      <c r="V708" t="s">
        <v>123</v>
      </c>
      <c r="W708" t="s">
        <v>170</v>
      </c>
      <c r="AA708">
        <v>2</v>
      </c>
      <c r="AB708" t="s">
        <v>100</v>
      </c>
      <c r="AC708" t="s">
        <v>239</v>
      </c>
      <c r="AD708" t="s">
        <v>272</v>
      </c>
      <c r="AE708" t="str">
        <f t="shared" si="11"/>
        <v>Lynch</v>
      </c>
      <c r="AF708">
        <v>0</v>
      </c>
      <c r="AG708">
        <v>0</v>
      </c>
      <c r="AH708">
        <v>1</v>
      </c>
      <c r="AI708">
        <v>0</v>
      </c>
      <c r="AJ708">
        <v>0</v>
      </c>
      <c r="AK708" t="s">
        <v>272</v>
      </c>
      <c r="AL708">
        <v>0.51041666666666696</v>
      </c>
    </row>
    <row r="709" spans="2:40" ht="15" customHeight="1" x14ac:dyDescent="0.2">
      <c r="B709">
        <v>30</v>
      </c>
      <c r="C709">
        <v>9</v>
      </c>
      <c r="D709">
        <v>10</v>
      </c>
      <c r="E709" t="s">
        <v>582</v>
      </c>
      <c r="F709" t="s">
        <v>108</v>
      </c>
      <c r="G709" s="15">
        <v>45143</v>
      </c>
      <c r="H709" t="s">
        <v>109</v>
      </c>
      <c r="I709" t="s">
        <v>533</v>
      </c>
      <c r="J709" t="s">
        <v>534</v>
      </c>
      <c r="K709">
        <v>18</v>
      </c>
      <c r="L709" t="s">
        <v>154</v>
      </c>
      <c r="M709" t="s">
        <v>571</v>
      </c>
      <c r="N709" t="s">
        <v>572</v>
      </c>
      <c r="O709">
        <v>70.2</v>
      </c>
      <c r="P709">
        <v>130</v>
      </c>
      <c r="Q709">
        <v>5675</v>
      </c>
      <c r="R709" t="s">
        <v>157</v>
      </c>
      <c r="S709" t="s">
        <v>158</v>
      </c>
      <c r="T709" t="s">
        <v>407</v>
      </c>
      <c r="U709" t="s">
        <v>179</v>
      </c>
      <c r="V709" t="s">
        <v>127</v>
      </c>
      <c r="W709" t="s">
        <v>170</v>
      </c>
      <c r="AA709">
        <v>2</v>
      </c>
      <c r="AB709" t="s">
        <v>101</v>
      </c>
      <c r="AC709" t="s">
        <v>139</v>
      </c>
      <c r="AD709" t="s">
        <v>133</v>
      </c>
      <c r="AE709" t="str">
        <f t="shared" si="11"/>
        <v>Ferrin</v>
      </c>
      <c r="AF709">
        <v>1</v>
      </c>
      <c r="AG709">
        <v>0</v>
      </c>
      <c r="AH709">
        <v>0</v>
      </c>
      <c r="AI709">
        <v>1</v>
      </c>
      <c r="AJ709">
        <v>0.5</v>
      </c>
      <c r="AK709" t="s">
        <v>133</v>
      </c>
      <c r="AL709">
        <v>0.38392857142857201</v>
      </c>
    </row>
    <row r="710" spans="2:40" ht="15" customHeight="1" x14ac:dyDescent="0.2">
      <c r="B710">
        <v>30</v>
      </c>
      <c r="C710">
        <v>10</v>
      </c>
      <c r="D710">
        <v>10</v>
      </c>
      <c r="E710" t="s">
        <v>583</v>
      </c>
      <c r="F710" t="s">
        <v>108</v>
      </c>
      <c r="G710" s="15">
        <v>45143</v>
      </c>
      <c r="H710" t="s">
        <v>109</v>
      </c>
      <c r="I710" t="s">
        <v>533</v>
      </c>
      <c r="J710" t="s">
        <v>534</v>
      </c>
      <c r="K710">
        <v>18</v>
      </c>
      <c r="L710" t="s">
        <v>154</v>
      </c>
      <c r="M710" t="s">
        <v>571</v>
      </c>
      <c r="N710" t="s">
        <v>572</v>
      </c>
      <c r="O710">
        <v>70.2</v>
      </c>
      <c r="P710">
        <v>130</v>
      </c>
      <c r="Q710">
        <v>5675</v>
      </c>
      <c r="R710" t="s">
        <v>157</v>
      </c>
      <c r="S710" t="s">
        <v>158</v>
      </c>
      <c r="T710" t="s">
        <v>407</v>
      </c>
      <c r="U710" t="s">
        <v>179</v>
      </c>
      <c r="V710" t="s">
        <v>119</v>
      </c>
      <c r="W710" t="s">
        <v>170</v>
      </c>
      <c r="AA710">
        <v>2</v>
      </c>
      <c r="AB710" t="s">
        <v>99</v>
      </c>
      <c r="AC710" t="s">
        <v>222</v>
      </c>
      <c r="AD710" t="s">
        <v>176</v>
      </c>
      <c r="AE710" t="str">
        <f t="shared" si="11"/>
        <v>Grise</v>
      </c>
      <c r="AF710">
        <v>2</v>
      </c>
      <c r="AG710">
        <v>1</v>
      </c>
      <c r="AH710">
        <v>0</v>
      </c>
      <c r="AI710">
        <v>0</v>
      </c>
      <c r="AJ710">
        <v>1</v>
      </c>
      <c r="AK710" t="s">
        <v>176</v>
      </c>
      <c r="AL710">
        <v>0.59649122807017496</v>
      </c>
    </row>
    <row r="711" spans="2:40" ht="15" customHeight="1" x14ac:dyDescent="0.2">
      <c r="B711">
        <v>1</v>
      </c>
      <c r="C711">
        <v>1</v>
      </c>
      <c r="D711">
        <v>11</v>
      </c>
      <c r="E711" t="s">
        <v>584</v>
      </c>
      <c r="F711" t="s">
        <v>268</v>
      </c>
      <c r="G711" s="15">
        <v>45583</v>
      </c>
      <c r="H711" t="s">
        <v>109</v>
      </c>
      <c r="I711" t="s">
        <v>585</v>
      </c>
      <c r="J711" t="s">
        <v>219</v>
      </c>
      <c r="K711">
        <v>9</v>
      </c>
      <c r="L711" t="s">
        <v>112</v>
      </c>
      <c r="M711" t="s">
        <v>586</v>
      </c>
      <c r="N711" t="s">
        <v>114</v>
      </c>
      <c r="P711">
        <v>139</v>
      </c>
      <c r="Q711">
        <v>6307</v>
      </c>
      <c r="R711" t="s">
        <v>115</v>
      </c>
      <c r="S711" t="s">
        <v>116</v>
      </c>
      <c r="U711" t="s">
        <v>178</v>
      </c>
      <c r="V711" t="s">
        <v>132</v>
      </c>
      <c r="W711" t="s">
        <v>156</v>
      </c>
      <c r="Y711" t="s">
        <v>119</v>
      </c>
      <c r="AA711">
        <v>1</v>
      </c>
      <c r="AB711" t="s">
        <v>100</v>
      </c>
      <c r="AC711" t="s">
        <v>587</v>
      </c>
      <c r="AE711" t="str">
        <f t="shared" si="11"/>
        <v>FlandersGrise</v>
      </c>
      <c r="AF711">
        <v>0</v>
      </c>
      <c r="AG711">
        <v>0</v>
      </c>
      <c r="AH711">
        <v>1</v>
      </c>
      <c r="AI711">
        <v>0</v>
      </c>
      <c r="AJ711">
        <v>0</v>
      </c>
      <c r="AK711" t="s">
        <v>172</v>
      </c>
      <c r="AL711">
        <v>0.37288135593220301</v>
      </c>
      <c r="AM711" t="s">
        <v>130</v>
      </c>
      <c r="AN711">
        <v>0.48611111111111099</v>
      </c>
    </row>
    <row r="712" spans="2:40" ht="15" customHeight="1" x14ac:dyDescent="0.2">
      <c r="B712">
        <v>1</v>
      </c>
      <c r="C712">
        <v>1</v>
      </c>
      <c r="D712">
        <v>11</v>
      </c>
      <c r="E712" t="s">
        <v>584</v>
      </c>
      <c r="F712" t="s">
        <v>268</v>
      </c>
      <c r="G712" s="15">
        <v>45583</v>
      </c>
      <c r="H712" t="s">
        <v>109</v>
      </c>
      <c r="I712" t="s">
        <v>585</v>
      </c>
      <c r="J712" t="s">
        <v>219</v>
      </c>
      <c r="K712">
        <v>9</v>
      </c>
      <c r="L712" t="s">
        <v>112</v>
      </c>
      <c r="M712" t="s">
        <v>586</v>
      </c>
      <c r="N712" t="s">
        <v>114</v>
      </c>
      <c r="P712">
        <v>139</v>
      </c>
      <c r="Q712">
        <v>6307</v>
      </c>
      <c r="R712" t="s">
        <v>115</v>
      </c>
      <c r="S712" t="s">
        <v>116</v>
      </c>
      <c r="U712" t="s">
        <v>452</v>
      </c>
      <c r="V712" t="s">
        <v>172</v>
      </c>
      <c r="W712" t="s">
        <v>156</v>
      </c>
      <c r="Y712" t="s">
        <v>130</v>
      </c>
      <c r="AA712">
        <v>1</v>
      </c>
      <c r="AB712" t="s">
        <v>99</v>
      </c>
      <c r="AC712" t="s">
        <v>425</v>
      </c>
      <c r="AE712" t="str">
        <f t="shared" si="11"/>
        <v>FoganPoirier</v>
      </c>
      <c r="AF712">
        <v>1</v>
      </c>
      <c r="AG712">
        <v>1</v>
      </c>
      <c r="AH712">
        <v>0</v>
      </c>
      <c r="AI712">
        <v>0</v>
      </c>
      <c r="AJ712">
        <v>1</v>
      </c>
      <c r="AK712" t="s">
        <v>132</v>
      </c>
      <c r="AL712">
        <v>0.4296875</v>
      </c>
      <c r="AM712" t="s">
        <v>119</v>
      </c>
      <c r="AN712">
        <v>0.52777777777777801</v>
      </c>
    </row>
    <row r="713" spans="2:40" ht="15" customHeight="1" x14ac:dyDescent="0.2">
      <c r="B713">
        <v>2</v>
      </c>
      <c r="C713">
        <v>2</v>
      </c>
      <c r="D713">
        <v>11</v>
      </c>
      <c r="E713" t="s">
        <v>588</v>
      </c>
      <c r="F713" t="s">
        <v>268</v>
      </c>
      <c r="G713" s="15">
        <v>45583</v>
      </c>
      <c r="H713" t="s">
        <v>109</v>
      </c>
      <c r="I713" t="s">
        <v>585</v>
      </c>
      <c r="J713" t="s">
        <v>219</v>
      </c>
      <c r="K713">
        <v>9</v>
      </c>
      <c r="L713" t="s">
        <v>112</v>
      </c>
      <c r="M713" t="s">
        <v>586</v>
      </c>
      <c r="N713" t="s">
        <v>114</v>
      </c>
      <c r="P713">
        <v>139</v>
      </c>
      <c r="Q713">
        <v>6307</v>
      </c>
      <c r="R713" t="s">
        <v>115</v>
      </c>
      <c r="S713" t="s">
        <v>116</v>
      </c>
      <c r="U713" t="s">
        <v>452</v>
      </c>
      <c r="V713" t="s">
        <v>226</v>
      </c>
      <c r="W713" t="s">
        <v>156</v>
      </c>
      <c r="Y713" t="s">
        <v>230</v>
      </c>
      <c r="AA713">
        <v>1</v>
      </c>
      <c r="AB713" t="s">
        <v>99</v>
      </c>
      <c r="AC713" t="s">
        <v>225</v>
      </c>
      <c r="AE713" t="str">
        <f t="shared" si="11"/>
        <v>GrayNorat</v>
      </c>
      <c r="AF713">
        <v>1</v>
      </c>
      <c r="AG713">
        <v>1</v>
      </c>
      <c r="AH713">
        <v>0</v>
      </c>
      <c r="AI713">
        <v>0</v>
      </c>
      <c r="AJ713">
        <v>1</v>
      </c>
      <c r="AK713" t="s">
        <v>179</v>
      </c>
      <c r="AL713">
        <v>0.44067796610169502</v>
      </c>
      <c r="AM713" t="s">
        <v>123</v>
      </c>
      <c r="AN713">
        <v>0.5546875</v>
      </c>
    </row>
    <row r="714" spans="2:40" ht="15" customHeight="1" x14ac:dyDescent="0.2">
      <c r="B714">
        <v>2</v>
      </c>
      <c r="C714">
        <v>2</v>
      </c>
      <c r="D714">
        <v>11</v>
      </c>
      <c r="E714" t="s">
        <v>588</v>
      </c>
      <c r="F714" t="s">
        <v>268</v>
      </c>
      <c r="G714" s="15">
        <v>45583</v>
      </c>
      <c r="H714" t="s">
        <v>109</v>
      </c>
      <c r="I714" t="s">
        <v>585</v>
      </c>
      <c r="J714" t="s">
        <v>219</v>
      </c>
      <c r="K714">
        <v>9</v>
      </c>
      <c r="L714" t="s">
        <v>112</v>
      </c>
      <c r="M714" t="s">
        <v>586</v>
      </c>
      <c r="N714" t="s">
        <v>114</v>
      </c>
      <c r="P714">
        <v>139</v>
      </c>
      <c r="Q714">
        <v>6307</v>
      </c>
      <c r="R714" t="s">
        <v>115</v>
      </c>
      <c r="S714" t="s">
        <v>116</v>
      </c>
      <c r="U714" t="s">
        <v>178</v>
      </c>
      <c r="V714" t="s">
        <v>179</v>
      </c>
      <c r="W714" t="s">
        <v>156</v>
      </c>
      <c r="Y714" t="s">
        <v>123</v>
      </c>
      <c r="AA714">
        <v>1</v>
      </c>
      <c r="AB714" t="s">
        <v>100</v>
      </c>
      <c r="AC714" t="s">
        <v>225</v>
      </c>
      <c r="AE714" t="str">
        <f t="shared" si="11"/>
        <v>ColeLynch</v>
      </c>
      <c r="AF714">
        <v>0</v>
      </c>
      <c r="AG714">
        <v>0</v>
      </c>
      <c r="AH714">
        <v>1</v>
      </c>
      <c r="AI714">
        <v>0</v>
      </c>
      <c r="AJ714">
        <v>0</v>
      </c>
      <c r="AK714" t="s">
        <v>226</v>
      </c>
      <c r="AL714">
        <v>0.65476190476190499</v>
      </c>
      <c r="AM714" t="s">
        <v>230</v>
      </c>
      <c r="AN714">
        <v>0.52777777777777801</v>
      </c>
    </row>
    <row r="715" spans="2:40" ht="15" customHeight="1" x14ac:dyDescent="0.2">
      <c r="B715">
        <v>3</v>
      </c>
      <c r="C715">
        <v>3</v>
      </c>
      <c r="D715">
        <v>11</v>
      </c>
      <c r="E715" t="s">
        <v>589</v>
      </c>
      <c r="F715" t="s">
        <v>268</v>
      </c>
      <c r="G715" s="15">
        <v>45583</v>
      </c>
      <c r="H715" t="s">
        <v>109</v>
      </c>
      <c r="I715" t="s">
        <v>585</v>
      </c>
      <c r="J715" t="s">
        <v>219</v>
      </c>
      <c r="K715">
        <v>9</v>
      </c>
      <c r="L715" t="s">
        <v>112</v>
      </c>
      <c r="M715" t="s">
        <v>586</v>
      </c>
      <c r="N715" t="s">
        <v>114</v>
      </c>
      <c r="P715">
        <v>139</v>
      </c>
      <c r="Q715">
        <v>6307</v>
      </c>
      <c r="R715" t="s">
        <v>115</v>
      </c>
      <c r="S715" t="s">
        <v>116</v>
      </c>
      <c r="U715" t="s">
        <v>178</v>
      </c>
      <c r="V715" t="s">
        <v>178</v>
      </c>
      <c r="W715" t="s">
        <v>156</v>
      </c>
      <c r="Y715" t="s">
        <v>118</v>
      </c>
      <c r="AA715">
        <v>1</v>
      </c>
      <c r="AB715" t="s">
        <v>99</v>
      </c>
      <c r="AC715" t="s">
        <v>225</v>
      </c>
      <c r="AE715" t="str">
        <f t="shared" si="11"/>
        <v>ConnorsJackson</v>
      </c>
      <c r="AF715">
        <v>1</v>
      </c>
      <c r="AG715">
        <v>1</v>
      </c>
      <c r="AH715">
        <v>0</v>
      </c>
      <c r="AI715">
        <v>0</v>
      </c>
      <c r="AJ715">
        <v>1</v>
      </c>
      <c r="AK715" t="s">
        <v>1308</v>
      </c>
      <c r="AL715">
        <v>0.59375</v>
      </c>
      <c r="AM715" t="s">
        <v>452</v>
      </c>
      <c r="AN715">
        <v>0.65909090909090895</v>
      </c>
    </row>
    <row r="716" spans="2:40" ht="15" customHeight="1" x14ac:dyDescent="0.2">
      <c r="B716">
        <v>3</v>
      </c>
      <c r="C716">
        <v>3</v>
      </c>
      <c r="D716">
        <v>11</v>
      </c>
      <c r="E716" t="s">
        <v>589</v>
      </c>
      <c r="F716" t="s">
        <v>268</v>
      </c>
      <c r="G716" s="15">
        <v>45583</v>
      </c>
      <c r="H716" t="s">
        <v>109</v>
      </c>
      <c r="I716" t="s">
        <v>585</v>
      </c>
      <c r="J716" t="s">
        <v>219</v>
      </c>
      <c r="K716">
        <v>9</v>
      </c>
      <c r="L716" t="s">
        <v>112</v>
      </c>
      <c r="M716" t="s">
        <v>586</v>
      </c>
      <c r="N716" t="s">
        <v>114</v>
      </c>
      <c r="P716">
        <v>139</v>
      </c>
      <c r="Q716">
        <v>6307</v>
      </c>
      <c r="R716" t="s">
        <v>115</v>
      </c>
      <c r="S716" t="s">
        <v>116</v>
      </c>
      <c r="U716" t="s">
        <v>452</v>
      </c>
      <c r="V716" t="s">
        <v>1308</v>
      </c>
      <c r="W716" t="s">
        <v>156</v>
      </c>
      <c r="Y716" t="s">
        <v>452</v>
      </c>
      <c r="AA716">
        <v>1</v>
      </c>
      <c r="AB716" t="s">
        <v>100</v>
      </c>
      <c r="AC716" t="s">
        <v>225</v>
      </c>
      <c r="AE716" t="str">
        <f t="shared" si="11"/>
        <v>ConnollyDelneky</v>
      </c>
      <c r="AF716">
        <v>0</v>
      </c>
      <c r="AG716">
        <v>0</v>
      </c>
      <c r="AH716">
        <v>1</v>
      </c>
      <c r="AI716">
        <v>0</v>
      </c>
      <c r="AJ716">
        <v>0</v>
      </c>
      <c r="AK716" t="s">
        <v>178</v>
      </c>
      <c r="AL716">
        <v>0.34745762711864397</v>
      </c>
      <c r="AM716" t="s">
        <v>118</v>
      </c>
      <c r="AN716">
        <v>0.6171875</v>
      </c>
    </row>
    <row r="717" spans="2:40" ht="15" customHeight="1" x14ac:dyDescent="0.2">
      <c r="B717">
        <v>4</v>
      </c>
      <c r="C717">
        <v>4</v>
      </c>
      <c r="D717">
        <v>11</v>
      </c>
      <c r="E717" t="s">
        <v>590</v>
      </c>
      <c r="F717" t="s">
        <v>268</v>
      </c>
      <c r="G717" s="15">
        <v>45583</v>
      </c>
      <c r="H717" t="s">
        <v>109</v>
      </c>
      <c r="I717" t="s">
        <v>585</v>
      </c>
      <c r="J717" t="s">
        <v>219</v>
      </c>
      <c r="K717">
        <v>9</v>
      </c>
      <c r="L717" t="s">
        <v>112</v>
      </c>
      <c r="M717" t="s">
        <v>586</v>
      </c>
      <c r="N717" t="s">
        <v>114</v>
      </c>
      <c r="P717">
        <v>139</v>
      </c>
      <c r="Q717">
        <v>6307</v>
      </c>
      <c r="R717" t="s">
        <v>115</v>
      </c>
      <c r="S717" t="s">
        <v>116</v>
      </c>
      <c r="U717" t="s">
        <v>452</v>
      </c>
      <c r="V717" t="s">
        <v>135</v>
      </c>
      <c r="W717" t="s">
        <v>156</v>
      </c>
      <c r="Y717" t="s">
        <v>227</v>
      </c>
      <c r="AA717">
        <v>1</v>
      </c>
      <c r="AB717" t="s">
        <v>100</v>
      </c>
      <c r="AC717" t="s">
        <v>591</v>
      </c>
      <c r="AE717" t="str">
        <f t="shared" si="11"/>
        <v>ShivelyZimmer</v>
      </c>
      <c r="AF717">
        <v>0</v>
      </c>
      <c r="AG717">
        <v>0</v>
      </c>
      <c r="AH717">
        <v>1</v>
      </c>
      <c r="AI717">
        <v>0</v>
      </c>
      <c r="AJ717">
        <v>0</v>
      </c>
      <c r="AK717" t="s">
        <v>321</v>
      </c>
      <c r="AL717">
        <v>0.46551724137931</v>
      </c>
      <c r="AM717" t="s">
        <v>122</v>
      </c>
      <c r="AN717">
        <v>0.47321428571428598</v>
      </c>
    </row>
    <row r="718" spans="2:40" ht="15" customHeight="1" x14ac:dyDescent="0.2">
      <c r="B718">
        <v>4</v>
      </c>
      <c r="C718">
        <v>4</v>
      </c>
      <c r="D718">
        <v>11</v>
      </c>
      <c r="E718" t="s">
        <v>590</v>
      </c>
      <c r="F718" t="s">
        <v>268</v>
      </c>
      <c r="G718" s="15">
        <v>45583</v>
      </c>
      <c r="H718" t="s">
        <v>109</v>
      </c>
      <c r="I718" t="s">
        <v>585</v>
      </c>
      <c r="J718" t="s">
        <v>219</v>
      </c>
      <c r="K718">
        <v>9</v>
      </c>
      <c r="L718" t="s">
        <v>112</v>
      </c>
      <c r="M718" t="s">
        <v>586</v>
      </c>
      <c r="N718" t="s">
        <v>114</v>
      </c>
      <c r="P718">
        <v>139</v>
      </c>
      <c r="Q718">
        <v>6307</v>
      </c>
      <c r="R718" t="s">
        <v>115</v>
      </c>
      <c r="S718" t="s">
        <v>116</v>
      </c>
      <c r="U718" t="s">
        <v>178</v>
      </c>
      <c r="V718" t="s">
        <v>321</v>
      </c>
      <c r="W718" t="s">
        <v>156</v>
      </c>
      <c r="Y718" t="s">
        <v>122</v>
      </c>
      <c r="AA718">
        <v>1</v>
      </c>
      <c r="AB718" t="s">
        <v>99</v>
      </c>
      <c r="AC718" t="s">
        <v>425</v>
      </c>
      <c r="AE718" t="str">
        <f t="shared" si="11"/>
        <v>DelaneyHilts</v>
      </c>
      <c r="AF718">
        <v>1</v>
      </c>
      <c r="AG718">
        <v>1</v>
      </c>
      <c r="AH718">
        <v>0</v>
      </c>
      <c r="AI718">
        <v>0</v>
      </c>
      <c r="AJ718">
        <v>1</v>
      </c>
      <c r="AK718" t="s">
        <v>135</v>
      </c>
      <c r="AM718" t="s">
        <v>227</v>
      </c>
      <c r="AN718">
        <v>0.5</v>
      </c>
    </row>
    <row r="719" spans="2:40" ht="15" customHeight="1" x14ac:dyDescent="0.2">
      <c r="B719">
        <v>5</v>
      </c>
      <c r="C719">
        <v>5</v>
      </c>
      <c r="D719">
        <v>11</v>
      </c>
      <c r="E719" t="s">
        <v>592</v>
      </c>
      <c r="F719" t="s">
        <v>268</v>
      </c>
      <c r="G719" s="15">
        <v>45583</v>
      </c>
      <c r="H719" t="s">
        <v>109</v>
      </c>
      <c r="I719" t="s">
        <v>585</v>
      </c>
      <c r="J719" t="s">
        <v>219</v>
      </c>
      <c r="K719">
        <v>9</v>
      </c>
      <c r="L719" t="s">
        <v>112</v>
      </c>
      <c r="M719" t="s">
        <v>586</v>
      </c>
      <c r="N719" t="s">
        <v>114</v>
      </c>
      <c r="P719">
        <v>139</v>
      </c>
      <c r="Q719">
        <v>6307</v>
      </c>
      <c r="R719" t="s">
        <v>115</v>
      </c>
      <c r="S719" t="s">
        <v>116</v>
      </c>
      <c r="U719" t="s">
        <v>178</v>
      </c>
      <c r="V719" t="s">
        <v>133</v>
      </c>
      <c r="W719" t="s">
        <v>156</v>
      </c>
      <c r="Y719" t="s">
        <v>272</v>
      </c>
      <c r="AA719">
        <v>1</v>
      </c>
      <c r="AB719" t="s">
        <v>101</v>
      </c>
      <c r="AC719" t="s">
        <v>139</v>
      </c>
      <c r="AE719" t="str">
        <f t="shared" si="11"/>
        <v>MangoldWelker</v>
      </c>
      <c r="AF719">
        <v>0.5</v>
      </c>
      <c r="AG719">
        <v>0</v>
      </c>
      <c r="AH719">
        <v>0</v>
      </c>
      <c r="AI719">
        <v>1</v>
      </c>
      <c r="AJ719">
        <v>0.5</v>
      </c>
      <c r="AK719" t="s">
        <v>127</v>
      </c>
      <c r="AL719">
        <v>0.59523809523809501</v>
      </c>
      <c r="AM719" t="s">
        <v>176</v>
      </c>
      <c r="AN719">
        <v>0.59649122807017496</v>
      </c>
    </row>
    <row r="720" spans="2:40" ht="15" customHeight="1" x14ac:dyDescent="0.2">
      <c r="B720">
        <v>5</v>
      </c>
      <c r="C720">
        <v>5</v>
      </c>
      <c r="D720">
        <v>11</v>
      </c>
      <c r="E720" t="s">
        <v>592</v>
      </c>
      <c r="F720" t="s">
        <v>268</v>
      </c>
      <c r="G720" s="15">
        <v>45583</v>
      </c>
      <c r="H720" t="s">
        <v>109</v>
      </c>
      <c r="I720" t="s">
        <v>585</v>
      </c>
      <c r="J720" t="s">
        <v>219</v>
      </c>
      <c r="K720">
        <v>9</v>
      </c>
      <c r="L720" t="s">
        <v>112</v>
      </c>
      <c r="M720" t="s">
        <v>586</v>
      </c>
      <c r="N720" t="s">
        <v>114</v>
      </c>
      <c r="P720">
        <v>139</v>
      </c>
      <c r="Q720">
        <v>6307</v>
      </c>
      <c r="R720" t="s">
        <v>115</v>
      </c>
      <c r="S720" t="s">
        <v>116</v>
      </c>
      <c r="U720" t="s">
        <v>452</v>
      </c>
      <c r="V720" t="s">
        <v>127</v>
      </c>
      <c r="W720" t="s">
        <v>156</v>
      </c>
      <c r="Y720" t="s">
        <v>176</v>
      </c>
      <c r="AA720">
        <v>1</v>
      </c>
      <c r="AB720" t="s">
        <v>101</v>
      </c>
      <c r="AC720" t="s">
        <v>139</v>
      </c>
      <c r="AE720" t="str">
        <f t="shared" si="11"/>
        <v>FerrinForster</v>
      </c>
      <c r="AF720">
        <v>0.5</v>
      </c>
      <c r="AG720">
        <v>0</v>
      </c>
      <c r="AH720">
        <v>0</v>
      </c>
      <c r="AI720">
        <v>1</v>
      </c>
      <c r="AJ720">
        <v>0.5</v>
      </c>
      <c r="AK720" t="s">
        <v>133</v>
      </c>
      <c r="AL720">
        <v>0.38392857142857201</v>
      </c>
      <c r="AM720" t="s">
        <v>272</v>
      </c>
      <c r="AN720">
        <v>0.51041666666666696</v>
      </c>
    </row>
    <row r="721" spans="2:40" ht="15" customHeight="1" x14ac:dyDescent="0.2">
      <c r="B721">
        <v>6</v>
      </c>
      <c r="C721">
        <v>1</v>
      </c>
      <c r="D721">
        <v>11</v>
      </c>
      <c r="E721" t="s">
        <v>593</v>
      </c>
      <c r="F721" t="s">
        <v>268</v>
      </c>
      <c r="G721" s="15">
        <v>45583</v>
      </c>
      <c r="H721" t="s">
        <v>109</v>
      </c>
      <c r="I721" t="s">
        <v>585</v>
      </c>
      <c r="J721" t="s">
        <v>219</v>
      </c>
      <c r="K721">
        <v>9</v>
      </c>
      <c r="L721" t="s">
        <v>137</v>
      </c>
      <c r="M721" t="s">
        <v>586</v>
      </c>
      <c r="N721" t="s">
        <v>114</v>
      </c>
      <c r="P721">
        <v>139</v>
      </c>
      <c r="Q721">
        <v>6307</v>
      </c>
      <c r="R721" t="s">
        <v>368</v>
      </c>
      <c r="S721" t="s">
        <v>116</v>
      </c>
      <c r="U721" t="s">
        <v>178</v>
      </c>
      <c r="V721" t="s">
        <v>132</v>
      </c>
      <c r="W721" t="s">
        <v>156</v>
      </c>
      <c r="Y721" t="s">
        <v>119</v>
      </c>
      <c r="AA721">
        <v>1</v>
      </c>
      <c r="AB721" t="s">
        <v>100</v>
      </c>
      <c r="AC721" t="s">
        <v>587</v>
      </c>
      <c r="AE721" t="str">
        <f t="shared" si="11"/>
        <v>FlandersGrise</v>
      </c>
      <c r="AF721">
        <v>0</v>
      </c>
      <c r="AG721">
        <v>0</v>
      </c>
      <c r="AH721">
        <v>1</v>
      </c>
      <c r="AI721">
        <v>0</v>
      </c>
      <c r="AJ721">
        <v>0</v>
      </c>
      <c r="AK721" t="s">
        <v>172</v>
      </c>
      <c r="AL721">
        <v>0.37288135593220301</v>
      </c>
      <c r="AM721" t="s">
        <v>130</v>
      </c>
      <c r="AN721">
        <v>0.48611111111111099</v>
      </c>
    </row>
    <row r="722" spans="2:40" ht="15" customHeight="1" x14ac:dyDescent="0.2">
      <c r="B722">
        <v>6</v>
      </c>
      <c r="C722">
        <v>1</v>
      </c>
      <c r="D722">
        <v>11</v>
      </c>
      <c r="E722" t="s">
        <v>593</v>
      </c>
      <c r="F722" t="s">
        <v>268</v>
      </c>
      <c r="G722" s="15">
        <v>45583</v>
      </c>
      <c r="H722" t="s">
        <v>109</v>
      </c>
      <c r="I722" t="s">
        <v>585</v>
      </c>
      <c r="J722" t="s">
        <v>219</v>
      </c>
      <c r="K722">
        <v>9</v>
      </c>
      <c r="L722" t="s">
        <v>137</v>
      </c>
      <c r="M722" t="s">
        <v>586</v>
      </c>
      <c r="N722" t="s">
        <v>114</v>
      </c>
      <c r="P722">
        <v>139</v>
      </c>
      <c r="Q722">
        <v>6307</v>
      </c>
      <c r="R722" t="s">
        <v>368</v>
      </c>
      <c r="S722" t="s">
        <v>116</v>
      </c>
      <c r="U722" t="s">
        <v>452</v>
      </c>
      <c r="V722" t="s">
        <v>172</v>
      </c>
      <c r="W722" t="s">
        <v>156</v>
      </c>
      <c r="Y722" t="s">
        <v>130</v>
      </c>
      <c r="AA722">
        <v>1</v>
      </c>
      <c r="AB722" t="s">
        <v>99</v>
      </c>
      <c r="AC722" t="s">
        <v>263</v>
      </c>
      <c r="AE722" t="str">
        <f t="shared" si="11"/>
        <v>FoganPoirier</v>
      </c>
      <c r="AF722">
        <v>1</v>
      </c>
      <c r="AG722">
        <v>1</v>
      </c>
      <c r="AH722">
        <v>0</v>
      </c>
      <c r="AI722">
        <v>0</v>
      </c>
      <c r="AJ722">
        <v>1</v>
      </c>
      <c r="AK722" t="s">
        <v>132</v>
      </c>
      <c r="AL722">
        <v>0.4296875</v>
      </c>
      <c r="AM722" t="s">
        <v>119</v>
      </c>
      <c r="AN722">
        <v>0.546875</v>
      </c>
    </row>
    <row r="723" spans="2:40" ht="15" customHeight="1" x14ac:dyDescent="0.2">
      <c r="B723">
        <v>7</v>
      </c>
      <c r="C723">
        <v>2</v>
      </c>
      <c r="D723">
        <v>11</v>
      </c>
      <c r="E723" t="s">
        <v>594</v>
      </c>
      <c r="F723" t="s">
        <v>268</v>
      </c>
      <c r="G723" s="15">
        <v>45583</v>
      </c>
      <c r="H723" t="s">
        <v>109</v>
      </c>
      <c r="I723" t="s">
        <v>585</v>
      </c>
      <c r="J723" t="s">
        <v>219</v>
      </c>
      <c r="K723">
        <v>9</v>
      </c>
      <c r="L723" t="s">
        <v>137</v>
      </c>
      <c r="M723" t="s">
        <v>586</v>
      </c>
      <c r="N723" t="s">
        <v>114</v>
      </c>
      <c r="P723">
        <v>139</v>
      </c>
      <c r="Q723">
        <v>6307</v>
      </c>
      <c r="R723" t="s">
        <v>368</v>
      </c>
      <c r="S723" t="s">
        <v>116</v>
      </c>
      <c r="U723" t="s">
        <v>452</v>
      </c>
      <c r="V723" t="s">
        <v>226</v>
      </c>
      <c r="W723" t="s">
        <v>156</v>
      </c>
      <c r="Y723" t="s">
        <v>230</v>
      </c>
      <c r="AA723">
        <v>1</v>
      </c>
      <c r="AB723" t="s">
        <v>99</v>
      </c>
      <c r="AC723" t="s">
        <v>263</v>
      </c>
      <c r="AE723" t="str">
        <f t="shared" si="11"/>
        <v>GrayNorat</v>
      </c>
      <c r="AF723">
        <v>1</v>
      </c>
      <c r="AG723">
        <v>1</v>
      </c>
      <c r="AH723">
        <v>0</v>
      </c>
      <c r="AI723">
        <v>0</v>
      </c>
      <c r="AJ723">
        <v>1</v>
      </c>
      <c r="AK723" t="s">
        <v>179</v>
      </c>
      <c r="AL723">
        <v>0.44067796610169502</v>
      </c>
      <c r="AM723" t="s">
        <v>123</v>
      </c>
      <c r="AN723">
        <v>0.5546875</v>
      </c>
    </row>
    <row r="724" spans="2:40" ht="15" customHeight="1" x14ac:dyDescent="0.2">
      <c r="B724">
        <v>7</v>
      </c>
      <c r="C724">
        <v>2</v>
      </c>
      <c r="D724">
        <v>11</v>
      </c>
      <c r="E724" t="s">
        <v>594</v>
      </c>
      <c r="F724" t="s">
        <v>268</v>
      </c>
      <c r="G724" s="15">
        <v>45583</v>
      </c>
      <c r="H724" t="s">
        <v>109</v>
      </c>
      <c r="I724" t="s">
        <v>585</v>
      </c>
      <c r="J724" t="s">
        <v>219</v>
      </c>
      <c r="K724">
        <v>9</v>
      </c>
      <c r="L724" t="s">
        <v>137</v>
      </c>
      <c r="M724" t="s">
        <v>586</v>
      </c>
      <c r="N724" t="s">
        <v>114</v>
      </c>
      <c r="P724">
        <v>139</v>
      </c>
      <c r="Q724">
        <v>6307</v>
      </c>
      <c r="R724" t="s">
        <v>368</v>
      </c>
      <c r="S724" t="s">
        <v>116</v>
      </c>
      <c r="U724" t="s">
        <v>178</v>
      </c>
      <c r="V724" t="s">
        <v>179</v>
      </c>
      <c r="W724" t="s">
        <v>156</v>
      </c>
      <c r="Y724" t="s">
        <v>123</v>
      </c>
      <c r="AA724">
        <v>1</v>
      </c>
      <c r="AB724" t="s">
        <v>100</v>
      </c>
      <c r="AC724" t="s">
        <v>587</v>
      </c>
      <c r="AE724" t="str">
        <f t="shared" si="11"/>
        <v>ColeLynch</v>
      </c>
      <c r="AF724">
        <v>0</v>
      </c>
      <c r="AG724">
        <v>0</v>
      </c>
      <c r="AH724">
        <v>1</v>
      </c>
      <c r="AI724">
        <v>0</v>
      </c>
      <c r="AJ724">
        <v>0</v>
      </c>
      <c r="AK724" t="s">
        <v>226</v>
      </c>
      <c r="AL724">
        <v>0.65476190476190499</v>
      </c>
      <c r="AM724" t="s">
        <v>230</v>
      </c>
      <c r="AN724">
        <v>0.52777777777777801</v>
      </c>
    </row>
    <row r="725" spans="2:40" ht="15" customHeight="1" x14ac:dyDescent="0.2">
      <c r="B725">
        <v>8</v>
      </c>
      <c r="C725">
        <v>3</v>
      </c>
      <c r="D725">
        <v>11</v>
      </c>
      <c r="E725" t="s">
        <v>595</v>
      </c>
      <c r="F725" t="s">
        <v>268</v>
      </c>
      <c r="G725" s="15">
        <v>45583</v>
      </c>
      <c r="H725" t="s">
        <v>109</v>
      </c>
      <c r="I725" t="s">
        <v>585</v>
      </c>
      <c r="J725" t="s">
        <v>219</v>
      </c>
      <c r="K725">
        <v>9</v>
      </c>
      <c r="L725" t="s">
        <v>137</v>
      </c>
      <c r="M725" t="s">
        <v>586</v>
      </c>
      <c r="N725" t="s">
        <v>114</v>
      </c>
      <c r="P725">
        <v>139</v>
      </c>
      <c r="Q725">
        <v>6307</v>
      </c>
      <c r="R725" t="s">
        <v>368</v>
      </c>
      <c r="S725" t="s">
        <v>116</v>
      </c>
      <c r="U725" t="s">
        <v>178</v>
      </c>
      <c r="V725" t="s">
        <v>178</v>
      </c>
      <c r="W725" t="s">
        <v>156</v>
      </c>
      <c r="Y725" t="s">
        <v>118</v>
      </c>
      <c r="AA725">
        <v>1</v>
      </c>
      <c r="AB725" t="s">
        <v>100</v>
      </c>
      <c r="AC725" t="s">
        <v>225</v>
      </c>
      <c r="AE725" t="str">
        <f t="shared" si="11"/>
        <v>ConnorsJackson</v>
      </c>
      <c r="AF725">
        <v>0</v>
      </c>
      <c r="AG725">
        <v>0</v>
      </c>
      <c r="AH725">
        <v>1</v>
      </c>
      <c r="AI725">
        <v>0</v>
      </c>
      <c r="AJ725">
        <v>0</v>
      </c>
      <c r="AK725" t="s">
        <v>1308</v>
      </c>
      <c r="AL725">
        <v>0.59375</v>
      </c>
      <c r="AM725" t="s">
        <v>452</v>
      </c>
      <c r="AN725">
        <v>0.65909090909090895</v>
      </c>
    </row>
    <row r="726" spans="2:40" ht="15" customHeight="1" x14ac:dyDescent="0.2">
      <c r="B726">
        <v>8</v>
      </c>
      <c r="C726">
        <v>3</v>
      </c>
      <c r="D726">
        <v>11</v>
      </c>
      <c r="E726" t="s">
        <v>595</v>
      </c>
      <c r="F726" t="s">
        <v>268</v>
      </c>
      <c r="G726" s="15">
        <v>45583</v>
      </c>
      <c r="H726" t="s">
        <v>109</v>
      </c>
      <c r="I726" t="s">
        <v>585</v>
      </c>
      <c r="J726" t="s">
        <v>219</v>
      </c>
      <c r="K726">
        <v>9</v>
      </c>
      <c r="L726" t="s">
        <v>137</v>
      </c>
      <c r="M726" t="s">
        <v>586</v>
      </c>
      <c r="N726" t="s">
        <v>114</v>
      </c>
      <c r="P726">
        <v>139</v>
      </c>
      <c r="Q726">
        <v>6307</v>
      </c>
      <c r="R726" t="s">
        <v>368</v>
      </c>
      <c r="S726" t="s">
        <v>116</v>
      </c>
      <c r="U726" t="s">
        <v>452</v>
      </c>
      <c r="V726" t="s">
        <v>1308</v>
      </c>
      <c r="W726" t="s">
        <v>156</v>
      </c>
      <c r="Y726" t="s">
        <v>452</v>
      </c>
      <c r="AA726">
        <v>1</v>
      </c>
      <c r="AB726" t="s">
        <v>99</v>
      </c>
      <c r="AC726" t="s">
        <v>225</v>
      </c>
      <c r="AE726" t="str">
        <f t="shared" si="11"/>
        <v>ConnollyDelneky</v>
      </c>
      <c r="AF726">
        <v>1</v>
      </c>
      <c r="AG726">
        <v>1</v>
      </c>
      <c r="AH726">
        <v>0</v>
      </c>
      <c r="AI726">
        <v>0</v>
      </c>
      <c r="AJ726">
        <v>1</v>
      </c>
      <c r="AK726" t="s">
        <v>178</v>
      </c>
      <c r="AL726">
        <v>0.34745762711864397</v>
      </c>
      <c r="AM726" t="s">
        <v>118</v>
      </c>
      <c r="AN726">
        <v>0.6171875</v>
      </c>
    </row>
    <row r="727" spans="2:40" ht="15" customHeight="1" x14ac:dyDescent="0.2">
      <c r="B727">
        <v>9</v>
      </c>
      <c r="C727">
        <v>4</v>
      </c>
      <c r="D727">
        <v>11</v>
      </c>
      <c r="E727" t="s">
        <v>596</v>
      </c>
      <c r="F727" t="s">
        <v>268</v>
      </c>
      <c r="G727" s="15">
        <v>45583</v>
      </c>
      <c r="H727" t="s">
        <v>109</v>
      </c>
      <c r="I727" t="s">
        <v>585</v>
      </c>
      <c r="J727" t="s">
        <v>219</v>
      </c>
      <c r="K727">
        <v>9</v>
      </c>
      <c r="L727" t="s">
        <v>137</v>
      </c>
      <c r="M727" t="s">
        <v>586</v>
      </c>
      <c r="N727" t="s">
        <v>114</v>
      </c>
      <c r="P727">
        <v>139</v>
      </c>
      <c r="Q727">
        <v>6307</v>
      </c>
      <c r="R727" t="s">
        <v>368</v>
      </c>
      <c r="S727" t="s">
        <v>116</v>
      </c>
      <c r="U727" t="s">
        <v>452</v>
      </c>
      <c r="V727" t="s">
        <v>135</v>
      </c>
      <c r="W727" t="s">
        <v>156</v>
      </c>
      <c r="Y727" t="s">
        <v>227</v>
      </c>
      <c r="AA727">
        <v>1</v>
      </c>
      <c r="AB727" t="s">
        <v>101</v>
      </c>
      <c r="AC727" t="s">
        <v>139</v>
      </c>
      <c r="AE727" t="str">
        <f t="shared" si="11"/>
        <v>ShivelyZimmer</v>
      </c>
      <c r="AF727">
        <v>0.5</v>
      </c>
      <c r="AG727">
        <v>0</v>
      </c>
      <c r="AH727">
        <v>0</v>
      </c>
      <c r="AI727">
        <v>1</v>
      </c>
      <c r="AJ727">
        <v>0.5</v>
      </c>
      <c r="AK727" t="s">
        <v>321</v>
      </c>
      <c r="AL727">
        <v>0.46551724137931</v>
      </c>
      <c r="AM727" t="s">
        <v>122</v>
      </c>
      <c r="AN727">
        <v>0.47321428571428598</v>
      </c>
    </row>
    <row r="728" spans="2:40" ht="15" customHeight="1" x14ac:dyDescent="0.2">
      <c r="B728">
        <v>9</v>
      </c>
      <c r="C728">
        <v>4</v>
      </c>
      <c r="D728">
        <v>11</v>
      </c>
      <c r="E728" t="s">
        <v>596</v>
      </c>
      <c r="F728" t="s">
        <v>268</v>
      </c>
      <c r="G728" s="15">
        <v>45583</v>
      </c>
      <c r="H728" t="s">
        <v>109</v>
      </c>
      <c r="I728" t="s">
        <v>585</v>
      </c>
      <c r="J728" t="s">
        <v>219</v>
      </c>
      <c r="K728">
        <v>9</v>
      </c>
      <c r="L728" t="s">
        <v>137</v>
      </c>
      <c r="M728" t="s">
        <v>586</v>
      </c>
      <c r="N728" t="s">
        <v>114</v>
      </c>
      <c r="P728">
        <v>139</v>
      </c>
      <c r="Q728">
        <v>6307</v>
      </c>
      <c r="R728" t="s">
        <v>368</v>
      </c>
      <c r="S728" t="s">
        <v>116</v>
      </c>
      <c r="U728" t="s">
        <v>178</v>
      </c>
      <c r="V728" t="s">
        <v>321</v>
      </c>
      <c r="W728" t="s">
        <v>156</v>
      </c>
      <c r="Y728" t="s">
        <v>122</v>
      </c>
      <c r="AA728">
        <v>1</v>
      </c>
      <c r="AB728" t="s">
        <v>101</v>
      </c>
      <c r="AC728" t="s">
        <v>139</v>
      </c>
      <c r="AE728" t="str">
        <f t="shared" si="11"/>
        <v>DelaneyHilts</v>
      </c>
      <c r="AF728">
        <v>0.5</v>
      </c>
      <c r="AG728">
        <v>0</v>
      </c>
      <c r="AH728">
        <v>0</v>
      </c>
      <c r="AI728">
        <v>1</v>
      </c>
      <c r="AJ728">
        <v>0.5</v>
      </c>
      <c r="AK728" t="s">
        <v>135</v>
      </c>
      <c r="AM728" t="s">
        <v>227</v>
      </c>
      <c r="AN728">
        <v>0.5</v>
      </c>
    </row>
    <row r="729" spans="2:40" ht="15" customHeight="1" x14ac:dyDescent="0.2">
      <c r="B729">
        <v>10</v>
      </c>
      <c r="C729">
        <v>5</v>
      </c>
      <c r="D729">
        <v>11</v>
      </c>
      <c r="E729" t="s">
        <v>597</v>
      </c>
      <c r="F729" t="s">
        <v>268</v>
      </c>
      <c r="G729" s="15">
        <v>45583</v>
      </c>
      <c r="H729" t="s">
        <v>109</v>
      </c>
      <c r="I729" t="s">
        <v>585</v>
      </c>
      <c r="J729" t="s">
        <v>219</v>
      </c>
      <c r="K729">
        <v>9</v>
      </c>
      <c r="L729" t="s">
        <v>137</v>
      </c>
      <c r="M729" t="s">
        <v>586</v>
      </c>
      <c r="N729" t="s">
        <v>114</v>
      </c>
      <c r="P729">
        <v>139</v>
      </c>
      <c r="Q729">
        <v>6307</v>
      </c>
      <c r="R729" t="s">
        <v>368</v>
      </c>
      <c r="S729" t="s">
        <v>116</v>
      </c>
      <c r="U729" t="s">
        <v>178</v>
      </c>
      <c r="V729" t="s">
        <v>133</v>
      </c>
      <c r="W729" t="s">
        <v>156</v>
      </c>
      <c r="Y729" t="s">
        <v>272</v>
      </c>
      <c r="AA729">
        <v>1</v>
      </c>
      <c r="AB729" t="s">
        <v>100</v>
      </c>
      <c r="AC729" t="s">
        <v>225</v>
      </c>
      <c r="AE729" t="str">
        <f t="shared" si="11"/>
        <v>MangoldWelker</v>
      </c>
      <c r="AF729">
        <v>0</v>
      </c>
      <c r="AG729">
        <v>0</v>
      </c>
      <c r="AH729">
        <v>1</v>
      </c>
      <c r="AI729">
        <v>0</v>
      </c>
      <c r="AJ729">
        <v>0</v>
      </c>
      <c r="AK729" t="s">
        <v>127</v>
      </c>
      <c r="AL729">
        <v>0.59523809523809501</v>
      </c>
      <c r="AM729" t="s">
        <v>176</v>
      </c>
      <c r="AN729">
        <v>0.59649122807017496</v>
      </c>
    </row>
    <row r="730" spans="2:40" ht="15" customHeight="1" x14ac:dyDescent="0.2">
      <c r="B730">
        <v>10</v>
      </c>
      <c r="C730">
        <v>5</v>
      </c>
      <c r="D730">
        <v>11</v>
      </c>
      <c r="E730" t="s">
        <v>597</v>
      </c>
      <c r="F730" t="s">
        <v>268</v>
      </c>
      <c r="G730" s="15">
        <v>45583</v>
      </c>
      <c r="H730" t="s">
        <v>109</v>
      </c>
      <c r="I730" t="s">
        <v>585</v>
      </c>
      <c r="J730" t="s">
        <v>219</v>
      </c>
      <c r="K730">
        <v>9</v>
      </c>
      <c r="L730" t="s">
        <v>137</v>
      </c>
      <c r="M730" t="s">
        <v>586</v>
      </c>
      <c r="N730" t="s">
        <v>114</v>
      </c>
      <c r="P730">
        <v>139</v>
      </c>
      <c r="Q730">
        <v>6307</v>
      </c>
      <c r="R730" t="s">
        <v>368</v>
      </c>
      <c r="S730" t="s">
        <v>116</v>
      </c>
      <c r="U730" t="s">
        <v>452</v>
      </c>
      <c r="V730" t="s">
        <v>127</v>
      </c>
      <c r="W730" t="s">
        <v>156</v>
      </c>
      <c r="Y730" t="s">
        <v>176</v>
      </c>
      <c r="AA730">
        <v>1</v>
      </c>
      <c r="AB730" t="s">
        <v>99</v>
      </c>
      <c r="AC730" t="s">
        <v>225</v>
      </c>
      <c r="AE730" t="str">
        <f t="shared" si="11"/>
        <v>FerrinForster</v>
      </c>
      <c r="AF730">
        <v>1</v>
      </c>
      <c r="AG730">
        <v>1</v>
      </c>
      <c r="AH730">
        <v>0</v>
      </c>
      <c r="AI730">
        <v>0</v>
      </c>
      <c r="AJ730">
        <v>1</v>
      </c>
      <c r="AK730" t="s">
        <v>133</v>
      </c>
      <c r="AL730">
        <v>0.38392857142857201</v>
      </c>
      <c r="AM730" t="s">
        <v>272</v>
      </c>
      <c r="AN730">
        <v>0.51041666666666696</v>
      </c>
    </row>
    <row r="731" spans="2:40" ht="15" customHeight="1" x14ac:dyDescent="0.2">
      <c r="B731">
        <v>11</v>
      </c>
      <c r="C731">
        <v>1</v>
      </c>
      <c r="D731">
        <v>11</v>
      </c>
      <c r="E731" t="s">
        <v>598</v>
      </c>
      <c r="F731" t="s">
        <v>268</v>
      </c>
      <c r="G731" s="15">
        <v>45583</v>
      </c>
      <c r="H731" t="s">
        <v>144</v>
      </c>
      <c r="I731" t="s">
        <v>585</v>
      </c>
      <c r="J731" t="s">
        <v>219</v>
      </c>
      <c r="K731">
        <v>9</v>
      </c>
      <c r="L731" t="s">
        <v>112</v>
      </c>
      <c r="M731" t="s">
        <v>599</v>
      </c>
      <c r="N731" t="s">
        <v>114</v>
      </c>
      <c r="P731">
        <v>123</v>
      </c>
      <c r="Q731">
        <v>5155</v>
      </c>
      <c r="R731" t="s">
        <v>145</v>
      </c>
      <c r="S731" t="s">
        <v>116</v>
      </c>
      <c r="U731" t="s">
        <v>178</v>
      </c>
      <c r="V731" t="s">
        <v>119</v>
      </c>
      <c r="Y731" t="s">
        <v>118</v>
      </c>
      <c r="AA731">
        <v>1</v>
      </c>
      <c r="AB731" t="s">
        <v>101</v>
      </c>
      <c r="AC731" t="s">
        <v>139</v>
      </c>
      <c r="AE731" t="str">
        <f t="shared" si="11"/>
        <v>GriseJackson</v>
      </c>
      <c r="AF731">
        <v>0.5</v>
      </c>
      <c r="AG731">
        <v>0</v>
      </c>
      <c r="AH731">
        <v>0</v>
      </c>
      <c r="AI731">
        <v>1</v>
      </c>
      <c r="AJ731">
        <v>0.5</v>
      </c>
      <c r="AK731" t="s">
        <v>1308</v>
      </c>
      <c r="AL731">
        <v>0.59375</v>
      </c>
      <c r="AM731" t="s">
        <v>176</v>
      </c>
      <c r="AN731">
        <v>0.59649122807017496</v>
      </c>
    </row>
    <row r="732" spans="2:40" ht="15" customHeight="1" x14ac:dyDescent="0.2">
      <c r="B732">
        <v>11</v>
      </c>
      <c r="C732">
        <v>1</v>
      </c>
      <c r="D732">
        <v>11</v>
      </c>
      <c r="E732" t="s">
        <v>598</v>
      </c>
      <c r="F732" t="s">
        <v>268</v>
      </c>
      <c r="G732" s="15">
        <v>45583</v>
      </c>
      <c r="H732" t="s">
        <v>144</v>
      </c>
      <c r="I732" t="s">
        <v>585</v>
      </c>
      <c r="J732" t="s">
        <v>219</v>
      </c>
      <c r="K732">
        <v>9</v>
      </c>
      <c r="L732" t="s">
        <v>112</v>
      </c>
      <c r="M732" t="s">
        <v>599</v>
      </c>
      <c r="N732" t="s">
        <v>114</v>
      </c>
      <c r="P732">
        <v>123</v>
      </c>
      <c r="Q732">
        <v>5155</v>
      </c>
      <c r="R732" t="s">
        <v>145</v>
      </c>
      <c r="S732" t="s">
        <v>116</v>
      </c>
      <c r="U732" t="s">
        <v>452</v>
      </c>
      <c r="V732" t="s">
        <v>1308</v>
      </c>
      <c r="Y732" t="s">
        <v>176</v>
      </c>
      <c r="AA732">
        <v>1</v>
      </c>
      <c r="AB732" t="s">
        <v>101</v>
      </c>
      <c r="AC732" t="s">
        <v>139</v>
      </c>
      <c r="AE732" t="str">
        <f t="shared" si="11"/>
        <v>ConnollyForster</v>
      </c>
      <c r="AF732">
        <v>0.5</v>
      </c>
      <c r="AG732">
        <v>0</v>
      </c>
      <c r="AH732">
        <v>0</v>
      </c>
      <c r="AI732">
        <v>1</v>
      </c>
      <c r="AJ732">
        <v>0.5</v>
      </c>
      <c r="AK732" t="s">
        <v>119</v>
      </c>
      <c r="AL732">
        <v>0.546875</v>
      </c>
      <c r="AM732" t="s">
        <v>118</v>
      </c>
      <c r="AN732">
        <v>0.6171875</v>
      </c>
    </row>
    <row r="733" spans="2:40" ht="15" customHeight="1" x14ac:dyDescent="0.2">
      <c r="B733">
        <v>12</v>
      </c>
      <c r="C733">
        <v>2</v>
      </c>
      <c r="D733">
        <v>11</v>
      </c>
      <c r="E733" t="s">
        <v>600</v>
      </c>
      <c r="F733" t="s">
        <v>268</v>
      </c>
      <c r="G733" s="15">
        <v>45583</v>
      </c>
      <c r="H733" t="s">
        <v>144</v>
      </c>
      <c r="I733" t="s">
        <v>585</v>
      </c>
      <c r="J733" t="s">
        <v>219</v>
      </c>
      <c r="K733">
        <v>9</v>
      </c>
      <c r="L733" t="s">
        <v>112</v>
      </c>
      <c r="M733" t="s">
        <v>599</v>
      </c>
      <c r="N733" t="s">
        <v>114</v>
      </c>
      <c r="P733">
        <v>123</v>
      </c>
      <c r="Q733">
        <v>5155</v>
      </c>
      <c r="R733" t="s">
        <v>145</v>
      </c>
      <c r="S733" t="s">
        <v>116</v>
      </c>
      <c r="U733" t="s">
        <v>452</v>
      </c>
      <c r="V733" t="s">
        <v>130</v>
      </c>
      <c r="Y733" t="s">
        <v>135</v>
      </c>
      <c r="AA733">
        <v>1</v>
      </c>
      <c r="AB733" t="s">
        <v>100</v>
      </c>
      <c r="AC733" t="s">
        <v>225</v>
      </c>
      <c r="AE733" t="str">
        <f t="shared" si="11"/>
        <v>PoirierShively</v>
      </c>
      <c r="AF733">
        <v>0</v>
      </c>
      <c r="AG733">
        <v>0</v>
      </c>
      <c r="AH733">
        <v>1</v>
      </c>
      <c r="AI733">
        <v>0</v>
      </c>
      <c r="AJ733">
        <v>0</v>
      </c>
      <c r="AK733" t="s">
        <v>178</v>
      </c>
      <c r="AL733">
        <v>0.34745762711864397</v>
      </c>
      <c r="AM733" t="s">
        <v>132</v>
      </c>
      <c r="AN733">
        <v>0.4296875</v>
      </c>
    </row>
    <row r="734" spans="2:40" ht="15" customHeight="1" x14ac:dyDescent="0.2">
      <c r="B734">
        <v>12</v>
      </c>
      <c r="C734">
        <v>2</v>
      </c>
      <c r="D734">
        <v>11</v>
      </c>
      <c r="E734" t="s">
        <v>600</v>
      </c>
      <c r="F734" t="s">
        <v>268</v>
      </c>
      <c r="G734" s="15">
        <v>45583</v>
      </c>
      <c r="H734" t="s">
        <v>144</v>
      </c>
      <c r="I734" t="s">
        <v>585</v>
      </c>
      <c r="J734" t="s">
        <v>219</v>
      </c>
      <c r="K734">
        <v>9</v>
      </c>
      <c r="L734" t="s">
        <v>112</v>
      </c>
      <c r="M734" t="s">
        <v>599</v>
      </c>
      <c r="N734" t="s">
        <v>114</v>
      </c>
      <c r="P734">
        <v>123</v>
      </c>
      <c r="Q734">
        <v>5155</v>
      </c>
      <c r="R734" t="s">
        <v>145</v>
      </c>
      <c r="S734" t="s">
        <v>116</v>
      </c>
      <c r="U734" t="s">
        <v>178</v>
      </c>
      <c r="V734" t="s">
        <v>178</v>
      </c>
      <c r="Y734" t="s">
        <v>132</v>
      </c>
      <c r="AA734">
        <v>1</v>
      </c>
      <c r="AB734" t="s">
        <v>99</v>
      </c>
      <c r="AC734" t="s">
        <v>225</v>
      </c>
      <c r="AE734" t="str">
        <f t="shared" si="11"/>
        <v>ConnorsFlanders</v>
      </c>
      <c r="AF734">
        <v>1</v>
      </c>
      <c r="AG734">
        <v>1</v>
      </c>
      <c r="AH734">
        <v>0</v>
      </c>
      <c r="AI734">
        <v>0</v>
      </c>
      <c r="AJ734">
        <v>1</v>
      </c>
      <c r="AK734" t="s">
        <v>130</v>
      </c>
      <c r="AL734">
        <v>0.48611111111111099</v>
      </c>
      <c r="AM734" t="s">
        <v>135</v>
      </c>
    </row>
    <row r="735" spans="2:40" ht="15" customHeight="1" x14ac:dyDescent="0.2">
      <c r="B735">
        <v>13</v>
      </c>
      <c r="C735">
        <v>3</v>
      </c>
      <c r="D735">
        <v>11</v>
      </c>
      <c r="E735" t="s">
        <v>601</v>
      </c>
      <c r="F735" t="s">
        <v>268</v>
      </c>
      <c r="G735" s="15">
        <v>45583</v>
      </c>
      <c r="H735" t="s">
        <v>144</v>
      </c>
      <c r="I735" t="s">
        <v>585</v>
      </c>
      <c r="J735" t="s">
        <v>219</v>
      </c>
      <c r="K735">
        <v>9</v>
      </c>
      <c r="L735" t="s">
        <v>112</v>
      </c>
      <c r="M735" t="s">
        <v>599</v>
      </c>
      <c r="N735" t="s">
        <v>114</v>
      </c>
      <c r="P735">
        <v>123</v>
      </c>
      <c r="Q735">
        <v>5155</v>
      </c>
      <c r="R735" t="s">
        <v>145</v>
      </c>
      <c r="S735" t="s">
        <v>116</v>
      </c>
      <c r="U735" t="s">
        <v>178</v>
      </c>
      <c r="V735" t="s">
        <v>122</v>
      </c>
      <c r="Y735" t="s">
        <v>123</v>
      </c>
      <c r="AA735">
        <v>1</v>
      </c>
      <c r="AB735" t="s">
        <v>99</v>
      </c>
      <c r="AC735" t="s">
        <v>225</v>
      </c>
      <c r="AE735" t="str">
        <f t="shared" si="11"/>
        <v>HiltsLynch</v>
      </c>
      <c r="AF735">
        <v>1</v>
      </c>
      <c r="AG735">
        <v>1</v>
      </c>
      <c r="AH735">
        <v>0</v>
      </c>
      <c r="AI735">
        <v>0</v>
      </c>
      <c r="AJ735">
        <v>1</v>
      </c>
      <c r="AK735" t="s">
        <v>172</v>
      </c>
      <c r="AL735">
        <v>0.37288135593220301</v>
      </c>
      <c r="AM735" t="s">
        <v>226</v>
      </c>
      <c r="AN735">
        <v>0.65476190476190499</v>
      </c>
    </row>
    <row r="736" spans="2:40" ht="15" customHeight="1" x14ac:dyDescent="0.2">
      <c r="B736">
        <v>13</v>
      </c>
      <c r="C736">
        <v>3</v>
      </c>
      <c r="D736">
        <v>11</v>
      </c>
      <c r="E736" t="s">
        <v>601</v>
      </c>
      <c r="F736" t="s">
        <v>268</v>
      </c>
      <c r="G736" s="15">
        <v>45583</v>
      </c>
      <c r="H736" t="s">
        <v>144</v>
      </c>
      <c r="I736" t="s">
        <v>585</v>
      </c>
      <c r="J736" t="s">
        <v>219</v>
      </c>
      <c r="K736">
        <v>9</v>
      </c>
      <c r="L736" t="s">
        <v>112</v>
      </c>
      <c r="M736" t="s">
        <v>599</v>
      </c>
      <c r="N736" t="s">
        <v>114</v>
      </c>
      <c r="P736">
        <v>123</v>
      </c>
      <c r="Q736">
        <v>5155</v>
      </c>
      <c r="R736" t="s">
        <v>145</v>
      </c>
      <c r="S736" t="s">
        <v>116</v>
      </c>
      <c r="U736" t="s">
        <v>452</v>
      </c>
      <c r="V736" t="s">
        <v>172</v>
      </c>
      <c r="Y736" t="s">
        <v>226</v>
      </c>
      <c r="AA736">
        <v>1</v>
      </c>
      <c r="AB736" t="s">
        <v>100</v>
      </c>
      <c r="AC736" t="s">
        <v>225</v>
      </c>
      <c r="AE736" t="str">
        <f t="shared" si="11"/>
        <v>FoganGray</v>
      </c>
      <c r="AF736">
        <v>0</v>
      </c>
      <c r="AG736">
        <v>0</v>
      </c>
      <c r="AH736">
        <v>1</v>
      </c>
      <c r="AI736">
        <v>0</v>
      </c>
      <c r="AJ736">
        <v>0</v>
      </c>
      <c r="AK736" t="s">
        <v>122</v>
      </c>
      <c r="AL736">
        <v>0.47321428571428598</v>
      </c>
      <c r="AM736" t="s">
        <v>123</v>
      </c>
      <c r="AN736">
        <v>0.5546875</v>
      </c>
    </row>
    <row r="737" spans="2:40" ht="15" customHeight="1" x14ac:dyDescent="0.2">
      <c r="B737">
        <v>14</v>
      </c>
      <c r="C737">
        <v>4</v>
      </c>
      <c r="D737">
        <v>11</v>
      </c>
      <c r="E737" t="s">
        <v>602</v>
      </c>
      <c r="F737" t="s">
        <v>268</v>
      </c>
      <c r="G737" s="15">
        <v>45583</v>
      </c>
      <c r="H737" t="s">
        <v>144</v>
      </c>
      <c r="I737" t="s">
        <v>585</v>
      </c>
      <c r="J737" t="s">
        <v>219</v>
      </c>
      <c r="K737">
        <v>9</v>
      </c>
      <c r="L737" t="s">
        <v>112</v>
      </c>
      <c r="M737" t="s">
        <v>599</v>
      </c>
      <c r="N737" t="s">
        <v>114</v>
      </c>
      <c r="P737">
        <v>123</v>
      </c>
      <c r="Q737">
        <v>5155</v>
      </c>
      <c r="R737" t="s">
        <v>145</v>
      </c>
      <c r="S737" t="s">
        <v>116</v>
      </c>
      <c r="U737" t="s">
        <v>452</v>
      </c>
      <c r="V737" t="s">
        <v>452</v>
      </c>
      <c r="Y737" t="s">
        <v>127</v>
      </c>
      <c r="AA737">
        <v>1</v>
      </c>
      <c r="AB737" t="s">
        <v>99</v>
      </c>
      <c r="AC737" t="s">
        <v>425</v>
      </c>
      <c r="AE737" t="str">
        <f t="shared" si="11"/>
        <v>DelnekyFerrin</v>
      </c>
      <c r="AF737">
        <v>1</v>
      </c>
      <c r="AG737">
        <v>1</v>
      </c>
      <c r="AH737">
        <v>0</v>
      </c>
      <c r="AI737">
        <v>0</v>
      </c>
      <c r="AJ737">
        <v>1</v>
      </c>
      <c r="AK737" t="s">
        <v>321</v>
      </c>
      <c r="AL737">
        <v>0.46551724137931</v>
      </c>
      <c r="AM737" t="s">
        <v>133</v>
      </c>
      <c r="AN737">
        <v>0.38392857142857201</v>
      </c>
    </row>
    <row r="738" spans="2:40" ht="15" customHeight="1" x14ac:dyDescent="0.2">
      <c r="B738">
        <v>14</v>
      </c>
      <c r="C738">
        <v>4</v>
      </c>
      <c r="D738">
        <v>11</v>
      </c>
      <c r="E738" t="s">
        <v>602</v>
      </c>
      <c r="F738" t="s">
        <v>268</v>
      </c>
      <c r="G738" s="15">
        <v>45583</v>
      </c>
      <c r="H738" t="s">
        <v>144</v>
      </c>
      <c r="I738" t="s">
        <v>585</v>
      </c>
      <c r="J738" t="s">
        <v>219</v>
      </c>
      <c r="K738">
        <v>9</v>
      </c>
      <c r="L738" t="s">
        <v>112</v>
      </c>
      <c r="M738" t="s">
        <v>599</v>
      </c>
      <c r="N738" t="s">
        <v>114</v>
      </c>
      <c r="P738">
        <v>123</v>
      </c>
      <c r="Q738">
        <v>5155</v>
      </c>
      <c r="R738" t="s">
        <v>145</v>
      </c>
      <c r="S738" t="s">
        <v>116</v>
      </c>
      <c r="U738" t="s">
        <v>178</v>
      </c>
      <c r="V738" t="s">
        <v>321</v>
      </c>
      <c r="Y738" t="s">
        <v>133</v>
      </c>
      <c r="AA738">
        <v>1</v>
      </c>
      <c r="AB738" t="s">
        <v>100</v>
      </c>
      <c r="AC738" t="s">
        <v>587</v>
      </c>
      <c r="AE738" t="str">
        <f t="shared" si="11"/>
        <v>DelaneyMangold</v>
      </c>
      <c r="AF738">
        <v>0</v>
      </c>
      <c r="AG738">
        <v>0</v>
      </c>
      <c r="AH738">
        <v>1</v>
      </c>
      <c r="AI738">
        <v>0</v>
      </c>
      <c r="AJ738">
        <v>0</v>
      </c>
      <c r="AK738" t="s">
        <v>452</v>
      </c>
      <c r="AL738">
        <v>0.65909090909090895</v>
      </c>
      <c r="AM738" t="s">
        <v>127</v>
      </c>
      <c r="AN738">
        <v>0.59523809523809501</v>
      </c>
    </row>
    <row r="739" spans="2:40" ht="15" customHeight="1" x14ac:dyDescent="0.2">
      <c r="B739">
        <v>15</v>
      </c>
      <c r="C739">
        <v>5</v>
      </c>
      <c r="D739">
        <v>11</v>
      </c>
      <c r="E739" t="s">
        <v>603</v>
      </c>
      <c r="F739" t="s">
        <v>268</v>
      </c>
      <c r="G739" s="15">
        <v>45583</v>
      </c>
      <c r="H739" t="s">
        <v>144</v>
      </c>
      <c r="I739" t="s">
        <v>585</v>
      </c>
      <c r="J739" t="s">
        <v>219</v>
      </c>
      <c r="K739">
        <v>9</v>
      </c>
      <c r="L739" t="s">
        <v>112</v>
      </c>
      <c r="M739" t="s">
        <v>599</v>
      </c>
      <c r="N739" t="s">
        <v>114</v>
      </c>
      <c r="P739">
        <v>123</v>
      </c>
      <c r="Q739">
        <v>5155</v>
      </c>
      <c r="R739" t="s">
        <v>145</v>
      </c>
      <c r="S739" t="s">
        <v>116</v>
      </c>
      <c r="U739" t="s">
        <v>178</v>
      </c>
      <c r="V739" t="s">
        <v>179</v>
      </c>
      <c r="Y739" t="s">
        <v>272</v>
      </c>
      <c r="AA739">
        <v>1</v>
      </c>
      <c r="AB739" t="s">
        <v>99</v>
      </c>
      <c r="AC739" t="s">
        <v>225</v>
      </c>
      <c r="AE739" t="str">
        <f t="shared" si="11"/>
        <v>ColeWelker</v>
      </c>
      <c r="AF739">
        <v>1</v>
      </c>
      <c r="AG739">
        <v>1</v>
      </c>
      <c r="AH739">
        <v>0</v>
      </c>
      <c r="AI739">
        <v>0</v>
      </c>
      <c r="AJ739">
        <v>1</v>
      </c>
      <c r="AK739" t="s">
        <v>230</v>
      </c>
      <c r="AL739">
        <v>0.52777777777777801</v>
      </c>
      <c r="AM739" t="s">
        <v>227</v>
      </c>
      <c r="AN739">
        <v>0.5</v>
      </c>
    </row>
    <row r="740" spans="2:40" ht="15" customHeight="1" x14ac:dyDescent="0.2">
      <c r="B740">
        <v>15</v>
      </c>
      <c r="C740">
        <v>5</v>
      </c>
      <c r="D740">
        <v>11</v>
      </c>
      <c r="E740" t="s">
        <v>603</v>
      </c>
      <c r="F740" t="s">
        <v>268</v>
      </c>
      <c r="G740" s="15">
        <v>45583</v>
      </c>
      <c r="H740" t="s">
        <v>144</v>
      </c>
      <c r="I740" t="s">
        <v>585</v>
      </c>
      <c r="J740" t="s">
        <v>219</v>
      </c>
      <c r="K740">
        <v>9</v>
      </c>
      <c r="L740" t="s">
        <v>112</v>
      </c>
      <c r="M740" t="s">
        <v>599</v>
      </c>
      <c r="N740" t="s">
        <v>114</v>
      </c>
      <c r="P740">
        <v>123</v>
      </c>
      <c r="Q740">
        <v>5155</v>
      </c>
      <c r="R740" t="s">
        <v>145</v>
      </c>
      <c r="S740" t="s">
        <v>116</v>
      </c>
      <c r="U740" t="s">
        <v>452</v>
      </c>
      <c r="V740" t="s">
        <v>230</v>
      </c>
      <c r="Y740" t="s">
        <v>227</v>
      </c>
      <c r="AA740">
        <v>1</v>
      </c>
      <c r="AB740" t="s">
        <v>100</v>
      </c>
      <c r="AC740" t="s">
        <v>225</v>
      </c>
      <c r="AE740" t="str">
        <f t="shared" si="11"/>
        <v>NoratZimmer</v>
      </c>
      <c r="AF740">
        <v>0</v>
      </c>
      <c r="AG740">
        <v>0</v>
      </c>
      <c r="AH740">
        <v>1</v>
      </c>
      <c r="AI740">
        <v>0</v>
      </c>
      <c r="AJ740">
        <v>0</v>
      </c>
      <c r="AK740" t="s">
        <v>179</v>
      </c>
      <c r="AL740">
        <v>0.44067796610169502</v>
      </c>
      <c r="AM740" t="s">
        <v>272</v>
      </c>
      <c r="AN740">
        <v>0.51041666666666696</v>
      </c>
    </row>
    <row r="741" spans="2:40" ht="15" customHeight="1" x14ac:dyDescent="0.2">
      <c r="B741">
        <v>16</v>
      </c>
      <c r="C741">
        <v>1</v>
      </c>
      <c r="D741">
        <v>11</v>
      </c>
      <c r="E741" t="s">
        <v>604</v>
      </c>
      <c r="F741" t="s">
        <v>268</v>
      </c>
      <c r="G741" s="15">
        <v>45583</v>
      </c>
      <c r="H741" t="s">
        <v>144</v>
      </c>
      <c r="I741" t="s">
        <v>585</v>
      </c>
      <c r="J741" t="s">
        <v>219</v>
      </c>
      <c r="K741">
        <v>9</v>
      </c>
      <c r="L741" t="s">
        <v>137</v>
      </c>
      <c r="M741" t="s">
        <v>599</v>
      </c>
      <c r="N741" t="s">
        <v>114</v>
      </c>
      <c r="P741">
        <v>123</v>
      </c>
      <c r="Q741">
        <v>5155</v>
      </c>
      <c r="R741" t="s">
        <v>138</v>
      </c>
      <c r="S741" t="s">
        <v>116</v>
      </c>
      <c r="U741" t="s">
        <v>178</v>
      </c>
      <c r="V741" t="s">
        <v>119</v>
      </c>
      <c r="Y741" t="s">
        <v>118</v>
      </c>
      <c r="AA741">
        <v>1</v>
      </c>
      <c r="AB741" t="s">
        <v>100</v>
      </c>
      <c r="AC741" t="s">
        <v>225</v>
      </c>
      <c r="AE741" t="str">
        <f t="shared" si="11"/>
        <v>GriseJackson</v>
      </c>
      <c r="AF741">
        <v>0</v>
      </c>
      <c r="AG741">
        <v>0</v>
      </c>
      <c r="AH741">
        <v>1</v>
      </c>
      <c r="AI741">
        <v>0</v>
      </c>
      <c r="AJ741">
        <v>0</v>
      </c>
      <c r="AK741" t="s">
        <v>1308</v>
      </c>
      <c r="AL741">
        <v>0.59375</v>
      </c>
      <c r="AM741" t="s">
        <v>176</v>
      </c>
      <c r="AN741">
        <v>0.59649122807017496</v>
      </c>
    </row>
    <row r="742" spans="2:40" ht="15" customHeight="1" x14ac:dyDescent="0.2">
      <c r="B742">
        <v>16</v>
      </c>
      <c r="C742">
        <v>1</v>
      </c>
      <c r="D742">
        <v>11</v>
      </c>
      <c r="E742" t="s">
        <v>604</v>
      </c>
      <c r="F742" t="s">
        <v>268</v>
      </c>
      <c r="G742" s="15">
        <v>45583</v>
      </c>
      <c r="H742" t="s">
        <v>144</v>
      </c>
      <c r="I742" t="s">
        <v>585</v>
      </c>
      <c r="J742" t="s">
        <v>219</v>
      </c>
      <c r="K742">
        <v>9</v>
      </c>
      <c r="L742" t="s">
        <v>137</v>
      </c>
      <c r="M742" t="s">
        <v>599</v>
      </c>
      <c r="N742" t="s">
        <v>114</v>
      </c>
      <c r="P742">
        <v>123</v>
      </c>
      <c r="Q742">
        <v>5155</v>
      </c>
      <c r="R742" t="s">
        <v>138</v>
      </c>
      <c r="S742" t="s">
        <v>116</v>
      </c>
      <c r="U742" t="s">
        <v>452</v>
      </c>
      <c r="V742" t="s">
        <v>1308</v>
      </c>
      <c r="Y742" t="s">
        <v>176</v>
      </c>
      <c r="AA742">
        <v>1</v>
      </c>
      <c r="AB742" t="s">
        <v>99</v>
      </c>
      <c r="AC742" t="s">
        <v>225</v>
      </c>
      <c r="AE742" t="str">
        <f t="shared" si="11"/>
        <v>ConnollyForster</v>
      </c>
      <c r="AF742">
        <v>1</v>
      </c>
      <c r="AG742">
        <v>1</v>
      </c>
      <c r="AH742">
        <v>0</v>
      </c>
      <c r="AI742">
        <v>0</v>
      </c>
      <c r="AJ742">
        <v>1</v>
      </c>
      <c r="AK742" t="s">
        <v>119</v>
      </c>
      <c r="AL742">
        <v>0.546875</v>
      </c>
      <c r="AM742" t="s">
        <v>118</v>
      </c>
      <c r="AN742">
        <v>0.6171875</v>
      </c>
    </row>
    <row r="743" spans="2:40" ht="15" customHeight="1" x14ac:dyDescent="0.2">
      <c r="B743">
        <v>17</v>
      </c>
      <c r="C743">
        <v>2</v>
      </c>
      <c r="D743">
        <v>11</v>
      </c>
      <c r="E743" t="s">
        <v>605</v>
      </c>
      <c r="F743" t="s">
        <v>268</v>
      </c>
      <c r="G743" s="15">
        <v>45583</v>
      </c>
      <c r="H743" t="s">
        <v>144</v>
      </c>
      <c r="I743" t="s">
        <v>585</v>
      </c>
      <c r="J743" t="s">
        <v>219</v>
      </c>
      <c r="K743">
        <v>9</v>
      </c>
      <c r="L743" t="s">
        <v>137</v>
      </c>
      <c r="M743" t="s">
        <v>599</v>
      </c>
      <c r="N743" t="s">
        <v>114</v>
      </c>
      <c r="P743">
        <v>123</v>
      </c>
      <c r="Q743">
        <v>5155</v>
      </c>
      <c r="R743" t="s">
        <v>138</v>
      </c>
      <c r="S743" t="s">
        <v>116</v>
      </c>
      <c r="U743" t="s">
        <v>452</v>
      </c>
      <c r="V743" t="s">
        <v>130</v>
      </c>
      <c r="Y743" t="s">
        <v>135</v>
      </c>
      <c r="AA743">
        <v>1</v>
      </c>
      <c r="AB743" t="s">
        <v>101</v>
      </c>
      <c r="AC743" t="s">
        <v>139</v>
      </c>
      <c r="AE743" t="str">
        <f t="shared" si="11"/>
        <v>PoirierShively</v>
      </c>
      <c r="AF743">
        <v>0.5</v>
      </c>
      <c r="AG743">
        <v>0</v>
      </c>
      <c r="AH743">
        <v>0</v>
      </c>
      <c r="AI743">
        <v>1</v>
      </c>
      <c r="AJ743">
        <v>0.5</v>
      </c>
      <c r="AK743" t="s">
        <v>178</v>
      </c>
      <c r="AL743">
        <v>0.34745762711864397</v>
      </c>
      <c r="AM743" t="s">
        <v>132</v>
      </c>
      <c r="AN743">
        <v>0.4296875</v>
      </c>
    </row>
    <row r="744" spans="2:40" ht="15" customHeight="1" x14ac:dyDescent="0.2">
      <c r="B744">
        <v>17</v>
      </c>
      <c r="C744">
        <v>2</v>
      </c>
      <c r="D744">
        <v>11</v>
      </c>
      <c r="E744" t="s">
        <v>605</v>
      </c>
      <c r="F744" t="s">
        <v>268</v>
      </c>
      <c r="G744" s="15">
        <v>45583</v>
      </c>
      <c r="H744" t="s">
        <v>144</v>
      </c>
      <c r="I744" t="s">
        <v>585</v>
      </c>
      <c r="J744" t="s">
        <v>219</v>
      </c>
      <c r="K744">
        <v>9</v>
      </c>
      <c r="L744" t="s">
        <v>137</v>
      </c>
      <c r="M744" t="s">
        <v>599</v>
      </c>
      <c r="N744" t="s">
        <v>114</v>
      </c>
      <c r="P744">
        <v>123</v>
      </c>
      <c r="Q744">
        <v>5155</v>
      </c>
      <c r="R744" t="s">
        <v>138</v>
      </c>
      <c r="S744" t="s">
        <v>116</v>
      </c>
      <c r="U744" t="s">
        <v>178</v>
      </c>
      <c r="V744" t="s">
        <v>178</v>
      </c>
      <c r="Y744" t="s">
        <v>132</v>
      </c>
      <c r="AA744">
        <v>1</v>
      </c>
      <c r="AB744" t="s">
        <v>101</v>
      </c>
      <c r="AC744" t="s">
        <v>139</v>
      </c>
      <c r="AE744" t="str">
        <f t="shared" si="11"/>
        <v>ConnorsFlanders</v>
      </c>
      <c r="AF744">
        <v>0.5</v>
      </c>
      <c r="AG744">
        <v>0</v>
      </c>
      <c r="AH744">
        <v>0</v>
      </c>
      <c r="AI744">
        <v>1</v>
      </c>
      <c r="AJ744">
        <v>0.5</v>
      </c>
      <c r="AK744" t="s">
        <v>130</v>
      </c>
      <c r="AL744">
        <v>0.48611111111111099</v>
      </c>
      <c r="AM744" t="s">
        <v>135</v>
      </c>
    </row>
    <row r="745" spans="2:40" ht="15" customHeight="1" x14ac:dyDescent="0.2">
      <c r="B745">
        <v>18</v>
      </c>
      <c r="C745">
        <v>3</v>
      </c>
      <c r="D745">
        <v>11</v>
      </c>
      <c r="E745" t="s">
        <v>606</v>
      </c>
      <c r="F745" t="s">
        <v>268</v>
      </c>
      <c r="G745" s="15">
        <v>45583</v>
      </c>
      <c r="H745" t="s">
        <v>144</v>
      </c>
      <c r="I745" t="s">
        <v>585</v>
      </c>
      <c r="J745" t="s">
        <v>219</v>
      </c>
      <c r="K745">
        <v>9</v>
      </c>
      <c r="L745" t="s">
        <v>137</v>
      </c>
      <c r="M745" t="s">
        <v>599</v>
      </c>
      <c r="N745" t="s">
        <v>114</v>
      </c>
      <c r="P745">
        <v>123</v>
      </c>
      <c r="Q745">
        <v>5155</v>
      </c>
      <c r="R745" t="s">
        <v>138</v>
      </c>
      <c r="S745" t="s">
        <v>116</v>
      </c>
      <c r="U745" t="s">
        <v>178</v>
      </c>
      <c r="V745" t="s">
        <v>122</v>
      </c>
      <c r="Y745" t="s">
        <v>123</v>
      </c>
      <c r="AA745">
        <v>1</v>
      </c>
      <c r="AB745" t="s">
        <v>99</v>
      </c>
      <c r="AC745" t="s">
        <v>225</v>
      </c>
      <c r="AE745" t="str">
        <f t="shared" si="11"/>
        <v>HiltsLynch</v>
      </c>
      <c r="AF745">
        <v>1</v>
      </c>
      <c r="AG745">
        <v>1</v>
      </c>
      <c r="AH745">
        <v>0</v>
      </c>
      <c r="AI745">
        <v>0</v>
      </c>
      <c r="AJ745">
        <v>1</v>
      </c>
      <c r="AK745" t="s">
        <v>172</v>
      </c>
      <c r="AL745">
        <v>0.37288135593220301</v>
      </c>
      <c r="AM745" t="s">
        <v>226</v>
      </c>
      <c r="AN745">
        <v>0.65476190476190499</v>
      </c>
    </row>
    <row r="746" spans="2:40" ht="15" customHeight="1" x14ac:dyDescent="0.2">
      <c r="B746">
        <v>18</v>
      </c>
      <c r="C746">
        <v>3</v>
      </c>
      <c r="D746">
        <v>11</v>
      </c>
      <c r="E746" t="s">
        <v>606</v>
      </c>
      <c r="F746" t="s">
        <v>268</v>
      </c>
      <c r="G746" s="15">
        <v>45583</v>
      </c>
      <c r="H746" t="s">
        <v>144</v>
      </c>
      <c r="I746" t="s">
        <v>585</v>
      </c>
      <c r="J746" t="s">
        <v>219</v>
      </c>
      <c r="K746">
        <v>9</v>
      </c>
      <c r="L746" t="s">
        <v>137</v>
      </c>
      <c r="M746" t="s">
        <v>599</v>
      </c>
      <c r="N746" t="s">
        <v>114</v>
      </c>
      <c r="P746">
        <v>123</v>
      </c>
      <c r="Q746">
        <v>5155</v>
      </c>
      <c r="R746" t="s">
        <v>138</v>
      </c>
      <c r="S746" t="s">
        <v>116</v>
      </c>
      <c r="U746" t="s">
        <v>452</v>
      </c>
      <c r="V746" t="s">
        <v>172</v>
      </c>
      <c r="Y746" t="s">
        <v>226</v>
      </c>
      <c r="AA746">
        <v>1</v>
      </c>
      <c r="AB746" t="s">
        <v>100</v>
      </c>
      <c r="AC746" t="s">
        <v>225</v>
      </c>
      <c r="AE746" t="str">
        <f t="shared" si="11"/>
        <v>FoganGray</v>
      </c>
      <c r="AF746">
        <v>0</v>
      </c>
      <c r="AG746">
        <v>0</v>
      </c>
      <c r="AH746">
        <v>1</v>
      </c>
      <c r="AI746">
        <v>0</v>
      </c>
      <c r="AJ746">
        <v>0</v>
      </c>
      <c r="AK746" t="s">
        <v>122</v>
      </c>
      <c r="AL746">
        <v>0.47321428571428598</v>
      </c>
      <c r="AM746" t="s">
        <v>123</v>
      </c>
      <c r="AN746">
        <v>0.5546875</v>
      </c>
    </row>
    <row r="747" spans="2:40" ht="15" customHeight="1" x14ac:dyDescent="0.2">
      <c r="B747">
        <v>19</v>
      </c>
      <c r="C747">
        <v>4</v>
      </c>
      <c r="D747">
        <v>11</v>
      </c>
      <c r="E747" t="s">
        <v>607</v>
      </c>
      <c r="F747" t="s">
        <v>268</v>
      </c>
      <c r="G747" s="15">
        <v>45583</v>
      </c>
      <c r="H747" t="s">
        <v>144</v>
      </c>
      <c r="I747" t="s">
        <v>585</v>
      </c>
      <c r="J747" t="s">
        <v>219</v>
      </c>
      <c r="K747">
        <v>9</v>
      </c>
      <c r="L747" t="s">
        <v>137</v>
      </c>
      <c r="M747" t="s">
        <v>599</v>
      </c>
      <c r="N747" t="s">
        <v>114</v>
      </c>
      <c r="P747">
        <v>123</v>
      </c>
      <c r="Q747">
        <v>5155</v>
      </c>
      <c r="R747" t="s">
        <v>138</v>
      </c>
      <c r="S747" t="s">
        <v>116</v>
      </c>
      <c r="U747" t="s">
        <v>452</v>
      </c>
      <c r="V747" t="s">
        <v>452</v>
      </c>
      <c r="Y747" t="s">
        <v>127</v>
      </c>
      <c r="AA747">
        <v>1</v>
      </c>
      <c r="AB747" t="s">
        <v>100</v>
      </c>
      <c r="AC747" t="s">
        <v>591</v>
      </c>
      <c r="AE747" t="str">
        <f t="shared" si="11"/>
        <v>DelnekyFerrin</v>
      </c>
      <c r="AF747">
        <v>0</v>
      </c>
      <c r="AG747">
        <v>0</v>
      </c>
      <c r="AH747">
        <v>1</v>
      </c>
      <c r="AI747">
        <v>0</v>
      </c>
      <c r="AJ747">
        <v>0</v>
      </c>
      <c r="AK747" t="s">
        <v>321</v>
      </c>
      <c r="AL747">
        <v>0.46551724137931</v>
      </c>
      <c r="AM747" t="s">
        <v>133</v>
      </c>
      <c r="AN747">
        <v>0.38392857142857201</v>
      </c>
    </row>
    <row r="748" spans="2:40" ht="15" customHeight="1" x14ac:dyDescent="0.2">
      <c r="B748">
        <v>19</v>
      </c>
      <c r="C748">
        <v>4</v>
      </c>
      <c r="D748">
        <v>11</v>
      </c>
      <c r="E748" t="s">
        <v>607</v>
      </c>
      <c r="F748" t="s">
        <v>268</v>
      </c>
      <c r="G748" s="15">
        <v>45583</v>
      </c>
      <c r="H748" t="s">
        <v>144</v>
      </c>
      <c r="I748" t="s">
        <v>585</v>
      </c>
      <c r="J748" t="s">
        <v>219</v>
      </c>
      <c r="K748">
        <v>9</v>
      </c>
      <c r="L748" t="s">
        <v>137</v>
      </c>
      <c r="M748" t="s">
        <v>599</v>
      </c>
      <c r="N748" t="s">
        <v>114</v>
      </c>
      <c r="P748">
        <v>123</v>
      </c>
      <c r="Q748">
        <v>5155</v>
      </c>
      <c r="R748" t="s">
        <v>138</v>
      </c>
      <c r="S748" t="s">
        <v>116</v>
      </c>
      <c r="U748" t="s">
        <v>178</v>
      </c>
      <c r="V748" t="s">
        <v>321</v>
      </c>
      <c r="Y748" t="s">
        <v>133</v>
      </c>
      <c r="AA748">
        <v>1</v>
      </c>
      <c r="AB748" t="s">
        <v>99</v>
      </c>
      <c r="AC748" t="s">
        <v>425</v>
      </c>
      <c r="AE748" t="str">
        <f t="shared" si="11"/>
        <v>DelaneyMangold</v>
      </c>
      <c r="AF748">
        <v>1</v>
      </c>
      <c r="AG748">
        <v>1</v>
      </c>
      <c r="AH748">
        <v>0</v>
      </c>
      <c r="AI748">
        <v>0</v>
      </c>
      <c r="AJ748">
        <v>1</v>
      </c>
      <c r="AK748" t="s">
        <v>452</v>
      </c>
      <c r="AL748">
        <v>0.65909090909090895</v>
      </c>
      <c r="AM748" t="s">
        <v>127</v>
      </c>
      <c r="AN748">
        <v>0.59523809523809501</v>
      </c>
    </row>
    <row r="749" spans="2:40" ht="15" customHeight="1" x14ac:dyDescent="0.2">
      <c r="B749">
        <v>20</v>
      </c>
      <c r="C749">
        <v>5</v>
      </c>
      <c r="D749">
        <v>11</v>
      </c>
      <c r="E749" t="s">
        <v>608</v>
      </c>
      <c r="F749" t="s">
        <v>268</v>
      </c>
      <c r="G749" s="15">
        <v>45583</v>
      </c>
      <c r="H749" t="s">
        <v>144</v>
      </c>
      <c r="I749" t="s">
        <v>585</v>
      </c>
      <c r="J749" t="s">
        <v>219</v>
      </c>
      <c r="K749">
        <v>9</v>
      </c>
      <c r="L749" t="s">
        <v>137</v>
      </c>
      <c r="M749" t="s">
        <v>599</v>
      </c>
      <c r="N749" t="s">
        <v>114</v>
      </c>
      <c r="P749">
        <v>123</v>
      </c>
      <c r="Q749">
        <v>5155</v>
      </c>
      <c r="R749" t="s">
        <v>138</v>
      </c>
      <c r="S749" t="s">
        <v>116</v>
      </c>
      <c r="U749" t="s">
        <v>178</v>
      </c>
      <c r="V749" t="s">
        <v>179</v>
      </c>
      <c r="Y749" t="s">
        <v>272</v>
      </c>
      <c r="AA749">
        <v>1</v>
      </c>
      <c r="AB749" t="s">
        <v>101</v>
      </c>
      <c r="AC749" t="s">
        <v>139</v>
      </c>
      <c r="AE749" t="str">
        <f t="shared" si="11"/>
        <v>ColeWelker</v>
      </c>
      <c r="AF749">
        <v>0.5</v>
      </c>
      <c r="AG749">
        <v>0</v>
      </c>
      <c r="AH749">
        <v>0</v>
      </c>
      <c r="AI749">
        <v>1</v>
      </c>
      <c r="AJ749">
        <v>0.5</v>
      </c>
      <c r="AK749" t="s">
        <v>230</v>
      </c>
      <c r="AL749">
        <v>0.52777777777777801</v>
      </c>
      <c r="AM749" t="s">
        <v>227</v>
      </c>
      <c r="AN749">
        <v>0.5</v>
      </c>
    </row>
    <row r="750" spans="2:40" ht="15" customHeight="1" x14ac:dyDescent="0.2">
      <c r="B750">
        <v>20</v>
      </c>
      <c r="C750">
        <v>5</v>
      </c>
      <c r="D750">
        <v>11</v>
      </c>
      <c r="E750" t="s">
        <v>608</v>
      </c>
      <c r="F750" t="s">
        <v>268</v>
      </c>
      <c r="G750" s="15">
        <v>45583</v>
      </c>
      <c r="H750" t="s">
        <v>144</v>
      </c>
      <c r="I750" t="s">
        <v>585</v>
      </c>
      <c r="J750" t="s">
        <v>219</v>
      </c>
      <c r="K750">
        <v>9</v>
      </c>
      <c r="L750" t="s">
        <v>137</v>
      </c>
      <c r="M750" t="s">
        <v>599</v>
      </c>
      <c r="N750" t="s">
        <v>114</v>
      </c>
      <c r="P750">
        <v>123</v>
      </c>
      <c r="Q750">
        <v>5155</v>
      </c>
      <c r="R750" t="s">
        <v>138</v>
      </c>
      <c r="S750" t="s">
        <v>116</v>
      </c>
      <c r="U750" t="s">
        <v>452</v>
      </c>
      <c r="V750" t="s">
        <v>230</v>
      </c>
      <c r="Y750" t="s">
        <v>227</v>
      </c>
      <c r="AA750">
        <v>1</v>
      </c>
      <c r="AB750" t="s">
        <v>101</v>
      </c>
      <c r="AC750" t="s">
        <v>139</v>
      </c>
      <c r="AE750" t="str">
        <f t="shared" si="11"/>
        <v>NoratZimmer</v>
      </c>
      <c r="AF750">
        <v>0.5</v>
      </c>
      <c r="AG750">
        <v>0</v>
      </c>
      <c r="AH750">
        <v>0</v>
      </c>
      <c r="AI750">
        <v>1</v>
      </c>
      <c r="AJ750">
        <v>0.5</v>
      </c>
      <c r="AK750" t="s">
        <v>179</v>
      </c>
      <c r="AL750">
        <v>0.44067796610169502</v>
      </c>
      <c r="AM750" t="s">
        <v>272</v>
      </c>
      <c r="AN750">
        <v>0.51041666666666696</v>
      </c>
    </row>
    <row r="751" spans="2:40" ht="15" customHeight="1" x14ac:dyDescent="0.2">
      <c r="B751" t="s">
        <v>300</v>
      </c>
      <c r="D751">
        <v>11</v>
      </c>
      <c r="E751" t="s">
        <v>609</v>
      </c>
      <c r="F751" t="s">
        <v>268</v>
      </c>
      <c r="G751" s="15">
        <v>45584</v>
      </c>
      <c r="H751" t="s">
        <v>144</v>
      </c>
      <c r="I751" t="s">
        <v>585</v>
      </c>
      <c r="J751" t="s">
        <v>219</v>
      </c>
      <c r="K751">
        <v>9</v>
      </c>
      <c r="L751" t="s">
        <v>112</v>
      </c>
      <c r="M751" t="s">
        <v>610</v>
      </c>
      <c r="N751" t="s">
        <v>114</v>
      </c>
      <c r="R751" t="s">
        <v>303</v>
      </c>
      <c r="S751" t="s">
        <v>303</v>
      </c>
      <c r="U751" t="s">
        <v>178</v>
      </c>
      <c r="V751" t="s">
        <v>132</v>
      </c>
      <c r="W751" t="s">
        <v>611</v>
      </c>
      <c r="AA751">
        <v>0.5</v>
      </c>
      <c r="AB751" t="s">
        <v>100</v>
      </c>
      <c r="AE751" t="str">
        <f t="shared" si="11"/>
        <v>Flanders</v>
      </c>
      <c r="AF751">
        <v>0</v>
      </c>
      <c r="AG751">
        <v>0</v>
      </c>
      <c r="AH751">
        <v>1</v>
      </c>
      <c r="AI751">
        <v>0</v>
      </c>
      <c r="AJ751">
        <v>0</v>
      </c>
    </row>
    <row r="752" spans="2:40" ht="15" customHeight="1" x14ac:dyDescent="0.2">
      <c r="B752" t="s">
        <v>300</v>
      </c>
      <c r="D752">
        <v>11</v>
      </c>
      <c r="E752" t="s">
        <v>609</v>
      </c>
      <c r="F752" t="s">
        <v>268</v>
      </c>
      <c r="G752" s="15">
        <v>45584</v>
      </c>
      <c r="H752" t="s">
        <v>144</v>
      </c>
      <c r="I752" t="s">
        <v>585</v>
      </c>
      <c r="J752" t="s">
        <v>219</v>
      </c>
      <c r="K752">
        <v>9</v>
      </c>
      <c r="L752" t="s">
        <v>112</v>
      </c>
      <c r="M752" t="s">
        <v>610</v>
      </c>
      <c r="N752" t="s">
        <v>114</v>
      </c>
      <c r="R752" t="s">
        <v>303</v>
      </c>
      <c r="S752" t="s">
        <v>303</v>
      </c>
      <c r="U752" t="s">
        <v>178</v>
      </c>
      <c r="V752" t="s">
        <v>119</v>
      </c>
      <c r="W752" t="s">
        <v>611</v>
      </c>
      <c r="AA752">
        <v>0.5</v>
      </c>
      <c r="AB752" t="s">
        <v>100</v>
      </c>
      <c r="AE752" t="str">
        <f t="shared" si="11"/>
        <v>Grise</v>
      </c>
      <c r="AF752">
        <v>0</v>
      </c>
      <c r="AG752">
        <v>0</v>
      </c>
      <c r="AH752">
        <v>1</v>
      </c>
      <c r="AI752">
        <v>0</v>
      </c>
      <c r="AJ752">
        <v>0</v>
      </c>
    </row>
    <row r="753" spans="2:36" ht="15" customHeight="1" x14ac:dyDescent="0.2">
      <c r="B753" t="s">
        <v>300</v>
      </c>
      <c r="D753">
        <v>11</v>
      </c>
      <c r="E753" t="s">
        <v>609</v>
      </c>
      <c r="F753" t="s">
        <v>268</v>
      </c>
      <c r="G753" s="15">
        <v>45584</v>
      </c>
      <c r="H753" t="s">
        <v>144</v>
      </c>
      <c r="I753" t="s">
        <v>585</v>
      </c>
      <c r="J753" t="s">
        <v>219</v>
      </c>
      <c r="K753">
        <v>9</v>
      </c>
      <c r="L753" t="s">
        <v>112</v>
      </c>
      <c r="M753" t="s">
        <v>610</v>
      </c>
      <c r="N753" t="s">
        <v>114</v>
      </c>
      <c r="R753" t="s">
        <v>303</v>
      </c>
      <c r="S753" t="s">
        <v>303</v>
      </c>
      <c r="U753" t="s">
        <v>178</v>
      </c>
      <c r="V753" t="s">
        <v>179</v>
      </c>
      <c r="W753" t="s">
        <v>611</v>
      </c>
      <c r="AA753">
        <v>0.5</v>
      </c>
      <c r="AB753" t="s">
        <v>100</v>
      </c>
      <c r="AE753" t="str">
        <f t="shared" si="11"/>
        <v>Cole</v>
      </c>
      <c r="AF753">
        <v>0</v>
      </c>
      <c r="AG753">
        <v>0</v>
      </c>
      <c r="AH753">
        <v>1</v>
      </c>
      <c r="AI753">
        <v>0</v>
      </c>
      <c r="AJ753">
        <v>0</v>
      </c>
    </row>
    <row r="754" spans="2:36" ht="15" customHeight="1" x14ac:dyDescent="0.2">
      <c r="B754" t="s">
        <v>300</v>
      </c>
      <c r="D754">
        <v>11</v>
      </c>
      <c r="E754" t="s">
        <v>609</v>
      </c>
      <c r="F754" t="s">
        <v>268</v>
      </c>
      <c r="G754" s="15">
        <v>45584</v>
      </c>
      <c r="H754" t="s">
        <v>144</v>
      </c>
      <c r="I754" t="s">
        <v>585</v>
      </c>
      <c r="J754" t="s">
        <v>219</v>
      </c>
      <c r="K754">
        <v>9</v>
      </c>
      <c r="L754" t="s">
        <v>112</v>
      </c>
      <c r="M754" t="s">
        <v>610</v>
      </c>
      <c r="N754" t="s">
        <v>114</v>
      </c>
      <c r="R754" t="s">
        <v>303</v>
      </c>
      <c r="S754" t="s">
        <v>303</v>
      </c>
      <c r="U754" t="s">
        <v>178</v>
      </c>
      <c r="V754" t="s">
        <v>123</v>
      </c>
      <c r="W754" t="s">
        <v>611</v>
      </c>
      <c r="AA754">
        <v>0.5</v>
      </c>
      <c r="AB754" t="s">
        <v>100</v>
      </c>
      <c r="AE754" t="str">
        <f t="shared" si="11"/>
        <v>Lynch</v>
      </c>
      <c r="AF754">
        <v>0</v>
      </c>
      <c r="AG754">
        <v>0</v>
      </c>
      <c r="AH754">
        <v>1</v>
      </c>
      <c r="AI754">
        <v>0</v>
      </c>
      <c r="AJ754">
        <v>0</v>
      </c>
    </row>
    <row r="755" spans="2:36" ht="15" customHeight="1" x14ac:dyDescent="0.2">
      <c r="B755" t="s">
        <v>300</v>
      </c>
      <c r="D755">
        <v>11</v>
      </c>
      <c r="E755" t="s">
        <v>609</v>
      </c>
      <c r="F755" t="s">
        <v>268</v>
      </c>
      <c r="G755" s="15">
        <v>45584</v>
      </c>
      <c r="H755" t="s">
        <v>144</v>
      </c>
      <c r="I755" t="s">
        <v>585</v>
      </c>
      <c r="J755" t="s">
        <v>219</v>
      </c>
      <c r="K755">
        <v>9</v>
      </c>
      <c r="L755" t="s">
        <v>112</v>
      </c>
      <c r="M755" t="s">
        <v>610</v>
      </c>
      <c r="N755" t="s">
        <v>114</v>
      </c>
      <c r="R755" t="s">
        <v>303</v>
      </c>
      <c r="S755" t="s">
        <v>303</v>
      </c>
      <c r="U755" t="s">
        <v>178</v>
      </c>
      <c r="V755" t="s">
        <v>178</v>
      </c>
      <c r="W755" t="s">
        <v>611</v>
      </c>
      <c r="AA755">
        <v>0.5</v>
      </c>
      <c r="AB755" t="s">
        <v>100</v>
      </c>
      <c r="AE755" t="str">
        <f t="shared" si="11"/>
        <v>Connors</v>
      </c>
      <c r="AF755">
        <v>0</v>
      </c>
      <c r="AG755">
        <v>0</v>
      </c>
      <c r="AH755">
        <v>1</v>
      </c>
      <c r="AI755">
        <v>0</v>
      </c>
      <c r="AJ755">
        <v>0</v>
      </c>
    </row>
    <row r="756" spans="2:36" ht="15" customHeight="1" x14ac:dyDescent="0.2">
      <c r="B756" t="s">
        <v>300</v>
      </c>
      <c r="D756">
        <v>11</v>
      </c>
      <c r="E756" t="s">
        <v>609</v>
      </c>
      <c r="F756" t="s">
        <v>268</v>
      </c>
      <c r="G756" s="15">
        <v>45584</v>
      </c>
      <c r="H756" t="s">
        <v>144</v>
      </c>
      <c r="I756" t="s">
        <v>585</v>
      </c>
      <c r="J756" t="s">
        <v>219</v>
      </c>
      <c r="K756">
        <v>9</v>
      </c>
      <c r="L756" t="s">
        <v>112</v>
      </c>
      <c r="M756" t="s">
        <v>610</v>
      </c>
      <c r="N756" t="s">
        <v>114</v>
      </c>
      <c r="R756" t="s">
        <v>303</v>
      </c>
      <c r="S756" t="s">
        <v>303</v>
      </c>
      <c r="U756" t="s">
        <v>178</v>
      </c>
      <c r="V756" t="s">
        <v>118</v>
      </c>
      <c r="W756" t="s">
        <v>611</v>
      </c>
      <c r="AA756">
        <v>0.5</v>
      </c>
      <c r="AB756" t="s">
        <v>100</v>
      </c>
      <c r="AE756" t="str">
        <f t="shared" si="11"/>
        <v>Jackson</v>
      </c>
      <c r="AF756">
        <v>0</v>
      </c>
      <c r="AG756">
        <v>0</v>
      </c>
      <c r="AH756">
        <v>1</v>
      </c>
      <c r="AI756">
        <v>0</v>
      </c>
      <c r="AJ756">
        <v>0</v>
      </c>
    </row>
    <row r="757" spans="2:36" ht="15" customHeight="1" x14ac:dyDescent="0.2">
      <c r="B757" t="s">
        <v>300</v>
      </c>
      <c r="D757">
        <v>11</v>
      </c>
      <c r="E757" t="s">
        <v>609</v>
      </c>
      <c r="F757" t="s">
        <v>268</v>
      </c>
      <c r="G757" s="15">
        <v>45584</v>
      </c>
      <c r="H757" t="s">
        <v>144</v>
      </c>
      <c r="I757" t="s">
        <v>585</v>
      </c>
      <c r="J757" t="s">
        <v>219</v>
      </c>
      <c r="K757">
        <v>9</v>
      </c>
      <c r="L757" t="s">
        <v>112</v>
      </c>
      <c r="M757" t="s">
        <v>610</v>
      </c>
      <c r="N757" t="s">
        <v>114</v>
      </c>
      <c r="R757" t="s">
        <v>303</v>
      </c>
      <c r="S757" t="s">
        <v>303</v>
      </c>
      <c r="U757" t="s">
        <v>178</v>
      </c>
      <c r="V757" t="s">
        <v>321</v>
      </c>
      <c r="W757" t="s">
        <v>611</v>
      </c>
      <c r="AA757">
        <v>0.5</v>
      </c>
      <c r="AB757" t="s">
        <v>100</v>
      </c>
      <c r="AE757" t="str">
        <f t="shared" si="11"/>
        <v>Delaney</v>
      </c>
      <c r="AF757">
        <v>0</v>
      </c>
      <c r="AG757">
        <v>0</v>
      </c>
      <c r="AH757">
        <v>1</v>
      </c>
      <c r="AI757">
        <v>0</v>
      </c>
      <c r="AJ757">
        <v>0</v>
      </c>
    </row>
    <row r="758" spans="2:36" ht="15" customHeight="1" x14ac:dyDescent="0.2">
      <c r="B758" t="s">
        <v>300</v>
      </c>
      <c r="D758">
        <v>11</v>
      </c>
      <c r="E758" t="s">
        <v>609</v>
      </c>
      <c r="F758" t="s">
        <v>268</v>
      </c>
      <c r="G758" s="15">
        <v>45584</v>
      </c>
      <c r="H758" t="s">
        <v>144</v>
      </c>
      <c r="I758" t="s">
        <v>585</v>
      </c>
      <c r="J758" t="s">
        <v>219</v>
      </c>
      <c r="K758">
        <v>9</v>
      </c>
      <c r="L758" t="s">
        <v>112</v>
      </c>
      <c r="M758" t="s">
        <v>610</v>
      </c>
      <c r="N758" t="s">
        <v>114</v>
      </c>
      <c r="R758" t="s">
        <v>303</v>
      </c>
      <c r="S758" t="s">
        <v>303</v>
      </c>
      <c r="U758" t="s">
        <v>178</v>
      </c>
      <c r="V758" t="s">
        <v>122</v>
      </c>
      <c r="W758" t="s">
        <v>611</v>
      </c>
      <c r="AA758">
        <v>0.5</v>
      </c>
      <c r="AB758" t="s">
        <v>100</v>
      </c>
      <c r="AE758" t="str">
        <f t="shared" si="11"/>
        <v>Hilts</v>
      </c>
      <c r="AF758">
        <v>0</v>
      </c>
      <c r="AG758">
        <v>0</v>
      </c>
      <c r="AH758">
        <v>1</v>
      </c>
      <c r="AI758">
        <v>0</v>
      </c>
      <c r="AJ758">
        <v>0</v>
      </c>
    </row>
    <row r="759" spans="2:36" ht="15" customHeight="1" x14ac:dyDescent="0.2">
      <c r="B759" t="s">
        <v>300</v>
      </c>
      <c r="D759">
        <v>11</v>
      </c>
      <c r="E759" t="s">
        <v>609</v>
      </c>
      <c r="F759" t="s">
        <v>268</v>
      </c>
      <c r="G759" s="15">
        <v>45584</v>
      </c>
      <c r="H759" t="s">
        <v>144</v>
      </c>
      <c r="I759" t="s">
        <v>585</v>
      </c>
      <c r="J759" t="s">
        <v>219</v>
      </c>
      <c r="K759">
        <v>9</v>
      </c>
      <c r="L759" t="s">
        <v>112</v>
      </c>
      <c r="M759" t="s">
        <v>610</v>
      </c>
      <c r="N759" t="s">
        <v>114</v>
      </c>
      <c r="R759" t="s">
        <v>303</v>
      </c>
      <c r="S759" t="s">
        <v>303</v>
      </c>
      <c r="U759" t="s">
        <v>178</v>
      </c>
      <c r="V759" t="s">
        <v>133</v>
      </c>
      <c r="W759" t="s">
        <v>611</v>
      </c>
      <c r="AA759">
        <v>0.5</v>
      </c>
      <c r="AB759" t="s">
        <v>100</v>
      </c>
      <c r="AE759" t="str">
        <f t="shared" si="11"/>
        <v>Mangold</v>
      </c>
      <c r="AF759">
        <v>0</v>
      </c>
      <c r="AG759">
        <v>0</v>
      </c>
      <c r="AH759">
        <v>1</v>
      </c>
      <c r="AI759">
        <v>0</v>
      </c>
      <c r="AJ759">
        <v>0</v>
      </c>
    </row>
    <row r="760" spans="2:36" ht="15" customHeight="1" x14ac:dyDescent="0.2">
      <c r="B760" t="s">
        <v>300</v>
      </c>
      <c r="D760">
        <v>11</v>
      </c>
      <c r="E760" t="s">
        <v>609</v>
      </c>
      <c r="F760" t="s">
        <v>268</v>
      </c>
      <c r="G760" s="15">
        <v>45584</v>
      </c>
      <c r="H760" t="s">
        <v>144</v>
      </c>
      <c r="I760" t="s">
        <v>585</v>
      </c>
      <c r="J760" t="s">
        <v>219</v>
      </c>
      <c r="K760">
        <v>9</v>
      </c>
      <c r="L760" t="s">
        <v>112</v>
      </c>
      <c r="M760" t="s">
        <v>610</v>
      </c>
      <c r="N760" t="s">
        <v>114</v>
      </c>
      <c r="R760" t="s">
        <v>303</v>
      </c>
      <c r="S760" t="s">
        <v>303</v>
      </c>
      <c r="U760" t="s">
        <v>178</v>
      </c>
      <c r="V760" t="s">
        <v>272</v>
      </c>
      <c r="W760" t="s">
        <v>611</v>
      </c>
      <c r="AA760">
        <v>0.5</v>
      </c>
      <c r="AB760" t="s">
        <v>100</v>
      </c>
      <c r="AE760" t="str">
        <f t="shared" si="11"/>
        <v>Welker</v>
      </c>
      <c r="AF760">
        <v>0</v>
      </c>
      <c r="AG760">
        <v>0</v>
      </c>
      <c r="AH760">
        <v>1</v>
      </c>
      <c r="AI760">
        <v>0</v>
      </c>
      <c r="AJ760">
        <v>0</v>
      </c>
    </row>
    <row r="761" spans="2:36" ht="15" customHeight="1" x14ac:dyDescent="0.2">
      <c r="B761" t="s">
        <v>300</v>
      </c>
      <c r="D761">
        <v>11</v>
      </c>
      <c r="E761" t="s">
        <v>609</v>
      </c>
      <c r="F761" t="s">
        <v>268</v>
      </c>
      <c r="G761" s="15">
        <v>45584</v>
      </c>
      <c r="H761" t="s">
        <v>144</v>
      </c>
      <c r="I761" t="s">
        <v>585</v>
      </c>
      <c r="J761" t="s">
        <v>219</v>
      </c>
      <c r="K761">
        <v>9</v>
      </c>
      <c r="L761" t="s">
        <v>112</v>
      </c>
      <c r="M761" t="s">
        <v>610</v>
      </c>
      <c r="N761" t="s">
        <v>114</v>
      </c>
      <c r="R761" t="s">
        <v>303</v>
      </c>
      <c r="S761" t="s">
        <v>303</v>
      </c>
      <c r="U761" t="s">
        <v>452</v>
      </c>
      <c r="V761" t="s">
        <v>172</v>
      </c>
      <c r="W761" t="s">
        <v>612</v>
      </c>
      <c r="AA761">
        <v>0.5</v>
      </c>
      <c r="AB761" t="s">
        <v>99</v>
      </c>
      <c r="AE761" t="str">
        <f t="shared" si="11"/>
        <v>Fogan</v>
      </c>
      <c r="AF761">
        <v>0.5</v>
      </c>
      <c r="AG761">
        <v>1</v>
      </c>
      <c r="AH761">
        <v>0</v>
      </c>
      <c r="AI761">
        <v>0</v>
      </c>
      <c r="AJ761">
        <v>1</v>
      </c>
    </row>
    <row r="762" spans="2:36" ht="15" customHeight="1" x14ac:dyDescent="0.2">
      <c r="B762" t="s">
        <v>300</v>
      </c>
      <c r="D762">
        <v>11</v>
      </c>
      <c r="E762" t="s">
        <v>609</v>
      </c>
      <c r="F762" t="s">
        <v>268</v>
      </c>
      <c r="G762" s="15">
        <v>45584</v>
      </c>
      <c r="H762" t="s">
        <v>144</v>
      </c>
      <c r="I762" t="s">
        <v>585</v>
      </c>
      <c r="J762" t="s">
        <v>219</v>
      </c>
      <c r="K762">
        <v>9</v>
      </c>
      <c r="L762" t="s">
        <v>112</v>
      </c>
      <c r="M762" t="s">
        <v>610</v>
      </c>
      <c r="N762" t="s">
        <v>114</v>
      </c>
      <c r="R762" t="s">
        <v>303</v>
      </c>
      <c r="S762" t="s">
        <v>303</v>
      </c>
      <c r="U762" t="s">
        <v>452</v>
      </c>
      <c r="V762" t="s">
        <v>130</v>
      </c>
      <c r="W762" t="s">
        <v>612</v>
      </c>
      <c r="AA762">
        <v>0.5</v>
      </c>
      <c r="AB762" t="s">
        <v>99</v>
      </c>
      <c r="AE762" t="str">
        <f t="shared" si="11"/>
        <v>Poirier</v>
      </c>
      <c r="AF762">
        <v>0.5</v>
      </c>
      <c r="AG762">
        <v>1</v>
      </c>
      <c r="AH762">
        <v>0</v>
      </c>
      <c r="AI762">
        <v>0</v>
      </c>
      <c r="AJ762">
        <v>1</v>
      </c>
    </row>
    <row r="763" spans="2:36" ht="15" customHeight="1" x14ac:dyDescent="0.2">
      <c r="B763" t="s">
        <v>300</v>
      </c>
      <c r="D763">
        <v>11</v>
      </c>
      <c r="E763" t="s">
        <v>609</v>
      </c>
      <c r="F763" t="s">
        <v>268</v>
      </c>
      <c r="G763" s="15">
        <v>45584</v>
      </c>
      <c r="H763" t="s">
        <v>144</v>
      </c>
      <c r="I763" t="s">
        <v>585</v>
      </c>
      <c r="J763" t="s">
        <v>219</v>
      </c>
      <c r="K763">
        <v>9</v>
      </c>
      <c r="L763" t="s">
        <v>112</v>
      </c>
      <c r="M763" t="s">
        <v>610</v>
      </c>
      <c r="N763" t="s">
        <v>114</v>
      </c>
      <c r="R763" t="s">
        <v>303</v>
      </c>
      <c r="S763" t="s">
        <v>303</v>
      </c>
      <c r="U763" t="s">
        <v>452</v>
      </c>
      <c r="V763" t="s">
        <v>226</v>
      </c>
      <c r="W763" t="s">
        <v>612</v>
      </c>
      <c r="AA763">
        <v>0.5</v>
      </c>
      <c r="AB763" t="s">
        <v>99</v>
      </c>
      <c r="AE763" t="str">
        <f t="shared" si="11"/>
        <v>Gray</v>
      </c>
      <c r="AF763">
        <v>0.5</v>
      </c>
      <c r="AG763">
        <v>1</v>
      </c>
      <c r="AH763">
        <v>0</v>
      </c>
      <c r="AI763">
        <v>0</v>
      </c>
      <c r="AJ763">
        <v>1</v>
      </c>
    </row>
    <row r="764" spans="2:36" ht="15" customHeight="1" x14ac:dyDescent="0.2">
      <c r="B764" t="s">
        <v>300</v>
      </c>
      <c r="D764">
        <v>11</v>
      </c>
      <c r="E764" t="s">
        <v>609</v>
      </c>
      <c r="F764" t="s">
        <v>268</v>
      </c>
      <c r="G764" s="15">
        <v>45584</v>
      </c>
      <c r="H764" t="s">
        <v>144</v>
      </c>
      <c r="I764" t="s">
        <v>585</v>
      </c>
      <c r="J764" t="s">
        <v>219</v>
      </c>
      <c r="K764">
        <v>9</v>
      </c>
      <c r="L764" t="s">
        <v>112</v>
      </c>
      <c r="M764" t="s">
        <v>610</v>
      </c>
      <c r="N764" t="s">
        <v>114</v>
      </c>
      <c r="R764" t="s">
        <v>303</v>
      </c>
      <c r="S764" t="s">
        <v>303</v>
      </c>
      <c r="U764" t="s">
        <v>452</v>
      </c>
      <c r="V764" t="s">
        <v>230</v>
      </c>
      <c r="W764" t="s">
        <v>612</v>
      </c>
      <c r="AA764">
        <v>0.5</v>
      </c>
      <c r="AB764" t="s">
        <v>99</v>
      </c>
      <c r="AE764" t="str">
        <f t="shared" si="11"/>
        <v>Norat</v>
      </c>
      <c r="AF764">
        <v>0.5</v>
      </c>
      <c r="AG764">
        <v>1</v>
      </c>
      <c r="AH764">
        <v>0</v>
      </c>
      <c r="AI764">
        <v>0</v>
      </c>
      <c r="AJ764">
        <v>1</v>
      </c>
    </row>
    <row r="765" spans="2:36" ht="15" customHeight="1" x14ac:dyDescent="0.2">
      <c r="B765" t="s">
        <v>300</v>
      </c>
      <c r="D765">
        <v>11</v>
      </c>
      <c r="E765" t="s">
        <v>609</v>
      </c>
      <c r="F765" t="s">
        <v>268</v>
      </c>
      <c r="G765" s="15">
        <v>45584</v>
      </c>
      <c r="H765" t="s">
        <v>144</v>
      </c>
      <c r="I765" t="s">
        <v>585</v>
      </c>
      <c r="J765" t="s">
        <v>219</v>
      </c>
      <c r="K765">
        <v>9</v>
      </c>
      <c r="L765" t="s">
        <v>112</v>
      </c>
      <c r="M765" t="s">
        <v>610</v>
      </c>
      <c r="N765" t="s">
        <v>114</v>
      </c>
      <c r="R765" t="s">
        <v>303</v>
      </c>
      <c r="S765" t="s">
        <v>303</v>
      </c>
      <c r="U765" t="s">
        <v>452</v>
      </c>
      <c r="V765" t="s">
        <v>1308</v>
      </c>
      <c r="W765" t="s">
        <v>612</v>
      </c>
      <c r="AA765">
        <v>0.5</v>
      </c>
      <c r="AB765" t="s">
        <v>99</v>
      </c>
      <c r="AE765" t="str">
        <f t="shared" si="11"/>
        <v>Connolly</v>
      </c>
      <c r="AF765">
        <v>0.5</v>
      </c>
      <c r="AG765">
        <v>1</v>
      </c>
      <c r="AH765">
        <v>0</v>
      </c>
      <c r="AI765">
        <v>0</v>
      </c>
      <c r="AJ765">
        <v>1</v>
      </c>
    </row>
    <row r="766" spans="2:36" ht="15" customHeight="1" x14ac:dyDescent="0.2">
      <c r="B766" t="s">
        <v>300</v>
      </c>
      <c r="D766">
        <v>11</v>
      </c>
      <c r="E766" t="s">
        <v>609</v>
      </c>
      <c r="F766" t="s">
        <v>268</v>
      </c>
      <c r="G766" s="15">
        <v>45584</v>
      </c>
      <c r="H766" t="s">
        <v>144</v>
      </c>
      <c r="I766" t="s">
        <v>585</v>
      </c>
      <c r="J766" t="s">
        <v>219</v>
      </c>
      <c r="K766">
        <v>9</v>
      </c>
      <c r="L766" t="s">
        <v>112</v>
      </c>
      <c r="M766" t="s">
        <v>610</v>
      </c>
      <c r="N766" t="s">
        <v>114</v>
      </c>
      <c r="R766" t="s">
        <v>303</v>
      </c>
      <c r="S766" t="s">
        <v>303</v>
      </c>
      <c r="U766" t="s">
        <v>452</v>
      </c>
      <c r="V766" t="s">
        <v>452</v>
      </c>
      <c r="W766" t="s">
        <v>612</v>
      </c>
      <c r="AA766">
        <v>0.5</v>
      </c>
      <c r="AB766" t="s">
        <v>99</v>
      </c>
      <c r="AE766" t="str">
        <f t="shared" si="11"/>
        <v>Delneky</v>
      </c>
      <c r="AF766">
        <v>0.5</v>
      </c>
      <c r="AG766">
        <v>1</v>
      </c>
      <c r="AH766">
        <v>0</v>
      </c>
      <c r="AI766">
        <v>0</v>
      </c>
      <c r="AJ766">
        <v>1</v>
      </c>
    </row>
    <row r="767" spans="2:36" ht="15" customHeight="1" x14ac:dyDescent="0.2">
      <c r="B767" t="s">
        <v>300</v>
      </c>
      <c r="D767">
        <v>11</v>
      </c>
      <c r="E767" t="s">
        <v>609</v>
      </c>
      <c r="F767" t="s">
        <v>268</v>
      </c>
      <c r="G767" s="15">
        <v>45584</v>
      </c>
      <c r="H767" t="s">
        <v>144</v>
      </c>
      <c r="I767" t="s">
        <v>585</v>
      </c>
      <c r="J767" t="s">
        <v>219</v>
      </c>
      <c r="K767">
        <v>9</v>
      </c>
      <c r="L767" t="s">
        <v>112</v>
      </c>
      <c r="M767" t="s">
        <v>610</v>
      </c>
      <c r="N767" t="s">
        <v>114</v>
      </c>
      <c r="R767" t="s">
        <v>303</v>
      </c>
      <c r="S767" t="s">
        <v>303</v>
      </c>
      <c r="U767" t="s">
        <v>452</v>
      </c>
      <c r="V767" t="s">
        <v>135</v>
      </c>
      <c r="W767" t="s">
        <v>612</v>
      </c>
      <c r="AA767">
        <v>0.5</v>
      </c>
      <c r="AB767" t="s">
        <v>99</v>
      </c>
      <c r="AE767" t="str">
        <f t="shared" si="11"/>
        <v>Shively</v>
      </c>
      <c r="AF767">
        <v>0.5</v>
      </c>
      <c r="AG767">
        <v>1</v>
      </c>
      <c r="AH767">
        <v>0</v>
      </c>
      <c r="AI767">
        <v>0</v>
      </c>
      <c r="AJ767">
        <v>1</v>
      </c>
    </row>
    <row r="768" spans="2:36" ht="15" customHeight="1" x14ac:dyDescent="0.2">
      <c r="B768" t="s">
        <v>300</v>
      </c>
      <c r="D768">
        <v>11</v>
      </c>
      <c r="E768" t="s">
        <v>609</v>
      </c>
      <c r="F768" t="s">
        <v>268</v>
      </c>
      <c r="G768" s="15">
        <v>45584</v>
      </c>
      <c r="H768" t="s">
        <v>144</v>
      </c>
      <c r="I768" t="s">
        <v>585</v>
      </c>
      <c r="J768" t="s">
        <v>219</v>
      </c>
      <c r="K768">
        <v>9</v>
      </c>
      <c r="L768" t="s">
        <v>112</v>
      </c>
      <c r="M768" t="s">
        <v>610</v>
      </c>
      <c r="N768" t="s">
        <v>114</v>
      </c>
      <c r="R768" t="s">
        <v>303</v>
      </c>
      <c r="S768" t="s">
        <v>303</v>
      </c>
      <c r="U768" t="s">
        <v>452</v>
      </c>
      <c r="V768" t="s">
        <v>227</v>
      </c>
      <c r="W768" t="s">
        <v>612</v>
      </c>
      <c r="AA768">
        <v>0.5</v>
      </c>
      <c r="AB768" t="s">
        <v>99</v>
      </c>
      <c r="AE768" t="str">
        <f t="shared" si="11"/>
        <v>Zimmer</v>
      </c>
      <c r="AF768">
        <v>0.5</v>
      </c>
      <c r="AG768">
        <v>1</v>
      </c>
      <c r="AH768">
        <v>0</v>
      </c>
      <c r="AI768">
        <v>0</v>
      </c>
      <c r="AJ768">
        <v>1</v>
      </c>
    </row>
    <row r="769" spans="2:38" ht="15" customHeight="1" x14ac:dyDescent="0.2">
      <c r="B769" t="s">
        <v>300</v>
      </c>
      <c r="D769">
        <v>11</v>
      </c>
      <c r="E769" t="s">
        <v>609</v>
      </c>
      <c r="F769" t="s">
        <v>268</v>
      </c>
      <c r="G769" s="15">
        <v>45584</v>
      </c>
      <c r="H769" t="s">
        <v>144</v>
      </c>
      <c r="I769" t="s">
        <v>585</v>
      </c>
      <c r="J769" t="s">
        <v>219</v>
      </c>
      <c r="K769">
        <v>9</v>
      </c>
      <c r="L769" t="s">
        <v>112</v>
      </c>
      <c r="M769" t="s">
        <v>610</v>
      </c>
      <c r="N769" t="s">
        <v>114</v>
      </c>
      <c r="R769" t="s">
        <v>303</v>
      </c>
      <c r="S769" t="s">
        <v>303</v>
      </c>
      <c r="U769" t="s">
        <v>452</v>
      </c>
      <c r="V769" t="s">
        <v>127</v>
      </c>
      <c r="W769" t="s">
        <v>612</v>
      </c>
      <c r="AA769">
        <v>0.5</v>
      </c>
      <c r="AB769" t="s">
        <v>99</v>
      </c>
      <c r="AE769" t="str">
        <f t="shared" si="11"/>
        <v>Ferrin</v>
      </c>
      <c r="AF769">
        <v>0.5</v>
      </c>
      <c r="AG769">
        <v>1</v>
      </c>
      <c r="AH769">
        <v>0</v>
      </c>
      <c r="AI769">
        <v>0</v>
      </c>
      <c r="AJ769">
        <v>1</v>
      </c>
    </row>
    <row r="770" spans="2:38" ht="15" customHeight="1" x14ac:dyDescent="0.2">
      <c r="B770" t="s">
        <v>300</v>
      </c>
      <c r="D770">
        <v>11</v>
      </c>
      <c r="E770" t="s">
        <v>609</v>
      </c>
      <c r="F770" t="s">
        <v>268</v>
      </c>
      <c r="G770" s="15">
        <v>45584</v>
      </c>
      <c r="H770" t="s">
        <v>144</v>
      </c>
      <c r="I770" t="s">
        <v>585</v>
      </c>
      <c r="J770" t="s">
        <v>219</v>
      </c>
      <c r="K770">
        <v>9</v>
      </c>
      <c r="L770" t="s">
        <v>112</v>
      </c>
      <c r="M770" t="s">
        <v>610</v>
      </c>
      <c r="N770" t="s">
        <v>114</v>
      </c>
      <c r="R770" t="s">
        <v>303</v>
      </c>
      <c r="S770" t="s">
        <v>303</v>
      </c>
      <c r="U770" t="s">
        <v>452</v>
      </c>
      <c r="V770" t="s">
        <v>176</v>
      </c>
      <c r="W770" t="s">
        <v>612</v>
      </c>
      <c r="AA770">
        <v>0.5</v>
      </c>
      <c r="AB770" t="s">
        <v>99</v>
      </c>
      <c r="AE770" t="str">
        <f t="shared" ref="AE770:AE833" si="12">$V770&amp;$Y770</f>
        <v>Forster</v>
      </c>
      <c r="AF770">
        <v>0.5</v>
      </c>
      <c r="AG770">
        <v>1</v>
      </c>
      <c r="AH770">
        <v>0</v>
      </c>
      <c r="AI770">
        <v>0</v>
      </c>
      <c r="AJ770">
        <v>1</v>
      </c>
    </row>
    <row r="771" spans="2:38" ht="15" customHeight="1" x14ac:dyDescent="0.2">
      <c r="B771">
        <v>21</v>
      </c>
      <c r="C771">
        <v>1</v>
      </c>
      <c r="D771">
        <v>11</v>
      </c>
      <c r="E771" t="s">
        <v>613</v>
      </c>
      <c r="F771" t="s">
        <v>108</v>
      </c>
      <c r="G771" s="15">
        <v>45584</v>
      </c>
      <c r="H771" t="s">
        <v>109</v>
      </c>
      <c r="I771" t="s">
        <v>585</v>
      </c>
      <c r="J771" t="s">
        <v>219</v>
      </c>
      <c r="K771">
        <v>18</v>
      </c>
      <c r="L771" t="s">
        <v>154</v>
      </c>
      <c r="M771" t="s">
        <v>614</v>
      </c>
      <c r="N771" t="s">
        <v>114</v>
      </c>
      <c r="P771">
        <v>137</v>
      </c>
      <c r="Q771">
        <v>6439</v>
      </c>
      <c r="R771" t="s">
        <v>157</v>
      </c>
      <c r="S771" t="s">
        <v>158</v>
      </c>
      <c r="U771" t="s">
        <v>178</v>
      </c>
      <c r="V771" t="s">
        <v>123</v>
      </c>
      <c r="W771" t="s">
        <v>611</v>
      </c>
      <c r="AA771">
        <v>2</v>
      </c>
      <c r="AB771" t="s">
        <v>100</v>
      </c>
      <c r="AD771" t="s">
        <v>130</v>
      </c>
      <c r="AE771" t="str">
        <f t="shared" si="12"/>
        <v>Lynch</v>
      </c>
      <c r="AF771">
        <v>0</v>
      </c>
      <c r="AG771">
        <v>0</v>
      </c>
      <c r="AH771">
        <v>1</v>
      </c>
      <c r="AI771">
        <v>0</v>
      </c>
      <c r="AJ771">
        <v>0</v>
      </c>
      <c r="AK771" t="s">
        <v>130</v>
      </c>
      <c r="AL771">
        <v>0.48611111111111099</v>
      </c>
    </row>
    <row r="772" spans="2:38" ht="15" customHeight="1" x14ac:dyDescent="0.2">
      <c r="B772">
        <v>21</v>
      </c>
      <c r="C772">
        <v>2</v>
      </c>
      <c r="D772">
        <v>11</v>
      </c>
      <c r="E772" t="s">
        <v>615</v>
      </c>
      <c r="F772" t="s">
        <v>108</v>
      </c>
      <c r="G772" s="15">
        <v>45584</v>
      </c>
      <c r="H772" t="s">
        <v>109</v>
      </c>
      <c r="I772" t="s">
        <v>585</v>
      </c>
      <c r="J772" t="s">
        <v>219</v>
      </c>
      <c r="K772">
        <v>18</v>
      </c>
      <c r="L772" t="s">
        <v>154</v>
      </c>
      <c r="M772" t="s">
        <v>614</v>
      </c>
      <c r="N772" t="s">
        <v>114</v>
      </c>
      <c r="P772">
        <v>137</v>
      </c>
      <c r="Q772">
        <v>6439</v>
      </c>
      <c r="R772" t="s">
        <v>157</v>
      </c>
      <c r="S772" t="s">
        <v>158</v>
      </c>
      <c r="U772" t="s">
        <v>178</v>
      </c>
      <c r="V772" t="s">
        <v>122</v>
      </c>
      <c r="W772" t="s">
        <v>611</v>
      </c>
      <c r="AA772">
        <v>2</v>
      </c>
      <c r="AB772" t="s">
        <v>99</v>
      </c>
      <c r="AD772" t="s">
        <v>226</v>
      </c>
      <c r="AE772" t="str">
        <f t="shared" si="12"/>
        <v>Hilts</v>
      </c>
      <c r="AF772">
        <v>2</v>
      </c>
      <c r="AG772">
        <v>1</v>
      </c>
      <c r="AH772">
        <v>0</v>
      </c>
      <c r="AI772">
        <v>0</v>
      </c>
      <c r="AJ772">
        <v>1</v>
      </c>
      <c r="AK772" t="s">
        <v>226</v>
      </c>
      <c r="AL772">
        <v>0.65476190476190499</v>
      </c>
    </row>
    <row r="773" spans="2:38" ht="15" customHeight="1" x14ac:dyDescent="0.2">
      <c r="B773">
        <v>22</v>
      </c>
      <c r="C773">
        <v>3</v>
      </c>
      <c r="D773">
        <v>11</v>
      </c>
      <c r="E773" t="s">
        <v>616</v>
      </c>
      <c r="F773" t="s">
        <v>108</v>
      </c>
      <c r="G773" s="15">
        <v>45584</v>
      </c>
      <c r="H773" t="s">
        <v>109</v>
      </c>
      <c r="I773" t="s">
        <v>585</v>
      </c>
      <c r="J773" t="s">
        <v>219</v>
      </c>
      <c r="K773">
        <v>18</v>
      </c>
      <c r="L773" t="s">
        <v>154</v>
      </c>
      <c r="M773" t="s">
        <v>614</v>
      </c>
      <c r="N773" t="s">
        <v>114</v>
      </c>
      <c r="P773">
        <v>137</v>
      </c>
      <c r="Q773">
        <v>6439</v>
      </c>
      <c r="R773" t="s">
        <v>157</v>
      </c>
      <c r="S773" t="s">
        <v>158</v>
      </c>
      <c r="U773" t="s">
        <v>178</v>
      </c>
      <c r="V773" t="s">
        <v>119</v>
      </c>
      <c r="W773" t="s">
        <v>611</v>
      </c>
      <c r="AA773">
        <v>2</v>
      </c>
      <c r="AB773" t="s">
        <v>100</v>
      </c>
      <c r="AD773" t="s">
        <v>127</v>
      </c>
      <c r="AE773" t="str">
        <f t="shared" si="12"/>
        <v>Grise</v>
      </c>
      <c r="AF773">
        <v>0</v>
      </c>
      <c r="AG773">
        <v>0</v>
      </c>
      <c r="AH773">
        <v>1</v>
      </c>
      <c r="AI773">
        <v>0</v>
      </c>
      <c r="AJ773">
        <v>0</v>
      </c>
      <c r="AK773" t="s">
        <v>127</v>
      </c>
      <c r="AL773">
        <v>0.59523809523809501</v>
      </c>
    </row>
    <row r="774" spans="2:38" ht="15" customHeight="1" x14ac:dyDescent="0.2">
      <c r="B774">
        <v>22</v>
      </c>
      <c r="C774">
        <v>4</v>
      </c>
      <c r="D774">
        <v>11</v>
      </c>
      <c r="E774" t="s">
        <v>617</v>
      </c>
      <c r="F774" t="s">
        <v>108</v>
      </c>
      <c r="G774" s="15">
        <v>45584</v>
      </c>
      <c r="H774" t="s">
        <v>109</v>
      </c>
      <c r="I774" t="s">
        <v>585</v>
      </c>
      <c r="J774" t="s">
        <v>219</v>
      </c>
      <c r="K774">
        <v>18</v>
      </c>
      <c r="L774" t="s">
        <v>154</v>
      </c>
      <c r="M774" t="s">
        <v>614</v>
      </c>
      <c r="N774" t="s">
        <v>114</v>
      </c>
      <c r="P774">
        <v>137</v>
      </c>
      <c r="Q774">
        <v>6439</v>
      </c>
      <c r="R774" t="s">
        <v>157</v>
      </c>
      <c r="S774" t="s">
        <v>158</v>
      </c>
      <c r="U774" t="s">
        <v>178</v>
      </c>
      <c r="V774" t="s">
        <v>118</v>
      </c>
      <c r="W774" t="s">
        <v>611</v>
      </c>
      <c r="AA774">
        <v>2</v>
      </c>
      <c r="AB774" t="s">
        <v>101</v>
      </c>
      <c r="AD774" t="s">
        <v>227</v>
      </c>
      <c r="AE774" t="str">
        <f t="shared" si="12"/>
        <v>Jackson</v>
      </c>
      <c r="AF774">
        <v>1</v>
      </c>
      <c r="AG774">
        <v>0</v>
      </c>
      <c r="AH774">
        <v>0</v>
      </c>
      <c r="AI774">
        <v>1</v>
      </c>
      <c r="AJ774">
        <v>0.5</v>
      </c>
      <c r="AK774" t="s">
        <v>227</v>
      </c>
      <c r="AL774">
        <v>0.5</v>
      </c>
    </row>
    <row r="775" spans="2:38" ht="15" customHeight="1" x14ac:dyDescent="0.2">
      <c r="B775">
        <v>23</v>
      </c>
      <c r="C775">
        <v>5</v>
      </c>
      <c r="D775">
        <v>11</v>
      </c>
      <c r="E775" t="s">
        <v>618</v>
      </c>
      <c r="F775" t="s">
        <v>108</v>
      </c>
      <c r="G775" s="15">
        <v>45584</v>
      </c>
      <c r="H775" t="s">
        <v>109</v>
      </c>
      <c r="I775" t="s">
        <v>585</v>
      </c>
      <c r="J775" t="s">
        <v>219</v>
      </c>
      <c r="K775">
        <v>18</v>
      </c>
      <c r="L775" t="s">
        <v>154</v>
      </c>
      <c r="M775" t="s">
        <v>614</v>
      </c>
      <c r="N775" t="s">
        <v>114</v>
      </c>
      <c r="P775">
        <v>137</v>
      </c>
      <c r="Q775">
        <v>6439</v>
      </c>
      <c r="R775" t="s">
        <v>157</v>
      </c>
      <c r="S775" t="s">
        <v>158</v>
      </c>
      <c r="U775" t="s">
        <v>178</v>
      </c>
      <c r="V775" t="s">
        <v>178</v>
      </c>
      <c r="W775" t="s">
        <v>611</v>
      </c>
      <c r="AA775">
        <v>2</v>
      </c>
      <c r="AB775" t="s">
        <v>100</v>
      </c>
      <c r="AD775" t="s">
        <v>172</v>
      </c>
      <c r="AE775" t="str">
        <f t="shared" si="12"/>
        <v>Connors</v>
      </c>
      <c r="AF775">
        <v>0</v>
      </c>
      <c r="AG775">
        <v>0</v>
      </c>
      <c r="AH775">
        <v>1</v>
      </c>
      <c r="AI775">
        <v>0</v>
      </c>
      <c r="AJ775">
        <v>0</v>
      </c>
      <c r="AK775" t="s">
        <v>172</v>
      </c>
      <c r="AL775">
        <v>0.37288135593220301</v>
      </c>
    </row>
    <row r="776" spans="2:38" ht="15" customHeight="1" x14ac:dyDescent="0.2">
      <c r="B776">
        <v>23</v>
      </c>
      <c r="C776">
        <v>6</v>
      </c>
      <c r="D776">
        <v>11</v>
      </c>
      <c r="E776" t="s">
        <v>619</v>
      </c>
      <c r="F776" t="s">
        <v>108</v>
      </c>
      <c r="G776" s="15">
        <v>45584</v>
      </c>
      <c r="H776" t="s">
        <v>109</v>
      </c>
      <c r="I776" t="s">
        <v>585</v>
      </c>
      <c r="J776" t="s">
        <v>219</v>
      </c>
      <c r="K776">
        <v>18</v>
      </c>
      <c r="L776" t="s">
        <v>154</v>
      </c>
      <c r="M776" t="s">
        <v>614</v>
      </c>
      <c r="N776" t="s">
        <v>114</v>
      </c>
      <c r="P776">
        <v>137</v>
      </c>
      <c r="Q776">
        <v>6439</v>
      </c>
      <c r="R776" t="s">
        <v>157</v>
      </c>
      <c r="S776" t="s">
        <v>158</v>
      </c>
      <c r="U776" t="s">
        <v>178</v>
      </c>
      <c r="V776" t="s">
        <v>272</v>
      </c>
      <c r="W776" t="s">
        <v>611</v>
      </c>
      <c r="AA776">
        <v>2</v>
      </c>
      <c r="AB776" t="s">
        <v>99</v>
      </c>
      <c r="AD776" t="s">
        <v>176</v>
      </c>
      <c r="AE776" t="str">
        <f t="shared" si="12"/>
        <v>Welker</v>
      </c>
      <c r="AF776">
        <v>2</v>
      </c>
      <c r="AG776">
        <v>1</v>
      </c>
      <c r="AH776">
        <v>0</v>
      </c>
      <c r="AI776">
        <v>0</v>
      </c>
      <c r="AJ776">
        <v>1</v>
      </c>
      <c r="AK776" t="s">
        <v>176</v>
      </c>
      <c r="AL776">
        <v>0.59649122807017496</v>
      </c>
    </row>
    <row r="777" spans="2:38" ht="15" customHeight="1" x14ac:dyDescent="0.2">
      <c r="B777">
        <v>24</v>
      </c>
      <c r="C777">
        <v>7</v>
      </c>
      <c r="D777">
        <v>11</v>
      </c>
      <c r="E777" t="s">
        <v>620</v>
      </c>
      <c r="F777" t="s">
        <v>108</v>
      </c>
      <c r="G777" s="15">
        <v>45584</v>
      </c>
      <c r="H777" t="s">
        <v>109</v>
      </c>
      <c r="I777" t="s">
        <v>585</v>
      </c>
      <c r="J777" t="s">
        <v>219</v>
      </c>
      <c r="K777">
        <v>18</v>
      </c>
      <c r="L777" t="s">
        <v>154</v>
      </c>
      <c r="M777" t="s">
        <v>614</v>
      </c>
      <c r="N777" t="s">
        <v>114</v>
      </c>
      <c r="P777">
        <v>137</v>
      </c>
      <c r="Q777">
        <v>6439</v>
      </c>
      <c r="R777" t="s">
        <v>157</v>
      </c>
      <c r="S777" t="s">
        <v>158</v>
      </c>
      <c r="U777" t="s">
        <v>178</v>
      </c>
      <c r="V777" t="s">
        <v>179</v>
      </c>
      <c r="W777" t="s">
        <v>611</v>
      </c>
      <c r="AA777">
        <v>2</v>
      </c>
      <c r="AB777" t="s">
        <v>99</v>
      </c>
      <c r="AD777" t="s">
        <v>135</v>
      </c>
      <c r="AE777" t="str">
        <f t="shared" si="12"/>
        <v>Cole</v>
      </c>
      <c r="AF777">
        <v>2</v>
      </c>
      <c r="AG777">
        <v>1</v>
      </c>
      <c r="AH777">
        <v>0</v>
      </c>
      <c r="AI777">
        <v>0</v>
      </c>
      <c r="AJ777">
        <v>1</v>
      </c>
      <c r="AK777" t="s">
        <v>135</v>
      </c>
    </row>
    <row r="778" spans="2:38" ht="15" customHeight="1" x14ac:dyDescent="0.2">
      <c r="B778">
        <v>24</v>
      </c>
      <c r="C778">
        <v>8</v>
      </c>
      <c r="D778">
        <v>11</v>
      </c>
      <c r="E778" t="s">
        <v>621</v>
      </c>
      <c r="F778" t="s">
        <v>108</v>
      </c>
      <c r="G778" s="15">
        <v>45584</v>
      </c>
      <c r="H778" t="s">
        <v>109</v>
      </c>
      <c r="I778" t="s">
        <v>585</v>
      </c>
      <c r="J778" t="s">
        <v>219</v>
      </c>
      <c r="K778">
        <v>18</v>
      </c>
      <c r="L778" t="s">
        <v>154</v>
      </c>
      <c r="M778" t="s">
        <v>614</v>
      </c>
      <c r="N778" t="s">
        <v>114</v>
      </c>
      <c r="P778">
        <v>137</v>
      </c>
      <c r="Q778">
        <v>6439</v>
      </c>
      <c r="R778" t="s">
        <v>157</v>
      </c>
      <c r="S778" t="s">
        <v>158</v>
      </c>
      <c r="U778" t="s">
        <v>178</v>
      </c>
      <c r="V778" t="s">
        <v>133</v>
      </c>
      <c r="W778" t="s">
        <v>611</v>
      </c>
      <c r="AA778">
        <v>2</v>
      </c>
      <c r="AB778" t="s">
        <v>100</v>
      </c>
      <c r="AD778" t="s">
        <v>452</v>
      </c>
      <c r="AE778" t="str">
        <f t="shared" si="12"/>
        <v>Mangold</v>
      </c>
      <c r="AF778">
        <v>0</v>
      </c>
      <c r="AG778">
        <v>0</v>
      </c>
      <c r="AH778">
        <v>1</v>
      </c>
      <c r="AI778">
        <v>0</v>
      </c>
      <c r="AJ778">
        <v>0</v>
      </c>
      <c r="AK778" t="s">
        <v>452</v>
      </c>
      <c r="AL778">
        <v>0.65909090909090895</v>
      </c>
    </row>
    <row r="779" spans="2:38" ht="15" customHeight="1" x14ac:dyDescent="0.2">
      <c r="B779">
        <v>25</v>
      </c>
      <c r="C779">
        <v>9</v>
      </c>
      <c r="D779">
        <v>11</v>
      </c>
      <c r="E779" t="s">
        <v>622</v>
      </c>
      <c r="F779" t="s">
        <v>108</v>
      </c>
      <c r="G779" s="15">
        <v>45584</v>
      </c>
      <c r="H779" t="s">
        <v>109</v>
      </c>
      <c r="I779" t="s">
        <v>585</v>
      </c>
      <c r="J779" t="s">
        <v>219</v>
      </c>
      <c r="K779">
        <v>18</v>
      </c>
      <c r="L779" t="s">
        <v>154</v>
      </c>
      <c r="M779" t="s">
        <v>614</v>
      </c>
      <c r="N779" t="s">
        <v>114</v>
      </c>
      <c r="P779">
        <v>137</v>
      </c>
      <c r="Q779">
        <v>6439</v>
      </c>
      <c r="R779" t="s">
        <v>157</v>
      </c>
      <c r="S779" t="s">
        <v>158</v>
      </c>
      <c r="U779" t="s">
        <v>178</v>
      </c>
      <c r="V779" t="s">
        <v>132</v>
      </c>
      <c r="W779" t="s">
        <v>611</v>
      </c>
      <c r="AA779">
        <v>2</v>
      </c>
      <c r="AB779" t="s">
        <v>100</v>
      </c>
      <c r="AD779" t="s">
        <v>230</v>
      </c>
      <c r="AE779" t="str">
        <f t="shared" si="12"/>
        <v>Flanders</v>
      </c>
      <c r="AF779">
        <v>0</v>
      </c>
      <c r="AG779">
        <v>0</v>
      </c>
      <c r="AH779">
        <v>1</v>
      </c>
      <c r="AI779">
        <v>0</v>
      </c>
      <c r="AJ779">
        <v>0</v>
      </c>
      <c r="AK779" t="s">
        <v>230</v>
      </c>
      <c r="AL779">
        <v>0.52777777777777801</v>
      </c>
    </row>
    <row r="780" spans="2:38" ht="15" customHeight="1" x14ac:dyDescent="0.2">
      <c r="B780">
        <v>25</v>
      </c>
      <c r="C780">
        <v>10</v>
      </c>
      <c r="D780">
        <v>11</v>
      </c>
      <c r="E780" t="s">
        <v>623</v>
      </c>
      <c r="F780" t="s">
        <v>108</v>
      </c>
      <c r="G780" s="15">
        <v>45584</v>
      </c>
      <c r="H780" t="s">
        <v>109</v>
      </c>
      <c r="I780" t="s">
        <v>585</v>
      </c>
      <c r="J780" t="s">
        <v>219</v>
      </c>
      <c r="K780">
        <v>18</v>
      </c>
      <c r="L780" t="s">
        <v>154</v>
      </c>
      <c r="M780" t="s">
        <v>614</v>
      </c>
      <c r="N780" t="s">
        <v>114</v>
      </c>
      <c r="P780">
        <v>137</v>
      </c>
      <c r="Q780">
        <v>6439</v>
      </c>
      <c r="R780" t="s">
        <v>157</v>
      </c>
      <c r="S780" t="s">
        <v>158</v>
      </c>
      <c r="U780" t="s">
        <v>178</v>
      </c>
      <c r="V780" t="s">
        <v>321</v>
      </c>
      <c r="W780" t="s">
        <v>611</v>
      </c>
      <c r="AA780">
        <v>2</v>
      </c>
      <c r="AB780" t="s">
        <v>100</v>
      </c>
      <c r="AD780" t="s">
        <v>1308</v>
      </c>
      <c r="AE780" t="str">
        <f t="shared" si="12"/>
        <v>Delaney</v>
      </c>
      <c r="AF780">
        <v>0</v>
      </c>
      <c r="AG780">
        <v>0</v>
      </c>
      <c r="AH780">
        <v>1</v>
      </c>
      <c r="AI780">
        <v>0</v>
      </c>
      <c r="AJ780">
        <v>0</v>
      </c>
      <c r="AK780" t="s">
        <v>1308</v>
      </c>
      <c r="AL780">
        <v>0.59375</v>
      </c>
    </row>
    <row r="781" spans="2:38" ht="15" customHeight="1" x14ac:dyDescent="0.2">
      <c r="B781">
        <v>26</v>
      </c>
      <c r="C781">
        <v>1</v>
      </c>
      <c r="D781">
        <v>11</v>
      </c>
      <c r="E781" t="s">
        <v>613</v>
      </c>
      <c r="F781" t="s">
        <v>108</v>
      </c>
      <c r="G781" s="15">
        <v>45584</v>
      </c>
      <c r="H781" t="s">
        <v>109</v>
      </c>
      <c r="I781" t="s">
        <v>585</v>
      </c>
      <c r="J781" t="s">
        <v>219</v>
      </c>
      <c r="K781">
        <v>18</v>
      </c>
      <c r="L781" t="s">
        <v>154</v>
      </c>
      <c r="M781" t="s">
        <v>614</v>
      </c>
      <c r="N781" t="s">
        <v>114</v>
      </c>
      <c r="P781">
        <v>137</v>
      </c>
      <c r="Q781">
        <v>6439</v>
      </c>
      <c r="R781" t="s">
        <v>157</v>
      </c>
      <c r="S781" t="s">
        <v>158</v>
      </c>
      <c r="U781" t="s">
        <v>452</v>
      </c>
      <c r="V781" t="s">
        <v>130</v>
      </c>
      <c r="W781" t="s">
        <v>612</v>
      </c>
      <c r="AA781">
        <v>2</v>
      </c>
      <c r="AB781" t="s">
        <v>99</v>
      </c>
      <c r="AD781" t="s">
        <v>123</v>
      </c>
      <c r="AE781" t="str">
        <f t="shared" si="12"/>
        <v>Poirier</v>
      </c>
      <c r="AF781">
        <v>2</v>
      </c>
      <c r="AG781">
        <v>1</v>
      </c>
      <c r="AH781">
        <v>0</v>
      </c>
      <c r="AI781">
        <v>0</v>
      </c>
      <c r="AJ781">
        <v>1</v>
      </c>
      <c r="AK781" t="s">
        <v>123</v>
      </c>
      <c r="AL781">
        <v>0.5546875</v>
      </c>
    </row>
    <row r="782" spans="2:38" ht="15" customHeight="1" x14ac:dyDescent="0.2">
      <c r="B782">
        <v>26</v>
      </c>
      <c r="C782">
        <v>2</v>
      </c>
      <c r="D782">
        <v>11</v>
      </c>
      <c r="E782" t="s">
        <v>615</v>
      </c>
      <c r="F782" t="s">
        <v>108</v>
      </c>
      <c r="G782" s="15">
        <v>45584</v>
      </c>
      <c r="H782" t="s">
        <v>109</v>
      </c>
      <c r="I782" t="s">
        <v>585</v>
      </c>
      <c r="J782" t="s">
        <v>219</v>
      </c>
      <c r="K782">
        <v>18</v>
      </c>
      <c r="L782" t="s">
        <v>154</v>
      </c>
      <c r="M782" t="s">
        <v>614</v>
      </c>
      <c r="N782" t="s">
        <v>114</v>
      </c>
      <c r="P782">
        <v>137</v>
      </c>
      <c r="Q782">
        <v>6439</v>
      </c>
      <c r="R782" t="s">
        <v>157</v>
      </c>
      <c r="S782" t="s">
        <v>158</v>
      </c>
      <c r="U782" t="s">
        <v>452</v>
      </c>
      <c r="V782" t="s">
        <v>226</v>
      </c>
      <c r="W782" t="s">
        <v>612</v>
      </c>
      <c r="AA782">
        <v>2</v>
      </c>
      <c r="AB782" t="s">
        <v>100</v>
      </c>
      <c r="AD782" t="s">
        <v>122</v>
      </c>
      <c r="AE782" t="str">
        <f t="shared" si="12"/>
        <v>Gray</v>
      </c>
      <c r="AF782">
        <v>0</v>
      </c>
      <c r="AG782">
        <v>0</v>
      </c>
      <c r="AH782">
        <v>1</v>
      </c>
      <c r="AI782">
        <v>0</v>
      </c>
      <c r="AJ782">
        <v>0</v>
      </c>
      <c r="AK782" t="s">
        <v>122</v>
      </c>
      <c r="AL782">
        <v>0.47321428571428598</v>
      </c>
    </row>
    <row r="783" spans="2:38" ht="15" customHeight="1" x14ac:dyDescent="0.2">
      <c r="B783">
        <v>27</v>
      </c>
      <c r="C783">
        <v>3</v>
      </c>
      <c r="D783">
        <v>11</v>
      </c>
      <c r="E783" t="s">
        <v>616</v>
      </c>
      <c r="F783" t="s">
        <v>108</v>
      </c>
      <c r="G783" s="15">
        <v>45584</v>
      </c>
      <c r="H783" t="s">
        <v>109</v>
      </c>
      <c r="I783" t="s">
        <v>585</v>
      </c>
      <c r="J783" t="s">
        <v>219</v>
      </c>
      <c r="K783">
        <v>18</v>
      </c>
      <c r="L783" t="s">
        <v>154</v>
      </c>
      <c r="M783" t="s">
        <v>614</v>
      </c>
      <c r="N783" t="s">
        <v>114</v>
      </c>
      <c r="P783">
        <v>137</v>
      </c>
      <c r="Q783">
        <v>6439</v>
      </c>
      <c r="R783" t="s">
        <v>157</v>
      </c>
      <c r="S783" t="s">
        <v>158</v>
      </c>
      <c r="U783" t="s">
        <v>452</v>
      </c>
      <c r="V783" t="s">
        <v>127</v>
      </c>
      <c r="W783" t="s">
        <v>612</v>
      </c>
      <c r="AA783">
        <v>2</v>
      </c>
      <c r="AB783" t="s">
        <v>99</v>
      </c>
      <c r="AD783" t="s">
        <v>119</v>
      </c>
      <c r="AE783" t="str">
        <f t="shared" si="12"/>
        <v>Ferrin</v>
      </c>
      <c r="AF783">
        <v>2</v>
      </c>
      <c r="AG783">
        <v>1</v>
      </c>
      <c r="AH783">
        <v>0</v>
      </c>
      <c r="AI783">
        <v>0</v>
      </c>
      <c r="AJ783">
        <v>1</v>
      </c>
      <c r="AK783" t="s">
        <v>119</v>
      </c>
      <c r="AL783">
        <v>0.546875</v>
      </c>
    </row>
    <row r="784" spans="2:38" ht="15" customHeight="1" x14ac:dyDescent="0.2">
      <c r="B784">
        <v>27</v>
      </c>
      <c r="C784">
        <v>4</v>
      </c>
      <c r="D784">
        <v>11</v>
      </c>
      <c r="E784" t="s">
        <v>617</v>
      </c>
      <c r="F784" t="s">
        <v>108</v>
      </c>
      <c r="G784" s="15">
        <v>45584</v>
      </c>
      <c r="H784" t="s">
        <v>109</v>
      </c>
      <c r="I784" t="s">
        <v>585</v>
      </c>
      <c r="J784" t="s">
        <v>219</v>
      </c>
      <c r="K784">
        <v>18</v>
      </c>
      <c r="L784" t="s">
        <v>154</v>
      </c>
      <c r="M784" t="s">
        <v>614</v>
      </c>
      <c r="N784" t="s">
        <v>114</v>
      </c>
      <c r="P784">
        <v>137</v>
      </c>
      <c r="Q784">
        <v>6439</v>
      </c>
      <c r="R784" t="s">
        <v>157</v>
      </c>
      <c r="S784" t="s">
        <v>158</v>
      </c>
      <c r="U784" t="s">
        <v>452</v>
      </c>
      <c r="V784" t="s">
        <v>227</v>
      </c>
      <c r="W784" t="s">
        <v>612</v>
      </c>
      <c r="AA784">
        <v>2</v>
      </c>
      <c r="AB784" t="s">
        <v>101</v>
      </c>
      <c r="AD784" t="s">
        <v>118</v>
      </c>
      <c r="AE784" t="str">
        <f t="shared" si="12"/>
        <v>Zimmer</v>
      </c>
      <c r="AF784">
        <v>1</v>
      </c>
      <c r="AG784">
        <v>0</v>
      </c>
      <c r="AH784">
        <v>0</v>
      </c>
      <c r="AI784">
        <v>1</v>
      </c>
      <c r="AJ784">
        <v>0.5</v>
      </c>
      <c r="AK784" t="s">
        <v>118</v>
      </c>
      <c r="AL784">
        <v>0.6171875</v>
      </c>
    </row>
    <row r="785" spans="2:39" ht="15" customHeight="1" x14ac:dyDescent="0.2">
      <c r="B785">
        <v>28</v>
      </c>
      <c r="C785">
        <v>5</v>
      </c>
      <c r="D785">
        <v>11</v>
      </c>
      <c r="E785" t="s">
        <v>618</v>
      </c>
      <c r="F785" t="s">
        <v>108</v>
      </c>
      <c r="G785" s="15">
        <v>45584</v>
      </c>
      <c r="H785" t="s">
        <v>109</v>
      </c>
      <c r="I785" t="s">
        <v>585</v>
      </c>
      <c r="J785" t="s">
        <v>219</v>
      </c>
      <c r="K785">
        <v>18</v>
      </c>
      <c r="L785" t="s">
        <v>154</v>
      </c>
      <c r="M785" t="s">
        <v>614</v>
      </c>
      <c r="N785" t="s">
        <v>114</v>
      </c>
      <c r="P785">
        <v>137</v>
      </c>
      <c r="Q785">
        <v>6439</v>
      </c>
      <c r="R785" t="s">
        <v>157</v>
      </c>
      <c r="S785" t="s">
        <v>158</v>
      </c>
      <c r="U785" t="s">
        <v>452</v>
      </c>
      <c r="V785" t="s">
        <v>172</v>
      </c>
      <c r="W785" t="s">
        <v>612</v>
      </c>
      <c r="AA785">
        <v>2</v>
      </c>
      <c r="AB785" t="s">
        <v>99</v>
      </c>
      <c r="AD785" t="s">
        <v>178</v>
      </c>
      <c r="AE785" t="str">
        <f t="shared" si="12"/>
        <v>Fogan</v>
      </c>
      <c r="AF785">
        <v>2</v>
      </c>
      <c r="AG785">
        <v>1</v>
      </c>
      <c r="AH785">
        <v>0</v>
      </c>
      <c r="AI785">
        <v>0</v>
      </c>
      <c r="AJ785">
        <v>1</v>
      </c>
      <c r="AK785" t="s">
        <v>178</v>
      </c>
      <c r="AL785">
        <v>0.34745762711864397</v>
      </c>
    </row>
    <row r="786" spans="2:39" ht="15" customHeight="1" x14ac:dyDescent="0.2">
      <c r="B786">
        <v>28</v>
      </c>
      <c r="C786">
        <v>6</v>
      </c>
      <c r="D786">
        <v>11</v>
      </c>
      <c r="E786" t="s">
        <v>619</v>
      </c>
      <c r="F786" t="s">
        <v>108</v>
      </c>
      <c r="G786" s="15">
        <v>45584</v>
      </c>
      <c r="H786" t="s">
        <v>109</v>
      </c>
      <c r="I786" t="s">
        <v>585</v>
      </c>
      <c r="J786" t="s">
        <v>219</v>
      </c>
      <c r="K786">
        <v>18</v>
      </c>
      <c r="L786" t="s">
        <v>154</v>
      </c>
      <c r="M786" t="s">
        <v>614</v>
      </c>
      <c r="N786" t="s">
        <v>114</v>
      </c>
      <c r="P786">
        <v>137</v>
      </c>
      <c r="Q786">
        <v>6439</v>
      </c>
      <c r="R786" t="s">
        <v>157</v>
      </c>
      <c r="S786" t="s">
        <v>158</v>
      </c>
      <c r="U786" t="s">
        <v>452</v>
      </c>
      <c r="V786" t="s">
        <v>176</v>
      </c>
      <c r="W786" t="s">
        <v>612</v>
      </c>
      <c r="AA786">
        <v>2</v>
      </c>
      <c r="AB786" t="s">
        <v>100</v>
      </c>
      <c r="AD786" t="s">
        <v>272</v>
      </c>
      <c r="AE786" t="str">
        <f t="shared" si="12"/>
        <v>Forster</v>
      </c>
      <c r="AF786">
        <v>0</v>
      </c>
      <c r="AG786">
        <v>0</v>
      </c>
      <c r="AH786">
        <v>1</v>
      </c>
      <c r="AI786">
        <v>0</v>
      </c>
      <c r="AJ786">
        <v>0</v>
      </c>
      <c r="AK786" t="s">
        <v>272</v>
      </c>
      <c r="AL786">
        <v>0.51041666666666696</v>
      </c>
    </row>
    <row r="787" spans="2:39" ht="15" customHeight="1" x14ac:dyDescent="0.2">
      <c r="B787">
        <v>29</v>
      </c>
      <c r="C787">
        <v>7</v>
      </c>
      <c r="D787">
        <v>11</v>
      </c>
      <c r="E787" t="s">
        <v>620</v>
      </c>
      <c r="F787" t="s">
        <v>108</v>
      </c>
      <c r="G787" s="15">
        <v>45584</v>
      </c>
      <c r="H787" t="s">
        <v>109</v>
      </c>
      <c r="I787" t="s">
        <v>585</v>
      </c>
      <c r="J787" t="s">
        <v>219</v>
      </c>
      <c r="K787">
        <v>18</v>
      </c>
      <c r="L787" t="s">
        <v>154</v>
      </c>
      <c r="M787" t="s">
        <v>614</v>
      </c>
      <c r="N787" t="s">
        <v>114</v>
      </c>
      <c r="P787">
        <v>137</v>
      </c>
      <c r="Q787">
        <v>6439</v>
      </c>
      <c r="R787" t="s">
        <v>157</v>
      </c>
      <c r="S787" t="s">
        <v>158</v>
      </c>
      <c r="U787" t="s">
        <v>452</v>
      </c>
      <c r="V787" t="s">
        <v>135</v>
      </c>
      <c r="W787" t="s">
        <v>612</v>
      </c>
      <c r="AA787">
        <v>2</v>
      </c>
      <c r="AB787" t="s">
        <v>100</v>
      </c>
      <c r="AD787" t="s">
        <v>179</v>
      </c>
      <c r="AE787" t="str">
        <f t="shared" si="12"/>
        <v>Shively</v>
      </c>
      <c r="AF787">
        <v>0</v>
      </c>
      <c r="AG787">
        <v>0</v>
      </c>
      <c r="AH787">
        <v>1</v>
      </c>
      <c r="AI787">
        <v>0</v>
      </c>
      <c r="AJ787">
        <v>0</v>
      </c>
      <c r="AK787" t="s">
        <v>179</v>
      </c>
      <c r="AL787">
        <v>0.44067796610169502</v>
      </c>
    </row>
    <row r="788" spans="2:39" ht="15" customHeight="1" x14ac:dyDescent="0.2">
      <c r="B788">
        <v>29</v>
      </c>
      <c r="C788">
        <v>8</v>
      </c>
      <c r="D788">
        <v>11</v>
      </c>
      <c r="E788" t="s">
        <v>621</v>
      </c>
      <c r="F788" t="s">
        <v>108</v>
      </c>
      <c r="G788" s="15">
        <v>45584</v>
      </c>
      <c r="H788" t="s">
        <v>109</v>
      </c>
      <c r="I788" t="s">
        <v>585</v>
      </c>
      <c r="J788" t="s">
        <v>219</v>
      </c>
      <c r="K788">
        <v>18</v>
      </c>
      <c r="L788" t="s">
        <v>154</v>
      </c>
      <c r="M788" t="s">
        <v>614</v>
      </c>
      <c r="N788" t="s">
        <v>114</v>
      </c>
      <c r="P788">
        <v>137</v>
      </c>
      <c r="Q788">
        <v>6439</v>
      </c>
      <c r="R788" t="s">
        <v>157</v>
      </c>
      <c r="S788" t="s">
        <v>158</v>
      </c>
      <c r="U788" t="s">
        <v>452</v>
      </c>
      <c r="V788" t="s">
        <v>452</v>
      </c>
      <c r="W788" t="s">
        <v>612</v>
      </c>
      <c r="AA788">
        <v>2</v>
      </c>
      <c r="AB788" t="s">
        <v>99</v>
      </c>
      <c r="AD788" t="s">
        <v>133</v>
      </c>
      <c r="AE788" t="str">
        <f t="shared" si="12"/>
        <v>Delneky</v>
      </c>
      <c r="AF788">
        <v>2</v>
      </c>
      <c r="AG788">
        <v>1</v>
      </c>
      <c r="AH788">
        <v>0</v>
      </c>
      <c r="AI788">
        <v>0</v>
      </c>
      <c r="AJ788">
        <v>1</v>
      </c>
      <c r="AK788" t="s">
        <v>133</v>
      </c>
      <c r="AL788">
        <v>0.38392857142857201</v>
      </c>
    </row>
    <row r="789" spans="2:39" ht="15" customHeight="1" x14ac:dyDescent="0.2">
      <c r="B789">
        <v>30</v>
      </c>
      <c r="C789">
        <v>9</v>
      </c>
      <c r="D789">
        <v>11</v>
      </c>
      <c r="E789" t="s">
        <v>622</v>
      </c>
      <c r="F789" t="s">
        <v>108</v>
      </c>
      <c r="G789" s="15">
        <v>45584</v>
      </c>
      <c r="H789" t="s">
        <v>109</v>
      </c>
      <c r="I789" t="s">
        <v>585</v>
      </c>
      <c r="J789" t="s">
        <v>219</v>
      </c>
      <c r="K789">
        <v>18</v>
      </c>
      <c r="L789" t="s">
        <v>154</v>
      </c>
      <c r="M789" t="s">
        <v>614</v>
      </c>
      <c r="N789" t="s">
        <v>114</v>
      </c>
      <c r="P789">
        <v>137</v>
      </c>
      <c r="Q789">
        <v>6439</v>
      </c>
      <c r="R789" t="s">
        <v>157</v>
      </c>
      <c r="S789" t="s">
        <v>158</v>
      </c>
      <c r="U789" t="s">
        <v>452</v>
      </c>
      <c r="V789" t="s">
        <v>230</v>
      </c>
      <c r="W789" t="s">
        <v>612</v>
      </c>
      <c r="AA789">
        <v>2</v>
      </c>
      <c r="AB789" t="s">
        <v>99</v>
      </c>
      <c r="AD789" t="s">
        <v>132</v>
      </c>
      <c r="AE789" t="str">
        <f t="shared" si="12"/>
        <v>Norat</v>
      </c>
      <c r="AF789">
        <v>2</v>
      </c>
      <c r="AG789">
        <v>1</v>
      </c>
      <c r="AH789">
        <v>0</v>
      </c>
      <c r="AI789">
        <v>0</v>
      </c>
      <c r="AJ789">
        <v>1</v>
      </c>
      <c r="AK789" t="s">
        <v>132</v>
      </c>
      <c r="AL789">
        <v>0.4296875</v>
      </c>
    </row>
    <row r="790" spans="2:39" ht="15" customHeight="1" x14ac:dyDescent="0.2">
      <c r="B790">
        <v>30</v>
      </c>
      <c r="C790">
        <v>10</v>
      </c>
      <c r="D790">
        <v>11</v>
      </c>
      <c r="E790" t="s">
        <v>623</v>
      </c>
      <c r="F790" t="s">
        <v>108</v>
      </c>
      <c r="G790" s="15">
        <v>45584</v>
      </c>
      <c r="H790" t="s">
        <v>109</v>
      </c>
      <c r="I790" t="s">
        <v>585</v>
      </c>
      <c r="J790" t="s">
        <v>219</v>
      </c>
      <c r="K790">
        <v>18</v>
      </c>
      <c r="L790" t="s">
        <v>154</v>
      </c>
      <c r="M790" t="s">
        <v>614</v>
      </c>
      <c r="N790" t="s">
        <v>114</v>
      </c>
      <c r="P790">
        <v>137</v>
      </c>
      <c r="Q790">
        <v>6439</v>
      </c>
      <c r="R790" t="s">
        <v>157</v>
      </c>
      <c r="S790" t="s">
        <v>158</v>
      </c>
      <c r="U790" t="s">
        <v>452</v>
      </c>
      <c r="V790" t="s">
        <v>1308</v>
      </c>
      <c r="W790" t="s">
        <v>612</v>
      </c>
      <c r="AA790">
        <v>2</v>
      </c>
      <c r="AB790" t="s">
        <v>99</v>
      </c>
      <c r="AD790" t="s">
        <v>321</v>
      </c>
      <c r="AE790" t="str">
        <f t="shared" si="12"/>
        <v>Connolly</v>
      </c>
      <c r="AF790">
        <v>2</v>
      </c>
      <c r="AG790">
        <v>1</v>
      </c>
      <c r="AH790">
        <v>0</v>
      </c>
      <c r="AI790">
        <v>0</v>
      </c>
      <c r="AJ790">
        <v>1</v>
      </c>
      <c r="AK790" t="s">
        <v>321</v>
      </c>
      <c r="AL790">
        <v>0.46551724137931</v>
      </c>
    </row>
    <row r="791" spans="2:39" ht="15" customHeight="1" x14ac:dyDescent="0.2">
      <c r="B791">
        <v>1</v>
      </c>
      <c r="D791">
        <v>12</v>
      </c>
      <c r="E791" t="s">
        <v>624</v>
      </c>
      <c r="F791" t="s">
        <v>400</v>
      </c>
      <c r="G791" s="15">
        <v>45876</v>
      </c>
      <c r="H791" t="s">
        <v>144</v>
      </c>
      <c r="I791" t="s">
        <v>625</v>
      </c>
      <c r="J791" t="s">
        <v>534</v>
      </c>
      <c r="K791">
        <v>9</v>
      </c>
      <c r="L791" t="s">
        <v>112</v>
      </c>
      <c r="M791" t="s">
        <v>626</v>
      </c>
      <c r="N791" t="s">
        <v>114</v>
      </c>
      <c r="P791">
        <v>128</v>
      </c>
      <c r="Q791">
        <v>6678</v>
      </c>
      <c r="R791" t="s">
        <v>115</v>
      </c>
      <c r="S791" t="s">
        <v>116</v>
      </c>
      <c r="T791" t="s">
        <v>407</v>
      </c>
      <c r="U791" t="s">
        <v>1308</v>
      </c>
      <c r="V791" t="s">
        <v>227</v>
      </c>
      <c r="Y791" t="s">
        <v>1285</v>
      </c>
      <c r="AA791">
        <v>1</v>
      </c>
      <c r="AB791" t="s">
        <v>100</v>
      </c>
      <c r="AC791" t="s">
        <v>627</v>
      </c>
      <c r="AE791" t="str">
        <f t="shared" si="12"/>
        <v>ZimmerDeOteris</v>
      </c>
      <c r="AF791">
        <v>0</v>
      </c>
      <c r="AG791">
        <v>0</v>
      </c>
      <c r="AH791">
        <v>1</v>
      </c>
      <c r="AI791">
        <v>0</v>
      </c>
      <c r="AK791" t="s">
        <v>130</v>
      </c>
      <c r="AM791" t="s">
        <v>119</v>
      </c>
    </row>
    <row r="792" spans="2:39" ht="15" customHeight="1" x14ac:dyDescent="0.2">
      <c r="B792">
        <v>2</v>
      </c>
      <c r="D792">
        <v>12</v>
      </c>
      <c r="E792" t="s">
        <v>628</v>
      </c>
      <c r="F792" t="s">
        <v>400</v>
      </c>
      <c r="G792" s="15">
        <v>45876</v>
      </c>
      <c r="H792" t="s">
        <v>144</v>
      </c>
      <c r="I792" t="s">
        <v>625</v>
      </c>
      <c r="J792" t="s">
        <v>534</v>
      </c>
      <c r="K792">
        <v>9</v>
      </c>
      <c r="L792" t="s">
        <v>112</v>
      </c>
      <c r="M792" t="s">
        <v>626</v>
      </c>
      <c r="N792" t="s">
        <v>114</v>
      </c>
      <c r="P792">
        <v>128</v>
      </c>
      <c r="Q792">
        <v>6678</v>
      </c>
      <c r="R792" t="s">
        <v>115</v>
      </c>
      <c r="S792" t="s">
        <v>116</v>
      </c>
      <c r="T792" t="s">
        <v>407</v>
      </c>
      <c r="U792" t="s">
        <v>1308</v>
      </c>
      <c r="V792" t="s">
        <v>321</v>
      </c>
      <c r="Y792" t="s">
        <v>457</v>
      </c>
      <c r="AA792">
        <v>1</v>
      </c>
      <c r="AB792" t="s">
        <v>100</v>
      </c>
      <c r="AE792" t="str">
        <f t="shared" si="12"/>
        <v>DelaneyPiegari</v>
      </c>
      <c r="AF792">
        <v>0</v>
      </c>
      <c r="AG792">
        <v>0</v>
      </c>
      <c r="AH792">
        <v>1</v>
      </c>
      <c r="AI792">
        <v>0</v>
      </c>
      <c r="AK792" t="s">
        <v>133</v>
      </c>
      <c r="AM792" t="s">
        <v>123</v>
      </c>
    </row>
    <row r="793" spans="2:39" ht="15" customHeight="1" x14ac:dyDescent="0.2">
      <c r="B793">
        <v>3</v>
      </c>
      <c r="D793">
        <v>12</v>
      </c>
      <c r="E793" t="s">
        <v>629</v>
      </c>
      <c r="F793" t="s">
        <v>400</v>
      </c>
      <c r="G793" s="15">
        <v>45876</v>
      </c>
      <c r="H793" t="s">
        <v>144</v>
      </c>
      <c r="I793" t="s">
        <v>625</v>
      </c>
      <c r="J793" t="s">
        <v>534</v>
      </c>
      <c r="K793">
        <v>9</v>
      </c>
      <c r="L793" t="s">
        <v>112</v>
      </c>
      <c r="M793" t="s">
        <v>626</v>
      </c>
      <c r="N793" t="s">
        <v>114</v>
      </c>
      <c r="P793">
        <v>128</v>
      </c>
      <c r="Q793">
        <v>6678</v>
      </c>
      <c r="R793" t="s">
        <v>115</v>
      </c>
      <c r="S793" t="s">
        <v>116</v>
      </c>
      <c r="T793" t="s">
        <v>407</v>
      </c>
      <c r="U793" t="s">
        <v>1308</v>
      </c>
      <c r="V793" t="s">
        <v>1308</v>
      </c>
      <c r="Y793" t="s">
        <v>541</v>
      </c>
      <c r="AA793">
        <v>1</v>
      </c>
      <c r="AB793" t="s">
        <v>99</v>
      </c>
      <c r="AC793" t="s">
        <v>222</v>
      </c>
      <c r="AE793" t="str">
        <f t="shared" si="12"/>
        <v>ConnollyR. Connolly</v>
      </c>
      <c r="AF793">
        <v>1</v>
      </c>
      <c r="AG793">
        <v>1</v>
      </c>
      <c r="AH793">
        <v>0</v>
      </c>
      <c r="AI793">
        <v>0</v>
      </c>
      <c r="AK793" t="s">
        <v>456</v>
      </c>
      <c r="AM793" t="s">
        <v>135</v>
      </c>
    </row>
    <row r="794" spans="2:39" ht="15" customHeight="1" x14ac:dyDescent="0.2">
      <c r="B794">
        <v>4</v>
      </c>
      <c r="D794">
        <v>12</v>
      </c>
      <c r="E794" t="s">
        <v>630</v>
      </c>
      <c r="F794" t="s">
        <v>400</v>
      </c>
      <c r="G794" s="15">
        <v>45876</v>
      </c>
      <c r="H794" t="s">
        <v>144</v>
      </c>
      <c r="I794" t="s">
        <v>625</v>
      </c>
      <c r="J794" t="s">
        <v>534</v>
      </c>
      <c r="K794">
        <v>9</v>
      </c>
      <c r="L794" t="s">
        <v>112</v>
      </c>
      <c r="M794" t="s">
        <v>626</v>
      </c>
      <c r="N794" t="s">
        <v>114</v>
      </c>
      <c r="P794">
        <v>128</v>
      </c>
      <c r="Q794">
        <v>6678</v>
      </c>
      <c r="R794" t="s">
        <v>115</v>
      </c>
      <c r="S794" t="s">
        <v>116</v>
      </c>
      <c r="T794" t="s">
        <v>407</v>
      </c>
      <c r="U794" t="s">
        <v>1308</v>
      </c>
      <c r="V794" t="s">
        <v>127</v>
      </c>
      <c r="Y794" t="s">
        <v>172</v>
      </c>
      <c r="AA794">
        <v>1</v>
      </c>
      <c r="AB794" t="s">
        <v>99</v>
      </c>
      <c r="AC794" t="s">
        <v>631</v>
      </c>
      <c r="AE794" t="str">
        <f t="shared" si="12"/>
        <v>FerrinFogan</v>
      </c>
      <c r="AF794">
        <v>1</v>
      </c>
      <c r="AG794">
        <v>1</v>
      </c>
      <c r="AH794">
        <v>0</v>
      </c>
      <c r="AI794">
        <v>0</v>
      </c>
      <c r="AK794" t="s">
        <v>176</v>
      </c>
      <c r="AM794" t="s">
        <v>632</v>
      </c>
    </row>
    <row r="795" spans="2:39" ht="15" customHeight="1" x14ac:dyDescent="0.2">
      <c r="B795">
        <v>5</v>
      </c>
      <c r="D795">
        <v>12</v>
      </c>
      <c r="E795" t="s">
        <v>633</v>
      </c>
      <c r="F795" t="s">
        <v>400</v>
      </c>
      <c r="G795" s="15">
        <v>45876</v>
      </c>
      <c r="H795" t="s">
        <v>144</v>
      </c>
      <c r="I795" t="s">
        <v>625</v>
      </c>
      <c r="J795" t="s">
        <v>534</v>
      </c>
      <c r="K795">
        <v>9</v>
      </c>
      <c r="L795" t="s">
        <v>112</v>
      </c>
      <c r="M795" t="s">
        <v>626</v>
      </c>
      <c r="N795" t="s">
        <v>114</v>
      </c>
      <c r="P795">
        <v>128</v>
      </c>
      <c r="Q795">
        <v>6678</v>
      </c>
      <c r="R795" t="s">
        <v>115</v>
      </c>
      <c r="S795" t="s">
        <v>116</v>
      </c>
      <c r="T795" t="s">
        <v>407</v>
      </c>
      <c r="U795" t="s">
        <v>1308</v>
      </c>
      <c r="V795" t="s">
        <v>118</v>
      </c>
      <c r="Y795" t="s">
        <v>452</v>
      </c>
      <c r="AA795">
        <v>1</v>
      </c>
      <c r="AB795" t="s">
        <v>100</v>
      </c>
      <c r="AC795" t="s">
        <v>225</v>
      </c>
      <c r="AE795" t="str">
        <f t="shared" si="12"/>
        <v>JacksonDelneky</v>
      </c>
      <c r="AF795">
        <v>0</v>
      </c>
      <c r="AG795">
        <v>0</v>
      </c>
      <c r="AH795">
        <v>1</v>
      </c>
      <c r="AI795">
        <v>0</v>
      </c>
      <c r="AK795" t="s">
        <v>122</v>
      </c>
      <c r="AM795" t="s">
        <v>132</v>
      </c>
    </row>
    <row r="796" spans="2:39" ht="15" customHeight="1" x14ac:dyDescent="0.2">
      <c r="B796">
        <v>6</v>
      </c>
      <c r="D796">
        <v>12</v>
      </c>
      <c r="E796" t="s">
        <v>634</v>
      </c>
      <c r="F796" t="s">
        <v>400</v>
      </c>
      <c r="G796" s="15">
        <v>45876</v>
      </c>
      <c r="H796" t="s">
        <v>144</v>
      </c>
      <c r="I796" t="s">
        <v>625</v>
      </c>
      <c r="J796" t="s">
        <v>534</v>
      </c>
      <c r="K796">
        <v>9</v>
      </c>
      <c r="L796" t="s">
        <v>137</v>
      </c>
      <c r="M796" t="s">
        <v>626</v>
      </c>
      <c r="N796" t="s">
        <v>114</v>
      </c>
      <c r="P796">
        <v>128</v>
      </c>
      <c r="Q796">
        <v>6678</v>
      </c>
      <c r="R796" t="s">
        <v>368</v>
      </c>
      <c r="S796" t="s">
        <v>116</v>
      </c>
      <c r="T796" t="s">
        <v>407</v>
      </c>
      <c r="U796" t="s">
        <v>1308</v>
      </c>
      <c r="V796" t="s">
        <v>227</v>
      </c>
      <c r="Y796" t="s">
        <v>1285</v>
      </c>
      <c r="AA796">
        <v>1</v>
      </c>
      <c r="AB796" t="s">
        <v>101</v>
      </c>
      <c r="AC796" t="s">
        <v>139</v>
      </c>
      <c r="AE796" t="str">
        <f t="shared" si="12"/>
        <v>ZimmerDeOteris</v>
      </c>
      <c r="AF796">
        <v>0.5</v>
      </c>
      <c r="AG796">
        <v>0</v>
      </c>
      <c r="AH796">
        <v>0</v>
      </c>
      <c r="AI796">
        <v>1</v>
      </c>
      <c r="AK796" t="s">
        <v>130</v>
      </c>
      <c r="AM796" t="s">
        <v>119</v>
      </c>
    </row>
    <row r="797" spans="2:39" ht="15" customHeight="1" x14ac:dyDescent="0.2">
      <c r="B797">
        <v>7</v>
      </c>
      <c r="D797">
        <v>12</v>
      </c>
      <c r="E797" t="s">
        <v>635</v>
      </c>
      <c r="F797" t="s">
        <v>400</v>
      </c>
      <c r="G797" s="15">
        <v>45876</v>
      </c>
      <c r="H797" t="s">
        <v>144</v>
      </c>
      <c r="I797" t="s">
        <v>625</v>
      </c>
      <c r="J797" t="s">
        <v>534</v>
      </c>
      <c r="K797">
        <v>9</v>
      </c>
      <c r="L797" t="s">
        <v>137</v>
      </c>
      <c r="M797" t="s">
        <v>626</v>
      </c>
      <c r="N797" t="s">
        <v>114</v>
      </c>
      <c r="P797">
        <v>128</v>
      </c>
      <c r="Q797">
        <v>6678</v>
      </c>
      <c r="R797" t="s">
        <v>368</v>
      </c>
      <c r="S797" t="s">
        <v>116</v>
      </c>
      <c r="T797" t="s">
        <v>407</v>
      </c>
      <c r="U797" t="s">
        <v>1308</v>
      </c>
      <c r="V797" t="s">
        <v>321</v>
      </c>
      <c r="Y797" t="s">
        <v>457</v>
      </c>
      <c r="AA797">
        <v>1</v>
      </c>
      <c r="AB797" t="s">
        <v>101</v>
      </c>
      <c r="AC797" t="s">
        <v>139</v>
      </c>
      <c r="AE797" t="str">
        <f t="shared" si="12"/>
        <v>DelaneyPiegari</v>
      </c>
      <c r="AF797">
        <v>0.5</v>
      </c>
      <c r="AG797">
        <v>0</v>
      </c>
      <c r="AH797">
        <v>0</v>
      </c>
      <c r="AI797">
        <v>1</v>
      </c>
      <c r="AK797" t="s">
        <v>133</v>
      </c>
      <c r="AM797" t="s">
        <v>123</v>
      </c>
    </row>
    <row r="798" spans="2:39" ht="15" customHeight="1" x14ac:dyDescent="0.2">
      <c r="B798">
        <v>8</v>
      </c>
      <c r="D798">
        <v>12</v>
      </c>
      <c r="E798" t="s">
        <v>636</v>
      </c>
      <c r="F798" t="s">
        <v>400</v>
      </c>
      <c r="G798" s="15">
        <v>45876</v>
      </c>
      <c r="H798" t="s">
        <v>144</v>
      </c>
      <c r="I798" t="s">
        <v>625</v>
      </c>
      <c r="J798" t="s">
        <v>534</v>
      </c>
      <c r="K798">
        <v>9</v>
      </c>
      <c r="L798" t="s">
        <v>137</v>
      </c>
      <c r="M798" t="s">
        <v>626</v>
      </c>
      <c r="N798" t="s">
        <v>114</v>
      </c>
      <c r="P798">
        <v>128</v>
      </c>
      <c r="Q798">
        <v>6678</v>
      </c>
      <c r="R798" t="s">
        <v>368</v>
      </c>
      <c r="S798" t="s">
        <v>116</v>
      </c>
      <c r="T798" t="s">
        <v>407</v>
      </c>
      <c r="U798" t="s">
        <v>1308</v>
      </c>
      <c r="V798" t="s">
        <v>1308</v>
      </c>
      <c r="Y798" t="s">
        <v>541</v>
      </c>
      <c r="AA798">
        <v>1</v>
      </c>
      <c r="AB798" t="s">
        <v>99</v>
      </c>
      <c r="AC798" t="s">
        <v>222</v>
      </c>
      <c r="AE798" t="str">
        <f t="shared" si="12"/>
        <v>ConnollyR. Connolly</v>
      </c>
      <c r="AF798">
        <v>1</v>
      </c>
      <c r="AG798">
        <v>1</v>
      </c>
      <c r="AH798">
        <v>0</v>
      </c>
      <c r="AI798">
        <v>0</v>
      </c>
      <c r="AK798" t="s">
        <v>456</v>
      </c>
      <c r="AM798" t="s">
        <v>135</v>
      </c>
    </row>
    <row r="799" spans="2:39" ht="15" customHeight="1" x14ac:dyDescent="0.2">
      <c r="B799">
        <v>9</v>
      </c>
      <c r="D799">
        <v>12</v>
      </c>
      <c r="E799" t="s">
        <v>637</v>
      </c>
      <c r="F799" t="s">
        <v>400</v>
      </c>
      <c r="G799" s="15">
        <v>45876</v>
      </c>
      <c r="H799" t="s">
        <v>144</v>
      </c>
      <c r="I799" t="s">
        <v>625</v>
      </c>
      <c r="J799" t="s">
        <v>534</v>
      </c>
      <c r="K799">
        <v>9</v>
      </c>
      <c r="L799" t="s">
        <v>137</v>
      </c>
      <c r="M799" t="s">
        <v>626</v>
      </c>
      <c r="N799" t="s">
        <v>114</v>
      </c>
      <c r="P799">
        <v>128</v>
      </c>
      <c r="Q799">
        <v>6678</v>
      </c>
      <c r="R799" t="s">
        <v>368</v>
      </c>
      <c r="S799" t="s">
        <v>116</v>
      </c>
      <c r="T799" t="s">
        <v>407</v>
      </c>
      <c r="U799" t="s">
        <v>1308</v>
      </c>
      <c r="V799" t="s">
        <v>127</v>
      </c>
      <c r="Y799" t="s">
        <v>172</v>
      </c>
      <c r="AA799">
        <v>1</v>
      </c>
      <c r="AB799" t="s">
        <v>99</v>
      </c>
      <c r="AC799" t="s">
        <v>631</v>
      </c>
      <c r="AE799" t="str">
        <f t="shared" si="12"/>
        <v>FerrinFogan</v>
      </c>
      <c r="AF799">
        <v>1</v>
      </c>
      <c r="AG799">
        <v>1</v>
      </c>
      <c r="AH799">
        <v>0</v>
      </c>
      <c r="AI799">
        <v>0</v>
      </c>
      <c r="AK799" t="s">
        <v>176</v>
      </c>
      <c r="AM799" t="s">
        <v>632</v>
      </c>
    </row>
    <row r="800" spans="2:39" ht="15" customHeight="1" x14ac:dyDescent="0.2">
      <c r="B800">
        <v>10</v>
      </c>
      <c r="D800">
        <v>12</v>
      </c>
      <c r="E800" t="s">
        <v>638</v>
      </c>
      <c r="F800" t="s">
        <v>400</v>
      </c>
      <c r="G800" s="15">
        <v>45876</v>
      </c>
      <c r="H800" t="s">
        <v>144</v>
      </c>
      <c r="I800" t="s">
        <v>625</v>
      </c>
      <c r="J800" t="s">
        <v>534</v>
      </c>
      <c r="K800">
        <v>9</v>
      </c>
      <c r="L800" t="s">
        <v>137</v>
      </c>
      <c r="M800" t="s">
        <v>626</v>
      </c>
      <c r="N800" t="s">
        <v>114</v>
      </c>
      <c r="P800">
        <v>128</v>
      </c>
      <c r="Q800">
        <v>6678</v>
      </c>
      <c r="R800" t="s">
        <v>368</v>
      </c>
      <c r="S800" t="s">
        <v>116</v>
      </c>
      <c r="T800" t="s">
        <v>407</v>
      </c>
      <c r="U800" t="s">
        <v>1308</v>
      </c>
      <c r="V800" t="s">
        <v>118</v>
      </c>
      <c r="Y800" t="s">
        <v>452</v>
      </c>
      <c r="AA800">
        <v>1</v>
      </c>
      <c r="AB800" t="s">
        <v>99</v>
      </c>
      <c r="AC800" t="s">
        <v>276</v>
      </c>
      <c r="AE800" t="str">
        <f t="shared" si="12"/>
        <v>JacksonDelneky</v>
      </c>
      <c r="AF800">
        <v>1</v>
      </c>
      <c r="AG800">
        <v>1</v>
      </c>
      <c r="AH800">
        <v>0</v>
      </c>
      <c r="AI800">
        <v>0</v>
      </c>
      <c r="AK800" t="s">
        <v>122</v>
      </c>
      <c r="AM800" t="s">
        <v>132</v>
      </c>
    </row>
    <row r="801" spans="2:39" ht="15" customHeight="1" x14ac:dyDescent="0.2">
      <c r="B801">
        <v>11</v>
      </c>
      <c r="D801">
        <v>12</v>
      </c>
      <c r="E801" t="s">
        <v>639</v>
      </c>
      <c r="F801" t="s">
        <v>268</v>
      </c>
      <c r="G801" s="15">
        <v>45877</v>
      </c>
      <c r="H801" t="s">
        <v>109</v>
      </c>
      <c r="I801" t="s">
        <v>625</v>
      </c>
      <c r="J801" t="s">
        <v>534</v>
      </c>
      <c r="K801">
        <v>9</v>
      </c>
      <c r="L801" t="s">
        <v>112</v>
      </c>
      <c r="M801" t="s">
        <v>640</v>
      </c>
      <c r="N801" t="s">
        <v>156</v>
      </c>
      <c r="P801">
        <v>130</v>
      </c>
      <c r="Q801">
        <v>6290</v>
      </c>
      <c r="R801" t="s">
        <v>145</v>
      </c>
      <c r="S801" t="s">
        <v>116</v>
      </c>
      <c r="T801" t="s">
        <v>407</v>
      </c>
      <c r="U801" t="s">
        <v>1308</v>
      </c>
      <c r="V801" t="s">
        <v>457</v>
      </c>
      <c r="Y801" t="s">
        <v>227</v>
      </c>
      <c r="AA801">
        <v>1</v>
      </c>
      <c r="AB801" t="s">
        <v>100</v>
      </c>
      <c r="AE801" t="str">
        <f t="shared" si="12"/>
        <v>PiegariZimmer</v>
      </c>
      <c r="AF801">
        <v>0</v>
      </c>
      <c r="AG801">
        <v>0</v>
      </c>
      <c r="AH801">
        <v>1</v>
      </c>
      <c r="AI801">
        <v>0</v>
      </c>
      <c r="AK801" t="s">
        <v>456</v>
      </c>
      <c r="AM801" t="s">
        <v>133</v>
      </c>
    </row>
    <row r="802" spans="2:39" ht="15" customHeight="1" x14ac:dyDescent="0.2">
      <c r="B802">
        <v>12</v>
      </c>
      <c r="D802">
        <v>12</v>
      </c>
      <c r="E802" t="s">
        <v>641</v>
      </c>
      <c r="F802" t="s">
        <v>268</v>
      </c>
      <c r="G802" s="15">
        <v>45877</v>
      </c>
      <c r="H802" t="s">
        <v>109</v>
      </c>
      <c r="I802" t="s">
        <v>625</v>
      </c>
      <c r="J802" t="s">
        <v>534</v>
      </c>
      <c r="K802">
        <v>9</v>
      </c>
      <c r="L802" t="s">
        <v>112</v>
      </c>
      <c r="M802" t="s">
        <v>640</v>
      </c>
      <c r="N802" t="s">
        <v>156</v>
      </c>
      <c r="P802">
        <v>130</v>
      </c>
      <c r="Q802">
        <v>6290</v>
      </c>
      <c r="R802" t="s">
        <v>145</v>
      </c>
      <c r="S802" t="s">
        <v>116</v>
      </c>
      <c r="T802" t="s">
        <v>407</v>
      </c>
      <c r="U802" t="s">
        <v>1308</v>
      </c>
      <c r="V802" t="s">
        <v>1285</v>
      </c>
      <c r="Y802" t="s">
        <v>127</v>
      </c>
      <c r="AA802">
        <v>1</v>
      </c>
      <c r="AB802" t="s">
        <v>100</v>
      </c>
      <c r="AE802" t="str">
        <f t="shared" si="12"/>
        <v>DeOterisFerrin</v>
      </c>
      <c r="AF802">
        <v>0</v>
      </c>
      <c r="AG802">
        <v>0</v>
      </c>
      <c r="AH802">
        <v>1</v>
      </c>
      <c r="AI802">
        <v>0</v>
      </c>
      <c r="AK802" t="s">
        <v>132</v>
      </c>
      <c r="AM802" t="s">
        <v>130</v>
      </c>
    </row>
    <row r="803" spans="2:39" ht="15" customHeight="1" x14ac:dyDescent="0.2">
      <c r="B803">
        <v>13</v>
      </c>
      <c r="D803">
        <v>12</v>
      </c>
      <c r="E803" t="s">
        <v>642</v>
      </c>
      <c r="F803" t="s">
        <v>268</v>
      </c>
      <c r="G803" s="15">
        <v>45877</v>
      </c>
      <c r="H803" t="s">
        <v>109</v>
      </c>
      <c r="I803" t="s">
        <v>625</v>
      </c>
      <c r="J803" t="s">
        <v>534</v>
      </c>
      <c r="K803">
        <v>9</v>
      </c>
      <c r="L803" t="s">
        <v>112</v>
      </c>
      <c r="M803" t="s">
        <v>640</v>
      </c>
      <c r="N803" t="s">
        <v>156</v>
      </c>
      <c r="P803">
        <v>130</v>
      </c>
      <c r="Q803">
        <v>6290</v>
      </c>
      <c r="R803" t="s">
        <v>145</v>
      </c>
      <c r="S803" t="s">
        <v>116</v>
      </c>
      <c r="T803" t="s">
        <v>407</v>
      </c>
      <c r="U803" t="s">
        <v>1308</v>
      </c>
      <c r="V803" t="s">
        <v>541</v>
      </c>
      <c r="Y803" t="s">
        <v>452</v>
      </c>
      <c r="AA803">
        <v>1</v>
      </c>
      <c r="AB803" t="s">
        <v>99</v>
      </c>
      <c r="AE803" t="str">
        <f t="shared" si="12"/>
        <v>R. ConnollyDelneky</v>
      </c>
      <c r="AF803">
        <v>1</v>
      </c>
      <c r="AG803">
        <v>1</v>
      </c>
      <c r="AH803">
        <v>0</v>
      </c>
      <c r="AI803">
        <v>0</v>
      </c>
      <c r="AK803" t="s">
        <v>119</v>
      </c>
      <c r="AM803" t="s">
        <v>176</v>
      </c>
    </row>
    <row r="804" spans="2:39" ht="15" customHeight="1" x14ac:dyDescent="0.2">
      <c r="B804">
        <v>14</v>
      </c>
      <c r="D804">
        <v>12</v>
      </c>
      <c r="E804" t="s">
        <v>643</v>
      </c>
      <c r="F804" t="s">
        <v>268</v>
      </c>
      <c r="G804" s="15">
        <v>45877</v>
      </c>
      <c r="H804" t="s">
        <v>109</v>
      </c>
      <c r="I804" t="s">
        <v>625</v>
      </c>
      <c r="J804" t="s">
        <v>534</v>
      </c>
      <c r="K804">
        <v>9</v>
      </c>
      <c r="L804" t="s">
        <v>112</v>
      </c>
      <c r="M804" t="s">
        <v>640</v>
      </c>
      <c r="N804" t="s">
        <v>156</v>
      </c>
      <c r="P804">
        <v>130</v>
      </c>
      <c r="Q804">
        <v>6290</v>
      </c>
      <c r="R804" t="s">
        <v>145</v>
      </c>
      <c r="S804" t="s">
        <v>116</v>
      </c>
      <c r="T804" t="s">
        <v>407</v>
      </c>
      <c r="U804" t="s">
        <v>1308</v>
      </c>
      <c r="V804" t="s">
        <v>172</v>
      </c>
      <c r="Y804" t="s">
        <v>321</v>
      </c>
      <c r="AA804">
        <v>1</v>
      </c>
      <c r="AB804" t="s">
        <v>99</v>
      </c>
      <c r="AE804" t="str">
        <f t="shared" si="12"/>
        <v>FoganDelaney</v>
      </c>
      <c r="AF804">
        <v>1</v>
      </c>
      <c r="AG804">
        <v>1</v>
      </c>
      <c r="AH804">
        <v>0</v>
      </c>
      <c r="AI804">
        <v>0</v>
      </c>
      <c r="AK804" t="s">
        <v>122</v>
      </c>
      <c r="AM804" t="s">
        <v>135</v>
      </c>
    </row>
    <row r="805" spans="2:39" ht="15" customHeight="1" x14ac:dyDescent="0.2">
      <c r="B805">
        <v>15</v>
      </c>
      <c r="D805">
        <v>12</v>
      </c>
      <c r="E805" t="s">
        <v>644</v>
      </c>
      <c r="F805" t="s">
        <v>268</v>
      </c>
      <c r="G805" s="15">
        <v>45877</v>
      </c>
      <c r="H805" t="s">
        <v>109</v>
      </c>
      <c r="I805" t="s">
        <v>625</v>
      </c>
      <c r="J805" t="s">
        <v>534</v>
      </c>
      <c r="K805">
        <v>9</v>
      </c>
      <c r="L805" t="s">
        <v>112</v>
      </c>
      <c r="M805" t="s">
        <v>640</v>
      </c>
      <c r="N805" t="s">
        <v>156</v>
      </c>
      <c r="P805">
        <v>130</v>
      </c>
      <c r="Q805">
        <v>6290</v>
      </c>
      <c r="R805" t="s">
        <v>145</v>
      </c>
      <c r="S805" t="s">
        <v>116</v>
      </c>
      <c r="T805" t="s">
        <v>407</v>
      </c>
      <c r="U805" t="s">
        <v>1308</v>
      </c>
      <c r="V805" t="s">
        <v>118</v>
      </c>
      <c r="Y805" t="s">
        <v>1308</v>
      </c>
      <c r="AA805">
        <v>1</v>
      </c>
      <c r="AB805" t="s">
        <v>99</v>
      </c>
      <c r="AE805" t="str">
        <f t="shared" si="12"/>
        <v>JacksonConnolly</v>
      </c>
      <c r="AF805">
        <v>1</v>
      </c>
      <c r="AG805">
        <v>1</v>
      </c>
      <c r="AH805">
        <v>0</v>
      </c>
      <c r="AI805">
        <v>0</v>
      </c>
      <c r="AK805" t="s">
        <v>123</v>
      </c>
      <c r="AM805" t="s">
        <v>632</v>
      </c>
    </row>
    <row r="806" spans="2:39" ht="15" customHeight="1" x14ac:dyDescent="0.2">
      <c r="B806">
        <v>16</v>
      </c>
      <c r="D806">
        <v>12</v>
      </c>
      <c r="E806" t="s">
        <v>645</v>
      </c>
      <c r="F806" t="s">
        <v>268</v>
      </c>
      <c r="G806" s="15">
        <v>45877</v>
      </c>
      <c r="H806" t="s">
        <v>109</v>
      </c>
      <c r="I806" t="s">
        <v>625</v>
      </c>
      <c r="J806" t="s">
        <v>534</v>
      </c>
      <c r="K806">
        <v>9</v>
      </c>
      <c r="L806" t="s">
        <v>137</v>
      </c>
      <c r="M806" t="s">
        <v>640</v>
      </c>
      <c r="N806" t="s">
        <v>156</v>
      </c>
      <c r="P806">
        <v>130</v>
      </c>
      <c r="Q806">
        <v>6290</v>
      </c>
      <c r="R806" t="s">
        <v>138</v>
      </c>
      <c r="S806" t="s">
        <v>116</v>
      </c>
      <c r="T806" t="s">
        <v>407</v>
      </c>
      <c r="U806" t="s">
        <v>1308</v>
      </c>
      <c r="V806" t="s">
        <v>457</v>
      </c>
      <c r="Y806" t="s">
        <v>227</v>
      </c>
      <c r="AA806">
        <v>1</v>
      </c>
      <c r="AB806" t="s">
        <v>100</v>
      </c>
      <c r="AE806" t="str">
        <f t="shared" si="12"/>
        <v>PiegariZimmer</v>
      </c>
      <c r="AF806">
        <v>0</v>
      </c>
      <c r="AG806">
        <v>0</v>
      </c>
      <c r="AH806">
        <v>1</v>
      </c>
      <c r="AI806">
        <v>0</v>
      </c>
      <c r="AK806" t="s">
        <v>456</v>
      </c>
      <c r="AM806" t="s">
        <v>133</v>
      </c>
    </row>
    <row r="807" spans="2:39" ht="15" customHeight="1" x14ac:dyDescent="0.2">
      <c r="B807">
        <v>17</v>
      </c>
      <c r="D807">
        <v>12</v>
      </c>
      <c r="E807" t="s">
        <v>646</v>
      </c>
      <c r="F807" t="s">
        <v>268</v>
      </c>
      <c r="G807" s="15">
        <v>45877</v>
      </c>
      <c r="H807" t="s">
        <v>109</v>
      </c>
      <c r="I807" t="s">
        <v>625</v>
      </c>
      <c r="J807" t="s">
        <v>534</v>
      </c>
      <c r="K807">
        <v>9</v>
      </c>
      <c r="L807" t="s">
        <v>137</v>
      </c>
      <c r="M807" t="s">
        <v>640</v>
      </c>
      <c r="N807" t="s">
        <v>156</v>
      </c>
      <c r="P807">
        <v>130</v>
      </c>
      <c r="Q807">
        <v>6290</v>
      </c>
      <c r="R807" t="s">
        <v>138</v>
      </c>
      <c r="S807" t="s">
        <v>116</v>
      </c>
      <c r="T807" t="s">
        <v>407</v>
      </c>
      <c r="U807" t="s">
        <v>1308</v>
      </c>
      <c r="V807" t="s">
        <v>1285</v>
      </c>
      <c r="Y807" t="s">
        <v>127</v>
      </c>
      <c r="AA807">
        <v>1</v>
      </c>
      <c r="AB807" t="s">
        <v>101</v>
      </c>
      <c r="AC807" t="s">
        <v>139</v>
      </c>
      <c r="AE807" t="str">
        <f t="shared" si="12"/>
        <v>DeOterisFerrin</v>
      </c>
      <c r="AF807">
        <v>0.5</v>
      </c>
      <c r="AG807">
        <v>0</v>
      </c>
      <c r="AH807">
        <v>0</v>
      </c>
      <c r="AI807">
        <v>1</v>
      </c>
      <c r="AK807" t="s">
        <v>132</v>
      </c>
      <c r="AM807" t="s">
        <v>130</v>
      </c>
    </row>
    <row r="808" spans="2:39" ht="15" customHeight="1" x14ac:dyDescent="0.2">
      <c r="B808">
        <v>18</v>
      </c>
      <c r="D808">
        <v>12</v>
      </c>
      <c r="E808" t="s">
        <v>647</v>
      </c>
      <c r="F808" t="s">
        <v>268</v>
      </c>
      <c r="G808" s="15">
        <v>45877</v>
      </c>
      <c r="H808" t="s">
        <v>109</v>
      </c>
      <c r="I808" t="s">
        <v>625</v>
      </c>
      <c r="J808" t="s">
        <v>534</v>
      </c>
      <c r="K808">
        <v>9</v>
      </c>
      <c r="L808" t="s">
        <v>137</v>
      </c>
      <c r="M808" t="s">
        <v>640</v>
      </c>
      <c r="N808" t="s">
        <v>156</v>
      </c>
      <c r="P808">
        <v>130</v>
      </c>
      <c r="Q808">
        <v>6290</v>
      </c>
      <c r="R808" t="s">
        <v>138</v>
      </c>
      <c r="S808" t="s">
        <v>116</v>
      </c>
      <c r="T808" t="s">
        <v>407</v>
      </c>
      <c r="U808" t="s">
        <v>1308</v>
      </c>
      <c r="V808" t="s">
        <v>541</v>
      </c>
      <c r="Y808" t="s">
        <v>452</v>
      </c>
      <c r="AA808">
        <v>1</v>
      </c>
      <c r="AB808" t="s">
        <v>100</v>
      </c>
      <c r="AE808" t="str">
        <f t="shared" si="12"/>
        <v>R. ConnollyDelneky</v>
      </c>
      <c r="AF808">
        <v>0</v>
      </c>
      <c r="AG808">
        <v>0</v>
      </c>
      <c r="AH808">
        <v>1</v>
      </c>
      <c r="AI808">
        <v>0</v>
      </c>
      <c r="AK808" t="s">
        <v>119</v>
      </c>
      <c r="AM808" t="s">
        <v>176</v>
      </c>
    </row>
    <row r="809" spans="2:39" ht="15" customHeight="1" x14ac:dyDescent="0.2">
      <c r="B809">
        <v>19</v>
      </c>
      <c r="D809">
        <v>12</v>
      </c>
      <c r="E809" t="s">
        <v>648</v>
      </c>
      <c r="F809" t="s">
        <v>268</v>
      </c>
      <c r="G809" s="15">
        <v>45877</v>
      </c>
      <c r="H809" t="s">
        <v>109</v>
      </c>
      <c r="I809" t="s">
        <v>625</v>
      </c>
      <c r="J809" t="s">
        <v>534</v>
      </c>
      <c r="K809">
        <v>9</v>
      </c>
      <c r="L809" t="s">
        <v>137</v>
      </c>
      <c r="M809" t="s">
        <v>640</v>
      </c>
      <c r="N809" t="s">
        <v>156</v>
      </c>
      <c r="P809">
        <v>130</v>
      </c>
      <c r="Q809">
        <v>6290</v>
      </c>
      <c r="R809" t="s">
        <v>138</v>
      </c>
      <c r="S809" t="s">
        <v>116</v>
      </c>
      <c r="T809" t="s">
        <v>407</v>
      </c>
      <c r="U809" t="s">
        <v>1308</v>
      </c>
      <c r="V809" t="s">
        <v>172</v>
      </c>
      <c r="Y809" t="s">
        <v>321</v>
      </c>
      <c r="AA809">
        <v>1</v>
      </c>
      <c r="AB809" t="s">
        <v>101</v>
      </c>
      <c r="AC809" t="s">
        <v>139</v>
      </c>
      <c r="AE809" t="str">
        <f t="shared" si="12"/>
        <v>FoganDelaney</v>
      </c>
      <c r="AF809">
        <v>0.5</v>
      </c>
      <c r="AG809">
        <v>0</v>
      </c>
      <c r="AH809">
        <v>0</v>
      </c>
      <c r="AI809">
        <v>1</v>
      </c>
      <c r="AK809" t="s">
        <v>122</v>
      </c>
      <c r="AM809" t="s">
        <v>135</v>
      </c>
    </row>
    <row r="810" spans="2:39" ht="15" customHeight="1" x14ac:dyDescent="0.2">
      <c r="B810">
        <v>20</v>
      </c>
      <c r="D810">
        <v>12</v>
      </c>
      <c r="E810" t="s">
        <v>649</v>
      </c>
      <c r="F810" t="s">
        <v>268</v>
      </c>
      <c r="G810" s="15">
        <v>45877</v>
      </c>
      <c r="H810" t="s">
        <v>109</v>
      </c>
      <c r="I810" t="s">
        <v>625</v>
      </c>
      <c r="J810" t="s">
        <v>534</v>
      </c>
      <c r="K810">
        <v>9</v>
      </c>
      <c r="L810" t="s">
        <v>137</v>
      </c>
      <c r="M810" t="s">
        <v>640</v>
      </c>
      <c r="N810" t="s">
        <v>156</v>
      </c>
      <c r="P810">
        <v>130</v>
      </c>
      <c r="Q810">
        <v>6290</v>
      </c>
      <c r="R810" t="s">
        <v>138</v>
      </c>
      <c r="S810" t="s">
        <v>116</v>
      </c>
      <c r="T810" t="s">
        <v>407</v>
      </c>
      <c r="U810" t="s">
        <v>1308</v>
      </c>
      <c r="V810" t="s">
        <v>118</v>
      </c>
      <c r="Y810" t="s">
        <v>1308</v>
      </c>
      <c r="AA810">
        <v>1</v>
      </c>
      <c r="AB810" t="s">
        <v>101</v>
      </c>
      <c r="AC810" t="s">
        <v>139</v>
      </c>
      <c r="AE810" t="str">
        <f t="shared" si="12"/>
        <v>JacksonConnolly</v>
      </c>
      <c r="AF810">
        <v>0.5</v>
      </c>
      <c r="AG810">
        <v>0</v>
      </c>
      <c r="AH810">
        <v>0</v>
      </c>
      <c r="AI810">
        <v>1</v>
      </c>
      <c r="AK810" t="s">
        <v>123</v>
      </c>
      <c r="AM810" t="s">
        <v>632</v>
      </c>
    </row>
    <row r="811" spans="2:39" ht="15" customHeight="1" x14ac:dyDescent="0.2">
      <c r="B811">
        <v>26</v>
      </c>
      <c r="D811">
        <v>12</v>
      </c>
      <c r="E811" t="s">
        <v>650</v>
      </c>
      <c r="F811" t="s">
        <v>268</v>
      </c>
      <c r="G811" s="15">
        <v>45877</v>
      </c>
      <c r="H811" t="s">
        <v>144</v>
      </c>
      <c r="I811" t="s">
        <v>625</v>
      </c>
      <c r="J811" t="s">
        <v>534</v>
      </c>
      <c r="K811">
        <v>9</v>
      </c>
      <c r="L811" t="s">
        <v>137</v>
      </c>
      <c r="M811" t="s">
        <v>651</v>
      </c>
      <c r="N811" t="s">
        <v>114</v>
      </c>
      <c r="P811">
        <v>131</v>
      </c>
      <c r="Q811">
        <v>6383</v>
      </c>
      <c r="R811" t="s">
        <v>368</v>
      </c>
      <c r="S811" t="s">
        <v>116</v>
      </c>
      <c r="T811" t="s">
        <v>407</v>
      </c>
      <c r="U811" t="s">
        <v>1308</v>
      </c>
      <c r="V811" t="s">
        <v>452</v>
      </c>
      <c r="Y811" t="s">
        <v>227</v>
      </c>
      <c r="AA811">
        <v>1</v>
      </c>
      <c r="AB811" t="s">
        <v>99</v>
      </c>
      <c r="AE811" t="str">
        <f t="shared" si="12"/>
        <v>DelnekyZimmer</v>
      </c>
      <c r="AF811">
        <v>1</v>
      </c>
      <c r="AG811">
        <v>1</v>
      </c>
      <c r="AH811">
        <v>0</v>
      </c>
      <c r="AI811">
        <v>0</v>
      </c>
      <c r="AK811" t="s">
        <v>122</v>
      </c>
      <c r="AM811" t="s">
        <v>130</v>
      </c>
    </row>
    <row r="812" spans="2:39" ht="15" customHeight="1" x14ac:dyDescent="0.2">
      <c r="B812">
        <v>27</v>
      </c>
      <c r="D812">
        <v>12</v>
      </c>
      <c r="E812" t="s">
        <v>652</v>
      </c>
      <c r="F812" t="s">
        <v>268</v>
      </c>
      <c r="G812" s="15">
        <v>45877</v>
      </c>
      <c r="H812" t="s">
        <v>144</v>
      </c>
      <c r="I812" t="s">
        <v>625</v>
      </c>
      <c r="J812" t="s">
        <v>534</v>
      </c>
      <c r="K812">
        <v>9</v>
      </c>
      <c r="L812" t="s">
        <v>137</v>
      </c>
      <c r="M812" t="s">
        <v>651</v>
      </c>
      <c r="N812" t="s">
        <v>114</v>
      </c>
      <c r="P812">
        <v>131</v>
      </c>
      <c r="Q812">
        <v>6383</v>
      </c>
      <c r="R812" t="s">
        <v>368</v>
      </c>
      <c r="S812" t="s">
        <v>116</v>
      </c>
      <c r="T812" t="s">
        <v>407</v>
      </c>
      <c r="U812" t="s">
        <v>1308</v>
      </c>
      <c r="V812" t="s">
        <v>172</v>
      </c>
      <c r="Y812" t="s">
        <v>457</v>
      </c>
      <c r="AA812">
        <v>1</v>
      </c>
      <c r="AB812" t="s">
        <v>101</v>
      </c>
      <c r="AC812" t="s">
        <v>139</v>
      </c>
      <c r="AE812" t="str">
        <f t="shared" si="12"/>
        <v>FoganPiegari</v>
      </c>
      <c r="AF812">
        <v>0.5</v>
      </c>
      <c r="AG812">
        <v>0</v>
      </c>
      <c r="AH812">
        <v>0</v>
      </c>
      <c r="AI812">
        <v>1</v>
      </c>
      <c r="AK812" t="s">
        <v>119</v>
      </c>
      <c r="AM812" t="s">
        <v>632</v>
      </c>
    </row>
    <row r="813" spans="2:39" ht="15" customHeight="1" x14ac:dyDescent="0.2">
      <c r="B813">
        <v>28</v>
      </c>
      <c r="D813">
        <v>12</v>
      </c>
      <c r="E813" t="s">
        <v>653</v>
      </c>
      <c r="F813" t="s">
        <v>268</v>
      </c>
      <c r="G813" s="15">
        <v>45877</v>
      </c>
      <c r="H813" t="s">
        <v>144</v>
      </c>
      <c r="I813" t="s">
        <v>625</v>
      </c>
      <c r="J813" t="s">
        <v>534</v>
      </c>
      <c r="K813">
        <v>9</v>
      </c>
      <c r="L813" t="s">
        <v>137</v>
      </c>
      <c r="M813" t="s">
        <v>651</v>
      </c>
      <c r="N813" t="s">
        <v>114</v>
      </c>
      <c r="P813">
        <v>131</v>
      </c>
      <c r="Q813">
        <v>6383</v>
      </c>
      <c r="R813" t="s">
        <v>368</v>
      </c>
      <c r="S813" t="s">
        <v>116</v>
      </c>
      <c r="T813" t="s">
        <v>407</v>
      </c>
      <c r="U813" t="s">
        <v>1308</v>
      </c>
      <c r="V813" t="s">
        <v>1308</v>
      </c>
      <c r="Y813" t="s">
        <v>127</v>
      </c>
      <c r="AA813">
        <v>1</v>
      </c>
      <c r="AB813" t="s">
        <v>99</v>
      </c>
      <c r="AC813" t="s">
        <v>239</v>
      </c>
      <c r="AE813" t="str">
        <f t="shared" si="12"/>
        <v>ConnollyFerrin</v>
      </c>
      <c r="AF813">
        <v>1</v>
      </c>
      <c r="AG813">
        <v>1</v>
      </c>
      <c r="AH813">
        <v>0</v>
      </c>
      <c r="AI813">
        <v>0</v>
      </c>
      <c r="AK813" t="s">
        <v>135</v>
      </c>
      <c r="AM813" t="s">
        <v>176</v>
      </c>
    </row>
    <row r="814" spans="2:39" ht="15" customHeight="1" x14ac:dyDescent="0.2">
      <c r="B814">
        <v>29</v>
      </c>
      <c r="D814">
        <v>12</v>
      </c>
      <c r="E814" t="s">
        <v>654</v>
      </c>
      <c r="F814" t="s">
        <v>268</v>
      </c>
      <c r="G814" s="15">
        <v>45877</v>
      </c>
      <c r="H814" t="s">
        <v>144</v>
      </c>
      <c r="I814" t="s">
        <v>625</v>
      </c>
      <c r="J814" t="s">
        <v>534</v>
      </c>
      <c r="K814">
        <v>9</v>
      </c>
      <c r="L814" t="s">
        <v>137</v>
      </c>
      <c r="M814" t="s">
        <v>651</v>
      </c>
      <c r="N814" t="s">
        <v>114</v>
      </c>
      <c r="P814">
        <v>131</v>
      </c>
      <c r="Q814">
        <v>6383</v>
      </c>
      <c r="R814" t="s">
        <v>368</v>
      </c>
      <c r="S814" t="s">
        <v>116</v>
      </c>
      <c r="T814" t="s">
        <v>407</v>
      </c>
      <c r="U814" t="s">
        <v>1308</v>
      </c>
      <c r="V814" t="s">
        <v>1285</v>
      </c>
      <c r="Y814" t="s">
        <v>321</v>
      </c>
      <c r="AA814">
        <v>1</v>
      </c>
      <c r="AB814" t="s">
        <v>100</v>
      </c>
      <c r="AE814" t="str">
        <f t="shared" si="12"/>
        <v>DeOterisDelaney</v>
      </c>
      <c r="AF814">
        <v>0</v>
      </c>
      <c r="AG814">
        <v>0</v>
      </c>
      <c r="AH814">
        <v>1</v>
      </c>
      <c r="AI814">
        <v>0</v>
      </c>
      <c r="AK814" t="s">
        <v>132</v>
      </c>
      <c r="AM814" t="s">
        <v>133</v>
      </c>
    </row>
    <row r="815" spans="2:39" ht="15" customHeight="1" x14ac:dyDescent="0.2">
      <c r="B815">
        <v>30</v>
      </c>
      <c r="D815">
        <v>12</v>
      </c>
      <c r="E815" t="s">
        <v>655</v>
      </c>
      <c r="F815" t="s">
        <v>268</v>
      </c>
      <c r="G815" s="15">
        <v>45877</v>
      </c>
      <c r="H815" t="s">
        <v>144</v>
      </c>
      <c r="I815" t="s">
        <v>625</v>
      </c>
      <c r="J815" t="s">
        <v>534</v>
      </c>
      <c r="K815">
        <v>9</v>
      </c>
      <c r="L815" t="s">
        <v>137</v>
      </c>
      <c r="M815" t="s">
        <v>651</v>
      </c>
      <c r="N815" t="s">
        <v>114</v>
      </c>
      <c r="P815">
        <v>131</v>
      </c>
      <c r="Q815">
        <v>6383</v>
      </c>
      <c r="R815" t="s">
        <v>368</v>
      </c>
      <c r="S815" t="s">
        <v>116</v>
      </c>
      <c r="T815" t="s">
        <v>407</v>
      </c>
      <c r="U815" t="s">
        <v>1308</v>
      </c>
      <c r="V815" t="s">
        <v>541</v>
      </c>
      <c r="Y815" t="s">
        <v>118</v>
      </c>
      <c r="AA815">
        <v>1</v>
      </c>
      <c r="AB815" t="s">
        <v>100</v>
      </c>
      <c r="AC815" t="s">
        <v>225</v>
      </c>
      <c r="AE815" t="str">
        <f t="shared" si="12"/>
        <v>R. ConnollyJackson</v>
      </c>
      <c r="AF815">
        <v>0</v>
      </c>
      <c r="AG815">
        <v>0</v>
      </c>
      <c r="AH815">
        <v>1</v>
      </c>
      <c r="AI815">
        <v>0</v>
      </c>
      <c r="AK815" t="s">
        <v>456</v>
      </c>
      <c r="AM815" t="s">
        <v>123</v>
      </c>
    </row>
    <row r="816" spans="2:39" ht="15" customHeight="1" x14ac:dyDescent="0.2">
      <c r="B816">
        <v>21</v>
      </c>
      <c r="D816">
        <v>12</v>
      </c>
      <c r="E816" t="s">
        <v>656</v>
      </c>
      <c r="F816" t="s">
        <v>268</v>
      </c>
      <c r="G816" s="15">
        <v>45877</v>
      </c>
      <c r="H816" t="s">
        <v>144</v>
      </c>
      <c r="I816" t="s">
        <v>625</v>
      </c>
      <c r="J816" t="s">
        <v>534</v>
      </c>
      <c r="K816">
        <v>9</v>
      </c>
      <c r="L816" t="s">
        <v>112</v>
      </c>
      <c r="M816" t="s">
        <v>651</v>
      </c>
      <c r="N816" t="s">
        <v>114</v>
      </c>
      <c r="P816">
        <v>131</v>
      </c>
      <c r="Q816">
        <v>6383</v>
      </c>
      <c r="R816" t="s">
        <v>115</v>
      </c>
      <c r="S816" t="s">
        <v>116</v>
      </c>
      <c r="T816" t="s">
        <v>407</v>
      </c>
      <c r="U816" t="s">
        <v>1308</v>
      </c>
      <c r="V816" t="s">
        <v>452</v>
      </c>
      <c r="Y816" t="s">
        <v>227</v>
      </c>
      <c r="AA816">
        <v>1</v>
      </c>
      <c r="AB816" t="s">
        <v>100</v>
      </c>
      <c r="AE816" t="str">
        <f t="shared" si="12"/>
        <v>DelnekyZimmer</v>
      </c>
      <c r="AF816">
        <v>0</v>
      </c>
      <c r="AG816">
        <v>0</v>
      </c>
      <c r="AH816">
        <v>1</v>
      </c>
      <c r="AI816">
        <v>0</v>
      </c>
      <c r="AK816" t="s">
        <v>122</v>
      </c>
      <c r="AM816" t="s">
        <v>130</v>
      </c>
    </row>
    <row r="817" spans="2:39" ht="15" customHeight="1" x14ac:dyDescent="0.2">
      <c r="B817">
        <v>22</v>
      </c>
      <c r="D817">
        <v>12</v>
      </c>
      <c r="E817" t="s">
        <v>657</v>
      </c>
      <c r="F817" t="s">
        <v>268</v>
      </c>
      <c r="G817" s="15">
        <v>45877</v>
      </c>
      <c r="H817" t="s">
        <v>144</v>
      </c>
      <c r="I817" t="s">
        <v>625</v>
      </c>
      <c r="J817" t="s">
        <v>534</v>
      </c>
      <c r="K817">
        <v>9</v>
      </c>
      <c r="L817" t="s">
        <v>112</v>
      </c>
      <c r="M817" t="s">
        <v>651</v>
      </c>
      <c r="N817" t="s">
        <v>114</v>
      </c>
      <c r="P817">
        <v>131</v>
      </c>
      <c r="Q817">
        <v>6383</v>
      </c>
      <c r="R817" t="s">
        <v>115</v>
      </c>
      <c r="S817" t="s">
        <v>116</v>
      </c>
      <c r="T817" t="s">
        <v>407</v>
      </c>
      <c r="U817" t="s">
        <v>1308</v>
      </c>
      <c r="V817" t="s">
        <v>172</v>
      </c>
      <c r="Y817" t="s">
        <v>457</v>
      </c>
      <c r="AA817">
        <v>1</v>
      </c>
      <c r="AB817" t="s">
        <v>100</v>
      </c>
      <c r="AE817" t="str">
        <f t="shared" si="12"/>
        <v>FoganPiegari</v>
      </c>
      <c r="AF817">
        <v>0</v>
      </c>
      <c r="AG817">
        <v>0</v>
      </c>
      <c r="AH817">
        <v>1</v>
      </c>
      <c r="AI817">
        <v>0</v>
      </c>
      <c r="AK817" t="s">
        <v>119</v>
      </c>
      <c r="AM817" t="s">
        <v>632</v>
      </c>
    </row>
    <row r="818" spans="2:39" ht="15" customHeight="1" x14ac:dyDescent="0.2">
      <c r="B818">
        <v>23</v>
      </c>
      <c r="D818">
        <v>12</v>
      </c>
      <c r="E818" t="s">
        <v>658</v>
      </c>
      <c r="F818" t="s">
        <v>268</v>
      </c>
      <c r="G818" s="15">
        <v>45877</v>
      </c>
      <c r="H818" t="s">
        <v>144</v>
      </c>
      <c r="I818" t="s">
        <v>625</v>
      </c>
      <c r="J818" t="s">
        <v>534</v>
      </c>
      <c r="K818">
        <v>9</v>
      </c>
      <c r="L818" t="s">
        <v>112</v>
      </c>
      <c r="M818" t="s">
        <v>651</v>
      </c>
      <c r="N818" t="s">
        <v>114</v>
      </c>
      <c r="P818">
        <v>131</v>
      </c>
      <c r="Q818">
        <v>6383</v>
      </c>
      <c r="R818" t="s">
        <v>115</v>
      </c>
      <c r="S818" t="s">
        <v>116</v>
      </c>
      <c r="T818" t="s">
        <v>407</v>
      </c>
      <c r="U818" t="s">
        <v>1308</v>
      </c>
      <c r="V818" t="s">
        <v>1308</v>
      </c>
      <c r="Y818" t="s">
        <v>127</v>
      </c>
      <c r="AA818">
        <v>1</v>
      </c>
      <c r="AB818" t="s">
        <v>100</v>
      </c>
      <c r="AC818" t="s">
        <v>627</v>
      </c>
      <c r="AE818" t="str">
        <f t="shared" si="12"/>
        <v>ConnollyFerrin</v>
      </c>
      <c r="AF818">
        <v>0</v>
      </c>
      <c r="AG818">
        <v>0</v>
      </c>
      <c r="AH818">
        <v>1</v>
      </c>
      <c r="AI818">
        <v>0</v>
      </c>
      <c r="AK818" t="s">
        <v>135</v>
      </c>
      <c r="AM818" t="s">
        <v>176</v>
      </c>
    </row>
    <row r="819" spans="2:39" ht="15" customHeight="1" x14ac:dyDescent="0.2">
      <c r="B819">
        <v>24</v>
      </c>
      <c r="D819">
        <v>12</v>
      </c>
      <c r="E819" t="s">
        <v>659</v>
      </c>
      <c r="F819" t="s">
        <v>268</v>
      </c>
      <c r="G819" s="15">
        <v>45877</v>
      </c>
      <c r="H819" t="s">
        <v>144</v>
      </c>
      <c r="I819" t="s">
        <v>625</v>
      </c>
      <c r="J819" t="s">
        <v>534</v>
      </c>
      <c r="K819">
        <v>9</v>
      </c>
      <c r="L819" t="s">
        <v>112</v>
      </c>
      <c r="M819" t="s">
        <v>651</v>
      </c>
      <c r="N819" t="s">
        <v>114</v>
      </c>
      <c r="P819">
        <v>131</v>
      </c>
      <c r="Q819">
        <v>6383</v>
      </c>
      <c r="R819" t="s">
        <v>115</v>
      </c>
      <c r="S819" t="s">
        <v>116</v>
      </c>
      <c r="T819" t="s">
        <v>407</v>
      </c>
      <c r="U819" t="s">
        <v>1308</v>
      </c>
      <c r="V819" t="s">
        <v>1285</v>
      </c>
      <c r="Y819" t="s">
        <v>321</v>
      </c>
      <c r="AA819">
        <v>1</v>
      </c>
      <c r="AB819" t="s">
        <v>100</v>
      </c>
      <c r="AE819" t="str">
        <f t="shared" si="12"/>
        <v>DeOterisDelaney</v>
      </c>
      <c r="AF819">
        <v>0</v>
      </c>
      <c r="AG819">
        <v>0</v>
      </c>
      <c r="AH819">
        <v>1</v>
      </c>
      <c r="AI819">
        <v>0</v>
      </c>
      <c r="AK819" t="s">
        <v>132</v>
      </c>
      <c r="AM819" t="s">
        <v>133</v>
      </c>
    </row>
    <row r="820" spans="2:39" ht="15" customHeight="1" x14ac:dyDescent="0.2">
      <c r="B820">
        <v>25</v>
      </c>
      <c r="D820">
        <v>12</v>
      </c>
      <c r="E820" t="s">
        <v>660</v>
      </c>
      <c r="F820" t="s">
        <v>268</v>
      </c>
      <c r="G820" s="15">
        <v>45877</v>
      </c>
      <c r="H820" t="s">
        <v>144</v>
      </c>
      <c r="I820" t="s">
        <v>625</v>
      </c>
      <c r="J820" t="s">
        <v>534</v>
      </c>
      <c r="K820">
        <v>9</v>
      </c>
      <c r="L820" t="s">
        <v>112</v>
      </c>
      <c r="M820" t="s">
        <v>651</v>
      </c>
      <c r="N820" t="s">
        <v>114</v>
      </c>
      <c r="P820">
        <v>131</v>
      </c>
      <c r="Q820">
        <v>6383</v>
      </c>
      <c r="R820" t="s">
        <v>115</v>
      </c>
      <c r="S820" t="s">
        <v>116</v>
      </c>
      <c r="T820" t="s">
        <v>407</v>
      </c>
      <c r="U820" t="s">
        <v>1308</v>
      </c>
      <c r="V820" t="s">
        <v>541</v>
      </c>
      <c r="Y820" t="s">
        <v>118</v>
      </c>
      <c r="AA820">
        <v>1</v>
      </c>
      <c r="AB820" t="s">
        <v>99</v>
      </c>
      <c r="AC820" t="s">
        <v>225</v>
      </c>
      <c r="AE820" t="str">
        <f t="shared" si="12"/>
        <v>R. ConnollyJackson</v>
      </c>
      <c r="AF820">
        <v>1</v>
      </c>
      <c r="AG820">
        <v>1</v>
      </c>
      <c r="AH820">
        <v>0</v>
      </c>
      <c r="AI820">
        <v>0</v>
      </c>
      <c r="AK820" t="s">
        <v>456</v>
      </c>
      <c r="AM820" t="s">
        <v>123</v>
      </c>
    </row>
    <row r="821" spans="2:39" ht="15" customHeight="1" x14ac:dyDescent="0.2">
      <c r="B821">
        <v>31</v>
      </c>
      <c r="D821">
        <v>12</v>
      </c>
      <c r="E821" t="s">
        <v>661</v>
      </c>
      <c r="F821" t="s">
        <v>108</v>
      </c>
      <c r="G821" s="15">
        <v>45878</v>
      </c>
      <c r="H821" t="s">
        <v>144</v>
      </c>
      <c r="I821" t="s">
        <v>625</v>
      </c>
      <c r="J821" t="s">
        <v>534</v>
      </c>
      <c r="K821">
        <v>18</v>
      </c>
      <c r="L821" t="s">
        <v>154</v>
      </c>
      <c r="M821" t="s">
        <v>662</v>
      </c>
      <c r="N821" t="s">
        <v>114</v>
      </c>
      <c r="P821">
        <v>132</v>
      </c>
      <c r="Q821">
        <v>6272</v>
      </c>
      <c r="R821" t="s">
        <v>157</v>
      </c>
      <c r="S821" t="s">
        <v>158</v>
      </c>
      <c r="T821" t="s">
        <v>407</v>
      </c>
      <c r="U821" t="s">
        <v>1308</v>
      </c>
      <c r="V821" t="s">
        <v>1308</v>
      </c>
      <c r="AA821">
        <v>2</v>
      </c>
      <c r="AB821" t="s">
        <v>99</v>
      </c>
      <c r="AD821" t="s">
        <v>119</v>
      </c>
      <c r="AE821" t="str">
        <f t="shared" si="12"/>
        <v>Connolly</v>
      </c>
      <c r="AF821">
        <v>2</v>
      </c>
      <c r="AG821">
        <v>1</v>
      </c>
      <c r="AH821">
        <v>0</v>
      </c>
      <c r="AI821">
        <v>0</v>
      </c>
    </row>
    <row r="822" spans="2:39" ht="15" customHeight="1" x14ac:dyDescent="0.2">
      <c r="B822">
        <v>32</v>
      </c>
      <c r="D822">
        <v>12</v>
      </c>
      <c r="E822" t="s">
        <v>663</v>
      </c>
      <c r="F822" t="s">
        <v>108</v>
      </c>
      <c r="G822" s="15">
        <v>45878</v>
      </c>
      <c r="H822" t="s">
        <v>144</v>
      </c>
      <c r="I822" t="s">
        <v>625</v>
      </c>
      <c r="J822" t="s">
        <v>534</v>
      </c>
      <c r="K822">
        <v>18</v>
      </c>
      <c r="L822" t="s">
        <v>154</v>
      </c>
      <c r="M822" t="s">
        <v>662</v>
      </c>
      <c r="N822" t="s">
        <v>114</v>
      </c>
      <c r="P822">
        <v>132</v>
      </c>
      <c r="Q822">
        <v>6272</v>
      </c>
      <c r="R822" t="s">
        <v>157</v>
      </c>
      <c r="S822" t="s">
        <v>158</v>
      </c>
      <c r="T822" t="s">
        <v>407</v>
      </c>
      <c r="U822" t="s">
        <v>1308</v>
      </c>
      <c r="V822" t="s">
        <v>452</v>
      </c>
      <c r="AA822">
        <v>2</v>
      </c>
      <c r="AB822" t="s">
        <v>99</v>
      </c>
      <c r="AD822" t="s">
        <v>123</v>
      </c>
      <c r="AE822" t="str">
        <f t="shared" si="12"/>
        <v>Delneky</v>
      </c>
      <c r="AF822">
        <v>2</v>
      </c>
      <c r="AG822">
        <v>1</v>
      </c>
      <c r="AH822">
        <v>0</v>
      </c>
      <c r="AI822">
        <v>0</v>
      </c>
    </row>
    <row r="823" spans="2:39" ht="15" customHeight="1" x14ac:dyDescent="0.2">
      <c r="B823">
        <v>33</v>
      </c>
      <c r="D823">
        <v>12</v>
      </c>
      <c r="E823" t="s">
        <v>664</v>
      </c>
      <c r="F823" t="s">
        <v>108</v>
      </c>
      <c r="G823" s="15">
        <v>45878</v>
      </c>
      <c r="H823" t="s">
        <v>144</v>
      </c>
      <c r="I823" t="s">
        <v>625</v>
      </c>
      <c r="J823" t="s">
        <v>534</v>
      </c>
      <c r="K823">
        <v>18</v>
      </c>
      <c r="L823" t="s">
        <v>154</v>
      </c>
      <c r="M823" t="s">
        <v>662</v>
      </c>
      <c r="N823" t="s">
        <v>114</v>
      </c>
      <c r="P823">
        <v>132</v>
      </c>
      <c r="Q823">
        <v>6272</v>
      </c>
      <c r="R823" t="s">
        <v>157</v>
      </c>
      <c r="S823" t="s">
        <v>158</v>
      </c>
      <c r="T823" t="s">
        <v>407</v>
      </c>
      <c r="U823" t="s">
        <v>1308</v>
      </c>
      <c r="V823" t="s">
        <v>541</v>
      </c>
      <c r="AA823">
        <v>2</v>
      </c>
      <c r="AB823" t="s">
        <v>99</v>
      </c>
      <c r="AD823" t="s">
        <v>135</v>
      </c>
      <c r="AE823" t="str">
        <f t="shared" si="12"/>
        <v>R. Connolly</v>
      </c>
      <c r="AF823">
        <v>2</v>
      </c>
      <c r="AG823">
        <v>1</v>
      </c>
      <c r="AH823">
        <v>0</v>
      </c>
      <c r="AI823">
        <v>0</v>
      </c>
    </row>
    <row r="824" spans="2:39" ht="15" customHeight="1" x14ac:dyDescent="0.2">
      <c r="B824">
        <v>34</v>
      </c>
      <c r="D824">
        <v>12</v>
      </c>
      <c r="E824" t="s">
        <v>665</v>
      </c>
      <c r="F824" t="s">
        <v>108</v>
      </c>
      <c r="G824" s="15">
        <v>45878</v>
      </c>
      <c r="H824" t="s">
        <v>144</v>
      </c>
      <c r="I824" t="s">
        <v>625</v>
      </c>
      <c r="J824" t="s">
        <v>534</v>
      </c>
      <c r="K824">
        <v>18</v>
      </c>
      <c r="L824" t="s">
        <v>154</v>
      </c>
      <c r="M824" t="s">
        <v>662</v>
      </c>
      <c r="N824" t="s">
        <v>114</v>
      </c>
      <c r="P824">
        <v>132</v>
      </c>
      <c r="Q824">
        <v>6272</v>
      </c>
      <c r="R824" t="s">
        <v>157</v>
      </c>
      <c r="S824" t="s">
        <v>158</v>
      </c>
      <c r="T824" t="s">
        <v>407</v>
      </c>
      <c r="U824" t="s">
        <v>1308</v>
      </c>
      <c r="V824" t="s">
        <v>457</v>
      </c>
      <c r="AA824">
        <v>2</v>
      </c>
      <c r="AB824" t="s">
        <v>100</v>
      </c>
      <c r="AD824" t="s">
        <v>132</v>
      </c>
      <c r="AE824" t="str">
        <f t="shared" si="12"/>
        <v>Piegari</v>
      </c>
      <c r="AF824">
        <v>0</v>
      </c>
      <c r="AG824">
        <v>0</v>
      </c>
      <c r="AH824">
        <v>1</v>
      </c>
      <c r="AI824">
        <v>0</v>
      </c>
    </row>
    <row r="825" spans="2:39" ht="15" customHeight="1" x14ac:dyDescent="0.2">
      <c r="B825">
        <v>35</v>
      </c>
      <c r="D825">
        <v>12</v>
      </c>
      <c r="E825" t="s">
        <v>666</v>
      </c>
      <c r="F825" t="s">
        <v>108</v>
      </c>
      <c r="G825" s="15">
        <v>45878</v>
      </c>
      <c r="H825" t="s">
        <v>144</v>
      </c>
      <c r="I825" t="s">
        <v>625</v>
      </c>
      <c r="J825" t="s">
        <v>534</v>
      </c>
      <c r="K825">
        <v>18</v>
      </c>
      <c r="L825" t="s">
        <v>154</v>
      </c>
      <c r="M825" t="s">
        <v>662</v>
      </c>
      <c r="N825" t="s">
        <v>114</v>
      </c>
      <c r="P825">
        <v>132</v>
      </c>
      <c r="Q825">
        <v>6272</v>
      </c>
      <c r="R825" t="s">
        <v>157</v>
      </c>
      <c r="S825" t="s">
        <v>158</v>
      </c>
      <c r="T825" t="s">
        <v>407</v>
      </c>
      <c r="U825" t="s">
        <v>1308</v>
      </c>
      <c r="V825" t="s">
        <v>118</v>
      </c>
      <c r="AA825">
        <v>2</v>
      </c>
      <c r="AB825" t="s">
        <v>100</v>
      </c>
      <c r="AD825" t="s">
        <v>130</v>
      </c>
      <c r="AE825" t="str">
        <f t="shared" si="12"/>
        <v>Jackson</v>
      </c>
      <c r="AF825">
        <v>0</v>
      </c>
      <c r="AG825">
        <v>0</v>
      </c>
      <c r="AH825">
        <v>1</v>
      </c>
      <c r="AI825">
        <v>0</v>
      </c>
    </row>
    <row r="826" spans="2:39" ht="15" customHeight="1" x14ac:dyDescent="0.2">
      <c r="B826">
        <v>36</v>
      </c>
      <c r="D826">
        <v>12</v>
      </c>
      <c r="E826" t="s">
        <v>1287</v>
      </c>
      <c r="F826" t="s">
        <v>108</v>
      </c>
      <c r="G826" s="15">
        <v>45878</v>
      </c>
      <c r="H826" t="s">
        <v>144</v>
      </c>
      <c r="I826" t="s">
        <v>625</v>
      </c>
      <c r="J826" t="s">
        <v>534</v>
      </c>
      <c r="K826">
        <v>18</v>
      </c>
      <c r="L826" t="s">
        <v>154</v>
      </c>
      <c r="M826" t="s">
        <v>662</v>
      </c>
      <c r="N826" t="s">
        <v>114</v>
      </c>
      <c r="P826">
        <v>132</v>
      </c>
      <c r="Q826">
        <v>6272</v>
      </c>
      <c r="R826" t="s">
        <v>157</v>
      </c>
      <c r="S826" t="s">
        <v>158</v>
      </c>
      <c r="T826" t="s">
        <v>407</v>
      </c>
      <c r="U826" t="s">
        <v>1308</v>
      </c>
      <c r="V826" t="s">
        <v>1285</v>
      </c>
      <c r="AA826">
        <v>2</v>
      </c>
      <c r="AB826" t="s">
        <v>100</v>
      </c>
      <c r="AD826" t="s">
        <v>632</v>
      </c>
      <c r="AE826" t="str">
        <f t="shared" si="12"/>
        <v>DeOteris</v>
      </c>
      <c r="AF826">
        <v>0</v>
      </c>
      <c r="AG826">
        <v>0</v>
      </c>
      <c r="AH826">
        <v>1</v>
      </c>
      <c r="AI826">
        <v>0</v>
      </c>
    </row>
    <row r="827" spans="2:39" ht="15" customHeight="1" x14ac:dyDescent="0.2">
      <c r="B827">
        <v>37</v>
      </c>
      <c r="D827">
        <v>12</v>
      </c>
      <c r="E827" t="s">
        <v>667</v>
      </c>
      <c r="F827" t="s">
        <v>108</v>
      </c>
      <c r="G827" s="15">
        <v>45878</v>
      </c>
      <c r="H827" t="s">
        <v>144</v>
      </c>
      <c r="I827" t="s">
        <v>625</v>
      </c>
      <c r="J827" t="s">
        <v>534</v>
      </c>
      <c r="K827">
        <v>18</v>
      </c>
      <c r="L827" t="s">
        <v>154</v>
      </c>
      <c r="M827" t="s">
        <v>662</v>
      </c>
      <c r="N827" t="s">
        <v>114</v>
      </c>
      <c r="P827">
        <v>132</v>
      </c>
      <c r="Q827">
        <v>6272</v>
      </c>
      <c r="R827" t="s">
        <v>157</v>
      </c>
      <c r="S827" t="s">
        <v>158</v>
      </c>
      <c r="T827" t="s">
        <v>407</v>
      </c>
      <c r="U827" t="s">
        <v>1308</v>
      </c>
      <c r="V827" t="s">
        <v>172</v>
      </c>
      <c r="AA827">
        <v>2</v>
      </c>
      <c r="AB827" t="s">
        <v>100</v>
      </c>
      <c r="AD827" t="s">
        <v>176</v>
      </c>
      <c r="AE827" t="str">
        <f t="shared" si="12"/>
        <v>Fogan</v>
      </c>
      <c r="AF827">
        <v>0</v>
      </c>
      <c r="AG827">
        <v>0</v>
      </c>
      <c r="AH827">
        <v>1</v>
      </c>
      <c r="AI827">
        <v>0</v>
      </c>
    </row>
    <row r="828" spans="2:39" ht="15" customHeight="1" x14ac:dyDescent="0.2">
      <c r="B828">
        <v>38</v>
      </c>
      <c r="D828">
        <v>12</v>
      </c>
      <c r="E828" t="s">
        <v>668</v>
      </c>
      <c r="F828" t="s">
        <v>108</v>
      </c>
      <c r="G828" s="15">
        <v>45878</v>
      </c>
      <c r="H828" t="s">
        <v>144</v>
      </c>
      <c r="I828" t="s">
        <v>625</v>
      </c>
      <c r="J828" t="s">
        <v>534</v>
      </c>
      <c r="K828">
        <v>18</v>
      </c>
      <c r="L828" t="s">
        <v>154</v>
      </c>
      <c r="M828" t="s">
        <v>662</v>
      </c>
      <c r="N828" t="s">
        <v>114</v>
      </c>
      <c r="P828">
        <v>132</v>
      </c>
      <c r="Q828">
        <v>6272</v>
      </c>
      <c r="R828" t="s">
        <v>157</v>
      </c>
      <c r="S828" t="s">
        <v>158</v>
      </c>
      <c r="T828" t="s">
        <v>407</v>
      </c>
      <c r="U828" t="s">
        <v>1308</v>
      </c>
      <c r="V828" t="s">
        <v>227</v>
      </c>
      <c r="AA828">
        <v>2</v>
      </c>
      <c r="AB828" t="s">
        <v>100</v>
      </c>
      <c r="AD828" t="s">
        <v>456</v>
      </c>
      <c r="AE828" t="str">
        <f t="shared" si="12"/>
        <v>Zimmer</v>
      </c>
      <c r="AF828">
        <v>0</v>
      </c>
      <c r="AG828">
        <v>0</v>
      </c>
      <c r="AH828">
        <v>1</v>
      </c>
      <c r="AI828">
        <v>0</v>
      </c>
    </row>
    <row r="829" spans="2:39" ht="15" customHeight="1" x14ac:dyDescent="0.2">
      <c r="B829">
        <v>39</v>
      </c>
      <c r="D829">
        <v>12</v>
      </c>
      <c r="E829" t="s">
        <v>669</v>
      </c>
      <c r="F829" t="s">
        <v>108</v>
      </c>
      <c r="G829" s="15">
        <v>45878</v>
      </c>
      <c r="H829" t="s">
        <v>144</v>
      </c>
      <c r="I829" t="s">
        <v>625</v>
      </c>
      <c r="J829" t="s">
        <v>534</v>
      </c>
      <c r="K829">
        <v>18</v>
      </c>
      <c r="L829" t="s">
        <v>154</v>
      </c>
      <c r="M829" t="s">
        <v>662</v>
      </c>
      <c r="N829" t="s">
        <v>114</v>
      </c>
      <c r="P829">
        <v>132</v>
      </c>
      <c r="Q829">
        <v>6272</v>
      </c>
      <c r="R829" t="s">
        <v>157</v>
      </c>
      <c r="S829" t="s">
        <v>158</v>
      </c>
      <c r="T829" t="s">
        <v>407</v>
      </c>
      <c r="U829" t="s">
        <v>1308</v>
      </c>
      <c r="V829" t="s">
        <v>127</v>
      </c>
      <c r="AA829">
        <v>2</v>
      </c>
      <c r="AB829" t="s">
        <v>100</v>
      </c>
      <c r="AD829" t="s">
        <v>122</v>
      </c>
      <c r="AE829" t="str">
        <f t="shared" si="12"/>
        <v>Ferrin</v>
      </c>
      <c r="AF829">
        <v>0</v>
      </c>
      <c r="AG829">
        <v>0</v>
      </c>
      <c r="AH829">
        <v>1</v>
      </c>
      <c r="AI829">
        <v>0</v>
      </c>
    </row>
    <row r="830" spans="2:39" ht="15" customHeight="1" x14ac:dyDescent="0.2">
      <c r="B830">
        <v>40</v>
      </c>
      <c r="D830">
        <v>12</v>
      </c>
      <c r="E830" t="s">
        <v>670</v>
      </c>
      <c r="F830" t="s">
        <v>108</v>
      </c>
      <c r="G830" s="15">
        <v>45878</v>
      </c>
      <c r="H830" t="s">
        <v>144</v>
      </c>
      <c r="I830" t="s">
        <v>625</v>
      </c>
      <c r="J830" t="s">
        <v>534</v>
      </c>
      <c r="K830">
        <v>18</v>
      </c>
      <c r="L830" t="s">
        <v>154</v>
      </c>
      <c r="M830" t="s">
        <v>662</v>
      </c>
      <c r="N830" t="s">
        <v>114</v>
      </c>
      <c r="P830">
        <v>132</v>
      </c>
      <c r="Q830">
        <v>6272</v>
      </c>
      <c r="R830" t="s">
        <v>157</v>
      </c>
      <c r="S830" t="s">
        <v>158</v>
      </c>
      <c r="T830" t="s">
        <v>407</v>
      </c>
      <c r="U830" t="s">
        <v>1308</v>
      </c>
      <c r="V830" t="s">
        <v>321</v>
      </c>
      <c r="AA830">
        <v>2</v>
      </c>
      <c r="AB830" t="s">
        <v>99</v>
      </c>
      <c r="AD830" t="s">
        <v>133</v>
      </c>
      <c r="AE830" t="str">
        <f t="shared" si="12"/>
        <v>Delaney</v>
      </c>
      <c r="AF830">
        <v>2</v>
      </c>
      <c r="AG830">
        <v>1</v>
      </c>
      <c r="AH830">
        <v>0</v>
      </c>
      <c r="AI830">
        <v>0</v>
      </c>
    </row>
    <row r="831" spans="2:39" ht="15" customHeight="1" x14ac:dyDescent="0.2">
      <c r="B831">
        <v>1</v>
      </c>
      <c r="D831">
        <v>12</v>
      </c>
      <c r="E831" t="s">
        <v>624</v>
      </c>
      <c r="F831" t="s">
        <v>400</v>
      </c>
      <c r="G831" s="15">
        <v>45876</v>
      </c>
      <c r="H831" t="s">
        <v>144</v>
      </c>
      <c r="I831" t="s">
        <v>625</v>
      </c>
      <c r="J831" t="s">
        <v>534</v>
      </c>
      <c r="K831">
        <v>9</v>
      </c>
      <c r="L831" t="s">
        <v>112</v>
      </c>
      <c r="M831" t="s">
        <v>626</v>
      </c>
      <c r="N831" t="s">
        <v>114</v>
      </c>
      <c r="P831">
        <v>128</v>
      </c>
      <c r="Q831">
        <v>6678</v>
      </c>
      <c r="R831" t="s">
        <v>115</v>
      </c>
      <c r="S831" t="s">
        <v>116</v>
      </c>
      <c r="T831" t="s">
        <v>407</v>
      </c>
      <c r="U831" t="s">
        <v>119</v>
      </c>
      <c r="V831" t="s">
        <v>130</v>
      </c>
      <c r="Y831" t="s">
        <v>119</v>
      </c>
      <c r="AA831">
        <v>1</v>
      </c>
      <c r="AB831" t="s">
        <v>99</v>
      </c>
      <c r="AC831" t="s">
        <v>627</v>
      </c>
      <c r="AE831" t="str">
        <f t="shared" si="12"/>
        <v>PoirierGrise</v>
      </c>
      <c r="AF831">
        <v>1</v>
      </c>
      <c r="AG831">
        <v>1</v>
      </c>
      <c r="AH831">
        <v>0</v>
      </c>
      <c r="AI831">
        <v>0</v>
      </c>
      <c r="AK831" t="s">
        <v>227</v>
      </c>
      <c r="AM831" t="s">
        <v>1285</v>
      </c>
    </row>
    <row r="832" spans="2:39" ht="15" customHeight="1" x14ac:dyDescent="0.2">
      <c r="B832">
        <v>2</v>
      </c>
      <c r="D832">
        <v>12</v>
      </c>
      <c r="E832" t="s">
        <v>628</v>
      </c>
      <c r="F832" t="s">
        <v>400</v>
      </c>
      <c r="G832" s="15">
        <v>45876</v>
      </c>
      <c r="H832" t="s">
        <v>144</v>
      </c>
      <c r="I832" t="s">
        <v>625</v>
      </c>
      <c r="J832" t="s">
        <v>534</v>
      </c>
      <c r="K832">
        <v>9</v>
      </c>
      <c r="L832" t="s">
        <v>112</v>
      </c>
      <c r="M832" t="s">
        <v>626</v>
      </c>
      <c r="N832" t="s">
        <v>114</v>
      </c>
      <c r="P832">
        <v>128</v>
      </c>
      <c r="Q832">
        <v>6678</v>
      </c>
      <c r="R832" t="s">
        <v>115</v>
      </c>
      <c r="S832" t="s">
        <v>116</v>
      </c>
      <c r="T832" t="s">
        <v>407</v>
      </c>
      <c r="U832" t="s">
        <v>119</v>
      </c>
      <c r="V832" t="s">
        <v>133</v>
      </c>
      <c r="Y832" t="s">
        <v>123</v>
      </c>
      <c r="AA832">
        <v>1</v>
      </c>
      <c r="AB832" t="s">
        <v>99</v>
      </c>
      <c r="AE832" t="str">
        <f t="shared" si="12"/>
        <v>MangoldLynch</v>
      </c>
      <c r="AF832">
        <v>1</v>
      </c>
      <c r="AG832">
        <v>1</v>
      </c>
      <c r="AH832">
        <v>0</v>
      </c>
      <c r="AI832">
        <v>0</v>
      </c>
      <c r="AK832" t="s">
        <v>321</v>
      </c>
      <c r="AM832" t="s">
        <v>457</v>
      </c>
    </row>
    <row r="833" spans="2:39" ht="15" customHeight="1" x14ac:dyDescent="0.2">
      <c r="B833">
        <v>3</v>
      </c>
      <c r="D833">
        <v>12</v>
      </c>
      <c r="E833" t="s">
        <v>629</v>
      </c>
      <c r="F833" t="s">
        <v>400</v>
      </c>
      <c r="G833" s="15">
        <v>45876</v>
      </c>
      <c r="H833" t="s">
        <v>144</v>
      </c>
      <c r="I833" t="s">
        <v>625</v>
      </c>
      <c r="J833" t="s">
        <v>534</v>
      </c>
      <c r="K833">
        <v>9</v>
      </c>
      <c r="L833" t="s">
        <v>112</v>
      </c>
      <c r="M833" t="s">
        <v>626</v>
      </c>
      <c r="N833" t="s">
        <v>114</v>
      </c>
      <c r="P833">
        <v>128</v>
      </c>
      <c r="Q833">
        <v>6678</v>
      </c>
      <c r="R833" t="s">
        <v>115</v>
      </c>
      <c r="S833" t="s">
        <v>116</v>
      </c>
      <c r="T833" t="s">
        <v>407</v>
      </c>
      <c r="U833" t="s">
        <v>119</v>
      </c>
      <c r="V833" t="s">
        <v>456</v>
      </c>
      <c r="Y833" t="s">
        <v>135</v>
      </c>
      <c r="AA833">
        <v>1</v>
      </c>
      <c r="AB833" t="s">
        <v>100</v>
      </c>
      <c r="AC833" t="s">
        <v>222</v>
      </c>
      <c r="AE833" t="str">
        <f t="shared" si="12"/>
        <v>PerkinsShively</v>
      </c>
      <c r="AF833">
        <v>0</v>
      </c>
      <c r="AG833">
        <v>0</v>
      </c>
      <c r="AH833">
        <v>1</v>
      </c>
      <c r="AI833">
        <v>0</v>
      </c>
      <c r="AK833" t="s">
        <v>1308</v>
      </c>
      <c r="AM833" t="s">
        <v>541</v>
      </c>
    </row>
    <row r="834" spans="2:39" ht="15" customHeight="1" x14ac:dyDescent="0.2">
      <c r="B834">
        <v>4</v>
      </c>
      <c r="D834">
        <v>12</v>
      </c>
      <c r="E834" t="s">
        <v>630</v>
      </c>
      <c r="F834" t="s">
        <v>400</v>
      </c>
      <c r="G834" s="15">
        <v>45876</v>
      </c>
      <c r="H834" t="s">
        <v>144</v>
      </c>
      <c r="I834" t="s">
        <v>625</v>
      </c>
      <c r="J834" t="s">
        <v>534</v>
      </c>
      <c r="K834">
        <v>9</v>
      </c>
      <c r="L834" t="s">
        <v>112</v>
      </c>
      <c r="M834" t="s">
        <v>626</v>
      </c>
      <c r="N834" t="s">
        <v>114</v>
      </c>
      <c r="P834">
        <v>128</v>
      </c>
      <c r="Q834">
        <v>6678</v>
      </c>
      <c r="R834" t="s">
        <v>115</v>
      </c>
      <c r="S834" t="s">
        <v>116</v>
      </c>
      <c r="T834" t="s">
        <v>407</v>
      </c>
      <c r="U834" t="s">
        <v>119</v>
      </c>
      <c r="V834" t="s">
        <v>176</v>
      </c>
      <c r="Y834" t="s">
        <v>632</v>
      </c>
      <c r="AA834">
        <v>1</v>
      </c>
      <c r="AB834" t="s">
        <v>100</v>
      </c>
      <c r="AC834" t="s">
        <v>631</v>
      </c>
      <c r="AE834" t="str">
        <f t="shared" ref="AE834:AE873" si="13">$V834&amp;$Y834</f>
        <v>ForsterSnyder</v>
      </c>
      <c r="AF834">
        <v>0</v>
      </c>
      <c r="AG834">
        <v>0</v>
      </c>
      <c r="AH834">
        <v>1</v>
      </c>
      <c r="AI834">
        <v>0</v>
      </c>
      <c r="AK834" t="s">
        <v>127</v>
      </c>
      <c r="AM834" t="s">
        <v>172</v>
      </c>
    </row>
    <row r="835" spans="2:39" ht="15" customHeight="1" x14ac:dyDescent="0.2">
      <c r="B835">
        <v>5</v>
      </c>
      <c r="D835">
        <v>12</v>
      </c>
      <c r="E835" t="s">
        <v>633</v>
      </c>
      <c r="F835" t="s">
        <v>400</v>
      </c>
      <c r="G835" s="15">
        <v>45876</v>
      </c>
      <c r="H835" t="s">
        <v>144</v>
      </c>
      <c r="I835" t="s">
        <v>625</v>
      </c>
      <c r="J835" t="s">
        <v>534</v>
      </c>
      <c r="K835">
        <v>9</v>
      </c>
      <c r="L835" t="s">
        <v>112</v>
      </c>
      <c r="M835" t="s">
        <v>626</v>
      </c>
      <c r="N835" t="s">
        <v>114</v>
      </c>
      <c r="P835">
        <v>128</v>
      </c>
      <c r="Q835">
        <v>6678</v>
      </c>
      <c r="R835" t="s">
        <v>115</v>
      </c>
      <c r="S835" t="s">
        <v>116</v>
      </c>
      <c r="T835" t="s">
        <v>407</v>
      </c>
      <c r="U835" t="s">
        <v>119</v>
      </c>
      <c r="V835" t="s">
        <v>122</v>
      </c>
      <c r="Y835" t="s">
        <v>132</v>
      </c>
      <c r="AA835">
        <v>1</v>
      </c>
      <c r="AB835" t="s">
        <v>99</v>
      </c>
      <c r="AC835" t="s">
        <v>225</v>
      </c>
      <c r="AE835" t="str">
        <f t="shared" si="13"/>
        <v>HiltsFlanders</v>
      </c>
      <c r="AF835">
        <v>1</v>
      </c>
      <c r="AG835">
        <v>1</v>
      </c>
      <c r="AH835">
        <v>0</v>
      </c>
      <c r="AI835">
        <v>0</v>
      </c>
      <c r="AK835" t="s">
        <v>118</v>
      </c>
      <c r="AM835" t="s">
        <v>452</v>
      </c>
    </row>
    <row r="836" spans="2:39" ht="15" customHeight="1" x14ac:dyDescent="0.2">
      <c r="B836">
        <v>6</v>
      </c>
      <c r="D836">
        <v>12</v>
      </c>
      <c r="E836" t="s">
        <v>634</v>
      </c>
      <c r="F836" t="s">
        <v>400</v>
      </c>
      <c r="G836" s="15">
        <v>45876</v>
      </c>
      <c r="H836" t="s">
        <v>144</v>
      </c>
      <c r="I836" t="s">
        <v>625</v>
      </c>
      <c r="J836" t="s">
        <v>534</v>
      </c>
      <c r="K836">
        <v>9</v>
      </c>
      <c r="L836" t="s">
        <v>137</v>
      </c>
      <c r="M836" t="s">
        <v>626</v>
      </c>
      <c r="N836" t="s">
        <v>114</v>
      </c>
      <c r="P836">
        <v>128</v>
      </c>
      <c r="Q836">
        <v>6678</v>
      </c>
      <c r="R836" t="s">
        <v>368</v>
      </c>
      <c r="S836" t="s">
        <v>116</v>
      </c>
      <c r="T836" t="s">
        <v>407</v>
      </c>
      <c r="U836" t="s">
        <v>119</v>
      </c>
      <c r="V836" t="s">
        <v>130</v>
      </c>
      <c r="Y836" t="s">
        <v>119</v>
      </c>
      <c r="AA836">
        <v>1</v>
      </c>
      <c r="AB836" t="s">
        <v>101</v>
      </c>
      <c r="AC836" t="s">
        <v>139</v>
      </c>
      <c r="AE836" t="str">
        <f t="shared" si="13"/>
        <v>PoirierGrise</v>
      </c>
      <c r="AF836">
        <v>0.5</v>
      </c>
      <c r="AG836">
        <v>0</v>
      </c>
      <c r="AH836">
        <v>0</v>
      </c>
      <c r="AI836">
        <v>1</v>
      </c>
      <c r="AK836" t="s">
        <v>227</v>
      </c>
      <c r="AM836" t="s">
        <v>1285</v>
      </c>
    </row>
    <row r="837" spans="2:39" ht="15" customHeight="1" x14ac:dyDescent="0.2">
      <c r="B837">
        <v>7</v>
      </c>
      <c r="D837">
        <v>12</v>
      </c>
      <c r="E837" t="s">
        <v>635</v>
      </c>
      <c r="F837" t="s">
        <v>400</v>
      </c>
      <c r="G837" s="15">
        <v>45876</v>
      </c>
      <c r="H837" t="s">
        <v>144</v>
      </c>
      <c r="I837" t="s">
        <v>625</v>
      </c>
      <c r="J837" t="s">
        <v>534</v>
      </c>
      <c r="K837">
        <v>9</v>
      </c>
      <c r="L837" t="s">
        <v>137</v>
      </c>
      <c r="M837" t="s">
        <v>626</v>
      </c>
      <c r="N837" t="s">
        <v>114</v>
      </c>
      <c r="P837">
        <v>128</v>
      </c>
      <c r="Q837">
        <v>6678</v>
      </c>
      <c r="R837" t="s">
        <v>368</v>
      </c>
      <c r="S837" t="s">
        <v>116</v>
      </c>
      <c r="T837" t="s">
        <v>407</v>
      </c>
      <c r="U837" t="s">
        <v>119</v>
      </c>
      <c r="V837" t="s">
        <v>133</v>
      </c>
      <c r="Y837" t="s">
        <v>123</v>
      </c>
      <c r="AA837">
        <v>1</v>
      </c>
      <c r="AB837" t="s">
        <v>101</v>
      </c>
      <c r="AC837" t="s">
        <v>139</v>
      </c>
      <c r="AE837" t="str">
        <f t="shared" si="13"/>
        <v>MangoldLynch</v>
      </c>
      <c r="AF837">
        <v>0.5</v>
      </c>
      <c r="AG837">
        <v>0</v>
      </c>
      <c r="AH837">
        <v>0</v>
      </c>
      <c r="AI837">
        <v>1</v>
      </c>
      <c r="AK837" t="s">
        <v>321</v>
      </c>
      <c r="AM837" t="s">
        <v>457</v>
      </c>
    </row>
    <row r="838" spans="2:39" ht="15" customHeight="1" x14ac:dyDescent="0.2">
      <c r="B838">
        <v>8</v>
      </c>
      <c r="D838">
        <v>12</v>
      </c>
      <c r="E838" t="s">
        <v>636</v>
      </c>
      <c r="F838" t="s">
        <v>400</v>
      </c>
      <c r="G838" s="15">
        <v>45876</v>
      </c>
      <c r="H838" t="s">
        <v>144</v>
      </c>
      <c r="I838" t="s">
        <v>625</v>
      </c>
      <c r="J838" t="s">
        <v>534</v>
      </c>
      <c r="K838">
        <v>9</v>
      </c>
      <c r="L838" t="s">
        <v>137</v>
      </c>
      <c r="M838" t="s">
        <v>626</v>
      </c>
      <c r="N838" t="s">
        <v>114</v>
      </c>
      <c r="P838">
        <v>128</v>
      </c>
      <c r="Q838">
        <v>6678</v>
      </c>
      <c r="R838" t="s">
        <v>368</v>
      </c>
      <c r="S838" t="s">
        <v>116</v>
      </c>
      <c r="T838" t="s">
        <v>407</v>
      </c>
      <c r="U838" t="s">
        <v>119</v>
      </c>
      <c r="V838" t="s">
        <v>456</v>
      </c>
      <c r="Y838" t="s">
        <v>135</v>
      </c>
      <c r="AA838">
        <v>1</v>
      </c>
      <c r="AB838" t="s">
        <v>100</v>
      </c>
      <c r="AC838" t="s">
        <v>222</v>
      </c>
      <c r="AE838" t="str">
        <f t="shared" si="13"/>
        <v>PerkinsShively</v>
      </c>
      <c r="AF838">
        <v>0</v>
      </c>
      <c r="AG838">
        <v>0</v>
      </c>
      <c r="AH838">
        <v>1</v>
      </c>
      <c r="AI838">
        <v>0</v>
      </c>
      <c r="AK838" t="s">
        <v>1308</v>
      </c>
      <c r="AM838" t="s">
        <v>541</v>
      </c>
    </row>
    <row r="839" spans="2:39" ht="15" customHeight="1" x14ac:dyDescent="0.2">
      <c r="B839">
        <v>9</v>
      </c>
      <c r="D839">
        <v>12</v>
      </c>
      <c r="E839" t="s">
        <v>637</v>
      </c>
      <c r="F839" t="s">
        <v>400</v>
      </c>
      <c r="G839" s="15">
        <v>45876</v>
      </c>
      <c r="H839" t="s">
        <v>144</v>
      </c>
      <c r="I839" t="s">
        <v>625</v>
      </c>
      <c r="J839" t="s">
        <v>534</v>
      </c>
      <c r="K839">
        <v>9</v>
      </c>
      <c r="L839" t="s">
        <v>137</v>
      </c>
      <c r="M839" t="s">
        <v>626</v>
      </c>
      <c r="N839" t="s">
        <v>114</v>
      </c>
      <c r="P839">
        <v>128</v>
      </c>
      <c r="Q839">
        <v>6678</v>
      </c>
      <c r="R839" t="s">
        <v>368</v>
      </c>
      <c r="S839" t="s">
        <v>116</v>
      </c>
      <c r="T839" t="s">
        <v>407</v>
      </c>
      <c r="U839" t="s">
        <v>119</v>
      </c>
      <c r="V839" t="s">
        <v>176</v>
      </c>
      <c r="Y839" t="s">
        <v>632</v>
      </c>
      <c r="AA839">
        <v>1</v>
      </c>
      <c r="AB839" t="s">
        <v>100</v>
      </c>
      <c r="AC839" t="s">
        <v>631</v>
      </c>
      <c r="AE839" t="str">
        <f t="shared" si="13"/>
        <v>ForsterSnyder</v>
      </c>
      <c r="AF839">
        <v>0</v>
      </c>
      <c r="AG839">
        <v>0</v>
      </c>
      <c r="AH839">
        <v>1</v>
      </c>
      <c r="AI839">
        <v>0</v>
      </c>
      <c r="AK839" t="s">
        <v>127</v>
      </c>
      <c r="AM839" t="s">
        <v>172</v>
      </c>
    </row>
    <row r="840" spans="2:39" ht="15" customHeight="1" x14ac:dyDescent="0.2">
      <c r="B840">
        <v>10</v>
      </c>
      <c r="D840">
        <v>12</v>
      </c>
      <c r="E840" t="s">
        <v>638</v>
      </c>
      <c r="F840" t="s">
        <v>400</v>
      </c>
      <c r="G840" s="15">
        <v>45876</v>
      </c>
      <c r="H840" t="s">
        <v>144</v>
      </c>
      <c r="I840" t="s">
        <v>625</v>
      </c>
      <c r="J840" t="s">
        <v>534</v>
      </c>
      <c r="K840">
        <v>9</v>
      </c>
      <c r="L840" t="s">
        <v>137</v>
      </c>
      <c r="M840" t="s">
        <v>626</v>
      </c>
      <c r="N840" t="s">
        <v>114</v>
      </c>
      <c r="P840">
        <v>128</v>
      </c>
      <c r="Q840">
        <v>6678</v>
      </c>
      <c r="R840" t="s">
        <v>368</v>
      </c>
      <c r="S840" t="s">
        <v>116</v>
      </c>
      <c r="T840" t="s">
        <v>407</v>
      </c>
      <c r="U840" t="s">
        <v>119</v>
      </c>
      <c r="V840" t="s">
        <v>122</v>
      </c>
      <c r="Y840" t="s">
        <v>132</v>
      </c>
      <c r="AA840">
        <v>1</v>
      </c>
      <c r="AB840" t="s">
        <v>100</v>
      </c>
      <c r="AC840" t="s">
        <v>276</v>
      </c>
      <c r="AE840" t="str">
        <f t="shared" si="13"/>
        <v>HiltsFlanders</v>
      </c>
      <c r="AF840">
        <v>0</v>
      </c>
      <c r="AG840">
        <v>0</v>
      </c>
      <c r="AH840">
        <v>1</v>
      </c>
      <c r="AI840">
        <v>0</v>
      </c>
      <c r="AK840" t="s">
        <v>118</v>
      </c>
      <c r="AM840" t="s">
        <v>452</v>
      </c>
    </row>
    <row r="841" spans="2:39" ht="15" customHeight="1" x14ac:dyDescent="0.2">
      <c r="B841">
        <v>11</v>
      </c>
      <c r="D841">
        <v>12</v>
      </c>
      <c r="E841" t="s">
        <v>639</v>
      </c>
      <c r="F841" t="s">
        <v>268</v>
      </c>
      <c r="G841" s="15">
        <v>45877</v>
      </c>
      <c r="H841" t="s">
        <v>109</v>
      </c>
      <c r="I841" t="s">
        <v>625</v>
      </c>
      <c r="J841" t="s">
        <v>534</v>
      </c>
      <c r="K841">
        <v>9</v>
      </c>
      <c r="L841" t="s">
        <v>112</v>
      </c>
      <c r="M841" t="s">
        <v>640</v>
      </c>
      <c r="N841" t="s">
        <v>156</v>
      </c>
      <c r="P841">
        <v>130</v>
      </c>
      <c r="Q841">
        <v>6290</v>
      </c>
      <c r="R841" t="s">
        <v>145</v>
      </c>
      <c r="S841" t="s">
        <v>116</v>
      </c>
      <c r="T841" t="s">
        <v>407</v>
      </c>
      <c r="U841" t="s">
        <v>119</v>
      </c>
      <c r="V841" t="s">
        <v>456</v>
      </c>
      <c r="Y841" t="s">
        <v>133</v>
      </c>
      <c r="AA841">
        <v>1</v>
      </c>
      <c r="AB841" t="s">
        <v>99</v>
      </c>
      <c r="AE841" t="str">
        <f t="shared" si="13"/>
        <v>PerkinsMangold</v>
      </c>
      <c r="AF841">
        <v>1</v>
      </c>
      <c r="AG841">
        <v>1</v>
      </c>
      <c r="AH841">
        <v>0</v>
      </c>
      <c r="AI841">
        <v>0</v>
      </c>
      <c r="AK841" t="s">
        <v>457</v>
      </c>
      <c r="AM841" t="s">
        <v>227</v>
      </c>
    </row>
    <row r="842" spans="2:39" ht="15" customHeight="1" x14ac:dyDescent="0.2">
      <c r="B842">
        <v>12</v>
      </c>
      <c r="D842">
        <v>12</v>
      </c>
      <c r="E842" t="s">
        <v>641</v>
      </c>
      <c r="F842" t="s">
        <v>268</v>
      </c>
      <c r="G842" s="15">
        <v>45877</v>
      </c>
      <c r="H842" t="s">
        <v>109</v>
      </c>
      <c r="I842" t="s">
        <v>625</v>
      </c>
      <c r="J842" t="s">
        <v>534</v>
      </c>
      <c r="K842">
        <v>9</v>
      </c>
      <c r="L842" t="s">
        <v>112</v>
      </c>
      <c r="M842" t="s">
        <v>640</v>
      </c>
      <c r="N842" t="s">
        <v>156</v>
      </c>
      <c r="P842">
        <v>130</v>
      </c>
      <c r="Q842">
        <v>6290</v>
      </c>
      <c r="R842" t="s">
        <v>145</v>
      </c>
      <c r="S842" t="s">
        <v>116</v>
      </c>
      <c r="T842" t="s">
        <v>407</v>
      </c>
      <c r="U842" t="s">
        <v>119</v>
      </c>
      <c r="V842" t="s">
        <v>132</v>
      </c>
      <c r="Y842" t="s">
        <v>130</v>
      </c>
      <c r="AA842">
        <v>1</v>
      </c>
      <c r="AB842" t="s">
        <v>99</v>
      </c>
      <c r="AE842" t="str">
        <f t="shared" si="13"/>
        <v>FlandersPoirier</v>
      </c>
      <c r="AF842">
        <v>1</v>
      </c>
      <c r="AG842">
        <v>1</v>
      </c>
      <c r="AH842">
        <v>0</v>
      </c>
      <c r="AI842">
        <v>0</v>
      </c>
      <c r="AK842" t="s">
        <v>1285</v>
      </c>
      <c r="AM842" t="s">
        <v>127</v>
      </c>
    </row>
    <row r="843" spans="2:39" ht="15" customHeight="1" x14ac:dyDescent="0.2">
      <c r="B843">
        <v>13</v>
      </c>
      <c r="D843">
        <v>12</v>
      </c>
      <c r="E843" t="s">
        <v>642</v>
      </c>
      <c r="F843" t="s">
        <v>268</v>
      </c>
      <c r="G843" s="15">
        <v>45877</v>
      </c>
      <c r="H843" t="s">
        <v>109</v>
      </c>
      <c r="I843" t="s">
        <v>625</v>
      </c>
      <c r="J843" t="s">
        <v>534</v>
      </c>
      <c r="K843">
        <v>9</v>
      </c>
      <c r="L843" t="s">
        <v>112</v>
      </c>
      <c r="M843" t="s">
        <v>640</v>
      </c>
      <c r="N843" t="s">
        <v>156</v>
      </c>
      <c r="P843">
        <v>130</v>
      </c>
      <c r="Q843">
        <v>6290</v>
      </c>
      <c r="R843" t="s">
        <v>145</v>
      </c>
      <c r="S843" t="s">
        <v>116</v>
      </c>
      <c r="T843" t="s">
        <v>407</v>
      </c>
      <c r="U843" t="s">
        <v>119</v>
      </c>
      <c r="V843" t="s">
        <v>119</v>
      </c>
      <c r="Y843" t="s">
        <v>176</v>
      </c>
      <c r="AA843">
        <v>1</v>
      </c>
      <c r="AB843" t="s">
        <v>100</v>
      </c>
      <c r="AE843" t="str">
        <f t="shared" si="13"/>
        <v>GriseForster</v>
      </c>
      <c r="AF843">
        <v>0</v>
      </c>
      <c r="AG843">
        <v>0</v>
      </c>
      <c r="AH843">
        <v>1</v>
      </c>
      <c r="AI843">
        <v>0</v>
      </c>
      <c r="AK843" t="s">
        <v>541</v>
      </c>
      <c r="AM843" t="s">
        <v>452</v>
      </c>
    </row>
    <row r="844" spans="2:39" ht="15" customHeight="1" x14ac:dyDescent="0.2">
      <c r="B844">
        <v>14</v>
      </c>
      <c r="D844">
        <v>12</v>
      </c>
      <c r="E844" t="s">
        <v>643</v>
      </c>
      <c r="F844" t="s">
        <v>268</v>
      </c>
      <c r="G844" s="15">
        <v>45877</v>
      </c>
      <c r="H844" t="s">
        <v>109</v>
      </c>
      <c r="I844" t="s">
        <v>625</v>
      </c>
      <c r="J844" t="s">
        <v>534</v>
      </c>
      <c r="K844">
        <v>9</v>
      </c>
      <c r="L844" t="s">
        <v>112</v>
      </c>
      <c r="M844" t="s">
        <v>640</v>
      </c>
      <c r="N844" t="s">
        <v>156</v>
      </c>
      <c r="P844">
        <v>130</v>
      </c>
      <c r="Q844">
        <v>6290</v>
      </c>
      <c r="R844" t="s">
        <v>145</v>
      </c>
      <c r="S844" t="s">
        <v>116</v>
      </c>
      <c r="T844" t="s">
        <v>407</v>
      </c>
      <c r="U844" t="s">
        <v>119</v>
      </c>
      <c r="V844" t="s">
        <v>122</v>
      </c>
      <c r="Y844" t="s">
        <v>135</v>
      </c>
      <c r="AA844">
        <v>1</v>
      </c>
      <c r="AB844" t="s">
        <v>100</v>
      </c>
      <c r="AE844" t="str">
        <f t="shared" si="13"/>
        <v>HiltsShively</v>
      </c>
      <c r="AF844">
        <v>0</v>
      </c>
      <c r="AG844">
        <v>0</v>
      </c>
      <c r="AH844">
        <v>1</v>
      </c>
      <c r="AI844">
        <v>0</v>
      </c>
      <c r="AK844" t="s">
        <v>172</v>
      </c>
      <c r="AM844" t="s">
        <v>321</v>
      </c>
    </row>
    <row r="845" spans="2:39" ht="15" customHeight="1" x14ac:dyDescent="0.2">
      <c r="B845">
        <v>15</v>
      </c>
      <c r="D845">
        <v>12</v>
      </c>
      <c r="E845" t="s">
        <v>644</v>
      </c>
      <c r="F845" t="s">
        <v>268</v>
      </c>
      <c r="G845" s="15">
        <v>45877</v>
      </c>
      <c r="H845" t="s">
        <v>109</v>
      </c>
      <c r="I845" t="s">
        <v>625</v>
      </c>
      <c r="J845" t="s">
        <v>534</v>
      </c>
      <c r="K845">
        <v>9</v>
      </c>
      <c r="L845" t="s">
        <v>112</v>
      </c>
      <c r="M845" t="s">
        <v>640</v>
      </c>
      <c r="N845" t="s">
        <v>156</v>
      </c>
      <c r="P845">
        <v>130</v>
      </c>
      <c r="Q845">
        <v>6290</v>
      </c>
      <c r="R845" t="s">
        <v>145</v>
      </c>
      <c r="S845" t="s">
        <v>116</v>
      </c>
      <c r="T845" t="s">
        <v>407</v>
      </c>
      <c r="U845" t="s">
        <v>119</v>
      </c>
      <c r="V845" t="s">
        <v>123</v>
      </c>
      <c r="Y845" t="s">
        <v>632</v>
      </c>
      <c r="AA845">
        <v>1</v>
      </c>
      <c r="AB845" t="s">
        <v>100</v>
      </c>
      <c r="AE845" t="str">
        <f t="shared" si="13"/>
        <v>LynchSnyder</v>
      </c>
      <c r="AF845">
        <v>0</v>
      </c>
      <c r="AG845">
        <v>0</v>
      </c>
      <c r="AH845">
        <v>1</v>
      </c>
      <c r="AI845">
        <v>0</v>
      </c>
      <c r="AK845" t="s">
        <v>118</v>
      </c>
      <c r="AM845" t="s">
        <v>1308</v>
      </c>
    </row>
    <row r="846" spans="2:39" ht="15" customHeight="1" x14ac:dyDescent="0.2">
      <c r="B846">
        <v>16</v>
      </c>
      <c r="D846">
        <v>12</v>
      </c>
      <c r="E846" t="s">
        <v>645</v>
      </c>
      <c r="F846" t="s">
        <v>268</v>
      </c>
      <c r="G846" s="15">
        <v>45877</v>
      </c>
      <c r="H846" t="s">
        <v>109</v>
      </c>
      <c r="I846" t="s">
        <v>625</v>
      </c>
      <c r="J846" t="s">
        <v>534</v>
      </c>
      <c r="K846">
        <v>9</v>
      </c>
      <c r="L846" t="s">
        <v>137</v>
      </c>
      <c r="M846" t="s">
        <v>640</v>
      </c>
      <c r="N846" t="s">
        <v>156</v>
      </c>
      <c r="P846">
        <v>130</v>
      </c>
      <c r="Q846">
        <v>6290</v>
      </c>
      <c r="R846" t="s">
        <v>138</v>
      </c>
      <c r="S846" t="s">
        <v>116</v>
      </c>
      <c r="T846" t="s">
        <v>407</v>
      </c>
      <c r="U846" t="s">
        <v>119</v>
      </c>
      <c r="V846" t="s">
        <v>456</v>
      </c>
      <c r="Y846" t="s">
        <v>133</v>
      </c>
      <c r="AA846">
        <v>1</v>
      </c>
      <c r="AB846" t="s">
        <v>99</v>
      </c>
      <c r="AE846" t="str">
        <f t="shared" si="13"/>
        <v>PerkinsMangold</v>
      </c>
      <c r="AF846">
        <v>1</v>
      </c>
      <c r="AG846">
        <v>1</v>
      </c>
      <c r="AH846">
        <v>0</v>
      </c>
      <c r="AI846">
        <v>0</v>
      </c>
      <c r="AK846" t="s">
        <v>457</v>
      </c>
      <c r="AM846" t="s">
        <v>227</v>
      </c>
    </row>
    <row r="847" spans="2:39" ht="15" customHeight="1" x14ac:dyDescent="0.2">
      <c r="B847">
        <v>17</v>
      </c>
      <c r="D847">
        <v>12</v>
      </c>
      <c r="E847" t="s">
        <v>646</v>
      </c>
      <c r="F847" t="s">
        <v>268</v>
      </c>
      <c r="G847" s="15">
        <v>45877</v>
      </c>
      <c r="H847" t="s">
        <v>109</v>
      </c>
      <c r="I847" t="s">
        <v>625</v>
      </c>
      <c r="J847" t="s">
        <v>534</v>
      </c>
      <c r="K847">
        <v>9</v>
      </c>
      <c r="L847" t="s">
        <v>137</v>
      </c>
      <c r="M847" t="s">
        <v>640</v>
      </c>
      <c r="N847" t="s">
        <v>156</v>
      </c>
      <c r="P847">
        <v>130</v>
      </c>
      <c r="Q847">
        <v>6290</v>
      </c>
      <c r="R847" t="s">
        <v>138</v>
      </c>
      <c r="S847" t="s">
        <v>116</v>
      </c>
      <c r="T847" t="s">
        <v>407</v>
      </c>
      <c r="U847" t="s">
        <v>119</v>
      </c>
      <c r="V847" t="s">
        <v>132</v>
      </c>
      <c r="Y847" t="s">
        <v>130</v>
      </c>
      <c r="AA847">
        <v>1</v>
      </c>
      <c r="AB847" t="s">
        <v>101</v>
      </c>
      <c r="AC847" t="s">
        <v>139</v>
      </c>
      <c r="AE847" t="str">
        <f t="shared" si="13"/>
        <v>FlandersPoirier</v>
      </c>
      <c r="AF847">
        <v>0.5</v>
      </c>
      <c r="AG847">
        <v>0</v>
      </c>
      <c r="AH847">
        <v>0</v>
      </c>
      <c r="AI847">
        <v>1</v>
      </c>
      <c r="AK847" t="s">
        <v>1285</v>
      </c>
      <c r="AM847" t="s">
        <v>127</v>
      </c>
    </row>
    <row r="848" spans="2:39" ht="15" customHeight="1" x14ac:dyDescent="0.2">
      <c r="B848">
        <v>18</v>
      </c>
      <c r="D848">
        <v>12</v>
      </c>
      <c r="E848" t="s">
        <v>647</v>
      </c>
      <c r="F848" t="s">
        <v>268</v>
      </c>
      <c r="G848" s="15">
        <v>45877</v>
      </c>
      <c r="H848" t="s">
        <v>109</v>
      </c>
      <c r="I848" t="s">
        <v>625</v>
      </c>
      <c r="J848" t="s">
        <v>534</v>
      </c>
      <c r="K848">
        <v>9</v>
      </c>
      <c r="L848" t="s">
        <v>137</v>
      </c>
      <c r="M848" t="s">
        <v>640</v>
      </c>
      <c r="N848" t="s">
        <v>156</v>
      </c>
      <c r="P848">
        <v>130</v>
      </c>
      <c r="Q848">
        <v>6290</v>
      </c>
      <c r="R848" t="s">
        <v>138</v>
      </c>
      <c r="S848" t="s">
        <v>116</v>
      </c>
      <c r="T848" t="s">
        <v>407</v>
      </c>
      <c r="U848" t="s">
        <v>119</v>
      </c>
      <c r="V848" t="s">
        <v>119</v>
      </c>
      <c r="Y848" t="s">
        <v>176</v>
      </c>
      <c r="AA848">
        <v>1</v>
      </c>
      <c r="AB848" t="s">
        <v>99</v>
      </c>
      <c r="AE848" t="str">
        <f t="shared" si="13"/>
        <v>GriseForster</v>
      </c>
      <c r="AF848">
        <v>1</v>
      </c>
      <c r="AG848">
        <v>1</v>
      </c>
      <c r="AH848">
        <v>0</v>
      </c>
      <c r="AI848">
        <v>0</v>
      </c>
      <c r="AK848" t="s">
        <v>541</v>
      </c>
      <c r="AM848" t="s">
        <v>452</v>
      </c>
    </row>
    <row r="849" spans="2:39" ht="15" customHeight="1" x14ac:dyDescent="0.2">
      <c r="B849">
        <v>19</v>
      </c>
      <c r="D849">
        <v>12</v>
      </c>
      <c r="E849" t="s">
        <v>648</v>
      </c>
      <c r="F849" t="s">
        <v>268</v>
      </c>
      <c r="G849" s="15">
        <v>45877</v>
      </c>
      <c r="H849" t="s">
        <v>109</v>
      </c>
      <c r="I849" t="s">
        <v>625</v>
      </c>
      <c r="J849" t="s">
        <v>534</v>
      </c>
      <c r="K849">
        <v>9</v>
      </c>
      <c r="L849" t="s">
        <v>137</v>
      </c>
      <c r="M849" t="s">
        <v>640</v>
      </c>
      <c r="N849" t="s">
        <v>156</v>
      </c>
      <c r="P849">
        <v>130</v>
      </c>
      <c r="Q849">
        <v>6290</v>
      </c>
      <c r="R849" t="s">
        <v>138</v>
      </c>
      <c r="S849" t="s">
        <v>116</v>
      </c>
      <c r="T849" t="s">
        <v>407</v>
      </c>
      <c r="U849" t="s">
        <v>119</v>
      </c>
      <c r="V849" t="s">
        <v>122</v>
      </c>
      <c r="Y849" t="s">
        <v>135</v>
      </c>
      <c r="AA849">
        <v>1</v>
      </c>
      <c r="AB849" t="s">
        <v>101</v>
      </c>
      <c r="AC849" t="s">
        <v>139</v>
      </c>
      <c r="AE849" t="str">
        <f t="shared" si="13"/>
        <v>HiltsShively</v>
      </c>
      <c r="AF849">
        <v>0.5</v>
      </c>
      <c r="AG849">
        <v>0</v>
      </c>
      <c r="AH849">
        <v>0</v>
      </c>
      <c r="AI849">
        <v>1</v>
      </c>
      <c r="AK849" t="s">
        <v>172</v>
      </c>
      <c r="AM849" t="s">
        <v>321</v>
      </c>
    </row>
    <row r="850" spans="2:39" ht="15" customHeight="1" x14ac:dyDescent="0.2">
      <c r="B850">
        <v>20</v>
      </c>
      <c r="D850">
        <v>12</v>
      </c>
      <c r="E850" t="s">
        <v>649</v>
      </c>
      <c r="F850" t="s">
        <v>268</v>
      </c>
      <c r="G850" s="15">
        <v>45877</v>
      </c>
      <c r="H850" t="s">
        <v>109</v>
      </c>
      <c r="I850" t="s">
        <v>625</v>
      </c>
      <c r="J850" t="s">
        <v>534</v>
      </c>
      <c r="K850">
        <v>9</v>
      </c>
      <c r="L850" t="s">
        <v>137</v>
      </c>
      <c r="M850" t="s">
        <v>640</v>
      </c>
      <c r="N850" t="s">
        <v>156</v>
      </c>
      <c r="P850">
        <v>130</v>
      </c>
      <c r="Q850">
        <v>6290</v>
      </c>
      <c r="R850" t="s">
        <v>138</v>
      </c>
      <c r="S850" t="s">
        <v>116</v>
      </c>
      <c r="T850" t="s">
        <v>407</v>
      </c>
      <c r="U850" t="s">
        <v>119</v>
      </c>
      <c r="V850" t="s">
        <v>123</v>
      </c>
      <c r="Y850" t="s">
        <v>632</v>
      </c>
      <c r="AA850">
        <v>1</v>
      </c>
      <c r="AB850" t="s">
        <v>101</v>
      </c>
      <c r="AC850" t="s">
        <v>139</v>
      </c>
      <c r="AE850" t="str">
        <f t="shared" si="13"/>
        <v>LynchSnyder</v>
      </c>
      <c r="AF850">
        <v>0.5</v>
      </c>
      <c r="AG850">
        <v>0</v>
      </c>
      <c r="AH850">
        <v>0</v>
      </c>
      <c r="AI850">
        <v>1</v>
      </c>
      <c r="AK850" t="s">
        <v>118</v>
      </c>
      <c r="AM850" t="s">
        <v>1308</v>
      </c>
    </row>
    <row r="851" spans="2:39" ht="15" customHeight="1" x14ac:dyDescent="0.2">
      <c r="B851">
        <v>26</v>
      </c>
      <c r="D851">
        <v>12</v>
      </c>
      <c r="E851" t="s">
        <v>650</v>
      </c>
      <c r="F851" t="s">
        <v>268</v>
      </c>
      <c r="G851" s="15">
        <v>45877</v>
      </c>
      <c r="H851" t="s">
        <v>144</v>
      </c>
      <c r="I851" t="s">
        <v>625</v>
      </c>
      <c r="J851" t="s">
        <v>534</v>
      </c>
      <c r="K851">
        <v>9</v>
      </c>
      <c r="L851" t="s">
        <v>137</v>
      </c>
      <c r="M851" t="s">
        <v>651</v>
      </c>
      <c r="N851" t="s">
        <v>114</v>
      </c>
      <c r="P851">
        <v>131</v>
      </c>
      <c r="Q851">
        <v>6383</v>
      </c>
      <c r="R851" t="s">
        <v>368</v>
      </c>
      <c r="S851" t="s">
        <v>116</v>
      </c>
      <c r="T851" t="s">
        <v>407</v>
      </c>
      <c r="U851" t="s">
        <v>119</v>
      </c>
      <c r="V851" t="s">
        <v>122</v>
      </c>
      <c r="Y851" t="s">
        <v>130</v>
      </c>
      <c r="AA851">
        <v>1</v>
      </c>
      <c r="AB851" t="s">
        <v>100</v>
      </c>
      <c r="AE851" t="str">
        <f t="shared" si="13"/>
        <v>HiltsPoirier</v>
      </c>
      <c r="AF851">
        <v>0</v>
      </c>
      <c r="AG851">
        <v>0</v>
      </c>
      <c r="AH851">
        <v>1</v>
      </c>
      <c r="AI851">
        <v>0</v>
      </c>
      <c r="AK851" t="s">
        <v>452</v>
      </c>
      <c r="AM851" t="s">
        <v>227</v>
      </c>
    </row>
    <row r="852" spans="2:39" ht="15" customHeight="1" x14ac:dyDescent="0.2">
      <c r="B852">
        <v>27</v>
      </c>
      <c r="D852">
        <v>12</v>
      </c>
      <c r="E852" t="s">
        <v>652</v>
      </c>
      <c r="F852" t="s">
        <v>268</v>
      </c>
      <c r="G852" s="15">
        <v>45877</v>
      </c>
      <c r="H852" t="s">
        <v>144</v>
      </c>
      <c r="I852" t="s">
        <v>625</v>
      </c>
      <c r="J852" t="s">
        <v>534</v>
      </c>
      <c r="K852">
        <v>9</v>
      </c>
      <c r="L852" t="s">
        <v>137</v>
      </c>
      <c r="M852" t="s">
        <v>651</v>
      </c>
      <c r="N852" t="s">
        <v>114</v>
      </c>
      <c r="P852">
        <v>131</v>
      </c>
      <c r="Q852">
        <v>6383</v>
      </c>
      <c r="R852" t="s">
        <v>368</v>
      </c>
      <c r="S852" t="s">
        <v>116</v>
      </c>
      <c r="T852" t="s">
        <v>407</v>
      </c>
      <c r="U852" t="s">
        <v>119</v>
      </c>
      <c r="V852" t="s">
        <v>119</v>
      </c>
      <c r="Y852" t="s">
        <v>632</v>
      </c>
      <c r="AA852">
        <v>1</v>
      </c>
      <c r="AB852" t="s">
        <v>101</v>
      </c>
      <c r="AC852" t="s">
        <v>139</v>
      </c>
      <c r="AE852" t="str">
        <f t="shared" si="13"/>
        <v>GriseSnyder</v>
      </c>
      <c r="AF852">
        <v>0.5</v>
      </c>
      <c r="AG852">
        <v>0</v>
      </c>
      <c r="AH852">
        <v>0</v>
      </c>
      <c r="AI852">
        <v>1</v>
      </c>
      <c r="AK852" t="s">
        <v>172</v>
      </c>
      <c r="AM852" t="s">
        <v>457</v>
      </c>
    </row>
    <row r="853" spans="2:39" ht="15" customHeight="1" x14ac:dyDescent="0.2">
      <c r="B853">
        <v>28</v>
      </c>
      <c r="D853">
        <v>12</v>
      </c>
      <c r="E853" t="s">
        <v>653</v>
      </c>
      <c r="F853" t="s">
        <v>268</v>
      </c>
      <c r="G853" s="15">
        <v>45877</v>
      </c>
      <c r="H853" t="s">
        <v>144</v>
      </c>
      <c r="I853" t="s">
        <v>625</v>
      </c>
      <c r="J853" t="s">
        <v>534</v>
      </c>
      <c r="K853">
        <v>9</v>
      </c>
      <c r="L853" t="s">
        <v>137</v>
      </c>
      <c r="M853" t="s">
        <v>651</v>
      </c>
      <c r="N853" t="s">
        <v>114</v>
      </c>
      <c r="P853">
        <v>131</v>
      </c>
      <c r="Q853">
        <v>6383</v>
      </c>
      <c r="R853" t="s">
        <v>368</v>
      </c>
      <c r="S853" t="s">
        <v>116</v>
      </c>
      <c r="T853" t="s">
        <v>407</v>
      </c>
      <c r="U853" t="s">
        <v>119</v>
      </c>
      <c r="V853" t="s">
        <v>135</v>
      </c>
      <c r="Y853" t="s">
        <v>176</v>
      </c>
      <c r="AA853">
        <v>1</v>
      </c>
      <c r="AB853" t="s">
        <v>100</v>
      </c>
      <c r="AC853" t="s">
        <v>239</v>
      </c>
      <c r="AE853" t="str">
        <f t="shared" si="13"/>
        <v>ShivelyForster</v>
      </c>
      <c r="AF853">
        <v>0</v>
      </c>
      <c r="AG853">
        <v>0</v>
      </c>
      <c r="AH853">
        <v>1</v>
      </c>
      <c r="AI853">
        <v>0</v>
      </c>
      <c r="AK853" t="s">
        <v>1308</v>
      </c>
      <c r="AM853" t="s">
        <v>127</v>
      </c>
    </row>
    <row r="854" spans="2:39" ht="15" customHeight="1" x14ac:dyDescent="0.2">
      <c r="B854">
        <v>29</v>
      </c>
      <c r="D854">
        <v>12</v>
      </c>
      <c r="E854" t="s">
        <v>654</v>
      </c>
      <c r="F854" t="s">
        <v>268</v>
      </c>
      <c r="G854" s="15">
        <v>45877</v>
      </c>
      <c r="H854" t="s">
        <v>144</v>
      </c>
      <c r="I854" t="s">
        <v>625</v>
      </c>
      <c r="J854" t="s">
        <v>534</v>
      </c>
      <c r="K854">
        <v>9</v>
      </c>
      <c r="L854" t="s">
        <v>137</v>
      </c>
      <c r="M854" t="s">
        <v>651</v>
      </c>
      <c r="N854" t="s">
        <v>114</v>
      </c>
      <c r="P854">
        <v>131</v>
      </c>
      <c r="Q854">
        <v>6383</v>
      </c>
      <c r="R854" t="s">
        <v>368</v>
      </c>
      <c r="S854" t="s">
        <v>116</v>
      </c>
      <c r="T854" t="s">
        <v>407</v>
      </c>
      <c r="U854" t="s">
        <v>119</v>
      </c>
      <c r="V854" t="s">
        <v>132</v>
      </c>
      <c r="Y854" t="s">
        <v>133</v>
      </c>
      <c r="AA854">
        <v>1</v>
      </c>
      <c r="AB854" t="s">
        <v>99</v>
      </c>
      <c r="AE854" t="str">
        <f t="shared" si="13"/>
        <v>FlandersMangold</v>
      </c>
      <c r="AF854">
        <v>1</v>
      </c>
      <c r="AG854">
        <v>1</v>
      </c>
      <c r="AH854">
        <v>0</v>
      </c>
      <c r="AI854">
        <v>0</v>
      </c>
      <c r="AK854" t="s">
        <v>1285</v>
      </c>
      <c r="AM854" t="s">
        <v>321</v>
      </c>
    </row>
    <row r="855" spans="2:39" ht="15" customHeight="1" x14ac:dyDescent="0.2">
      <c r="B855">
        <v>30</v>
      </c>
      <c r="D855">
        <v>12</v>
      </c>
      <c r="E855" t="s">
        <v>655</v>
      </c>
      <c r="F855" t="s">
        <v>268</v>
      </c>
      <c r="G855" s="15">
        <v>45877</v>
      </c>
      <c r="H855" t="s">
        <v>144</v>
      </c>
      <c r="I855" t="s">
        <v>625</v>
      </c>
      <c r="J855" t="s">
        <v>534</v>
      </c>
      <c r="K855">
        <v>9</v>
      </c>
      <c r="L855" t="s">
        <v>137</v>
      </c>
      <c r="M855" t="s">
        <v>651</v>
      </c>
      <c r="N855" t="s">
        <v>114</v>
      </c>
      <c r="P855">
        <v>131</v>
      </c>
      <c r="Q855">
        <v>6383</v>
      </c>
      <c r="R855" t="s">
        <v>368</v>
      </c>
      <c r="S855" t="s">
        <v>116</v>
      </c>
      <c r="T855" t="s">
        <v>407</v>
      </c>
      <c r="U855" t="s">
        <v>119</v>
      </c>
      <c r="V855" t="s">
        <v>456</v>
      </c>
      <c r="Y855" t="s">
        <v>123</v>
      </c>
      <c r="AA855">
        <v>1</v>
      </c>
      <c r="AB855" t="s">
        <v>99</v>
      </c>
      <c r="AC855" t="s">
        <v>225</v>
      </c>
      <c r="AE855" t="str">
        <f t="shared" si="13"/>
        <v>PerkinsLynch</v>
      </c>
      <c r="AF855">
        <v>1</v>
      </c>
      <c r="AG855">
        <v>1</v>
      </c>
      <c r="AH855">
        <v>0</v>
      </c>
      <c r="AI855">
        <v>0</v>
      </c>
      <c r="AK855" t="s">
        <v>541</v>
      </c>
      <c r="AM855" t="s">
        <v>118</v>
      </c>
    </row>
    <row r="856" spans="2:39" ht="15" customHeight="1" x14ac:dyDescent="0.2">
      <c r="B856">
        <v>21</v>
      </c>
      <c r="D856">
        <v>12</v>
      </c>
      <c r="E856" t="s">
        <v>656</v>
      </c>
      <c r="F856" t="s">
        <v>268</v>
      </c>
      <c r="G856" s="15">
        <v>45877</v>
      </c>
      <c r="H856" t="s">
        <v>144</v>
      </c>
      <c r="I856" t="s">
        <v>625</v>
      </c>
      <c r="J856" t="s">
        <v>534</v>
      </c>
      <c r="K856">
        <v>9</v>
      </c>
      <c r="L856" t="s">
        <v>112</v>
      </c>
      <c r="M856" t="s">
        <v>651</v>
      </c>
      <c r="N856" t="s">
        <v>114</v>
      </c>
      <c r="P856">
        <v>131</v>
      </c>
      <c r="Q856">
        <v>6383</v>
      </c>
      <c r="R856" t="s">
        <v>115</v>
      </c>
      <c r="S856" t="s">
        <v>116</v>
      </c>
      <c r="T856" t="s">
        <v>407</v>
      </c>
      <c r="U856" t="s">
        <v>119</v>
      </c>
      <c r="V856" t="s">
        <v>122</v>
      </c>
      <c r="Y856" t="s">
        <v>130</v>
      </c>
      <c r="AA856">
        <v>1</v>
      </c>
      <c r="AB856" t="s">
        <v>99</v>
      </c>
      <c r="AE856" t="str">
        <f t="shared" si="13"/>
        <v>HiltsPoirier</v>
      </c>
      <c r="AF856">
        <v>1</v>
      </c>
      <c r="AG856">
        <v>1</v>
      </c>
      <c r="AH856">
        <v>0</v>
      </c>
      <c r="AI856">
        <v>0</v>
      </c>
      <c r="AK856" t="s">
        <v>452</v>
      </c>
      <c r="AM856" t="s">
        <v>227</v>
      </c>
    </row>
    <row r="857" spans="2:39" ht="15" customHeight="1" x14ac:dyDescent="0.2">
      <c r="B857">
        <v>22</v>
      </c>
      <c r="D857">
        <v>12</v>
      </c>
      <c r="E857" t="s">
        <v>657</v>
      </c>
      <c r="F857" t="s">
        <v>268</v>
      </c>
      <c r="G857" s="15">
        <v>45877</v>
      </c>
      <c r="H857" t="s">
        <v>144</v>
      </c>
      <c r="I857" t="s">
        <v>625</v>
      </c>
      <c r="J857" t="s">
        <v>534</v>
      </c>
      <c r="K857">
        <v>9</v>
      </c>
      <c r="L857" t="s">
        <v>112</v>
      </c>
      <c r="M857" t="s">
        <v>651</v>
      </c>
      <c r="N857" t="s">
        <v>114</v>
      </c>
      <c r="P857">
        <v>131</v>
      </c>
      <c r="Q857">
        <v>6383</v>
      </c>
      <c r="R857" t="s">
        <v>115</v>
      </c>
      <c r="S857" t="s">
        <v>116</v>
      </c>
      <c r="T857" t="s">
        <v>407</v>
      </c>
      <c r="U857" t="s">
        <v>119</v>
      </c>
      <c r="V857" t="s">
        <v>119</v>
      </c>
      <c r="Y857" t="s">
        <v>632</v>
      </c>
      <c r="AA857">
        <v>1</v>
      </c>
      <c r="AB857" t="s">
        <v>99</v>
      </c>
      <c r="AE857" t="str">
        <f t="shared" si="13"/>
        <v>GriseSnyder</v>
      </c>
      <c r="AF857">
        <v>1</v>
      </c>
      <c r="AG857">
        <v>1</v>
      </c>
      <c r="AH857">
        <v>0</v>
      </c>
      <c r="AI857">
        <v>0</v>
      </c>
      <c r="AK857" t="s">
        <v>172</v>
      </c>
      <c r="AM857" t="s">
        <v>457</v>
      </c>
    </row>
    <row r="858" spans="2:39" ht="15" customHeight="1" x14ac:dyDescent="0.2">
      <c r="B858">
        <v>23</v>
      </c>
      <c r="D858">
        <v>12</v>
      </c>
      <c r="E858" t="s">
        <v>658</v>
      </c>
      <c r="F858" t="s">
        <v>268</v>
      </c>
      <c r="G858" s="15">
        <v>45877</v>
      </c>
      <c r="H858" t="s">
        <v>144</v>
      </c>
      <c r="I858" t="s">
        <v>625</v>
      </c>
      <c r="J858" t="s">
        <v>534</v>
      </c>
      <c r="K858">
        <v>9</v>
      </c>
      <c r="L858" t="s">
        <v>112</v>
      </c>
      <c r="M858" t="s">
        <v>651</v>
      </c>
      <c r="N858" t="s">
        <v>114</v>
      </c>
      <c r="P858">
        <v>131</v>
      </c>
      <c r="Q858">
        <v>6383</v>
      </c>
      <c r="R858" t="s">
        <v>115</v>
      </c>
      <c r="S858" t="s">
        <v>116</v>
      </c>
      <c r="T858" t="s">
        <v>407</v>
      </c>
      <c r="U858" t="s">
        <v>119</v>
      </c>
      <c r="V858" t="s">
        <v>135</v>
      </c>
      <c r="Y858" t="s">
        <v>176</v>
      </c>
      <c r="AA858">
        <v>1</v>
      </c>
      <c r="AB858" t="s">
        <v>99</v>
      </c>
      <c r="AC858" t="s">
        <v>627</v>
      </c>
      <c r="AE858" t="str">
        <f t="shared" si="13"/>
        <v>ShivelyForster</v>
      </c>
      <c r="AF858">
        <v>1</v>
      </c>
      <c r="AG858">
        <v>1</v>
      </c>
      <c r="AH858">
        <v>0</v>
      </c>
      <c r="AI858">
        <v>0</v>
      </c>
      <c r="AK858" t="s">
        <v>1308</v>
      </c>
      <c r="AM858" t="s">
        <v>127</v>
      </c>
    </row>
    <row r="859" spans="2:39" ht="15" customHeight="1" x14ac:dyDescent="0.2">
      <c r="B859">
        <v>24</v>
      </c>
      <c r="D859">
        <v>12</v>
      </c>
      <c r="E859" t="s">
        <v>659</v>
      </c>
      <c r="F859" t="s">
        <v>268</v>
      </c>
      <c r="G859" s="15">
        <v>45877</v>
      </c>
      <c r="H859" t="s">
        <v>144</v>
      </c>
      <c r="I859" t="s">
        <v>625</v>
      </c>
      <c r="J859" t="s">
        <v>534</v>
      </c>
      <c r="K859">
        <v>9</v>
      </c>
      <c r="L859" t="s">
        <v>112</v>
      </c>
      <c r="M859" t="s">
        <v>651</v>
      </c>
      <c r="N859" t="s">
        <v>114</v>
      </c>
      <c r="P859">
        <v>131</v>
      </c>
      <c r="Q859">
        <v>6383</v>
      </c>
      <c r="R859" t="s">
        <v>115</v>
      </c>
      <c r="S859" t="s">
        <v>116</v>
      </c>
      <c r="T859" t="s">
        <v>407</v>
      </c>
      <c r="U859" t="s">
        <v>119</v>
      </c>
      <c r="V859" t="s">
        <v>132</v>
      </c>
      <c r="Y859" t="s">
        <v>133</v>
      </c>
      <c r="AA859">
        <v>1</v>
      </c>
      <c r="AB859" t="s">
        <v>99</v>
      </c>
      <c r="AE859" t="str">
        <f t="shared" si="13"/>
        <v>FlandersMangold</v>
      </c>
      <c r="AF859">
        <v>1</v>
      </c>
      <c r="AG859">
        <v>1</v>
      </c>
      <c r="AH859">
        <v>0</v>
      </c>
      <c r="AI859">
        <v>0</v>
      </c>
      <c r="AK859" t="s">
        <v>1285</v>
      </c>
      <c r="AM859" t="s">
        <v>321</v>
      </c>
    </row>
    <row r="860" spans="2:39" ht="15" customHeight="1" x14ac:dyDescent="0.2">
      <c r="B860">
        <v>25</v>
      </c>
      <c r="D860">
        <v>12</v>
      </c>
      <c r="E860" t="s">
        <v>660</v>
      </c>
      <c r="F860" t="s">
        <v>268</v>
      </c>
      <c r="G860" s="15">
        <v>45877</v>
      </c>
      <c r="H860" t="s">
        <v>144</v>
      </c>
      <c r="I860" t="s">
        <v>625</v>
      </c>
      <c r="J860" t="s">
        <v>534</v>
      </c>
      <c r="K860">
        <v>9</v>
      </c>
      <c r="L860" t="s">
        <v>112</v>
      </c>
      <c r="M860" t="s">
        <v>651</v>
      </c>
      <c r="N860" t="s">
        <v>114</v>
      </c>
      <c r="P860">
        <v>131</v>
      </c>
      <c r="Q860">
        <v>6383</v>
      </c>
      <c r="R860" t="s">
        <v>115</v>
      </c>
      <c r="S860" t="s">
        <v>116</v>
      </c>
      <c r="T860" t="s">
        <v>407</v>
      </c>
      <c r="U860" t="s">
        <v>119</v>
      </c>
      <c r="V860" t="s">
        <v>456</v>
      </c>
      <c r="Y860" t="s">
        <v>123</v>
      </c>
      <c r="AA860">
        <v>1</v>
      </c>
      <c r="AB860" t="s">
        <v>100</v>
      </c>
      <c r="AC860" t="s">
        <v>225</v>
      </c>
      <c r="AE860" t="str">
        <f t="shared" si="13"/>
        <v>PerkinsLynch</v>
      </c>
      <c r="AF860">
        <v>0</v>
      </c>
      <c r="AG860">
        <v>0</v>
      </c>
      <c r="AH860">
        <v>1</v>
      </c>
      <c r="AI860">
        <v>0</v>
      </c>
      <c r="AK860" t="s">
        <v>541</v>
      </c>
      <c r="AM860" t="s">
        <v>118</v>
      </c>
    </row>
    <row r="861" spans="2:39" ht="15" customHeight="1" x14ac:dyDescent="0.2">
      <c r="B861">
        <v>31</v>
      </c>
      <c r="D861">
        <v>12</v>
      </c>
      <c r="E861" t="s">
        <v>661</v>
      </c>
      <c r="F861" t="s">
        <v>108</v>
      </c>
      <c r="G861" s="15">
        <v>45878</v>
      </c>
      <c r="H861" t="s">
        <v>144</v>
      </c>
      <c r="I861" t="s">
        <v>625</v>
      </c>
      <c r="J861" t="s">
        <v>534</v>
      </c>
      <c r="K861">
        <v>18</v>
      </c>
      <c r="L861" t="s">
        <v>154</v>
      </c>
      <c r="M861" t="s">
        <v>662</v>
      </c>
      <c r="N861" t="s">
        <v>114</v>
      </c>
      <c r="P861">
        <v>132</v>
      </c>
      <c r="Q861">
        <v>6272</v>
      </c>
      <c r="R861" t="s">
        <v>157</v>
      </c>
      <c r="S861" t="s">
        <v>158</v>
      </c>
      <c r="T861" t="s">
        <v>407</v>
      </c>
      <c r="U861" t="s">
        <v>119</v>
      </c>
      <c r="V861" t="s">
        <v>119</v>
      </c>
      <c r="AA861">
        <v>2</v>
      </c>
      <c r="AB861" t="s">
        <v>100</v>
      </c>
      <c r="AD861" t="s">
        <v>1308</v>
      </c>
      <c r="AE861" t="str">
        <f t="shared" si="13"/>
        <v>Grise</v>
      </c>
      <c r="AF861">
        <v>0</v>
      </c>
      <c r="AG861">
        <v>0</v>
      </c>
      <c r="AH861">
        <v>1</v>
      </c>
      <c r="AI861">
        <v>0</v>
      </c>
    </row>
    <row r="862" spans="2:39" ht="15" customHeight="1" x14ac:dyDescent="0.2">
      <c r="B862">
        <v>32</v>
      </c>
      <c r="D862">
        <v>12</v>
      </c>
      <c r="E862" t="s">
        <v>663</v>
      </c>
      <c r="F862" t="s">
        <v>108</v>
      </c>
      <c r="G862" s="15">
        <v>45878</v>
      </c>
      <c r="H862" t="s">
        <v>144</v>
      </c>
      <c r="I862" t="s">
        <v>625</v>
      </c>
      <c r="J862" t="s">
        <v>534</v>
      </c>
      <c r="K862">
        <v>18</v>
      </c>
      <c r="L862" t="s">
        <v>154</v>
      </c>
      <c r="M862" t="s">
        <v>662</v>
      </c>
      <c r="N862" t="s">
        <v>114</v>
      </c>
      <c r="P862">
        <v>132</v>
      </c>
      <c r="Q862">
        <v>6272</v>
      </c>
      <c r="R862" t="s">
        <v>157</v>
      </c>
      <c r="S862" t="s">
        <v>158</v>
      </c>
      <c r="T862" t="s">
        <v>407</v>
      </c>
      <c r="U862" t="s">
        <v>119</v>
      </c>
      <c r="V862" t="s">
        <v>123</v>
      </c>
      <c r="AA862">
        <v>2</v>
      </c>
      <c r="AB862" t="s">
        <v>100</v>
      </c>
      <c r="AD862" t="s">
        <v>452</v>
      </c>
      <c r="AE862" t="str">
        <f t="shared" si="13"/>
        <v>Lynch</v>
      </c>
      <c r="AF862">
        <v>0</v>
      </c>
      <c r="AG862">
        <v>0</v>
      </c>
      <c r="AH862">
        <v>1</v>
      </c>
      <c r="AI862">
        <v>0</v>
      </c>
    </row>
    <row r="863" spans="2:39" ht="15" customHeight="1" x14ac:dyDescent="0.2">
      <c r="B863">
        <v>33</v>
      </c>
      <c r="D863">
        <v>12</v>
      </c>
      <c r="E863" t="s">
        <v>664</v>
      </c>
      <c r="F863" t="s">
        <v>108</v>
      </c>
      <c r="G863" s="15">
        <v>45878</v>
      </c>
      <c r="H863" t="s">
        <v>144</v>
      </c>
      <c r="I863" t="s">
        <v>625</v>
      </c>
      <c r="J863" t="s">
        <v>534</v>
      </c>
      <c r="K863">
        <v>18</v>
      </c>
      <c r="L863" t="s">
        <v>154</v>
      </c>
      <c r="M863" t="s">
        <v>662</v>
      </c>
      <c r="N863" t="s">
        <v>114</v>
      </c>
      <c r="P863">
        <v>132</v>
      </c>
      <c r="Q863">
        <v>6272</v>
      </c>
      <c r="R863" t="s">
        <v>157</v>
      </c>
      <c r="S863" t="s">
        <v>158</v>
      </c>
      <c r="T863" t="s">
        <v>407</v>
      </c>
      <c r="U863" t="s">
        <v>119</v>
      </c>
      <c r="V863" t="s">
        <v>135</v>
      </c>
      <c r="AA863">
        <v>2</v>
      </c>
      <c r="AB863" t="s">
        <v>100</v>
      </c>
      <c r="AD863" t="s">
        <v>541</v>
      </c>
      <c r="AE863" t="str">
        <f t="shared" si="13"/>
        <v>Shively</v>
      </c>
      <c r="AF863">
        <v>0</v>
      </c>
      <c r="AG863">
        <v>0</v>
      </c>
      <c r="AH863">
        <v>1</v>
      </c>
      <c r="AI863">
        <v>0</v>
      </c>
    </row>
    <row r="864" spans="2:39" ht="15" customHeight="1" x14ac:dyDescent="0.2">
      <c r="B864">
        <v>34</v>
      </c>
      <c r="D864">
        <v>12</v>
      </c>
      <c r="E864" t="s">
        <v>665</v>
      </c>
      <c r="F864" t="s">
        <v>108</v>
      </c>
      <c r="G864" s="15">
        <v>45878</v>
      </c>
      <c r="H864" t="s">
        <v>144</v>
      </c>
      <c r="I864" t="s">
        <v>625</v>
      </c>
      <c r="J864" t="s">
        <v>534</v>
      </c>
      <c r="K864">
        <v>18</v>
      </c>
      <c r="L864" t="s">
        <v>154</v>
      </c>
      <c r="M864" t="s">
        <v>662</v>
      </c>
      <c r="N864" t="s">
        <v>114</v>
      </c>
      <c r="P864">
        <v>132</v>
      </c>
      <c r="Q864">
        <v>6272</v>
      </c>
      <c r="R864" t="s">
        <v>157</v>
      </c>
      <c r="S864" t="s">
        <v>158</v>
      </c>
      <c r="T864" t="s">
        <v>407</v>
      </c>
      <c r="U864" t="s">
        <v>119</v>
      </c>
      <c r="V864" t="s">
        <v>132</v>
      </c>
      <c r="AA864">
        <v>2</v>
      </c>
      <c r="AB864" t="s">
        <v>99</v>
      </c>
      <c r="AD864" t="s">
        <v>457</v>
      </c>
      <c r="AE864" t="str">
        <f t="shared" si="13"/>
        <v>Flanders</v>
      </c>
      <c r="AF864">
        <v>2</v>
      </c>
      <c r="AG864">
        <v>1</v>
      </c>
      <c r="AH864">
        <v>0</v>
      </c>
      <c r="AI864">
        <v>0</v>
      </c>
    </row>
    <row r="865" spans="2:38" ht="15" customHeight="1" x14ac:dyDescent="0.2">
      <c r="B865">
        <v>35</v>
      </c>
      <c r="D865">
        <v>12</v>
      </c>
      <c r="E865" t="s">
        <v>666</v>
      </c>
      <c r="F865" t="s">
        <v>108</v>
      </c>
      <c r="G865" s="15">
        <v>45878</v>
      </c>
      <c r="H865" t="s">
        <v>144</v>
      </c>
      <c r="I865" t="s">
        <v>625</v>
      </c>
      <c r="J865" t="s">
        <v>534</v>
      </c>
      <c r="K865">
        <v>18</v>
      </c>
      <c r="L865" t="s">
        <v>154</v>
      </c>
      <c r="M865" t="s">
        <v>662</v>
      </c>
      <c r="N865" t="s">
        <v>114</v>
      </c>
      <c r="P865">
        <v>132</v>
      </c>
      <c r="Q865">
        <v>6272</v>
      </c>
      <c r="R865" t="s">
        <v>157</v>
      </c>
      <c r="S865" t="s">
        <v>158</v>
      </c>
      <c r="T865" t="s">
        <v>407</v>
      </c>
      <c r="U865" t="s">
        <v>119</v>
      </c>
      <c r="V865" t="s">
        <v>130</v>
      </c>
      <c r="AA865">
        <v>2</v>
      </c>
      <c r="AB865" t="s">
        <v>99</v>
      </c>
      <c r="AD865" t="s">
        <v>118</v>
      </c>
      <c r="AE865" t="str">
        <f t="shared" si="13"/>
        <v>Poirier</v>
      </c>
      <c r="AF865">
        <v>2</v>
      </c>
      <c r="AG865">
        <v>1</v>
      </c>
      <c r="AH865">
        <v>0</v>
      </c>
      <c r="AI865">
        <v>0</v>
      </c>
    </row>
    <row r="866" spans="2:38" ht="15" customHeight="1" x14ac:dyDescent="0.2">
      <c r="B866">
        <v>36</v>
      </c>
      <c r="D866">
        <v>12</v>
      </c>
      <c r="E866" t="s">
        <v>1287</v>
      </c>
      <c r="F866" t="s">
        <v>108</v>
      </c>
      <c r="G866" s="15">
        <v>45878</v>
      </c>
      <c r="H866" t="s">
        <v>144</v>
      </c>
      <c r="I866" t="s">
        <v>625</v>
      </c>
      <c r="J866" t="s">
        <v>534</v>
      </c>
      <c r="K866">
        <v>18</v>
      </c>
      <c r="L866" t="s">
        <v>154</v>
      </c>
      <c r="M866" t="s">
        <v>662</v>
      </c>
      <c r="N866" t="s">
        <v>114</v>
      </c>
      <c r="P866">
        <v>132</v>
      </c>
      <c r="Q866">
        <v>6272</v>
      </c>
      <c r="R866" t="s">
        <v>157</v>
      </c>
      <c r="S866" t="s">
        <v>158</v>
      </c>
      <c r="T866" t="s">
        <v>407</v>
      </c>
      <c r="U866" t="s">
        <v>119</v>
      </c>
      <c r="V866" t="s">
        <v>632</v>
      </c>
      <c r="AA866">
        <v>2</v>
      </c>
      <c r="AB866" t="s">
        <v>99</v>
      </c>
      <c r="AD866" t="s">
        <v>1285</v>
      </c>
      <c r="AE866" t="str">
        <f t="shared" si="13"/>
        <v>Snyder</v>
      </c>
      <c r="AF866">
        <v>2</v>
      </c>
      <c r="AG866">
        <v>1</v>
      </c>
      <c r="AH866">
        <v>0</v>
      </c>
      <c r="AI866">
        <v>0</v>
      </c>
    </row>
    <row r="867" spans="2:38" ht="15" customHeight="1" x14ac:dyDescent="0.2">
      <c r="B867">
        <v>37</v>
      </c>
      <c r="D867">
        <v>12</v>
      </c>
      <c r="E867" t="s">
        <v>667</v>
      </c>
      <c r="F867" t="s">
        <v>108</v>
      </c>
      <c r="G867" s="15">
        <v>45878</v>
      </c>
      <c r="H867" t="s">
        <v>144</v>
      </c>
      <c r="I867" t="s">
        <v>625</v>
      </c>
      <c r="J867" t="s">
        <v>534</v>
      </c>
      <c r="K867">
        <v>18</v>
      </c>
      <c r="L867" t="s">
        <v>154</v>
      </c>
      <c r="M867" t="s">
        <v>662</v>
      </c>
      <c r="N867" t="s">
        <v>114</v>
      </c>
      <c r="P867">
        <v>132</v>
      </c>
      <c r="Q867">
        <v>6272</v>
      </c>
      <c r="R867" t="s">
        <v>157</v>
      </c>
      <c r="S867" t="s">
        <v>158</v>
      </c>
      <c r="T867" t="s">
        <v>407</v>
      </c>
      <c r="U867" t="s">
        <v>119</v>
      </c>
      <c r="V867" t="s">
        <v>176</v>
      </c>
      <c r="AA867">
        <v>2</v>
      </c>
      <c r="AB867" t="s">
        <v>99</v>
      </c>
      <c r="AD867" t="s">
        <v>172</v>
      </c>
      <c r="AE867" t="str">
        <f t="shared" si="13"/>
        <v>Forster</v>
      </c>
      <c r="AF867">
        <v>2</v>
      </c>
      <c r="AG867">
        <v>1</v>
      </c>
      <c r="AH867">
        <v>0</v>
      </c>
      <c r="AI867">
        <v>0</v>
      </c>
    </row>
    <row r="868" spans="2:38" ht="15" customHeight="1" x14ac:dyDescent="0.2">
      <c r="B868">
        <v>38</v>
      </c>
      <c r="D868">
        <v>12</v>
      </c>
      <c r="E868" t="s">
        <v>668</v>
      </c>
      <c r="F868" t="s">
        <v>108</v>
      </c>
      <c r="G868" s="15">
        <v>45878</v>
      </c>
      <c r="H868" t="s">
        <v>144</v>
      </c>
      <c r="I868" t="s">
        <v>625</v>
      </c>
      <c r="J868" t="s">
        <v>534</v>
      </c>
      <c r="K868">
        <v>18</v>
      </c>
      <c r="L868" t="s">
        <v>154</v>
      </c>
      <c r="M868" t="s">
        <v>662</v>
      </c>
      <c r="N868" t="s">
        <v>114</v>
      </c>
      <c r="P868">
        <v>132</v>
      </c>
      <c r="Q868">
        <v>6272</v>
      </c>
      <c r="R868" t="s">
        <v>157</v>
      </c>
      <c r="S868" t="s">
        <v>158</v>
      </c>
      <c r="T868" t="s">
        <v>407</v>
      </c>
      <c r="U868" t="s">
        <v>119</v>
      </c>
      <c r="V868" t="s">
        <v>456</v>
      </c>
      <c r="AA868">
        <v>2</v>
      </c>
      <c r="AB868" t="s">
        <v>99</v>
      </c>
      <c r="AD868" t="s">
        <v>227</v>
      </c>
      <c r="AE868" t="str">
        <f t="shared" si="13"/>
        <v>Perkins</v>
      </c>
      <c r="AF868">
        <v>2</v>
      </c>
      <c r="AG868">
        <v>1</v>
      </c>
      <c r="AH868">
        <v>0</v>
      </c>
      <c r="AI868">
        <v>0</v>
      </c>
    </row>
    <row r="869" spans="2:38" ht="15" customHeight="1" x14ac:dyDescent="0.2">
      <c r="B869">
        <v>39</v>
      </c>
      <c r="D869">
        <v>12</v>
      </c>
      <c r="E869" t="s">
        <v>669</v>
      </c>
      <c r="F869" t="s">
        <v>108</v>
      </c>
      <c r="G869" s="15">
        <v>45878</v>
      </c>
      <c r="H869" t="s">
        <v>144</v>
      </c>
      <c r="I869" t="s">
        <v>625</v>
      </c>
      <c r="J869" t="s">
        <v>534</v>
      </c>
      <c r="K869">
        <v>18</v>
      </c>
      <c r="L869" t="s">
        <v>154</v>
      </c>
      <c r="M869" t="s">
        <v>662</v>
      </c>
      <c r="N869" t="s">
        <v>114</v>
      </c>
      <c r="P869">
        <v>132</v>
      </c>
      <c r="Q869">
        <v>6272</v>
      </c>
      <c r="R869" t="s">
        <v>157</v>
      </c>
      <c r="S869" t="s">
        <v>158</v>
      </c>
      <c r="T869" t="s">
        <v>407</v>
      </c>
      <c r="U869" t="s">
        <v>119</v>
      </c>
      <c r="V869" t="s">
        <v>122</v>
      </c>
      <c r="AA869">
        <v>2</v>
      </c>
      <c r="AB869" t="s">
        <v>99</v>
      </c>
      <c r="AD869" t="s">
        <v>127</v>
      </c>
      <c r="AE869" t="str">
        <f t="shared" si="13"/>
        <v>Hilts</v>
      </c>
      <c r="AF869">
        <v>2</v>
      </c>
      <c r="AG869">
        <v>1</v>
      </c>
      <c r="AH869">
        <v>0</v>
      </c>
      <c r="AI869">
        <v>0</v>
      </c>
    </row>
    <row r="870" spans="2:38" ht="15" customHeight="1" x14ac:dyDescent="0.2">
      <c r="B870">
        <v>40</v>
      </c>
      <c r="D870">
        <v>12</v>
      </c>
      <c r="E870" t="s">
        <v>670</v>
      </c>
      <c r="F870" t="s">
        <v>108</v>
      </c>
      <c r="G870" s="15">
        <v>45878</v>
      </c>
      <c r="H870" t="s">
        <v>144</v>
      </c>
      <c r="I870" t="s">
        <v>625</v>
      </c>
      <c r="J870" t="s">
        <v>534</v>
      </c>
      <c r="K870">
        <v>18</v>
      </c>
      <c r="L870" t="s">
        <v>154</v>
      </c>
      <c r="M870" t="s">
        <v>662</v>
      </c>
      <c r="N870" t="s">
        <v>114</v>
      </c>
      <c r="P870">
        <v>132</v>
      </c>
      <c r="Q870">
        <v>6272</v>
      </c>
      <c r="R870" t="s">
        <v>157</v>
      </c>
      <c r="S870" t="s">
        <v>158</v>
      </c>
      <c r="T870" t="s">
        <v>407</v>
      </c>
      <c r="U870" t="s">
        <v>119</v>
      </c>
      <c r="V870" t="s">
        <v>133</v>
      </c>
      <c r="AA870">
        <v>2</v>
      </c>
      <c r="AB870" t="s">
        <v>100</v>
      </c>
      <c r="AD870" t="s">
        <v>321</v>
      </c>
      <c r="AE870" t="str">
        <f t="shared" si="13"/>
        <v>Mangold</v>
      </c>
      <c r="AF870">
        <v>0</v>
      </c>
      <c r="AG870">
        <v>0</v>
      </c>
      <c r="AH870">
        <v>1</v>
      </c>
      <c r="AI870">
        <v>0</v>
      </c>
    </row>
    <row r="871" spans="2:38" ht="15" customHeight="1" x14ac:dyDescent="0.2">
      <c r="B871">
        <v>32</v>
      </c>
      <c r="C871">
        <v>8</v>
      </c>
      <c r="D871">
        <v>8</v>
      </c>
      <c r="E871" t="s">
        <v>497</v>
      </c>
      <c r="F871" t="s">
        <v>153</v>
      </c>
      <c r="G871" s="15">
        <v>44821</v>
      </c>
      <c r="H871" t="s">
        <v>109</v>
      </c>
      <c r="I871" t="s">
        <v>498</v>
      </c>
      <c r="J871" t="s">
        <v>402</v>
      </c>
      <c r="K871">
        <v>18</v>
      </c>
      <c r="L871" t="s">
        <v>154</v>
      </c>
      <c r="M871" t="s">
        <v>499</v>
      </c>
      <c r="R871" t="s">
        <v>157</v>
      </c>
      <c r="S871" t="s">
        <v>158</v>
      </c>
      <c r="T871" t="s">
        <v>124</v>
      </c>
      <c r="U871" t="s">
        <v>272</v>
      </c>
      <c r="V871" t="s">
        <v>456</v>
      </c>
      <c r="AA871">
        <v>2</v>
      </c>
      <c r="AB871" t="s">
        <v>99</v>
      </c>
      <c r="AC871" t="s">
        <v>425</v>
      </c>
      <c r="AD871" t="s">
        <v>457</v>
      </c>
      <c r="AE871" t="str">
        <f t="shared" si="13"/>
        <v>Perkins</v>
      </c>
      <c r="AF871">
        <v>2</v>
      </c>
      <c r="AG871">
        <v>1</v>
      </c>
      <c r="AH871">
        <v>0</v>
      </c>
      <c r="AI871">
        <v>0</v>
      </c>
      <c r="AJ871">
        <v>0</v>
      </c>
      <c r="AK871" t="s">
        <v>457</v>
      </c>
      <c r="AL871">
        <v>0</v>
      </c>
    </row>
    <row r="872" spans="2:38" ht="15" customHeight="1" x14ac:dyDescent="0.2">
      <c r="B872">
        <v>33</v>
      </c>
      <c r="C872">
        <v>9</v>
      </c>
      <c r="D872">
        <v>8</v>
      </c>
      <c r="E872" t="s">
        <v>671</v>
      </c>
      <c r="F872" t="s">
        <v>153</v>
      </c>
      <c r="G872" s="15">
        <v>46193</v>
      </c>
      <c r="H872" t="s">
        <v>109</v>
      </c>
      <c r="I872" t="s">
        <v>672</v>
      </c>
      <c r="J872" t="s">
        <v>219</v>
      </c>
      <c r="K872">
        <v>18</v>
      </c>
      <c r="L872" t="s">
        <v>154</v>
      </c>
      <c r="M872" t="s">
        <v>673</v>
      </c>
      <c r="R872" t="s">
        <v>157</v>
      </c>
      <c r="S872" t="s">
        <v>158</v>
      </c>
      <c r="T872" t="s">
        <v>124</v>
      </c>
      <c r="U872" t="s">
        <v>272</v>
      </c>
      <c r="V872" t="s">
        <v>122</v>
      </c>
      <c r="AA872">
        <v>2</v>
      </c>
      <c r="AB872" t="s">
        <v>99</v>
      </c>
      <c r="AC872" t="s">
        <v>257</v>
      </c>
      <c r="AD872" t="s">
        <v>133</v>
      </c>
      <c r="AE872" t="str">
        <f t="shared" si="13"/>
        <v>Hilts</v>
      </c>
      <c r="AF872">
        <v>2</v>
      </c>
      <c r="AG872">
        <v>1</v>
      </c>
      <c r="AH872">
        <v>0</v>
      </c>
      <c r="AI872">
        <v>0</v>
      </c>
      <c r="AJ872">
        <v>1</v>
      </c>
      <c r="AK872" t="s">
        <v>133</v>
      </c>
      <c r="AL872">
        <v>0.42307692307692302</v>
      </c>
    </row>
    <row r="873" spans="2:38" ht="15" customHeight="1" x14ac:dyDescent="0.2">
      <c r="B873">
        <v>33</v>
      </c>
      <c r="C873">
        <v>9</v>
      </c>
      <c r="D873">
        <v>8</v>
      </c>
      <c r="E873" t="s">
        <v>671</v>
      </c>
      <c r="F873" t="s">
        <v>153</v>
      </c>
      <c r="G873" s="15">
        <v>46193</v>
      </c>
      <c r="H873" t="s">
        <v>109</v>
      </c>
      <c r="I873" t="s">
        <v>672</v>
      </c>
      <c r="J873" t="s">
        <v>219</v>
      </c>
      <c r="K873">
        <v>18</v>
      </c>
      <c r="L873" t="s">
        <v>154</v>
      </c>
      <c r="M873" t="s">
        <v>673</v>
      </c>
      <c r="R873" t="s">
        <v>157</v>
      </c>
      <c r="S873" t="s">
        <v>158</v>
      </c>
      <c r="T873" t="s">
        <v>124</v>
      </c>
      <c r="U873" t="s">
        <v>132</v>
      </c>
      <c r="V873" t="s">
        <v>133</v>
      </c>
      <c r="AA873">
        <v>2</v>
      </c>
      <c r="AB873" t="s">
        <v>100</v>
      </c>
      <c r="AC873" t="s">
        <v>257</v>
      </c>
      <c r="AD873" t="s">
        <v>122</v>
      </c>
      <c r="AE873" t="str">
        <f t="shared" si="13"/>
        <v>Mangold</v>
      </c>
      <c r="AF873">
        <v>0</v>
      </c>
      <c r="AG873">
        <v>0</v>
      </c>
      <c r="AH873">
        <v>1</v>
      </c>
      <c r="AI873">
        <v>0</v>
      </c>
      <c r="AJ873">
        <v>0</v>
      </c>
      <c r="AK873" t="s">
        <v>122</v>
      </c>
      <c r="AL873">
        <v>0.484615384615385</v>
      </c>
    </row>
    <row r="874" spans="1:40" ht="15" customHeight="1" x14ac:dyDescent="0.2">
      <c r="B874">
        <v>1</v>
      </c>
      <c r="D874">
        <v>13</v>
      </c>
      <c r="E874" t="inlineStr">
        <is>
          <t xml:space="preserve">FBC13-D1</t>
        </is>
      </c>
      <c r="F874" t="inlineStr">
        <is>
          <t xml:space="preserve">Friday</t>
        </is>
      </c>
      <c r="G874" s="15">
        <v>46297</v>
      </c>
      <c r="H874" t="inlineStr">
        <is>
          <t xml:space="preserve">AM</t>
        </is>
      </c>
      <c r="I874" t="inlineStr">
        <is>
          <t xml:space="preserve">Frisco, TX</t>
        </is>
      </c>
      <c r="J874" t="inlineStr">
        <is>
          <t xml:space="preserve">South</t>
        </is>
      </c>
      <c r="K874">
        <v>9</v>
      </c>
      <c r="L874" t="inlineStr">
        <is>
          <t xml:space="preserve">Front</t>
        </is>
      </c>
      <c r="M874" t="inlineStr">
        <is>
          <t xml:space="preserve">Fields Ranch East</t>
        </is>
      </c>
      <c r="N874" t="inlineStr">
        <is>
          <t xml:space="preserve">III (Green)</t>
        </is>
      </c>
      <c r="O874">
        <v>72.6</v>
      </c>
      <c r="P874">
        <v>140</v>
      </c>
      <c r="Q874">
        <v>6543</v>
      </c>
      <c r="R874" t="inlineStr">
        <is>
          <t xml:space="preserve">Best Ball</t>
        </is>
      </c>
      <c r="S874" t="inlineStr">
        <is>
          <t xml:space="preserve">Doubles</t>
        </is>
      </c>
      <c r="T874" t="inlineStr">
        <is>
          <t xml:space="preserve">Under 6'</t>
        </is>
      </c>
      <c r="U874" t="inlineStr">
        <is>
          <t xml:space="preserve">Mangold</t>
        </is>
      </c>
      <c r="V874" t="inlineStr">
        <is>
          <t xml:space="preserve">Ferrin</t>
        </is>
      </c>
      <c r="X874">
        <v>13</v>
      </c>
      <c r="Y874" t="inlineStr">
        <is>
          <t xml:space="preserve">Shively</t>
        </is>
      </c>
      <c r="Z874">
        <v>17</v>
      </c>
      <c r="AA874">
        <v>1</v>
      </c>
      <c r="AB874" t="inlineStr">
        <is>
          <t xml:space="preserve">L</t>
        </is>
      </c>
      <c r="AC874" t="inlineStr">
        <is>
          <t xml:space="preserve">5 Up</t>
        </is>
      </c>
      <c r="AE874" t="str">
        <f>$V874&amp;$Y874</f>
        <v>FerrinShively</v>
      </c>
      <c r="AF874">
        <v>0</v>
      </c>
      <c r="AG874">
        <v>0</v>
      </c>
      <c r="AH874">
        <v>1</v>
      </c>
      <c r="AI874">
        <v>0</v>
      </c>
      <c r="AK874" t="inlineStr">
        <is>
          <t xml:space="preserve">Poirier</t>
        </is>
      </c>
      <c r="AM874" t="inlineStr">
        <is>
          <t xml:space="preserve">Cole</t>
        </is>
      </c>
    </row>
    <row r="875" spans="1:40" ht="15" customHeight="1" x14ac:dyDescent="0.2">
      <c r="B875">
        <v>1</v>
      </c>
      <c r="D875">
        <v>13</v>
      </c>
      <c r="E875" t="inlineStr">
        <is>
          <t xml:space="preserve">FBC13-D1</t>
        </is>
      </c>
      <c r="F875" t="inlineStr">
        <is>
          <t xml:space="preserve">Friday</t>
        </is>
      </c>
      <c r="G875" s="15">
        <v>46297</v>
      </c>
      <c r="H875" t="inlineStr">
        <is>
          <t xml:space="preserve">AM</t>
        </is>
      </c>
      <c r="I875" t="inlineStr">
        <is>
          <t xml:space="preserve">Frisco, TX</t>
        </is>
      </c>
      <c r="J875" t="inlineStr">
        <is>
          <t xml:space="preserve">South</t>
        </is>
      </c>
      <c r="K875">
        <v>9</v>
      </c>
      <c r="L875" t="inlineStr">
        <is>
          <t xml:space="preserve">Front</t>
        </is>
      </c>
      <c r="M875" t="inlineStr">
        <is>
          <t xml:space="preserve">Fields Ranch East</t>
        </is>
      </c>
      <c r="N875" t="inlineStr">
        <is>
          <t xml:space="preserve">III (Green)</t>
        </is>
      </c>
      <c r="O875">
        <v>72.6</v>
      </c>
      <c r="P875">
        <v>140</v>
      </c>
      <c r="Q875">
        <v>6543</v>
      </c>
      <c r="R875" t="inlineStr">
        <is>
          <t xml:space="preserve">Best Ball</t>
        </is>
      </c>
      <c r="S875" t="inlineStr">
        <is>
          <t xml:space="preserve">Doubles</t>
        </is>
      </c>
      <c r="T875" t="inlineStr">
        <is>
          <t xml:space="preserve">Under 6'</t>
        </is>
      </c>
      <c r="U875" t="inlineStr">
        <is>
          <t xml:space="preserve">Forster</t>
        </is>
      </c>
      <c r="V875" t="inlineStr">
        <is>
          <t xml:space="preserve">Poirier</t>
        </is>
      </c>
      <c r="X875">
        <v>7</v>
      </c>
      <c r="Y875" t="inlineStr">
        <is>
          <t xml:space="preserve">Cole</t>
        </is>
      </c>
      <c r="Z875">
        <v>21</v>
      </c>
      <c r="AA875">
        <v>1</v>
      </c>
      <c r="AB875" t="inlineStr">
        <is>
          <t xml:space="preserve">W</t>
        </is>
      </c>
      <c r="AC875" t="inlineStr">
        <is>
          <t xml:space="preserve">5 Up</t>
        </is>
      </c>
      <c r="AE875" t="str">
        <f>$V875&amp;$Y875</f>
        <v>PoirierCole</v>
      </c>
      <c r="AF875">
        <v>1</v>
      </c>
      <c r="AG875">
        <v>1</v>
      </c>
      <c r="AH875">
        <v>0</v>
      </c>
      <c r="AI875">
        <v>0</v>
      </c>
      <c r="AK875" t="inlineStr">
        <is>
          <t xml:space="preserve">Ferrin</t>
        </is>
      </c>
      <c r="AM875" t="inlineStr">
        <is>
          <t xml:space="preserve">Shively</t>
        </is>
      </c>
    </row>
    <row r="876" spans="1:40" ht="15" customHeight="1" x14ac:dyDescent="0.2">
      <c r="B876">
        <v>2</v>
      </c>
      <c r="D876">
        <v>13</v>
      </c>
      <c r="E876" t="inlineStr">
        <is>
          <t xml:space="preserve">FBC13-D2</t>
        </is>
      </c>
      <c r="F876" t="inlineStr">
        <is>
          <t xml:space="preserve">Friday</t>
        </is>
      </c>
      <c r="G876" s="15">
        <v>46297</v>
      </c>
      <c r="H876" t="inlineStr">
        <is>
          <t xml:space="preserve">AM</t>
        </is>
      </c>
      <c r="I876" t="inlineStr">
        <is>
          <t xml:space="preserve">Frisco, TX</t>
        </is>
      </c>
      <c r="J876" t="inlineStr">
        <is>
          <t xml:space="preserve">South</t>
        </is>
      </c>
      <c r="K876">
        <v>9</v>
      </c>
      <c r="L876" t="inlineStr">
        <is>
          <t xml:space="preserve">Back</t>
        </is>
      </c>
      <c r="M876" t="inlineStr">
        <is>
          <t xml:space="preserve">Fields Ranch East</t>
        </is>
      </c>
      <c r="N876" t="inlineStr">
        <is>
          <t xml:space="preserve">III (Green)</t>
        </is>
      </c>
      <c r="O876">
        <v>72.6</v>
      </c>
      <c r="P876">
        <v>140</v>
      </c>
      <c r="Q876">
        <v>6543</v>
      </c>
      <c r="R876" t="inlineStr">
        <is>
          <t xml:space="preserve">Vegas</t>
        </is>
      </c>
      <c r="S876" t="inlineStr">
        <is>
          <t xml:space="preserve">Doubles</t>
        </is>
      </c>
      <c r="T876" t="inlineStr">
        <is>
          <t xml:space="preserve">Under 6'</t>
        </is>
      </c>
      <c r="U876" t="inlineStr">
        <is>
          <t xml:space="preserve">Mangold</t>
        </is>
      </c>
      <c r="V876" t="inlineStr">
        <is>
          <t xml:space="preserve">Ferrin</t>
        </is>
      </c>
      <c r="X876">
        <v>13</v>
      </c>
      <c r="Y876" t="inlineStr">
        <is>
          <t xml:space="preserve">Shively</t>
        </is>
      </c>
      <c r="Z876">
        <v>17</v>
      </c>
      <c r="AA876">
        <v>1</v>
      </c>
      <c r="AB876" t="inlineStr">
        <is>
          <t xml:space="preserve">W</t>
        </is>
      </c>
      <c r="AC876" t="inlineStr">
        <is>
          <t xml:space="preserve">1 Up</t>
        </is>
      </c>
      <c r="AE876" t="str">
        <f>$V876&amp;$Y876</f>
        <v>FerrinShively</v>
      </c>
      <c r="AF876">
        <v>1</v>
      </c>
      <c r="AG876">
        <v>1</v>
      </c>
      <c r="AH876">
        <v>0</v>
      </c>
      <c r="AI876">
        <v>0</v>
      </c>
      <c r="AK876" t="inlineStr">
        <is>
          <t xml:space="preserve">Poirier</t>
        </is>
      </c>
      <c r="AM876" t="inlineStr">
        <is>
          <t xml:space="preserve">Cole</t>
        </is>
      </c>
    </row>
    <row r="877" spans="1:40" ht="15" customHeight="1" x14ac:dyDescent="0.2">
      <c r="B877">
        <v>2</v>
      </c>
      <c r="D877">
        <v>13</v>
      </c>
      <c r="E877" t="inlineStr">
        <is>
          <t xml:space="preserve">FBC13-D2</t>
        </is>
      </c>
      <c r="F877" t="inlineStr">
        <is>
          <t xml:space="preserve">Friday</t>
        </is>
      </c>
      <c r="G877" s="15">
        <v>46297</v>
      </c>
      <c r="H877" t="inlineStr">
        <is>
          <t xml:space="preserve">AM</t>
        </is>
      </c>
      <c r="I877" t="inlineStr">
        <is>
          <t xml:space="preserve">Frisco, TX</t>
        </is>
      </c>
      <c r="J877" t="inlineStr">
        <is>
          <t xml:space="preserve">South</t>
        </is>
      </c>
      <c r="K877">
        <v>9</v>
      </c>
      <c r="L877" t="inlineStr">
        <is>
          <t xml:space="preserve">Back</t>
        </is>
      </c>
      <c r="M877" t="inlineStr">
        <is>
          <t xml:space="preserve">Fields Ranch East</t>
        </is>
      </c>
      <c r="N877" t="inlineStr">
        <is>
          <t xml:space="preserve">III (Green)</t>
        </is>
      </c>
      <c r="O877">
        <v>72.6</v>
      </c>
      <c r="P877">
        <v>140</v>
      </c>
      <c r="Q877">
        <v>6543</v>
      </c>
      <c r="R877" t="inlineStr">
        <is>
          <t xml:space="preserve">Vegas</t>
        </is>
      </c>
      <c r="S877" t="inlineStr">
        <is>
          <t xml:space="preserve">Doubles</t>
        </is>
      </c>
      <c r="T877" t="inlineStr">
        <is>
          <t xml:space="preserve">Under 6'</t>
        </is>
      </c>
      <c r="U877" t="inlineStr">
        <is>
          <t xml:space="preserve">Forster</t>
        </is>
      </c>
      <c r="V877" t="inlineStr">
        <is>
          <t xml:space="preserve">Poirier</t>
        </is>
      </c>
      <c r="X877">
        <v>7</v>
      </c>
      <c r="Y877" t="inlineStr">
        <is>
          <t xml:space="preserve">Cole</t>
        </is>
      </c>
      <c r="Z877">
        <v>21</v>
      </c>
      <c r="AA877">
        <v>1</v>
      </c>
      <c r="AB877" t="inlineStr">
        <is>
          <t xml:space="preserve">L</t>
        </is>
      </c>
      <c r="AC877" t="inlineStr">
        <is>
          <t xml:space="preserve">1 Up</t>
        </is>
      </c>
      <c r="AE877" t="str">
        <f>$V877&amp;$Y877</f>
        <v>PoirierCole</v>
      </c>
      <c r="AF877">
        <v>0</v>
      </c>
      <c r="AG877">
        <v>0</v>
      </c>
      <c r="AH877">
        <v>1</v>
      </c>
      <c r="AI877">
        <v>0</v>
      </c>
      <c r="AK877" t="inlineStr">
        <is>
          <t xml:space="preserve">Ferrin</t>
        </is>
      </c>
      <c r="AM877" t="inlineStr">
        <is>
          <t xml:space="preserve">Shively</t>
        </is>
      </c>
    </row>
    <row r="878" spans="1:40" ht="15" customHeight="1" x14ac:dyDescent="0.2">
      <c r="B878">
        <v>3</v>
      </c>
      <c r="D878">
        <v>13</v>
      </c>
      <c r="E878" t="inlineStr">
        <is>
          <t xml:space="preserve">FBC13-D3</t>
        </is>
      </c>
      <c r="F878" t="inlineStr">
        <is>
          <t xml:space="preserve">Friday</t>
        </is>
      </c>
      <c r="G878" s="15">
        <v>46297</v>
      </c>
      <c r="H878" t="inlineStr">
        <is>
          <t xml:space="preserve">AM</t>
        </is>
      </c>
      <c r="I878" t="inlineStr">
        <is>
          <t xml:space="preserve">Frisco, TX</t>
        </is>
      </c>
      <c r="J878" t="inlineStr">
        <is>
          <t xml:space="preserve">South</t>
        </is>
      </c>
      <c r="K878">
        <v>9</v>
      </c>
      <c r="L878" t="inlineStr">
        <is>
          <t xml:space="preserve">Front</t>
        </is>
      </c>
      <c r="M878" t="inlineStr">
        <is>
          <t xml:space="preserve">Fields Ranch East</t>
        </is>
      </c>
      <c r="N878" t="inlineStr">
        <is>
          <t xml:space="preserve">III (Green)</t>
        </is>
      </c>
      <c r="O878">
        <v>72.6</v>
      </c>
      <c r="P878">
        <v>140</v>
      </c>
      <c r="Q878">
        <v>6543</v>
      </c>
      <c r="R878" t="inlineStr">
        <is>
          <t xml:space="preserve">Best Ball</t>
        </is>
      </c>
      <c r="S878" t="inlineStr">
        <is>
          <t xml:space="preserve">Doubles</t>
        </is>
      </c>
      <c r="T878" t="inlineStr">
        <is>
          <t xml:space="preserve">Under 6'</t>
        </is>
      </c>
      <c r="U878" t="inlineStr">
        <is>
          <t xml:space="preserve">Mangold</t>
        </is>
      </c>
      <c r="V878" t="inlineStr">
        <is>
          <t xml:space="preserve">Welker</t>
        </is>
      </c>
      <c r="X878">
        <v>17</v>
      </c>
      <c r="Y878" t="inlineStr">
        <is>
          <t xml:space="preserve">Fogan</t>
        </is>
      </c>
      <c r="Z878">
        <v>21</v>
      </c>
      <c r="AA878">
        <v>1</v>
      </c>
      <c r="AB878" t="inlineStr">
        <is>
          <t xml:space="preserve">W</t>
        </is>
      </c>
      <c r="AC878" t="inlineStr">
        <is>
          <t xml:space="preserve">2&amp;1</t>
        </is>
      </c>
      <c r="AE878" t="str">
        <f>$V878&amp;$Y878</f>
        <v>WelkerFogan</v>
      </c>
      <c r="AF878">
        <v>1</v>
      </c>
      <c r="AG878">
        <v>1</v>
      </c>
      <c r="AH878">
        <v>0</v>
      </c>
      <c r="AI878">
        <v>0</v>
      </c>
      <c r="AK878" t="inlineStr">
        <is>
          <t xml:space="preserve">Zimmer</t>
        </is>
      </c>
      <c r="AM878" t="inlineStr">
        <is>
          <t xml:space="preserve">Hilts</t>
        </is>
      </c>
    </row>
    <row r="879" spans="1:40" ht="15" customHeight="1" x14ac:dyDescent="0.2">
      <c r="B879">
        <v>3</v>
      </c>
      <c r="D879">
        <v>13</v>
      </c>
      <c r="E879" t="inlineStr">
        <is>
          <t xml:space="preserve">FBC13-D3</t>
        </is>
      </c>
      <c r="F879" t="inlineStr">
        <is>
          <t xml:space="preserve">Friday</t>
        </is>
      </c>
      <c r="G879" s="15">
        <v>46297</v>
      </c>
      <c r="H879" t="inlineStr">
        <is>
          <t xml:space="preserve">AM</t>
        </is>
      </c>
      <c r="I879" t="inlineStr">
        <is>
          <t xml:space="preserve">Frisco, TX</t>
        </is>
      </c>
      <c r="J879" t="inlineStr">
        <is>
          <t xml:space="preserve">South</t>
        </is>
      </c>
      <c r="K879">
        <v>9</v>
      </c>
      <c r="L879" t="inlineStr">
        <is>
          <t xml:space="preserve">Front</t>
        </is>
      </c>
      <c r="M879" t="inlineStr">
        <is>
          <t xml:space="preserve">Fields Ranch East</t>
        </is>
      </c>
      <c r="N879" t="inlineStr">
        <is>
          <t xml:space="preserve">III (Green)</t>
        </is>
      </c>
      <c r="O879">
        <v>72.6</v>
      </c>
      <c r="P879">
        <v>140</v>
      </c>
      <c r="Q879">
        <v>6543</v>
      </c>
      <c r="R879" t="inlineStr">
        <is>
          <t xml:space="preserve">Best Ball</t>
        </is>
      </c>
      <c r="S879" t="inlineStr">
        <is>
          <t xml:space="preserve">Doubles</t>
        </is>
      </c>
      <c r="T879" t="inlineStr">
        <is>
          <t xml:space="preserve">Under 6'</t>
        </is>
      </c>
      <c r="U879" t="inlineStr">
        <is>
          <t xml:space="preserve">Forster</t>
        </is>
      </c>
      <c r="V879" t="inlineStr">
        <is>
          <t xml:space="preserve">Zimmer</t>
        </is>
      </c>
      <c r="X879">
        <v>10</v>
      </c>
      <c r="Y879" t="inlineStr">
        <is>
          <t xml:space="preserve">Hilts</t>
        </is>
      </c>
      <c r="Z879">
        <v>21</v>
      </c>
      <c r="AA879">
        <v>1</v>
      </c>
      <c r="AB879" t="inlineStr">
        <is>
          <t xml:space="preserve">L</t>
        </is>
      </c>
      <c r="AC879" t="inlineStr">
        <is>
          <t xml:space="preserve">2&amp;1</t>
        </is>
      </c>
      <c r="AE879" t="str">
        <f>$V879&amp;$Y879</f>
        <v>ZimmerHilts</v>
      </c>
      <c r="AF879">
        <v>0</v>
      </c>
      <c r="AG879">
        <v>0</v>
      </c>
      <c r="AH879">
        <v>1</v>
      </c>
      <c r="AI879">
        <v>0</v>
      </c>
      <c r="AK879" t="inlineStr">
        <is>
          <t xml:space="preserve">Welker</t>
        </is>
      </c>
      <c r="AM879" t="inlineStr">
        <is>
          <t xml:space="preserve">Fogan</t>
        </is>
      </c>
    </row>
    <row r="880" spans="1:40" ht="15" customHeight="1" x14ac:dyDescent="0.2">
      <c r="B880">
        <v>4</v>
      </c>
      <c r="D880">
        <v>13</v>
      </c>
      <c r="E880" t="inlineStr">
        <is>
          <t xml:space="preserve">FBC13-D4</t>
        </is>
      </c>
      <c r="F880" t="inlineStr">
        <is>
          <t xml:space="preserve">Friday</t>
        </is>
      </c>
      <c r="G880" s="15">
        <v>46297</v>
      </c>
      <c r="H880" t="inlineStr">
        <is>
          <t xml:space="preserve">AM</t>
        </is>
      </c>
      <c r="I880" t="inlineStr">
        <is>
          <t xml:space="preserve">Frisco, TX</t>
        </is>
      </c>
      <c r="J880" t="inlineStr">
        <is>
          <t xml:space="preserve">South</t>
        </is>
      </c>
      <c r="K880">
        <v>9</v>
      </c>
      <c r="L880" t="inlineStr">
        <is>
          <t xml:space="preserve">Back</t>
        </is>
      </c>
      <c r="M880" t="inlineStr">
        <is>
          <t xml:space="preserve">Fields Ranch East</t>
        </is>
      </c>
      <c r="N880" t="inlineStr">
        <is>
          <t xml:space="preserve">III (Green)</t>
        </is>
      </c>
      <c r="O880">
        <v>72.6</v>
      </c>
      <c r="P880">
        <v>140</v>
      </c>
      <c r="Q880">
        <v>6543</v>
      </c>
      <c r="R880" t="inlineStr">
        <is>
          <t xml:space="preserve">Vegas</t>
        </is>
      </c>
      <c r="S880" t="inlineStr">
        <is>
          <t xml:space="preserve">Doubles</t>
        </is>
      </c>
      <c r="T880" t="inlineStr">
        <is>
          <t xml:space="preserve">Under 6'</t>
        </is>
      </c>
      <c r="U880" t="inlineStr">
        <is>
          <t xml:space="preserve">Mangold</t>
        </is>
      </c>
      <c r="V880" t="inlineStr">
        <is>
          <t xml:space="preserve">Welker</t>
        </is>
      </c>
      <c r="X880">
        <v>17</v>
      </c>
      <c r="Y880" t="inlineStr">
        <is>
          <t xml:space="preserve">Fogan</t>
        </is>
      </c>
      <c r="Z880">
        <v>21</v>
      </c>
      <c r="AA880">
        <v>1</v>
      </c>
      <c r="AB880" t="inlineStr">
        <is>
          <t xml:space="preserve">W</t>
        </is>
      </c>
      <c r="AC880" t="inlineStr">
        <is>
          <t xml:space="preserve">2 Up</t>
        </is>
      </c>
      <c r="AE880" t="str">
        <f>$V880&amp;$Y880</f>
        <v>WelkerFogan</v>
      </c>
      <c r="AF880">
        <v>1</v>
      </c>
      <c r="AG880">
        <v>1</v>
      </c>
      <c r="AH880">
        <v>0</v>
      </c>
      <c r="AI880">
        <v>0</v>
      </c>
      <c r="AK880" t="inlineStr">
        <is>
          <t xml:space="preserve">Zimmer</t>
        </is>
      </c>
      <c r="AM880" t="inlineStr">
        <is>
          <t xml:space="preserve">Hilts</t>
        </is>
      </c>
    </row>
    <row r="881" spans="1:40" ht="15" customHeight="1" x14ac:dyDescent="0.2">
      <c r="B881">
        <v>4</v>
      </c>
      <c r="D881">
        <v>13</v>
      </c>
      <c r="E881" t="inlineStr">
        <is>
          <t xml:space="preserve">FBC13-D4</t>
        </is>
      </c>
      <c r="F881" t="inlineStr">
        <is>
          <t xml:space="preserve">Friday</t>
        </is>
      </c>
      <c r="G881" s="15">
        <v>46297</v>
      </c>
      <c r="H881" t="inlineStr">
        <is>
          <t xml:space="preserve">AM</t>
        </is>
      </c>
      <c r="I881" t="inlineStr">
        <is>
          <t xml:space="preserve">Frisco, TX</t>
        </is>
      </c>
      <c r="J881" t="inlineStr">
        <is>
          <t xml:space="preserve">South</t>
        </is>
      </c>
      <c r="K881">
        <v>9</v>
      </c>
      <c r="L881" t="inlineStr">
        <is>
          <t xml:space="preserve">Back</t>
        </is>
      </c>
      <c r="M881" t="inlineStr">
        <is>
          <t xml:space="preserve">Fields Ranch East</t>
        </is>
      </c>
      <c r="N881" t="inlineStr">
        <is>
          <t xml:space="preserve">III (Green)</t>
        </is>
      </c>
      <c r="O881">
        <v>72.6</v>
      </c>
      <c r="P881">
        <v>140</v>
      </c>
      <c r="Q881">
        <v>6543</v>
      </c>
      <c r="R881" t="inlineStr">
        <is>
          <t xml:space="preserve">Vegas</t>
        </is>
      </c>
      <c r="S881" t="inlineStr">
        <is>
          <t xml:space="preserve">Doubles</t>
        </is>
      </c>
      <c r="T881" t="inlineStr">
        <is>
          <t xml:space="preserve">Under 6'</t>
        </is>
      </c>
      <c r="U881" t="inlineStr">
        <is>
          <t xml:space="preserve">Forster</t>
        </is>
      </c>
      <c r="V881" t="inlineStr">
        <is>
          <t xml:space="preserve">Zimmer</t>
        </is>
      </c>
      <c r="X881">
        <v>10</v>
      </c>
      <c r="Y881" t="inlineStr">
        <is>
          <t xml:space="preserve">Hilts</t>
        </is>
      </c>
      <c r="Z881">
        <v>21</v>
      </c>
      <c r="AA881">
        <v>1</v>
      </c>
      <c r="AB881" t="inlineStr">
        <is>
          <t xml:space="preserve">L</t>
        </is>
      </c>
      <c r="AC881" t="inlineStr">
        <is>
          <t xml:space="preserve">2 Up</t>
        </is>
      </c>
      <c r="AE881" t="str">
        <f>$V881&amp;$Y881</f>
        <v>ZimmerHilts</v>
      </c>
      <c r="AF881">
        <v>0</v>
      </c>
      <c r="AG881">
        <v>0</v>
      </c>
      <c r="AH881">
        <v>1</v>
      </c>
      <c r="AI881">
        <v>0</v>
      </c>
      <c r="AK881" t="inlineStr">
        <is>
          <t xml:space="preserve">Welker</t>
        </is>
      </c>
      <c r="AM881" t="inlineStr">
        <is>
          <t xml:space="preserve">Fogan</t>
        </is>
      </c>
    </row>
    <row r="882" spans="1:40" ht="15" customHeight="1" x14ac:dyDescent="0.2">
      <c r="B882">
        <v>5</v>
      </c>
      <c r="D882">
        <v>13</v>
      </c>
      <c r="E882" t="inlineStr">
        <is>
          <t xml:space="preserve">FBC13-D5</t>
        </is>
      </c>
      <c r="F882" t="inlineStr">
        <is>
          <t xml:space="preserve">Friday</t>
        </is>
      </c>
      <c r="G882" s="15">
        <v>46297</v>
      </c>
      <c r="H882" t="inlineStr">
        <is>
          <t xml:space="preserve">AM</t>
        </is>
      </c>
      <c r="I882" t="inlineStr">
        <is>
          <t xml:space="preserve">Frisco, TX</t>
        </is>
      </c>
      <c r="J882" t="inlineStr">
        <is>
          <t xml:space="preserve">South</t>
        </is>
      </c>
      <c r="K882">
        <v>9</v>
      </c>
      <c r="L882" t="inlineStr">
        <is>
          <t xml:space="preserve">Front</t>
        </is>
      </c>
      <c r="M882" t="inlineStr">
        <is>
          <t xml:space="preserve">Fields Ranch East</t>
        </is>
      </c>
      <c r="N882" t="inlineStr">
        <is>
          <t xml:space="preserve">III (Green)</t>
        </is>
      </c>
      <c r="O882">
        <v>72.6</v>
      </c>
      <c r="P882">
        <v>140</v>
      </c>
      <c r="Q882">
        <v>6543</v>
      </c>
      <c r="R882" t="inlineStr">
        <is>
          <t xml:space="preserve">Best Ball</t>
        </is>
      </c>
      <c r="S882" t="inlineStr">
        <is>
          <t xml:space="preserve">Doubles</t>
        </is>
      </c>
      <c r="T882" t="inlineStr">
        <is>
          <t xml:space="preserve">Under 6'</t>
        </is>
      </c>
      <c r="U882" t="inlineStr">
        <is>
          <t xml:space="preserve">Mangold</t>
        </is>
      </c>
      <c r="V882" t="inlineStr">
        <is>
          <t xml:space="preserve">Mangold</t>
        </is>
      </c>
      <c r="X882">
        <v>19</v>
      </c>
      <c r="Y882" t="inlineStr">
        <is>
          <t xml:space="preserve">DeOteris</t>
        </is>
      </c>
      <c r="Z882">
        <v>15</v>
      </c>
      <c r="AA882">
        <v>1</v>
      </c>
      <c r="AB882" t="inlineStr">
        <is>
          <t xml:space="preserve">L</t>
        </is>
      </c>
      <c r="AC882" t="inlineStr">
        <is>
          <t xml:space="preserve">2&amp;1</t>
        </is>
      </c>
      <c r="AE882" t="str">
        <f>$V882&amp;$Y882</f>
        <v>MangoldDeOteris</v>
      </c>
      <c r="AF882">
        <v>0</v>
      </c>
      <c r="AG882">
        <v>0</v>
      </c>
      <c r="AH882">
        <v>1</v>
      </c>
      <c r="AI882">
        <v>0</v>
      </c>
      <c r="AK882" t="inlineStr">
        <is>
          <t xml:space="preserve">Delaney</t>
        </is>
      </c>
      <c r="AM882" t="inlineStr">
        <is>
          <t xml:space="preserve">Norat</t>
        </is>
      </c>
    </row>
    <row r="883" spans="1:40" ht="15" customHeight="1" x14ac:dyDescent="0.2">
      <c r="B883">
        <v>5</v>
      </c>
      <c r="D883">
        <v>13</v>
      </c>
      <c r="E883" t="inlineStr">
        <is>
          <t xml:space="preserve">FBC13-D5</t>
        </is>
      </c>
      <c r="F883" t="inlineStr">
        <is>
          <t xml:space="preserve">Friday</t>
        </is>
      </c>
      <c r="G883" s="15">
        <v>46297</v>
      </c>
      <c r="H883" t="inlineStr">
        <is>
          <t xml:space="preserve">AM</t>
        </is>
      </c>
      <c r="I883" t="inlineStr">
        <is>
          <t xml:space="preserve">Frisco, TX</t>
        </is>
      </c>
      <c r="J883" t="inlineStr">
        <is>
          <t xml:space="preserve">South</t>
        </is>
      </c>
      <c r="K883">
        <v>9</v>
      </c>
      <c r="L883" t="inlineStr">
        <is>
          <t xml:space="preserve">Front</t>
        </is>
      </c>
      <c r="M883" t="inlineStr">
        <is>
          <t xml:space="preserve">Fields Ranch East</t>
        </is>
      </c>
      <c r="N883" t="inlineStr">
        <is>
          <t xml:space="preserve">III (Green)</t>
        </is>
      </c>
      <c r="O883">
        <v>72.6</v>
      </c>
      <c r="P883">
        <v>140</v>
      </c>
      <c r="Q883">
        <v>6543</v>
      </c>
      <c r="R883" t="inlineStr">
        <is>
          <t xml:space="preserve">Best Ball</t>
        </is>
      </c>
      <c r="S883" t="inlineStr">
        <is>
          <t xml:space="preserve">Doubles</t>
        </is>
      </c>
      <c r="T883" t="inlineStr">
        <is>
          <t xml:space="preserve">Under 6'</t>
        </is>
      </c>
      <c r="U883" t="inlineStr">
        <is>
          <t xml:space="preserve">Forster</t>
        </is>
      </c>
      <c r="V883" t="inlineStr">
        <is>
          <t xml:space="preserve">Delaney</t>
        </is>
      </c>
      <c r="X883">
        <v>18</v>
      </c>
      <c r="Y883" t="inlineStr">
        <is>
          <t xml:space="preserve">Norat</t>
        </is>
      </c>
      <c r="Z883">
        <v>21</v>
      </c>
      <c r="AA883">
        <v>1</v>
      </c>
      <c r="AB883" t="inlineStr">
        <is>
          <t xml:space="preserve">W</t>
        </is>
      </c>
      <c r="AC883" t="inlineStr">
        <is>
          <t xml:space="preserve">2&amp;1</t>
        </is>
      </c>
      <c r="AE883" t="str">
        <f>$V883&amp;$Y883</f>
        <v>DelaneyNorat</v>
      </c>
      <c r="AF883">
        <v>1</v>
      </c>
      <c r="AG883">
        <v>1</v>
      </c>
      <c r="AH883">
        <v>0</v>
      </c>
      <c r="AI883">
        <v>0</v>
      </c>
      <c r="AK883" t="inlineStr">
        <is>
          <t xml:space="preserve">Mangold</t>
        </is>
      </c>
      <c r="AM883" t="inlineStr">
        <is>
          <t xml:space="preserve">DeOteris</t>
        </is>
      </c>
    </row>
    <row r="884" spans="1:40" ht="15" customHeight="1" x14ac:dyDescent="0.2">
      <c r="B884">
        <v>6</v>
      </c>
      <c r="D884">
        <v>13</v>
      </c>
      <c r="E884" t="inlineStr">
        <is>
          <t xml:space="preserve">FBC13-D6</t>
        </is>
      </c>
      <c r="F884" t="inlineStr">
        <is>
          <t xml:space="preserve">Friday</t>
        </is>
      </c>
      <c r="G884" s="15">
        <v>46297</v>
      </c>
      <c r="H884" t="inlineStr">
        <is>
          <t xml:space="preserve">AM</t>
        </is>
      </c>
      <c r="I884" t="inlineStr">
        <is>
          <t xml:space="preserve">Frisco, TX</t>
        </is>
      </c>
      <c r="J884" t="inlineStr">
        <is>
          <t xml:space="preserve">South</t>
        </is>
      </c>
      <c r="K884">
        <v>9</v>
      </c>
      <c r="L884" t="inlineStr">
        <is>
          <t xml:space="preserve">Back</t>
        </is>
      </c>
      <c r="M884" t="inlineStr">
        <is>
          <t xml:space="preserve">Fields Ranch East</t>
        </is>
      </c>
      <c r="N884" t="inlineStr">
        <is>
          <t xml:space="preserve">III (Green)</t>
        </is>
      </c>
      <c r="O884">
        <v>72.6</v>
      </c>
      <c r="P884">
        <v>140</v>
      </c>
      <c r="Q884">
        <v>6543</v>
      </c>
      <c r="R884" t="inlineStr">
        <is>
          <t xml:space="preserve">Vegas</t>
        </is>
      </c>
      <c r="S884" t="inlineStr">
        <is>
          <t xml:space="preserve">Doubles</t>
        </is>
      </c>
      <c r="T884" t="inlineStr">
        <is>
          <t xml:space="preserve">Under 6'</t>
        </is>
      </c>
      <c r="U884" t="inlineStr">
        <is>
          <t xml:space="preserve">Mangold</t>
        </is>
      </c>
      <c r="V884" t="inlineStr">
        <is>
          <t xml:space="preserve">Mangold</t>
        </is>
      </c>
      <c r="X884">
        <v>19</v>
      </c>
      <c r="Y884" t="inlineStr">
        <is>
          <t xml:space="preserve">DeOteris</t>
        </is>
      </c>
      <c r="Z884">
        <v>15</v>
      </c>
      <c r="AA884">
        <v>1</v>
      </c>
      <c r="AB884" t="inlineStr">
        <is>
          <t xml:space="preserve">L</t>
        </is>
      </c>
      <c r="AC884" t="inlineStr">
        <is>
          <t xml:space="preserve">1 Up</t>
        </is>
      </c>
      <c r="AE884" t="str">
        <f>$V884&amp;$Y884</f>
        <v>MangoldDeOteris</v>
      </c>
      <c r="AF884">
        <v>0</v>
      </c>
      <c r="AG884">
        <v>0</v>
      </c>
      <c r="AH884">
        <v>1</v>
      </c>
      <c r="AI884">
        <v>0</v>
      </c>
      <c r="AK884" t="inlineStr">
        <is>
          <t xml:space="preserve">Delaney</t>
        </is>
      </c>
      <c r="AM884" t="inlineStr">
        <is>
          <t xml:space="preserve">Norat</t>
        </is>
      </c>
    </row>
    <row r="885" spans="1:40" ht="15" customHeight="1" x14ac:dyDescent="0.2">
      <c r="B885">
        <v>6</v>
      </c>
      <c r="D885">
        <v>13</v>
      </c>
      <c r="E885" t="inlineStr">
        <is>
          <t xml:space="preserve">FBC13-D6</t>
        </is>
      </c>
      <c r="F885" t="inlineStr">
        <is>
          <t xml:space="preserve">Friday</t>
        </is>
      </c>
      <c r="G885" s="15">
        <v>46297</v>
      </c>
      <c r="H885" t="inlineStr">
        <is>
          <t xml:space="preserve">AM</t>
        </is>
      </c>
      <c r="I885" t="inlineStr">
        <is>
          <t xml:space="preserve">Frisco, TX</t>
        </is>
      </c>
      <c r="J885" t="inlineStr">
        <is>
          <t xml:space="preserve">South</t>
        </is>
      </c>
      <c r="K885">
        <v>9</v>
      </c>
      <c r="L885" t="inlineStr">
        <is>
          <t xml:space="preserve">Back</t>
        </is>
      </c>
      <c r="M885" t="inlineStr">
        <is>
          <t xml:space="preserve">Fields Ranch East</t>
        </is>
      </c>
      <c r="N885" t="inlineStr">
        <is>
          <t xml:space="preserve">III (Green)</t>
        </is>
      </c>
      <c r="O885">
        <v>72.6</v>
      </c>
      <c r="P885">
        <v>140</v>
      </c>
      <c r="Q885">
        <v>6543</v>
      </c>
      <c r="R885" t="inlineStr">
        <is>
          <t xml:space="preserve">Vegas</t>
        </is>
      </c>
      <c r="S885" t="inlineStr">
        <is>
          <t xml:space="preserve">Doubles</t>
        </is>
      </c>
      <c r="T885" t="inlineStr">
        <is>
          <t xml:space="preserve">Under 6'</t>
        </is>
      </c>
      <c r="U885" t="inlineStr">
        <is>
          <t xml:space="preserve">Forster</t>
        </is>
      </c>
      <c r="V885" t="inlineStr">
        <is>
          <t xml:space="preserve">Delaney</t>
        </is>
      </c>
      <c r="X885">
        <v>18</v>
      </c>
      <c r="Y885" t="inlineStr">
        <is>
          <t xml:space="preserve">Norat</t>
        </is>
      </c>
      <c r="Z885">
        <v>21</v>
      </c>
      <c r="AA885">
        <v>1</v>
      </c>
      <c r="AB885" t="inlineStr">
        <is>
          <t xml:space="preserve">W</t>
        </is>
      </c>
      <c r="AC885" t="inlineStr">
        <is>
          <t xml:space="preserve">1 Up</t>
        </is>
      </c>
      <c r="AE885" t="str">
        <f>$V885&amp;$Y885</f>
        <v>DelaneyNorat</v>
      </c>
      <c r="AF885">
        <v>1</v>
      </c>
      <c r="AG885">
        <v>1</v>
      </c>
      <c r="AH885">
        <v>0</v>
      </c>
      <c r="AI885">
        <v>0</v>
      </c>
      <c r="AK885" t="inlineStr">
        <is>
          <t xml:space="preserve">Mangold</t>
        </is>
      </c>
      <c r="AM885" t="inlineStr">
        <is>
          <t xml:space="preserve">DeOteris</t>
        </is>
      </c>
    </row>
    <row r="886" spans="1:40" ht="15" customHeight="1" x14ac:dyDescent="0.2">
      <c r="B886">
        <v>7</v>
      </c>
      <c r="D886">
        <v>13</v>
      </c>
      <c r="E886" t="inlineStr">
        <is>
          <t xml:space="preserve">FBC13-D7</t>
        </is>
      </c>
      <c r="F886" t="inlineStr">
        <is>
          <t xml:space="preserve">Friday</t>
        </is>
      </c>
      <c r="G886" s="15">
        <v>46297</v>
      </c>
      <c r="H886" t="inlineStr">
        <is>
          <t xml:space="preserve">AM</t>
        </is>
      </c>
      <c r="I886" t="inlineStr">
        <is>
          <t xml:space="preserve">Frisco, TX</t>
        </is>
      </c>
      <c r="J886" t="inlineStr">
        <is>
          <t xml:space="preserve">South</t>
        </is>
      </c>
      <c r="K886">
        <v>9</v>
      </c>
      <c r="L886" t="inlineStr">
        <is>
          <t xml:space="preserve">Front</t>
        </is>
      </c>
      <c r="M886" t="inlineStr">
        <is>
          <t xml:space="preserve">Fields Ranch East</t>
        </is>
      </c>
      <c r="N886" t="inlineStr">
        <is>
          <t xml:space="preserve">III (Green)</t>
        </is>
      </c>
      <c r="O886">
        <v>72.6</v>
      </c>
      <c r="P886">
        <v>140</v>
      </c>
      <c r="Q886">
        <v>6543</v>
      </c>
      <c r="R886" t="inlineStr">
        <is>
          <t xml:space="preserve">Best Ball</t>
        </is>
      </c>
      <c r="S886" t="inlineStr">
        <is>
          <t xml:space="preserve">Doubles</t>
        </is>
      </c>
      <c r="T886" t="inlineStr">
        <is>
          <t xml:space="preserve">Under 6'</t>
        </is>
      </c>
      <c r="U886" t="inlineStr">
        <is>
          <t xml:space="preserve">Mangold</t>
        </is>
      </c>
      <c r="V886" t="inlineStr">
        <is>
          <t xml:space="preserve">Gray</t>
        </is>
      </c>
      <c r="X886">
        <v>12</v>
      </c>
      <c r="Y886" t="inlineStr">
        <is>
          <t xml:space="preserve">McInerney</t>
        </is>
      </c>
      <c r="Z886">
        <v>6</v>
      </c>
      <c r="AA886">
        <v>1</v>
      </c>
      <c r="AB886" t="inlineStr">
        <is>
          <t xml:space="preserve">W</t>
        </is>
      </c>
      <c r="AC886" t="inlineStr">
        <is>
          <t xml:space="preserve">2&amp;1</t>
        </is>
      </c>
      <c r="AE886" t="str">
        <f>$V886&amp;$Y886</f>
        <v>GrayMcInerney</v>
      </c>
      <c r="AF886">
        <v>1</v>
      </c>
      <c r="AG886">
        <v>1</v>
      </c>
      <c r="AH886">
        <v>0</v>
      </c>
      <c r="AI886">
        <v>0</v>
      </c>
      <c r="AK886" t="inlineStr">
        <is>
          <t xml:space="preserve">Connolly</t>
        </is>
      </c>
      <c r="AM886" t="inlineStr">
        <is>
          <t xml:space="preserve">Grise</t>
        </is>
      </c>
    </row>
    <row r="887" spans="1:40" ht="15" customHeight="1" x14ac:dyDescent="0.2">
      <c r="B887">
        <v>7</v>
      </c>
      <c r="D887">
        <v>13</v>
      </c>
      <c r="E887" t="inlineStr">
        <is>
          <t xml:space="preserve">FBC13-D7</t>
        </is>
      </c>
      <c r="F887" t="inlineStr">
        <is>
          <t xml:space="preserve">Friday</t>
        </is>
      </c>
      <c r="G887" s="15">
        <v>46297</v>
      </c>
      <c r="H887" t="inlineStr">
        <is>
          <t xml:space="preserve">AM</t>
        </is>
      </c>
      <c r="I887" t="inlineStr">
        <is>
          <t xml:space="preserve">Frisco, TX</t>
        </is>
      </c>
      <c r="J887" t="inlineStr">
        <is>
          <t xml:space="preserve">South</t>
        </is>
      </c>
      <c r="K887">
        <v>9</v>
      </c>
      <c r="L887" t="inlineStr">
        <is>
          <t xml:space="preserve">Front</t>
        </is>
      </c>
      <c r="M887" t="inlineStr">
        <is>
          <t xml:space="preserve">Fields Ranch East</t>
        </is>
      </c>
      <c r="N887" t="inlineStr">
        <is>
          <t xml:space="preserve">III (Green)</t>
        </is>
      </c>
      <c r="O887">
        <v>72.6</v>
      </c>
      <c r="P887">
        <v>140</v>
      </c>
      <c r="Q887">
        <v>6543</v>
      </c>
      <c r="R887" t="inlineStr">
        <is>
          <t xml:space="preserve">Best Ball</t>
        </is>
      </c>
      <c r="S887" t="inlineStr">
        <is>
          <t xml:space="preserve">Doubles</t>
        </is>
      </c>
      <c r="T887" t="inlineStr">
        <is>
          <t xml:space="preserve">Under 6'</t>
        </is>
      </c>
      <c r="U887" t="inlineStr">
        <is>
          <t xml:space="preserve">Forster</t>
        </is>
      </c>
      <c r="V887" t="inlineStr">
        <is>
          <t xml:space="preserve">Connolly</t>
        </is>
      </c>
      <c r="X887">
        <v>12</v>
      </c>
      <c r="Y887" t="inlineStr">
        <is>
          <t xml:space="preserve">Grise</t>
        </is>
      </c>
      <c r="Z887">
        <v>13</v>
      </c>
      <c r="AA887">
        <v>1</v>
      </c>
      <c r="AB887" t="inlineStr">
        <is>
          <t xml:space="preserve">L</t>
        </is>
      </c>
      <c r="AC887" t="inlineStr">
        <is>
          <t xml:space="preserve">2&amp;1</t>
        </is>
      </c>
      <c r="AE887" t="str">
        <f>$V887&amp;$Y887</f>
        <v>ConnollyGrise</v>
      </c>
      <c r="AF887">
        <v>0</v>
      </c>
      <c r="AG887">
        <v>0</v>
      </c>
      <c r="AH887">
        <v>1</v>
      </c>
      <c r="AI887">
        <v>0</v>
      </c>
      <c r="AK887" t="inlineStr">
        <is>
          <t xml:space="preserve">Gray</t>
        </is>
      </c>
      <c r="AM887" t="inlineStr">
        <is>
          <t xml:space="preserve">McInerney</t>
        </is>
      </c>
    </row>
    <row r="888" spans="1:40" ht="15" customHeight="1" x14ac:dyDescent="0.2">
      <c r="B888">
        <v>8</v>
      </c>
      <c r="D888">
        <v>13</v>
      </c>
      <c r="E888" t="inlineStr">
        <is>
          <t xml:space="preserve">FBC13-D8</t>
        </is>
      </c>
      <c r="F888" t="inlineStr">
        <is>
          <t xml:space="preserve">Friday</t>
        </is>
      </c>
      <c r="G888" s="15">
        <v>46297</v>
      </c>
      <c r="H888" t="inlineStr">
        <is>
          <t xml:space="preserve">AM</t>
        </is>
      </c>
      <c r="I888" t="inlineStr">
        <is>
          <t xml:space="preserve">Frisco, TX</t>
        </is>
      </c>
      <c r="J888" t="inlineStr">
        <is>
          <t xml:space="preserve">South</t>
        </is>
      </c>
      <c r="K888">
        <v>9</v>
      </c>
      <c r="L888" t="inlineStr">
        <is>
          <t xml:space="preserve">Back</t>
        </is>
      </c>
      <c r="M888" t="inlineStr">
        <is>
          <t xml:space="preserve">Fields Ranch East</t>
        </is>
      </c>
      <c r="N888" t="inlineStr">
        <is>
          <t xml:space="preserve">III (Green)</t>
        </is>
      </c>
      <c r="O888">
        <v>72.6</v>
      </c>
      <c r="P888">
        <v>140</v>
      </c>
      <c r="Q888">
        <v>6543</v>
      </c>
      <c r="R888" t="inlineStr">
        <is>
          <t xml:space="preserve">Vegas</t>
        </is>
      </c>
      <c r="S888" t="inlineStr">
        <is>
          <t xml:space="preserve">Doubles</t>
        </is>
      </c>
      <c r="T888" t="inlineStr">
        <is>
          <t xml:space="preserve">Under 6'</t>
        </is>
      </c>
      <c r="U888" t="inlineStr">
        <is>
          <t xml:space="preserve">Mangold</t>
        </is>
      </c>
      <c r="V888" t="inlineStr">
        <is>
          <t xml:space="preserve">Gray</t>
        </is>
      </c>
      <c r="X888">
        <v>12</v>
      </c>
      <c r="Y888" t="inlineStr">
        <is>
          <t xml:space="preserve">McInerney</t>
        </is>
      </c>
      <c r="Z888">
        <v>6</v>
      </c>
      <c r="AA888">
        <v>1</v>
      </c>
      <c r="AB888" t="inlineStr">
        <is>
          <t xml:space="preserve">L</t>
        </is>
      </c>
      <c r="AC888" t="inlineStr">
        <is>
          <t xml:space="preserve">2&amp;1</t>
        </is>
      </c>
      <c r="AE888" t="str">
        <f>$V888&amp;$Y888</f>
        <v>GrayMcInerney</v>
      </c>
      <c r="AF888">
        <v>0</v>
      </c>
      <c r="AG888">
        <v>0</v>
      </c>
      <c r="AH888">
        <v>1</v>
      </c>
      <c r="AI888">
        <v>0</v>
      </c>
      <c r="AK888" t="inlineStr">
        <is>
          <t xml:space="preserve">Connolly</t>
        </is>
      </c>
      <c r="AM888" t="inlineStr">
        <is>
          <t xml:space="preserve">Grise</t>
        </is>
      </c>
    </row>
    <row r="889" spans="1:40" ht="15" customHeight="1" x14ac:dyDescent="0.2">
      <c r="B889">
        <v>8</v>
      </c>
      <c r="D889">
        <v>13</v>
      </c>
      <c r="E889" t="inlineStr">
        <is>
          <t xml:space="preserve">FBC13-D8</t>
        </is>
      </c>
      <c r="F889" t="inlineStr">
        <is>
          <t xml:space="preserve">Friday</t>
        </is>
      </c>
      <c r="G889" s="15">
        <v>46297</v>
      </c>
      <c r="H889" t="inlineStr">
        <is>
          <t xml:space="preserve">AM</t>
        </is>
      </c>
      <c r="I889" t="inlineStr">
        <is>
          <t xml:space="preserve">Frisco, TX</t>
        </is>
      </c>
      <c r="J889" t="inlineStr">
        <is>
          <t xml:space="preserve">South</t>
        </is>
      </c>
      <c r="K889">
        <v>9</v>
      </c>
      <c r="L889" t="inlineStr">
        <is>
          <t xml:space="preserve">Back</t>
        </is>
      </c>
      <c r="M889" t="inlineStr">
        <is>
          <t xml:space="preserve">Fields Ranch East</t>
        </is>
      </c>
      <c r="N889" t="inlineStr">
        <is>
          <t xml:space="preserve">III (Green)</t>
        </is>
      </c>
      <c r="O889">
        <v>72.6</v>
      </c>
      <c r="P889">
        <v>140</v>
      </c>
      <c r="Q889">
        <v>6543</v>
      </c>
      <c r="R889" t="inlineStr">
        <is>
          <t xml:space="preserve">Vegas</t>
        </is>
      </c>
      <c r="S889" t="inlineStr">
        <is>
          <t xml:space="preserve">Doubles</t>
        </is>
      </c>
      <c r="T889" t="inlineStr">
        <is>
          <t xml:space="preserve">Under 6'</t>
        </is>
      </c>
      <c r="U889" t="inlineStr">
        <is>
          <t xml:space="preserve">Forster</t>
        </is>
      </c>
      <c r="V889" t="inlineStr">
        <is>
          <t xml:space="preserve">Connolly</t>
        </is>
      </c>
      <c r="X889">
        <v>12</v>
      </c>
      <c r="Y889" t="inlineStr">
        <is>
          <t xml:space="preserve">Grise</t>
        </is>
      </c>
      <c r="Z889">
        <v>13</v>
      </c>
      <c r="AA889">
        <v>1</v>
      </c>
      <c r="AB889" t="inlineStr">
        <is>
          <t xml:space="preserve">W</t>
        </is>
      </c>
      <c r="AC889" t="inlineStr">
        <is>
          <t xml:space="preserve">2&amp;1</t>
        </is>
      </c>
      <c r="AE889" t="str">
        <f>$V889&amp;$Y889</f>
        <v>ConnollyGrise</v>
      </c>
      <c r="AF889">
        <v>1</v>
      </c>
      <c r="AG889">
        <v>1</v>
      </c>
      <c r="AH889">
        <v>0</v>
      </c>
      <c r="AI889">
        <v>0</v>
      </c>
      <c r="AK889" t="inlineStr">
        <is>
          <t xml:space="preserve">Gray</t>
        </is>
      </c>
      <c r="AM889" t="inlineStr">
        <is>
          <t xml:space="preserve">McInerney</t>
        </is>
      </c>
    </row>
    <row r="890" spans="1:40" ht="15" customHeight="1" x14ac:dyDescent="0.2">
      <c r="B890">
        <v>9</v>
      </c>
      <c r="D890">
        <v>13</v>
      </c>
      <c r="E890" t="inlineStr">
        <is>
          <t xml:space="preserve">FBC13-D9</t>
        </is>
      </c>
      <c r="F890" t="inlineStr">
        <is>
          <t xml:space="preserve">Friday</t>
        </is>
      </c>
      <c r="G890" s="15">
        <v>46297</v>
      </c>
      <c r="H890" t="inlineStr">
        <is>
          <t xml:space="preserve">AM</t>
        </is>
      </c>
      <c r="I890" t="inlineStr">
        <is>
          <t xml:space="preserve">Frisco, TX</t>
        </is>
      </c>
      <c r="J890" t="inlineStr">
        <is>
          <t xml:space="preserve">South</t>
        </is>
      </c>
      <c r="K890">
        <v>9</v>
      </c>
      <c r="L890" t="inlineStr">
        <is>
          <t xml:space="preserve">Front</t>
        </is>
      </c>
      <c r="M890" t="inlineStr">
        <is>
          <t xml:space="preserve">Fields Ranch East</t>
        </is>
      </c>
      <c r="N890" t="inlineStr">
        <is>
          <t xml:space="preserve">III (Green)</t>
        </is>
      </c>
      <c r="O890">
        <v>72.6</v>
      </c>
      <c r="P890">
        <v>140</v>
      </c>
      <c r="Q890">
        <v>6543</v>
      </c>
      <c r="R890" t="inlineStr">
        <is>
          <t xml:space="preserve">Best Ball</t>
        </is>
      </c>
      <c r="S890" t="inlineStr">
        <is>
          <t xml:space="preserve">Doubles</t>
        </is>
      </c>
      <c r="T890" t="inlineStr">
        <is>
          <t xml:space="preserve">Under 6'</t>
        </is>
      </c>
      <c r="U890" t="inlineStr">
        <is>
          <t xml:space="preserve">Mangold</t>
        </is>
      </c>
      <c r="V890" t="inlineStr">
        <is>
          <t xml:space="preserve">Lynch</t>
        </is>
      </c>
      <c r="X890">
        <v>11</v>
      </c>
      <c r="Y890" t="inlineStr">
        <is>
          <t xml:space="preserve">Piegari</t>
        </is>
      </c>
      <c r="Z890">
        <v>13</v>
      </c>
      <c r="AA890">
        <v>1</v>
      </c>
      <c r="AB890" t="inlineStr">
        <is>
          <t xml:space="preserve">L</t>
        </is>
      </c>
      <c r="AE890" t="str">
        <f>$V890&amp;$Y890</f>
        <v>LynchPiegari</v>
      </c>
      <c r="AF890">
        <v>0</v>
      </c>
      <c r="AG890">
        <v>0</v>
      </c>
      <c r="AH890">
        <v>1</v>
      </c>
      <c r="AI890">
        <v>0</v>
      </c>
      <c r="AK890" t="inlineStr">
        <is>
          <t xml:space="preserve">Forster</t>
        </is>
      </c>
      <c r="AM890" t="inlineStr">
        <is>
          <t xml:space="preserve">Flanders</t>
        </is>
      </c>
    </row>
    <row r="891" spans="1:40" ht="15" customHeight="1" x14ac:dyDescent="0.2">
      <c r="B891">
        <v>9</v>
      </c>
      <c r="D891">
        <v>13</v>
      </c>
      <c r="E891" t="inlineStr">
        <is>
          <t xml:space="preserve">FBC13-D9</t>
        </is>
      </c>
      <c r="F891" t="inlineStr">
        <is>
          <t xml:space="preserve">Friday</t>
        </is>
      </c>
      <c r="G891" s="15">
        <v>46297</v>
      </c>
      <c r="H891" t="inlineStr">
        <is>
          <t xml:space="preserve">AM</t>
        </is>
      </c>
      <c r="I891" t="inlineStr">
        <is>
          <t xml:space="preserve">Frisco, TX</t>
        </is>
      </c>
      <c r="J891" t="inlineStr">
        <is>
          <t xml:space="preserve">South</t>
        </is>
      </c>
      <c r="K891">
        <v>9</v>
      </c>
      <c r="L891" t="inlineStr">
        <is>
          <t xml:space="preserve">Front</t>
        </is>
      </c>
      <c r="M891" t="inlineStr">
        <is>
          <t xml:space="preserve">Fields Ranch East</t>
        </is>
      </c>
      <c r="N891" t="inlineStr">
        <is>
          <t xml:space="preserve">III (Green)</t>
        </is>
      </c>
      <c r="O891">
        <v>72.6</v>
      </c>
      <c r="P891">
        <v>140</v>
      </c>
      <c r="Q891">
        <v>6543</v>
      </c>
      <c r="R891" t="inlineStr">
        <is>
          <t xml:space="preserve">Best Ball</t>
        </is>
      </c>
      <c r="S891" t="inlineStr">
        <is>
          <t xml:space="preserve">Doubles</t>
        </is>
      </c>
      <c r="T891" t="inlineStr">
        <is>
          <t xml:space="preserve">Under 6'</t>
        </is>
      </c>
      <c r="U891" t="inlineStr">
        <is>
          <t xml:space="preserve">Forster</t>
        </is>
      </c>
      <c r="V891" t="inlineStr">
        <is>
          <t xml:space="preserve">Forster</t>
        </is>
      </c>
      <c r="X891">
        <v>16</v>
      </c>
      <c r="Y891" t="inlineStr">
        <is>
          <t xml:space="preserve">Flanders</t>
        </is>
      </c>
      <c r="Z891">
        <v>14</v>
      </c>
      <c r="AA891">
        <v>1</v>
      </c>
      <c r="AB891" t="inlineStr">
        <is>
          <t xml:space="preserve">W</t>
        </is>
      </c>
      <c r="AE891" t="str">
        <f>$V891&amp;$Y891</f>
        <v>ForsterFlanders</v>
      </c>
      <c r="AF891">
        <v>1</v>
      </c>
      <c r="AG891">
        <v>1</v>
      </c>
      <c r="AH891">
        <v>0</v>
      </c>
      <c r="AI891">
        <v>0</v>
      </c>
      <c r="AK891" t="inlineStr">
        <is>
          <t xml:space="preserve">Lynch</t>
        </is>
      </c>
      <c r="AM891" t="inlineStr">
        <is>
          <t xml:space="preserve">Piegari</t>
        </is>
      </c>
    </row>
    <row r="892" spans="1:40" ht="15" customHeight="1" x14ac:dyDescent="0.2">
      <c r="B892">
        <v>10</v>
      </c>
      <c r="D892">
        <v>13</v>
      </c>
      <c r="E892" t="inlineStr">
        <is>
          <t xml:space="preserve">FBC13-D10</t>
        </is>
      </c>
      <c r="F892" t="inlineStr">
        <is>
          <t xml:space="preserve">Friday</t>
        </is>
      </c>
      <c r="G892" s="15">
        <v>46297</v>
      </c>
      <c r="H892" t="inlineStr">
        <is>
          <t xml:space="preserve">AM</t>
        </is>
      </c>
      <c r="I892" t="inlineStr">
        <is>
          <t xml:space="preserve">Frisco, TX</t>
        </is>
      </c>
      <c r="J892" t="inlineStr">
        <is>
          <t xml:space="preserve">South</t>
        </is>
      </c>
      <c r="K892">
        <v>9</v>
      </c>
      <c r="L892" t="inlineStr">
        <is>
          <t xml:space="preserve">Back</t>
        </is>
      </c>
      <c r="M892" t="inlineStr">
        <is>
          <t xml:space="preserve">Fields Ranch East</t>
        </is>
      </c>
      <c r="N892" t="inlineStr">
        <is>
          <t xml:space="preserve">III (Green)</t>
        </is>
      </c>
      <c r="O892">
        <v>72.6</v>
      </c>
      <c r="P892">
        <v>140</v>
      </c>
      <c r="Q892">
        <v>6543</v>
      </c>
      <c r="R892" t="inlineStr">
        <is>
          <t xml:space="preserve">Vegas</t>
        </is>
      </c>
      <c r="S892" t="inlineStr">
        <is>
          <t xml:space="preserve">Doubles</t>
        </is>
      </c>
      <c r="T892" t="inlineStr">
        <is>
          <t xml:space="preserve">Under 6'</t>
        </is>
      </c>
      <c r="U892" t="inlineStr">
        <is>
          <t xml:space="preserve">Mangold</t>
        </is>
      </c>
      <c r="V892" t="inlineStr">
        <is>
          <t xml:space="preserve">Lynch</t>
        </is>
      </c>
      <c r="X892">
        <v>11</v>
      </c>
      <c r="Y892" t="inlineStr">
        <is>
          <t xml:space="preserve">Piegari</t>
        </is>
      </c>
      <c r="Z892">
        <v>13</v>
      </c>
      <c r="AA892">
        <v>1</v>
      </c>
      <c r="AB892" t="inlineStr">
        <is>
          <t xml:space="preserve">T</t>
        </is>
      </c>
      <c r="AC892" t="inlineStr">
        <is>
          <t xml:space="preserve">A/S</t>
        </is>
      </c>
      <c r="AE892" t="str">
        <f>$V892&amp;$Y892</f>
        <v>LynchPiegari</v>
      </c>
      <c r="AF892">
        <v>0.5</v>
      </c>
      <c r="AG892">
        <v>0</v>
      </c>
      <c r="AH892">
        <v>0</v>
      </c>
      <c r="AI892">
        <v>1</v>
      </c>
      <c r="AK892" t="inlineStr">
        <is>
          <t xml:space="preserve">Forster</t>
        </is>
      </c>
      <c r="AM892" t="inlineStr">
        <is>
          <t xml:space="preserve">Flanders</t>
        </is>
      </c>
    </row>
    <row r="893" spans="1:40" ht="15" customHeight="1" x14ac:dyDescent="0.2">
      <c r="B893">
        <v>10</v>
      </c>
      <c r="D893">
        <v>13</v>
      </c>
      <c r="E893" t="inlineStr">
        <is>
          <t xml:space="preserve">FBC13-D10</t>
        </is>
      </c>
      <c r="F893" t="inlineStr">
        <is>
          <t xml:space="preserve">Friday</t>
        </is>
      </c>
      <c r="G893" s="15">
        <v>46297</v>
      </c>
      <c r="H893" t="inlineStr">
        <is>
          <t xml:space="preserve">AM</t>
        </is>
      </c>
      <c r="I893" t="inlineStr">
        <is>
          <t xml:space="preserve">Frisco, TX</t>
        </is>
      </c>
      <c r="J893" t="inlineStr">
        <is>
          <t xml:space="preserve">South</t>
        </is>
      </c>
      <c r="K893">
        <v>9</v>
      </c>
      <c r="L893" t="inlineStr">
        <is>
          <t xml:space="preserve">Back</t>
        </is>
      </c>
      <c r="M893" t="inlineStr">
        <is>
          <t xml:space="preserve">Fields Ranch East</t>
        </is>
      </c>
      <c r="N893" t="inlineStr">
        <is>
          <t xml:space="preserve">III (Green)</t>
        </is>
      </c>
      <c r="O893">
        <v>72.6</v>
      </c>
      <c r="P893">
        <v>140</v>
      </c>
      <c r="Q893">
        <v>6543</v>
      </c>
      <c r="R893" t="inlineStr">
        <is>
          <t xml:space="preserve">Vegas</t>
        </is>
      </c>
      <c r="S893" t="inlineStr">
        <is>
          <t xml:space="preserve">Doubles</t>
        </is>
      </c>
      <c r="T893" t="inlineStr">
        <is>
          <t xml:space="preserve">Under 6'</t>
        </is>
      </c>
      <c r="U893" t="inlineStr">
        <is>
          <t xml:space="preserve">Forster</t>
        </is>
      </c>
      <c r="V893" t="inlineStr">
        <is>
          <t xml:space="preserve">Forster</t>
        </is>
      </c>
      <c r="X893">
        <v>16</v>
      </c>
      <c r="Y893" t="inlineStr">
        <is>
          <t xml:space="preserve">Flanders</t>
        </is>
      </c>
      <c r="Z893">
        <v>14</v>
      </c>
      <c r="AA893">
        <v>1</v>
      </c>
      <c r="AB893" t="inlineStr">
        <is>
          <t xml:space="preserve">T</t>
        </is>
      </c>
      <c r="AC893" t="inlineStr">
        <is>
          <t xml:space="preserve">A/S</t>
        </is>
      </c>
      <c r="AE893" t="str">
        <f>$V893&amp;$Y893</f>
        <v>ForsterFlanders</v>
      </c>
      <c r="AF893">
        <v>0.5</v>
      </c>
      <c r="AG893">
        <v>0</v>
      </c>
      <c r="AH893">
        <v>0</v>
      </c>
      <c r="AI893">
        <v>1</v>
      </c>
      <c r="AK893" t="inlineStr">
        <is>
          <t xml:space="preserve">Lynch</t>
        </is>
      </c>
      <c r="AM893" t="inlineStr">
        <is>
          <t xml:space="preserve">Piegari</t>
        </is>
      </c>
    </row>
    <row r="894" spans="1:40" ht="15" customHeight="1" x14ac:dyDescent="0.2">
      <c r="B894">
        <v>11</v>
      </c>
      <c r="D894">
        <v>13</v>
      </c>
      <c r="E894" t="inlineStr">
        <is>
          <t xml:space="preserve">FBC13-D11</t>
        </is>
      </c>
      <c r="F894" t="inlineStr">
        <is>
          <t xml:space="preserve">Friday</t>
        </is>
      </c>
      <c r="G894" s="15">
        <v>46297</v>
      </c>
      <c r="H894" t="inlineStr">
        <is>
          <t xml:space="preserve">AM</t>
        </is>
      </c>
      <c r="I894" t="inlineStr">
        <is>
          <t xml:space="preserve">Frisco, TX</t>
        </is>
      </c>
      <c r="J894" t="inlineStr">
        <is>
          <t xml:space="preserve">South</t>
        </is>
      </c>
      <c r="K894">
        <v>9</v>
      </c>
      <c r="L894" t="inlineStr">
        <is>
          <t xml:space="preserve">Front</t>
        </is>
      </c>
      <c r="M894" t="inlineStr">
        <is>
          <t xml:space="preserve">Fields Ranch East</t>
        </is>
      </c>
      <c r="N894" t="inlineStr">
        <is>
          <t xml:space="preserve">III (Green)</t>
        </is>
      </c>
      <c r="O894">
        <v>72.6</v>
      </c>
      <c r="P894">
        <v>140</v>
      </c>
      <c r="Q894">
        <v>6543</v>
      </c>
      <c r="R894" t="inlineStr">
        <is>
          <t xml:space="preserve">Best Ball</t>
        </is>
      </c>
      <c r="S894" t="inlineStr">
        <is>
          <t xml:space="preserve">Doubles</t>
        </is>
      </c>
      <c r="T894" t="inlineStr">
        <is>
          <t xml:space="preserve">Under 6'</t>
        </is>
      </c>
      <c r="U894" t="inlineStr">
        <is>
          <t xml:space="preserve">Mangold</t>
        </is>
      </c>
      <c r="V894" t="inlineStr">
        <is>
          <t xml:space="preserve">Jackson</t>
        </is>
      </c>
      <c r="X894">
        <v>11</v>
      </c>
      <c r="Y894" t="inlineStr">
        <is>
          <t xml:space="preserve">Perkins</t>
        </is>
      </c>
      <c r="Z894">
        <v>10</v>
      </c>
      <c r="AA894">
        <v>1</v>
      </c>
      <c r="AB894" t="inlineStr">
        <is>
          <t xml:space="preserve">L</t>
        </is>
      </c>
      <c r="AC894" t="inlineStr">
        <is>
          <t xml:space="preserve">4&amp;3</t>
        </is>
      </c>
      <c r="AE894" t="str">
        <f>$V894&amp;$Y894</f>
        <v>JacksonPerkins</v>
      </c>
      <c r="AF894">
        <v>0</v>
      </c>
      <c r="AG894">
        <v>0</v>
      </c>
      <c r="AH894">
        <v>1</v>
      </c>
      <c r="AI894">
        <v>0</v>
      </c>
      <c r="AK894" t="inlineStr">
        <is>
          <t xml:space="preserve">Delneky</t>
        </is>
      </c>
      <c r="AM894" t="inlineStr">
        <is>
          <t xml:space="preserve">R. Connolly</t>
        </is>
      </c>
    </row>
    <row r="895" spans="1:40" ht="15" customHeight="1" x14ac:dyDescent="0.2">
      <c r="B895">
        <v>11</v>
      </c>
      <c r="D895">
        <v>13</v>
      </c>
      <c r="E895" t="inlineStr">
        <is>
          <t xml:space="preserve">FBC13-D11</t>
        </is>
      </c>
      <c r="F895" t="inlineStr">
        <is>
          <t xml:space="preserve">Friday</t>
        </is>
      </c>
      <c r="G895" s="15">
        <v>46297</v>
      </c>
      <c r="H895" t="inlineStr">
        <is>
          <t xml:space="preserve">AM</t>
        </is>
      </c>
      <c r="I895" t="inlineStr">
        <is>
          <t xml:space="preserve">Frisco, TX</t>
        </is>
      </c>
      <c r="J895" t="inlineStr">
        <is>
          <t xml:space="preserve">South</t>
        </is>
      </c>
      <c r="K895">
        <v>9</v>
      </c>
      <c r="L895" t="inlineStr">
        <is>
          <t xml:space="preserve">Front</t>
        </is>
      </c>
      <c r="M895" t="inlineStr">
        <is>
          <t xml:space="preserve">Fields Ranch East</t>
        </is>
      </c>
      <c r="N895" t="inlineStr">
        <is>
          <t xml:space="preserve">III (Green)</t>
        </is>
      </c>
      <c r="O895">
        <v>72.6</v>
      </c>
      <c r="P895">
        <v>140</v>
      </c>
      <c r="Q895">
        <v>6543</v>
      </c>
      <c r="R895" t="inlineStr">
        <is>
          <t xml:space="preserve">Best Ball</t>
        </is>
      </c>
      <c r="S895" t="inlineStr">
        <is>
          <t xml:space="preserve">Doubles</t>
        </is>
      </c>
      <c r="T895" t="inlineStr">
        <is>
          <t xml:space="preserve">Under 6'</t>
        </is>
      </c>
      <c r="U895" t="inlineStr">
        <is>
          <t xml:space="preserve">Forster</t>
        </is>
      </c>
      <c r="V895" t="inlineStr">
        <is>
          <t xml:space="preserve">Delneky</t>
        </is>
      </c>
      <c r="X895">
        <v>22</v>
      </c>
      <c r="Y895" t="inlineStr">
        <is>
          <t xml:space="preserve">R. Connolly</t>
        </is>
      </c>
      <c r="Z895">
        <v>14</v>
      </c>
      <c r="AA895">
        <v>1</v>
      </c>
      <c r="AB895" t="inlineStr">
        <is>
          <t xml:space="preserve">W</t>
        </is>
      </c>
      <c r="AC895" t="inlineStr">
        <is>
          <t xml:space="preserve">4&amp;3</t>
        </is>
      </c>
      <c r="AE895" t="str">
        <f>$V895&amp;$Y895</f>
        <v>DelnekyR. Connolly</v>
      </c>
      <c r="AF895">
        <v>1</v>
      </c>
      <c r="AG895">
        <v>1</v>
      </c>
      <c r="AH895">
        <v>0</v>
      </c>
      <c r="AI895">
        <v>0</v>
      </c>
      <c r="AK895" t="inlineStr">
        <is>
          <t xml:space="preserve">Jackson</t>
        </is>
      </c>
      <c r="AM895" t="inlineStr">
        <is>
          <t xml:space="preserve">Perkins</t>
        </is>
      </c>
    </row>
    <row r="896" spans="1:40" ht="15" customHeight="1" x14ac:dyDescent="0.2">
      <c r="B896">
        <v>12</v>
      </c>
      <c r="D896">
        <v>13</v>
      </c>
      <c r="E896" t="inlineStr">
        <is>
          <t xml:space="preserve">FBC13-D12</t>
        </is>
      </c>
      <c r="F896" t="inlineStr">
        <is>
          <t xml:space="preserve">Friday</t>
        </is>
      </c>
      <c r="G896" s="15">
        <v>46297</v>
      </c>
      <c r="H896" t="inlineStr">
        <is>
          <t xml:space="preserve">AM</t>
        </is>
      </c>
      <c r="I896" t="inlineStr">
        <is>
          <t xml:space="preserve">Frisco, TX</t>
        </is>
      </c>
      <c r="J896" t="inlineStr">
        <is>
          <t xml:space="preserve">South</t>
        </is>
      </c>
      <c r="K896">
        <v>9</v>
      </c>
      <c r="L896" t="inlineStr">
        <is>
          <t xml:space="preserve">Back</t>
        </is>
      </c>
      <c r="M896" t="inlineStr">
        <is>
          <t xml:space="preserve">Fields Ranch East</t>
        </is>
      </c>
      <c r="N896" t="inlineStr">
        <is>
          <t xml:space="preserve">III (Green)</t>
        </is>
      </c>
      <c r="O896">
        <v>72.6</v>
      </c>
      <c r="P896">
        <v>140</v>
      </c>
      <c r="Q896">
        <v>6543</v>
      </c>
      <c r="R896" t="inlineStr">
        <is>
          <t xml:space="preserve">Vegas</t>
        </is>
      </c>
      <c r="S896" t="inlineStr">
        <is>
          <t xml:space="preserve">Doubles</t>
        </is>
      </c>
      <c r="T896" t="inlineStr">
        <is>
          <t xml:space="preserve">Under 6'</t>
        </is>
      </c>
      <c r="U896" t="inlineStr">
        <is>
          <t xml:space="preserve">Mangold</t>
        </is>
      </c>
      <c r="V896" t="inlineStr">
        <is>
          <t xml:space="preserve">Jackson</t>
        </is>
      </c>
      <c r="X896">
        <v>11</v>
      </c>
      <c r="Y896" t="inlineStr">
        <is>
          <t xml:space="preserve">Perkins</t>
        </is>
      </c>
      <c r="Z896">
        <v>10</v>
      </c>
      <c r="AA896">
        <v>1</v>
      </c>
      <c r="AB896" t="inlineStr">
        <is>
          <t xml:space="preserve">W</t>
        </is>
      </c>
      <c r="AC896" t="inlineStr">
        <is>
          <t xml:space="preserve">3&amp;2</t>
        </is>
      </c>
      <c r="AE896" t="str">
        <f>$V896&amp;$Y896</f>
        <v>JacksonPerkins</v>
      </c>
      <c r="AF896">
        <v>1</v>
      </c>
      <c r="AG896">
        <v>1</v>
      </c>
      <c r="AH896">
        <v>0</v>
      </c>
      <c r="AI896">
        <v>0</v>
      </c>
      <c r="AK896" t="inlineStr">
        <is>
          <t xml:space="preserve">Delneky</t>
        </is>
      </c>
      <c r="AM896" t="inlineStr">
        <is>
          <t xml:space="preserve">R. Connolly</t>
        </is>
      </c>
    </row>
    <row r="897" spans="1:40" ht="15" customHeight="1" x14ac:dyDescent="0.2">
      <c r="B897">
        <v>12</v>
      </c>
      <c r="D897">
        <v>13</v>
      </c>
      <c r="E897" t="inlineStr">
        <is>
          <t xml:space="preserve">FBC13-D12</t>
        </is>
      </c>
      <c r="F897" t="inlineStr">
        <is>
          <t xml:space="preserve">Friday</t>
        </is>
      </c>
      <c r="G897" s="15">
        <v>46297</v>
      </c>
      <c r="H897" t="inlineStr">
        <is>
          <t xml:space="preserve">AM</t>
        </is>
      </c>
      <c r="I897" t="inlineStr">
        <is>
          <t xml:space="preserve">Frisco, TX</t>
        </is>
      </c>
      <c r="J897" t="inlineStr">
        <is>
          <t xml:space="preserve">South</t>
        </is>
      </c>
      <c r="K897">
        <v>9</v>
      </c>
      <c r="L897" t="inlineStr">
        <is>
          <t xml:space="preserve">Back</t>
        </is>
      </c>
      <c r="M897" t="inlineStr">
        <is>
          <t xml:space="preserve">Fields Ranch East</t>
        </is>
      </c>
      <c r="N897" t="inlineStr">
        <is>
          <t xml:space="preserve">III (Green)</t>
        </is>
      </c>
      <c r="O897">
        <v>72.6</v>
      </c>
      <c r="P897">
        <v>140</v>
      </c>
      <c r="Q897">
        <v>6543</v>
      </c>
      <c r="R897" t="inlineStr">
        <is>
          <t xml:space="preserve">Vegas</t>
        </is>
      </c>
      <c r="S897" t="inlineStr">
        <is>
          <t xml:space="preserve">Doubles</t>
        </is>
      </c>
      <c r="T897" t="inlineStr">
        <is>
          <t xml:space="preserve">Under 6'</t>
        </is>
      </c>
      <c r="U897" t="inlineStr">
        <is>
          <t xml:space="preserve">Forster</t>
        </is>
      </c>
      <c r="V897" t="inlineStr">
        <is>
          <t xml:space="preserve">Delneky</t>
        </is>
      </c>
      <c r="X897">
        <v>22</v>
      </c>
      <c r="Y897" t="inlineStr">
        <is>
          <t xml:space="preserve">R. Connolly</t>
        </is>
      </c>
      <c r="Z897">
        <v>14</v>
      </c>
      <c r="AA897">
        <v>1</v>
      </c>
      <c r="AB897" t="inlineStr">
        <is>
          <t xml:space="preserve">L</t>
        </is>
      </c>
      <c r="AC897" t="inlineStr">
        <is>
          <t xml:space="preserve">3&amp;2</t>
        </is>
      </c>
      <c r="AE897" t="str">
        <f>$V897&amp;$Y897</f>
        <v>DelnekyR. Connolly</v>
      </c>
      <c r="AF897">
        <v>0</v>
      </c>
      <c r="AG897">
        <v>0</v>
      </c>
      <c r="AH897">
        <v>1</v>
      </c>
      <c r="AI897">
        <v>0</v>
      </c>
      <c r="AK897" t="inlineStr">
        <is>
          <t xml:space="preserve">Jackson</t>
        </is>
      </c>
      <c r="AM897" t="inlineStr">
        <is>
          <t xml:space="preserve">Perkins</t>
        </is>
      </c>
    </row>
    <row r="898" spans="1:40" ht="15" customHeight="1" x14ac:dyDescent="0.2">
      <c r="B898">
        <v>13</v>
      </c>
      <c r="D898">
        <v>13</v>
      </c>
      <c r="E898" t="inlineStr">
        <is>
          <t xml:space="preserve">FBC13-D13</t>
        </is>
      </c>
      <c r="F898" t="inlineStr">
        <is>
          <t xml:space="preserve">Friday</t>
        </is>
      </c>
      <c r="G898" s="15">
        <v>46297</v>
      </c>
      <c r="H898" t="inlineStr">
        <is>
          <t xml:space="preserve">PM</t>
        </is>
      </c>
      <c r="I898" t="inlineStr">
        <is>
          <t xml:space="preserve">Frisco, TX</t>
        </is>
      </c>
      <c r="J898" t="inlineStr">
        <is>
          <t xml:space="preserve">South</t>
        </is>
      </c>
      <c r="K898">
        <v>9</v>
      </c>
      <c r="L898" t="inlineStr">
        <is>
          <t xml:space="preserve">Front</t>
        </is>
      </c>
      <c r="M898" t="inlineStr">
        <is>
          <t xml:space="preserve">Fields Ranch West</t>
        </is>
      </c>
      <c r="N898" t="inlineStr">
        <is>
          <t xml:space="preserve">III (White)</t>
        </is>
      </c>
      <c r="O898">
        <v>70.1</v>
      </c>
      <c r="P898">
        <v>129</v>
      </c>
      <c r="Q898">
        <v>6149</v>
      </c>
      <c r="R898" t="inlineStr">
        <is>
          <t xml:space="preserve">Pinehurst</t>
        </is>
      </c>
      <c r="S898" t="inlineStr">
        <is>
          <t xml:space="preserve">Doubles</t>
        </is>
      </c>
      <c r="T898" t="inlineStr">
        <is>
          <t xml:space="preserve">Under 6'</t>
        </is>
      </c>
      <c r="U898" t="inlineStr">
        <is>
          <t xml:space="preserve">Mangold</t>
        </is>
      </c>
      <c r="V898" t="inlineStr">
        <is>
          <t xml:space="preserve">McInerney</t>
        </is>
      </c>
      <c r="X898">
        <v>3</v>
      </c>
      <c r="Y898" t="inlineStr">
        <is>
          <t xml:space="preserve">Shively</t>
        </is>
      </c>
      <c r="Z898">
        <v>13</v>
      </c>
      <c r="AA898">
        <v>1</v>
      </c>
      <c r="AB898" t="inlineStr">
        <is>
          <t xml:space="preserve">L</t>
        </is>
      </c>
      <c r="AC898" t="inlineStr">
        <is>
          <t xml:space="preserve">2&amp;1</t>
        </is>
      </c>
      <c r="AE898" t="str">
        <f>$V898&amp;$Y898</f>
        <v>McInerneyShively</v>
      </c>
      <c r="AF898">
        <v>0</v>
      </c>
      <c r="AG898">
        <v>0</v>
      </c>
      <c r="AH898">
        <v>1</v>
      </c>
      <c r="AI898">
        <v>0</v>
      </c>
      <c r="AK898" t="inlineStr">
        <is>
          <t xml:space="preserve">Poirier</t>
        </is>
      </c>
      <c r="AM898" t="inlineStr">
        <is>
          <t xml:space="preserve">Hilts</t>
        </is>
      </c>
    </row>
    <row r="899" spans="1:40" ht="15" customHeight="1" x14ac:dyDescent="0.2">
      <c r="B899">
        <v>13</v>
      </c>
      <c r="D899">
        <v>13</v>
      </c>
      <c r="E899" t="inlineStr">
        <is>
          <t xml:space="preserve">FBC13-D13</t>
        </is>
      </c>
      <c r="F899" t="inlineStr">
        <is>
          <t xml:space="preserve">Friday</t>
        </is>
      </c>
      <c r="G899" s="15">
        <v>46297</v>
      </c>
      <c r="H899" t="inlineStr">
        <is>
          <t xml:space="preserve">PM</t>
        </is>
      </c>
      <c r="I899" t="inlineStr">
        <is>
          <t xml:space="preserve">Frisco, TX</t>
        </is>
      </c>
      <c r="J899" t="inlineStr">
        <is>
          <t xml:space="preserve">South</t>
        </is>
      </c>
      <c r="K899">
        <v>9</v>
      </c>
      <c r="L899" t="inlineStr">
        <is>
          <t xml:space="preserve">Front</t>
        </is>
      </c>
      <c r="M899" t="inlineStr">
        <is>
          <t xml:space="preserve">Fields Ranch West</t>
        </is>
      </c>
      <c r="N899" t="inlineStr">
        <is>
          <t xml:space="preserve">III (White)</t>
        </is>
      </c>
      <c r="O899">
        <v>70.1</v>
      </c>
      <c r="P899">
        <v>129</v>
      </c>
      <c r="Q899">
        <v>6149</v>
      </c>
      <c r="R899" t="inlineStr">
        <is>
          <t xml:space="preserve">Pinehurst</t>
        </is>
      </c>
      <c r="S899" t="inlineStr">
        <is>
          <t xml:space="preserve">Doubles</t>
        </is>
      </c>
      <c r="T899" t="inlineStr">
        <is>
          <t xml:space="preserve">Under 6'</t>
        </is>
      </c>
      <c r="U899" t="inlineStr">
        <is>
          <t xml:space="preserve">Forster</t>
        </is>
      </c>
      <c r="V899" t="inlineStr">
        <is>
          <t xml:space="preserve">Poirier</t>
        </is>
      </c>
      <c r="X899">
        <v>4</v>
      </c>
      <c r="Y899" t="inlineStr">
        <is>
          <t xml:space="preserve">Hilts</t>
        </is>
      </c>
      <c r="Z899">
        <v>17</v>
      </c>
      <c r="AA899">
        <v>1</v>
      </c>
      <c r="AB899" t="inlineStr">
        <is>
          <t xml:space="preserve">W</t>
        </is>
      </c>
      <c r="AC899" t="inlineStr">
        <is>
          <t xml:space="preserve">2&amp;1</t>
        </is>
      </c>
      <c r="AE899" t="str">
        <f>$V899&amp;$Y899</f>
        <v>PoirierHilts</v>
      </c>
      <c r="AF899">
        <v>1</v>
      </c>
      <c r="AG899">
        <v>1</v>
      </c>
      <c r="AH899">
        <v>0</v>
      </c>
      <c r="AI899">
        <v>0</v>
      </c>
      <c r="AK899" t="inlineStr">
        <is>
          <t xml:space="preserve">McInerney</t>
        </is>
      </c>
      <c r="AM899" t="inlineStr">
        <is>
          <t xml:space="preserve">Shively</t>
        </is>
      </c>
    </row>
    <row r="900" spans="1:40" ht="15" customHeight="1" x14ac:dyDescent="0.2">
      <c r="B900">
        <v>14</v>
      </c>
      <c r="D900">
        <v>13</v>
      </c>
      <c r="E900" t="inlineStr">
        <is>
          <t xml:space="preserve">FBC13-D14</t>
        </is>
      </c>
      <c r="F900" t="inlineStr">
        <is>
          <t xml:space="preserve">Friday</t>
        </is>
      </c>
      <c r="G900" s="15">
        <v>46297</v>
      </c>
      <c r="H900" t="inlineStr">
        <is>
          <t xml:space="preserve">PM</t>
        </is>
      </c>
      <c r="I900" t="inlineStr">
        <is>
          <t xml:space="preserve">Frisco, TX</t>
        </is>
      </c>
      <c r="J900" t="inlineStr">
        <is>
          <t xml:space="preserve">South</t>
        </is>
      </c>
      <c r="K900">
        <v>9</v>
      </c>
      <c r="L900" t="inlineStr">
        <is>
          <t xml:space="preserve">Back</t>
        </is>
      </c>
      <c r="M900" t="inlineStr">
        <is>
          <t xml:space="preserve">Fields Ranch West</t>
        </is>
      </c>
      <c r="N900" t="inlineStr">
        <is>
          <t xml:space="preserve">III (White)</t>
        </is>
      </c>
      <c r="O900">
        <v>70.1</v>
      </c>
      <c r="P900">
        <v>129</v>
      </c>
      <c r="Q900">
        <v>6149</v>
      </c>
      <c r="R900" t="inlineStr">
        <is>
          <t xml:space="preserve">Scramble</t>
        </is>
      </c>
      <c r="S900" t="inlineStr">
        <is>
          <t xml:space="preserve">Doubles</t>
        </is>
      </c>
      <c r="T900" t="inlineStr">
        <is>
          <t xml:space="preserve">Under 6'</t>
        </is>
      </c>
      <c r="U900" t="inlineStr">
        <is>
          <t xml:space="preserve">Mangold</t>
        </is>
      </c>
      <c r="V900" t="inlineStr">
        <is>
          <t xml:space="preserve">McInerney</t>
        </is>
      </c>
      <c r="X900">
        <v>3</v>
      </c>
      <c r="Y900" t="inlineStr">
        <is>
          <t xml:space="preserve">Shively</t>
        </is>
      </c>
      <c r="Z900">
        <v>13</v>
      </c>
      <c r="AA900">
        <v>1</v>
      </c>
      <c r="AB900" t="inlineStr">
        <is>
          <t xml:space="preserve">W</t>
        </is>
      </c>
      <c r="AC900" t="inlineStr">
        <is>
          <t xml:space="preserve">5&amp;4</t>
        </is>
      </c>
      <c r="AE900" t="str">
        <f>$V900&amp;$Y900</f>
        <v>McInerneyShively</v>
      </c>
      <c r="AF900">
        <v>1</v>
      </c>
      <c r="AG900">
        <v>1</v>
      </c>
      <c r="AH900">
        <v>0</v>
      </c>
      <c r="AI900">
        <v>0</v>
      </c>
      <c r="AK900" t="inlineStr">
        <is>
          <t xml:space="preserve">Poirier</t>
        </is>
      </c>
      <c r="AM900" t="inlineStr">
        <is>
          <t xml:space="preserve">Hilts</t>
        </is>
      </c>
    </row>
    <row r="901" spans="1:40" ht="15" customHeight="1" x14ac:dyDescent="0.2">
      <c r="B901">
        <v>14</v>
      </c>
      <c r="D901">
        <v>13</v>
      </c>
      <c r="E901" t="inlineStr">
        <is>
          <t xml:space="preserve">FBC13-D14</t>
        </is>
      </c>
      <c r="F901" t="inlineStr">
        <is>
          <t xml:space="preserve">Friday</t>
        </is>
      </c>
      <c r="G901" s="15">
        <v>46297</v>
      </c>
      <c r="H901" t="inlineStr">
        <is>
          <t xml:space="preserve">PM</t>
        </is>
      </c>
      <c r="I901" t="inlineStr">
        <is>
          <t xml:space="preserve">Frisco, TX</t>
        </is>
      </c>
      <c r="J901" t="inlineStr">
        <is>
          <t xml:space="preserve">South</t>
        </is>
      </c>
      <c r="K901">
        <v>9</v>
      </c>
      <c r="L901" t="inlineStr">
        <is>
          <t xml:space="preserve">Back</t>
        </is>
      </c>
      <c r="M901" t="inlineStr">
        <is>
          <t xml:space="preserve">Fields Ranch West</t>
        </is>
      </c>
      <c r="N901" t="inlineStr">
        <is>
          <t xml:space="preserve">III (White)</t>
        </is>
      </c>
      <c r="O901">
        <v>70.1</v>
      </c>
      <c r="P901">
        <v>129</v>
      </c>
      <c r="Q901">
        <v>6149</v>
      </c>
      <c r="R901" t="inlineStr">
        <is>
          <t xml:space="preserve">Scramble</t>
        </is>
      </c>
      <c r="S901" t="inlineStr">
        <is>
          <t xml:space="preserve">Doubles</t>
        </is>
      </c>
      <c r="T901" t="inlineStr">
        <is>
          <t xml:space="preserve">Under 6'</t>
        </is>
      </c>
      <c r="U901" t="inlineStr">
        <is>
          <t xml:space="preserve">Forster</t>
        </is>
      </c>
      <c r="V901" t="inlineStr">
        <is>
          <t xml:space="preserve">Poirier</t>
        </is>
      </c>
      <c r="X901">
        <v>4</v>
      </c>
      <c r="Y901" t="inlineStr">
        <is>
          <t xml:space="preserve">Hilts</t>
        </is>
      </c>
      <c r="Z901">
        <v>17</v>
      </c>
      <c r="AA901">
        <v>1</v>
      </c>
      <c r="AB901" t="inlineStr">
        <is>
          <t xml:space="preserve">L</t>
        </is>
      </c>
      <c r="AC901" t="inlineStr">
        <is>
          <t xml:space="preserve">5&amp;4</t>
        </is>
      </c>
      <c r="AE901" t="str">
        <f>$V901&amp;$Y901</f>
        <v>PoirierHilts</v>
      </c>
      <c r="AF901">
        <v>0</v>
      </c>
      <c r="AG901">
        <v>0</v>
      </c>
      <c r="AH901">
        <v>1</v>
      </c>
      <c r="AI901">
        <v>0</v>
      </c>
      <c r="AK901" t="inlineStr">
        <is>
          <t xml:space="preserve">McInerney</t>
        </is>
      </c>
      <c r="AM901" t="inlineStr">
        <is>
          <t xml:space="preserve">Shively</t>
        </is>
      </c>
    </row>
    <row r="902" spans="1:40" ht="15" customHeight="1" x14ac:dyDescent="0.2">
      <c r="B902">
        <v>15</v>
      </c>
      <c r="D902">
        <v>13</v>
      </c>
      <c r="E902" t="inlineStr">
        <is>
          <t xml:space="preserve">FBC13-D15</t>
        </is>
      </c>
      <c r="F902" t="inlineStr">
        <is>
          <t xml:space="preserve">Friday</t>
        </is>
      </c>
      <c r="G902" s="15">
        <v>46297</v>
      </c>
      <c r="H902" t="inlineStr">
        <is>
          <t xml:space="preserve">PM</t>
        </is>
      </c>
      <c r="I902" t="inlineStr">
        <is>
          <t xml:space="preserve">Frisco, TX</t>
        </is>
      </c>
      <c r="J902" t="inlineStr">
        <is>
          <t xml:space="preserve">South</t>
        </is>
      </c>
      <c r="K902">
        <v>9</v>
      </c>
      <c r="L902" t="inlineStr">
        <is>
          <t xml:space="preserve">Front</t>
        </is>
      </c>
      <c r="M902" t="inlineStr">
        <is>
          <t xml:space="preserve">Fields Ranch West</t>
        </is>
      </c>
      <c r="N902" t="inlineStr">
        <is>
          <t xml:space="preserve">III (White)</t>
        </is>
      </c>
      <c r="O902">
        <v>70.1</v>
      </c>
      <c r="P902">
        <v>129</v>
      </c>
      <c r="Q902">
        <v>6149</v>
      </c>
      <c r="R902" t="inlineStr">
        <is>
          <t xml:space="preserve">Pinehurst</t>
        </is>
      </c>
      <c r="S902" t="inlineStr">
        <is>
          <t xml:space="preserve">Doubles</t>
        </is>
      </c>
      <c r="T902" t="inlineStr">
        <is>
          <t xml:space="preserve">Under 6'</t>
        </is>
      </c>
      <c r="U902" t="inlineStr">
        <is>
          <t xml:space="preserve">Mangold</t>
        </is>
      </c>
      <c r="V902" t="inlineStr">
        <is>
          <t xml:space="preserve">Ferrin</t>
        </is>
      </c>
      <c r="X902">
        <v>9</v>
      </c>
      <c r="Y902" t="inlineStr">
        <is>
          <t xml:space="preserve">DeOteris</t>
        </is>
      </c>
      <c r="Z902">
        <v>11</v>
      </c>
      <c r="AA902">
        <v>1</v>
      </c>
      <c r="AB902" t="inlineStr">
        <is>
          <t xml:space="preserve">T</t>
        </is>
      </c>
      <c r="AC902" t="inlineStr">
        <is>
          <t xml:space="preserve">A/S</t>
        </is>
      </c>
      <c r="AE902" t="str">
        <f>$V902&amp;$Y902</f>
        <v>FerrinDeOteris</v>
      </c>
      <c r="AF902">
        <v>0.5</v>
      </c>
      <c r="AG902">
        <v>0</v>
      </c>
      <c r="AH902">
        <v>0</v>
      </c>
      <c r="AI902">
        <v>1</v>
      </c>
      <c r="AK902" t="inlineStr">
        <is>
          <t xml:space="preserve">Zimmer</t>
        </is>
      </c>
      <c r="AM902" t="inlineStr">
        <is>
          <t xml:space="preserve">Cole</t>
        </is>
      </c>
    </row>
    <row r="903" spans="1:40" ht="15" customHeight="1" x14ac:dyDescent="0.2">
      <c r="B903">
        <v>15</v>
      </c>
      <c r="D903">
        <v>13</v>
      </c>
      <c r="E903" t="inlineStr">
        <is>
          <t xml:space="preserve">FBC13-D15</t>
        </is>
      </c>
      <c r="F903" t="inlineStr">
        <is>
          <t xml:space="preserve">Friday</t>
        </is>
      </c>
      <c r="G903" s="15">
        <v>46297</v>
      </c>
      <c r="H903" t="inlineStr">
        <is>
          <t xml:space="preserve">PM</t>
        </is>
      </c>
      <c r="I903" t="inlineStr">
        <is>
          <t xml:space="preserve">Frisco, TX</t>
        </is>
      </c>
      <c r="J903" t="inlineStr">
        <is>
          <t xml:space="preserve">South</t>
        </is>
      </c>
      <c r="K903">
        <v>9</v>
      </c>
      <c r="L903" t="inlineStr">
        <is>
          <t xml:space="preserve">Front</t>
        </is>
      </c>
      <c r="M903" t="inlineStr">
        <is>
          <t xml:space="preserve">Fields Ranch West</t>
        </is>
      </c>
      <c r="N903" t="inlineStr">
        <is>
          <t xml:space="preserve">III (White)</t>
        </is>
      </c>
      <c r="O903">
        <v>70.1</v>
      </c>
      <c r="P903">
        <v>129</v>
      </c>
      <c r="Q903">
        <v>6149</v>
      </c>
      <c r="R903" t="inlineStr">
        <is>
          <t xml:space="preserve">Pinehurst</t>
        </is>
      </c>
      <c r="S903" t="inlineStr">
        <is>
          <t xml:space="preserve">Doubles</t>
        </is>
      </c>
      <c r="T903" t="inlineStr">
        <is>
          <t xml:space="preserve">Under 6'</t>
        </is>
      </c>
      <c r="U903" t="inlineStr">
        <is>
          <t xml:space="preserve">Forster</t>
        </is>
      </c>
      <c r="V903" t="inlineStr">
        <is>
          <t xml:space="preserve">Zimmer</t>
        </is>
      </c>
      <c r="X903">
        <v>7</v>
      </c>
      <c r="Y903" t="inlineStr">
        <is>
          <t xml:space="preserve">Cole</t>
        </is>
      </c>
      <c r="Z903">
        <v>17</v>
      </c>
      <c r="AA903">
        <v>1</v>
      </c>
      <c r="AB903" t="inlineStr">
        <is>
          <t xml:space="preserve">T</t>
        </is>
      </c>
      <c r="AC903" t="inlineStr">
        <is>
          <t xml:space="preserve">A/S</t>
        </is>
      </c>
      <c r="AE903" t="str">
        <f>$V903&amp;$Y903</f>
        <v>ZimmerCole</v>
      </c>
      <c r="AF903">
        <v>0.5</v>
      </c>
      <c r="AG903">
        <v>0</v>
      </c>
      <c r="AH903">
        <v>0</v>
      </c>
      <c r="AI903">
        <v>1</v>
      </c>
      <c r="AK903" t="inlineStr">
        <is>
          <t xml:space="preserve">Ferrin</t>
        </is>
      </c>
      <c r="AM903" t="inlineStr">
        <is>
          <t xml:space="preserve">DeOteris</t>
        </is>
      </c>
    </row>
    <row r="904" spans="1:40" ht="15" customHeight="1" x14ac:dyDescent="0.2">
      <c r="B904">
        <v>16</v>
      </c>
      <c r="D904">
        <v>13</v>
      </c>
      <c r="E904" t="inlineStr">
        <is>
          <t xml:space="preserve">FBC13-D16</t>
        </is>
      </c>
      <c r="F904" t="inlineStr">
        <is>
          <t xml:space="preserve">Friday</t>
        </is>
      </c>
      <c r="G904" s="15">
        <v>46297</v>
      </c>
      <c r="H904" t="inlineStr">
        <is>
          <t xml:space="preserve">PM</t>
        </is>
      </c>
      <c r="I904" t="inlineStr">
        <is>
          <t xml:space="preserve">Frisco, TX</t>
        </is>
      </c>
      <c r="J904" t="inlineStr">
        <is>
          <t xml:space="preserve">South</t>
        </is>
      </c>
      <c r="K904">
        <v>9</v>
      </c>
      <c r="L904" t="inlineStr">
        <is>
          <t xml:space="preserve">Back</t>
        </is>
      </c>
      <c r="M904" t="inlineStr">
        <is>
          <t xml:space="preserve">Fields Ranch West</t>
        </is>
      </c>
      <c r="N904" t="inlineStr">
        <is>
          <t xml:space="preserve">III (White)</t>
        </is>
      </c>
      <c r="O904">
        <v>70.1</v>
      </c>
      <c r="P904">
        <v>129</v>
      </c>
      <c r="Q904">
        <v>6149</v>
      </c>
      <c r="R904" t="inlineStr">
        <is>
          <t xml:space="preserve">Scramble</t>
        </is>
      </c>
      <c r="S904" t="inlineStr">
        <is>
          <t xml:space="preserve">Doubles</t>
        </is>
      </c>
      <c r="T904" t="inlineStr">
        <is>
          <t xml:space="preserve">Under 6'</t>
        </is>
      </c>
      <c r="U904" t="inlineStr">
        <is>
          <t xml:space="preserve">Mangold</t>
        </is>
      </c>
      <c r="V904" t="inlineStr">
        <is>
          <t xml:space="preserve">Ferrin</t>
        </is>
      </c>
      <c r="X904">
        <v>9</v>
      </c>
      <c r="Y904" t="inlineStr">
        <is>
          <t xml:space="preserve">DeOteris</t>
        </is>
      </c>
      <c r="Z904">
        <v>11</v>
      </c>
      <c r="AA904">
        <v>1</v>
      </c>
      <c r="AB904" t="inlineStr">
        <is>
          <t xml:space="preserve">W</t>
        </is>
      </c>
      <c r="AE904" t="str">
        <f>$V904&amp;$Y904</f>
        <v>FerrinDeOteris</v>
      </c>
      <c r="AF904">
        <v>1</v>
      </c>
      <c r="AG904">
        <v>1</v>
      </c>
      <c r="AH904">
        <v>0</v>
      </c>
      <c r="AI904">
        <v>0</v>
      </c>
      <c r="AK904" t="inlineStr">
        <is>
          <t xml:space="preserve">Zimmer</t>
        </is>
      </c>
      <c r="AM904" t="inlineStr">
        <is>
          <t xml:space="preserve">Cole</t>
        </is>
      </c>
    </row>
    <row r="905" spans="1:40" ht="15" customHeight="1" x14ac:dyDescent="0.2">
      <c r="B905">
        <v>16</v>
      </c>
      <c r="D905">
        <v>13</v>
      </c>
      <c r="E905" t="inlineStr">
        <is>
          <t xml:space="preserve">FBC13-D16</t>
        </is>
      </c>
      <c r="F905" t="inlineStr">
        <is>
          <t xml:space="preserve">Friday</t>
        </is>
      </c>
      <c r="G905" s="15">
        <v>46297</v>
      </c>
      <c r="H905" t="inlineStr">
        <is>
          <t xml:space="preserve">PM</t>
        </is>
      </c>
      <c r="I905" t="inlineStr">
        <is>
          <t xml:space="preserve">Frisco, TX</t>
        </is>
      </c>
      <c r="J905" t="inlineStr">
        <is>
          <t xml:space="preserve">South</t>
        </is>
      </c>
      <c r="K905">
        <v>9</v>
      </c>
      <c r="L905" t="inlineStr">
        <is>
          <t xml:space="preserve">Back</t>
        </is>
      </c>
      <c r="M905" t="inlineStr">
        <is>
          <t xml:space="preserve">Fields Ranch West</t>
        </is>
      </c>
      <c r="N905" t="inlineStr">
        <is>
          <t xml:space="preserve">III (White)</t>
        </is>
      </c>
      <c r="O905">
        <v>70.1</v>
      </c>
      <c r="P905">
        <v>129</v>
      </c>
      <c r="Q905">
        <v>6149</v>
      </c>
      <c r="R905" t="inlineStr">
        <is>
          <t xml:space="preserve">Scramble</t>
        </is>
      </c>
      <c r="S905" t="inlineStr">
        <is>
          <t xml:space="preserve">Doubles</t>
        </is>
      </c>
      <c r="T905" t="inlineStr">
        <is>
          <t xml:space="preserve">Under 6'</t>
        </is>
      </c>
      <c r="U905" t="inlineStr">
        <is>
          <t xml:space="preserve">Forster</t>
        </is>
      </c>
      <c r="V905" t="inlineStr">
        <is>
          <t xml:space="preserve">Zimmer</t>
        </is>
      </c>
      <c r="X905">
        <v>7</v>
      </c>
      <c r="Y905" t="inlineStr">
        <is>
          <t xml:space="preserve">Cole</t>
        </is>
      </c>
      <c r="Z905">
        <v>17</v>
      </c>
      <c r="AA905">
        <v>1</v>
      </c>
      <c r="AB905" t="inlineStr">
        <is>
          <t xml:space="preserve">L</t>
        </is>
      </c>
      <c r="AE905" t="str">
        <f>$V905&amp;$Y905</f>
        <v>ZimmerCole</v>
      </c>
      <c r="AF905">
        <v>0</v>
      </c>
      <c r="AG905">
        <v>0</v>
      </c>
      <c r="AH905">
        <v>1</v>
      </c>
      <c r="AI905">
        <v>0</v>
      </c>
      <c r="AK905" t="inlineStr">
        <is>
          <t xml:space="preserve">Ferrin</t>
        </is>
      </c>
      <c r="AM905" t="inlineStr">
        <is>
          <t xml:space="preserve">DeOteris</t>
        </is>
      </c>
    </row>
    <row r="906" spans="1:40" ht="15" customHeight="1" x14ac:dyDescent="0.2">
      <c r="B906">
        <v>17</v>
      </c>
      <c r="D906">
        <v>13</v>
      </c>
      <c r="E906" t="inlineStr">
        <is>
          <t xml:space="preserve">FBC13-D17</t>
        </is>
      </c>
      <c r="F906" t="inlineStr">
        <is>
          <t xml:space="preserve">Friday</t>
        </is>
      </c>
      <c r="G906" s="15">
        <v>46297</v>
      </c>
      <c r="H906" t="inlineStr">
        <is>
          <t xml:space="preserve">PM</t>
        </is>
      </c>
      <c r="I906" t="inlineStr">
        <is>
          <t xml:space="preserve">Frisco, TX</t>
        </is>
      </c>
      <c r="J906" t="inlineStr">
        <is>
          <t xml:space="preserve">South</t>
        </is>
      </c>
      <c r="K906">
        <v>9</v>
      </c>
      <c r="L906" t="inlineStr">
        <is>
          <t xml:space="preserve">Front</t>
        </is>
      </c>
      <c r="M906" t="inlineStr">
        <is>
          <t xml:space="preserve">Fields Ranch West</t>
        </is>
      </c>
      <c r="N906" t="inlineStr">
        <is>
          <t xml:space="preserve">III (White)</t>
        </is>
      </c>
      <c r="O906">
        <v>70.1</v>
      </c>
      <c r="P906">
        <v>129</v>
      </c>
      <c r="Q906">
        <v>6149</v>
      </c>
      <c r="R906" t="inlineStr">
        <is>
          <t xml:space="preserve">Pinehurst</t>
        </is>
      </c>
      <c r="S906" t="inlineStr">
        <is>
          <t xml:space="preserve">Doubles</t>
        </is>
      </c>
      <c r="T906" t="inlineStr">
        <is>
          <t xml:space="preserve">Under 6'</t>
        </is>
      </c>
      <c r="U906" t="inlineStr">
        <is>
          <t xml:space="preserve">Mangold</t>
        </is>
      </c>
      <c r="V906" t="inlineStr">
        <is>
          <t xml:space="preserve">Lynch</t>
        </is>
      </c>
      <c r="X906">
        <v>8</v>
      </c>
      <c r="Y906" t="inlineStr">
        <is>
          <t xml:space="preserve">Fogan</t>
        </is>
      </c>
      <c r="Z906">
        <v>17</v>
      </c>
      <c r="AA906">
        <v>1</v>
      </c>
      <c r="AB906" t="inlineStr">
        <is>
          <t xml:space="preserve">L</t>
        </is>
      </c>
      <c r="AC906" t="inlineStr">
        <is>
          <t xml:space="preserve">2 Up</t>
        </is>
      </c>
      <c r="AE906" t="str">
        <f>$V906&amp;$Y906</f>
        <v>LynchFogan</v>
      </c>
      <c r="AF906">
        <v>0</v>
      </c>
      <c r="AG906">
        <v>0</v>
      </c>
      <c r="AH906">
        <v>1</v>
      </c>
      <c r="AI906">
        <v>0</v>
      </c>
      <c r="AK906" t="inlineStr">
        <is>
          <t xml:space="preserve">Flanders</t>
        </is>
      </c>
      <c r="AM906" t="inlineStr">
        <is>
          <t xml:space="preserve">Norat</t>
        </is>
      </c>
    </row>
    <row r="907" spans="1:40" ht="15" customHeight="1" x14ac:dyDescent="0.2">
      <c r="B907">
        <v>17</v>
      </c>
      <c r="D907">
        <v>13</v>
      </c>
      <c r="E907" t="inlineStr">
        <is>
          <t xml:space="preserve">FBC13-D17</t>
        </is>
      </c>
      <c r="F907" t="inlineStr">
        <is>
          <t xml:space="preserve">Friday</t>
        </is>
      </c>
      <c r="G907" s="15">
        <v>46297</v>
      </c>
      <c r="H907" t="inlineStr">
        <is>
          <t xml:space="preserve">PM</t>
        </is>
      </c>
      <c r="I907" t="inlineStr">
        <is>
          <t xml:space="preserve">Frisco, TX</t>
        </is>
      </c>
      <c r="J907" t="inlineStr">
        <is>
          <t xml:space="preserve">South</t>
        </is>
      </c>
      <c r="K907">
        <v>9</v>
      </c>
      <c r="L907" t="inlineStr">
        <is>
          <t xml:space="preserve">Front</t>
        </is>
      </c>
      <c r="M907" t="inlineStr">
        <is>
          <t xml:space="preserve">Fields Ranch West</t>
        </is>
      </c>
      <c r="N907" t="inlineStr">
        <is>
          <t xml:space="preserve">III (White)</t>
        </is>
      </c>
      <c r="O907">
        <v>70.1</v>
      </c>
      <c r="P907">
        <v>129</v>
      </c>
      <c r="Q907">
        <v>6149</v>
      </c>
      <c r="R907" t="inlineStr">
        <is>
          <t xml:space="preserve">Pinehurst</t>
        </is>
      </c>
      <c r="S907" t="inlineStr">
        <is>
          <t xml:space="preserve">Doubles</t>
        </is>
      </c>
      <c r="T907" t="inlineStr">
        <is>
          <t xml:space="preserve">Under 6'</t>
        </is>
      </c>
      <c r="U907" t="inlineStr">
        <is>
          <t xml:space="preserve">Forster</t>
        </is>
      </c>
      <c r="V907" t="inlineStr">
        <is>
          <t xml:space="preserve">Flanders</t>
        </is>
      </c>
      <c r="X907">
        <v>10</v>
      </c>
      <c r="Y907" t="inlineStr">
        <is>
          <t xml:space="preserve">Norat</t>
        </is>
      </c>
      <c r="Z907">
        <v>17</v>
      </c>
      <c r="AA907">
        <v>1</v>
      </c>
      <c r="AB907" t="inlineStr">
        <is>
          <t xml:space="preserve">W</t>
        </is>
      </c>
      <c r="AC907" t="inlineStr">
        <is>
          <t xml:space="preserve">2 Up</t>
        </is>
      </c>
      <c r="AE907" t="str">
        <f>$V907&amp;$Y907</f>
        <v>FlandersNorat</v>
      </c>
      <c r="AF907">
        <v>1</v>
      </c>
      <c r="AG907">
        <v>1</v>
      </c>
      <c r="AH907">
        <v>0</v>
      </c>
      <c r="AI907">
        <v>0</v>
      </c>
      <c r="AK907" t="inlineStr">
        <is>
          <t xml:space="preserve">Lynch</t>
        </is>
      </c>
      <c r="AM907" t="inlineStr">
        <is>
          <t xml:space="preserve">Fogan</t>
        </is>
      </c>
    </row>
    <row r="908" spans="1:40" ht="15" customHeight="1" x14ac:dyDescent="0.2">
      <c r="B908">
        <v>18</v>
      </c>
      <c r="D908">
        <v>13</v>
      </c>
      <c r="E908" t="inlineStr">
        <is>
          <t xml:space="preserve">FBC13-D18</t>
        </is>
      </c>
      <c r="F908" t="inlineStr">
        <is>
          <t xml:space="preserve">Friday</t>
        </is>
      </c>
      <c r="G908" s="15">
        <v>46297</v>
      </c>
      <c r="H908" t="inlineStr">
        <is>
          <t xml:space="preserve">PM</t>
        </is>
      </c>
      <c r="I908" t="inlineStr">
        <is>
          <t xml:space="preserve">Frisco, TX</t>
        </is>
      </c>
      <c r="J908" t="inlineStr">
        <is>
          <t xml:space="preserve">South</t>
        </is>
      </c>
      <c r="K908">
        <v>9</v>
      </c>
      <c r="L908" t="inlineStr">
        <is>
          <t xml:space="preserve">Back</t>
        </is>
      </c>
      <c r="M908" t="inlineStr">
        <is>
          <t xml:space="preserve">Fields Ranch West</t>
        </is>
      </c>
      <c r="N908" t="inlineStr">
        <is>
          <t xml:space="preserve">III (White)</t>
        </is>
      </c>
      <c r="O908">
        <v>70.1</v>
      </c>
      <c r="P908">
        <v>129</v>
      </c>
      <c r="Q908">
        <v>6149</v>
      </c>
      <c r="R908" t="inlineStr">
        <is>
          <t xml:space="preserve">Scramble</t>
        </is>
      </c>
      <c r="S908" t="inlineStr">
        <is>
          <t xml:space="preserve">Doubles</t>
        </is>
      </c>
      <c r="T908" t="inlineStr">
        <is>
          <t xml:space="preserve">Under 6'</t>
        </is>
      </c>
      <c r="U908" t="inlineStr">
        <is>
          <t xml:space="preserve">Mangold</t>
        </is>
      </c>
      <c r="V908" t="inlineStr">
        <is>
          <t xml:space="preserve">Lynch</t>
        </is>
      </c>
      <c r="X908">
        <v>8</v>
      </c>
      <c r="Y908" t="inlineStr">
        <is>
          <t xml:space="preserve">Fogan</t>
        </is>
      </c>
      <c r="Z908">
        <v>17</v>
      </c>
      <c r="AA908">
        <v>1</v>
      </c>
      <c r="AB908" t="inlineStr">
        <is>
          <t xml:space="preserve">W</t>
        </is>
      </c>
      <c r="AC908" t="inlineStr">
        <is>
          <t xml:space="preserve">2 Up</t>
        </is>
      </c>
      <c r="AE908" t="str">
        <f>$V908&amp;$Y908</f>
        <v>LynchFogan</v>
      </c>
      <c r="AF908">
        <v>1</v>
      </c>
      <c r="AG908">
        <v>1</v>
      </c>
      <c r="AH908">
        <v>0</v>
      </c>
      <c r="AI908">
        <v>0</v>
      </c>
      <c r="AK908" t="inlineStr">
        <is>
          <t xml:space="preserve">Flanders</t>
        </is>
      </c>
      <c r="AM908" t="inlineStr">
        <is>
          <t xml:space="preserve">Norat</t>
        </is>
      </c>
    </row>
    <row r="909" spans="1:40" ht="15" customHeight="1" x14ac:dyDescent="0.2">
      <c r="B909">
        <v>18</v>
      </c>
      <c r="D909">
        <v>13</v>
      </c>
      <c r="E909" t="inlineStr">
        <is>
          <t xml:space="preserve">FBC13-D18</t>
        </is>
      </c>
      <c r="F909" t="inlineStr">
        <is>
          <t xml:space="preserve">Friday</t>
        </is>
      </c>
      <c r="G909" s="15">
        <v>46297</v>
      </c>
      <c r="H909" t="inlineStr">
        <is>
          <t xml:space="preserve">PM</t>
        </is>
      </c>
      <c r="I909" t="inlineStr">
        <is>
          <t xml:space="preserve">Frisco, TX</t>
        </is>
      </c>
      <c r="J909" t="inlineStr">
        <is>
          <t xml:space="preserve">South</t>
        </is>
      </c>
      <c r="K909">
        <v>9</v>
      </c>
      <c r="L909" t="inlineStr">
        <is>
          <t xml:space="preserve">Back</t>
        </is>
      </c>
      <c r="M909" t="inlineStr">
        <is>
          <t xml:space="preserve">Fields Ranch West</t>
        </is>
      </c>
      <c r="N909" t="inlineStr">
        <is>
          <t xml:space="preserve">III (White)</t>
        </is>
      </c>
      <c r="O909">
        <v>70.1</v>
      </c>
      <c r="P909">
        <v>129</v>
      </c>
      <c r="Q909">
        <v>6149</v>
      </c>
      <c r="R909" t="inlineStr">
        <is>
          <t xml:space="preserve">Scramble</t>
        </is>
      </c>
      <c r="S909" t="inlineStr">
        <is>
          <t xml:space="preserve">Doubles</t>
        </is>
      </c>
      <c r="T909" t="inlineStr">
        <is>
          <t xml:space="preserve">Under 6'</t>
        </is>
      </c>
      <c r="U909" t="inlineStr">
        <is>
          <t xml:space="preserve">Forster</t>
        </is>
      </c>
      <c r="V909" t="inlineStr">
        <is>
          <t xml:space="preserve">Flanders</t>
        </is>
      </c>
      <c r="X909">
        <v>10</v>
      </c>
      <c r="Y909" t="inlineStr">
        <is>
          <t xml:space="preserve">Norat</t>
        </is>
      </c>
      <c r="Z909">
        <v>17</v>
      </c>
      <c r="AA909">
        <v>1</v>
      </c>
      <c r="AB909" t="inlineStr">
        <is>
          <t xml:space="preserve">L</t>
        </is>
      </c>
      <c r="AC909" t="inlineStr">
        <is>
          <t xml:space="preserve">2 Up</t>
        </is>
      </c>
      <c r="AE909" t="str">
        <f>$V909&amp;$Y909</f>
        <v>FlandersNorat</v>
      </c>
      <c r="AF909">
        <v>0</v>
      </c>
      <c r="AG909">
        <v>0</v>
      </c>
      <c r="AH909">
        <v>1</v>
      </c>
      <c r="AI909">
        <v>0</v>
      </c>
      <c r="AK909" t="inlineStr">
        <is>
          <t xml:space="preserve">Lynch</t>
        </is>
      </c>
      <c r="AM909" t="inlineStr">
        <is>
          <t xml:space="preserve">Fogan</t>
        </is>
      </c>
    </row>
    <row r="910" spans="1:40" ht="15" customHeight="1" x14ac:dyDescent="0.2">
      <c r="B910">
        <v>19</v>
      </c>
      <c r="D910">
        <v>13</v>
      </c>
      <c r="E910" t="inlineStr">
        <is>
          <t xml:space="preserve">FBC13-D19</t>
        </is>
      </c>
      <c r="F910" t="inlineStr">
        <is>
          <t xml:space="preserve">Friday</t>
        </is>
      </c>
      <c r="G910" s="15">
        <v>46297</v>
      </c>
      <c r="H910" t="inlineStr">
        <is>
          <t xml:space="preserve">PM</t>
        </is>
      </c>
      <c r="I910" t="inlineStr">
        <is>
          <t xml:space="preserve">Frisco, TX</t>
        </is>
      </c>
      <c r="J910" t="inlineStr">
        <is>
          <t xml:space="preserve">South</t>
        </is>
      </c>
      <c r="K910">
        <v>9</v>
      </c>
      <c r="L910" t="inlineStr">
        <is>
          <t xml:space="preserve">Front</t>
        </is>
      </c>
      <c r="M910" t="inlineStr">
        <is>
          <t xml:space="preserve">Fields Ranch West</t>
        </is>
      </c>
      <c r="N910" t="inlineStr">
        <is>
          <t xml:space="preserve">III (White)</t>
        </is>
      </c>
      <c r="O910">
        <v>70.1</v>
      </c>
      <c r="P910">
        <v>129</v>
      </c>
      <c r="Q910">
        <v>6149</v>
      </c>
      <c r="R910" t="inlineStr">
        <is>
          <t xml:space="preserve">Pinehurst</t>
        </is>
      </c>
      <c r="S910" t="inlineStr">
        <is>
          <t xml:space="preserve">Doubles</t>
        </is>
      </c>
      <c r="T910" t="inlineStr">
        <is>
          <t xml:space="preserve">Under 6'</t>
        </is>
      </c>
      <c r="U910" t="inlineStr">
        <is>
          <t xml:space="preserve">Mangold</t>
        </is>
      </c>
      <c r="V910" t="inlineStr">
        <is>
          <t xml:space="preserve">Mangold</t>
        </is>
      </c>
      <c r="X910">
        <v>15</v>
      </c>
      <c r="Y910" t="inlineStr">
        <is>
          <t xml:space="preserve">Perkins</t>
        </is>
      </c>
      <c r="Z910">
        <v>7</v>
      </c>
      <c r="AA910">
        <v>1</v>
      </c>
      <c r="AB910" t="inlineStr">
        <is>
          <t xml:space="preserve">T</t>
        </is>
      </c>
      <c r="AC910" t="inlineStr">
        <is>
          <t xml:space="preserve">A/S</t>
        </is>
      </c>
      <c r="AE910" t="str">
        <f>$V910&amp;$Y910</f>
        <v>MangoldPerkins</v>
      </c>
      <c r="AF910">
        <v>0.5</v>
      </c>
      <c r="AG910">
        <v>0</v>
      </c>
      <c r="AH910">
        <v>0</v>
      </c>
      <c r="AI910">
        <v>1</v>
      </c>
      <c r="AK910" t="inlineStr">
        <is>
          <t xml:space="preserve">Forster</t>
        </is>
      </c>
      <c r="AM910" t="inlineStr">
        <is>
          <t xml:space="preserve">Connolly</t>
        </is>
      </c>
    </row>
    <row r="911" spans="1:40" ht="15" customHeight="1" x14ac:dyDescent="0.2">
      <c r="B911">
        <v>19</v>
      </c>
      <c r="D911">
        <v>13</v>
      </c>
      <c r="E911" t="inlineStr">
        <is>
          <t xml:space="preserve">FBC13-D19</t>
        </is>
      </c>
      <c r="F911" t="inlineStr">
        <is>
          <t xml:space="preserve">Friday</t>
        </is>
      </c>
      <c r="G911" s="15">
        <v>46297</v>
      </c>
      <c r="H911" t="inlineStr">
        <is>
          <t xml:space="preserve">PM</t>
        </is>
      </c>
      <c r="I911" t="inlineStr">
        <is>
          <t xml:space="preserve">Frisco, TX</t>
        </is>
      </c>
      <c r="J911" t="inlineStr">
        <is>
          <t xml:space="preserve">South</t>
        </is>
      </c>
      <c r="K911">
        <v>9</v>
      </c>
      <c r="L911" t="inlineStr">
        <is>
          <t xml:space="preserve">Front</t>
        </is>
      </c>
      <c r="M911" t="inlineStr">
        <is>
          <t xml:space="preserve">Fields Ranch West</t>
        </is>
      </c>
      <c r="N911" t="inlineStr">
        <is>
          <t xml:space="preserve">III (White)</t>
        </is>
      </c>
      <c r="O911">
        <v>70.1</v>
      </c>
      <c r="P911">
        <v>129</v>
      </c>
      <c r="Q911">
        <v>6149</v>
      </c>
      <c r="R911" t="inlineStr">
        <is>
          <t xml:space="preserve">Pinehurst</t>
        </is>
      </c>
      <c r="S911" t="inlineStr">
        <is>
          <t xml:space="preserve">Doubles</t>
        </is>
      </c>
      <c r="T911" t="inlineStr">
        <is>
          <t xml:space="preserve">Under 6'</t>
        </is>
      </c>
      <c r="U911" t="inlineStr">
        <is>
          <t xml:space="preserve">Forster</t>
        </is>
      </c>
      <c r="V911" t="inlineStr">
        <is>
          <t xml:space="preserve">Forster</t>
        </is>
      </c>
      <c r="X911">
        <v>12</v>
      </c>
      <c r="Y911" t="inlineStr">
        <is>
          <t xml:space="preserve">Connolly</t>
        </is>
      </c>
      <c r="Z911">
        <v>9</v>
      </c>
      <c r="AA911">
        <v>1</v>
      </c>
      <c r="AB911" t="inlineStr">
        <is>
          <t xml:space="preserve">T</t>
        </is>
      </c>
      <c r="AC911" t="inlineStr">
        <is>
          <t xml:space="preserve">A/S</t>
        </is>
      </c>
      <c r="AE911" t="str">
        <f>$V911&amp;$Y911</f>
        <v>ForsterConnolly</v>
      </c>
      <c r="AF911">
        <v>0.5</v>
      </c>
      <c r="AG911">
        <v>0</v>
      </c>
      <c r="AH911">
        <v>0</v>
      </c>
      <c r="AI911">
        <v>1</v>
      </c>
      <c r="AK911" t="inlineStr">
        <is>
          <t xml:space="preserve">Mangold</t>
        </is>
      </c>
      <c r="AM911" t="inlineStr">
        <is>
          <t xml:space="preserve">Perkins</t>
        </is>
      </c>
    </row>
    <row r="912" spans="1:40" ht="15" customHeight="1" x14ac:dyDescent="0.2">
      <c r="B912">
        <v>20</v>
      </c>
      <c r="D912">
        <v>13</v>
      </c>
      <c r="E912" t="inlineStr">
        <is>
          <t xml:space="preserve">FBC13-D20</t>
        </is>
      </c>
      <c r="F912" t="inlineStr">
        <is>
          <t xml:space="preserve">Friday</t>
        </is>
      </c>
      <c r="G912" s="15">
        <v>46297</v>
      </c>
      <c r="H912" t="inlineStr">
        <is>
          <t xml:space="preserve">PM</t>
        </is>
      </c>
      <c r="I912" t="inlineStr">
        <is>
          <t xml:space="preserve">Frisco, TX</t>
        </is>
      </c>
      <c r="J912" t="inlineStr">
        <is>
          <t xml:space="preserve">South</t>
        </is>
      </c>
      <c r="K912">
        <v>9</v>
      </c>
      <c r="L912" t="inlineStr">
        <is>
          <t xml:space="preserve">Back</t>
        </is>
      </c>
      <c r="M912" t="inlineStr">
        <is>
          <t xml:space="preserve">Fields Ranch West</t>
        </is>
      </c>
      <c r="N912" t="inlineStr">
        <is>
          <t xml:space="preserve">III (White)</t>
        </is>
      </c>
      <c r="O912">
        <v>70.1</v>
      </c>
      <c r="P912">
        <v>129</v>
      </c>
      <c r="Q912">
        <v>6149</v>
      </c>
      <c r="R912" t="inlineStr">
        <is>
          <t xml:space="preserve">Scramble</t>
        </is>
      </c>
      <c r="S912" t="inlineStr">
        <is>
          <t xml:space="preserve">Doubles</t>
        </is>
      </c>
      <c r="T912" t="inlineStr">
        <is>
          <t xml:space="preserve">Under 6'</t>
        </is>
      </c>
      <c r="U912" t="inlineStr">
        <is>
          <t xml:space="preserve">Mangold</t>
        </is>
      </c>
      <c r="V912" t="inlineStr">
        <is>
          <t xml:space="preserve">Mangold</t>
        </is>
      </c>
      <c r="X912">
        <v>15</v>
      </c>
      <c r="Y912" t="inlineStr">
        <is>
          <t xml:space="preserve">Perkins</t>
        </is>
      </c>
      <c r="Z912">
        <v>7</v>
      </c>
      <c r="AA912">
        <v>1</v>
      </c>
      <c r="AB912" t="inlineStr">
        <is>
          <t xml:space="preserve">W</t>
        </is>
      </c>
      <c r="AC912" t="inlineStr">
        <is>
          <t xml:space="preserve">2&amp;1</t>
        </is>
      </c>
      <c r="AE912" t="str">
        <f>$V912&amp;$Y912</f>
        <v>MangoldPerkins</v>
      </c>
      <c r="AF912">
        <v>1</v>
      </c>
      <c r="AG912">
        <v>1</v>
      </c>
      <c r="AH912">
        <v>0</v>
      </c>
      <c r="AI912">
        <v>0</v>
      </c>
      <c r="AK912" t="inlineStr">
        <is>
          <t xml:space="preserve">Forster</t>
        </is>
      </c>
      <c r="AM912" t="inlineStr">
        <is>
          <t xml:space="preserve">Connolly</t>
        </is>
      </c>
    </row>
    <row r="913" spans="1:40" ht="15" customHeight="1" x14ac:dyDescent="0.2">
      <c r="B913">
        <v>20</v>
      </c>
      <c r="D913">
        <v>13</v>
      </c>
      <c r="E913" t="inlineStr">
        <is>
          <t xml:space="preserve">FBC13-D20</t>
        </is>
      </c>
      <c r="F913" t="inlineStr">
        <is>
          <t xml:space="preserve">Friday</t>
        </is>
      </c>
      <c r="G913" s="15">
        <v>46297</v>
      </c>
      <c r="H913" t="inlineStr">
        <is>
          <t xml:space="preserve">PM</t>
        </is>
      </c>
      <c r="I913" t="inlineStr">
        <is>
          <t xml:space="preserve">Frisco, TX</t>
        </is>
      </c>
      <c r="J913" t="inlineStr">
        <is>
          <t xml:space="preserve">South</t>
        </is>
      </c>
      <c r="K913">
        <v>9</v>
      </c>
      <c r="L913" t="inlineStr">
        <is>
          <t xml:space="preserve">Back</t>
        </is>
      </c>
      <c r="M913" t="inlineStr">
        <is>
          <t xml:space="preserve">Fields Ranch West</t>
        </is>
      </c>
      <c r="N913" t="inlineStr">
        <is>
          <t xml:space="preserve">III (White)</t>
        </is>
      </c>
      <c r="O913">
        <v>70.1</v>
      </c>
      <c r="P913">
        <v>129</v>
      </c>
      <c r="Q913">
        <v>6149</v>
      </c>
      <c r="R913" t="inlineStr">
        <is>
          <t xml:space="preserve">Scramble</t>
        </is>
      </c>
      <c r="S913" t="inlineStr">
        <is>
          <t xml:space="preserve">Doubles</t>
        </is>
      </c>
      <c r="T913" t="inlineStr">
        <is>
          <t xml:space="preserve">Under 6'</t>
        </is>
      </c>
      <c r="U913" t="inlineStr">
        <is>
          <t xml:space="preserve">Forster</t>
        </is>
      </c>
      <c r="V913" t="inlineStr">
        <is>
          <t xml:space="preserve">Forster</t>
        </is>
      </c>
      <c r="X913">
        <v>12</v>
      </c>
      <c r="Y913" t="inlineStr">
        <is>
          <t xml:space="preserve">Connolly</t>
        </is>
      </c>
      <c r="Z913">
        <v>9</v>
      </c>
      <c r="AA913">
        <v>1</v>
      </c>
      <c r="AB913" t="inlineStr">
        <is>
          <t xml:space="preserve">L</t>
        </is>
      </c>
      <c r="AC913" t="inlineStr">
        <is>
          <t xml:space="preserve">2&amp;1</t>
        </is>
      </c>
      <c r="AE913" t="str">
        <f>$V913&amp;$Y913</f>
        <v>ForsterConnolly</v>
      </c>
      <c r="AF913">
        <v>0</v>
      </c>
      <c r="AG913">
        <v>0</v>
      </c>
      <c r="AH913">
        <v>1</v>
      </c>
      <c r="AI913">
        <v>0</v>
      </c>
      <c r="AK913" t="inlineStr">
        <is>
          <t xml:space="preserve">Mangold</t>
        </is>
      </c>
      <c r="AM913" t="inlineStr">
        <is>
          <t xml:space="preserve">Perkins</t>
        </is>
      </c>
    </row>
    <row r="914" spans="1:40" ht="15" customHeight="1" x14ac:dyDescent="0.2">
      <c r="B914">
        <v>21</v>
      </c>
      <c r="D914">
        <v>13</v>
      </c>
      <c r="E914" t="inlineStr">
        <is>
          <t xml:space="preserve">FBC13-D21</t>
        </is>
      </c>
      <c r="F914" t="inlineStr">
        <is>
          <t xml:space="preserve">Friday</t>
        </is>
      </c>
      <c r="G914" s="15">
        <v>46297</v>
      </c>
      <c r="H914" t="inlineStr">
        <is>
          <t xml:space="preserve">PM</t>
        </is>
      </c>
      <c r="I914" t="inlineStr">
        <is>
          <t xml:space="preserve">Frisco, TX</t>
        </is>
      </c>
      <c r="J914" t="inlineStr">
        <is>
          <t xml:space="preserve">South</t>
        </is>
      </c>
      <c r="K914">
        <v>9</v>
      </c>
      <c r="L914" t="inlineStr">
        <is>
          <t xml:space="preserve">Front</t>
        </is>
      </c>
      <c r="M914" t="inlineStr">
        <is>
          <t xml:space="preserve">Fields Ranch West</t>
        </is>
      </c>
      <c r="N914" t="inlineStr">
        <is>
          <t xml:space="preserve">III (White)</t>
        </is>
      </c>
      <c r="O914">
        <v>70.1</v>
      </c>
      <c r="P914">
        <v>129</v>
      </c>
      <c r="Q914">
        <v>6149</v>
      </c>
      <c r="R914" t="inlineStr">
        <is>
          <t xml:space="preserve">Pinehurst</t>
        </is>
      </c>
      <c r="S914" t="inlineStr">
        <is>
          <t xml:space="preserve">Doubles</t>
        </is>
      </c>
      <c r="T914" t="inlineStr">
        <is>
          <t xml:space="preserve">Under 6'</t>
        </is>
      </c>
      <c r="U914" t="inlineStr">
        <is>
          <t xml:space="preserve">Mangold</t>
        </is>
      </c>
      <c r="V914" t="inlineStr">
        <is>
          <t xml:space="preserve">Welker</t>
        </is>
      </c>
      <c r="X914">
        <v>14</v>
      </c>
      <c r="Y914" t="inlineStr">
        <is>
          <t xml:space="preserve">Gray</t>
        </is>
      </c>
      <c r="Z914">
        <v>8</v>
      </c>
      <c r="AA914">
        <v>1</v>
      </c>
      <c r="AB914" t="inlineStr">
        <is>
          <t xml:space="preserve">L</t>
        </is>
      </c>
      <c r="AC914" t="inlineStr">
        <is>
          <t xml:space="preserve">2&amp;1</t>
        </is>
      </c>
      <c r="AE914" t="str">
        <f>$V914&amp;$Y914</f>
        <v>WelkerGray</v>
      </c>
      <c r="AF914">
        <v>0</v>
      </c>
      <c r="AG914">
        <v>0</v>
      </c>
      <c r="AH914">
        <v>1</v>
      </c>
      <c r="AI914">
        <v>0</v>
      </c>
      <c r="AK914" t="inlineStr">
        <is>
          <t xml:space="preserve">Delaney</t>
        </is>
      </c>
      <c r="AM914" t="inlineStr">
        <is>
          <t xml:space="preserve">Delneky</t>
        </is>
      </c>
    </row>
    <row r="915" spans="1:40" ht="15" customHeight="1" x14ac:dyDescent="0.2">
      <c r="B915">
        <v>21</v>
      </c>
      <c r="D915">
        <v>13</v>
      </c>
      <c r="E915" t="inlineStr">
        <is>
          <t xml:space="preserve">FBC13-D21</t>
        </is>
      </c>
      <c r="F915" t="inlineStr">
        <is>
          <t xml:space="preserve">Friday</t>
        </is>
      </c>
      <c r="G915" s="15">
        <v>46297</v>
      </c>
      <c r="H915" t="inlineStr">
        <is>
          <t xml:space="preserve">PM</t>
        </is>
      </c>
      <c r="I915" t="inlineStr">
        <is>
          <t xml:space="preserve">Frisco, TX</t>
        </is>
      </c>
      <c r="J915" t="inlineStr">
        <is>
          <t xml:space="preserve">South</t>
        </is>
      </c>
      <c r="K915">
        <v>9</v>
      </c>
      <c r="L915" t="inlineStr">
        <is>
          <t xml:space="preserve">Front</t>
        </is>
      </c>
      <c r="M915" t="inlineStr">
        <is>
          <t xml:space="preserve">Fields Ranch West</t>
        </is>
      </c>
      <c r="N915" t="inlineStr">
        <is>
          <t xml:space="preserve">III (White)</t>
        </is>
      </c>
      <c r="O915">
        <v>70.1</v>
      </c>
      <c r="P915">
        <v>129</v>
      </c>
      <c r="Q915">
        <v>6149</v>
      </c>
      <c r="R915" t="inlineStr">
        <is>
          <t xml:space="preserve">Pinehurst</t>
        </is>
      </c>
      <c r="S915" t="inlineStr">
        <is>
          <t xml:space="preserve">Doubles</t>
        </is>
      </c>
      <c r="T915" t="inlineStr">
        <is>
          <t xml:space="preserve">Under 6'</t>
        </is>
      </c>
      <c r="U915" t="inlineStr">
        <is>
          <t xml:space="preserve">Forster</t>
        </is>
      </c>
      <c r="V915" t="inlineStr">
        <is>
          <t xml:space="preserve">Delaney</t>
        </is>
      </c>
      <c r="X915">
        <v>14</v>
      </c>
      <c r="Y915" t="inlineStr">
        <is>
          <t xml:space="preserve">Delneky</t>
        </is>
      </c>
      <c r="Z915">
        <v>18</v>
      </c>
      <c r="AA915">
        <v>1</v>
      </c>
      <c r="AB915" t="inlineStr">
        <is>
          <t xml:space="preserve">W</t>
        </is>
      </c>
      <c r="AC915" t="inlineStr">
        <is>
          <t xml:space="preserve">2&amp;1</t>
        </is>
      </c>
      <c r="AE915" t="str">
        <f>$V915&amp;$Y915</f>
        <v>DelaneyDelneky</v>
      </c>
      <c r="AF915">
        <v>1</v>
      </c>
      <c r="AG915">
        <v>1</v>
      </c>
      <c r="AH915">
        <v>0</v>
      </c>
      <c r="AI915">
        <v>0</v>
      </c>
      <c r="AK915" t="inlineStr">
        <is>
          <t xml:space="preserve">Welker</t>
        </is>
      </c>
      <c r="AM915" t="inlineStr">
        <is>
          <t xml:space="preserve">Gray</t>
        </is>
      </c>
    </row>
    <row r="916" spans="1:40" ht="15" customHeight="1" x14ac:dyDescent="0.2">
      <c r="B916">
        <v>22</v>
      </c>
      <c r="D916">
        <v>13</v>
      </c>
      <c r="E916" t="inlineStr">
        <is>
          <t xml:space="preserve">FBC13-D22</t>
        </is>
      </c>
      <c r="F916" t="inlineStr">
        <is>
          <t xml:space="preserve">Friday</t>
        </is>
      </c>
      <c r="G916" s="15">
        <v>46297</v>
      </c>
      <c r="H916" t="inlineStr">
        <is>
          <t xml:space="preserve">PM</t>
        </is>
      </c>
      <c r="I916" t="inlineStr">
        <is>
          <t xml:space="preserve">Frisco, TX</t>
        </is>
      </c>
      <c r="J916" t="inlineStr">
        <is>
          <t xml:space="preserve">South</t>
        </is>
      </c>
      <c r="K916">
        <v>9</v>
      </c>
      <c r="L916" t="inlineStr">
        <is>
          <t xml:space="preserve">Back</t>
        </is>
      </c>
      <c r="M916" t="inlineStr">
        <is>
          <t xml:space="preserve">Fields Ranch West</t>
        </is>
      </c>
      <c r="N916" t="inlineStr">
        <is>
          <t xml:space="preserve">III (White)</t>
        </is>
      </c>
      <c r="O916">
        <v>70.1</v>
      </c>
      <c r="P916">
        <v>129</v>
      </c>
      <c r="Q916">
        <v>6149</v>
      </c>
      <c r="R916" t="inlineStr">
        <is>
          <t xml:space="preserve">Scramble</t>
        </is>
      </c>
      <c r="S916" t="inlineStr">
        <is>
          <t xml:space="preserve">Doubles</t>
        </is>
      </c>
      <c r="T916" t="inlineStr">
        <is>
          <t xml:space="preserve">Under 6'</t>
        </is>
      </c>
      <c r="U916" t="inlineStr">
        <is>
          <t xml:space="preserve">Mangold</t>
        </is>
      </c>
      <c r="V916" t="inlineStr">
        <is>
          <t xml:space="preserve">Welker</t>
        </is>
      </c>
      <c r="X916">
        <v>14</v>
      </c>
      <c r="Y916" t="inlineStr">
        <is>
          <t xml:space="preserve">Gray</t>
        </is>
      </c>
      <c r="Z916">
        <v>8</v>
      </c>
      <c r="AA916">
        <v>1</v>
      </c>
      <c r="AB916" t="inlineStr">
        <is>
          <t xml:space="preserve">T</t>
        </is>
      </c>
      <c r="AC916" t="inlineStr">
        <is>
          <t xml:space="preserve">A/S</t>
        </is>
      </c>
      <c r="AE916" t="str">
        <f>$V916&amp;$Y916</f>
        <v>WelkerGray</v>
      </c>
      <c r="AF916">
        <v>0.5</v>
      </c>
      <c r="AG916">
        <v>0</v>
      </c>
      <c r="AH916">
        <v>0</v>
      </c>
      <c r="AI916">
        <v>1</v>
      </c>
      <c r="AK916" t="inlineStr">
        <is>
          <t xml:space="preserve">Delaney</t>
        </is>
      </c>
      <c r="AM916" t="inlineStr">
        <is>
          <t xml:space="preserve">Delneky</t>
        </is>
      </c>
    </row>
    <row r="917" spans="1:40" ht="15" customHeight="1" x14ac:dyDescent="0.2">
      <c r="B917">
        <v>22</v>
      </c>
      <c r="D917">
        <v>13</v>
      </c>
      <c r="E917" t="inlineStr">
        <is>
          <t xml:space="preserve">FBC13-D22</t>
        </is>
      </c>
      <c r="F917" t="inlineStr">
        <is>
          <t xml:space="preserve">Friday</t>
        </is>
      </c>
      <c r="G917" s="15">
        <v>46297</v>
      </c>
      <c r="H917" t="inlineStr">
        <is>
          <t xml:space="preserve">PM</t>
        </is>
      </c>
      <c r="I917" t="inlineStr">
        <is>
          <t xml:space="preserve">Frisco, TX</t>
        </is>
      </c>
      <c r="J917" t="inlineStr">
        <is>
          <t xml:space="preserve">South</t>
        </is>
      </c>
      <c r="K917">
        <v>9</v>
      </c>
      <c r="L917" t="inlineStr">
        <is>
          <t xml:space="preserve">Back</t>
        </is>
      </c>
      <c r="M917" t="inlineStr">
        <is>
          <t xml:space="preserve">Fields Ranch West</t>
        </is>
      </c>
      <c r="N917" t="inlineStr">
        <is>
          <t xml:space="preserve">III (White)</t>
        </is>
      </c>
      <c r="O917">
        <v>70.1</v>
      </c>
      <c r="P917">
        <v>129</v>
      </c>
      <c r="Q917">
        <v>6149</v>
      </c>
      <c r="R917" t="inlineStr">
        <is>
          <t xml:space="preserve">Scramble</t>
        </is>
      </c>
      <c r="S917" t="inlineStr">
        <is>
          <t xml:space="preserve">Doubles</t>
        </is>
      </c>
      <c r="T917" t="inlineStr">
        <is>
          <t xml:space="preserve">Under 6'</t>
        </is>
      </c>
      <c r="U917" t="inlineStr">
        <is>
          <t xml:space="preserve">Forster</t>
        </is>
      </c>
      <c r="V917" t="inlineStr">
        <is>
          <t xml:space="preserve">Delaney</t>
        </is>
      </c>
      <c r="X917">
        <v>14</v>
      </c>
      <c r="Y917" t="inlineStr">
        <is>
          <t xml:space="preserve">Delneky</t>
        </is>
      </c>
      <c r="Z917">
        <v>18</v>
      </c>
      <c r="AA917">
        <v>1</v>
      </c>
      <c r="AB917" t="inlineStr">
        <is>
          <t xml:space="preserve">T</t>
        </is>
      </c>
      <c r="AC917" t="inlineStr">
        <is>
          <t xml:space="preserve">A/S</t>
        </is>
      </c>
      <c r="AE917" t="str">
        <f>$V917&amp;$Y917</f>
        <v>DelaneyDelneky</v>
      </c>
      <c r="AF917">
        <v>0.5</v>
      </c>
      <c r="AG917">
        <v>0</v>
      </c>
      <c r="AH917">
        <v>0</v>
      </c>
      <c r="AI917">
        <v>1</v>
      </c>
      <c r="AK917" t="inlineStr">
        <is>
          <t xml:space="preserve">Welker</t>
        </is>
      </c>
      <c r="AM917" t="inlineStr">
        <is>
          <t xml:space="preserve">Gray</t>
        </is>
      </c>
    </row>
    <row r="918" spans="1:40" ht="15" customHeight="1" x14ac:dyDescent="0.2">
      <c r="B918">
        <v>23</v>
      </c>
      <c r="D918">
        <v>13</v>
      </c>
      <c r="E918" t="inlineStr">
        <is>
          <t xml:space="preserve">FBC13-D23</t>
        </is>
      </c>
      <c r="F918" t="inlineStr">
        <is>
          <t xml:space="preserve">Friday</t>
        </is>
      </c>
      <c r="G918" s="15">
        <v>46297</v>
      </c>
      <c r="H918" t="inlineStr">
        <is>
          <t xml:space="preserve">PM</t>
        </is>
      </c>
      <c r="I918" t="inlineStr">
        <is>
          <t xml:space="preserve">Frisco, TX</t>
        </is>
      </c>
      <c r="J918" t="inlineStr">
        <is>
          <t xml:space="preserve">South</t>
        </is>
      </c>
      <c r="K918">
        <v>9</v>
      </c>
      <c r="L918" t="inlineStr">
        <is>
          <t xml:space="preserve">Front</t>
        </is>
      </c>
      <c r="M918" t="inlineStr">
        <is>
          <t xml:space="preserve">Fields Ranch West</t>
        </is>
      </c>
      <c r="N918" t="inlineStr">
        <is>
          <t xml:space="preserve">III (White)</t>
        </is>
      </c>
      <c r="O918">
        <v>70.1</v>
      </c>
      <c r="P918">
        <v>129</v>
      </c>
      <c r="Q918">
        <v>6149</v>
      </c>
      <c r="R918" t="inlineStr">
        <is>
          <t xml:space="preserve">Pinehurst</t>
        </is>
      </c>
      <c r="S918" t="inlineStr">
        <is>
          <t xml:space="preserve">Doubles</t>
        </is>
      </c>
      <c r="T918" t="inlineStr">
        <is>
          <t xml:space="preserve">Under 6'</t>
        </is>
      </c>
      <c r="U918" t="inlineStr">
        <is>
          <t xml:space="preserve">Mangold</t>
        </is>
      </c>
      <c r="V918" t="inlineStr">
        <is>
          <t xml:space="preserve">Jackson</t>
        </is>
      </c>
      <c r="X918">
        <v>8</v>
      </c>
      <c r="Y918" t="inlineStr">
        <is>
          <t xml:space="preserve">Piegari</t>
        </is>
      </c>
      <c r="Z918">
        <v>9</v>
      </c>
      <c r="AA918">
        <v>1</v>
      </c>
      <c r="AB918" t="inlineStr">
        <is>
          <t xml:space="preserve">W</t>
        </is>
      </c>
      <c r="AC918" t="inlineStr">
        <is>
          <t xml:space="preserve">2&amp;1</t>
        </is>
      </c>
      <c r="AE918" t="str">
        <f>$V918&amp;$Y918</f>
        <v>JacksonPiegari</v>
      </c>
      <c r="AF918">
        <v>1</v>
      </c>
      <c r="AG918">
        <v>1</v>
      </c>
      <c r="AH918">
        <v>0</v>
      </c>
      <c r="AI918">
        <v>0</v>
      </c>
      <c r="AK918" t="inlineStr">
        <is>
          <t xml:space="preserve">Grise</t>
        </is>
      </c>
      <c r="AM918" t="inlineStr">
        <is>
          <t xml:space="preserve">R. Connolly</t>
        </is>
      </c>
    </row>
    <row r="919" spans="1:40" ht="15" customHeight="1" x14ac:dyDescent="0.2">
      <c r="B919">
        <v>23</v>
      </c>
      <c r="D919">
        <v>13</v>
      </c>
      <c r="E919" t="inlineStr">
        <is>
          <t xml:space="preserve">FBC13-D23</t>
        </is>
      </c>
      <c r="F919" t="inlineStr">
        <is>
          <t xml:space="preserve">Friday</t>
        </is>
      </c>
      <c r="G919" s="15">
        <v>46297</v>
      </c>
      <c r="H919" t="inlineStr">
        <is>
          <t xml:space="preserve">PM</t>
        </is>
      </c>
      <c r="I919" t="inlineStr">
        <is>
          <t xml:space="preserve">Frisco, TX</t>
        </is>
      </c>
      <c r="J919" t="inlineStr">
        <is>
          <t xml:space="preserve">South</t>
        </is>
      </c>
      <c r="K919">
        <v>9</v>
      </c>
      <c r="L919" t="inlineStr">
        <is>
          <t xml:space="preserve">Front</t>
        </is>
      </c>
      <c r="M919" t="inlineStr">
        <is>
          <t xml:space="preserve">Fields Ranch West</t>
        </is>
      </c>
      <c r="N919" t="inlineStr">
        <is>
          <t xml:space="preserve">III (White)</t>
        </is>
      </c>
      <c r="O919">
        <v>70.1</v>
      </c>
      <c r="P919">
        <v>129</v>
      </c>
      <c r="Q919">
        <v>6149</v>
      </c>
      <c r="R919" t="inlineStr">
        <is>
          <t xml:space="preserve">Pinehurst</t>
        </is>
      </c>
      <c r="S919" t="inlineStr">
        <is>
          <t xml:space="preserve">Doubles</t>
        </is>
      </c>
      <c r="T919" t="inlineStr">
        <is>
          <t xml:space="preserve">Under 6'</t>
        </is>
      </c>
      <c r="U919" t="inlineStr">
        <is>
          <t xml:space="preserve">Forster</t>
        </is>
      </c>
      <c r="V919" t="inlineStr">
        <is>
          <t xml:space="preserve">Grise</t>
        </is>
      </c>
      <c r="X919">
        <v>10</v>
      </c>
      <c r="Y919" t="inlineStr">
        <is>
          <t xml:space="preserve">R. Connolly</t>
        </is>
      </c>
      <c r="Z919">
        <v>10</v>
      </c>
      <c r="AA919">
        <v>1</v>
      </c>
      <c r="AB919" t="inlineStr">
        <is>
          <t xml:space="preserve">L</t>
        </is>
      </c>
      <c r="AC919" t="inlineStr">
        <is>
          <t xml:space="preserve">2&amp;1</t>
        </is>
      </c>
      <c r="AE919" t="str">
        <f>$V919&amp;$Y919</f>
        <v>GriseR. Connolly</v>
      </c>
      <c r="AF919">
        <v>0</v>
      </c>
      <c r="AG919">
        <v>0</v>
      </c>
      <c r="AH919">
        <v>1</v>
      </c>
      <c r="AI919">
        <v>0</v>
      </c>
      <c r="AK919" t="inlineStr">
        <is>
          <t xml:space="preserve">Jackson</t>
        </is>
      </c>
      <c r="AM919" t="inlineStr">
        <is>
          <t xml:space="preserve">Piegari</t>
        </is>
      </c>
    </row>
    <row r="920" spans="1:40" ht="15" customHeight="1" x14ac:dyDescent="0.2">
      <c r="B920">
        <v>24</v>
      </c>
      <c r="D920">
        <v>13</v>
      </c>
      <c r="E920" t="inlineStr">
        <is>
          <t xml:space="preserve">FBC13-D24</t>
        </is>
      </c>
      <c r="F920" t="inlineStr">
        <is>
          <t xml:space="preserve">Friday</t>
        </is>
      </c>
      <c r="G920" s="15">
        <v>46297</v>
      </c>
      <c r="H920" t="inlineStr">
        <is>
          <t xml:space="preserve">PM</t>
        </is>
      </c>
      <c r="I920" t="inlineStr">
        <is>
          <t xml:space="preserve">Frisco, TX</t>
        </is>
      </c>
      <c r="J920" t="inlineStr">
        <is>
          <t xml:space="preserve">South</t>
        </is>
      </c>
      <c r="K920">
        <v>9</v>
      </c>
      <c r="L920" t="inlineStr">
        <is>
          <t xml:space="preserve">Back</t>
        </is>
      </c>
      <c r="M920" t="inlineStr">
        <is>
          <t xml:space="preserve">Fields Ranch West</t>
        </is>
      </c>
      <c r="N920" t="inlineStr">
        <is>
          <t xml:space="preserve">III (White)</t>
        </is>
      </c>
      <c r="O920">
        <v>70.1</v>
      </c>
      <c r="P920">
        <v>129</v>
      </c>
      <c r="Q920">
        <v>6149</v>
      </c>
      <c r="R920" t="inlineStr">
        <is>
          <t xml:space="preserve">Scramble</t>
        </is>
      </c>
      <c r="S920" t="inlineStr">
        <is>
          <t xml:space="preserve">Doubles</t>
        </is>
      </c>
      <c r="T920" t="inlineStr">
        <is>
          <t xml:space="preserve">Under 6'</t>
        </is>
      </c>
      <c r="U920" t="inlineStr">
        <is>
          <t xml:space="preserve">Mangold</t>
        </is>
      </c>
      <c r="V920" t="inlineStr">
        <is>
          <t xml:space="preserve">Jackson</t>
        </is>
      </c>
      <c r="X920">
        <v>8</v>
      </c>
      <c r="Y920" t="inlineStr">
        <is>
          <t xml:space="preserve">Piegari</t>
        </is>
      </c>
      <c r="Z920">
        <v>9</v>
      </c>
      <c r="AA920">
        <v>1</v>
      </c>
      <c r="AB920" t="inlineStr">
        <is>
          <t xml:space="preserve">W</t>
        </is>
      </c>
      <c r="AC920" t="inlineStr">
        <is>
          <t xml:space="preserve">2&amp;1</t>
        </is>
      </c>
      <c r="AE920" t="str">
        <f>$V920&amp;$Y920</f>
        <v>JacksonPiegari</v>
      </c>
      <c r="AF920">
        <v>1</v>
      </c>
      <c r="AG920">
        <v>1</v>
      </c>
      <c r="AH920">
        <v>0</v>
      </c>
      <c r="AI920">
        <v>0</v>
      </c>
      <c r="AK920" t="inlineStr">
        <is>
          <t xml:space="preserve">Grise</t>
        </is>
      </c>
      <c r="AM920" t="inlineStr">
        <is>
          <t xml:space="preserve">R. Connolly</t>
        </is>
      </c>
    </row>
    <row r="921" spans="1:40" ht="15" customHeight="1" x14ac:dyDescent="0.2">
      <c r="B921">
        <v>24</v>
      </c>
      <c r="D921">
        <v>13</v>
      </c>
      <c r="E921" t="inlineStr">
        <is>
          <t xml:space="preserve">FBC13-D24</t>
        </is>
      </c>
      <c r="F921" t="inlineStr">
        <is>
          <t xml:space="preserve">Friday</t>
        </is>
      </c>
      <c r="G921" s="15">
        <v>46297</v>
      </c>
      <c r="H921" t="inlineStr">
        <is>
          <t xml:space="preserve">PM</t>
        </is>
      </c>
      <c r="I921" t="inlineStr">
        <is>
          <t xml:space="preserve">Frisco, TX</t>
        </is>
      </c>
      <c r="J921" t="inlineStr">
        <is>
          <t xml:space="preserve">South</t>
        </is>
      </c>
      <c r="K921">
        <v>9</v>
      </c>
      <c r="L921" t="inlineStr">
        <is>
          <t xml:space="preserve">Back</t>
        </is>
      </c>
      <c r="M921" t="inlineStr">
        <is>
          <t xml:space="preserve">Fields Ranch West</t>
        </is>
      </c>
      <c r="N921" t="inlineStr">
        <is>
          <t xml:space="preserve">III (White)</t>
        </is>
      </c>
      <c r="O921">
        <v>70.1</v>
      </c>
      <c r="P921">
        <v>129</v>
      </c>
      <c r="Q921">
        <v>6149</v>
      </c>
      <c r="R921" t="inlineStr">
        <is>
          <t xml:space="preserve">Scramble</t>
        </is>
      </c>
      <c r="S921" t="inlineStr">
        <is>
          <t xml:space="preserve">Doubles</t>
        </is>
      </c>
      <c r="T921" t="inlineStr">
        <is>
          <t xml:space="preserve">Under 6'</t>
        </is>
      </c>
      <c r="U921" t="inlineStr">
        <is>
          <t xml:space="preserve">Forster</t>
        </is>
      </c>
      <c r="V921" t="inlineStr">
        <is>
          <t xml:space="preserve">Grise</t>
        </is>
      </c>
      <c r="X921">
        <v>10</v>
      </c>
      <c r="Y921" t="inlineStr">
        <is>
          <t xml:space="preserve">R. Connolly</t>
        </is>
      </c>
      <c r="Z921">
        <v>10</v>
      </c>
      <c r="AA921">
        <v>1</v>
      </c>
      <c r="AB921" t="inlineStr">
        <is>
          <t xml:space="preserve">L</t>
        </is>
      </c>
      <c r="AC921" t="inlineStr">
        <is>
          <t xml:space="preserve">2&amp;1</t>
        </is>
      </c>
      <c r="AE921" t="str">
        <f>$V921&amp;$Y921</f>
        <v>GriseR. Connolly</v>
      </c>
      <c r="AF921">
        <v>0</v>
      </c>
      <c r="AG921">
        <v>0</v>
      </c>
      <c r="AH921">
        <v>1</v>
      </c>
      <c r="AI921">
        <v>0</v>
      </c>
      <c r="AK921" t="inlineStr">
        <is>
          <t xml:space="preserve">Jackson</t>
        </is>
      </c>
      <c r="AM921" t="inlineStr">
        <is>
          <t xml:space="preserve">Piegari</t>
        </is>
      </c>
    </row>
    <row r="922" spans="1:40" ht="15" customHeight="1" x14ac:dyDescent="0.2">
      <c r="B922" t="inlineStr">
        <is>
          <t xml:space="preserve">FT1</t>
        </is>
      </c>
      <c r="D922">
        <v>13</v>
      </c>
      <c r="E922" t="inlineStr">
        <is>
          <t xml:space="preserve">FBC13-FT</t>
        </is>
      </c>
      <c r="F922" t="inlineStr">
        <is>
          <t xml:space="preserve">Friday</t>
        </is>
      </c>
      <c r="G922" s="15">
        <v>46297</v>
      </c>
      <c r="H922" t="inlineStr">
        <is>
          <t xml:space="preserve">PM</t>
        </is>
      </c>
      <c r="I922" t="inlineStr">
        <is>
          <t xml:space="preserve">Frisco, TX</t>
        </is>
      </c>
      <c r="J922" t="inlineStr">
        <is>
          <t xml:space="preserve">South</t>
        </is>
      </c>
      <c r="K922">
        <v>10</v>
      </c>
      <c r="L922" t="inlineStr">
        <is>
          <t xml:space="preserve">Full</t>
        </is>
      </c>
      <c r="M922" t="inlineStr">
        <is>
          <t xml:space="preserve">The Swing</t>
        </is>
      </c>
      <c r="P922">
        <v>110</v>
      </c>
      <c r="Q922">
        <v>694</v>
      </c>
      <c r="R922" t="inlineStr">
        <is>
          <t xml:space="preserve">FTAS</t>
        </is>
      </c>
      <c r="S922" t="inlineStr">
        <is>
          <t xml:space="preserve">FTAS</t>
        </is>
      </c>
      <c r="T922" t="inlineStr">
        <is>
          <t xml:space="preserve">Under 6'</t>
        </is>
      </c>
      <c r="U922" t="inlineStr">
        <is>
          <t xml:space="preserve">Mangold</t>
        </is>
      </c>
      <c r="V922" t="inlineStr">
        <is>
          <t xml:space="preserve">Mangold</t>
        </is>
      </c>
      <c r="AA922">
        <v>0.5</v>
      </c>
      <c r="AB922" t="inlineStr">
        <is>
          <t xml:space="preserve">L</t>
        </is>
      </c>
      <c r="AC922" t="inlineStr">
        <is>
          <t xml:space="preserve">2&amp;1</t>
        </is>
      </c>
      <c r="AE922" t="str">
        <f>$V922&amp;$Y922</f>
        <v>Mangold</v>
      </c>
      <c r="AF922">
        <v>0</v>
      </c>
      <c r="AG922">
        <v>0</v>
      </c>
      <c r="AH922">
        <v>1</v>
      </c>
      <c r="AI922">
        <v>0</v>
      </c>
    </row>
    <row r="923" spans="1:40" ht="15" customHeight="1" x14ac:dyDescent="0.2">
      <c r="B923" t="inlineStr">
        <is>
          <t xml:space="preserve">FT1</t>
        </is>
      </c>
      <c r="D923">
        <v>13</v>
      </c>
      <c r="E923" t="inlineStr">
        <is>
          <t xml:space="preserve">FBC13-FT</t>
        </is>
      </c>
      <c r="F923" t="inlineStr">
        <is>
          <t xml:space="preserve">Friday</t>
        </is>
      </c>
      <c r="G923" s="15">
        <v>46297</v>
      </c>
      <c r="H923" t="inlineStr">
        <is>
          <t xml:space="preserve">PM</t>
        </is>
      </c>
      <c r="I923" t="inlineStr">
        <is>
          <t xml:space="preserve">Frisco, TX</t>
        </is>
      </c>
      <c r="J923" t="inlineStr">
        <is>
          <t xml:space="preserve">South</t>
        </is>
      </c>
      <c r="K923">
        <v>10</v>
      </c>
      <c r="L923" t="inlineStr">
        <is>
          <t xml:space="preserve">Full</t>
        </is>
      </c>
      <c r="M923" t="inlineStr">
        <is>
          <t xml:space="preserve">The Swing</t>
        </is>
      </c>
      <c r="P923">
        <v>110</v>
      </c>
      <c r="Q923">
        <v>694</v>
      </c>
      <c r="R923" t="inlineStr">
        <is>
          <t xml:space="preserve">FTAS</t>
        </is>
      </c>
      <c r="S923" t="inlineStr">
        <is>
          <t xml:space="preserve">FTAS</t>
        </is>
      </c>
      <c r="T923" t="inlineStr">
        <is>
          <t xml:space="preserve">Under 6'</t>
        </is>
      </c>
      <c r="U923" t="inlineStr">
        <is>
          <t xml:space="preserve">Mangold</t>
        </is>
      </c>
      <c r="V923" t="inlineStr">
        <is>
          <t xml:space="preserve">DeOteris</t>
        </is>
      </c>
      <c r="AA923">
        <v>0.5</v>
      </c>
      <c r="AB923" t="inlineStr">
        <is>
          <t xml:space="preserve">L</t>
        </is>
      </c>
      <c r="AC923" t="inlineStr">
        <is>
          <t xml:space="preserve">2&amp;1</t>
        </is>
      </c>
      <c r="AE923" t="str">
        <f>$V923&amp;$Y923</f>
        <v>DeOteris</v>
      </c>
      <c r="AF923">
        <v>0</v>
      </c>
      <c r="AG923">
        <v>0</v>
      </c>
      <c r="AH923">
        <v>1</v>
      </c>
      <c r="AI923">
        <v>0</v>
      </c>
    </row>
    <row r="924" spans="1:40" ht="15" customHeight="1" x14ac:dyDescent="0.2">
      <c r="B924" t="inlineStr">
        <is>
          <t xml:space="preserve">FT1</t>
        </is>
      </c>
      <c r="D924">
        <v>13</v>
      </c>
      <c r="E924" t="inlineStr">
        <is>
          <t xml:space="preserve">FBC13-FT</t>
        </is>
      </c>
      <c r="F924" t="inlineStr">
        <is>
          <t xml:space="preserve">Friday</t>
        </is>
      </c>
      <c r="G924" s="15">
        <v>46297</v>
      </c>
      <c r="H924" t="inlineStr">
        <is>
          <t xml:space="preserve">PM</t>
        </is>
      </c>
      <c r="I924" t="inlineStr">
        <is>
          <t xml:space="preserve">Frisco, TX</t>
        </is>
      </c>
      <c r="J924" t="inlineStr">
        <is>
          <t xml:space="preserve">South</t>
        </is>
      </c>
      <c r="K924">
        <v>10</v>
      </c>
      <c r="L924" t="inlineStr">
        <is>
          <t xml:space="preserve">Full</t>
        </is>
      </c>
      <c r="M924" t="inlineStr">
        <is>
          <t xml:space="preserve">The Swing</t>
        </is>
      </c>
      <c r="P924">
        <v>110</v>
      </c>
      <c r="Q924">
        <v>694</v>
      </c>
      <c r="R924" t="inlineStr">
        <is>
          <t xml:space="preserve">FTAS</t>
        </is>
      </c>
      <c r="S924" t="inlineStr">
        <is>
          <t xml:space="preserve">FTAS</t>
        </is>
      </c>
      <c r="T924" t="inlineStr">
        <is>
          <t xml:space="preserve">Under 6'</t>
        </is>
      </c>
      <c r="U924" t="inlineStr">
        <is>
          <t xml:space="preserve">Mangold</t>
        </is>
      </c>
      <c r="V924" t="inlineStr">
        <is>
          <t xml:space="preserve">Ferrin</t>
        </is>
      </c>
      <c r="AA924">
        <v>0.5</v>
      </c>
      <c r="AB924" t="inlineStr">
        <is>
          <t xml:space="preserve">L</t>
        </is>
      </c>
      <c r="AC924" t="inlineStr">
        <is>
          <t xml:space="preserve">2&amp;1</t>
        </is>
      </c>
      <c r="AE924" t="str">
        <f>$V924&amp;$Y924</f>
        <v>Ferrin</v>
      </c>
      <c r="AF924">
        <v>0</v>
      </c>
      <c r="AG924">
        <v>0</v>
      </c>
      <c r="AH924">
        <v>1</v>
      </c>
      <c r="AI924">
        <v>0</v>
      </c>
    </row>
    <row r="925" spans="1:40" ht="15" customHeight="1" x14ac:dyDescent="0.2">
      <c r="B925" t="inlineStr">
        <is>
          <t xml:space="preserve">FT1</t>
        </is>
      </c>
      <c r="D925">
        <v>13</v>
      </c>
      <c r="E925" t="inlineStr">
        <is>
          <t xml:space="preserve">FBC13-FT</t>
        </is>
      </c>
      <c r="F925" t="inlineStr">
        <is>
          <t xml:space="preserve">Friday</t>
        </is>
      </c>
      <c r="G925" s="15">
        <v>46297</v>
      </c>
      <c r="H925" t="inlineStr">
        <is>
          <t xml:space="preserve">PM</t>
        </is>
      </c>
      <c r="I925" t="inlineStr">
        <is>
          <t xml:space="preserve">Frisco, TX</t>
        </is>
      </c>
      <c r="J925" t="inlineStr">
        <is>
          <t xml:space="preserve">South</t>
        </is>
      </c>
      <c r="K925">
        <v>10</v>
      </c>
      <c r="L925" t="inlineStr">
        <is>
          <t xml:space="preserve">Full</t>
        </is>
      </c>
      <c r="M925" t="inlineStr">
        <is>
          <t xml:space="preserve">The Swing</t>
        </is>
      </c>
      <c r="P925">
        <v>110</v>
      </c>
      <c r="Q925">
        <v>694</v>
      </c>
      <c r="R925" t="inlineStr">
        <is>
          <t xml:space="preserve">FTAS</t>
        </is>
      </c>
      <c r="S925" t="inlineStr">
        <is>
          <t xml:space="preserve">FTAS</t>
        </is>
      </c>
      <c r="T925" t="inlineStr">
        <is>
          <t xml:space="preserve">Under 6'</t>
        </is>
      </c>
      <c r="U925" t="inlineStr">
        <is>
          <t xml:space="preserve">Mangold</t>
        </is>
      </c>
      <c r="V925" t="inlineStr">
        <is>
          <t xml:space="preserve">Fogan</t>
        </is>
      </c>
      <c r="AA925">
        <v>0.5</v>
      </c>
      <c r="AB925" t="inlineStr">
        <is>
          <t xml:space="preserve">L</t>
        </is>
      </c>
      <c r="AC925" t="inlineStr">
        <is>
          <t xml:space="preserve">2&amp;1</t>
        </is>
      </c>
      <c r="AE925" t="str">
        <f>$V925&amp;$Y925</f>
        <v>Fogan</v>
      </c>
      <c r="AF925">
        <v>0</v>
      </c>
      <c r="AG925">
        <v>0</v>
      </c>
      <c r="AH925">
        <v>1</v>
      </c>
      <c r="AI925">
        <v>0</v>
      </c>
    </row>
    <row r="926" spans="1:40" ht="15" customHeight="1" x14ac:dyDescent="0.2">
      <c r="B926" t="inlineStr">
        <is>
          <t xml:space="preserve">FT1</t>
        </is>
      </c>
      <c r="D926">
        <v>13</v>
      </c>
      <c r="E926" t="inlineStr">
        <is>
          <t xml:space="preserve">FBC13-FT</t>
        </is>
      </c>
      <c r="F926" t="inlineStr">
        <is>
          <t xml:space="preserve">Friday</t>
        </is>
      </c>
      <c r="G926" s="15">
        <v>46297</v>
      </c>
      <c r="H926" t="inlineStr">
        <is>
          <t xml:space="preserve">PM</t>
        </is>
      </c>
      <c r="I926" t="inlineStr">
        <is>
          <t xml:space="preserve">Frisco, TX</t>
        </is>
      </c>
      <c r="J926" t="inlineStr">
        <is>
          <t xml:space="preserve">South</t>
        </is>
      </c>
      <c r="K926">
        <v>10</v>
      </c>
      <c r="L926" t="inlineStr">
        <is>
          <t xml:space="preserve">Full</t>
        </is>
      </c>
      <c r="M926" t="inlineStr">
        <is>
          <t xml:space="preserve">The Swing</t>
        </is>
      </c>
      <c r="P926">
        <v>110</v>
      </c>
      <c r="Q926">
        <v>694</v>
      </c>
      <c r="R926" t="inlineStr">
        <is>
          <t xml:space="preserve">FTAS</t>
        </is>
      </c>
      <c r="S926" t="inlineStr">
        <is>
          <t xml:space="preserve">FTAS</t>
        </is>
      </c>
      <c r="T926" t="inlineStr">
        <is>
          <t xml:space="preserve">Under 6'</t>
        </is>
      </c>
      <c r="U926" t="inlineStr">
        <is>
          <t xml:space="preserve">Mangold</t>
        </is>
      </c>
      <c r="V926" t="inlineStr">
        <is>
          <t xml:space="preserve">Gray</t>
        </is>
      </c>
      <c r="AA926">
        <v>0.5</v>
      </c>
      <c r="AB926" t="inlineStr">
        <is>
          <t xml:space="preserve">L</t>
        </is>
      </c>
      <c r="AC926" t="inlineStr">
        <is>
          <t xml:space="preserve">2&amp;1</t>
        </is>
      </c>
      <c r="AE926" t="str">
        <f>$V926&amp;$Y926</f>
        <v>Gray</v>
      </c>
      <c r="AF926">
        <v>0</v>
      </c>
      <c r="AG926">
        <v>0</v>
      </c>
      <c r="AH926">
        <v>1</v>
      </c>
      <c r="AI926">
        <v>0</v>
      </c>
    </row>
    <row r="927" spans="1:40" ht="15" customHeight="1" x14ac:dyDescent="0.2">
      <c r="B927" t="inlineStr">
        <is>
          <t xml:space="preserve">FT1</t>
        </is>
      </c>
      <c r="D927">
        <v>13</v>
      </c>
      <c r="E927" t="inlineStr">
        <is>
          <t xml:space="preserve">FBC13-FT</t>
        </is>
      </c>
      <c r="F927" t="inlineStr">
        <is>
          <t xml:space="preserve">Friday</t>
        </is>
      </c>
      <c r="G927" s="15">
        <v>46297</v>
      </c>
      <c r="H927" t="inlineStr">
        <is>
          <t xml:space="preserve">PM</t>
        </is>
      </c>
      <c r="I927" t="inlineStr">
        <is>
          <t xml:space="preserve">Frisco, TX</t>
        </is>
      </c>
      <c r="J927" t="inlineStr">
        <is>
          <t xml:space="preserve">South</t>
        </is>
      </c>
      <c r="K927">
        <v>10</v>
      </c>
      <c r="L927" t="inlineStr">
        <is>
          <t xml:space="preserve">Full</t>
        </is>
      </c>
      <c r="M927" t="inlineStr">
        <is>
          <t xml:space="preserve">The Swing</t>
        </is>
      </c>
      <c r="P927">
        <v>110</v>
      </c>
      <c r="Q927">
        <v>694</v>
      </c>
      <c r="R927" t="inlineStr">
        <is>
          <t xml:space="preserve">FTAS</t>
        </is>
      </c>
      <c r="S927" t="inlineStr">
        <is>
          <t xml:space="preserve">FTAS</t>
        </is>
      </c>
      <c r="T927" t="inlineStr">
        <is>
          <t xml:space="preserve">Under 6'</t>
        </is>
      </c>
      <c r="U927" t="inlineStr">
        <is>
          <t xml:space="preserve">Mangold</t>
        </is>
      </c>
      <c r="V927" t="inlineStr">
        <is>
          <t xml:space="preserve">Jackson</t>
        </is>
      </c>
      <c r="AA927">
        <v>0.5</v>
      </c>
      <c r="AB927" t="inlineStr">
        <is>
          <t xml:space="preserve">L</t>
        </is>
      </c>
      <c r="AC927" t="inlineStr">
        <is>
          <t xml:space="preserve">2&amp;1</t>
        </is>
      </c>
      <c r="AE927" t="str">
        <f>$V927&amp;$Y927</f>
        <v>Jackson</v>
      </c>
      <c r="AF927">
        <v>0</v>
      </c>
      <c r="AG927">
        <v>0</v>
      </c>
      <c r="AH927">
        <v>1</v>
      </c>
      <c r="AI927">
        <v>0</v>
      </c>
    </row>
    <row r="928" spans="1:40" ht="15" customHeight="1" x14ac:dyDescent="0.2">
      <c r="B928" t="inlineStr">
        <is>
          <t xml:space="preserve">FT1</t>
        </is>
      </c>
      <c r="D928">
        <v>13</v>
      </c>
      <c r="E928" t="inlineStr">
        <is>
          <t xml:space="preserve">FBC13-FT</t>
        </is>
      </c>
      <c r="F928" t="inlineStr">
        <is>
          <t xml:space="preserve">Friday</t>
        </is>
      </c>
      <c r="G928" s="15">
        <v>46297</v>
      </c>
      <c r="H928" t="inlineStr">
        <is>
          <t xml:space="preserve">PM</t>
        </is>
      </c>
      <c r="I928" t="inlineStr">
        <is>
          <t xml:space="preserve">Frisco, TX</t>
        </is>
      </c>
      <c r="J928" t="inlineStr">
        <is>
          <t xml:space="preserve">South</t>
        </is>
      </c>
      <c r="K928">
        <v>10</v>
      </c>
      <c r="L928" t="inlineStr">
        <is>
          <t xml:space="preserve">Full</t>
        </is>
      </c>
      <c r="M928" t="inlineStr">
        <is>
          <t xml:space="preserve">The Swing</t>
        </is>
      </c>
      <c r="P928">
        <v>110</v>
      </c>
      <c r="Q928">
        <v>694</v>
      </c>
      <c r="R928" t="inlineStr">
        <is>
          <t xml:space="preserve">FTAS</t>
        </is>
      </c>
      <c r="S928" t="inlineStr">
        <is>
          <t xml:space="preserve">FTAS</t>
        </is>
      </c>
      <c r="T928" t="inlineStr">
        <is>
          <t xml:space="preserve">Under 6'</t>
        </is>
      </c>
      <c r="U928" t="inlineStr">
        <is>
          <t xml:space="preserve">Mangold</t>
        </is>
      </c>
      <c r="V928" t="inlineStr">
        <is>
          <t xml:space="preserve">Lynch</t>
        </is>
      </c>
      <c r="AA928">
        <v>0.5</v>
      </c>
      <c r="AB928" t="inlineStr">
        <is>
          <t xml:space="preserve">L</t>
        </is>
      </c>
      <c r="AC928" t="inlineStr">
        <is>
          <t xml:space="preserve">2&amp;1</t>
        </is>
      </c>
      <c r="AE928" t="str">
        <f>$V928&amp;$Y928</f>
        <v>Lynch</v>
      </c>
      <c r="AF928">
        <v>0</v>
      </c>
      <c r="AG928">
        <v>0</v>
      </c>
      <c r="AH928">
        <v>1</v>
      </c>
      <c r="AI928">
        <v>0</v>
      </c>
    </row>
    <row r="929" spans="1:40" ht="15" customHeight="1" x14ac:dyDescent="0.2">
      <c r="B929" t="inlineStr">
        <is>
          <t xml:space="preserve">FT1</t>
        </is>
      </c>
      <c r="D929">
        <v>13</v>
      </c>
      <c r="E929" t="inlineStr">
        <is>
          <t xml:space="preserve">FBC13-FT</t>
        </is>
      </c>
      <c r="F929" t="inlineStr">
        <is>
          <t xml:space="preserve">Friday</t>
        </is>
      </c>
      <c r="G929" s="15">
        <v>46297</v>
      </c>
      <c r="H929" t="inlineStr">
        <is>
          <t xml:space="preserve">PM</t>
        </is>
      </c>
      <c r="I929" t="inlineStr">
        <is>
          <t xml:space="preserve">Frisco, TX</t>
        </is>
      </c>
      <c r="J929" t="inlineStr">
        <is>
          <t xml:space="preserve">South</t>
        </is>
      </c>
      <c r="K929">
        <v>10</v>
      </c>
      <c r="L929" t="inlineStr">
        <is>
          <t xml:space="preserve">Full</t>
        </is>
      </c>
      <c r="M929" t="inlineStr">
        <is>
          <t xml:space="preserve">The Swing</t>
        </is>
      </c>
      <c r="P929">
        <v>110</v>
      </c>
      <c r="Q929">
        <v>694</v>
      </c>
      <c r="R929" t="inlineStr">
        <is>
          <t xml:space="preserve">FTAS</t>
        </is>
      </c>
      <c r="S929" t="inlineStr">
        <is>
          <t xml:space="preserve">FTAS</t>
        </is>
      </c>
      <c r="T929" t="inlineStr">
        <is>
          <t xml:space="preserve">Under 6'</t>
        </is>
      </c>
      <c r="U929" t="inlineStr">
        <is>
          <t xml:space="preserve">Mangold</t>
        </is>
      </c>
      <c r="V929" t="inlineStr">
        <is>
          <t xml:space="preserve">McInerney</t>
        </is>
      </c>
      <c r="AA929">
        <v>0.5</v>
      </c>
      <c r="AB929" t="inlineStr">
        <is>
          <t xml:space="preserve">L</t>
        </is>
      </c>
      <c r="AC929" t="inlineStr">
        <is>
          <t xml:space="preserve">2&amp;1</t>
        </is>
      </c>
      <c r="AE929" t="str">
        <f>$V929&amp;$Y929</f>
        <v>McInerney</v>
      </c>
      <c r="AF929">
        <v>0</v>
      </c>
      <c r="AG929">
        <v>0</v>
      </c>
      <c r="AH929">
        <v>1</v>
      </c>
      <c r="AI929">
        <v>0</v>
      </c>
    </row>
    <row r="930" spans="1:40" ht="15" customHeight="1" x14ac:dyDescent="0.2">
      <c r="B930" t="inlineStr">
        <is>
          <t xml:space="preserve">FT1</t>
        </is>
      </c>
      <c r="D930">
        <v>13</v>
      </c>
      <c r="E930" t="inlineStr">
        <is>
          <t xml:space="preserve">FBC13-FT</t>
        </is>
      </c>
      <c r="F930" t="inlineStr">
        <is>
          <t xml:space="preserve">Friday</t>
        </is>
      </c>
      <c r="G930" s="15">
        <v>46297</v>
      </c>
      <c r="H930" t="inlineStr">
        <is>
          <t xml:space="preserve">PM</t>
        </is>
      </c>
      <c r="I930" t="inlineStr">
        <is>
          <t xml:space="preserve">Frisco, TX</t>
        </is>
      </c>
      <c r="J930" t="inlineStr">
        <is>
          <t xml:space="preserve">South</t>
        </is>
      </c>
      <c r="K930">
        <v>10</v>
      </c>
      <c r="L930" t="inlineStr">
        <is>
          <t xml:space="preserve">Full</t>
        </is>
      </c>
      <c r="M930" t="inlineStr">
        <is>
          <t xml:space="preserve">The Swing</t>
        </is>
      </c>
      <c r="P930">
        <v>110</v>
      </c>
      <c r="Q930">
        <v>694</v>
      </c>
      <c r="R930" t="inlineStr">
        <is>
          <t xml:space="preserve">FTAS</t>
        </is>
      </c>
      <c r="S930" t="inlineStr">
        <is>
          <t xml:space="preserve">FTAS</t>
        </is>
      </c>
      <c r="T930" t="inlineStr">
        <is>
          <t xml:space="preserve">Under 6'</t>
        </is>
      </c>
      <c r="U930" t="inlineStr">
        <is>
          <t xml:space="preserve">Mangold</t>
        </is>
      </c>
      <c r="V930" t="inlineStr">
        <is>
          <t xml:space="preserve">Perkins</t>
        </is>
      </c>
      <c r="AA930">
        <v>0.5</v>
      </c>
      <c r="AB930" t="inlineStr">
        <is>
          <t xml:space="preserve">L</t>
        </is>
      </c>
      <c r="AC930" t="inlineStr">
        <is>
          <t xml:space="preserve">2&amp;1</t>
        </is>
      </c>
      <c r="AE930" t="str">
        <f>$V930&amp;$Y930</f>
        <v>Perkins</v>
      </c>
      <c r="AF930">
        <v>0</v>
      </c>
      <c r="AG930">
        <v>0</v>
      </c>
      <c r="AH930">
        <v>1</v>
      </c>
      <c r="AI930">
        <v>0</v>
      </c>
    </row>
    <row r="931" spans="1:40" ht="15" customHeight="1" x14ac:dyDescent="0.2">
      <c r="B931" t="inlineStr">
        <is>
          <t xml:space="preserve">FT1</t>
        </is>
      </c>
      <c r="D931">
        <v>13</v>
      </c>
      <c r="E931" t="inlineStr">
        <is>
          <t xml:space="preserve">FBC13-FT</t>
        </is>
      </c>
      <c r="F931" t="inlineStr">
        <is>
          <t xml:space="preserve">Friday</t>
        </is>
      </c>
      <c r="G931" s="15">
        <v>46297</v>
      </c>
      <c r="H931" t="inlineStr">
        <is>
          <t xml:space="preserve">PM</t>
        </is>
      </c>
      <c r="I931" t="inlineStr">
        <is>
          <t xml:space="preserve">Frisco, TX</t>
        </is>
      </c>
      <c r="J931" t="inlineStr">
        <is>
          <t xml:space="preserve">South</t>
        </is>
      </c>
      <c r="K931">
        <v>10</v>
      </c>
      <c r="L931" t="inlineStr">
        <is>
          <t xml:space="preserve">Full</t>
        </is>
      </c>
      <c r="M931" t="inlineStr">
        <is>
          <t xml:space="preserve">The Swing</t>
        </is>
      </c>
      <c r="P931">
        <v>110</v>
      </c>
      <c r="Q931">
        <v>694</v>
      </c>
      <c r="R931" t="inlineStr">
        <is>
          <t xml:space="preserve">FTAS</t>
        </is>
      </c>
      <c r="S931" t="inlineStr">
        <is>
          <t xml:space="preserve">FTAS</t>
        </is>
      </c>
      <c r="T931" t="inlineStr">
        <is>
          <t xml:space="preserve">Under 6'</t>
        </is>
      </c>
      <c r="U931" t="inlineStr">
        <is>
          <t xml:space="preserve">Mangold</t>
        </is>
      </c>
      <c r="V931" t="inlineStr">
        <is>
          <t xml:space="preserve">Piegari</t>
        </is>
      </c>
      <c r="AA931">
        <v>0.5</v>
      </c>
      <c r="AB931" t="inlineStr">
        <is>
          <t xml:space="preserve">L</t>
        </is>
      </c>
      <c r="AC931" t="inlineStr">
        <is>
          <t xml:space="preserve">2&amp;1</t>
        </is>
      </c>
      <c r="AE931" t="str">
        <f>$V931&amp;$Y931</f>
        <v>Piegari</v>
      </c>
      <c r="AF931">
        <v>0</v>
      </c>
      <c r="AG931">
        <v>0</v>
      </c>
      <c r="AH931">
        <v>1</v>
      </c>
      <c r="AI931">
        <v>0</v>
      </c>
    </row>
    <row r="932" spans="1:40" ht="15" customHeight="1" x14ac:dyDescent="0.2">
      <c r="B932" t="inlineStr">
        <is>
          <t xml:space="preserve">FT1</t>
        </is>
      </c>
      <c r="D932">
        <v>13</v>
      </c>
      <c r="E932" t="inlineStr">
        <is>
          <t xml:space="preserve">FBC13-FT</t>
        </is>
      </c>
      <c r="F932" t="inlineStr">
        <is>
          <t xml:space="preserve">Friday</t>
        </is>
      </c>
      <c r="G932" s="15">
        <v>46297</v>
      </c>
      <c r="H932" t="inlineStr">
        <is>
          <t xml:space="preserve">PM</t>
        </is>
      </c>
      <c r="I932" t="inlineStr">
        <is>
          <t xml:space="preserve">Frisco, TX</t>
        </is>
      </c>
      <c r="J932" t="inlineStr">
        <is>
          <t xml:space="preserve">South</t>
        </is>
      </c>
      <c r="K932">
        <v>10</v>
      </c>
      <c r="L932" t="inlineStr">
        <is>
          <t xml:space="preserve">Full</t>
        </is>
      </c>
      <c r="M932" t="inlineStr">
        <is>
          <t xml:space="preserve">The Swing</t>
        </is>
      </c>
      <c r="P932">
        <v>110</v>
      </c>
      <c r="Q932">
        <v>694</v>
      </c>
      <c r="R932" t="inlineStr">
        <is>
          <t xml:space="preserve">FTAS</t>
        </is>
      </c>
      <c r="S932" t="inlineStr">
        <is>
          <t xml:space="preserve">FTAS</t>
        </is>
      </c>
      <c r="T932" t="inlineStr">
        <is>
          <t xml:space="preserve">Under 6'</t>
        </is>
      </c>
      <c r="U932" t="inlineStr">
        <is>
          <t xml:space="preserve">Mangold</t>
        </is>
      </c>
      <c r="V932" t="inlineStr">
        <is>
          <t xml:space="preserve">Shively</t>
        </is>
      </c>
      <c r="AA932">
        <v>0.5</v>
      </c>
      <c r="AB932" t="inlineStr">
        <is>
          <t xml:space="preserve">L</t>
        </is>
      </c>
      <c r="AC932" t="inlineStr">
        <is>
          <t xml:space="preserve">2&amp;1</t>
        </is>
      </c>
      <c r="AE932" t="str">
        <f>$V932&amp;$Y932</f>
        <v>Shively</v>
      </c>
      <c r="AF932">
        <v>0</v>
      </c>
      <c r="AG932">
        <v>0</v>
      </c>
      <c r="AH932">
        <v>1</v>
      </c>
      <c r="AI932">
        <v>0</v>
      </c>
    </row>
    <row r="933" spans="1:40" ht="15" customHeight="1" x14ac:dyDescent="0.2">
      <c r="B933" t="inlineStr">
        <is>
          <t xml:space="preserve">FT1</t>
        </is>
      </c>
      <c r="D933">
        <v>13</v>
      </c>
      <c r="E933" t="inlineStr">
        <is>
          <t xml:space="preserve">FBC13-FT</t>
        </is>
      </c>
      <c r="F933" t="inlineStr">
        <is>
          <t xml:space="preserve">Friday</t>
        </is>
      </c>
      <c r="G933" s="15">
        <v>46297</v>
      </c>
      <c r="H933" t="inlineStr">
        <is>
          <t xml:space="preserve">PM</t>
        </is>
      </c>
      <c r="I933" t="inlineStr">
        <is>
          <t xml:space="preserve">Frisco, TX</t>
        </is>
      </c>
      <c r="J933" t="inlineStr">
        <is>
          <t xml:space="preserve">South</t>
        </is>
      </c>
      <c r="K933">
        <v>10</v>
      </c>
      <c r="L933" t="inlineStr">
        <is>
          <t xml:space="preserve">Full</t>
        </is>
      </c>
      <c r="M933" t="inlineStr">
        <is>
          <t xml:space="preserve">The Swing</t>
        </is>
      </c>
      <c r="P933">
        <v>110</v>
      </c>
      <c r="Q933">
        <v>694</v>
      </c>
      <c r="R933" t="inlineStr">
        <is>
          <t xml:space="preserve">FTAS</t>
        </is>
      </c>
      <c r="S933" t="inlineStr">
        <is>
          <t xml:space="preserve">FTAS</t>
        </is>
      </c>
      <c r="T933" t="inlineStr">
        <is>
          <t xml:space="preserve">Under 6'</t>
        </is>
      </c>
      <c r="U933" t="inlineStr">
        <is>
          <t xml:space="preserve">Mangold</t>
        </is>
      </c>
      <c r="V933" t="inlineStr">
        <is>
          <t xml:space="preserve">Welker</t>
        </is>
      </c>
      <c r="AA933">
        <v>0.5</v>
      </c>
      <c r="AB933" t="inlineStr">
        <is>
          <t xml:space="preserve">L</t>
        </is>
      </c>
      <c r="AC933" t="inlineStr">
        <is>
          <t xml:space="preserve">2&amp;1</t>
        </is>
      </c>
      <c r="AE933" t="str">
        <f>$V933&amp;$Y933</f>
        <v>Welker</v>
      </c>
      <c r="AF933">
        <v>0</v>
      </c>
      <c r="AG933">
        <v>0</v>
      </c>
      <c r="AH933">
        <v>1</v>
      </c>
      <c r="AI933">
        <v>0</v>
      </c>
    </row>
    <row r="934" spans="1:40" ht="15" customHeight="1" x14ac:dyDescent="0.2">
      <c r="B934" t="inlineStr">
        <is>
          <t xml:space="preserve">FT1</t>
        </is>
      </c>
      <c r="D934">
        <v>13</v>
      </c>
      <c r="E934" t="inlineStr">
        <is>
          <t xml:space="preserve">FBC13-FT</t>
        </is>
      </c>
      <c r="F934" t="inlineStr">
        <is>
          <t xml:space="preserve">Friday</t>
        </is>
      </c>
      <c r="G934" s="15">
        <v>46297</v>
      </c>
      <c r="H934" t="inlineStr">
        <is>
          <t xml:space="preserve">PM</t>
        </is>
      </c>
      <c r="I934" t="inlineStr">
        <is>
          <t xml:space="preserve">Frisco, TX</t>
        </is>
      </c>
      <c r="J934" t="inlineStr">
        <is>
          <t xml:space="preserve">South</t>
        </is>
      </c>
      <c r="K934">
        <v>10</v>
      </c>
      <c r="L934" t="inlineStr">
        <is>
          <t xml:space="preserve">Full</t>
        </is>
      </c>
      <c r="M934" t="inlineStr">
        <is>
          <t xml:space="preserve">The Swing</t>
        </is>
      </c>
      <c r="P934">
        <v>110</v>
      </c>
      <c r="Q934">
        <v>694</v>
      </c>
      <c r="R934" t="inlineStr">
        <is>
          <t xml:space="preserve">FTAS</t>
        </is>
      </c>
      <c r="S934" t="inlineStr">
        <is>
          <t xml:space="preserve">FTAS</t>
        </is>
      </c>
      <c r="T934" t="inlineStr">
        <is>
          <t xml:space="preserve">Under 6'</t>
        </is>
      </c>
      <c r="U934" t="inlineStr">
        <is>
          <t xml:space="preserve">Forster</t>
        </is>
      </c>
      <c r="V934" t="inlineStr">
        <is>
          <t xml:space="preserve">Forster</t>
        </is>
      </c>
      <c r="AA934">
        <v>0.5</v>
      </c>
      <c r="AB934" t="inlineStr">
        <is>
          <t xml:space="preserve">W</t>
        </is>
      </c>
      <c r="AC934" t="inlineStr">
        <is>
          <t xml:space="preserve">2&amp;1</t>
        </is>
      </c>
      <c r="AE934" t="str">
        <f>$V934&amp;$Y934</f>
        <v>Forster</v>
      </c>
      <c r="AF934">
        <v>0.5</v>
      </c>
      <c r="AG934">
        <v>1</v>
      </c>
      <c r="AH934">
        <v>0</v>
      </c>
      <c r="AI934">
        <v>0</v>
      </c>
    </row>
    <row r="935" spans="1:40" ht="15" customHeight="1" x14ac:dyDescent="0.2">
      <c r="B935" t="inlineStr">
        <is>
          <t xml:space="preserve">FT1</t>
        </is>
      </c>
      <c r="D935">
        <v>13</v>
      </c>
      <c r="E935" t="inlineStr">
        <is>
          <t xml:space="preserve">FBC13-FT</t>
        </is>
      </c>
      <c r="F935" t="inlineStr">
        <is>
          <t xml:space="preserve">Friday</t>
        </is>
      </c>
      <c r="G935" s="15">
        <v>46297</v>
      </c>
      <c r="H935" t="inlineStr">
        <is>
          <t xml:space="preserve">PM</t>
        </is>
      </c>
      <c r="I935" t="inlineStr">
        <is>
          <t xml:space="preserve">Frisco, TX</t>
        </is>
      </c>
      <c r="J935" t="inlineStr">
        <is>
          <t xml:space="preserve">South</t>
        </is>
      </c>
      <c r="K935">
        <v>10</v>
      </c>
      <c r="L935" t="inlineStr">
        <is>
          <t xml:space="preserve">Full</t>
        </is>
      </c>
      <c r="M935" t="inlineStr">
        <is>
          <t xml:space="preserve">The Swing</t>
        </is>
      </c>
      <c r="P935">
        <v>110</v>
      </c>
      <c r="Q935">
        <v>694</v>
      </c>
      <c r="R935" t="inlineStr">
        <is>
          <t xml:space="preserve">FTAS</t>
        </is>
      </c>
      <c r="S935" t="inlineStr">
        <is>
          <t xml:space="preserve">FTAS</t>
        </is>
      </c>
      <c r="T935" t="inlineStr">
        <is>
          <t xml:space="preserve">Under 6'</t>
        </is>
      </c>
      <c r="U935" t="inlineStr">
        <is>
          <t xml:space="preserve">Forster</t>
        </is>
      </c>
      <c r="V935" t="inlineStr">
        <is>
          <t xml:space="preserve">Cole</t>
        </is>
      </c>
      <c r="AA935">
        <v>0.5</v>
      </c>
      <c r="AB935" t="inlineStr">
        <is>
          <t xml:space="preserve">W</t>
        </is>
      </c>
      <c r="AC935" t="inlineStr">
        <is>
          <t xml:space="preserve">2&amp;1</t>
        </is>
      </c>
      <c r="AE935" t="str">
        <f>$V935&amp;$Y935</f>
        <v>Cole</v>
      </c>
      <c r="AF935">
        <v>0.5</v>
      </c>
      <c r="AG935">
        <v>1</v>
      </c>
      <c r="AH935">
        <v>0</v>
      </c>
      <c r="AI935">
        <v>0</v>
      </c>
    </row>
    <row r="936" spans="1:40" ht="15" customHeight="1" x14ac:dyDescent="0.2">
      <c r="B936" t="inlineStr">
        <is>
          <t xml:space="preserve">FT1</t>
        </is>
      </c>
      <c r="D936">
        <v>13</v>
      </c>
      <c r="E936" t="inlineStr">
        <is>
          <t xml:space="preserve">FBC13-FT</t>
        </is>
      </c>
      <c r="F936" t="inlineStr">
        <is>
          <t xml:space="preserve">Friday</t>
        </is>
      </c>
      <c r="G936" s="15">
        <v>46297</v>
      </c>
      <c r="H936" t="inlineStr">
        <is>
          <t xml:space="preserve">PM</t>
        </is>
      </c>
      <c r="I936" t="inlineStr">
        <is>
          <t xml:space="preserve">Frisco, TX</t>
        </is>
      </c>
      <c r="J936" t="inlineStr">
        <is>
          <t xml:space="preserve">South</t>
        </is>
      </c>
      <c r="K936">
        <v>10</v>
      </c>
      <c r="L936" t="inlineStr">
        <is>
          <t xml:space="preserve">Full</t>
        </is>
      </c>
      <c r="M936" t="inlineStr">
        <is>
          <t xml:space="preserve">The Swing</t>
        </is>
      </c>
      <c r="P936">
        <v>110</v>
      </c>
      <c r="Q936">
        <v>694</v>
      </c>
      <c r="R936" t="inlineStr">
        <is>
          <t xml:space="preserve">FTAS</t>
        </is>
      </c>
      <c r="S936" t="inlineStr">
        <is>
          <t xml:space="preserve">FTAS</t>
        </is>
      </c>
      <c r="T936" t="inlineStr">
        <is>
          <t xml:space="preserve">Under 6'</t>
        </is>
      </c>
      <c r="U936" t="inlineStr">
        <is>
          <t xml:space="preserve">Forster</t>
        </is>
      </c>
      <c r="V936" t="inlineStr">
        <is>
          <t xml:space="preserve">Connolly</t>
        </is>
      </c>
      <c r="AA936">
        <v>0.5</v>
      </c>
      <c r="AB936" t="inlineStr">
        <is>
          <t xml:space="preserve">W</t>
        </is>
      </c>
      <c r="AC936" t="inlineStr">
        <is>
          <t xml:space="preserve">2&amp;1</t>
        </is>
      </c>
      <c r="AE936" t="str">
        <f>$V936&amp;$Y936</f>
        <v>Connolly</v>
      </c>
      <c r="AF936">
        <v>0.5</v>
      </c>
      <c r="AG936">
        <v>1</v>
      </c>
      <c r="AH936">
        <v>0</v>
      </c>
      <c r="AI936">
        <v>0</v>
      </c>
    </row>
    <row r="937" spans="1:40" ht="15" customHeight="1" x14ac:dyDescent="0.2">
      <c r="B937" t="inlineStr">
        <is>
          <t xml:space="preserve">FT1</t>
        </is>
      </c>
      <c r="D937">
        <v>13</v>
      </c>
      <c r="E937" t="inlineStr">
        <is>
          <t xml:space="preserve">FBC13-FT</t>
        </is>
      </c>
      <c r="F937" t="inlineStr">
        <is>
          <t xml:space="preserve">Friday</t>
        </is>
      </c>
      <c r="G937" s="15">
        <v>46297</v>
      </c>
      <c r="H937" t="inlineStr">
        <is>
          <t xml:space="preserve">PM</t>
        </is>
      </c>
      <c r="I937" t="inlineStr">
        <is>
          <t xml:space="preserve">Frisco, TX</t>
        </is>
      </c>
      <c r="J937" t="inlineStr">
        <is>
          <t xml:space="preserve">South</t>
        </is>
      </c>
      <c r="K937">
        <v>10</v>
      </c>
      <c r="L937" t="inlineStr">
        <is>
          <t xml:space="preserve">Full</t>
        </is>
      </c>
      <c r="M937" t="inlineStr">
        <is>
          <t xml:space="preserve">The Swing</t>
        </is>
      </c>
      <c r="P937">
        <v>110</v>
      </c>
      <c r="Q937">
        <v>694</v>
      </c>
      <c r="R937" t="inlineStr">
        <is>
          <t xml:space="preserve">FTAS</t>
        </is>
      </c>
      <c r="S937" t="inlineStr">
        <is>
          <t xml:space="preserve">FTAS</t>
        </is>
      </c>
      <c r="T937" t="inlineStr">
        <is>
          <t xml:space="preserve">Under 6'</t>
        </is>
      </c>
      <c r="U937" t="inlineStr">
        <is>
          <t xml:space="preserve">Forster</t>
        </is>
      </c>
      <c r="V937" t="inlineStr">
        <is>
          <t xml:space="preserve">R. Connolly</t>
        </is>
      </c>
      <c r="AA937">
        <v>0.5</v>
      </c>
      <c r="AB937" t="inlineStr">
        <is>
          <t xml:space="preserve">W</t>
        </is>
      </c>
      <c r="AC937" t="inlineStr">
        <is>
          <t xml:space="preserve">2&amp;1</t>
        </is>
      </c>
      <c r="AE937" t="str">
        <f>$V937&amp;$Y937</f>
        <v>R. Connolly</v>
      </c>
      <c r="AF937">
        <v>0.5</v>
      </c>
      <c r="AG937">
        <v>1</v>
      </c>
      <c r="AH937">
        <v>0</v>
      </c>
      <c r="AI937">
        <v>0</v>
      </c>
    </row>
    <row r="938" spans="1:40" ht="15" customHeight="1" x14ac:dyDescent="0.2">
      <c r="B938" t="inlineStr">
        <is>
          <t xml:space="preserve">FT1</t>
        </is>
      </c>
      <c r="D938">
        <v>13</v>
      </c>
      <c r="E938" t="inlineStr">
        <is>
          <t xml:space="preserve">FBC13-FT</t>
        </is>
      </c>
      <c r="F938" t="inlineStr">
        <is>
          <t xml:space="preserve">Friday</t>
        </is>
      </c>
      <c r="G938" s="15">
        <v>46297</v>
      </c>
      <c r="H938" t="inlineStr">
        <is>
          <t xml:space="preserve">PM</t>
        </is>
      </c>
      <c r="I938" t="inlineStr">
        <is>
          <t xml:space="preserve">Frisco, TX</t>
        </is>
      </c>
      <c r="J938" t="inlineStr">
        <is>
          <t xml:space="preserve">South</t>
        </is>
      </c>
      <c r="K938">
        <v>10</v>
      </c>
      <c r="L938" t="inlineStr">
        <is>
          <t xml:space="preserve">Full</t>
        </is>
      </c>
      <c r="M938" t="inlineStr">
        <is>
          <t xml:space="preserve">The Swing</t>
        </is>
      </c>
      <c r="P938">
        <v>110</v>
      </c>
      <c r="Q938">
        <v>694</v>
      </c>
      <c r="R938" t="inlineStr">
        <is>
          <t xml:space="preserve">FTAS</t>
        </is>
      </c>
      <c r="S938" t="inlineStr">
        <is>
          <t xml:space="preserve">FTAS</t>
        </is>
      </c>
      <c r="T938" t="inlineStr">
        <is>
          <t xml:space="preserve">Under 6'</t>
        </is>
      </c>
      <c r="U938" t="inlineStr">
        <is>
          <t xml:space="preserve">Forster</t>
        </is>
      </c>
      <c r="V938" t="inlineStr">
        <is>
          <t xml:space="preserve">Delaney</t>
        </is>
      </c>
      <c r="AA938">
        <v>0.5</v>
      </c>
      <c r="AB938" t="inlineStr">
        <is>
          <t xml:space="preserve">W</t>
        </is>
      </c>
      <c r="AC938" t="inlineStr">
        <is>
          <t xml:space="preserve">2&amp;1</t>
        </is>
      </c>
      <c r="AE938" t="str">
        <f>$V938&amp;$Y938</f>
        <v>Delaney</v>
      </c>
      <c r="AF938">
        <v>0.5</v>
      </c>
      <c r="AG938">
        <v>1</v>
      </c>
      <c r="AH938">
        <v>0</v>
      </c>
      <c r="AI938">
        <v>0</v>
      </c>
    </row>
    <row r="939" spans="1:40" ht="15" customHeight="1" x14ac:dyDescent="0.2">
      <c r="B939" t="inlineStr">
        <is>
          <t xml:space="preserve">FT1</t>
        </is>
      </c>
      <c r="D939">
        <v>13</v>
      </c>
      <c r="E939" t="inlineStr">
        <is>
          <t xml:space="preserve">FBC13-FT</t>
        </is>
      </c>
      <c r="F939" t="inlineStr">
        <is>
          <t xml:space="preserve">Friday</t>
        </is>
      </c>
      <c r="G939" s="15">
        <v>46297</v>
      </c>
      <c r="H939" t="inlineStr">
        <is>
          <t xml:space="preserve">PM</t>
        </is>
      </c>
      <c r="I939" t="inlineStr">
        <is>
          <t xml:space="preserve">Frisco, TX</t>
        </is>
      </c>
      <c r="J939" t="inlineStr">
        <is>
          <t xml:space="preserve">South</t>
        </is>
      </c>
      <c r="K939">
        <v>10</v>
      </c>
      <c r="L939" t="inlineStr">
        <is>
          <t xml:space="preserve">Full</t>
        </is>
      </c>
      <c r="M939" t="inlineStr">
        <is>
          <t xml:space="preserve">The Swing</t>
        </is>
      </c>
      <c r="P939">
        <v>110</v>
      </c>
      <c r="Q939">
        <v>694</v>
      </c>
      <c r="R939" t="inlineStr">
        <is>
          <t xml:space="preserve">FTAS</t>
        </is>
      </c>
      <c r="S939" t="inlineStr">
        <is>
          <t xml:space="preserve">FTAS</t>
        </is>
      </c>
      <c r="T939" t="inlineStr">
        <is>
          <t xml:space="preserve">Under 6'</t>
        </is>
      </c>
      <c r="U939" t="inlineStr">
        <is>
          <t xml:space="preserve">Forster</t>
        </is>
      </c>
      <c r="V939" t="inlineStr">
        <is>
          <t xml:space="preserve">Delneky</t>
        </is>
      </c>
      <c r="AA939">
        <v>0.5</v>
      </c>
      <c r="AB939" t="inlineStr">
        <is>
          <t xml:space="preserve">W</t>
        </is>
      </c>
      <c r="AC939" t="inlineStr">
        <is>
          <t xml:space="preserve">2&amp;1</t>
        </is>
      </c>
      <c r="AE939" t="str">
        <f>$V939&amp;$Y939</f>
        <v>Delneky</v>
      </c>
      <c r="AF939">
        <v>0.5</v>
      </c>
      <c r="AG939">
        <v>1</v>
      </c>
      <c r="AH939">
        <v>0</v>
      </c>
      <c r="AI939">
        <v>0</v>
      </c>
    </row>
    <row r="940" spans="1:40" ht="15" customHeight="1" x14ac:dyDescent="0.2">
      <c r="B940" t="inlineStr">
        <is>
          <t xml:space="preserve">FT1</t>
        </is>
      </c>
      <c r="D940">
        <v>13</v>
      </c>
      <c r="E940" t="inlineStr">
        <is>
          <t xml:space="preserve">FBC13-FT</t>
        </is>
      </c>
      <c r="F940" t="inlineStr">
        <is>
          <t xml:space="preserve">Friday</t>
        </is>
      </c>
      <c r="G940" s="15">
        <v>46297</v>
      </c>
      <c r="H940" t="inlineStr">
        <is>
          <t xml:space="preserve">PM</t>
        </is>
      </c>
      <c r="I940" t="inlineStr">
        <is>
          <t xml:space="preserve">Frisco, TX</t>
        </is>
      </c>
      <c r="J940" t="inlineStr">
        <is>
          <t xml:space="preserve">South</t>
        </is>
      </c>
      <c r="K940">
        <v>10</v>
      </c>
      <c r="L940" t="inlineStr">
        <is>
          <t xml:space="preserve">Full</t>
        </is>
      </c>
      <c r="M940" t="inlineStr">
        <is>
          <t xml:space="preserve">The Swing</t>
        </is>
      </c>
      <c r="P940">
        <v>110</v>
      </c>
      <c r="Q940">
        <v>694</v>
      </c>
      <c r="R940" t="inlineStr">
        <is>
          <t xml:space="preserve">FTAS</t>
        </is>
      </c>
      <c r="S940" t="inlineStr">
        <is>
          <t xml:space="preserve">FTAS</t>
        </is>
      </c>
      <c r="T940" t="inlineStr">
        <is>
          <t xml:space="preserve">Under 6'</t>
        </is>
      </c>
      <c r="U940" t="inlineStr">
        <is>
          <t xml:space="preserve">Forster</t>
        </is>
      </c>
      <c r="V940" t="inlineStr">
        <is>
          <t xml:space="preserve">Flanders</t>
        </is>
      </c>
      <c r="AA940">
        <v>0.5</v>
      </c>
      <c r="AB940" t="inlineStr">
        <is>
          <t xml:space="preserve">W</t>
        </is>
      </c>
      <c r="AC940" t="inlineStr">
        <is>
          <t xml:space="preserve">2&amp;1</t>
        </is>
      </c>
      <c r="AE940" t="str">
        <f>$V940&amp;$Y940</f>
        <v>Flanders</v>
      </c>
      <c r="AF940">
        <v>0.5</v>
      </c>
      <c r="AG940">
        <v>1</v>
      </c>
      <c r="AH940">
        <v>0</v>
      </c>
      <c r="AI940">
        <v>0</v>
      </c>
    </row>
    <row r="941" spans="1:40" ht="15" customHeight="1" x14ac:dyDescent="0.2">
      <c r="B941" t="inlineStr">
        <is>
          <t xml:space="preserve">FT1</t>
        </is>
      </c>
      <c r="D941">
        <v>13</v>
      </c>
      <c r="E941" t="inlineStr">
        <is>
          <t xml:space="preserve">FBC13-FT</t>
        </is>
      </c>
      <c r="F941" t="inlineStr">
        <is>
          <t xml:space="preserve">Friday</t>
        </is>
      </c>
      <c r="G941" s="15">
        <v>46297</v>
      </c>
      <c r="H941" t="inlineStr">
        <is>
          <t xml:space="preserve">PM</t>
        </is>
      </c>
      <c r="I941" t="inlineStr">
        <is>
          <t xml:space="preserve">Frisco, TX</t>
        </is>
      </c>
      <c r="J941" t="inlineStr">
        <is>
          <t xml:space="preserve">South</t>
        </is>
      </c>
      <c r="K941">
        <v>10</v>
      </c>
      <c r="L941" t="inlineStr">
        <is>
          <t xml:space="preserve">Full</t>
        </is>
      </c>
      <c r="M941" t="inlineStr">
        <is>
          <t xml:space="preserve">The Swing</t>
        </is>
      </c>
      <c r="P941">
        <v>110</v>
      </c>
      <c r="Q941">
        <v>694</v>
      </c>
      <c r="R941" t="inlineStr">
        <is>
          <t xml:space="preserve">FTAS</t>
        </is>
      </c>
      <c r="S941" t="inlineStr">
        <is>
          <t xml:space="preserve">FTAS</t>
        </is>
      </c>
      <c r="T941" t="inlineStr">
        <is>
          <t xml:space="preserve">Under 6'</t>
        </is>
      </c>
      <c r="U941" t="inlineStr">
        <is>
          <t xml:space="preserve">Forster</t>
        </is>
      </c>
      <c r="V941" t="inlineStr">
        <is>
          <t xml:space="preserve">Grise</t>
        </is>
      </c>
      <c r="AA941">
        <v>0.5</v>
      </c>
      <c r="AB941" t="inlineStr">
        <is>
          <t xml:space="preserve">W</t>
        </is>
      </c>
      <c r="AC941" t="inlineStr">
        <is>
          <t xml:space="preserve">2&amp;1</t>
        </is>
      </c>
      <c r="AE941" t="str">
        <f>$V941&amp;$Y941</f>
        <v>Grise</v>
      </c>
      <c r="AF941">
        <v>0.5</v>
      </c>
      <c r="AG941">
        <v>1</v>
      </c>
      <c r="AH941">
        <v>0</v>
      </c>
      <c r="AI941">
        <v>0</v>
      </c>
    </row>
    <row r="942" spans="1:40" ht="15" customHeight="1" x14ac:dyDescent="0.2">
      <c r="B942" t="inlineStr">
        <is>
          <t xml:space="preserve">FT1</t>
        </is>
      </c>
      <c r="D942">
        <v>13</v>
      </c>
      <c r="E942" t="inlineStr">
        <is>
          <t xml:space="preserve">FBC13-FT</t>
        </is>
      </c>
      <c r="F942" t="inlineStr">
        <is>
          <t xml:space="preserve">Friday</t>
        </is>
      </c>
      <c r="G942" s="15">
        <v>46297</v>
      </c>
      <c r="H942" t="inlineStr">
        <is>
          <t xml:space="preserve">PM</t>
        </is>
      </c>
      <c r="I942" t="inlineStr">
        <is>
          <t xml:space="preserve">Frisco, TX</t>
        </is>
      </c>
      <c r="J942" t="inlineStr">
        <is>
          <t xml:space="preserve">South</t>
        </is>
      </c>
      <c r="K942">
        <v>10</v>
      </c>
      <c r="L942" t="inlineStr">
        <is>
          <t xml:space="preserve">Full</t>
        </is>
      </c>
      <c r="M942" t="inlineStr">
        <is>
          <t xml:space="preserve">The Swing</t>
        </is>
      </c>
      <c r="P942">
        <v>110</v>
      </c>
      <c r="Q942">
        <v>694</v>
      </c>
      <c r="R942" t="inlineStr">
        <is>
          <t xml:space="preserve">FTAS</t>
        </is>
      </c>
      <c r="S942" t="inlineStr">
        <is>
          <t xml:space="preserve">FTAS</t>
        </is>
      </c>
      <c r="T942" t="inlineStr">
        <is>
          <t xml:space="preserve">Under 6'</t>
        </is>
      </c>
      <c r="U942" t="inlineStr">
        <is>
          <t xml:space="preserve">Forster</t>
        </is>
      </c>
      <c r="V942" t="inlineStr">
        <is>
          <t xml:space="preserve">Hilts</t>
        </is>
      </c>
      <c r="AA942">
        <v>0.5</v>
      </c>
      <c r="AB942" t="inlineStr">
        <is>
          <t xml:space="preserve">W</t>
        </is>
      </c>
      <c r="AC942" t="inlineStr">
        <is>
          <t xml:space="preserve">2&amp;1</t>
        </is>
      </c>
      <c r="AE942" t="str">
        <f>$V942&amp;$Y942</f>
        <v>Hilts</v>
      </c>
      <c r="AF942">
        <v>0.5</v>
      </c>
      <c r="AG942">
        <v>1</v>
      </c>
      <c r="AH942">
        <v>0</v>
      </c>
      <c r="AI942">
        <v>0</v>
      </c>
    </row>
    <row r="943" spans="1:40" ht="15" customHeight="1" x14ac:dyDescent="0.2">
      <c r="B943" t="inlineStr">
        <is>
          <t xml:space="preserve">FT1</t>
        </is>
      </c>
      <c r="D943">
        <v>13</v>
      </c>
      <c r="E943" t="inlineStr">
        <is>
          <t xml:space="preserve">FBC13-FT</t>
        </is>
      </c>
      <c r="F943" t="inlineStr">
        <is>
          <t xml:space="preserve">Friday</t>
        </is>
      </c>
      <c r="G943" s="15">
        <v>46297</v>
      </c>
      <c r="H943" t="inlineStr">
        <is>
          <t xml:space="preserve">PM</t>
        </is>
      </c>
      <c r="I943" t="inlineStr">
        <is>
          <t xml:space="preserve">Frisco, TX</t>
        </is>
      </c>
      <c r="J943" t="inlineStr">
        <is>
          <t xml:space="preserve">South</t>
        </is>
      </c>
      <c r="K943">
        <v>10</v>
      </c>
      <c r="L943" t="inlineStr">
        <is>
          <t xml:space="preserve">Full</t>
        </is>
      </c>
      <c r="M943" t="inlineStr">
        <is>
          <t xml:space="preserve">The Swing</t>
        </is>
      </c>
      <c r="P943">
        <v>110</v>
      </c>
      <c r="Q943">
        <v>694</v>
      </c>
      <c r="R943" t="inlineStr">
        <is>
          <t xml:space="preserve">FTAS</t>
        </is>
      </c>
      <c r="S943" t="inlineStr">
        <is>
          <t xml:space="preserve">FTAS</t>
        </is>
      </c>
      <c r="T943" t="inlineStr">
        <is>
          <t xml:space="preserve">Under 6'</t>
        </is>
      </c>
      <c r="U943" t="inlineStr">
        <is>
          <t xml:space="preserve">Forster</t>
        </is>
      </c>
      <c r="V943" t="inlineStr">
        <is>
          <t xml:space="preserve">Norat</t>
        </is>
      </c>
      <c r="AA943">
        <v>0.5</v>
      </c>
      <c r="AB943" t="inlineStr">
        <is>
          <t xml:space="preserve">W</t>
        </is>
      </c>
      <c r="AC943" t="inlineStr">
        <is>
          <t xml:space="preserve">2&amp;1</t>
        </is>
      </c>
      <c r="AE943" t="str">
        <f>$V943&amp;$Y943</f>
        <v>Norat</v>
      </c>
      <c r="AF943">
        <v>0.5</v>
      </c>
      <c r="AG943">
        <v>1</v>
      </c>
      <c r="AH943">
        <v>0</v>
      </c>
      <c r="AI943">
        <v>0</v>
      </c>
    </row>
    <row r="944" spans="1:40" ht="15" customHeight="1" x14ac:dyDescent="0.2">
      <c r="B944" t="inlineStr">
        <is>
          <t xml:space="preserve">FT1</t>
        </is>
      </c>
      <c r="D944">
        <v>13</v>
      </c>
      <c r="E944" t="inlineStr">
        <is>
          <t xml:space="preserve">FBC13-FT</t>
        </is>
      </c>
      <c r="F944" t="inlineStr">
        <is>
          <t xml:space="preserve">Friday</t>
        </is>
      </c>
      <c r="G944" s="15">
        <v>46297</v>
      </c>
      <c r="H944" t="inlineStr">
        <is>
          <t xml:space="preserve">PM</t>
        </is>
      </c>
      <c r="I944" t="inlineStr">
        <is>
          <t xml:space="preserve">Frisco, TX</t>
        </is>
      </c>
      <c r="J944" t="inlineStr">
        <is>
          <t xml:space="preserve">South</t>
        </is>
      </c>
      <c r="K944">
        <v>10</v>
      </c>
      <c r="L944" t="inlineStr">
        <is>
          <t xml:space="preserve">Full</t>
        </is>
      </c>
      <c r="M944" t="inlineStr">
        <is>
          <t xml:space="preserve">The Swing</t>
        </is>
      </c>
      <c r="P944">
        <v>110</v>
      </c>
      <c r="Q944">
        <v>694</v>
      </c>
      <c r="R944" t="inlineStr">
        <is>
          <t xml:space="preserve">FTAS</t>
        </is>
      </c>
      <c r="S944" t="inlineStr">
        <is>
          <t xml:space="preserve">FTAS</t>
        </is>
      </c>
      <c r="T944" t="inlineStr">
        <is>
          <t xml:space="preserve">Under 6'</t>
        </is>
      </c>
      <c r="U944" t="inlineStr">
        <is>
          <t xml:space="preserve">Forster</t>
        </is>
      </c>
      <c r="V944" t="inlineStr">
        <is>
          <t xml:space="preserve">Poirier</t>
        </is>
      </c>
      <c r="AA944">
        <v>0.5</v>
      </c>
      <c r="AB944" t="inlineStr">
        <is>
          <t xml:space="preserve">W</t>
        </is>
      </c>
      <c r="AC944" t="inlineStr">
        <is>
          <t xml:space="preserve">2&amp;1</t>
        </is>
      </c>
      <c r="AE944" t="str">
        <f>$V944&amp;$Y944</f>
        <v>Poirier</v>
      </c>
      <c r="AF944">
        <v>0.5</v>
      </c>
      <c r="AG944">
        <v>1</v>
      </c>
      <c r="AH944">
        <v>0</v>
      </c>
      <c r="AI944">
        <v>0</v>
      </c>
    </row>
    <row r="945" spans="1:40" ht="15" customHeight="1" x14ac:dyDescent="0.2">
      <c r="B945" t="inlineStr">
        <is>
          <t xml:space="preserve">FT1</t>
        </is>
      </c>
      <c r="D945">
        <v>13</v>
      </c>
      <c r="E945" t="inlineStr">
        <is>
          <t xml:space="preserve">FBC13-FT</t>
        </is>
      </c>
      <c r="F945" t="inlineStr">
        <is>
          <t xml:space="preserve">Friday</t>
        </is>
      </c>
      <c r="G945" s="15">
        <v>46297</v>
      </c>
      <c r="H945" t="inlineStr">
        <is>
          <t xml:space="preserve">PM</t>
        </is>
      </c>
      <c r="I945" t="inlineStr">
        <is>
          <t xml:space="preserve">Frisco, TX</t>
        </is>
      </c>
      <c r="J945" t="inlineStr">
        <is>
          <t xml:space="preserve">South</t>
        </is>
      </c>
      <c r="K945">
        <v>10</v>
      </c>
      <c r="L945" t="inlineStr">
        <is>
          <t xml:space="preserve">Full</t>
        </is>
      </c>
      <c r="M945" t="inlineStr">
        <is>
          <t xml:space="preserve">The Swing</t>
        </is>
      </c>
      <c r="P945">
        <v>110</v>
      </c>
      <c r="Q945">
        <v>694</v>
      </c>
      <c r="R945" t="inlineStr">
        <is>
          <t xml:space="preserve">FTAS</t>
        </is>
      </c>
      <c r="S945" t="inlineStr">
        <is>
          <t xml:space="preserve">FTAS</t>
        </is>
      </c>
      <c r="T945" t="inlineStr">
        <is>
          <t xml:space="preserve">Under 6'</t>
        </is>
      </c>
      <c r="U945" t="inlineStr">
        <is>
          <t xml:space="preserve">Forster</t>
        </is>
      </c>
      <c r="V945" t="inlineStr">
        <is>
          <t xml:space="preserve">Zimmer</t>
        </is>
      </c>
      <c r="AA945">
        <v>0.5</v>
      </c>
      <c r="AB945" t="inlineStr">
        <is>
          <t xml:space="preserve">W</t>
        </is>
      </c>
      <c r="AC945" t="inlineStr">
        <is>
          <t xml:space="preserve">2&amp;1</t>
        </is>
      </c>
      <c r="AE945" t="str">
        <f>$V945&amp;$Y945</f>
        <v>Zimmer</v>
      </c>
      <c r="AF945">
        <v>0.5</v>
      </c>
      <c r="AG945">
        <v>1</v>
      </c>
      <c r="AH945">
        <v>0</v>
      </c>
      <c r="AI945">
        <v>0</v>
      </c>
    </row>
    <row r="946" spans="1:40" ht="15" customHeight="1" x14ac:dyDescent="0.2">
      <c r="B946">
        <v>25</v>
      </c>
      <c r="D946">
        <v>13</v>
      </c>
      <c r="E946" t="inlineStr">
        <is>
          <t xml:space="preserve">FBC13-S-Forster-Mangold</t>
        </is>
      </c>
      <c r="F946" t="inlineStr">
        <is>
          <t xml:space="preserve">Saturday</t>
        </is>
      </c>
      <c r="G946" s="15">
        <v>46298</v>
      </c>
      <c r="H946" t="inlineStr">
        <is>
          <t xml:space="preserve">PM</t>
        </is>
      </c>
      <c r="I946" t="inlineStr">
        <is>
          <t xml:space="preserve">Frisco, TX</t>
        </is>
      </c>
      <c r="J946" t="inlineStr">
        <is>
          <t xml:space="preserve">South</t>
        </is>
      </c>
      <c r="K946">
        <v>18</v>
      </c>
      <c r="L946" t="inlineStr">
        <is>
          <t xml:space="preserve">Full</t>
        </is>
      </c>
      <c r="M946" t="inlineStr">
        <is>
          <t xml:space="preserve">Fields Ranch East</t>
        </is>
      </c>
      <c r="N946" t="inlineStr">
        <is>
          <t xml:space="preserve">III (Green)</t>
        </is>
      </c>
      <c r="O946">
        <v>72.6</v>
      </c>
      <c r="P946">
        <v>140</v>
      </c>
      <c r="Q946">
        <v>6543</v>
      </c>
      <c r="R946" t="inlineStr">
        <is>
          <t xml:space="preserve">Match Play</t>
        </is>
      </c>
      <c r="S946" t="inlineStr">
        <is>
          <t xml:space="preserve">Singles</t>
        </is>
      </c>
      <c r="T946" t="inlineStr">
        <is>
          <t xml:space="preserve">Under 6'</t>
        </is>
      </c>
      <c r="U946" t="inlineStr">
        <is>
          <t xml:space="preserve">Mangold</t>
        </is>
      </c>
      <c r="V946" t="inlineStr">
        <is>
          <t xml:space="preserve">Mangold</t>
        </is>
      </c>
      <c r="X946">
        <v>19</v>
      </c>
      <c r="AA946">
        <v>2</v>
      </c>
      <c r="AB946" t="inlineStr">
        <is>
          <t xml:space="preserve">L</t>
        </is>
      </c>
      <c r="AC946" t="inlineStr">
        <is>
          <t xml:space="preserve">4 Up</t>
        </is>
      </c>
      <c r="AD946" t="inlineStr">
        <is>
          <t xml:space="preserve">Forster</t>
        </is>
      </c>
      <c r="AE946" t="str">
        <f>$V946&amp;$Y946</f>
        <v>Mangold</v>
      </c>
      <c r="AF946">
        <v>0</v>
      </c>
      <c r="AG946">
        <v>0</v>
      </c>
      <c r="AH946">
        <v>1</v>
      </c>
      <c r="AI946">
        <v>0</v>
      </c>
    </row>
    <row r="947" spans="1:40" ht="15" customHeight="1" x14ac:dyDescent="0.2">
      <c r="B947">
        <v>25</v>
      </c>
      <c r="D947">
        <v>13</v>
      </c>
      <c r="E947" t="inlineStr">
        <is>
          <t xml:space="preserve">FBC13-S-Forster-Mangold</t>
        </is>
      </c>
      <c r="F947" t="inlineStr">
        <is>
          <t xml:space="preserve">Saturday</t>
        </is>
      </c>
      <c r="G947" s="15">
        <v>46298</v>
      </c>
      <c r="H947" t="inlineStr">
        <is>
          <t xml:space="preserve">PM</t>
        </is>
      </c>
      <c r="I947" t="inlineStr">
        <is>
          <t xml:space="preserve">Frisco, TX</t>
        </is>
      </c>
      <c r="J947" t="inlineStr">
        <is>
          <t xml:space="preserve">South</t>
        </is>
      </c>
      <c r="K947">
        <v>18</v>
      </c>
      <c r="L947" t="inlineStr">
        <is>
          <t xml:space="preserve">Full</t>
        </is>
      </c>
      <c r="M947" t="inlineStr">
        <is>
          <t xml:space="preserve">Fields Ranch East</t>
        </is>
      </c>
      <c r="N947" t="inlineStr">
        <is>
          <t xml:space="preserve">III (Green)</t>
        </is>
      </c>
      <c r="O947">
        <v>72.6</v>
      </c>
      <c r="P947">
        <v>140</v>
      </c>
      <c r="Q947">
        <v>6543</v>
      </c>
      <c r="R947" t="inlineStr">
        <is>
          <t xml:space="preserve">Match Play</t>
        </is>
      </c>
      <c r="S947" t="inlineStr">
        <is>
          <t xml:space="preserve">Singles</t>
        </is>
      </c>
      <c r="T947" t="inlineStr">
        <is>
          <t xml:space="preserve">Under 6'</t>
        </is>
      </c>
      <c r="U947" t="inlineStr">
        <is>
          <t xml:space="preserve">Forster</t>
        </is>
      </c>
      <c r="V947" t="inlineStr">
        <is>
          <t xml:space="preserve">Forster</t>
        </is>
      </c>
      <c r="X947">
        <v>16</v>
      </c>
      <c r="AA947">
        <v>2</v>
      </c>
      <c r="AB947" t="inlineStr">
        <is>
          <t xml:space="preserve">W</t>
        </is>
      </c>
      <c r="AC947" t="inlineStr">
        <is>
          <t xml:space="preserve">4 Up</t>
        </is>
      </c>
      <c r="AD947" t="inlineStr">
        <is>
          <t xml:space="preserve">Mangold</t>
        </is>
      </c>
      <c r="AE947" t="str">
        <f>$V947&amp;$Y947</f>
        <v>Forster</v>
      </c>
      <c r="AF947">
        <v>2</v>
      </c>
      <c r="AG947">
        <v>1</v>
      </c>
      <c r="AH947">
        <v>0</v>
      </c>
      <c r="AI947">
        <v>0</v>
      </c>
    </row>
    <row r="948" spans="1:40" ht="15" customHeight="1" x14ac:dyDescent="0.2">
      <c r="B948">
        <v>26</v>
      </c>
      <c r="D948">
        <v>13</v>
      </c>
      <c r="E948" t="inlineStr">
        <is>
          <t xml:space="preserve">FBC13-S-Norat-Shively</t>
        </is>
      </c>
      <c r="F948" t="inlineStr">
        <is>
          <t xml:space="preserve">Saturday</t>
        </is>
      </c>
      <c r="G948" s="15">
        <v>46298</v>
      </c>
      <c r="H948" t="inlineStr">
        <is>
          <t xml:space="preserve">PM</t>
        </is>
      </c>
      <c r="I948" t="inlineStr">
        <is>
          <t xml:space="preserve">Frisco, TX</t>
        </is>
      </c>
      <c r="J948" t="inlineStr">
        <is>
          <t xml:space="preserve">South</t>
        </is>
      </c>
      <c r="K948">
        <v>18</v>
      </c>
      <c r="L948" t="inlineStr">
        <is>
          <t xml:space="preserve">Full</t>
        </is>
      </c>
      <c r="M948" t="inlineStr">
        <is>
          <t xml:space="preserve">Fields Ranch East</t>
        </is>
      </c>
      <c r="N948" t="inlineStr">
        <is>
          <t xml:space="preserve">III (Green)</t>
        </is>
      </c>
      <c r="O948">
        <v>72.6</v>
      </c>
      <c r="P948">
        <v>140</v>
      </c>
      <c r="Q948">
        <v>6543</v>
      </c>
      <c r="R948" t="inlineStr">
        <is>
          <t xml:space="preserve">Match Play</t>
        </is>
      </c>
      <c r="S948" t="inlineStr">
        <is>
          <t xml:space="preserve">Singles</t>
        </is>
      </c>
      <c r="T948" t="inlineStr">
        <is>
          <t xml:space="preserve">Under 6'</t>
        </is>
      </c>
      <c r="U948" t="inlineStr">
        <is>
          <t xml:space="preserve">Mangold</t>
        </is>
      </c>
      <c r="V948" t="inlineStr">
        <is>
          <t xml:space="preserve">Shively</t>
        </is>
      </c>
      <c r="X948">
        <v>17</v>
      </c>
      <c r="AA948">
        <v>2</v>
      </c>
      <c r="AB948" t="inlineStr">
        <is>
          <t xml:space="preserve">L</t>
        </is>
      </c>
      <c r="AC948" t="inlineStr">
        <is>
          <t xml:space="preserve">2&amp;1</t>
        </is>
      </c>
      <c r="AD948" t="inlineStr">
        <is>
          <t xml:space="preserve">Norat</t>
        </is>
      </c>
      <c r="AE948" t="str">
        <f>$V948&amp;$Y948</f>
        <v>Shively</v>
      </c>
      <c r="AF948">
        <v>0</v>
      </c>
      <c r="AG948">
        <v>0</v>
      </c>
      <c r="AH948">
        <v>1</v>
      </c>
      <c r="AI948">
        <v>0</v>
      </c>
    </row>
    <row r="949" spans="1:40" ht="15" customHeight="1" x14ac:dyDescent="0.2">
      <c r="B949">
        <v>26</v>
      </c>
      <c r="D949">
        <v>13</v>
      </c>
      <c r="E949" t="inlineStr">
        <is>
          <t xml:space="preserve">FBC13-S-Norat-Shively</t>
        </is>
      </c>
      <c r="F949" t="inlineStr">
        <is>
          <t xml:space="preserve">Saturday</t>
        </is>
      </c>
      <c r="G949" s="15">
        <v>46298</v>
      </c>
      <c r="H949" t="inlineStr">
        <is>
          <t xml:space="preserve">PM</t>
        </is>
      </c>
      <c r="I949" t="inlineStr">
        <is>
          <t xml:space="preserve">Frisco, TX</t>
        </is>
      </c>
      <c r="J949" t="inlineStr">
        <is>
          <t xml:space="preserve">South</t>
        </is>
      </c>
      <c r="K949">
        <v>18</v>
      </c>
      <c r="L949" t="inlineStr">
        <is>
          <t xml:space="preserve">Full</t>
        </is>
      </c>
      <c r="M949" t="inlineStr">
        <is>
          <t xml:space="preserve">Fields Ranch East</t>
        </is>
      </c>
      <c r="N949" t="inlineStr">
        <is>
          <t xml:space="preserve">III (Green)</t>
        </is>
      </c>
      <c r="O949">
        <v>72.6</v>
      </c>
      <c r="P949">
        <v>140</v>
      </c>
      <c r="Q949">
        <v>6543</v>
      </c>
      <c r="R949" t="inlineStr">
        <is>
          <t xml:space="preserve">Match Play</t>
        </is>
      </c>
      <c r="S949" t="inlineStr">
        <is>
          <t xml:space="preserve">Singles</t>
        </is>
      </c>
      <c r="T949" t="inlineStr">
        <is>
          <t xml:space="preserve">Under 6'</t>
        </is>
      </c>
      <c r="U949" t="inlineStr">
        <is>
          <t xml:space="preserve">Forster</t>
        </is>
      </c>
      <c r="V949" t="inlineStr">
        <is>
          <t xml:space="preserve">Norat</t>
        </is>
      </c>
      <c r="X949">
        <v>21</v>
      </c>
      <c r="AA949">
        <v>2</v>
      </c>
      <c r="AB949" t="inlineStr">
        <is>
          <t xml:space="preserve">W</t>
        </is>
      </c>
      <c r="AC949" t="inlineStr">
        <is>
          <t xml:space="preserve">2&amp;1</t>
        </is>
      </c>
      <c r="AD949" t="inlineStr">
        <is>
          <t xml:space="preserve">Shively</t>
        </is>
      </c>
      <c r="AE949" t="str">
        <f>$V949&amp;$Y949</f>
        <v>Norat</v>
      </c>
      <c r="AF949">
        <v>2</v>
      </c>
      <c r="AG949">
        <v>1</v>
      </c>
      <c r="AH949">
        <v>0</v>
      </c>
      <c r="AI949">
        <v>0</v>
      </c>
    </row>
    <row r="950" spans="1:40" ht="15" customHeight="1" x14ac:dyDescent="0.2">
      <c r="B950">
        <v>27</v>
      </c>
      <c r="D950">
        <v>13</v>
      </c>
      <c r="E950" t="inlineStr">
        <is>
          <t xml:space="preserve">FBC13-S-Flanders-Perkins</t>
        </is>
      </c>
      <c r="F950" t="inlineStr">
        <is>
          <t xml:space="preserve">Saturday</t>
        </is>
      </c>
      <c r="G950" s="15">
        <v>46298</v>
      </c>
      <c r="H950" t="inlineStr">
        <is>
          <t xml:space="preserve">PM</t>
        </is>
      </c>
      <c r="I950" t="inlineStr">
        <is>
          <t xml:space="preserve">Frisco, TX</t>
        </is>
      </c>
      <c r="J950" t="inlineStr">
        <is>
          <t xml:space="preserve">South</t>
        </is>
      </c>
      <c r="K950">
        <v>18</v>
      </c>
      <c r="L950" t="inlineStr">
        <is>
          <t xml:space="preserve">Full</t>
        </is>
      </c>
      <c r="M950" t="inlineStr">
        <is>
          <t xml:space="preserve">Fields Ranch East</t>
        </is>
      </c>
      <c r="N950" t="inlineStr">
        <is>
          <t xml:space="preserve">III (Green)</t>
        </is>
      </c>
      <c r="O950">
        <v>72.6</v>
      </c>
      <c r="P950">
        <v>140</v>
      </c>
      <c r="Q950">
        <v>6543</v>
      </c>
      <c r="R950" t="inlineStr">
        <is>
          <t xml:space="preserve">Match Play</t>
        </is>
      </c>
      <c r="S950" t="inlineStr">
        <is>
          <t xml:space="preserve">Singles</t>
        </is>
      </c>
      <c r="T950" t="inlineStr">
        <is>
          <t xml:space="preserve">Under 6'</t>
        </is>
      </c>
      <c r="U950" t="inlineStr">
        <is>
          <t xml:space="preserve">Mangold</t>
        </is>
      </c>
      <c r="V950" t="inlineStr">
        <is>
          <t xml:space="preserve">Perkins</t>
        </is>
      </c>
      <c r="X950">
        <v>10</v>
      </c>
      <c r="AA950">
        <v>2</v>
      </c>
      <c r="AB950" t="inlineStr">
        <is>
          <t xml:space="preserve">L</t>
        </is>
      </c>
      <c r="AC950" t="inlineStr">
        <is>
          <t xml:space="preserve">5&amp;4</t>
        </is>
      </c>
      <c r="AD950" t="inlineStr">
        <is>
          <t xml:space="preserve">Flanders</t>
        </is>
      </c>
      <c r="AE950" t="str">
        <f>$V950&amp;$Y950</f>
        <v>Perkins</v>
      </c>
      <c r="AF950">
        <v>0</v>
      </c>
      <c r="AG950">
        <v>0</v>
      </c>
      <c r="AH950">
        <v>1</v>
      </c>
      <c r="AI950">
        <v>0</v>
      </c>
    </row>
    <row r="951" spans="1:40" ht="15" customHeight="1" x14ac:dyDescent="0.2">
      <c r="B951">
        <v>27</v>
      </c>
      <c r="D951">
        <v>13</v>
      </c>
      <c r="E951" t="inlineStr">
        <is>
          <t xml:space="preserve">FBC13-S-Flanders-Perkins</t>
        </is>
      </c>
      <c r="F951" t="inlineStr">
        <is>
          <t xml:space="preserve">Saturday</t>
        </is>
      </c>
      <c r="G951" s="15">
        <v>46298</v>
      </c>
      <c r="H951" t="inlineStr">
        <is>
          <t xml:space="preserve">PM</t>
        </is>
      </c>
      <c r="I951" t="inlineStr">
        <is>
          <t xml:space="preserve">Frisco, TX</t>
        </is>
      </c>
      <c r="J951" t="inlineStr">
        <is>
          <t xml:space="preserve">South</t>
        </is>
      </c>
      <c r="K951">
        <v>18</v>
      </c>
      <c r="L951" t="inlineStr">
        <is>
          <t xml:space="preserve">Full</t>
        </is>
      </c>
      <c r="M951" t="inlineStr">
        <is>
          <t xml:space="preserve">Fields Ranch East</t>
        </is>
      </c>
      <c r="N951" t="inlineStr">
        <is>
          <t xml:space="preserve">III (Green)</t>
        </is>
      </c>
      <c r="O951">
        <v>72.6</v>
      </c>
      <c r="P951">
        <v>140</v>
      </c>
      <c r="Q951">
        <v>6543</v>
      </c>
      <c r="R951" t="inlineStr">
        <is>
          <t xml:space="preserve">Match Play</t>
        </is>
      </c>
      <c r="S951" t="inlineStr">
        <is>
          <t xml:space="preserve">Singles</t>
        </is>
      </c>
      <c r="T951" t="inlineStr">
        <is>
          <t xml:space="preserve">Under 6'</t>
        </is>
      </c>
      <c r="U951" t="inlineStr">
        <is>
          <t xml:space="preserve">Forster</t>
        </is>
      </c>
      <c r="V951" t="inlineStr">
        <is>
          <t xml:space="preserve">Flanders</t>
        </is>
      </c>
      <c r="X951">
        <v>14</v>
      </c>
      <c r="AA951">
        <v>2</v>
      </c>
      <c r="AB951" t="inlineStr">
        <is>
          <t xml:space="preserve">W</t>
        </is>
      </c>
      <c r="AC951" t="inlineStr">
        <is>
          <t xml:space="preserve">5&amp;4</t>
        </is>
      </c>
      <c r="AD951" t="inlineStr">
        <is>
          <t xml:space="preserve">Perkins</t>
        </is>
      </c>
      <c r="AE951" t="str">
        <f>$V951&amp;$Y951</f>
        <v>Flanders</v>
      </c>
      <c r="AF951">
        <v>2</v>
      </c>
      <c r="AG951">
        <v>1</v>
      </c>
      <c r="AH951">
        <v>0</v>
      </c>
      <c r="AI951">
        <v>0</v>
      </c>
    </row>
    <row r="952" spans="1:40" ht="15" customHeight="1" x14ac:dyDescent="0.2">
      <c r="B952">
        <v>28</v>
      </c>
      <c r="D952">
        <v>13</v>
      </c>
      <c r="E952" t="inlineStr">
        <is>
          <t xml:space="preserve">FBC13-S-Piegari-Poirier</t>
        </is>
      </c>
      <c r="F952" t="inlineStr">
        <is>
          <t xml:space="preserve">Saturday</t>
        </is>
      </c>
      <c r="G952" s="15">
        <v>46298</v>
      </c>
      <c r="H952" t="inlineStr">
        <is>
          <t xml:space="preserve">PM</t>
        </is>
      </c>
      <c r="I952" t="inlineStr">
        <is>
          <t xml:space="preserve">Frisco, TX</t>
        </is>
      </c>
      <c r="J952" t="inlineStr">
        <is>
          <t xml:space="preserve">South</t>
        </is>
      </c>
      <c r="K952">
        <v>18</v>
      </c>
      <c r="L952" t="inlineStr">
        <is>
          <t xml:space="preserve">Full</t>
        </is>
      </c>
      <c r="M952" t="inlineStr">
        <is>
          <t xml:space="preserve">Fields Ranch East</t>
        </is>
      </c>
      <c r="N952" t="inlineStr">
        <is>
          <t xml:space="preserve">III (Green)</t>
        </is>
      </c>
      <c r="O952">
        <v>72.6</v>
      </c>
      <c r="P952">
        <v>140</v>
      </c>
      <c r="Q952">
        <v>6543</v>
      </c>
      <c r="R952" t="inlineStr">
        <is>
          <t xml:space="preserve">Match Play</t>
        </is>
      </c>
      <c r="S952" t="inlineStr">
        <is>
          <t xml:space="preserve">Singles</t>
        </is>
      </c>
      <c r="T952" t="inlineStr">
        <is>
          <t xml:space="preserve">Under 6'</t>
        </is>
      </c>
      <c r="U952" t="inlineStr">
        <is>
          <t xml:space="preserve">Mangold</t>
        </is>
      </c>
      <c r="V952" t="inlineStr">
        <is>
          <t xml:space="preserve">Piegari</t>
        </is>
      </c>
      <c r="X952">
        <v>13</v>
      </c>
      <c r="AA952">
        <v>2</v>
      </c>
      <c r="AB952" t="inlineStr">
        <is>
          <t xml:space="preserve">W</t>
        </is>
      </c>
      <c r="AC952" t="inlineStr">
        <is>
          <t xml:space="preserve">7&amp;6</t>
        </is>
      </c>
      <c r="AD952" t="inlineStr">
        <is>
          <t xml:space="preserve">Poirier</t>
        </is>
      </c>
      <c r="AE952" t="str">
        <f>$V952&amp;$Y952</f>
        <v>Piegari</v>
      </c>
      <c r="AF952">
        <v>2</v>
      </c>
      <c r="AG952">
        <v>1</v>
      </c>
      <c r="AH952">
        <v>0</v>
      </c>
      <c r="AI952">
        <v>0</v>
      </c>
    </row>
    <row r="953" spans="1:40" ht="15" customHeight="1" x14ac:dyDescent="0.2">
      <c r="B953">
        <v>28</v>
      </c>
      <c r="D953">
        <v>13</v>
      </c>
      <c r="E953" t="inlineStr">
        <is>
          <t xml:space="preserve">FBC13-S-Piegari-Poirier</t>
        </is>
      </c>
      <c r="F953" t="inlineStr">
        <is>
          <t xml:space="preserve">Saturday</t>
        </is>
      </c>
      <c r="G953" s="15">
        <v>46298</v>
      </c>
      <c r="H953" t="inlineStr">
        <is>
          <t xml:space="preserve">PM</t>
        </is>
      </c>
      <c r="I953" t="inlineStr">
        <is>
          <t xml:space="preserve">Frisco, TX</t>
        </is>
      </c>
      <c r="J953" t="inlineStr">
        <is>
          <t xml:space="preserve">South</t>
        </is>
      </c>
      <c r="K953">
        <v>18</v>
      </c>
      <c r="L953" t="inlineStr">
        <is>
          <t xml:space="preserve">Full</t>
        </is>
      </c>
      <c r="M953" t="inlineStr">
        <is>
          <t xml:space="preserve">Fields Ranch East</t>
        </is>
      </c>
      <c r="N953" t="inlineStr">
        <is>
          <t xml:space="preserve">III (Green)</t>
        </is>
      </c>
      <c r="O953">
        <v>72.6</v>
      </c>
      <c r="P953">
        <v>140</v>
      </c>
      <c r="Q953">
        <v>6543</v>
      </c>
      <c r="R953" t="inlineStr">
        <is>
          <t xml:space="preserve">Match Play</t>
        </is>
      </c>
      <c r="S953" t="inlineStr">
        <is>
          <t xml:space="preserve">Singles</t>
        </is>
      </c>
      <c r="T953" t="inlineStr">
        <is>
          <t xml:space="preserve">Under 6'</t>
        </is>
      </c>
      <c r="U953" t="inlineStr">
        <is>
          <t xml:space="preserve">Forster</t>
        </is>
      </c>
      <c r="V953" t="inlineStr">
        <is>
          <t xml:space="preserve">Poirier</t>
        </is>
      </c>
      <c r="X953">
        <v>7</v>
      </c>
      <c r="AA953">
        <v>2</v>
      </c>
      <c r="AB953" t="inlineStr">
        <is>
          <t xml:space="preserve">L</t>
        </is>
      </c>
      <c r="AC953" t="inlineStr">
        <is>
          <t xml:space="preserve">7&amp;6</t>
        </is>
      </c>
      <c r="AD953" t="inlineStr">
        <is>
          <t xml:space="preserve">Piegari</t>
        </is>
      </c>
      <c r="AE953" t="str">
        <f>$V953&amp;$Y953</f>
        <v>Poirier</v>
      </c>
      <c r="AF953">
        <v>0</v>
      </c>
      <c r="AG953">
        <v>0</v>
      </c>
      <c r="AH953">
        <v>1</v>
      </c>
      <c r="AI953">
        <v>0</v>
      </c>
    </row>
    <row r="954" spans="1:40" ht="15" customHeight="1" x14ac:dyDescent="0.2">
      <c r="B954">
        <v>29</v>
      </c>
      <c r="D954">
        <v>13</v>
      </c>
      <c r="E954" t="inlineStr">
        <is>
          <t xml:space="preserve">FBC13-S-Grise-McInerney</t>
        </is>
      </c>
      <c r="F954" t="inlineStr">
        <is>
          <t xml:space="preserve">Saturday</t>
        </is>
      </c>
      <c r="G954" s="15">
        <v>46298</v>
      </c>
      <c r="H954" t="inlineStr">
        <is>
          <t xml:space="preserve">PM</t>
        </is>
      </c>
      <c r="I954" t="inlineStr">
        <is>
          <t xml:space="preserve">Frisco, TX</t>
        </is>
      </c>
      <c r="J954" t="inlineStr">
        <is>
          <t xml:space="preserve">South</t>
        </is>
      </c>
      <c r="K954">
        <v>18</v>
      </c>
      <c r="L954" t="inlineStr">
        <is>
          <t xml:space="preserve">Full</t>
        </is>
      </c>
      <c r="M954" t="inlineStr">
        <is>
          <t xml:space="preserve">Fields Ranch East</t>
        </is>
      </c>
      <c r="N954" t="inlineStr">
        <is>
          <t xml:space="preserve">III (Green)</t>
        </is>
      </c>
      <c r="O954">
        <v>72.6</v>
      </c>
      <c r="P954">
        <v>140</v>
      </c>
      <c r="Q954">
        <v>6543</v>
      </c>
      <c r="R954" t="inlineStr">
        <is>
          <t xml:space="preserve">Match Play</t>
        </is>
      </c>
      <c r="S954" t="inlineStr">
        <is>
          <t xml:space="preserve">Singles</t>
        </is>
      </c>
      <c r="T954" t="inlineStr">
        <is>
          <t xml:space="preserve">Under 6'</t>
        </is>
      </c>
      <c r="U954" t="inlineStr">
        <is>
          <t xml:space="preserve">Mangold</t>
        </is>
      </c>
      <c r="V954" t="inlineStr">
        <is>
          <t xml:space="preserve">McInerney</t>
        </is>
      </c>
      <c r="X954">
        <v>6</v>
      </c>
      <c r="AA954">
        <v>2</v>
      </c>
      <c r="AB954" t="inlineStr">
        <is>
          <t xml:space="preserve">L</t>
        </is>
      </c>
      <c r="AC954" t="inlineStr">
        <is>
          <t xml:space="preserve">2&amp;1</t>
        </is>
      </c>
      <c r="AD954" t="inlineStr">
        <is>
          <t xml:space="preserve">Grise</t>
        </is>
      </c>
      <c r="AE954" t="str">
        <f>$V954&amp;$Y954</f>
        <v>McInerney</v>
      </c>
      <c r="AF954">
        <v>0</v>
      </c>
      <c r="AG954">
        <v>0</v>
      </c>
      <c r="AH954">
        <v>1</v>
      </c>
      <c r="AI954">
        <v>0</v>
      </c>
    </row>
    <row r="955" spans="1:40" ht="15" customHeight="1" x14ac:dyDescent="0.2">
      <c r="B955">
        <v>29</v>
      </c>
      <c r="D955">
        <v>13</v>
      </c>
      <c r="E955" t="inlineStr">
        <is>
          <t xml:space="preserve">FBC13-S-Grise-McInerney</t>
        </is>
      </c>
      <c r="F955" t="inlineStr">
        <is>
          <t xml:space="preserve">Saturday</t>
        </is>
      </c>
      <c r="G955" s="15">
        <v>46298</v>
      </c>
      <c r="H955" t="inlineStr">
        <is>
          <t xml:space="preserve">PM</t>
        </is>
      </c>
      <c r="I955" t="inlineStr">
        <is>
          <t xml:space="preserve">Frisco, TX</t>
        </is>
      </c>
      <c r="J955" t="inlineStr">
        <is>
          <t xml:space="preserve">South</t>
        </is>
      </c>
      <c r="K955">
        <v>18</v>
      </c>
      <c r="L955" t="inlineStr">
        <is>
          <t xml:space="preserve">Full</t>
        </is>
      </c>
      <c r="M955" t="inlineStr">
        <is>
          <t xml:space="preserve">Fields Ranch East</t>
        </is>
      </c>
      <c r="N955" t="inlineStr">
        <is>
          <t xml:space="preserve">III (Green)</t>
        </is>
      </c>
      <c r="O955">
        <v>72.6</v>
      </c>
      <c r="P955">
        <v>140</v>
      </c>
      <c r="Q955">
        <v>6543</v>
      </c>
      <c r="R955" t="inlineStr">
        <is>
          <t xml:space="preserve">Match Play</t>
        </is>
      </c>
      <c r="S955" t="inlineStr">
        <is>
          <t xml:space="preserve">Singles</t>
        </is>
      </c>
      <c r="T955" t="inlineStr">
        <is>
          <t xml:space="preserve">Under 6'</t>
        </is>
      </c>
      <c r="U955" t="inlineStr">
        <is>
          <t xml:space="preserve">Forster</t>
        </is>
      </c>
      <c r="V955" t="inlineStr">
        <is>
          <t xml:space="preserve">Grise</t>
        </is>
      </c>
      <c r="X955">
        <v>13</v>
      </c>
      <c r="AA955">
        <v>2</v>
      </c>
      <c r="AB955" t="inlineStr">
        <is>
          <t xml:space="preserve">W</t>
        </is>
      </c>
      <c r="AC955" t="inlineStr">
        <is>
          <t xml:space="preserve">2&amp;1</t>
        </is>
      </c>
      <c r="AD955" t="inlineStr">
        <is>
          <t xml:space="preserve">McInerney</t>
        </is>
      </c>
      <c r="AE955" t="str">
        <f>$V955&amp;$Y955</f>
        <v>Grise</v>
      </c>
      <c r="AF955">
        <v>2</v>
      </c>
      <c r="AG955">
        <v>1</v>
      </c>
      <c r="AH955">
        <v>0</v>
      </c>
      <c r="AI955">
        <v>0</v>
      </c>
    </row>
    <row r="956" spans="1:40" ht="15" customHeight="1" x14ac:dyDescent="0.2">
      <c r="B956">
        <v>30</v>
      </c>
      <c r="D956">
        <v>13</v>
      </c>
      <c r="E956" t="inlineStr">
        <is>
          <t xml:space="preserve">FBC13-S-Cole-Fogan</t>
        </is>
      </c>
      <c r="F956" t="inlineStr">
        <is>
          <t xml:space="preserve">Saturday</t>
        </is>
      </c>
      <c r="G956" s="15">
        <v>46298</v>
      </c>
      <c r="H956" t="inlineStr">
        <is>
          <t xml:space="preserve">PM</t>
        </is>
      </c>
      <c r="I956" t="inlineStr">
        <is>
          <t xml:space="preserve">Frisco, TX</t>
        </is>
      </c>
      <c r="J956" t="inlineStr">
        <is>
          <t xml:space="preserve">South</t>
        </is>
      </c>
      <c r="K956">
        <v>18</v>
      </c>
      <c r="L956" t="inlineStr">
        <is>
          <t xml:space="preserve">Full</t>
        </is>
      </c>
      <c r="M956" t="inlineStr">
        <is>
          <t xml:space="preserve">Fields Ranch East</t>
        </is>
      </c>
      <c r="N956" t="inlineStr">
        <is>
          <t xml:space="preserve">III (Green)</t>
        </is>
      </c>
      <c r="O956">
        <v>72.6</v>
      </c>
      <c r="P956">
        <v>140</v>
      </c>
      <c r="Q956">
        <v>6543</v>
      </c>
      <c r="R956" t="inlineStr">
        <is>
          <t xml:space="preserve">Match Play</t>
        </is>
      </c>
      <c r="S956" t="inlineStr">
        <is>
          <t xml:space="preserve">Singles</t>
        </is>
      </c>
      <c r="T956" t="inlineStr">
        <is>
          <t xml:space="preserve">Under 6'</t>
        </is>
      </c>
      <c r="U956" t="inlineStr">
        <is>
          <t xml:space="preserve">Mangold</t>
        </is>
      </c>
      <c r="V956" t="inlineStr">
        <is>
          <t xml:space="preserve">Fogan</t>
        </is>
      </c>
      <c r="X956">
        <v>21</v>
      </c>
      <c r="AA956">
        <v>2</v>
      </c>
      <c r="AB956" t="inlineStr">
        <is>
          <t xml:space="preserve">L</t>
        </is>
      </c>
      <c r="AC956" t="inlineStr">
        <is>
          <t xml:space="preserve">3&amp;2</t>
        </is>
      </c>
      <c r="AD956" t="inlineStr">
        <is>
          <t xml:space="preserve">Cole</t>
        </is>
      </c>
      <c r="AE956" t="str">
        <f>$V956&amp;$Y956</f>
        <v>Fogan</v>
      </c>
      <c r="AF956">
        <v>0</v>
      </c>
      <c r="AG956">
        <v>0</v>
      </c>
      <c r="AH956">
        <v>1</v>
      </c>
      <c r="AI956">
        <v>0</v>
      </c>
    </row>
    <row r="957" spans="1:40" ht="15" customHeight="1" x14ac:dyDescent="0.2">
      <c r="B957">
        <v>30</v>
      </c>
      <c r="D957">
        <v>13</v>
      </c>
      <c r="E957" t="inlineStr">
        <is>
          <t xml:space="preserve">FBC13-S-Cole-Fogan</t>
        </is>
      </c>
      <c r="F957" t="inlineStr">
        <is>
          <t xml:space="preserve">Saturday</t>
        </is>
      </c>
      <c r="G957" s="15">
        <v>46298</v>
      </c>
      <c r="H957" t="inlineStr">
        <is>
          <t xml:space="preserve">PM</t>
        </is>
      </c>
      <c r="I957" t="inlineStr">
        <is>
          <t xml:space="preserve">Frisco, TX</t>
        </is>
      </c>
      <c r="J957" t="inlineStr">
        <is>
          <t xml:space="preserve">South</t>
        </is>
      </c>
      <c r="K957">
        <v>18</v>
      </c>
      <c r="L957" t="inlineStr">
        <is>
          <t xml:space="preserve">Full</t>
        </is>
      </c>
      <c r="M957" t="inlineStr">
        <is>
          <t xml:space="preserve">Fields Ranch East</t>
        </is>
      </c>
      <c r="N957" t="inlineStr">
        <is>
          <t xml:space="preserve">III (Green)</t>
        </is>
      </c>
      <c r="O957">
        <v>72.6</v>
      </c>
      <c r="P957">
        <v>140</v>
      </c>
      <c r="Q957">
        <v>6543</v>
      </c>
      <c r="R957" t="inlineStr">
        <is>
          <t xml:space="preserve">Match Play</t>
        </is>
      </c>
      <c r="S957" t="inlineStr">
        <is>
          <t xml:space="preserve">Singles</t>
        </is>
      </c>
      <c r="T957" t="inlineStr">
        <is>
          <t xml:space="preserve">Under 6'</t>
        </is>
      </c>
      <c r="U957" t="inlineStr">
        <is>
          <t xml:space="preserve">Forster</t>
        </is>
      </c>
      <c r="V957" t="inlineStr">
        <is>
          <t xml:space="preserve">Cole</t>
        </is>
      </c>
      <c r="X957">
        <v>21</v>
      </c>
      <c r="AA957">
        <v>2</v>
      </c>
      <c r="AB957" t="inlineStr">
        <is>
          <t xml:space="preserve">W</t>
        </is>
      </c>
      <c r="AC957" t="inlineStr">
        <is>
          <t xml:space="preserve">3&amp;2</t>
        </is>
      </c>
      <c r="AD957" t="inlineStr">
        <is>
          <t xml:space="preserve">Fogan</t>
        </is>
      </c>
      <c r="AE957" t="str">
        <f>$V957&amp;$Y957</f>
        <v>Cole</v>
      </c>
      <c r="AF957">
        <v>2</v>
      </c>
      <c r="AG957">
        <v>1</v>
      </c>
      <c r="AH957">
        <v>0</v>
      </c>
      <c r="AI957">
        <v>0</v>
      </c>
    </row>
    <row r="958" spans="1:40" ht="15" customHeight="1" x14ac:dyDescent="0.2">
      <c r="B958">
        <v>31</v>
      </c>
      <c r="D958">
        <v>13</v>
      </c>
      <c r="E958" t="inlineStr">
        <is>
          <t xml:space="preserve">FBC13-S-R. Connolly-Welker</t>
        </is>
      </c>
      <c r="F958" t="inlineStr">
        <is>
          <t xml:space="preserve">Saturday</t>
        </is>
      </c>
      <c r="G958" s="15">
        <v>46298</v>
      </c>
      <c r="H958" t="inlineStr">
        <is>
          <t xml:space="preserve">PM</t>
        </is>
      </c>
      <c r="I958" t="inlineStr">
        <is>
          <t xml:space="preserve">Frisco, TX</t>
        </is>
      </c>
      <c r="J958" t="inlineStr">
        <is>
          <t xml:space="preserve">South</t>
        </is>
      </c>
      <c r="K958">
        <v>18</v>
      </c>
      <c r="L958" t="inlineStr">
        <is>
          <t xml:space="preserve">Full</t>
        </is>
      </c>
      <c r="M958" t="inlineStr">
        <is>
          <t xml:space="preserve">Fields Ranch East</t>
        </is>
      </c>
      <c r="N958" t="inlineStr">
        <is>
          <t xml:space="preserve">III (Green)</t>
        </is>
      </c>
      <c r="O958">
        <v>72.6</v>
      </c>
      <c r="P958">
        <v>140</v>
      </c>
      <c r="Q958">
        <v>6543</v>
      </c>
      <c r="R958" t="inlineStr">
        <is>
          <t xml:space="preserve">Match Play</t>
        </is>
      </c>
      <c r="S958" t="inlineStr">
        <is>
          <t xml:space="preserve">Singles</t>
        </is>
      </c>
      <c r="T958" t="inlineStr">
        <is>
          <t xml:space="preserve">Under 6'</t>
        </is>
      </c>
      <c r="U958" t="inlineStr">
        <is>
          <t xml:space="preserve">Mangold</t>
        </is>
      </c>
      <c r="V958" t="inlineStr">
        <is>
          <t xml:space="preserve">Welker</t>
        </is>
      </c>
      <c r="X958">
        <v>17</v>
      </c>
      <c r="AA958">
        <v>2</v>
      </c>
      <c r="AB958" t="inlineStr">
        <is>
          <t xml:space="preserve">W</t>
        </is>
      </c>
      <c r="AC958" t="inlineStr">
        <is>
          <t xml:space="preserve">7&amp;6</t>
        </is>
      </c>
      <c r="AD958" t="inlineStr">
        <is>
          <t xml:space="preserve">R. Connolly</t>
        </is>
      </c>
      <c r="AE958" t="str">
        <f>$V958&amp;$Y958</f>
        <v>Welker</v>
      </c>
      <c r="AF958">
        <v>2</v>
      </c>
      <c r="AG958">
        <v>1</v>
      </c>
      <c r="AH958">
        <v>0</v>
      </c>
      <c r="AI958">
        <v>0</v>
      </c>
    </row>
    <row r="959" spans="1:40" ht="15" customHeight="1" x14ac:dyDescent="0.2">
      <c r="B959">
        <v>31</v>
      </c>
      <c r="D959">
        <v>13</v>
      </c>
      <c r="E959" t="inlineStr">
        <is>
          <t xml:space="preserve">FBC13-S-R. Connolly-Welker</t>
        </is>
      </c>
      <c r="F959" t="inlineStr">
        <is>
          <t xml:space="preserve">Saturday</t>
        </is>
      </c>
      <c r="G959" s="15">
        <v>46298</v>
      </c>
      <c r="H959" t="inlineStr">
        <is>
          <t xml:space="preserve">PM</t>
        </is>
      </c>
      <c r="I959" t="inlineStr">
        <is>
          <t xml:space="preserve">Frisco, TX</t>
        </is>
      </c>
      <c r="J959" t="inlineStr">
        <is>
          <t xml:space="preserve">South</t>
        </is>
      </c>
      <c r="K959">
        <v>18</v>
      </c>
      <c r="L959" t="inlineStr">
        <is>
          <t xml:space="preserve">Full</t>
        </is>
      </c>
      <c r="M959" t="inlineStr">
        <is>
          <t xml:space="preserve">Fields Ranch East</t>
        </is>
      </c>
      <c r="N959" t="inlineStr">
        <is>
          <t xml:space="preserve">III (Green)</t>
        </is>
      </c>
      <c r="O959">
        <v>72.6</v>
      </c>
      <c r="P959">
        <v>140</v>
      </c>
      <c r="Q959">
        <v>6543</v>
      </c>
      <c r="R959" t="inlineStr">
        <is>
          <t xml:space="preserve">Match Play</t>
        </is>
      </c>
      <c r="S959" t="inlineStr">
        <is>
          <t xml:space="preserve">Singles</t>
        </is>
      </c>
      <c r="T959" t="inlineStr">
        <is>
          <t xml:space="preserve">Under 6'</t>
        </is>
      </c>
      <c r="U959" t="inlineStr">
        <is>
          <t xml:space="preserve">Forster</t>
        </is>
      </c>
      <c r="V959" t="inlineStr">
        <is>
          <t xml:space="preserve">R. Connolly</t>
        </is>
      </c>
      <c r="X959">
        <v>14</v>
      </c>
      <c r="AA959">
        <v>2</v>
      </c>
      <c r="AB959" t="inlineStr">
        <is>
          <t xml:space="preserve">L</t>
        </is>
      </c>
      <c r="AC959" t="inlineStr">
        <is>
          <t xml:space="preserve">7&amp;6</t>
        </is>
      </c>
      <c r="AD959" t="inlineStr">
        <is>
          <t xml:space="preserve">Welker</t>
        </is>
      </c>
      <c r="AE959" t="str">
        <f>$V959&amp;$Y959</f>
        <v>R. Connolly</v>
      </c>
      <c r="AF959">
        <v>0</v>
      </c>
      <c r="AG959">
        <v>0</v>
      </c>
      <c r="AH959">
        <v>1</v>
      </c>
      <c r="AI959">
        <v>0</v>
      </c>
    </row>
    <row r="960" spans="1:40" ht="15" customHeight="1" x14ac:dyDescent="0.2">
      <c r="B960">
        <v>32</v>
      </c>
      <c r="D960">
        <v>13</v>
      </c>
      <c r="E960" t="inlineStr">
        <is>
          <t xml:space="preserve">FBC13-S-Jackson-Zimmer</t>
        </is>
      </c>
      <c r="F960" t="inlineStr">
        <is>
          <t xml:space="preserve">Saturday</t>
        </is>
      </c>
      <c r="G960" s="15">
        <v>46298</v>
      </c>
      <c r="H960" t="inlineStr">
        <is>
          <t xml:space="preserve">PM</t>
        </is>
      </c>
      <c r="I960" t="inlineStr">
        <is>
          <t xml:space="preserve">Frisco, TX</t>
        </is>
      </c>
      <c r="J960" t="inlineStr">
        <is>
          <t xml:space="preserve">South</t>
        </is>
      </c>
      <c r="K960">
        <v>18</v>
      </c>
      <c r="L960" t="inlineStr">
        <is>
          <t xml:space="preserve">Full</t>
        </is>
      </c>
      <c r="M960" t="inlineStr">
        <is>
          <t xml:space="preserve">Fields Ranch East</t>
        </is>
      </c>
      <c r="N960" t="inlineStr">
        <is>
          <t xml:space="preserve">III (Green)</t>
        </is>
      </c>
      <c r="O960">
        <v>72.6</v>
      </c>
      <c r="P960">
        <v>140</v>
      </c>
      <c r="Q960">
        <v>6543</v>
      </c>
      <c r="R960" t="inlineStr">
        <is>
          <t xml:space="preserve">Match Play</t>
        </is>
      </c>
      <c r="S960" t="inlineStr">
        <is>
          <t xml:space="preserve">Singles</t>
        </is>
      </c>
      <c r="T960" t="inlineStr">
        <is>
          <t xml:space="preserve">Under 6'</t>
        </is>
      </c>
      <c r="U960" t="inlineStr">
        <is>
          <t xml:space="preserve">Mangold</t>
        </is>
      </c>
      <c r="V960" t="inlineStr">
        <is>
          <t xml:space="preserve">Jackson</t>
        </is>
      </c>
      <c r="X960">
        <v>11</v>
      </c>
      <c r="AA960">
        <v>2</v>
      </c>
      <c r="AB960" t="inlineStr">
        <is>
          <t xml:space="preserve">W</t>
        </is>
      </c>
      <c r="AC960" t="inlineStr">
        <is>
          <t xml:space="preserve">6&amp;5</t>
        </is>
      </c>
      <c r="AD960" t="inlineStr">
        <is>
          <t xml:space="preserve">Zimmer</t>
        </is>
      </c>
      <c r="AE960" t="str">
        <f>$V960&amp;$Y960</f>
        <v>Jackson</v>
      </c>
      <c r="AF960">
        <v>2</v>
      </c>
      <c r="AG960">
        <v>1</v>
      </c>
      <c r="AH960">
        <v>0</v>
      </c>
      <c r="AI960">
        <v>0</v>
      </c>
    </row>
    <row r="961" spans="1:40" ht="15" customHeight="1" x14ac:dyDescent="0.2">
      <c r="B961">
        <v>32</v>
      </c>
      <c r="D961">
        <v>13</v>
      </c>
      <c r="E961" t="inlineStr">
        <is>
          <t xml:space="preserve">FBC13-S-Jackson-Zimmer</t>
        </is>
      </c>
      <c r="F961" t="inlineStr">
        <is>
          <t xml:space="preserve">Saturday</t>
        </is>
      </c>
      <c r="G961" s="15">
        <v>46298</v>
      </c>
      <c r="H961" t="inlineStr">
        <is>
          <t xml:space="preserve">PM</t>
        </is>
      </c>
      <c r="I961" t="inlineStr">
        <is>
          <t xml:space="preserve">Frisco, TX</t>
        </is>
      </c>
      <c r="J961" t="inlineStr">
        <is>
          <t xml:space="preserve">South</t>
        </is>
      </c>
      <c r="K961">
        <v>18</v>
      </c>
      <c r="L961" t="inlineStr">
        <is>
          <t xml:space="preserve">Full</t>
        </is>
      </c>
      <c r="M961" t="inlineStr">
        <is>
          <t xml:space="preserve">Fields Ranch East</t>
        </is>
      </c>
      <c r="N961" t="inlineStr">
        <is>
          <t xml:space="preserve">III (Green)</t>
        </is>
      </c>
      <c r="O961">
        <v>72.6</v>
      </c>
      <c r="P961">
        <v>140</v>
      </c>
      <c r="Q961">
        <v>6543</v>
      </c>
      <c r="R961" t="inlineStr">
        <is>
          <t xml:space="preserve">Match Play</t>
        </is>
      </c>
      <c r="S961" t="inlineStr">
        <is>
          <t xml:space="preserve">Singles</t>
        </is>
      </c>
      <c r="T961" t="inlineStr">
        <is>
          <t xml:space="preserve">Under 6'</t>
        </is>
      </c>
      <c r="U961" t="inlineStr">
        <is>
          <t xml:space="preserve">Forster</t>
        </is>
      </c>
      <c r="V961" t="inlineStr">
        <is>
          <t xml:space="preserve">Zimmer</t>
        </is>
      </c>
      <c r="X961">
        <v>10</v>
      </c>
      <c r="AA961">
        <v>2</v>
      </c>
      <c r="AB961" t="inlineStr">
        <is>
          <t xml:space="preserve">L</t>
        </is>
      </c>
      <c r="AC961" t="inlineStr">
        <is>
          <t xml:space="preserve">6&amp;5</t>
        </is>
      </c>
      <c r="AD961" t="inlineStr">
        <is>
          <t xml:space="preserve">Jackson</t>
        </is>
      </c>
      <c r="AE961" t="str">
        <f>$V961&amp;$Y961</f>
        <v>Zimmer</v>
      </c>
      <c r="AF961">
        <v>0</v>
      </c>
      <c r="AG961">
        <v>0</v>
      </c>
      <c r="AH961">
        <v>1</v>
      </c>
      <c r="AI961">
        <v>0</v>
      </c>
    </row>
    <row r="962" spans="1:40" ht="15" customHeight="1" x14ac:dyDescent="0.2">
      <c r="B962">
        <v>33</v>
      </c>
      <c r="D962">
        <v>13</v>
      </c>
      <c r="E962" t="inlineStr">
        <is>
          <t xml:space="preserve">FBC13-S-Connolly-Gray</t>
        </is>
      </c>
      <c r="F962" t="inlineStr">
        <is>
          <t xml:space="preserve">Saturday</t>
        </is>
      </c>
      <c r="G962" s="15">
        <v>46298</v>
      </c>
      <c r="H962" t="inlineStr">
        <is>
          <t xml:space="preserve">PM</t>
        </is>
      </c>
      <c r="I962" t="inlineStr">
        <is>
          <t xml:space="preserve">Frisco, TX</t>
        </is>
      </c>
      <c r="J962" t="inlineStr">
        <is>
          <t xml:space="preserve">South</t>
        </is>
      </c>
      <c r="K962">
        <v>18</v>
      </c>
      <c r="L962" t="inlineStr">
        <is>
          <t xml:space="preserve">Full</t>
        </is>
      </c>
      <c r="M962" t="inlineStr">
        <is>
          <t xml:space="preserve">Fields Ranch East</t>
        </is>
      </c>
      <c r="N962" t="inlineStr">
        <is>
          <t xml:space="preserve">III (Green)</t>
        </is>
      </c>
      <c r="O962">
        <v>72.6</v>
      </c>
      <c r="P962">
        <v>140</v>
      </c>
      <c r="Q962">
        <v>6543</v>
      </c>
      <c r="R962" t="inlineStr">
        <is>
          <t xml:space="preserve">Match Play</t>
        </is>
      </c>
      <c r="S962" t="inlineStr">
        <is>
          <t xml:space="preserve">Singles</t>
        </is>
      </c>
      <c r="T962" t="inlineStr">
        <is>
          <t xml:space="preserve">Under 6'</t>
        </is>
      </c>
      <c r="U962" t="inlineStr">
        <is>
          <t xml:space="preserve">Mangold</t>
        </is>
      </c>
      <c r="V962" t="inlineStr">
        <is>
          <t xml:space="preserve">Gray</t>
        </is>
      </c>
      <c r="X962">
        <v>12</v>
      </c>
      <c r="AA962">
        <v>2</v>
      </c>
      <c r="AB962" t="inlineStr">
        <is>
          <t xml:space="preserve">W</t>
        </is>
      </c>
      <c r="AC962" t="inlineStr">
        <is>
          <t xml:space="preserve">1 Up</t>
        </is>
      </c>
      <c r="AD962" t="inlineStr">
        <is>
          <t xml:space="preserve">Connolly</t>
        </is>
      </c>
      <c r="AE962" t="str">
        <f>$V962&amp;$Y962</f>
        <v>Gray</v>
      </c>
      <c r="AF962">
        <v>2</v>
      </c>
      <c r="AG962">
        <v>1</v>
      </c>
      <c r="AH962">
        <v>0</v>
      </c>
      <c r="AI962">
        <v>0</v>
      </c>
    </row>
    <row r="963" spans="1:40" ht="15" customHeight="1" x14ac:dyDescent="0.2">
      <c r="B963">
        <v>33</v>
      </c>
      <c r="D963">
        <v>13</v>
      </c>
      <c r="E963" t="inlineStr">
        <is>
          <t xml:space="preserve">FBC13-S-Connolly-Gray</t>
        </is>
      </c>
      <c r="F963" t="inlineStr">
        <is>
          <t xml:space="preserve">Saturday</t>
        </is>
      </c>
      <c r="G963" s="15">
        <v>46298</v>
      </c>
      <c r="H963" t="inlineStr">
        <is>
          <t xml:space="preserve">PM</t>
        </is>
      </c>
      <c r="I963" t="inlineStr">
        <is>
          <t xml:space="preserve">Frisco, TX</t>
        </is>
      </c>
      <c r="J963" t="inlineStr">
        <is>
          <t xml:space="preserve">South</t>
        </is>
      </c>
      <c r="K963">
        <v>18</v>
      </c>
      <c r="L963" t="inlineStr">
        <is>
          <t xml:space="preserve">Full</t>
        </is>
      </c>
      <c r="M963" t="inlineStr">
        <is>
          <t xml:space="preserve">Fields Ranch East</t>
        </is>
      </c>
      <c r="N963" t="inlineStr">
        <is>
          <t xml:space="preserve">III (Green)</t>
        </is>
      </c>
      <c r="O963">
        <v>72.6</v>
      </c>
      <c r="P963">
        <v>140</v>
      </c>
      <c r="Q963">
        <v>6543</v>
      </c>
      <c r="R963" t="inlineStr">
        <is>
          <t xml:space="preserve">Match Play</t>
        </is>
      </c>
      <c r="S963" t="inlineStr">
        <is>
          <t xml:space="preserve">Singles</t>
        </is>
      </c>
      <c r="T963" t="inlineStr">
        <is>
          <t xml:space="preserve">Under 6'</t>
        </is>
      </c>
      <c r="U963" t="inlineStr">
        <is>
          <t xml:space="preserve">Forster</t>
        </is>
      </c>
      <c r="V963" t="inlineStr">
        <is>
          <t xml:space="preserve">Connolly</t>
        </is>
      </c>
      <c r="X963">
        <v>12</v>
      </c>
      <c r="AA963">
        <v>2</v>
      </c>
      <c r="AB963" t="inlineStr">
        <is>
          <t xml:space="preserve">L</t>
        </is>
      </c>
      <c r="AC963" t="inlineStr">
        <is>
          <t xml:space="preserve">1 Up</t>
        </is>
      </c>
      <c r="AD963" t="inlineStr">
        <is>
          <t xml:space="preserve">Gray</t>
        </is>
      </c>
      <c r="AE963" t="str">
        <f>$V963&amp;$Y963</f>
        <v>Connolly</v>
      </c>
      <c r="AF963">
        <v>0</v>
      </c>
      <c r="AG963">
        <v>0</v>
      </c>
      <c r="AH963">
        <v>1</v>
      </c>
      <c r="AI963">
        <v>0</v>
      </c>
    </row>
    <row r="964" spans="1:40" ht="15" customHeight="1" x14ac:dyDescent="0.2">
      <c r="B964">
        <v>34</v>
      </c>
      <c r="D964">
        <v>13</v>
      </c>
      <c r="E964" t="inlineStr">
        <is>
          <t xml:space="preserve">FBC13-S-Hilts-Lynch</t>
        </is>
      </c>
      <c r="F964" t="inlineStr">
        <is>
          <t xml:space="preserve">Saturday</t>
        </is>
      </c>
      <c r="G964" s="15">
        <v>46298</v>
      </c>
      <c r="H964" t="inlineStr">
        <is>
          <t xml:space="preserve">PM</t>
        </is>
      </c>
      <c r="I964" t="inlineStr">
        <is>
          <t xml:space="preserve">Frisco, TX</t>
        </is>
      </c>
      <c r="J964" t="inlineStr">
        <is>
          <t xml:space="preserve">South</t>
        </is>
      </c>
      <c r="K964">
        <v>18</v>
      </c>
      <c r="L964" t="inlineStr">
        <is>
          <t xml:space="preserve">Full</t>
        </is>
      </c>
      <c r="M964" t="inlineStr">
        <is>
          <t xml:space="preserve">Fields Ranch East</t>
        </is>
      </c>
      <c r="N964" t="inlineStr">
        <is>
          <t xml:space="preserve">III (Green)</t>
        </is>
      </c>
      <c r="O964">
        <v>72.6</v>
      </c>
      <c r="P964">
        <v>140</v>
      </c>
      <c r="Q964">
        <v>6543</v>
      </c>
      <c r="R964" t="inlineStr">
        <is>
          <t xml:space="preserve">Match Play</t>
        </is>
      </c>
      <c r="S964" t="inlineStr">
        <is>
          <t xml:space="preserve">Singles</t>
        </is>
      </c>
      <c r="T964" t="inlineStr">
        <is>
          <t xml:space="preserve">Under 6'</t>
        </is>
      </c>
      <c r="U964" t="inlineStr">
        <is>
          <t xml:space="preserve">Mangold</t>
        </is>
      </c>
      <c r="V964" t="inlineStr">
        <is>
          <t xml:space="preserve">Lynch</t>
        </is>
      </c>
      <c r="X964">
        <v>11</v>
      </c>
      <c r="AA964">
        <v>2</v>
      </c>
      <c r="AB964" t="inlineStr">
        <is>
          <t xml:space="preserve">L</t>
        </is>
      </c>
      <c r="AC964" t="inlineStr">
        <is>
          <t xml:space="preserve">3&amp;2</t>
        </is>
      </c>
      <c r="AD964" t="inlineStr">
        <is>
          <t xml:space="preserve">Hilts</t>
        </is>
      </c>
      <c r="AE964" t="str">
        <f>$V964&amp;$Y964</f>
        <v>Lynch</v>
      </c>
      <c r="AF964">
        <v>0</v>
      </c>
      <c r="AG964">
        <v>0</v>
      </c>
      <c r="AH964">
        <v>1</v>
      </c>
      <c r="AI964">
        <v>0</v>
      </c>
    </row>
    <row r="965" spans="1:40" ht="15" customHeight="1" x14ac:dyDescent="0.2">
      <c r="B965">
        <v>34</v>
      </c>
      <c r="D965">
        <v>13</v>
      </c>
      <c r="E965" t="inlineStr">
        <is>
          <t xml:space="preserve">FBC13-S-Hilts-Lynch</t>
        </is>
      </c>
      <c r="F965" t="inlineStr">
        <is>
          <t xml:space="preserve">Saturday</t>
        </is>
      </c>
      <c r="G965" s="15">
        <v>46298</v>
      </c>
      <c r="H965" t="inlineStr">
        <is>
          <t xml:space="preserve">PM</t>
        </is>
      </c>
      <c r="I965" t="inlineStr">
        <is>
          <t xml:space="preserve">Frisco, TX</t>
        </is>
      </c>
      <c r="J965" t="inlineStr">
        <is>
          <t xml:space="preserve">South</t>
        </is>
      </c>
      <c r="K965">
        <v>18</v>
      </c>
      <c r="L965" t="inlineStr">
        <is>
          <t xml:space="preserve">Full</t>
        </is>
      </c>
      <c r="M965" t="inlineStr">
        <is>
          <t xml:space="preserve">Fields Ranch East</t>
        </is>
      </c>
      <c r="N965" t="inlineStr">
        <is>
          <t xml:space="preserve">III (Green)</t>
        </is>
      </c>
      <c r="O965">
        <v>72.6</v>
      </c>
      <c r="P965">
        <v>140</v>
      </c>
      <c r="Q965">
        <v>6543</v>
      </c>
      <c r="R965" t="inlineStr">
        <is>
          <t xml:space="preserve">Match Play</t>
        </is>
      </c>
      <c r="S965" t="inlineStr">
        <is>
          <t xml:space="preserve">Singles</t>
        </is>
      </c>
      <c r="T965" t="inlineStr">
        <is>
          <t xml:space="preserve">Under 6'</t>
        </is>
      </c>
      <c r="U965" t="inlineStr">
        <is>
          <t xml:space="preserve">Forster</t>
        </is>
      </c>
      <c r="V965" t="inlineStr">
        <is>
          <t xml:space="preserve">Hilts</t>
        </is>
      </c>
      <c r="X965">
        <v>21</v>
      </c>
      <c r="AA965">
        <v>2</v>
      </c>
      <c r="AB965" t="inlineStr">
        <is>
          <t xml:space="preserve">W</t>
        </is>
      </c>
      <c r="AC965" t="inlineStr">
        <is>
          <t xml:space="preserve">3&amp;2</t>
        </is>
      </c>
      <c r="AD965" t="inlineStr">
        <is>
          <t xml:space="preserve">Lynch</t>
        </is>
      </c>
      <c r="AE965" t="str">
        <f>$V965&amp;$Y965</f>
        <v>Hilts</v>
      </c>
      <c r="AF965">
        <v>2</v>
      </c>
      <c r="AG965">
        <v>1</v>
      </c>
      <c r="AH965">
        <v>0</v>
      </c>
      <c r="AI965">
        <v>0</v>
      </c>
    </row>
    <row r="966" spans="1:40" ht="15" customHeight="1" x14ac:dyDescent="0.2">
      <c r="B966">
        <v>35</v>
      </c>
      <c r="D966">
        <v>13</v>
      </c>
      <c r="E966" t="inlineStr">
        <is>
          <t xml:space="preserve">FBC13-S-Delaney-Ferrin</t>
        </is>
      </c>
      <c r="F966" t="inlineStr">
        <is>
          <t xml:space="preserve">Saturday</t>
        </is>
      </c>
      <c r="G966" s="15">
        <v>46298</v>
      </c>
      <c r="H966" t="inlineStr">
        <is>
          <t xml:space="preserve">PM</t>
        </is>
      </c>
      <c r="I966" t="inlineStr">
        <is>
          <t xml:space="preserve">Frisco, TX</t>
        </is>
      </c>
      <c r="J966" t="inlineStr">
        <is>
          <t xml:space="preserve">South</t>
        </is>
      </c>
      <c r="K966">
        <v>18</v>
      </c>
      <c r="L966" t="inlineStr">
        <is>
          <t xml:space="preserve">Full</t>
        </is>
      </c>
      <c r="M966" t="inlineStr">
        <is>
          <t xml:space="preserve">Fields Ranch East</t>
        </is>
      </c>
      <c r="N966" t="inlineStr">
        <is>
          <t xml:space="preserve">III (Green)</t>
        </is>
      </c>
      <c r="O966">
        <v>72.6</v>
      </c>
      <c r="P966">
        <v>140</v>
      </c>
      <c r="Q966">
        <v>6543</v>
      </c>
      <c r="R966" t="inlineStr">
        <is>
          <t xml:space="preserve">Match Play</t>
        </is>
      </c>
      <c r="S966" t="inlineStr">
        <is>
          <t xml:space="preserve">Singles</t>
        </is>
      </c>
      <c r="T966" t="inlineStr">
        <is>
          <t xml:space="preserve">Under 6'</t>
        </is>
      </c>
      <c r="U966" t="inlineStr">
        <is>
          <t xml:space="preserve">Mangold</t>
        </is>
      </c>
      <c r="V966" t="inlineStr">
        <is>
          <t xml:space="preserve">Ferrin</t>
        </is>
      </c>
      <c r="X966">
        <v>13</v>
      </c>
      <c r="AA966">
        <v>2</v>
      </c>
      <c r="AB966" t="inlineStr">
        <is>
          <t xml:space="preserve">W</t>
        </is>
      </c>
      <c r="AC966" t="inlineStr">
        <is>
          <t xml:space="preserve">3&amp;2</t>
        </is>
      </c>
      <c r="AD966" t="inlineStr">
        <is>
          <t xml:space="preserve">Delaney</t>
        </is>
      </c>
      <c r="AE966" t="str">
        <f>$V966&amp;$Y966</f>
        <v>Ferrin</v>
      </c>
      <c r="AF966">
        <v>2</v>
      </c>
      <c r="AG966">
        <v>1</v>
      </c>
      <c r="AH966">
        <v>0</v>
      </c>
      <c r="AI966">
        <v>0</v>
      </c>
    </row>
    <row r="967" spans="1:40" ht="15" customHeight="1" x14ac:dyDescent="0.2">
      <c r="B967">
        <v>35</v>
      </c>
      <c r="D967">
        <v>13</v>
      </c>
      <c r="E967" t="inlineStr">
        <is>
          <t xml:space="preserve">FBC13-S-Delaney-Ferrin</t>
        </is>
      </c>
      <c r="F967" t="inlineStr">
        <is>
          <t xml:space="preserve">Saturday</t>
        </is>
      </c>
      <c r="G967" s="15">
        <v>46298</v>
      </c>
      <c r="H967" t="inlineStr">
        <is>
          <t xml:space="preserve">PM</t>
        </is>
      </c>
      <c r="I967" t="inlineStr">
        <is>
          <t xml:space="preserve">Frisco, TX</t>
        </is>
      </c>
      <c r="J967" t="inlineStr">
        <is>
          <t xml:space="preserve">South</t>
        </is>
      </c>
      <c r="K967">
        <v>18</v>
      </c>
      <c r="L967" t="inlineStr">
        <is>
          <t xml:space="preserve">Full</t>
        </is>
      </c>
      <c r="M967" t="inlineStr">
        <is>
          <t xml:space="preserve">Fields Ranch East</t>
        </is>
      </c>
      <c r="N967" t="inlineStr">
        <is>
          <t xml:space="preserve">III (Green)</t>
        </is>
      </c>
      <c r="O967">
        <v>72.6</v>
      </c>
      <c r="P967">
        <v>140</v>
      </c>
      <c r="Q967">
        <v>6543</v>
      </c>
      <c r="R967" t="inlineStr">
        <is>
          <t xml:space="preserve">Match Play</t>
        </is>
      </c>
      <c r="S967" t="inlineStr">
        <is>
          <t xml:space="preserve">Singles</t>
        </is>
      </c>
      <c r="T967" t="inlineStr">
        <is>
          <t xml:space="preserve">Under 6'</t>
        </is>
      </c>
      <c r="U967" t="inlineStr">
        <is>
          <t xml:space="preserve">Forster</t>
        </is>
      </c>
      <c r="V967" t="inlineStr">
        <is>
          <t xml:space="preserve">Delaney</t>
        </is>
      </c>
      <c r="X967">
        <v>18</v>
      </c>
      <c r="AA967">
        <v>2</v>
      </c>
      <c r="AB967" t="inlineStr">
        <is>
          <t xml:space="preserve">L</t>
        </is>
      </c>
      <c r="AC967" t="inlineStr">
        <is>
          <t xml:space="preserve">3&amp;2</t>
        </is>
      </c>
      <c r="AD967" t="inlineStr">
        <is>
          <t xml:space="preserve">Ferrin</t>
        </is>
      </c>
      <c r="AE967" t="str">
        <f>$V967&amp;$Y967</f>
        <v>Delaney</v>
      </c>
      <c r="AF967">
        <v>0</v>
      </c>
      <c r="AG967">
        <v>0</v>
      </c>
      <c r="AH967">
        <v>1</v>
      </c>
      <c r="AI967">
        <v>0</v>
      </c>
    </row>
    <row r="968" spans="1:40" ht="15" customHeight="1" x14ac:dyDescent="0.2">
      <c r="B968">
        <v>36</v>
      </c>
      <c r="D968">
        <v>13</v>
      </c>
      <c r="E968" t="inlineStr">
        <is>
          <t xml:space="preserve">FBC13-S-Delneky-DeOteris</t>
        </is>
      </c>
      <c r="F968" t="inlineStr">
        <is>
          <t xml:space="preserve">Saturday</t>
        </is>
      </c>
      <c r="G968" s="15">
        <v>46298</v>
      </c>
      <c r="H968" t="inlineStr">
        <is>
          <t xml:space="preserve">PM</t>
        </is>
      </c>
      <c r="I968" t="inlineStr">
        <is>
          <t xml:space="preserve">Frisco, TX</t>
        </is>
      </c>
      <c r="J968" t="inlineStr">
        <is>
          <t xml:space="preserve">South</t>
        </is>
      </c>
      <c r="K968">
        <v>18</v>
      </c>
      <c r="L968" t="inlineStr">
        <is>
          <t xml:space="preserve">Full</t>
        </is>
      </c>
      <c r="M968" t="inlineStr">
        <is>
          <t xml:space="preserve">Fields Ranch East</t>
        </is>
      </c>
      <c r="N968" t="inlineStr">
        <is>
          <t xml:space="preserve">III (Green)</t>
        </is>
      </c>
      <c r="O968">
        <v>72.6</v>
      </c>
      <c r="P968">
        <v>140</v>
      </c>
      <c r="Q968">
        <v>6543</v>
      </c>
      <c r="R968" t="inlineStr">
        <is>
          <t xml:space="preserve">Match Play</t>
        </is>
      </c>
      <c r="S968" t="inlineStr">
        <is>
          <t xml:space="preserve">Singles</t>
        </is>
      </c>
      <c r="T968" t="inlineStr">
        <is>
          <t xml:space="preserve">Under 6'</t>
        </is>
      </c>
      <c r="U968" t="inlineStr">
        <is>
          <t xml:space="preserve">Mangold</t>
        </is>
      </c>
      <c r="V968" t="inlineStr">
        <is>
          <t xml:space="preserve">DeOteris</t>
        </is>
      </c>
      <c r="X968">
        <v>15</v>
      </c>
      <c r="AA968">
        <v>2</v>
      </c>
      <c r="AB968" t="inlineStr">
        <is>
          <t xml:space="preserve">T</t>
        </is>
      </c>
      <c r="AC968" t="inlineStr">
        <is>
          <t xml:space="preserve">A/S</t>
        </is>
      </c>
      <c r="AD968" t="inlineStr">
        <is>
          <t xml:space="preserve">Delneky</t>
        </is>
      </c>
      <c r="AE968" t="str">
        <f>$V968&amp;$Y968</f>
        <v>DeOteris</v>
      </c>
      <c r="AF968">
        <v>1</v>
      </c>
      <c r="AG968">
        <v>0</v>
      </c>
      <c r="AH968">
        <v>0</v>
      </c>
      <c r="AI968">
        <v>1</v>
      </c>
    </row>
    <row r="969" spans="1:40" ht="15" customHeight="1" x14ac:dyDescent="0.2">
      <c r="B969">
        <v>36</v>
      </c>
      <c r="D969">
        <v>13</v>
      </c>
      <c r="E969" t="inlineStr">
        <is>
          <t xml:space="preserve">FBC13-S-Delneky-DeOteris</t>
        </is>
      </c>
      <c r="F969" t="inlineStr">
        <is>
          <t xml:space="preserve">Saturday</t>
        </is>
      </c>
      <c r="G969" s="15">
        <v>46298</v>
      </c>
      <c r="H969" t="inlineStr">
        <is>
          <t xml:space="preserve">PM</t>
        </is>
      </c>
      <c r="I969" t="inlineStr">
        <is>
          <t xml:space="preserve">Frisco, TX</t>
        </is>
      </c>
      <c r="J969" t="inlineStr">
        <is>
          <t xml:space="preserve">South</t>
        </is>
      </c>
      <c r="K969">
        <v>18</v>
      </c>
      <c r="L969" t="inlineStr">
        <is>
          <t xml:space="preserve">Full</t>
        </is>
      </c>
      <c r="M969" t="inlineStr">
        <is>
          <t xml:space="preserve">Fields Ranch East</t>
        </is>
      </c>
      <c r="N969" t="inlineStr">
        <is>
          <t xml:space="preserve">III (Green)</t>
        </is>
      </c>
      <c r="O969">
        <v>72.6</v>
      </c>
      <c r="P969">
        <v>140</v>
      </c>
      <c r="Q969">
        <v>6543</v>
      </c>
      <c r="R969" t="inlineStr">
        <is>
          <t xml:space="preserve">Match Play</t>
        </is>
      </c>
      <c r="S969" t="inlineStr">
        <is>
          <t xml:space="preserve">Singles</t>
        </is>
      </c>
      <c r="T969" t="inlineStr">
        <is>
          <t xml:space="preserve">Under 6'</t>
        </is>
      </c>
      <c r="U969" t="inlineStr">
        <is>
          <t xml:space="preserve">Forster</t>
        </is>
      </c>
      <c r="V969" t="inlineStr">
        <is>
          <t xml:space="preserve">Delneky</t>
        </is>
      </c>
      <c r="X969">
        <v>22</v>
      </c>
      <c r="AA969">
        <v>2</v>
      </c>
      <c r="AB969" t="inlineStr">
        <is>
          <t xml:space="preserve">T</t>
        </is>
      </c>
      <c r="AC969" t="inlineStr">
        <is>
          <t xml:space="preserve">A/S</t>
        </is>
      </c>
      <c r="AD969" t="inlineStr">
        <is>
          <t xml:space="preserve">DeOteris</t>
        </is>
      </c>
      <c r="AE969" t="str">
        <f>$V969&amp;$Y969</f>
        <v>Delneky</v>
      </c>
      <c r="AF969">
        <v>1</v>
      </c>
      <c r="AG969">
        <v>0</v>
      </c>
      <c r="AH969">
        <v>0</v>
      </c>
      <c r="AI969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0"/>
  <sheetViews>
    <sheetView tabSelected="1" zoomScaleNormal="100" workbookViewId="0">
      <selection activeCell="B34" sqref="B34"/>
    </sheetView>
  </sheetViews>
  <sheetFormatPr baseColWidth="10" defaultColWidth="8.83203125" defaultRowHeight="16" x14ac:dyDescent="0.2"/>
  <cols>
    <col min="1" max="1" width="8.83203125" style="16"/>
    <col min="2" max="2" width="10.33203125" style="16" customWidth="1"/>
    <col min="3" max="4" width="7.6640625" style="16" customWidth="1"/>
    <col min="5" max="5" width="8" style="16" customWidth="1"/>
    <col min="6" max="6" width="7.6640625" style="16" customWidth="1"/>
    <col min="7" max="7" width="7.83203125" style="16" customWidth="1"/>
    <col min="8" max="8" width="7.5" style="16" customWidth="1"/>
    <col min="9" max="9" width="7.1640625" style="16" customWidth="1"/>
    <col min="10" max="11" width="7.5" style="16" customWidth="1"/>
    <col min="12" max="13" width="7.33203125" style="16" customWidth="1"/>
    <col min="14" max="14" width="8" style="16" customWidth="1"/>
    <col min="15" max="15" width="8" style="16" customWidth="1"/>
    <col min="16" max="17" width="8.83203125" style="16"/>
    <col min="18" max="19" width="10" style="16" customWidth="1"/>
    <col min="20" max="16384" width="8.83203125" style="16"/>
  </cols>
  <sheetData>
    <row r="1" spans="1:22" ht="15.75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P1" s="17"/>
      <c r="Q1" s="17"/>
      <c r="R1" s="17"/>
      <c r="S1" s="17"/>
      <c r="T1" s="17"/>
      <c r="U1" s="17"/>
      <c r="V1" s="17"/>
    </row>
    <row r="2" spans="1:22" ht="15.75" customHeight="1" x14ac:dyDescent="0.2">
      <c r="A2" s="17"/>
      <c r="B2" s="18" t="s">
        <v>674</v>
      </c>
      <c r="C2" s="19" t="s">
        <v>675</v>
      </c>
      <c r="D2" s="19" t="s">
        <v>676</v>
      </c>
      <c r="E2" s="19" t="s">
        <v>677</v>
      </c>
      <c r="F2" s="19" t="s">
        <v>678</v>
      </c>
      <c r="G2" s="19" t="s">
        <v>679</v>
      </c>
      <c r="H2" s="19" t="s">
        <v>680</v>
      </c>
      <c r="I2" s="19" t="s">
        <v>681</v>
      </c>
      <c r="J2" s="19" t="s">
        <v>682</v>
      </c>
      <c r="K2" s="19" t="s">
        <v>683</v>
      </c>
      <c r="L2" s="19" t="s">
        <v>684</v>
      </c>
      <c r="M2" s="19" t="s">
        <v>685</v>
      </c>
      <c r="N2" s="19" t="s">
        <v>686</v>
      </c>
      <c r="O2" s="19" t="inlineStr">
        <is>
          <t xml:space="preserve">FBC 13</t>
        </is>
      </c>
      <c r="P2" s="20" t="s">
        <v>687</v>
      </c>
      <c r="Q2" s="19" t="s">
        <v>688</v>
      </c>
      <c r="R2" s="19" t="s">
        <v>689</v>
      </c>
      <c r="S2" s="19" t="s">
        <v>690</v>
      </c>
      <c r="T2" s="17"/>
      <c r="U2" s="17"/>
      <c r="V2" s="17"/>
    </row>
    <row r="3" spans="1:22" ht="15.75" customHeight="1" x14ac:dyDescent="0.2">
      <c r="A3" s="17"/>
      <c r="B3" s="17" t="s">
        <v>123</v>
      </c>
      <c r="C3" s="21">
        <v>1</v>
      </c>
      <c r="D3" s="21">
        <v>1</v>
      </c>
      <c r="E3" s="21">
        <v>1</v>
      </c>
      <c r="F3" s="21">
        <v>1</v>
      </c>
      <c r="G3" s="21">
        <v>1</v>
      </c>
      <c r="H3" s="21">
        <v>1</v>
      </c>
      <c r="I3" s="21">
        <v>1</v>
      </c>
      <c r="J3" s="21">
        <v>0</v>
      </c>
      <c r="K3" s="21">
        <v>1</v>
      </c>
      <c r="L3" s="21">
        <v>1</v>
      </c>
      <c r="M3" s="21">
        <v>0</v>
      </c>
      <c r="N3" s="21">
        <v>1</v>
      </c>
      <c r="O3" s="21">
        <v>0</v>
      </c>
      <c r="P3" s="21">
        <f t="shared" ref="P3:P32" si="0">SUM(C3:O3)</f>
        <v>10</v>
      </c>
      <c r="Q3" s="21">
        <v>13</v>
      </c>
      <c r="R3" s="22">
        <f t="shared" ref="R3:R32" si="1">P3/Q3</f>
        <v>0.7692307692307693</v>
      </c>
      <c r="S3" s="21">
        <f t="shared" ref="S3:S32" si="2">Q3-P3</f>
        <v>3</v>
      </c>
      <c r="T3" s="17"/>
      <c r="U3" s="17"/>
      <c r="V3" s="17"/>
    </row>
    <row r="4" spans="1:22" ht="15.75" customHeight="1" x14ac:dyDescent="0.2">
      <c r="A4" s="17"/>
      <c r="B4" s="17" t="s">
        <v>1308</v>
      </c>
      <c r="C4" s="21">
        <v>1</v>
      </c>
      <c r="D4" s="21">
        <v>1</v>
      </c>
      <c r="E4" s="21">
        <v>1</v>
      </c>
      <c r="F4" s="21">
        <v>1</v>
      </c>
      <c r="G4" s="21">
        <v>1</v>
      </c>
      <c r="H4" s="21">
        <v>0</v>
      </c>
      <c r="I4" s="21">
        <v>0</v>
      </c>
      <c r="J4" s="21">
        <v>1</v>
      </c>
      <c r="K4" s="21">
        <v>1</v>
      </c>
      <c r="L4" s="21">
        <v>1</v>
      </c>
      <c r="M4" s="21">
        <v>1</v>
      </c>
      <c r="N4" s="21">
        <v>0</v>
      </c>
      <c r="O4" s="21">
        <v>1</v>
      </c>
      <c r="P4" s="21">
        <f t="shared" si="0"/>
        <v>10</v>
      </c>
      <c r="Q4" s="21">
        <v>13</v>
      </c>
      <c r="R4" s="22">
        <f t="shared" si="1"/>
        <v>0.7692307692307693</v>
      </c>
      <c r="S4" s="21">
        <f t="shared" si="2"/>
        <v>3</v>
      </c>
      <c r="T4" s="17"/>
      <c r="U4" s="17"/>
      <c r="V4" s="17"/>
    </row>
    <row r="5" spans="1:22" ht="15.75" customHeight="1" x14ac:dyDescent="0.2">
      <c r="A5" s="17"/>
      <c r="B5" s="17" t="s">
        <v>119</v>
      </c>
      <c r="C5" s="21">
        <v>0</v>
      </c>
      <c r="D5" s="21">
        <v>1</v>
      </c>
      <c r="E5" s="21">
        <v>0</v>
      </c>
      <c r="F5" s="21">
        <v>1</v>
      </c>
      <c r="G5" s="21">
        <v>1</v>
      </c>
      <c r="H5" s="21">
        <v>1</v>
      </c>
      <c r="I5" s="21">
        <v>1</v>
      </c>
      <c r="J5" s="21">
        <v>1</v>
      </c>
      <c r="K5" s="21">
        <v>0</v>
      </c>
      <c r="L5" s="21">
        <v>1</v>
      </c>
      <c r="M5" s="21">
        <v>0</v>
      </c>
      <c r="N5" s="21">
        <v>1</v>
      </c>
      <c r="O5" s="21">
        <v>1</v>
      </c>
      <c r="P5" s="21">
        <f t="shared" si="0"/>
        <v>9</v>
      </c>
      <c r="Q5" s="21">
        <v>13</v>
      </c>
      <c r="R5" s="22">
        <f t="shared" si="1"/>
        <v>0.6923076923076923</v>
      </c>
      <c r="S5" s="21">
        <f t="shared" si="2"/>
        <v>4</v>
      </c>
      <c r="T5" s="17"/>
      <c r="U5" s="17"/>
      <c r="V5" s="17"/>
    </row>
    <row r="6" spans="1:22" ht="15.75" customHeight="1" x14ac:dyDescent="0.2">
      <c r="A6" s="17"/>
      <c r="B6" s="17" t="s">
        <v>122</v>
      </c>
      <c r="C6" s="21">
        <v>1</v>
      </c>
      <c r="D6" s="21">
        <v>1</v>
      </c>
      <c r="E6" s="21">
        <v>1</v>
      </c>
      <c r="F6" s="21" t="s">
        <v>692</v>
      </c>
      <c r="G6" s="21">
        <v>0</v>
      </c>
      <c r="H6" s="21">
        <v>1</v>
      </c>
      <c r="I6" s="21">
        <v>0</v>
      </c>
      <c r="J6" s="21">
        <v>1</v>
      </c>
      <c r="K6" s="21">
        <v>1</v>
      </c>
      <c r="L6" s="21">
        <v>1</v>
      </c>
      <c r="M6" s="21">
        <v>0</v>
      </c>
      <c r="N6" s="21">
        <v>1</v>
      </c>
      <c r="O6" s="21">
        <v>1</v>
      </c>
      <c r="P6" s="21">
        <f t="shared" si="0"/>
        <v>9</v>
      </c>
      <c r="Q6" s="21">
        <v>12</v>
      </c>
      <c r="R6" s="22">
        <f t="shared" si="1"/>
        <v>0.75</v>
      </c>
      <c r="S6" s="21">
        <f t="shared" si="2"/>
        <v>3</v>
      </c>
      <c r="T6" s="17"/>
      <c r="U6" s="17"/>
      <c r="V6" s="17"/>
    </row>
    <row r="7" spans="1:22" ht="15.75" customHeight="1" x14ac:dyDescent="0.2">
      <c r="A7" s="17"/>
      <c r="B7" s="17" t="s">
        <v>135</v>
      </c>
      <c r="C7" s="21">
        <v>1</v>
      </c>
      <c r="D7" s="21">
        <v>0</v>
      </c>
      <c r="E7" s="21">
        <v>0</v>
      </c>
      <c r="F7" s="21">
        <v>1</v>
      </c>
      <c r="G7" s="21">
        <v>1</v>
      </c>
      <c r="H7" s="21">
        <v>1</v>
      </c>
      <c r="I7" s="21">
        <v>0</v>
      </c>
      <c r="J7" s="21">
        <v>0</v>
      </c>
      <c r="K7" s="21">
        <v>1</v>
      </c>
      <c r="L7" s="21" t="s">
        <v>692</v>
      </c>
      <c r="M7" s="21">
        <v>1</v>
      </c>
      <c r="N7" s="21">
        <v>1</v>
      </c>
      <c r="O7" s="21">
        <v>0</v>
      </c>
      <c r="P7" s="21">
        <f t="shared" si="0"/>
        <v>7</v>
      </c>
      <c r="Q7" s="21">
        <v>12</v>
      </c>
      <c r="R7" s="22">
        <f t="shared" si="1"/>
        <v>0.5833333333333334</v>
      </c>
      <c r="S7" s="21">
        <f t="shared" si="2"/>
        <v>5</v>
      </c>
      <c r="T7" s="17"/>
      <c r="U7" s="17"/>
      <c r="V7" s="17"/>
    </row>
    <row r="8" spans="1:22" ht="15.75" customHeight="1" x14ac:dyDescent="0.2">
      <c r="A8" s="17"/>
      <c r="B8" s="17" t="s">
        <v>227</v>
      </c>
      <c r="C8" s="21" t="s">
        <v>692</v>
      </c>
      <c r="D8" s="21" t="s">
        <v>692</v>
      </c>
      <c r="E8" s="21">
        <v>1</v>
      </c>
      <c r="F8" s="21">
        <v>1</v>
      </c>
      <c r="G8" s="21">
        <v>1</v>
      </c>
      <c r="H8" s="21">
        <v>0</v>
      </c>
      <c r="I8" s="21">
        <v>1</v>
      </c>
      <c r="J8" s="21">
        <v>1</v>
      </c>
      <c r="K8" s="21">
        <v>0</v>
      </c>
      <c r="L8" s="21">
        <v>0</v>
      </c>
      <c r="M8" s="21">
        <v>1</v>
      </c>
      <c r="N8" s="21">
        <v>0</v>
      </c>
      <c r="O8" s="21">
        <v>1</v>
      </c>
      <c r="P8" s="21">
        <f t="shared" si="0"/>
        <v>7</v>
      </c>
      <c r="Q8" s="21">
        <v>11</v>
      </c>
      <c r="R8" s="22">
        <f t="shared" si="1"/>
        <v>0.6363636363636364</v>
      </c>
      <c r="S8" s="21">
        <f t="shared" si="2"/>
        <v>4</v>
      </c>
      <c r="T8" s="17"/>
      <c r="U8" s="17"/>
      <c r="V8" s="17"/>
    </row>
    <row r="9" spans="1:22" ht="15.75" customHeight="1" x14ac:dyDescent="0.2">
      <c r="A9" s="17"/>
      <c r="B9" s="17" t="s">
        <v>231</v>
      </c>
      <c r="C9" s="21" t="s">
        <v>692</v>
      </c>
      <c r="D9" s="21" t="s">
        <v>692</v>
      </c>
      <c r="E9" s="21">
        <v>1</v>
      </c>
      <c r="F9" s="21">
        <v>1</v>
      </c>
      <c r="G9" s="21">
        <v>1</v>
      </c>
      <c r="H9" s="21">
        <v>1</v>
      </c>
      <c r="I9" s="21">
        <v>0</v>
      </c>
      <c r="J9" s="21">
        <v>0</v>
      </c>
      <c r="K9" s="21">
        <v>1</v>
      </c>
      <c r="L9" s="21">
        <v>0</v>
      </c>
      <c r="M9" s="21" t="s">
        <v>692</v>
      </c>
      <c r="N9" s="21" t="s">
        <v>692</v>
      </c>
      <c r="O9" s="21">
        <v>0</v>
      </c>
      <c r="P9" s="21">
        <f t="shared" si="0"/>
        <v>5</v>
      </c>
      <c r="Q9" s="21">
        <v>9</v>
      </c>
      <c r="R9" s="22">
        <f t="shared" si="1"/>
        <v>0.5555555555555556</v>
      </c>
      <c r="S9" s="21">
        <f t="shared" si="2"/>
        <v>4</v>
      </c>
      <c r="T9" s="17"/>
      <c r="U9" s="17"/>
      <c r="V9" s="17"/>
    </row>
    <row r="10" spans="1:22" ht="15.75" customHeight="1" x14ac:dyDescent="0.2">
      <c r="A10" s="17"/>
      <c r="B10" s="17" t="s">
        <v>132</v>
      </c>
      <c r="C10" s="21">
        <v>0</v>
      </c>
      <c r="D10" s="21">
        <v>1</v>
      </c>
      <c r="E10" s="21">
        <v>0</v>
      </c>
      <c r="F10" s="21">
        <v>0</v>
      </c>
      <c r="G10" s="21">
        <v>0</v>
      </c>
      <c r="H10" s="21">
        <v>0</v>
      </c>
      <c r="I10" s="21">
        <v>1</v>
      </c>
      <c r="J10" s="21">
        <v>0</v>
      </c>
      <c r="K10" s="21">
        <v>1</v>
      </c>
      <c r="L10" s="21">
        <v>1</v>
      </c>
      <c r="M10" s="21">
        <v>0</v>
      </c>
      <c r="N10" s="21">
        <v>1</v>
      </c>
      <c r="O10" s="21">
        <v>1</v>
      </c>
      <c r="P10" s="21">
        <f t="shared" si="0"/>
        <v>6</v>
      </c>
      <c r="Q10" s="21">
        <v>13</v>
      </c>
      <c r="R10" s="22">
        <f t="shared" si="1"/>
        <v>0.46153846153846156</v>
      </c>
      <c r="S10" s="21">
        <f t="shared" si="2"/>
        <v>7</v>
      </c>
      <c r="T10" s="17"/>
      <c r="U10" s="17"/>
      <c r="V10" s="17"/>
    </row>
    <row r="11" spans="1:22" ht="15.75" customHeight="1" x14ac:dyDescent="0.2">
      <c r="A11" s="17"/>
      <c r="B11" s="17" t="s">
        <v>172</v>
      </c>
      <c r="C11" s="21" t="s">
        <v>692</v>
      </c>
      <c r="D11" s="21">
        <v>0</v>
      </c>
      <c r="E11" s="21">
        <v>1</v>
      </c>
      <c r="F11" s="21">
        <v>1</v>
      </c>
      <c r="G11" s="21">
        <v>0</v>
      </c>
      <c r="H11" s="21">
        <v>1</v>
      </c>
      <c r="I11" s="21">
        <v>0</v>
      </c>
      <c r="J11" s="21">
        <v>0</v>
      </c>
      <c r="K11" s="21">
        <v>0</v>
      </c>
      <c r="L11" s="21">
        <v>0</v>
      </c>
      <c r="M11" s="21">
        <v>1</v>
      </c>
      <c r="N11" s="21">
        <v>0</v>
      </c>
      <c r="O11" s="21">
        <v>0</v>
      </c>
      <c r="P11" s="21">
        <f t="shared" si="0"/>
        <v>4</v>
      </c>
      <c r="Q11" s="21">
        <v>12</v>
      </c>
      <c r="R11" s="22">
        <f t="shared" si="1"/>
        <v>0.3333333333333333</v>
      </c>
      <c r="S11" s="21">
        <f t="shared" si="2"/>
        <v>8</v>
      </c>
      <c r="T11" s="17"/>
      <c r="U11" s="17"/>
      <c r="V11" s="17"/>
    </row>
    <row r="12" spans="1:22" ht="15.75" customHeight="1" x14ac:dyDescent="0.2">
      <c r="A12" s="17"/>
      <c r="B12" s="17" t="s">
        <v>178</v>
      </c>
      <c r="C12" s="21" t="s">
        <v>692</v>
      </c>
      <c r="D12" s="21">
        <v>1</v>
      </c>
      <c r="E12" s="21">
        <v>0</v>
      </c>
      <c r="F12" s="21">
        <v>0</v>
      </c>
      <c r="G12" s="21">
        <v>0</v>
      </c>
      <c r="H12" s="21">
        <v>0</v>
      </c>
      <c r="I12" s="21">
        <v>1</v>
      </c>
      <c r="J12" s="21">
        <v>1</v>
      </c>
      <c r="K12" s="21">
        <v>1</v>
      </c>
      <c r="L12" s="21">
        <v>0</v>
      </c>
      <c r="M12" s="21">
        <v>0</v>
      </c>
      <c r="N12" s="21" t="s">
        <v>692</v>
      </c>
      <c r="O12" s="21" t="s">
        <v>692</v>
      </c>
      <c r="P12" s="21">
        <f t="shared" si="0"/>
        <v>4</v>
      </c>
      <c r="Q12" s="21">
        <v>10</v>
      </c>
      <c r="R12" s="22">
        <f t="shared" si="1"/>
        <v>0.4</v>
      </c>
      <c r="S12" s="21">
        <f t="shared" si="2"/>
        <v>6</v>
      </c>
      <c r="T12" s="17"/>
      <c r="U12" s="17"/>
      <c r="V12" s="17"/>
    </row>
    <row r="13" spans="1:22" ht="15.75" customHeight="1" x14ac:dyDescent="0.2">
      <c r="A13" s="17"/>
      <c r="B13" s="17" t="s">
        <v>179</v>
      </c>
      <c r="C13" s="21" t="s">
        <v>692</v>
      </c>
      <c r="D13" s="21">
        <v>0</v>
      </c>
      <c r="E13" s="21">
        <v>1</v>
      </c>
      <c r="F13" s="21">
        <v>0</v>
      </c>
      <c r="G13" s="21">
        <v>0</v>
      </c>
      <c r="H13" s="21">
        <v>0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 t="s">
        <v>692</v>
      </c>
      <c r="O13" s="21">
        <v>1</v>
      </c>
      <c r="P13" s="21">
        <f t="shared" si="0"/>
        <v>5</v>
      </c>
      <c r="Q13" s="21">
        <v>11</v>
      </c>
      <c r="R13" s="22">
        <f t="shared" si="1"/>
        <v>0.45454545454545453</v>
      </c>
      <c r="S13" s="21">
        <f t="shared" si="2"/>
        <v>6</v>
      </c>
      <c r="T13" s="17"/>
      <c r="U13" s="17"/>
      <c r="V13" s="17"/>
    </row>
    <row r="14" spans="1:22" ht="15.75" customHeight="1" x14ac:dyDescent="0.2">
      <c r="A14" s="17"/>
      <c r="B14" s="17" t="s">
        <v>321</v>
      </c>
      <c r="C14" s="21" t="s">
        <v>692</v>
      </c>
      <c r="D14" s="21" t="s">
        <v>692</v>
      </c>
      <c r="E14" s="21" t="s">
        <v>692</v>
      </c>
      <c r="F14" s="21" t="s">
        <v>692</v>
      </c>
      <c r="G14" s="21">
        <v>1</v>
      </c>
      <c r="H14" s="21" t="s">
        <v>692</v>
      </c>
      <c r="I14" s="21" t="s">
        <v>692</v>
      </c>
      <c r="J14" s="21">
        <v>1</v>
      </c>
      <c r="K14" s="21">
        <v>1</v>
      </c>
      <c r="L14" s="21">
        <v>1</v>
      </c>
      <c r="M14" s="21">
        <v>0</v>
      </c>
      <c r="N14" s="21">
        <v>0</v>
      </c>
      <c r="O14" s="21">
        <v>1</v>
      </c>
      <c r="P14" s="21">
        <f t="shared" si="0"/>
        <v>5</v>
      </c>
      <c r="Q14" s="21">
        <v>7</v>
      </c>
      <c r="R14" s="22">
        <f t="shared" si="1"/>
        <v>0.7142857142857143</v>
      </c>
      <c r="S14" s="21">
        <f t="shared" si="2"/>
        <v>2</v>
      </c>
      <c r="T14" s="17"/>
      <c r="U14" s="17"/>
      <c r="V14" s="17"/>
    </row>
    <row r="15" spans="1:22" ht="15.75" customHeight="1" x14ac:dyDescent="0.2">
      <c r="A15" s="17"/>
      <c r="B15" s="17" t="s">
        <v>226</v>
      </c>
      <c r="C15" s="21" t="s">
        <v>692</v>
      </c>
      <c r="D15" s="21" t="s">
        <v>692</v>
      </c>
      <c r="E15" s="21">
        <v>1</v>
      </c>
      <c r="F15" s="21">
        <v>0</v>
      </c>
      <c r="G15" s="21">
        <v>0</v>
      </c>
      <c r="H15" s="21">
        <v>1</v>
      </c>
      <c r="I15" s="21">
        <v>1</v>
      </c>
      <c r="J15" s="21" t="s">
        <v>692</v>
      </c>
      <c r="K15" s="21" t="s">
        <v>692</v>
      </c>
      <c r="L15" s="21">
        <v>0</v>
      </c>
      <c r="M15" s="21">
        <v>1</v>
      </c>
      <c r="N15" s="21" t="s">
        <v>692</v>
      </c>
      <c r="O15" s="21">
        <v>0</v>
      </c>
      <c r="P15" s="21">
        <f t="shared" si="0"/>
        <v>4</v>
      </c>
      <c r="Q15" s="21">
        <v>8</v>
      </c>
      <c r="R15" s="22">
        <f t="shared" si="1"/>
        <v>0.5</v>
      </c>
      <c r="S15" s="21">
        <f t="shared" si="2"/>
        <v>4</v>
      </c>
      <c r="T15" s="17"/>
      <c r="U15" s="17"/>
      <c r="V15" s="17"/>
    </row>
    <row r="16" spans="1:22" ht="15.75" customHeight="1" x14ac:dyDescent="0.2">
      <c r="A16" s="17"/>
      <c r="B16" s="17" t="s">
        <v>127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1</v>
      </c>
      <c r="J16" s="21">
        <v>1</v>
      </c>
      <c r="K16" s="21">
        <v>0</v>
      </c>
      <c r="L16" s="21">
        <v>1</v>
      </c>
      <c r="M16" s="21">
        <v>1</v>
      </c>
      <c r="N16" s="21">
        <v>0</v>
      </c>
      <c r="O16" s="21">
        <v>0</v>
      </c>
      <c r="P16" s="21">
        <f t="shared" si="0"/>
        <v>4</v>
      </c>
      <c r="Q16" s="21">
        <v>13</v>
      </c>
      <c r="R16" s="22">
        <f t="shared" si="1"/>
        <v>0.3076923076923077</v>
      </c>
      <c r="S16" s="21">
        <f t="shared" si="2"/>
        <v>9</v>
      </c>
      <c r="T16" s="17"/>
      <c r="U16" s="17"/>
      <c r="V16" s="17"/>
    </row>
    <row r="17" spans="1:22" ht="15.75" customHeight="1" x14ac:dyDescent="0.2">
      <c r="A17" s="17"/>
      <c r="B17" s="17" t="s">
        <v>456</v>
      </c>
      <c r="C17" s="21" t="s">
        <v>692</v>
      </c>
      <c r="D17" s="21" t="s">
        <v>692</v>
      </c>
      <c r="E17" s="21" t="s">
        <v>692</v>
      </c>
      <c r="F17" s="21" t="s">
        <v>692</v>
      </c>
      <c r="G17" s="21" t="s">
        <v>692</v>
      </c>
      <c r="H17" s="21" t="s">
        <v>692</v>
      </c>
      <c r="I17" s="21" t="s">
        <v>692</v>
      </c>
      <c r="J17" s="21">
        <v>1</v>
      </c>
      <c r="K17" s="21">
        <v>1</v>
      </c>
      <c r="L17" s="21">
        <v>1</v>
      </c>
      <c r="M17" s="21" t="s">
        <v>692</v>
      </c>
      <c r="N17" s="21">
        <v>1</v>
      </c>
      <c r="O17" s="21">
        <v>0</v>
      </c>
      <c r="P17" s="21">
        <f t="shared" si="0"/>
        <v>4</v>
      </c>
      <c r="Q17" s="21">
        <v>5</v>
      </c>
      <c r="R17" s="22">
        <f t="shared" si="1"/>
        <v>0.8</v>
      </c>
      <c r="S17" s="21">
        <f t="shared" si="2"/>
        <v>1</v>
      </c>
      <c r="T17" s="17"/>
      <c r="U17" s="17"/>
      <c r="V17" s="17"/>
    </row>
    <row r="18" spans="1:22" ht="15.75" customHeight="1" x14ac:dyDescent="0.2">
      <c r="A18" s="17"/>
      <c r="B18" s="17" t="s">
        <v>176</v>
      </c>
      <c r="C18" s="21" t="s">
        <v>692</v>
      </c>
      <c r="D18" s="21">
        <v>1</v>
      </c>
      <c r="E18" s="21">
        <v>0</v>
      </c>
      <c r="F18" s="21">
        <v>0</v>
      </c>
      <c r="G18" s="21">
        <v>1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1</v>
      </c>
      <c r="N18" s="21">
        <v>1</v>
      </c>
      <c r="O18" s="21">
        <v>1</v>
      </c>
      <c r="P18" s="21">
        <f t="shared" si="0"/>
        <v>5</v>
      </c>
      <c r="Q18" s="21">
        <v>12</v>
      </c>
      <c r="R18" s="22">
        <f t="shared" si="1"/>
        <v>0.4166666666666667</v>
      </c>
      <c r="S18" s="21">
        <f t="shared" si="2"/>
        <v>7</v>
      </c>
      <c r="T18" s="17"/>
      <c r="U18" s="17"/>
      <c r="V18" s="17"/>
    </row>
    <row r="19" spans="1:22" ht="15.75" customHeight="1" x14ac:dyDescent="0.2">
      <c r="A19" s="17"/>
      <c r="B19" s="17" t="s">
        <v>693</v>
      </c>
      <c r="C19" s="21" t="s">
        <v>692</v>
      </c>
      <c r="D19" s="21">
        <v>0</v>
      </c>
      <c r="E19" s="21">
        <v>0</v>
      </c>
      <c r="F19" s="21">
        <v>1</v>
      </c>
      <c r="G19" s="21">
        <v>0</v>
      </c>
      <c r="H19" s="21">
        <v>1</v>
      </c>
      <c r="I19" s="21">
        <v>1</v>
      </c>
      <c r="J19" s="21" t="s">
        <v>692</v>
      </c>
      <c r="K19" s="21" t="s">
        <v>692</v>
      </c>
      <c r="L19" s="21" t="s">
        <v>692</v>
      </c>
      <c r="M19" s="21" t="s">
        <v>692</v>
      </c>
      <c r="N19" s="21" t="s">
        <v>692</v>
      </c>
      <c r="O19" s="21" t="s">
        <v>692</v>
      </c>
      <c r="P19" s="21">
        <f t="shared" si="0"/>
        <v>3</v>
      </c>
      <c r="Q19" s="21">
        <v>6</v>
      </c>
      <c r="R19" s="22">
        <f t="shared" si="1"/>
        <v>0.5</v>
      </c>
      <c r="S19" s="21">
        <f t="shared" si="2"/>
        <v>3</v>
      </c>
      <c r="T19" s="17"/>
      <c r="U19" s="17"/>
      <c r="V19" s="17"/>
    </row>
    <row r="20" spans="1:22" ht="15.75" customHeight="1" x14ac:dyDescent="0.2">
      <c r="A20" s="17"/>
      <c r="B20" s="17" t="s">
        <v>118</v>
      </c>
      <c r="C20" s="21">
        <v>0</v>
      </c>
      <c r="D20" s="21">
        <v>1</v>
      </c>
      <c r="E20" s="21">
        <v>0</v>
      </c>
      <c r="F20" s="21">
        <v>0</v>
      </c>
      <c r="G20" s="21">
        <v>0</v>
      </c>
      <c r="H20" s="21">
        <v>1</v>
      </c>
      <c r="I20" s="21">
        <v>1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f t="shared" si="0"/>
        <v>3</v>
      </c>
      <c r="Q20" s="21">
        <v>13</v>
      </c>
      <c r="R20" s="22">
        <f t="shared" si="1"/>
        <v>0.23076923076923078</v>
      </c>
      <c r="S20" s="21">
        <f t="shared" si="2"/>
        <v>10</v>
      </c>
      <c r="T20" s="17"/>
      <c r="U20" s="17"/>
      <c r="V20" s="17"/>
    </row>
    <row r="21" spans="1:22" ht="15.75" customHeight="1" x14ac:dyDescent="0.2">
      <c r="A21" s="17"/>
      <c r="B21" s="17" t="s">
        <v>133</v>
      </c>
      <c r="C21" s="21">
        <v>0</v>
      </c>
      <c r="D21" s="21">
        <v>0</v>
      </c>
      <c r="E21" s="21">
        <v>0</v>
      </c>
      <c r="F21" s="21">
        <v>0</v>
      </c>
      <c r="G21" s="21">
        <v>1</v>
      </c>
      <c r="H21" s="21">
        <v>1</v>
      </c>
      <c r="I21" s="21">
        <v>0</v>
      </c>
      <c r="J21" s="21">
        <v>0</v>
      </c>
      <c r="K21" s="21" t="s">
        <v>692</v>
      </c>
      <c r="L21" s="21">
        <v>0</v>
      </c>
      <c r="M21" s="21">
        <v>0</v>
      </c>
      <c r="N21" s="21">
        <v>1</v>
      </c>
      <c r="O21" s="21">
        <v>0</v>
      </c>
      <c r="P21" s="21">
        <f t="shared" si="0"/>
        <v>3</v>
      </c>
      <c r="Q21" s="21">
        <v>12</v>
      </c>
      <c r="R21" s="22">
        <f t="shared" si="1"/>
        <v>0.25</v>
      </c>
      <c r="S21" s="21">
        <f t="shared" si="2"/>
        <v>9</v>
      </c>
      <c r="T21" s="17"/>
      <c r="U21" s="17"/>
      <c r="V21" s="17"/>
    </row>
    <row r="22" spans="1:22" ht="15.75" customHeight="1" x14ac:dyDescent="0.2">
      <c r="A22" s="17"/>
      <c r="B22" s="17" t="s">
        <v>130</v>
      </c>
      <c r="C22" s="21">
        <v>1</v>
      </c>
      <c r="D22" s="21" t="s">
        <v>692</v>
      </c>
      <c r="E22" s="21" t="s">
        <v>692</v>
      </c>
      <c r="F22" s="21" t="s">
        <v>692</v>
      </c>
      <c r="G22" s="21">
        <v>0</v>
      </c>
      <c r="H22" s="21">
        <v>0</v>
      </c>
      <c r="I22" s="21">
        <v>0</v>
      </c>
      <c r="J22" s="21" t="s">
        <v>692</v>
      </c>
      <c r="K22" s="21">
        <v>0</v>
      </c>
      <c r="L22" s="21" t="s">
        <v>692</v>
      </c>
      <c r="M22" s="21">
        <v>1</v>
      </c>
      <c r="N22" s="21">
        <v>1</v>
      </c>
      <c r="O22" s="21">
        <v>1</v>
      </c>
      <c r="P22" s="21">
        <f t="shared" si="0"/>
        <v>4</v>
      </c>
      <c r="Q22" s="21">
        <v>8</v>
      </c>
      <c r="R22" s="22">
        <f t="shared" si="1"/>
        <v>0.5</v>
      </c>
      <c r="S22" s="21">
        <f t="shared" si="2"/>
        <v>4</v>
      </c>
      <c r="T22" s="17"/>
      <c r="U22" s="17"/>
      <c r="V22" s="17"/>
    </row>
    <row r="23" spans="1:22" ht="15.75" customHeight="1" x14ac:dyDescent="0.2">
      <c r="A23" s="17"/>
      <c r="B23" s="17" t="s">
        <v>120</v>
      </c>
      <c r="C23" s="21">
        <v>0</v>
      </c>
      <c r="D23" s="21">
        <v>0</v>
      </c>
      <c r="E23" s="21">
        <v>1</v>
      </c>
      <c r="F23" s="21">
        <v>1</v>
      </c>
      <c r="G23" s="21" t="s">
        <v>692</v>
      </c>
      <c r="H23" s="21" t="s">
        <v>692</v>
      </c>
      <c r="I23" s="21" t="s">
        <v>692</v>
      </c>
      <c r="J23" s="21" t="s">
        <v>692</v>
      </c>
      <c r="K23" s="21" t="s">
        <v>692</v>
      </c>
      <c r="L23" s="21" t="s">
        <v>692</v>
      </c>
      <c r="M23" s="21" t="s">
        <v>692</v>
      </c>
      <c r="N23" s="21" t="s">
        <v>692</v>
      </c>
      <c r="O23" s="21" t="s">
        <v>692</v>
      </c>
      <c r="P23" s="21">
        <f t="shared" si="0"/>
        <v>2</v>
      </c>
      <c r="Q23" s="21">
        <v>4</v>
      </c>
      <c r="R23" s="22">
        <f t="shared" si="1"/>
        <v>0.5</v>
      </c>
      <c r="S23" s="21">
        <f t="shared" si="2"/>
        <v>2</v>
      </c>
      <c r="T23" s="17"/>
      <c r="U23" s="17"/>
      <c r="V23" s="17"/>
    </row>
    <row r="24" spans="1:22" ht="15.75" customHeight="1" x14ac:dyDescent="0.2">
      <c r="A24" s="17"/>
      <c r="B24" s="17" t="s">
        <v>272</v>
      </c>
      <c r="C24" s="21" t="s">
        <v>692</v>
      </c>
      <c r="D24" s="21" t="s">
        <v>692</v>
      </c>
      <c r="E24" s="21" t="s">
        <v>692</v>
      </c>
      <c r="F24" s="21">
        <v>1</v>
      </c>
      <c r="G24" s="21">
        <v>0</v>
      </c>
      <c r="H24" s="21">
        <v>0</v>
      </c>
      <c r="I24" s="21">
        <v>0</v>
      </c>
      <c r="J24" s="21">
        <v>1</v>
      </c>
      <c r="K24" s="21">
        <v>0</v>
      </c>
      <c r="L24" s="21">
        <v>0</v>
      </c>
      <c r="M24" s="21">
        <v>0</v>
      </c>
      <c r="N24" s="21" t="s">
        <v>692</v>
      </c>
      <c r="O24" s="21">
        <v>0</v>
      </c>
      <c r="P24" s="21">
        <f t="shared" si="0"/>
        <v>2</v>
      </c>
      <c r="Q24" s="21">
        <v>9</v>
      </c>
      <c r="R24" s="22">
        <f t="shared" si="1"/>
        <v>0.2222222222222222</v>
      </c>
      <c r="S24" s="21">
        <f t="shared" si="2"/>
        <v>7</v>
      </c>
      <c r="T24" s="17"/>
      <c r="U24" s="17"/>
      <c r="V24" s="17"/>
    </row>
    <row r="25" spans="1:22" ht="15.75" customHeight="1" x14ac:dyDescent="0.2">
      <c r="A25" s="17"/>
      <c r="B25" s="17" t="s">
        <v>452</v>
      </c>
      <c r="C25" s="21" t="s">
        <v>692</v>
      </c>
      <c r="D25" s="21" t="s">
        <v>692</v>
      </c>
      <c r="E25" s="21" t="s">
        <v>692</v>
      </c>
      <c r="F25" s="21" t="s">
        <v>692</v>
      </c>
      <c r="G25" s="21" t="s">
        <v>692</v>
      </c>
      <c r="H25" s="21" t="s">
        <v>692</v>
      </c>
      <c r="I25" s="21" t="s">
        <v>692</v>
      </c>
      <c r="J25" s="21">
        <v>1</v>
      </c>
      <c r="K25" s="21">
        <v>0</v>
      </c>
      <c r="L25" s="21">
        <v>0</v>
      </c>
      <c r="M25" s="21">
        <v>1</v>
      </c>
      <c r="N25" s="21">
        <v>0</v>
      </c>
      <c r="O25" s="21">
        <v>1</v>
      </c>
      <c r="P25" s="21">
        <f t="shared" si="0"/>
        <v>3</v>
      </c>
      <c r="Q25" s="21">
        <v>6</v>
      </c>
      <c r="R25" s="22">
        <f t="shared" si="1"/>
        <v>0.5</v>
      </c>
      <c r="S25" s="21">
        <f t="shared" si="2"/>
        <v>3</v>
      </c>
      <c r="T25" s="17"/>
      <c r="U25" s="17"/>
      <c r="V25" s="17"/>
    </row>
    <row r="26" spans="1:22" ht="15.75" customHeight="1" x14ac:dyDescent="0.2">
      <c r="A26" s="17"/>
      <c r="B26" s="17" t="s">
        <v>230</v>
      </c>
      <c r="C26" s="21" t="s">
        <v>692</v>
      </c>
      <c r="D26" s="21">
        <v>0</v>
      </c>
      <c r="E26" s="21">
        <v>0</v>
      </c>
      <c r="F26" s="21">
        <v>0</v>
      </c>
      <c r="G26" s="21">
        <v>1</v>
      </c>
      <c r="H26" s="21">
        <v>0</v>
      </c>
      <c r="I26" s="21">
        <v>0</v>
      </c>
      <c r="J26" s="21" t="s">
        <v>692</v>
      </c>
      <c r="K26" s="21" t="s">
        <v>692</v>
      </c>
      <c r="L26" s="21" t="s">
        <v>692</v>
      </c>
      <c r="M26" s="21">
        <v>1</v>
      </c>
      <c r="N26" s="21" t="s">
        <v>692</v>
      </c>
      <c r="O26" s="21">
        <v>1</v>
      </c>
      <c r="P26" s="21">
        <f t="shared" si="0"/>
        <v>3</v>
      </c>
      <c r="Q26" s="21">
        <v>8</v>
      </c>
      <c r="R26" s="22">
        <f t="shared" si="1"/>
        <v>0.375</v>
      </c>
      <c r="S26" s="21">
        <f t="shared" si="2"/>
        <v>5</v>
      </c>
      <c r="T26" s="17"/>
      <c r="U26" s="17"/>
      <c r="V26" s="17"/>
    </row>
    <row r="27" spans="1:22" ht="15.75" customHeight="1" x14ac:dyDescent="0.2">
      <c r="A27" s="17"/>
      <c r="B27" s="17" t="s">
        <v>1285</v>
      </c>
      <c r="C27" s="21" t="s">
        <v>692</v>
      </c>
      <c r="D27" s="21" t="s">
        <v>692</v>
      </c>
      <c r="E27" s="21" t="s">
        <v>692</v>
      </c>
      <c r="F27" s="21" t="s">
        <v>692</v>
      </c>
      <c r="G27" s="21" t="s">
        <v>692</v>
      </c>
      <c r="H27" s="21" t="s">
        <v>692</v>
      </c>
      <c r="I27" s="21" t="s">
        <v>692</v>
      </c>
      <c r="J27" s="21">
        <v>1</v>
      </c>
      <c r="K27" s="21">
        <v>0</v>
      </c>
      <c r="L27" s="21" t="s">
        <v>692</v>
      </c>
      <c r="M27" s="21" t="s">
        <v>692</v>
      </c>
      <c r="N27" s="21">
        <v>0</v>
      </c>
      <c r="O27" s="21">
        <v>0</v>
      </c>
      <c r="P27" s="21">
        <f t="shared" si="0"/>
        <v>1</v>
      </c>
      <c r="Q27" s="21">
        <v>4</v>
      </c>
      <c r="R27" s="22">
        <f t="shared" si="1"/>
        <v>0.25</v>
      </c>
      <c r="S27" s="21">
        <f t="shared" si="2"/>
        <v>3</v>
      </c>
      <c r="T27" s="17"/>
      <c r="U27" s="17"/>
      <c r="V27" s="17"/>
    </row>
    <row r="28" spans="1:22" ht="15.75" customHeight="1" x14ac:dyDescent="0.2">
      <c r="A28" s="17"/>
      <c r="B28" s="17" t="s">
        <v>129</v>
      </c>
      <c r="C28" s="21">
        <v>1</v>
      </c>
      <c r="D28" s="21" t="s">
        <v>692</v>
      </c>
      <c r="E28" s="21" t="s">
        <v>692</v>
      </c>
      <c r="F28" s="21" t="s">
        <v>692</v>
      </c>
      <c r="G28" s="21" t="s">
        <v>692</v>
      </c>
      <c r="H28" s="21" t="s">
        <v>692</v>
      </c>
      <c r="I28" s="21" t="s">
        <v>692</v>
      </c>
      <c r="J28" s="21" t="s">
        <v>692</v>
      </c>
      <c r="K28" s="21" t="s">
        <v>692</v>
      </c>
      <c r="L28" s="21" t="s">
        <v>692</v>
      </c>
      <c r="M28" s="21" t="s">
        <v>692</v>
      </c>
      <c r="N28" s="21" t="s">
        <v>692</v>
      </c>
      <c r="O28" s="21" t="s">
        <v>692</v>
      </c>
      <c r="P28" s="21">
        <f t="shared" si="0"/>
        <v>1</v>
      </c>
      <c r="Q28" s="21">
        <v>1</v>
      </c>
      <c r="R28" s="22">
        <f t="shared" si="1"/>
        <v>1.0</v>
      </c>
      <c r="S28" s="21">
        <f t="shared" si="2"/>
        <v>0</v>
      </c>
      <c r="T28" s="17"/>
      <c r="U28" s="17"/>
      <c r="V28" s="17"/>
    </row>
    <row r="29" spans="1:22" ht="15.75" customHeight="1" x14ac:dyDescent="0.2">
      <c r="A29" s="17"/>
      <c r="B29" s="17" t="s">
        <v>175</v>
      </c>
      <c r="C29" s="21" t="s">
        <v>692</v>
      </c>
      <c r="D29" s="21">
        <v>0</v>
      </c>
      <c r="E29" s="21">
        <v>1</v>
      </c>
      <c r="F29" s="21">
        <v>0</v>
      </c>
      <c r="G29" s="21" t="s">
        <v>692</v>
      </c>
      <c r="H29" s="21" t="s">
        <v>692</v>
      </c>
      <c r="I29" s="21" t="s">
        <v>692</v>
      </c>
      <c r="J29" s="21" t="s">
        <v>692</v>
      </c>
      <c r="K29" s="21" t="s">
        <v>692</v>
      </c>
      <c r="L29" s="21" t="s">
        <v>692</v>
      </c>
      <c r="M29" s="21" t="s">
        <v>692</v>
      </c>
      <c r="N29" s="21" t="s">
        <v>692</v>
      </c>
      <c r="O29" s="21" t="s">
        <v>692</v>
      </c>
      <c r="P29" s="21">
        <f t="shared" si="0"/>
        <v>1</v>
      </c>
      <c r="Q29" s="21">
        <v>2</v>
      </c>
      <c r="R29" s="22">
        <f t="shared" si="1"/>
        <v>0.5</v>
      </c>
      <c r="S29" s="21">
        <f t="shared" si="2"/>
        <v>1</v>
      </c>
      <c r="T29" s="17"/>
      <c r="U29" s="17"/>
      <c r="V29" s="17"/>
    </row>
    <row r="30" spans="1:22" ht="15.75" customHeight="1" x14ac:dyDescent="0.2">
      <c r="A30" s="17"/>
      <c r="B30" s="17" t="s">
        <v>541</v>
      </c>
      <c r="C30" s="21" t="s">
        <v>692</v>
      </c>
      <c r="D30" s="21" t="s">
        <v>692</v>
      </c>
      <c r="E30" s="21" t="s">
        <v>692</v>
      </c>
      <c r="F30" s="21" t="s">
        <v>692</v>
      </c>
      <c r="G30" s="21" t="s">
        <v>692</v>
      </c>
      <c r="H30" s="21" t="s">
        <v>692</v>
      </c>
      <c r="I30" s="21" t="s">
        <v>692</v>
      </c>
      <c r="J30" s="21" t="s">
        <v>692</v>
      </c>
      <c r="K30" s="21" t="s">
        <v>692</v>
      </c>
      <c r="L30" s="21">
        <v>1</v>
      </c>
      <c r="M30" s="21" t="s">
        <v>692</v>
      </c>
      <c r="N30" s="21">
        <v>0</v>
      </c>
      <c r="O30" s="21">
        <v>1</v>
      </c>
      <c r="P30" s="21">
        <f t="shared" si="0"/>
        <v>2</v>
      </c>
      <c r="Q30" s="21">
        <v>3</v>
      </c>
      <c r="R30" s="22">
        <f t="shared" si="1"/>
        <v>0.6666666666666666</v>
      </c>
      <c r="S30" s="21">
        <f t="shared" si="2"/>
        <v>1</v>
      </c>
      <c r="T30" s="17"/>
      <c r="U30" s="17"/>
      <c r="V30" s="17"/>
    </row>
    <row r="31" spans="1:22" ht="15.75" customHeight="1" x14ac:dyDescent="0.2">
      <c r="A31" s="17"/>
      <c r="B31" s="17" t="s">
        <v>632</v>
      </c>
      <c r="C31" s="21" t="s">
        <v>692</v>
      </c>
      <c r="D31" s="21" t="s">
        <v>692</v>
      </c>
      <c r="E31" s="21" t="s">
        <v>692</v>
      </c>
      <c r="F31" s="21" t="s">
        <v>692</v>
      </c>
      <c r="G31" s="21" t="s">
        <v>692</v>
      </c>
      <c r="H31" s="21" t="s">
        <v>692</v>
      </c>
      <c r="I31" s="21" t="s">
        <v>692</v>
      </c>
      <c r="J31" s="21" t="s">
        <v>692</v>
      </c>
      <c r="K31" s="21" t="s">
        <v>692</v>
      </c>
      <c r="L31" s="21" t="s">
        <v>692</v>
      </c>
      <c r="M31" s="21" t="s">
        <v>692</v>
      </c>
      <c r="N31" s="21">
        <v>1</v>
      </c>
      <c r="O31" s="21" t="s">
        <v>692</v>
      </c>
      <c r="P31" s="21">
        <f t="shared" si="0"/>
        <v>1</v>
      </c>
      <c r="Q31" s="21">
        <v>1</v>
      </c>
      <c r="R31" s="22">
        <f t="shared" si="1"/>
        <v>1.0</v>
      </c>
      <c r="S31" s="21">
        <f t="shared" si="2"/>
        <v>0</v>
      </c>
      <c r="T31" s="17"/>
      <c r="U31" s="17"/>
      <c r="V31" s="17"/>
    </row>
    <row r="32" spans="1:22" ht="15.75" customHeight="1" x14ac:dyDescent="0.2">
      <c r="A32" s="17"/>
      <c r="B32" s="17" t="s">
        <v>457</v>
      </c>
      <c r="C32" s="21" t="s">
        <v>692</v>
      </c>
      <c r="D32" s="21" t="s">
        <v>692</v>
      </c>
      <c r="E32" s="21" t="s">
        <v>692</v>
      </c>
      <c r="F32" s="21" t="s">
        <v>692</v>
      </c>
      <c r="G32" s="21" t="s">
        <v>692</v>
      </c>
      <c r="H32" s="21" t="s">
        <v>692</v>
      </c>
      <c r="I32" s="21" t="s">
        <v>692</v>
      </c>
      <c r="J32" s="21">
        <v>0</v>
      </c>
      <c r="K32" s="21" t="s">
        <v>692</v>
      </c>
      <c r="L32" s="21" t="s">
        <v>692</v>
      </c>
      <c r="M32" s="21" t="s">
        <v>692</v>
      </c>
      <c r="N32" s="21">
        <v>0</v>
      </c>
      <c r="O32" s="21">
        <v>0</v>
      </c>
      <c r="P32" s="21">
        <f t="shared" si="0"/>
        <v>0</v>
      </c>
      <c r="Q32" s="21">
        <v>3</v>
      </c>
      <c r="R32" s="22">
        <f t="shared" si="1"/>
        <v>0.0</v>
      </c>
      <c r="S32" s="21">
        <f t="shared" si="2"/>
        <v>3</v>
      </c>
      <c r="T32" s="17"/>
      <c r="U32" s="17"/>
      <c r="V32" s="17"/>
    </row>
    <row r="33" spans="1:22" ht="15.75" customHeight="1" x14ac:dyDescent="0.2">
      <c r="A33" s="17"/>
      <c r="B33" s="17" t="s">
        <v>460</v>
      </c>
      <c r="C33" s="21" t="s">
        <v>692</v>
      </c>
      <c r="D33" s="21" t="s">
        <v>692</v>
      </c>
      <c r="E33" s="21" t="s">
        <v>692</v>
      </c>
      <c r="F33" s="21" t="s">
        <v>692</v>
      </c>
      <c r="G33" s="21" t="s">
        <v>692</v>
      </c>
      <c r="H33" s="21" t="s">
        <v>692</v>
      </c>
      <c r="I33" s="21" t="s">
        <v>692</v>
      </c>
      <c r="J33" s="21">
        <v>0</v>
      </c>
      <c r="K33" s="21" t="s">
        <v>692</v>
      </c>
      <c r="L33" s="21" t="s">
        <v>692</v>
      </c>
      <c r="M33" s="21" t="s">
        <v>692</v>
      </c>
      <c r="N33" s="21" t="s">
        <v>692</v>
      </c>
      <c r="O33" s="21" t="s">
        <v>692</v>
      </c>
      <c r="P33" s="21">
        <f t="shared" ref="P33" si="3">SUM(C33:O33)</f>
        <v>0</v>
      </c>
      <c r="Q33" s="21">
        <v>2</v>
      </c>
      <c r="R33" s="22">
        <f t="shared" ref="R33" si="4">P33/Q33</f>
        <v>0.0</v>
      </c>
      <c r="S33" s="21">
        <f t="shared" ref="S33" si="5">Q33-P33</f>
        <v>1</v>
      </c>
      <c r="T33" s="17"/>
      <c r="U33" s="17"/>
      <c r="V33" s="17"/>
    </row>
    <row r="34" spans="1:22" ht="15.75" customHeight="1" x14ac:dyDescent="0.2">
      <c r="A34" s="17"/>
      <c r="B34" s="17" t="s">
        <v>687</v>
      </c>
      <c r="C34" s="21">
        <f t="shared" ref="C34:Q34" si="6">SUM(C3:C33)</f>
        <v>6</v>
      </c>
      <c r="D34" s="21">
        <f t="shared" si="6"/>
        <v>8</v>
      </c>
      <c r="E34" s="21">
        <f t="shared" si="6"/>
        <v>10</v>
      </c>
      <c r="F34" s="21">
        <f t="shared" si="6"/>
        <v>10</v>
      </c>
      <c r="G34" s="21">
        <f t="shared" si="6"/>
        <v>10</v>
      </c>
      <c r="H34" s="21">
        <f t="shared" si="6"/>
        <v>10</v>
      </c>
      <c r="I34" s="21">
        <f t="shared" si="6"/>
        <v>10</v>
      </c>
      <c r="J34" s="21">
        <f t="shared" si="6"/>
        <v>11</v>
      </c>
      <c r="K34" s="21">
        <f t="shared" si="6"/>
        <v>10</v>
      </c>
      <c r="L34" s="21">
        <f t="shared" si="6"/>
        <v>10</v>
      </c>
      <c r="M34" s="21">
        <f t="shared" si="6"/>
        <v>10</v>
      </c>
      <c r="N34" s="21">
        <f t="shared" si="6"/>
        <v>10</v>
      </c>
      <c r="O34" s="21">
        <f t="shared" si="6"/>
        <v>12</v>
      </c>
      <c r="P34" s="21">
        <f t="shared" si="6"/>
        <v>127</v>
      </c>
      <c r="Q34" s="21">
        <f t="shared" si="6"/>
        <v>256</v>
      </c>
      <c r="R34" s="17"/>
      <c r="S34" s="21">
        <f>SUM(S3:S33)</f>
        <v>128</v>
      </c>
      <c r="T34" s="17"/>
      <c r="U34" s="17"/>
      <c r="V34" s="17"/>
    </row>
    <row r="35" spans="1:22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15.75" customHeight="1" x14ac:dyDescent="0.2">
      <c r="A37" s="17"/>
      <c r="B37" s="17" t="s">
        <v>694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1" ht="15.75" customHeight="1" x14ac:dyDescent="0.2"/>
  </sheetData>
  <autoFilter ref="B3:S33" xr:uid="{00000000-0009-0000-0000-000002000000}">
    <sortState xmlns:xlrd2="http://schemas.microsoft.com/office/spreadsheetml/2017/richdata2" ref="B4:S33">
      <sortCondition descending="1" ref="C4:C33"/>
    </sortState>
  </autoFilter>
  <conditionalFormatting sqref="C3:O33"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16" width="7" customWidth="1"/>
  </cols>
  <sheetData>
    <row r="1" spans="2:16" ht="15.75" customHeight="1" x14ac:dyDescent="0.2">
      <c r="B1" s="23" t="s">
        <v>695</v>
      </c>
    </row>
    <row r="2" spans="2:16" ht="15" customHeight="1" x14ac:dyDescent="0.2">
      <c r="B2" s="24" t="s">
        <v>696</v>
      </c>
    </row>
    <row r="3" spans="2:16" ht="15" customHeight="1" x14ac:dyDescent="0.2">
      <c r="B3" s="25" t="s">
        <v>674</v>
      </c>
      <c r="C3" s="25" t="s">
        <v>697</v>
      </c>
      <c r="D3" s="25" t="s">
        <v>698</v>
      </c>
      <c r="E3" s="25" t="s">
        <v>699</v>
      </c>
      <c r="F3" s="25" t="s">
        <v>700</v>
      </c>
      <c r="G3" s="25" t="s">
        <v>701</v>
      </c>
      <c r="H3" s="25" t="s">
        <v>702</v>
      </c>
      <c r="I3" s="25" t="s">
        <v>703</v>
      </c>
      <c r="J3" s="25" t="s">
        <v>704</v>
      </c>
      <c r="K3" s="25" t="s">
        <v>705</v>
      </c>
      <c r="L3" s="25" t="s">
        <v>706</v>
      </c>
      <c r="M3" s="25" t="s">
        <v>707</v>
      </c>
      <c r="N3" s="25" t="s">
        <v>708</v>
      </c>
      <c r="O3" s="25" t="s">
        <v>1309</v>
      </c>
      <c r="P3" s="25" t="s">
        <v>709</v>
      </c>
    </row>
    <row r="4" spans="2:16" ht="15" customHeight="1" x14ac:dyDescent="0.2">
      <c r="B4" s="26" t="s">
        <v>693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2:16" ht="15" customHeight="1" x14ac:dyDescent="0.2">
      <c r="B5" s="26" t="s">
        <v>179</v>
      </c>
      <c r="C5" s="27"/>
      <c r="D5" s="28">
        <v>32.4</v>
      </c>
      <c r="E5" s="28">
        <v>24.8</v>
      </c>
      <c r="F5" s="28">
        <v>22</v>
      </c>
      <c r="G5" s="28">
        <v>18.899999999999999</v>
      </c>
      <c r="H5" s="28">
        <v>20.2</v>
      </c>
      <c r="I5" s="28">
        <v>17.8</v>
      </c>
      <c r="J5" s="28">
        <v>15.5</v>
      </c>
      <c r="K5" s="28">
        <v>15.2</v>
      </c>
      <c r="L5" s="28">
        <v>16</v>
      </c>
      <c r="M5" s="28">
        <v>16.5</v>
      </c>
      <c r="N5" s="27" t="s">
        <v>692</v>
      </c>
      <c r="O5" s="28">
        <v>16.3</v>
      </c>
      <c r="P5" s="28">
        <f>IFERROR(AVERAGE(C5:O5),"")</f>
        <v>19.599999999999998</v>
      </c>
    </row>
    <row r="6" spans="2:16" ht="15" customHeight="1" x14ac:dyDescent="0.2">
      <c r="B6" s="26" t="s">
        <v>1308</v>
      </c>
      <c r="C6" s="28">
        <v>15</v>
      </c>
      <c r="D6" s="28">
        <v>12.4</v>
      </c>
      <c r="E6" s="28">
        <v>9.1</v>
      </c>
      <c r="F6" s="28">
        <v>10.1</v>
      </c>
      <c r="G6" s="28">
        <v>11.1</v>
      </c>
      <c r="H6" s="28">
        <v>10.5</v>
      </c>
      <c r="I6" s="28">
        <v>10.5</v>
      </c>
      <c r="J6" s="28">
        <v>10.8</v>
      </c>
      <c r="K6" s="28">
        <v>8.3000000000000007</v>
      </c>
      <c r="L6" s="28">
        <v>10.1</v>
      </c>
      <c r="M6" s="28">
        <v>9.5</v>
      </c>
      <c r="N6" s="28">
        <v>9.4</v>
      </c>
      <c r="O6" s="28">
        <v>9.3</v>
      </c>
      <c r="P6" s="28">
        <f>IFERROR(AVERAGE(C6:O6),"")</f>
        <v>10.46923076923077</v>
      </c>
    </row>
    <row r="7" spans="2:16" ht="15" customHeight="1" x14ac:dyDescent="0.2">
      <c r="B7" s="26" t="s">
        <v>178</v>
      </c>
      <c r="C7" s="27"/>
      <c r="D7" s="28">
        <v>18.8</v>
      </c>
      <c r="E7" s="28">
        <v>16.7</v>
      </c>
      <c r="F7" s="28">
        <v>16.2</v>
      </c>
      <c r="G7" s="28">
        <v>15.5</v>
      </c>
      <c r="H7" s="28">
        <v>15.4</v>
      </c>
      <c r="I7" s="28">
        <v>16.399999999999999</v>
      </c>
      <c r="J7" s="28">
        <v>17.100000000000001</v>
      </c>
      <c r="K7" s="28">
        <v>18.3</v>
      </c>
      <c r="L7" s="28">
        <v>17.600000000000001</v>
      </c>
      <c r="M7" s="28">
        <v>17.600000000000001</v>
      </c>
      <c r="N7" s="27" t="s">
        <v>692</v>
      </c>
      <c r="O7" s="27" t="s">
        <v>692</v>
      </c>
      <c r="P7" s="28">
        <f>IFERROR(AVERAGE(C7:O7),"")</f>
        <v>16.96</v>
      </c>
    </row>
    <row r="8" spans="2:16" ht="15" customHeight="1" x14ac:dyDescent="0.2">
      <c r="B8" s="26" t="s">
        <v>321</v>
      </c>
      <c r="C8" s="27"/>
      <c r="D8" s="27" t="s">
        <v>692</v>
      </c>
      <c r="E8" s="27" t="s">
        <v>692</v>
      </c>
      <c r="F8" s="27" t="s">
        <v>692</v>
      </c>
      <c r="G8" s="28">
        <v>14.2</v>
      </c>
      <c r="H8" s="27" t="s">
        <v>692</v>
      </c>
      <c r="I8" s="27" t="s">
        <v>692</v>
      </c>
      <c r="J8" s="28">
        <v>11.7</v>
      </c>
      <c r="K8" s="28">
        <v>10.7</v>
      </c>
      <c r="L8" s="28">
        <v>11.7</v>
      </c>
      <c r="M8" s="28">
        <v>9.5</v>
      </c>
      <c r="N8" s="28">
        <v>11.8</v>
      </c>
      <c r="O8" s="28">
        <v>14</v>
      </c>
      <c r="P8" s="28">
        <f>IFERROR(AVERAGE(C8:O8),"")</f>
        <v>11.942857142857141</v>
      </c>
    </row>
    <row r="9" spans="2:16" ht="15" customHeight="1" x14ac:dyDescent="0.2">
      <c r="B9" s="26" t="s">
        <v>452</v>
      </c>
      <c r="C9" s="27"/>
      <c r="D9" s="27" t="s">
        <v>692</v>
      </c>
      <c r="E9" s="27" t="s">
        <v>692</v>
      </c>
      <c r="F9" s="27" t="s">
        <v>692</v>
      </c>
      <c r="G9" s="27" t="s">
        <v>692</v>
      </c>
      <c r="H9" s="27" t="s">
        <v>692</v>
      </c>
      <c r="I9" s="27" t="s">
        <v>692</v>
      </c>
      <c r="J9" s="28">
        <v>17.2</v>
      </c>
      <c r="K9" s="28">
        <v>18.5</v>
      </c>
      <c r="L9" s="28">
        <v>18.399999999999999</v>
      </c>
      <c r="M9" s="28">
        <v>17.2</v>
      </c>
      <c r="N9" s="28">
        <v>17.8</v>
      </c>
      <c r="O9" s="28">
        <v>17.1</v>
      </c>
      <c r="P9" s="28">
        <f>IFERROR(AVERAGE(C9:O9),"")</f>
        <v>17.7</v>
      </c>
    </row>
    <row r="10" spans="2:16" ht="15" customHeight="1" x14ac:dyDescent="0.2">
      <c r="B10" s="82" t="s">
        <v>1285</v>
      </c>
      <c r="C10" s="27"/>
      <c r="D10" s="27" t="s">
        <v>692</v>
      </c>
      <c r="E10" s="27" t="s">
        <v>692</v>
      </c>
      <c r="F10" s="27" t="s">
        <v>692</v>
      </c>
      <c r="G10" s="27" t="s">
        <v>692</v>
      </c>
      <c r="H10" s="27" t="s">
        <v>692</v>
      </c>
      <c r="I10" s="27" t="s">
        <v>692</v>
      </c>
      <c r="J10" s="28">
        <v>12.8</v>
      </c>
      <c r="K10" s="28">
        <v>12.5</v>
      </c>
      <c r="L10" s="27" t="s">
        <v>692</v>
      </c>
      <c r="M10" s="27" t="s">
        <v>692</v>
      </c>
      <c r="N10" s="28">
        <v>12.4</v>
      </c>
      <c r="O10" s="28">
        <v>11.3</v>
      </c>
      <c r="P10" s="28">
        <f>IFERROR(AVERAGE(C10:O10),"")</f>
      </c>
    </row>
    <row r="11" spans="2:16" ht="15" customHeight="1" x14ac:dyDescent="0.2">
      <c r="B11" s="26" t="s">
        <v>127</v>
      </c>
      <c r="C11" s="28">
        <v>28</v>
      </c>
      <c r="D11" s="28">
        <v>22.3</v>
      </c>
      <c r="E11" s="28">
        <v>19.899999999999999</v>
      </c>
      <c r="F11" s="28">
        <v>17.3</v>
      </c>
      <c r="G11" s="28">
        <v>15.2</v>
      </c>
      <c r="H11" s="28">
        <v>14.6</v>
      </c>
      <c r="I11" s="28">
        <v>14.8</v>
      </c>
      <c r="J11" s="28">
        <v>12.4</v>
      </c>
      <c r="K11" s="28">
        <v>13.5</v>
      </c>
      <c r="L11" s="28">
        <v>12.7</v>
      </c>
      <c r="M11" s="28">
        <v>10</v>
      </c>
      <c r="N11" s="28">
        <v>10.1</v>
      </c>
      <c r="O11" s="28">
        <v>9.8</v>
      </c>
      <c r="P11" s="28">
        <f>IFERROR(AVERAGE(C11:O11),"")</f>
        <v>15.430769230769231</v>
      </c>
    </row>
    <row r="12" spans="2:16" ht="15" customHeight="1" x14ac:dyDescent="0.2">
      <c r="B12" s="26" t="s">
        <v>132</v>
      </c>
      <c r="C12" s="28">
        <v>15</v>
      </c>
      <c r="D12" s="28">
        <v>16.8</v>
      </c>
      <c r="E12" s="28">
        <v>13.4</v>
      </c>
      <c r="F12" s="28">
        <v>7.8</v>
      </c>
      <c r="G12" s="28">
        <v>4.5999999999999996</v>
      </c>
      <c r="H12" s="28">
        <v>3.9</v>
      </c>
      <c r="I12" s="28">
        <v>4</v>
      </c>
      <c r="J12" s="28">
        <v>3.3</v>
      </c>
      <c r="K12" s="28">
        <v>6.3</v>
      </c>
      <c r="L12" s="28">
        <v>6.7</v>
      </c>
      <c r="M12" s="28">
        <v>6.8</v>
      </c>
      <c r="N12" s="28">
        <v>6.7</v>
      </c>
      <c r="O12" s="28">
        <v>10.7</v>
      </c>
      <c r="P12" s="28">
        <f>IFERROR(AVERAGE(C12:O12),"")</f>
        <v>8.153846153846153</v>
      </c>
    </row>
    <row r="13" spans="2:16" ht="15" customHeight="1" x14ac:dyDescent="0.2">
      <c r="B13" s="26" t="s">
        <v>172</v>
      </c>
      <c r="C13" s="27"/>
      <c r="D13" s="28">
        <v>31.4</v>
      </c>
      <c r="E13" s="28">
        <v>25</v>
      </c>
      <c r="F13" s="28">
        <v>27.2</v>
      </c>
      <c r="G13" s="28">
        <v>26.2</v>
      </c>
      <c r="H13" s="28">
        <v>25.2</v>
      </c>
      <c r="I13" s="28">
        <v>23.5</v>
      </c>
      <c r="J13" s="28">
        <v>18.899999999999999</v>
      </c>
      <c r="K13" s="28">
        <v>19.2</v>
      </c>
      <c r="L13" s="28">
        <v>19.899999999999999</v>
      </c>
      <c r="M13" s="28">
        <v>18</v>
      </c>
      <c r="N13" s="28">
        <v>17.399999999999999</v>
      </c>
      <c r="O13" s="28">
        <v>16.6</v>
      </c>
      <c r="P13" s="28">
        <f>IFERROR(AVERAGE(C13:O13),"")</f>
        <v>22.375</v>
      </c>
    </row>
    <row r="14" spans="2:16" ht="15" customHeight="1" x14ac:dyDescent="0.2">
      <c r="B14" s="26" t="s">
        <v>176</v>
      </c>
      <c r="C14" s="27"/>
      <c r="D14" s="28">
        <v>30</v>
      </c>
      <c r="E14" s="28">
        <v>25</v>
      </c>
      <c r="F14" s="28">
        <v>22.4</v>
      </c>
      <c r="G14" s="28">
        <v>19.2</v>
      </c>
      <c r="H14" s="28">
        <v>15.8</v>
      </c>
      <c r="I14" s="28">
        <v>16.899999999999999</v>
      </c>
      <c r="J14" s="28">
        <v>15.1</v>
      </c>
      <c r="K14" s="28">
        <v>12</v>
      </c>
      <c r="L14" s="28">
        <v>12.7</v>
      </c>
      <c r="M14" s="28">
        <v>13.1</v>
      </c>
      <c r="N14" s="28">
        <v>10.9</v>
      </c>
      <c r="O14" s="28">
        <v>12.1</v>
      </c>
      <c r="P14" s="28">
        <f>IFERROR(AVERAGE(C14:O14),"")</f>
        <v>17.099999999999998</v>
      </c>
    </row>
    <row r="15" spans="2:16" ht="15" customHeight="1" x14ac:dyDescent="0.2">
      <c r="B15" s="26" t="s">
        <v>226</v>
      </c>
      <c r="C15" s="27"/>
      <c r="D15" s="27" t="s">
        <v>692</v>
      </c>
      <c r="E15" s="28">
        <v>11</v>
      </c>
      <c r="F15" s="28">
        <v>9.4</v>
      </c>
      <c r="G15" s="28">
        <v>6.8</v>
      </c>
      <c r="H15" s="28">
        <v>7.5</v>
      </c>
      <c r="I15" s="28">
        <v>7.3</v>
      </c>
      <c r="J15" s="27" t="s">
        <v>692</v>
      </c>
      <c r="K15" s="27" t="s">
        <v>692</v>
      </c>
      <c r="L15" s="28">
        <v>9</v>
      </c>
      <c r="M15" s="28">
        <v>8</v>
      </c>
      <c r="N15" s="27" t="s">
        <v>692</v>
      </c>
      <c r="O15" s="28">
        <v>8.8</v>
      </c>
      <c r="P15" s="28">
        <f>IFERROR(AVERAGE(C15:O15),"")</f>
        <v>8.475</v>
      </c>
    </row>
    <row r="16" spans="2:16" ht="15" customHeight="1" x14ac:dyDescent="0.2">
      <c r="B16" s="26" t="s">
        <v>119</v>
      </c>
      <c r="C16" s="28">
        <v>15</v>
      </c>
      <c r="D16" s="28">
        <v>14.1</v>
      </c>
      <c r="E16" s="28">
        <v>14.7</v>
      </c>
      <c r="F16" s="28">
        <v>13.1</v>
      </c>
      <c r="G16" s="28">
        <v>11.8</v>
      </c>
      <c r="H16" s="28">
        <v>12.5</v>
      </c>
      <c r="I16" s="28">
        <v>11.9</v>
      </c>
      <c r="J16" s="28">
        <v>12</v>
      </c>
      <c r="K16" s="28">
        <v>11.7</v>
      </c>
      <c r="L16" s="28">
        <v>11.7</v>
      </c>
      <c r="M16" s="28">
        <v>10.9</v>
      </c>
      <c r="N16" s="28">
        <v>11.6</v>
      </c>
      <c r="O16" s="28">
        <v>10.4</v>
      </c>
      <c r="P16" s="28">
        <f>IFERROR(AVERAGE(C16:O16),"")</f>
        <v>12.415384615384616</v>
      </c>
    </row>
    <row r="17" spans="2:16" ht="15" customHeight="1" x14ac:dyDescent="0.2">
      <c r="B17" s="26" t="s">
        <v>120</v>
      </c>
      <c r="C17" s="28">
        <v>20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>
        <f>IFERROR(AVERAGE(C17:O17),"")</f>
        <v>20.0</v>
      </c>
    </row>
    <row r="18" spans="2:16" ht="15" customHeight="1" x14ac:dyDescent="0.2">
      <c r="B18" s="26" t="s">
        <v>122</v>
      </c>
      <c r="C18" s="28">
        <v>18</v>
      </c>
      <c r="D18" s="28">
        <v>18.399999999999999</v>
      </c>
      <c r="E18" s="28">
        <v>17.899999999999999</v>
      </c>
      <c r="F18" s="27" t="s">
        <v>692</v>
      </c>
      <c r="G18" s="28">
        <v>18.5</v>
      </c>
      <c r="H18" s="28">
        <v>18.399999999999999</v>
      </c>
      <c r="I18" s="28">
        <v>19.600000000000001</v>
      </c>
      <c r="J18" s="28">
        <v>19.600000000000001</v>
      </c>
      <c r="K18" s="28">
        <v>19.100000000000001</v>
      </c>
      <c r="L18" s="28">
        <v>17.100000000000001</v>
      </c>
      <c r="M18" s="28">
        <v>16.399999999999999</v>
      </c>
      <c r="N18" s="28">
        <v>16</v>
      </c>
      <c r="O18" s="28">
        <v>16.5</v>
      </c>
      <c r="P18" s="28">
        <f>IFERROR(AVERAGE(C18:O18),"")</f>
        <v>17.958333333333332</v>
      </c>
    </row>
    <row r="19" spans="2:16" ht="15" customHeight="1" x14ac:dyDescent="0.2">
      <c r="B19" s="26" t="s">
        <v>118</v>
      </c>
      <c r="C19" s="28">
        <v>15</v>
      </c>
      <c r="D19" s="28">
        <v>12.8</v>
      </c>
      <c r="E19" s="28">
        <v>12.3</v>
      </c>
      <c r="F19" s="28">
        <v>12.5</v>
      </c>
      <c r="G19" s="28">
        <v>12.7</v>
      </c>
      <c r="H19" s="28">
        <v>12.5</v>
      </c>
      <c r="I19" s="28">
        <v>11.3</v>
      </c>
      <c r="J19" s="28">
        <v>9.1</v>
      </c>
      <c r="K19" s="28">
        <v>8.8000000000000007</v>
      </c>
      <c r="L19" s="28">
        <v>8.6999999999999993</v>
      </c>
      <c r="M19" s="28">
        <v>9.4</v>
      </c>
      <c r="N19" s="28">
        <v>7.4</v>
      </c>
      <c r="O19" s="28">
        <v>8.4</v>
      </c>
      <c r="P19" s="28">
        <f>IFERROR(AVERAGE(C19:O19),"")</f>
        <v>10.838461538461539</v>
      </c>
    </row>
    <row r="20" spans="2:16" ht="15" customHeight="1" x14ac:dyDescent="0.2">
      <c r="B20" s="26" t="s">
        <v>123</v>
      </c>
      <c r="C20" s="28">
        <v>20</v>
      </c>
      <c r="D20" s="28">
        <v>18.8</v>
      </c>
      <c r="E20" s="28">
        <v>16</v>
      </c>
      <c r="F20" s="28">
        <v>13.9</v>
      </c>
      <c r="G20" s="28">
        <v>11.8</v>
      </c>
      <c r="H20" s="28">
        <v>14.4</v>
      </c>
      <c r="I20" s="28">
        <v>13.4</v>
      </c>
      <c r="J20" s="28">
        <v>8.9</v>
      </c>
      <c r="K20" s="28">
        <v>9.3000000000000007</v>
      </c>
      <c r="L20" s="28">
        <v>8.6999999999999993</v>
      </c>
      <c r="M20" s="28">
        <v>7.9</v>
      </c>
      <c r="N20" s="28">
        <v>8.9</v>
      </c>
      <c r="O20" s="28">
        <v>8.5</v>
      </c>
      <c r="P20" s="28">
        <f>IFERROR(AVERAGE(C20:O20),"")</f>
        <v>12.346153846153848</v>
      </c>
    </row>
    <row r="21" spans="2:16" ht="15" customHeight="1" x14ac:dyDescent="0.2">
      <c r="B21" s="26" t="s">
        <v>129</v>
      </c>
      <c r="C21" s="28">
        <v>15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>
        <f>IFERROR(AVERAGE(C21:O21),"")</f>
        <v>15.0</v>
      </c>
    </row>
    <row r="22" spans="2:16" ht="15" customHeight="1" x14ac:dyDescent="0.2">
      <c r="B22" s="26" t="s">
        <v>133</v>
      </c>
      <c r="C22" s="28">
        <v>15</v>
      </c>
      <c r="D22" s="28">
        <v>15.7</v>
      </c>
      <c r="E22" s="28">
        <v>16.399999999999999</v>
      </c>
      <c r="F22" s="28">
        <v>15.9</v>
      </c>
      <c r="G22" s="28">
        <v>14.3</v>
      </c>
      <c r="H22" s="28">
        <v>14</v>
      </c>
      <c r="I22" s="28">
        <v>15.4</v>
      </c>
      <c r="J22" s="28">
        <v>14.5</v>
      </c>
      <c r="K22" s="27" t="s">
        <v>692</v>
      </c>
      <c r="L22" s="28">
        <v>15.9</v>
      </c>
      <c r="M22" s="28">
        <v>16.2</v>
      </c>
      <c r="N22" s="28">
        <v>14.7</v>
      </c>
      <c r="O22" s="28">
        <v>15.2</v>
      </c>
      <c r="P22" s="28">
        <f>IFERROR(AVERAGE(C22:O22),"")</f>
        <v>15.266666666666664</v>
      </c>
    </row>
    <row r="23" spans="2:16" ht="15" customHeight="1" x14ac:dyDescent="0.2">
      <c r="B23" s="26" t="s">
        <v>231</v>
      </c>
      <c r="C23" s="27"/>
      <c r="D23" s="27" t="s">
        <v>692</v>
      </c>
      <c r="E23" s="28">
        <v>9.5</v>
      </c>
      <c r="F23" s="28">
        <v>8.6999999999999993</v>
      </c>
      <c r="G23" s="28">
        <v>7.5</v>
      </c>
      <c r="H23" s="28">
        <v>8.6</v>
      </c>
      <c r="I23" s="28">
        <v>8.3000000000000007</v>
      </c>
      <c r="J23" s="28">
        <v>4.2</v>
      </c>
      <c r="K23" s="28">
        <v>5.3</v>
      </c>
      <c r="L23" s="28">
        <v>5.7</v>
      </c>
      <c r="M23" s="27" t="s">
        <v>692</v>
      </c>
      <c r="N23" s="27" t="s">
        <v>692</v>
      </c>
      <c r="O23" s="28">
        <v>4.1</v>
      </c>
      <c r="P23" s="28">
        <f>IFERROR(AVERAGE(C23:O23),"")</f>
        <v>6.877777777777777</v>
      </c>
    </row>
    <row r="24" spans="2:16" ht="15" customHeight="1" x14ac:dyDescent="0.2">
      <c r="B24" s="26" t="s">
        <v>230</v>
      </c>
      <c r="C24" s="27"/>
      <c r="D24" s="27" t="s">
        <v>692</v>
      </c>
      <c r="E24" s="28">
        <v>18.7</v>
      </c>
      <c r="F24" s="28">
        <v>18.2</v>
      </c>
      <c r="G24" s="28">
        <v>18.600000000000001</v>
      </c>
      <c r="H24" s="28">
        <v>18.899999999999999</v>
      </c>
      <c r="I24" s="28">
        <v>15</v>
      </c>
      <c r="J24" s="27" t="s">
        <v>692</v>
      </c>
      <c r="K24" s="27" t="s">
        <v>692</v>
      </c>
      <c r="L24" s="27" t="s">
        <v>692</v>
      </c>
      <c r="M24" s="28">
        <v>18</v>
      </c>
      <c r="N24" s="27" t="s">
        <v>692</v>
      </c>
      <c r="O24" s="28">
        <v>16.85</v>
      </c>
      <c r="P24" s="28">
        <f>IFERROR(AVERAGE(C24:O24),"")</f>
        <v>17.75</v>
      </c>
    </row>
    <row r="25" spans="2:16" ht="15" customHeight="1" x14ac:dyDescent="0.2">
      <c r="B25" s="26" t="s">
        <v>456</v>
      </c>
      <c r="C25" s="27"/>
      <c r="D25" s="27" t="s">
        <v>692</v>
      </c>
      <c r="E25" s="27" t="s">
        <v>692</v>
      </c>
      <c r="F25" s="27" t="s">
        <v>692</v>
      </c>
      <c r="G25" s="27" t="s">
        <v>692</v>
      </c>
      <c r="H25" s="27" t="s">
        <v>692</v>
      </c>
      <c r="I25" s="27" t="s">
        <v>692</v>
      </c>
      <c r="J25" s="28">
        <v>5.7</v>
      </c>
      <c r="K25" s="28">
        <v>8.8000000000000007</v>
      </c>
      <c r="L25" s="28">
        <v>6.8</v>
      </c>
      <c r="M25" s="27" t="s">
        <v>692</v>
      </c>
      <c r="N25" s="28">
        <v>10.5</v>
      </c>
      <c r="O25" s="28">
        <v>7.9</v>
      </c>
      <c r="P25" s="28">
        <f>IFERROR(AVERAGE(C25:O25),"")</f>
        <v>7.94</v>
      </c>
    </row>
    <row r="26" spans="2:16" ht="15" customHeight="1" x14ac:dyDescent="0.2">
      <c r="B26" s="26" t="s">
        <v>457</v>
      </c>
      <c r="C26" s="27"/>
      <c r="D26" s="27" t="s">
        <v>692</v>
      </c>
      <c r="E26" s="27" t="s">
        <v>692</v>
      </c>
      <c r="F26" s="27" t="s">
        <v>692</v>
      </c>
      <c r="G26" s="27" t="s">
        <v>692</v>
      </c>
      <c r="H26" s="27" t="s">
        <v>692</v>
      </c>
      <c r="I26" s="27" t="s">
        <v>692</v>
      </c>
      <c r="J26" s="28">
        <v>10.1</v>
      </c>
      <c r="K26" s="27" t="s">
        <v>692</v>
      </c>
      <c r="L26" s="27" t="s">
        <v>692</v>
      </c>
      <c r="M26" s="27" t="s">
        <v>692</v>
      </c>
      <c r="N26" s="28">
        <v>9</v>
      </c>
      <c r="O26" s="28">
        <v>9.9</v>
      </c>
      <c r="P26" s="28">
        <f>IFERROR(AVERAGE(C26:O26),"")</f>
        <v>9.666666666666666</v>
      </c>
    </row>
    <row r="27" spans="2:16" ht="15" customHeight="1" x14ac:dyDescent="0.2">
      <c r="B27" s="26" t="s">
        <v>130</v>
      </c>
      <c r="C27" s="28">
        <v>10</v>
      </c>
      <c r="D27" s="27" t="s">
        <v>692</v>
      </c>
      <c r="E27" s="27" t="s">
        <v>692</v>
      </c>
      <c r="F27" s="27" t="s">
        <v>692</v>
      </c>
      <c r="G27" s="28">
        <v>9.5</v>
      </c>
      <c r="H27" s="28">
        <v>7.5</v>
      </c>
      <c r="I27" s="28">
        <v>7.7</v>
      </c>
      <c r="J27" s="27" t="s">
        <v>692</v>
      </c>
      <c r="K27" s="28">
        <v>4.5</v>
      </c>
      <c r="L27" s="27" t="s">
        <v>692</v>
      </c>
      <c r="M27" s="28">
        <v>5.7</v>
      </c>
      <c r="N27" s="28">
        <v>4.3</v>
      </c>
      <c r="O27" s="28">
        <v>5.2</v>
      </c>
      <c r="P27" s="28">
        <f>IFERROR(AVERAGE(C27:O27),"")</f>
        <v>6.800000000000001</v>
      </c>
    </row>
    <row r="28" spans="2:16" ht="15" customHeight="1" x14ac:dyDescent="0.2">
      <c r="B28" s="26" t="s">
        <v>541</v>
      </c>
      <c r="C28" s="27"/>
      <c r="D28" s="27" t="s">
        <v>692</v>
      </c>
      <c r="E28" s="27" t="s">
        <v>692</v>
      </c>
      <c r="F28" s="27" t="s">
        <v>692</v>
      </c>
      <c r="G28" s="27" t="s">
        <v>692</v>
      </c>
      <c r="H28" s="27" t="s">
        <v>692</v>
      </c>
      <c r="I28" s="27" t="s">
        <v>692</v>
      </c>
      <c r="J28" s="27" t="s">
        <v>692</v>
      </c>
      <c r="K28" s="27" t="s">
        <v>692</v>
      </c>
      <c r="L28" s="28">
        <v>14.6</v>
      </c>
      <c r="M28" s="27" t="s">
        <v>692</v>
      </c>
      <c r="N28" s="28">
        <v>12.1</v>
      </c>
      <c r="O28" s="28">
        <v>10.8</v>
      </c>
      <c r="P28" s="28">
        <f>IFERROR(AVERAGE(C28:O28),"")</f>
        <v>12.5</v>
      </c>
    </row>
    <row r="29" spans="2:16" ht="15" customHeight="1" x14ac:dyDescent="0.2">
      <c r="B29" s="26" t="s">
        <v>460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6" ht="15" customHeight="1" x14ac:dyDescent="0.2">
      <c r="B30" s="26" t="s">
        <v>135</v>
      </c>
      <c r="C30" s="28">
        <v>30</v>
      </c>
      <c r="D30" s="28">
        <v>21.8</v>
      </c>
      <c r="E30" s="28">
        <v>17.7</v>
      </c>
      <c r="F30" s="28">
        <v>17.3</v>
      </c>
      <c r="G30" s="28">
        <v>16.5</v>
      </c>
      <c r="H30" s="28">
        <v>16.2</v>
      </c>
      <c r="I30" s="28">
        <v>14.6</v>
      </c>
      <c r="J30" s="28">
        <v>14.6</v>
      </c>
      <c r="K30" s="28">
        <v>14.4</v>
      </c>
      <c r="L30" s="27" t="s">
        <v>692</v>
      </c>
      <c r="M30" s="28">
        <v>12.9</v>
      </c>
      <c r="N30" s="28">
        <v>12.9</v>
      </c>
      <c r="O30" s="28">
        <v>13</v>
      </c>
      <c r="P30" s="28">
        <f>IFERROR(AVERAGE(C30:O30),"")</f>
        <v>16.825</v>
      </c>
    </row>
    <row r="31" spans="2:16" ht="15" customHeight="1" x14ac:dyDescent="0.2">
      <c r="B31" s="26" t="s">
        <v>632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6" ht="15" customHeight="1" x14ac:dyDescent="0.2">
      <c r="B32" s="26" t="s">
        <v>175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6" ht="15" customHeight="1" x14ac:dyDescent="0.2">
      <c r="B33" s="26" t="s">
        <v>272</v>
      </c>
      <c r="C33" s="27"/>
      <c r="D33" s="27" t="s">
        <v>692</v>
      </c>
      <c r="E33" s="27" t="s">
        <v>692</v>
      </c>
      <c r="F33" s="28">
        <v>12.7</v>
      </c>
      <c r="G33" s="28">
        <v>13.6</v>
      </c>
      <c r="H33" s="28">
        <v>15</v>
      </c>
      <c r="I33" s="28">
        <v>13.6</v>
      </c>
      <c r="J33" s="28">
        <v>9</v>
      </c>
      <c r="K33" s="28">
        <v>9.3000000000000007</v>
      </c>
      <c r="L33" s="28">
        <v>10</v>
      </c>
      <c r="M33" s="28">
        <v>9.5</v>
      </c>
      <c r="N33" s="27" t="s">
        <v>692</v>
      </c>
      <c r="O33" s="28">
        <v>13.5</v>
      </c>
      <c r="P33" s="28">
        <f>IFERROR(AVERAGE(C33:O33),"")</f>
        <v>11.8</v>
      </c>
    </row>
    <row r="34" spans="2:16" ht="15" customHeight="1" x14ac:dyDescent="0.2">
      <c r="B34" s="26" t="s">
        <v>227</v>
      </c>
      <c r="C34" s="27"/>
      <c r="D34" s="27" t="s">
        <v>692</v>
      </c>
      <c r="E34" s="28">
        <v>14.3</v>
      </c>
      <c r="F34" s="28">
        <v>13</v>
      </c>
      <c r="G34" s="28">
        <v>11.9</v>
      </c>
      <c r="H34" s="28">
        <v>11.1</v>
      </c>
      <c r="I34" s="28">
        <v>9.9</v>
      </c>
      <c r="J34" s="28">
        <v>10.199999999999999</v>
      </c>
      <c r="K34" s="28">
        <v>10.4</v>
      </c>
      <c r="L34" s="28">
        <v>8.9</v>
      </c>
      <c r="M34" s="28">
        <v>10.199999999999999</v>
      </c>
      <c r="N34" s="28">
        <v>8.6</v>
      </c>
      <c r="O34" s="28">
        <v>7.5</v>
      </c>
      <c r="P34" s="28">
        <f>IFERROR(AVERAGE(C34:O34),"")</f>
        <v>10.545454545454547</v>
      </c>
    </row>
  </sheetData>
  <conditionalFormatting sqref="C4:O34">
    <cfRule type="colorScale" priority="2">
      <colorScale>
        <cfvo type="num" val="3"/>
        <cfvo type="num" val="15"/>
        <cfvo type="num" val="33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8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7" sqref="B27"/>
    </sheetView>
  </sheetViews>
  <sheetFormatPr baseColWidth="10" defaultColWidth="8.83203125" defaultRowHeight="15" x14ac:dyDescent="0.2"/>
  <cols>
    <col min="2" max="2" width="13" customWidth="1"/>
    <col min="3" max="17" width="6" customWidth="1"/>
    <col min="18" max="18" width="7" customWidth="1"/>
  </cols>
  <sheetData>
    <row r="1" spans="2:18" ht="15" customHeight="1" x14ac:dyDescent="0.25">
      <c r="B1" s="6" t="s">
        <v>710</v>
      </c>
    </row>
    <row r="2" spans="2:18" ht="15" customHeight="1" x14ac:dyDescent="0.2">
      <c r="B2" s="29" t="s">
        <v>711</v>
      </c>
    </row>
    <row r="3" spans="2:18" ht="15" customHeight="1" x14ac:dyDescent="0.2"/>
    <row r="4" spans="2:18" ht="15" customHeight="1" x14ac:dyDescent="0.2">
      <c r="B4" s="30" t="s">
        <v>674</v>
      </c>
      <c r="C4" s="30" t="s">
        <v>675</v>
      </c>
      <c r="D4" s="30" t="s">
        <v>676</v>
      </c>
      <c r="E4" s="30" t="s">
        <v>677</v>
      </c>
      <c r="F4" s="30" t="s">
        <v>678</v>
      </c>
      <c r="G4" s="30" t="s">
        <v>679</v>
      </c>
      <c r="H4" s="30" t="s">
        <v>680</v>
      </c>
      <c r="I4" s="30" t="s">
        <v>681</v>
      </c>
      <c r="J4" s="30" t="s">
        <v>682</v>
      </c>
      <c r="K4" s="30" t="s">
        <v>683</v>
      </c>
      <c r="L4" s="30" t="s">
        <v>684</v>
      </c>
      <c r="M4" s="30" t="s">
        <v>685</v>
      </c>
      <c r="N4" s="30" t="s">
        <v>686</v>
      </c>
      <c r="O4" s="30" t="s">
        <v>712</v>
      </c>
      <c r="P4" s="30" t="s">
        <v>713</v>
      </c>
      <c r="Q4" s="30" t="s">
        <v>714</v>
      </c>
      <c r="R4" s="30" t="s">
        <v>687</v>
      </c>
    </row>
    <row r="5" spans="2:18" ht="15" customHeight="1" x14ac:dyDescent="0.2">
      <c r="B5" s="31" t="s">
        <v>1308</v>
      </c>
      <c r="C5" s="32">
        <f>SUMIFS(Archives!$AF$2:$AF$1048576,Archives!$D$2:$D$1048576,1,Archives!$V$2:$V$1048576,$B5)+SUMIFS(Archives!$AF$2:$AF$1048576,Archives!$D$2:$D$1048576,1,Archives!$Y$2:$Y$1048576,$B5)</f>
        <v>6</v>
      </c>
      <c r="D5" s="32">
        <f>SUMIFS(Archives!$AF$2:$AF$1048576,Archives!$D$2:$D$1048576,2,Archives!$V$2:$V$1048576,$B5)+SUMIFS(Archives!$AF$2:$AF$1048576,Archives!$D$2:$D$1048576,2,Archives!$Y$2:$Y$1048576,$B5)</f>
        <v>3.5</v>
      </c>
      <c r="E5" s="32">
        <f>SUMIFS(Archives!$AF$2:$AF$1048576,Archives!$D$2:$D$1048576,3,Archives!$V$2:$V$1048576,$B5)+SUMIFS(Archives!$AF$2:$AF$1048576,Archives!$D$2:$D$1048576,3,Archives!$Y$2:$Y$1048576,$B5)</f>
        <v>4.5</v>
      </c>
      <c r="F5" s="32">
        <f>SUMIFS(Archives!$AF$2:$AF$1048576,Archives!$D$2:$D$1048576,4,Archives!$V$2:$V$1048576,$B5)+SUMIFS(Archives!$AF$2:$AF$1048576,Archives!$D$2:$D$1048576,4,Archives!$Y$2:$Y$1048576,$B5)</f>
        <v>3.5</v>
      </c>
      <c r="G5" s="32">
        <f>SUMIFS(Archives!$AF$2:$AF$1048576,Archives!$D$2:$D$1048576,5,Archives!$V$2:$V$1048576,$B5)+SUMIFS(Archives!$AF$2:$AF$1048576,Archives!$D$2:$D$1048576,5,Archives!$Y$2:$Y$1048576,$B5)</f>
        <v>4</v>
      </c>
      <c r="H5" s="32">
        <f>SUMIFS(Archives!$AF$2:$AF$1048576,Archives!$D$2:$D$1048576,6,Archives!$V$2:$V$1048576,$B5)+SUMIFS(Archives!$AF$2:$AF$1048576,Archives!$D$2:$D$1048576,6,Archives!$Y$2:$Y$1048576,$B5)</f>
        <v>2</v>
      </c>
      <c r="I5" s="32">
        <f>SUMIFS(Archives!$AF$2:$AF$1048576,Archives!$D$2:$D$1048576,7,Archives!$V$2:$V$1048576,$B5)+SUMIFS(Archives!$AF$2:$AF$1048576,Archives!$D$2:$D$1048576,7,Archives!$Y$2:$Y$1048576,$B5)</f>
        <v>2</v>
      </c>
      <c r="J5" s="32">
        <f>SUMIFS(Archives!$AF$2:$AF$1048576,Archives!$D$2:$D$1048576,8,Archives!$V$2:$V$1048576,$B5)+SUMIFS(Archives!$AF$2:$AF$1048576,Archives!$D$2:$D$1048576,8,Archives!$Y$2:$Y$1048576,$B5)</f>
        <v>4</v>
      </c>
      <c r="K5" s="32">
        <f>SUMIFS(Archives!$AF$2:$AF$1048576,Archives!$D$2:$D$1048576,9,Archives!$V$2:$V$1048576,$B5)+SUMIFS(Archives!$AF$2:$AF$1048576,Archives!$D$2:$D$1048576,9,Archives!$Y$2:$Y$1048576,$B5)</f>
        <v>3.5</v>
      </c>
      <c r="L5" s="32">
        <f>SUMIFS(Archives!$AF$2:$AF$1048576,Archives!$D$2:$D$1048576,10,Archives!$V$2:$V$1048576,$B5)+SUMIFS(Archives!$AF$2:$AF$1048576,Archives!$D$2:$D$1048576,10,Archives!$Y$2:$Y$1048576,$B5)</f>
        <v>6</v>
      </c>
      <c r="M5" s="32">
        <f>SUMIFS(Archives!$AF$2:$AF$1048576,Archives!$D$2:$D$1048576,11,Archives!$V$2:$V$1048576,$B5)+SUMIFS(Archives!$AF$2:$AF$1048576,Archives!$D$2:$D$1048576,11,Archives!$Y$2:$Y$1048576,$B5)</f>
        <v>5</v>
      </c>
      <c r="N5" s="32">
        <f>SUMIFS(Archives!$AF$2:$AF$1048576,Archives!$D$2:$D$1048576,12,Archives!$V$2:$V$1048576,$B5)+SUMIFS(Archives!$AF$2:$AF$1048576,Archives!$D$2:$D$1048576,12,Archives!$Y$2:$Y$1048576,$B5)</f>
        <v>6.5</v>
      </c>
      <c r="O5" s="32">
        <f>SUMIFS(Archives!$AF$2:$AF$1048576,Archives!$D$2:$D$1048576,13,Archives!$V$2:$V$1048576,$B5)+SUMIFS(Archives!$AF$2:$AF$1048576,Archives!$D$2:$D$1048576,13,Archives!$Y$2:$Y$1048576,$B5)</f>
        <v>0</v>
      </c>
      <c r="P5" s="32">
        <f>SUMIFS(Archives!$AF$2:$AF$1048576,Archives!$D$2:$D$1048576,14,Archives!$V$2:$V$1048576,$B5)+SUMIFS(Archives!$AF$2:$AF$1048576,Archives!$D$2:$D$1048576,14,Archives!$Y$2:$Y$1048576,$B5)</f>
        <v>0</v>
      </c>
      <c r="Q5" s="32">
        <f>SUMIFS(Archives!$AF$2:$AF$1048576,Archives!$D$2:$D$1048576,15,Archives!$V$2:$V$1048576,$B5)+SUMIFS(Archives!$AF$2:$AF$1048576,Archives!$D$2:$D$1048576,15,Archives!$Y$2:$Y$1048576,$B5)</f>
        <v>0</v>
      </c>
      <c r="R5" s="33">
        <f t="shared" ref="R5:R35" si="0">SUM(C5:Q5)</f>
        <v>50.5</v>
      </c>
    </row>
    <row r="6" spans="2:18" ht="15" customHeight="1" x14ac:dyDescent="0.2">
      <c r="B6" s="34" t="s">
        <v>127</v>
      </c>
      <c r="C6" s="35">
        <f>SUMIFS(Archives!$AF$2:$AF$1048576,Archives!$D$2:$D$1048576,1,Archives!$V$2:$V$1048576,$B6)+SUMIFS(Archives!$AF$2:$AF$1048576,Archives!$D$2:$D$1048576,1,Archives!$Y$2:$Y$1048576,$B6)</f>
        <v>5.5</v>
      </c>
      <c r="D6" s="35">
        <f>SUMIFS(Archives!$AF$2:$AF$1048576,Archives!$D$2:$D$1048576,2,Archives!$V$2:$V$1048576,$B6)+SUMIFS(Archives!$AF$2:$AF$1048576,Archives!$D$2:$D$1048576,2,Archives!$Y$2:$Y$1048576,$B6)</f>
        <v>2.5</v>
      </c>
      <c r="E6" s="35">
        <f>SUMIFS(Archives!$AF$2:$AF$1048576,Archives!$D$2:$D$1048576,3,Archives!$V$2:$V$1048576,$B6)+SUMIFS(Archives!$AF$2:$AF$1048576,Archives!$D$2:$D$1048576,3,Archives!$Y$2:$Y$1048576,$B6)</f>
        <v>5</v>
      </c>
      <c r="F6" s="35">
        <f>SUMIFS(Archives!$AF$2:$AF$1048576,Archives!$D$2:$D$1048576,4,Archives!$V$2:$V$1048576,$B6)+SUMIFS(Archives!$AF$2:$AF$1048576,Archives!$D$2:$D$1048576,4,Archives!$Y$2:$Y$1048576,$B6)</f>
        <v>2.5</v>
      </c>
      <c r="G6" s="35">
        <f>SUMIFS(Archives!$AF$2:$AF$1048576,Archives!$D$2:$D$1048576,5,Archives!$V$2:$V$1048576,$B6)+SUMIFS(Archives!$AF$2:$AF$1048576,Archives!$D$2:$D$1048576,5,Archives!$Y$2:$Y$1048576,$B6)</f>
        <v>4.5</v>
      </c>
      <c r="H6" s="35">
        <f>SUMIFS(Archives!$AF$2:$AF$1048576,Archives!$D$2:$D$1048576,6,Archives!$V$2:$V$1048576,$B6)+SUMIFS(Archives!$AF$2:$AF$1048576,Archives!$D$2:$D$1048576,6,Archives!$Y$2:$Y$1048576,$B6)</f>
        <v>3</v>
      </c>
      <c r="I6" s="35">
        <f>SUMIFS(Archives!$AF$2:$AF$1048576,Archives!$D$2:$D$1048576,7,Archives!$V$2:$V$1048576,$B6)+SUMIFS(Archives!$AF$2:$AF$1048576,Archives!$D$2:$D$1048576,7,Archives!$Y$2:$Y$1048576,$B6)</f>
        <v>4.5</v>
      </c>
      <c r="J6" s="35">
        <f>SUMIFS(Archives!$AF$2:$AF$1048576,Archives!$D$2:$D$1048576,8,Archives!$V$2:$V$1048576,$B6)+SUMIFS(Archives!$AF$2:$AF$1048576,Archives!$D$2:$D$1048576,8,Archives!$Y$2:$Y$1048576,$B6)</f>
        <v>3.5</v>
      </c>
      <c r="K6" s="35">
        <f>SUMIFS(Archives!$AF$2:$AF$1048576,Archives!$D$2:$D$1048576,9,Archives!$V$2:$V$1048576,$B6)+SUMIFS(Archives!$AF$2:$AF$1048576,Archives!$D$2:$D$1048576,9,Archives!$Y$2:$Y$1048576,$B6)</f>
        <v>2.5</v>
      </c>
      <c r="L6" s="35">
        <f>SUMIFS(Archives!$AF$2:$AF$1048576,Archives!$D$2:$D$1048576,10,Archives!$V$2:$V$1048576,$B6)+SUMIFS(Archives!$AF$2:$AF$1048576,Archives!$D$2:$D$1048576,10,Archives!$Y$2:$Y$1048576,$B6)</f>
        <v>4</v>
      </c>
      <c r="M6" s="35">
        <f>SUMIFS(Archives!$AF$2:$AF$1048576,Archives!$D$2:$D$1048576,11,Archives!$V$2:$V$1048576,$B6)+SUMIFS(Archives!$AF$2:$AF$1048576,Archives!$D$2:$D$1048576,11,Archives!$Y$2:$Y$1048576,$B6)</f>
        <v>5</v>
      </c>
      <c r="N6" s="35">
        <f>SUMIFS(Archives!$AF$2:$AF$1048576,Archives!$D$2:$D$1048576,12,Archives!$V$2:$V$1048576,$B6)+SUMIFS(Archives!$AF$2:$AF$1048576,Archives!$D$2:$D$1048576,12,Archives!$Y$2:$Y$1048576,$B6)</f>
        <v>3.5</v>
      </c>
      <c r="O6" s="35">
        <f>SUMIFS(Archives!$AF$2:$AF$1048576,Archives!$D$2:$D$1048576,13,Archives!$V$2:$V$1048576,$B6)+SUMIFS(Archives!$AF$2:$AF$1048576,Archives!$D$2:$D$1048576,13,Archives!$Y$2:$Y$1048576,$B6)</f>
        <v>0</v>
      </c>
      <c r="P6" s="35">
        <f>SUMIFS(Archives!$AF$2:$AF$1048576,Archives!$D$2:$D$1048576,14,Archives!$V$2:$V$1048576,$B6)+SUMIFS(Archives!$AF$2:$AF$1048576,Archives!$D$2:$D$1048576,14,Archives!$Y$2:$Y$1048576,$B6)</f>
        <v>0</v>
      </c>
      <c r="Q6" s="35">
        <f>SUMIFS(Archives!$AF$2:$AF$1048576,Archives!$D$2:$D$1048576,15,Archives!$V$2:$V$1048576,$B6)+SUMIFS(Archives!$AF$2:$AF$1048576,Archives!$D$2:$D$1048576,15,Archives!$Y$2:$Y$1048576,$B6)</f>
        <v>0</v>
      </c>
      <c r="R6" s="36">
        <f t="shared" si="0"/>
        <v>46</v>
      </c>
    </row>
    <row r="7" spans="2:18" ht="15" customHeight="1" x14ac:dyDescent="0.2">
      <c r="B7" s="31" t="s">
        <v>118</v>
      </c>
      <c r="C7" s="32">
        <f>SUMIFS(Archives!$AF$2:$AF$1048576,Archives!$D$2:$D$1048576,1,Archives!$V$2:$V$1048576,$B7)+SUMIFS(Archives!$AF$2:$AF$1048576,Archives!$D$2:$D$1048576,1,Archives!$Y$2:$Y$1048576,$B7)</f>
        <v>3.5</v>
      </c>
      <c r="D7" s="32">
        <f>SUMIFS(Archives!$AF$2:$AF$1048576,Archives!$D$2:$D$1048576,2,Archives!$V$2:$V$1048576,$B7)+SUMIFS(Archives!$AF$2:$AF$1048576,Archives!$D$2:$D$1048576,2,Archives!$Y$2:$Y$1048576,$B7)</f>
        <v>6</v>
      </c>
      <c r="E7" s="32">
        <f>SUMIFS(Archives!$AF$2:$AF$1048576,Archives!$D$2:$D$1048576,3,Archives!$V$2:$V$1048576,$B7)+SUMIFS(Archives!$AF$2:$AF$1048576,Archives!$D$2:$D$1048576,3,Archives!$Y$2:$Y$1048576,$B7)</f>
        <v>5</v>
      </c>
      <c r="F7" s="32">
        <f>SUMIFS(Archives!$AF$2:$AF$1048576,Archives!$D$2:$D$1048576,4,Archives!$V$2:$V$1048576,$B7)+SUMIFS(Archives!$AF$2:$AF$1048576,Archives!$D$2:$D$1048576,4,Archives!$Y$2:$Y$1048576,$B7)</f>
        <v>2.5</v>
      </c>
      <c r="G7" s="32">
        <f>SUMIFS(Archives!$AF$2:$AF$1048576,Archives!$D$2:$D$1048576,5,Archives!$V$2:$V$1048576,$B7)+SUMIFS(Archives!$AF$2:$AF$1048576,Archives!$D$2:$D$1048576,5,Archives!$Y$2:$Y$1048576,$B7)</f>
        <v>3.5</v>
      </c>
      <c r="H7" s="32">
        <f>SUMIFS(Archives!$AF$2:$AF$1048576,Archives!$D$2:$D$1048576,6,Archives!$V$2:$V$1048576,$B7)+SUMIFS(Archives!$AF$2:$AF$1048576,Archives!$D$2:$D$1048576,6,Archives!$Y$2:$Y$1048576,$B7)</f>
        <v>6.5</v>
      </c>
      <c r="I7" s="32">
        <f>SUMIFS(Archives!$AF$2:$AF$1048576,Archives!$D$2:$D$1048576,7,Archives!$V$2:$V$1048576,$B7)+SUMIFS(Archives!$AF$2:$AF$1048576,Archives!$D$2:$D$1048576,7,Archives!$Y$2:$Y$1048576,$B7)</f>
        <v>4</v>
      </c>
      <c r="J7" s="32">
        <f>SUMIFS(Archives!$AF$2:$AF$1048576,Archives!$D$2:$D$1048576,8,Archives!$V$2:$V$1048576,$B7)+SUMIFS(Archives!$AF$2:$AF$1048576,Archives!$D$2:$D$1048576,8,Archives!$Y$2:$Y$1048576,$B7)</f>
        <v>2.5</v>
      </c>
      <c r="K7" s="32">
        <f>SUMIFS(Archives!$AF$2:$AF$1048576,Archives!$D$2:$D$1048576,9,Archives!$V$2:$V$1048576,$B7)+SUMIFS(Archives!$AF$2:$AF$1048576,Archives!$D$2:$D$1048576,9,Archives!$Y$2:$Y$1048576,$B7)</f>
        <v>1</v>
      </c>
      <c r="L7" s="32">
        <f>SUMIFS(Archives!$AF$2:$AF$1048576,Archives!$D$2:$D$1048576,10,Archives!$V$2:$V$1048576,$B7)+SUMIFS(Archives!$AF$2:$AF$1048576,Archives!$D$2:$D$1048576,10,Archives!$Y$2:$Y$1048576,$B7)</f>
        <v>5.5</v>
      </c>
      <c r="M7" s="32">
        <f>SUMIFS(Archives!$AF$2:$AF$1048576,Archives!$D$2:$D$1048576,11,Archives!$V$2:$V$1048576,$B7)+SUMIFS(Archives!$AF$2:$AF$1048576,Archives!$D$2:$D$1048576,11,Archives!$Y$2:$Y$1048576,$B7)</f>
        <v>2.5</v>
      </c>
      <c r="N7" s="32">
        <f>SUMIFS(Archives!$AF$2:$AF$1048576,Archives!$D$2:$D$1048576,12,Archives!$V$2:$V$1048576,$B7)+SUMIFS(Archives!$AF$2:$AF$1048576,Archives!$D$2:$D$1048576,12,Archives!$Y$2:$Y$1048576,$B7)</f>
        <v>3.5</v>
      </c>
      <c r="O7" s="32">
        <f>SUMIFS(Archives!$AF$2:$AF$1048576,Archives!$D$2:$D$1048576,13,Archives!$V$2:$V$1048576,$B7)+SUMIFS(Archives!$AF$2:$AF$1048576,Archives!$D$2:$D$1048576,13,Archives!$Y$2:$Y$1048576,$B7)</f>
        <v>0</v>
      </c>
      <c r="P7" s="32">
        <f>SUMIFS(Archives!$AF$2:$AF$1048576,Archives!$D$2:$D$1048576,14,Archives!$V$2:$V$1048576,$B7)+SUMIFS(Archives!$AF$2:$AF$1048576,Archives!$D$2:$D$1048576,14,Archives!$Y$2:$Y$1048576,$B7)</f>
        <v>0</v>
      </c>
      <c r="Q7" s="32">
        <f>SUMIFS(Archives!$AF$2:$AF$1048576,Archives!$D$2:$D$1048576,15,Archives!$V$2:$V$1048576,$B7)+SUMIFS(Archives!$AF$2:$AF$1048576,Archives!$D$2:$D$1048576,15,Archives!$Y$2:$Y$1048576,$B7)</f>
        <v>0</v>
      </c>
      <c r="R7" s="33">
        <f t="shared" si="0"/>
        <v>46</v>
      </c>
    </row>
    <row r="8" spans="2:18" ht="15" customHeight="1" x14ac:dyDescent="0.2">
      <c r="B8" s="34" t="s">
        <v>119</v>
      </c>
      <c r="C8" s="35">
        <f>SUMIFS(Archives!$AF$2:$AF$1048576,Archives!$D$2:$D$1048576,1,Archives!$V$2:$V$1048576,$B8)+SUMIFS(Archives!$AF$2:$AF$1048576,Archives!$D$2:$D$1048576,1,Archives!$Y$2:$Y$1048576,$B8)</f>
        <v>2.5</v>
      </c>
      <c r="D8" s="35">
        <f>SUMIFS(Archives!$AF$2:$AF$1048576,Archives!$D$2:$D$1048576,2,Archives!$V$2:$V$1048576,$B8)+SUMIFS(Archives!$AF$2:$AF$1048576,Archives!$D$2:$D$1048576,2,Archives!$Y$2:$Y$1048576,$B8)</f>
        <v>5</v>
      </c>
      <c r="E8" s="35">
        <f>SUMIFS(Archives!$AF$2:$AF$1048576,Archives!$D$2:$D$1048576,3,Archives!$V$2:$V$1048576,$B8)+SUMIFS(Archives!$AF$2:$AF$1048576,Archives!$D$2:$D$1048576,3,Archives!$Y$2:$Y$1048576,$B8)</f>
        <v>1</v>
      </c>
      <c r="F8" s="35">
        <f>SUMIFS(Archives!$AF$2:$AF$1048576,Archives!$D$2:$D$1048576,4,Archives!$V$2:$V$1048576,$B8)+SUMIFS(Archives!$AF$2:$AF$1048576,Archives!$D$2:$D$1048576,4,Archives!$Y$2:$Y$1048576,$B8)</f>
        <v>5</v>
      </c>
      <c r="G8" s="35">
        <f>SUMIFS(Archives!$AF$2:$AF$1048576,Archives!$D$2:$D$1048576,5,Archives!$V$2:$V$1048576,$B8)+SUMIFS(Archives!$AF$2:$AF$1048576,Archives!$D$2:$D$1048576,5,Archives!$Y$2:$Y$1048576,$B8)</f>
        <v>2.5</v>
      </c>
      <c r="H8" s="35">
        <f>SUMIFS(Archives!$AF$2:$AF$1048576,Archives!$D$2:$D$1048576,6,Archives!$V$2:$V$1048576,$B8)+SUMIFS(Archives!$AF$2:$AF$1048576,Archives!$D$2:$D$1048576,6,Archives!$Y$2:$Y$1048576,$B8)</f>
        <v>4.5</v>
      </c>
      <c r="I8" s="35">
        <f>SUMIFS(Archives!$AF$2:$AF$1048576,Archives!$D$2:$D$1048576,7,Archives!$V$2:$V$1048576,$B8)+SUMIFS(Archives!$AF$2:$AF$1048576,Archives!$D$2:$D$1048576,7,Archives!$Y$2:$Y$1048576,$B8)</f>
        <v>6.5</v>
      </c>
      <c r="J8" s="35">
        <f>SUMIFS(Archives!$AF$2:$AF$1048576,Archives!$D$2:$D$1048576,8,Archives!$V$2:$V$1048576,$B8)+SUMIFS(Archives!$AF$2:$AF$1048576,Archives!$D$2:$D$1048576,8,Archives!$Y$2:$Y$1048576,$B8)</f>
        <v>4.5</v>
      </c>
      <c r="K8" s="35">
        <f>SUMIFS(Archives!$AF$2:$AF$1048576,Archives!$D$2:$D$1048576,9,Archives!$V$2:$V$1048576,$B8)+SUMIFS(Archives!$AF$2:$AF$1048576,Archives!$D$2:$D$1048576,9,Archives!$Y$2:$Y$1048576,$B8)</f>
        <v>2</v>
      </c>
      <c r="L8" s="35">
        <f>SUMIFS(Archives!$AF$2:$AF$1048576,Archives!$D$2:$D$1048576,10,Archives!$V$2:$V$1048576,$B8)+SUMIFS(Archives!$AF$2:$AF$1048576,Archives!$D$2:$D$1048576,10,Archives!$Y$2:$Y$1048576,$B8)</f>
        <v>5</v>
      </c>
      <c r="M8" s="35">
        <f>SUMIFS(Archives!$AF$2:$AF$1048576,Archives!$D$2:$D$1048576,11,Archives!$V$2:$V$1048576,$B8)+SUMIFS(Archives!$AF$2:$AF$1048576,Archives!$D$2:$D$1048576,11,Archives!$Y$2:$Y$1048576,$B8)</f>
        <v>0.5</v>
      </c>
      <c r="N8" s="35">
        <f>SUMIFS(Archives!$AF$2:$AF$1048576,Archives!$D$2:$D$1048576,12,Archives!$V$2:$V$1048576,$B8)+SUMIFS(Archives!$AF$2:$AF$1048576,Archives!$D$2:$D$1048576,12,Archives!$Y$2:$Y$1048576,$B8)</f>
        <v>4</v>
      </c>
      <c r="O8" s="35">
        <f>SUMIFS(Archives!$AF$2:$AF$1048576,Archives!$D$2:$D$1048576,13,Archives!$V$2:$V$1048576,$B8)+SUMIFS(Archives!$AF$2:$AF$1048576,Archives!$D$2:$D$1048576,13,Archives!$Y$2:$Y$1048576,$B8)</f>
        <v>0</v>
      </c>
      <c r="P8" s="35">
        <f>SUMIFS(Archives!$AF$2:$AF$1048576,Archives!$D$2:$D$1048576,14,Archives!$V$2:$V$1048576,$B8)+SUMIFS(Archives!$AF$2:$AF$1048576,Archives!$D$2:$D$1048576,14,Archives!$Y$2:$Y$1048576,$B8)</f>
        <v>0</v>
      </c>
      <c r="Q8" s="35">
        <f>SUMIFS(Archives!$AF$2:$AF$1048576,Archives!$D$2:$D$1048576,15,Archives!$V$2:$V$1048576,$B8)+SUMIFS(Archives!$AF$2:$AF$1048576,Archives!$D$2:$D$1048576,15,Archives!$Y$2:$Y$1048576,$B8)</f>
        <v>0</v>
      </c>
      <c r="R8" s="36">
        <f t="shared" si="0"/>
        <v>43</v>
      </c>
    </row>
    <row r="9" spans="2:18" ht="15" customHeight="1" x14ac:dyDescent="0.2">
      <c r="B9" s="31" t="s">
        <v>176</v>
      </c>
      <c r="C9" s="32">
        <f>SUMIFS(Archives!$AF$2:$AF$1048576,Archives!$D$2:$D$1048576,1,Archives!$V$2:$V$1048576,$B9)+SUMIFS(Archives!$AF$2:$AF$1048576,Archives!$D$2:$D$1048576,1,Archives!$Y$2:$Y$1048576,$B9)</f>
        <v>0</v>
      </c>
      <c r="D9" s="32">
        <f>SUMIFS(Archives!$AF$2:$AF$1048576,Archives!$D$2:$D$1048576,2,Archives!$V$2:$V$1048576,$B9)+SUMIFS(Archives!$AF$2:$AF$1048576,Archives!$D$2:$D$1048576,2,Archives!$Y$2:$Y$1048576,$B9)</f>
        <v>5.5</v>
      </c>
      <c r="E9" s="32">
        <f>SUMIFS(Archives!$AF$2:$AF$1048576,Archives!$D$2:$D$1048576,3,Archives!$V$2:$V$1048576,$B9)+SUMIFS(Archives!$AF$2:$AF$1048576,Archives!$D$2:$D$1048576,3,Archives!$Y$2:$Y$1048576,$B9)</f>
        <v>3.5</v>
      </c>
      <c r="F9" s="32">
        <f>SUMIFS(Archives!$AF$2:$AF$1048576,Archives!$D$2:$D$1048576,4,Archives!$V$2:$V$1048576,$B9)+SUMIFS(Archives!$AF$2:$AF$1048576,Archives!$D$2:$D$1048576,4,Archives!$Y$2:$Y$1048576,$B9)</f>
        <v>5.5</v>
      </c>
      <c r="G9" s="32">
        <f>SUMIFS(Archives!$AF$2:$AF$1048576,Archives!$D$2:$D$1048576,5,Archives!$V$2:$V$1048576,$B9)+SUMIFS(Archives!$AF$2:$AF$1048576,Archives!$D$2:$D$1048576,5,Archives!$Y$2:$Y$1048576,$B9)</f>
        <v>5</v>
      </c>
      <c r="H9" s="32">
        <f>SUMIFS(Archives!$AF$2:$AF$1048576,Archives!$D$2:$D$1048576,6,Archives!$V$2:$V$1048576,$B9)+SUMIFS(Archives!$AF$2:$AF$1048576,Archives!$D$2:$D$1048576,6,Archives!$Y$2:$Y$1048576,$B9)</f>
        <v>5</v>
      </c>
      <c r="I9" s="32">
        <f>SUMIFS(Archives!$AF$2:$AF$1048576,Archives!$D$2:$D$1048576,7,Archives!$V$2:$V$1048576,$B9)+SUMIFS(Archives!$AF$2:$AF$1048576,Archives!$D$2:$D$1048576,7,Archives!$Y$2:$Y$1048576,$B9)</f>
        <v>4.5</v>
      </c>
      <c r="J9" s="32">
        <f>SUMIFS(Archives!$AF$2:$AF$1048576,Archives!$D$2:$D$1048576,8,Archives!$V$2:$V$1048576,$B9)+SUMIFS(Archives!$AF$2:$AF$1048576,Archives!$D$2:$D$1048576,8,Archives!$Y$2:$Y$1048576,$B9)</f>
        <v>1</v>
      </c>
      <c r="K9" s="32">
        <f>SUMIFS(Archives!$AF$2:$AF$1048576,Archives!$D$2:$D$1048576,9,Archives!$V$2:$V$1048576,$B9)+SUMIFS(Archives!$AF$2:$AF$1048576,Archives!$D$2:$D$1048576,9,Archives!$Y$2:$Y$1048576,$B9)</f>
        <v>4.5</v>
      </c>
      <c r="L9" s="32">
        <f>SUMIFS(Archives!$AF$2:$AF$1048576,Archives!$D$2:$D$1048576,10,Archives!$V$2:$V$1048576,$B9)+SUMIFS(Archives!$AF$2:$AF$1048576,Archives!$D$2:$D$1048576,10,Archives!$Y$2:$Y$1048576,$B9)</f>
        <v>0</v>
      </c>
      <c r="M9" s="32">
        <f>SUMIFS(Archives!$AF$2:$AF$1048576,Archives!$D$2:$D$1048576,11,Archives!$V$2:$V$1048576,$B9)+SUMIFS(Archives!$AF$2:$AF$1048576,Archives!$D$2:$D$1048576,11,Archives!$Y$2:$Y$1048576,$B9)</f>
        <v>3.5</v>
      </c>
      <c r="N9" s="32">
        <f>SUMIFS(Archives!$AF$2:$AF$1048576,Archives!$D$2:$D$1048576,12,Archives!$V$2:$V$1048576,$B9)+SUMIFS(Archives!$AF$2:$AF$1048576,Archives!$D$2:$D$1048576,12,Archives!$Y$2:$Y$1048576,$B9)</f>
        <v>4</v>
      </c>
      <c r="O9" s="32">
        <f>SUMIFS(Archives!$AF$2:$AF$1048576,Archives!$D$2:$D$1048576,13,Archives!$V$2:$V$1048576,$B9)+SUMIFS(Archives!$AF$2:$AF$1048576,Archives!$D$2:$D$1048576,13,Archives!$Y$2:$Y$1048576,$B9)</f>
        <v>0</v>
      </c>
      <c r="P9" s="32">
        <f>SUMIFS(Archives!$AF$2:$AF$1048576,Archives!$D$2:$D$1048576,14,Archives!$V$2:$V$1048576,$B9)+SUMIFS(Archives!$AF$2:$AF$1048576,Archives!$D$2:$D$1048576,14,Archives!$Y$2:$Y$1048576,$B9)</f>
        <v>0</v>
      </c>
      <c r="Q9" s="32">
        <f>SUMIFS(Archives!$AF$2:$AF$1048576,Archives!$D$2:$D$1048576,15,Archives!$V$2:$V$1048576,$B9)+SUMIFS(Archives!$AF$2:$AF$1048576,Archives!$D$2:$D$1048576,15,Archives!$Y$2:$Y$1048576,$B9)</f>
        <v>0</v>
      </c>
      <c r="R9" s="33">
        <f t="shared" si="0"/>
        <v>42</v>
      </c>
    </row>
    <row r="10" spans="2:18" ht="15" customHeight="1" x14ac:dyDescent="0.2">
      <c r="B10" s="34" t="s">
        <v>123</v>
      </c>
      <c r="C10" s="35">
        <f>SUMIFS(Archives!$AF$2:$AF$1048576,Archives!$D$2:$D$1048576,1,Archives!$V$2:$V$1048576,$B10)+SUMIFS(Archives!$AF$2:$AF$1048576,Archives!$D$2:$D$1048576,1,Archives!$Y$2:$Y$1048576,$B10)</f>
        <v>1.5</v>
      </c>
      <c r="D10" s="35">
        <f>SUMIFS(Archives!$AF$2:$AF$1048576,Archives!$D$2:$D$1048576,2,Archives!$V$2:$V$1048576,$B10)+SUMIFS(Archives!$AF$2:$AF$1048576,Archives!$D$2:$D$1048576,2,Archives!$Y$2:$Y$1048576,$B10)</f>
        <v>4</v>
      </c>
      <c r="E10" s="35">
        <f>SUMIFS(Archives!$AF$2:$AF$1048576,Archives!$D$2:$D$1048576,3,Archives!$V$2:$V$1048576,$B10)+SUMIFS(Archives!$AF$2:$AF$1048576,Archives!$D$2:$D$1048576,3,Archives!$Y$2:$Y$1048576,$B10)</f>
        <v>4</v>
      </c>
      <c r="F10" s="35">
        <f>SUMIFS(Archives!$AF$2:$AF$1048576,Archives!$D$2:$D$1048576,4,Archives!$V$2:$V$1048576,$B10)+SUMIFS(Archives!$AF$2:$AF$1048576,Archives!$D$2:$D$1048576,4,Archives!$Y$2:$Y$1048576,$B10)</f>
        <v>4</v>
      </c>
      <c r="G10" s="35">
        <f>SUMIFS(Archives!$AF$2:$AF$1048576,Archives!$D$2:$D$1048576,5,Archives!$V$2:$V$1048576,$B10)+SUMIFS(Archives!$AF$2:$AF$1048576,Archives!$D$2:$D$1048576,5,Archives!$Y$2:$Y$1048576,$B10)</f>
        <v>3.5</v>
      </c>
      <c r="H10" s="35">
        <f>SUMIFS(Archives!$AF$2:$AF$1048576,Archives!$D$2:$D$1048576,6,Archives!$V$2:$V$1048576,$B10)+SUMIFS(Archives!$AF$2:$AF$1048576,Archives!$D$2:$D$1048576,6,Archives!$Y$2:$Y$1048576,$B10)</f>
        <v>1.5</v>
      </c>
      <c r="I10" s="35">
        <f>SUMIFS(Archives!$AF$2:$AF$1048576,Archives!$D$2:$D$1048576,7,Archives!$V$2:$V$1048576,$B10)+SUMIFS(Archives!$AF$2:$AF$1048576,Archives!$D$2:$D$1048576,7,Archives!$Y$2:$Y$1048576,$B10)</f>
        <v>4.5</v>
      </c>
      <c r="J10" s="35">
        <f>SUMIFS(Archives!$AF$2:$AF$1048576,Archives!$D$2:$D$1048576,8,Archives!$V$2:$V$1048576,$B10)+SUMIFS(Archives!$AF$2:$AF$1048576,Archives!$D$2:$D$1048576,8,Archives!$Y$2:$Y$1048576,$B10)</f>
        <v>4</v>
      </c>
      <c r="K10" s="35">
        <f>SUMIFS(Archives!$AF$2:$AF$1048576,Archives!$D$2:$D$1048576,9,Archives!$V$2:$V$1048576,$B10)+SUMIFS(Archives!$AF$2:$AF$1048576,Archives!$D$2:$D$1048576,9,Archives!$Y$2:$Y$1048576,$B10)</f>
        <v>5.5</v>
      </c>
      <c r="L10" s="35">
        <f>SUMIFS(Archives!$AF$2:$AF$1048576,Archives!$D$2:$D$1048576,10,Archives!$V$2:$V$1048576,$B10)+SUMIFS(Archives!$AF$2:$AF$1048576,Archives!$D$2:$D$1048576,10,Archives!$Y$2:$Y$1048576,$B10)</f>
        <v>3.5</v>
      </c>
      <c r="M10" s="35">
        <f>SUMIFS(Archives!$AF$2:$AF$1048576,Archives!$D$2:$D$1048576,11,Archives!$V$2:$V$1048576,$B10)+SUMIFS(Archives!$AF$2:$AF$1048576,Archives!$D$2:$D$1048576,11,Archives!$Y$2:$Y$1048576,$B10)</f>
        <v>2</v>
      </c>
      <c r="N10" s="35">
        <f>SUMIFS(Archives!$AF$2:$AF$1048576,Archives!$D$2:$D$1048576,12,Archives!$V$2:$V$1048576,$B10)+SUMIFS(Archives!$AF$2:$AF$1048576,Archives!$D$2:$D$1048576,12,Archives!$Y$2:$Y$1048576,$B10)</f>
        <v>3</v>
      </c>
      <c r="O10" s="35">
        <f>SUMIFS(Archives!$AF$2:$AF$1048576,Archives!$D$2:$D$1048576,13,Archives!$V$2:$V$1048576,$B10)+SUMIFS(Archives!$AF$2:$AF$1048576,Archives!$D$2:$D$1048576,13,Archives!$Y$2:$Y$1048576,$B10)</f>
        <v>0</v>
      </c>
      <c r="P10" s="35">
        <f>SUMIFS(Archives!$AF$2:$AF$1048576,Archives!$D$2:$D$1048576,14,Archives!$V$2:$V$1048576,$B10)+SUMIFS(Archives!$AF$2:$AF$1048576,Archives!$D$2:$D$1048576,14,Archives!$Y$2:$Y$1048576,$B10)</f>
        <v>0</v>
      </c>
      <c r="Q10" s="35">
        <f>SUMIFS(Archives!$AF$2:$AF$1048576,Archives!$D$2:$D$1048576,15,Archives!$V$2:$V$1048576,$B10)+SUMIFS(Archives!$AF$2:$AF$1048576,Archives!$D$2:$D$1048576,15,Archives!$Y$2:$Y$1048576,$B10)</f>
        <v>0</v>
      </c>
      <c r="R10" s="36">
        <f t="shared" si="0"/>
        <v>41</v>
      </c>
    </row>
    <row r="11" spans="2:18" ht="15" customHeight="1" x14ac:dyDescent="0.2">
      <c r="B11" s="31" t="s">
        <v>132</v>
      </c>
      <c r="C11" s="32">
        <f>SUMIFS(Archives!$AF$2:$AF$1048576,Archives!$D$2:$D$1048576,1,Archives!$V$2:$V$1048576,$B11)+SUMIFS(Archives!$AF$2:$AF$1048576,Archives!$D$2:$D$1048576,1,Archives!$Y$2:$Y$1048576,$B11)</f>
        <v>2</v>
      </c>
      <c r="D11" s="32">
        <f>SUMIFS(Archives!$AF$2:$AF$1048576,Archives!$D$2:$D$1048576,2,Archives!$V$2:$V$1048576,$B11)+SUMIFS(Archives!$AF$2:$AF$1048576,Archives!$D$2:$D$1048576,2,Archives!$Y$2:$Y$1048576,$B11)</f>
        <v>1.5</v>
      </c>
      <c r="E11" s="32">
        <f>SUMIFS(Archives!$AF$2:$AF$1048576,Archives!$D$2:$D$1048576,3,Archives!$V$2:$V$1048576,$B11)+SUMIFS(Archives!$AF$2:$AF$1048576,Archives!$D$2:$D$1048576,3,Archives!$Y$2:$Y$1048576,$B11)</f>
        <v>0.5</v>
      </c>
      <c r="F11" s="32">
        <f>SUMIFS(Archives!$AF$2:$AF$1048576,Archives!$D$2:$D$1048576,4,Archives!$V$2:$V$1048576,$B11)+SUMIFS(Archives!$AF$2:$AF$1048576,Archives!$D$2:$D$1048576,4,Archives!$Y$2:$Y$1048576,$B11)</f>
        <v>5.5</v>
      </c>
      <c r="G11" s="32">
        <f>SUMIFS(Archives!$AF$2:$AF$1048576,Archives!$D$2:$D$1048576,5,Archives!$V$2:$V$1048576,$B11)+SUMIFS(Archives!$AF$2:$AF$1048576,Archives!$D$2:$D$1048576,5,Archives!$Y$2:$Y$1048576,$B11)</f>
        <v>3</v>
      </c>
      <c r="H11" s="32">
        <f>SUMIFS(Archives!$AF$2:$AF$1048576,Archives!$D$2:$D$1048576,6,Archives!$V$2:$V$1048576,$B11)+SUMIFS(Archives!$AF$2:$AF$1048576,Archives!$D$2:$D$1048576,6,Archives!$Y$2:$Y$1048576,$B11)</f>
        <v>3</v>
      </c>
      <c r="I11" s="32">
        <f>SUMIFS(Archives!$AF$2:$AF$1048576,Archives!$D$2:$D$1048576,7,Archives!$V$2:$V$1048576,$B11)+SUMIFS(Archives!$AF$2:$AF$1048576,Archives!$D$2:$D$1048576,7,Archives!$Y$2:$Y$1048576,$B11)</f>
        <v>4</v>
      </c>
      <c r="J11" s="32">
        <f>SUMIFS(Archives!$AF$2:$AF$1048576,Archives!$D$2:$D$1048576,8,Archives!$V$2:$V$1048576,$B11)+SUMIFS(Archives!$AF$2:$AF$1048576,Archives!$D$2:$D$1048576,8,Archives!$Y$2:$Y$1048576,$B11)</f>
        <v>3</v>
      </c>
      <c r="K11" s="32">
        <f>SUMIFS(Archives!$AF$2:$AF$1048576,Archives!$D$2:$D$1048576,9,Archives!$V$2:$V$1048576,$B11)+SUMIFS(Archives!$AF$2:$AF$1048576,Archives!$D$2:$D$1048576,9,Archives!$Y$2:$Y$1048576,$B11)</f>
        <v>2</v>
      </c>
      <c r="L11" s="32">
        <f>SUMIFS(Archives!$AF$2:$AF$1048576,Archives!$D$2:$D$1048576,10,Archives!$V$2:$V$1048576,$B11)+SUMIFS(Archives!$AF$2:$AF$1048576,Archives!$D$2:$D$1048576,10,Archives!$Y$2:$Y$1048576,$B11)</f>
        <v>4</v>
      </c>
      <c r="M11" s="32">
        <f>SUMIFS(Archives!$AF$2:$AF$1048576,Archives!$D$2:$D$1048576,11,Archives!$V$2:$V$1048576,$B11)+SUMIFS(Archives!$AF$2:$AF$1048576,Archives!$D$2:$D$1048576,11,Archives!$Y$2:$Y$1048576,$B11)</f>
        <v>1.5</v>
      </c>
      <c r="N11" s="32">
        <f>SUMIFS(Archives!$AF$2:$AF$1048576,Archives!$D$2:$D$1048576,12,Archives!$V$2:$V$1048576,$B11)+SUMIFS(Archives!$AF$2:$AF$1048576,Archives!$D$2:$D$1048576,12,Archives!$Y$2:$Y$1048576,$B11)</f>
        <v>6.5</v>
      </c>
      <c r="O11" s="32">
        <f>SUMIFS(Archives!$AF$2:$AF$1048576,Archives!$D$2:$D$1048576,13,Archives!$V$2:$V$1048576,$B11)+SUMIFS(Archives!$AF$2:$AF$1048576,Archives!$D$2:$D$1048576,13,Archives!$Y$2:$Y$1048576,$B11)</f>
        <v>0</v>
      </c>
      <c r="P11" s="32">
        <f>SUMIFS(Archives!$AF$2:$AF$1048576,Archives!$D$2:$D$1048576,14,Archives!$V$2:$V$1048576,$B11)+SUMIFS(Archives!$AF$2:$AF$1048576,Archives!$D$2:$D$1048576,14,Archives!$Y$2:$Y$1048576,$B11)</f>
        <v>0</v>
      </c>
      <c r="Q11" s="32">
        <f>SUMIFS(Archives!$AF$2:$AF$1048576,Archives!$D$2:$D$1048576,15,Archives!$V$2:$V$1048576,$B11)+SUMIFS(Archives!$AF$2:$AF$1048576,Archives!$D$2:$D$1048576,15,Archives!$Y$2:$Y$1048576,$B11)</f>
        <v>0</v>
      </c>
      <c r="R11" s="33">
        <f t="shared" si="0"/>
        <v>36.5</v>
      </c>
    </row>
    <row r="12" spans="2:18" ht="15" customHeight="1" x14ac:dyDescent="0.2">
      <c r="B12" s="34" t="s">
        <v>122</v>
      </c>
      <c r="C12" s="35">
        <f>SUMIFS(Archives!$AF$2:$AF$1048576,Archives!$D$2:$D$1048576,1,Archives!$V$2:$V$1048576,$B12)+SUMIFS(Archives!$AF$2:$AF$1048576,Archives!$D$2:$D$1048576,1,Archives!$Y$2:$Y$1048576,$B12)</f>
        <v>2.5</v>
      </c>
      <c r="D12" s="35">
        <f>SUMIFS(Archives!$AF$2:$AF$1048576,Archives!$D$2:$D$1048576,2,Archives!$V$2:$V$1048576,$B12)+SUMIFS(Archives!$AF$2:$AF$1048576,Archives!$D$2:$D$1048576,2,Archives!$Y$2:$Y$1048576,$B12)</f>
        <v>2</v>
      </c>
      <c r="E12" s="35">
        <f>SUMIFS(Archives!$AF$2:$AF$1048576,Archives!$D$2:$D$1048576,3,Archives!$V$2:$V$1048576,$B12)+SUMIFS(Archives!$AF$2:$AF$1048576,Archives!$D$2:$D$1048576,3,Archives!$Y$2:$Y$1048576,$B12)</f>
        <v>2.5</v>
      </c>
      <c r="F12" s="35">
        <f>SUMIFS(Archives!$AF$2:$AF$1048576,Archives!$D$2:$D$1048576,4,Archives!$V$2:$V$1048576,$B12)+SUMIFS(Archives!$AF$2:$AF$1048576,Archives!$D$2:$D$1048576,4,Archives!$Y$2:$Y$1048576,$B12)</f>
        <v>0</v>
      </c>
      <c r="G12" s="35">
        <f>SUMIFS(Archives!$AF$2:$AF$1048576,Archives!$D$2:$D$1048576,5,Archives!$V$2:$V$1048576,$B12)+SUMIFS(Archives!$AF$2:$AF$1048576,Archives!$D$2:$D$1048576,5,Archives!$Y$2:$Y$1048576,$B12)</f>
        <v>3</v>
      </c>
      <c r="H12" s="35">
        <f>SUMIFS(Archives!$AF$2:$AF$1048576,Archives!$D$2:$D$1048576,6,Archives!$V$2:$V$1048576,$B12)+SUMIFS(Archives!$AF$2:$AF$1048576,Archives!$D$2:$D$1048576,6,Archives!$Y$2:$Y$1048576,$B12)</f>
        <v>3.5</v>
      </c>
      <c r="I12" s="35">
        <f>SUMIFS(Archives!$AF$2:$AF$1048576,Archives!$D$2:$D$1048576,7,Archives!$V$2:$V$1048576,$B12)+SUMIFS(Archives!$AF$2:$AF$1048576,Archives!$D$2:$D$1048576,7,Archives!$Y$2:$Y$1048576,$B12)</f>
        <v>2</v>
      </c>
      <c r="J12" s="35">
        <f>SUMIFS(Archives!$AF$2:$AF$1048576,Archives!$D$2:$D$1048576,8,Archives!$V$2:$V$1048576,$B12)+SUMIFS(Archives!$AF$2:$AF$1048576,Archives!$D$2:$D$1048576,8,Archives!$Y$2:$Y$1048576,$B12)</f>
        <v>5</v>
      </c>
      <c r="K12" s="35">
        <f>SUMIFS(Archives!$AF$2:$AF$1048576,Archives!$D$2:$D$1048576,9,Archives!$V$2:$V$1048576,$B12)+SUMIFS(Archives!$AF$2:$AF$1048576,Archives!$D$2:$D$1048576,9,Archives!$Y$2:$Y$1048576,$B12)</f>
        <v>3.5</v>
      </c>
      <c r="L12" s="35">
        <f>SUMIFS(Archives!$AF$2:$AF$1048576,Archives!$D$2:$D$1048576,10,Archives!$V$2:$V$1048576,$B12)+SUMIFS(Archives!$AF$2:$AF$1048576,Archives!$D$2:$D$1048576,10,Archives!$Y$2:$Y$1048576,$B12)</f>
        <v>3</v>
      </c>
      <c r="M12" s="35">
        <f>SUMIFS(Archives!$AF$2:$AF$1048576,Archives!$D$2:$D$1048576,11,Archives!$V$2:$V$1048576,$B12)+SUMIFS(Archives!$AF$2:$AF$1048576,Archives!$D$2:$D$1048576,11,Archives!$Y$2:$Y$1048576,$B12)</f>
        <v>5.5</v>
      </c>
      <c r="N12" s="35">
        <f>SUMIFS(Archives!$AF$2:$AF$1048576,Archives!$D$2:$D$1048576,12,Archives!$V$2:$V$1048576,$B12)+SUMIFS(Archives!$AF$2:$AF$1048576,Archives!$D$2:$D$1048576,12,Archives!$Y$2:$Y$1048576,$B12)</f>
        <v>4.5</v>
      </c>
      <c r="O12" s="35">
        <f>SUMIFS(Archives!$AF$2:$AF$1048576,Archives!$D$2:$D$1048576,13,Archives!$V$2:$V$1048576,$B12)+SUMIFS(Archives!$AF$2:$AF$1048576,Archives!$D$2:$D$1048576,13,Archives!$Y$2:$Y$1048576,$B12)</f>
        <v>0</v>
      </c>
      <c r="P12" s="35">
        <f>SUMIFS(Archives!$AF$2:$AF$1048576,Archives!$D$2:$D$1048576,14,Archives!$V$2:$V$1048576,$B12)+SUMIFS(Archives!$AF$2:$AF$1048576,Archives!$D$2:$D$1048576,14,Archives!$Y$2:$Y$1048576,$B12)</f>
        <v>0</v>
      </c>
      <c r="Q12" s="35">
        <f>SUMIFS(Archives!$AF$2:$AF$1048576,Archives!$D$2:$D$1048576,15,Archives!$V$2:$V$1048576,$B12)+SUMIFS(Archives!$AF$2:$AF$1048576,Archives!$D$2:$D$1048576,15,Archives!$Y$2:$Y$1048576,$B12)</f>
        <v>0</v>
      </c>
      <c r="R12" s="36">
        <f t="shared" si="0"/>
        <v>37</v>
      </c>
    </row>
    <row r="13" spans="2:18" ht="15" customHeight="1" x14ac:dyDescent="0.2">
      <c r="B13" s="31" t="s">
        <v>227</v>
      </c>
      <c r="C13" s="32">
        <f>SUMIFS(Archives!$AF$2:$AF$1048576,Archives!$D$2:$D$1048576,1,Archives!$V$2:$V$1048576,$B13)+SUMIFS(Archives!$AF$2:$AF$1048576,Archives!$D$2:$D$1048576,1,Archives!$Y$2:$Y$1048576,$B13)</f>
        <v>0</v>
      </c>
      <c r="D13" s="32">
        <f>SUMIFS(Archives!$AF$2:$AF$1048576,Archives!$D$2:$D$1048576,2,Archives!$V$2:$V$1048576,$B13)+SUMIFS(Archives!$AF$2:$AF$1048576,Archives!$D$2:$D$1048576,2,Archives!$Y$2:$Y$1048576,$B13)</f>
        <v>0</v>
      </c>
      <c r="E13" s="32">
        <f>SUMIFS(Archives!$AF$2:$AF$1048576,Archives!$D$2:$D$1048576,3,Archives!$V$2:$V$1048576,$B13)+SUMIFS(Archives!$AF$2:$AF$1048576,Archives!$D$2:$D$1048576,3,Archives!$Y$2:$Y$1048576,$B13)</f>
        <v>4</v>
      </c>
      <c r="F13" s="32">
        <f>SUMIFS(Archives!$AF$2:$AF$1048576,Archives!$D$2:$D$1048576,4,Archives!$V$2:$V$1048576,$B13)+SUMIFS(Archives!$AF$2:$AF$1048576,Archives!$D$2:$D$1048576,4,Archives!$Y$2:$Y$1048576,$B13)</f>
        <v>4</v>
      </c>
      <c r="G13" s="32">
        <f>SUMIFS(Archives!$AF$2:$AF$1048576,Archives!$D$2:$D$1048576,5,Archives!$V$2:$V$1048576,$B13)+SUMIFS(Archives!$AF$2:$AF$1048576,Archives!$D$2:$D$1048576,5,Archives!$Y$2:$Y$1048576,$B13)</f>
        <v>4.5</v>
      </c>
      <c r="H13" s="32">
        <f>SUMIFS(Archives!$AF$2:$AF$1048576,Archives!$D$2:$D$1048576,6,Archives!$V$2:$V$1048576,$B13)+SUMIFS(Archives!$AF$2:$AF$1048576,Archives!$D$2:$D$1048576,6,Archives!$Y$2:$Y$1048576,$B13)</f>
        <v>1</v>
      </c>
      <c r="I13" s="32">
        <f>SUMIFS(Archives!$AF$2:$AF$1048576,Archives!$D$2:$D$1048576,7,Archives!$V$2:$V$1048576,$B13)+SUMIFS(Archives!$AF$2:$AF$1048576,Archives!$D$2:$D$1048576,7,Archives!$Y$2:$Y$1048576,$B13)</f>
        <v>6</v>
      </c>
      <c r="J13" s="32">
        <f>SUMIFS(Archives!$AF$2:$AF$1048576,Archives!$D$2:$D$1048576,8,Archives!$V$2:$V$1048576,$B13)+SUMIFS(Archives!$AF$2:$AF$1048576,Archives!$D$2:$D$1048576,8,Archives!$Y$2:$Y$1048576,$B13)</f>
        <v>4.5</v>
      </c>
      <c r="K13" s="32">
        <f>SUMIFS(Archives!$AF$2:$AF$1048576,Archives!$D$2:$D$1048576,9,Archives!$V$2:$V$1048576,$B13)+SUMIFS(Archives!$AF$2:$AF$1048576,Archives!$D$2:$D$1048576,9,Archives!$Y$2:$Y$1048576,$B13)</f>
        <v>3.5</v>
      </c>
      <c r="L13" s="32">
        <f>SUMIFS(Archives!$AF$2:$AF$1048576,Archives!$D$2:$D$1048576,10,Archives!$V$2:$V$1048576,$B13)+SUMIFS(Archives!$AF$2:$AF$1048576,Archives!$D$2:$D$1048576,10,Archives!$Y$2:$Y$1048576,$B13)</f>
        <v>1</v>
      </c>
      <c r="M13" s="32">
        <f>SUMIFS(Archives!$AF$2:$AF$1048576,Archives!$D$2:$D$1048576,11,Archives!$V$2:$V$1048576,$B13)+SUMIFS(Archives!$AF$2:$AF$1048576,Archives!$D$2:$D$1048576,11,Archives!$Y$2:$Y$1048576,$B13)</f>
        <v>2.5</v>
      </c>
      <c r="N13" s="32">
        <f>SUMIFS(Archives!$AF$2:$AF$1048576,Archives!$D$2:$D$1048576,12,Archives!$V$2:$V$1048576,$B13)+SUMIFS(Archives!$AF$2:$AF$1048576,Archives!$D$2:$D$1048576,12,Archives!$Y$2:$Y$1048576,$B13)</f>
        <v>1.5</v>
      </c>
      <c r="O13" s="32">
        <f>SUMIFS(Archives!$AF$2:$AF$1048576,Archives!$D$2:$D$1048576,13,Archives!$V$2:$V$1048576,$B13)+SUMIFS(Archives!$AF$2:$AF$1048576,Archives!$D$2:$D$1048576,13,Archives!$Y$2:$Y$1048576,$B13)</f>
        <v>0</v>
      </c>
      <c r="P13" s="32">
        <f>SUMIFS(Archives!$AF$2:$AF$1048576,Archives!$D$2:$D$1048576,14,Archives!$V$2:$V$1048576,$B13)+SUMIFS(Archives!$AF$2:$AF$1048576,Archives!$D$2:$D$1048576,14,Archives!$Y$2:$Y$1048576,$B13)</f>
        <v>0</v>
      </c>
      <c r="Q13" s="32">
        <f>SUMIFS(Archives!$AF$2:$AF$1048576,Archives!$D$2:$D$1048576,15,Archives!$V$2:$V$1048576,$B13)+SUMIFS(Archives!$AF$2:$AF$1048576,Archives!$D$2:$D$1048576,15,Archives!$Y$2:$Y$1048576,$B13)</f>
        <v>0</v>
      </c>
      <c r="R13" s="33">
        <f t="shared" si="0"/>
        <v>32.5</v>
      </c>
    </row>
    <row r="14" spans="2:18" ht="15" customHeight="1" x14ac:dyDescent="0.2">
      <c r="B14" s="34" t="s">
        <v>226</v>
      </c>
      <c r="C14" s="35">
        <f>SUMIFS(Archives!$AF$2:$AF$1048576,Archives!$D$2:$D$1048576,1,Archives!$V$2:$V$1048576,$B14)+SUMIFS(Archives!$AF$2:$AF$1048576,Archives!$D$2:$D$1048576,1,Archives!$Y$2:$Y$1048576,$B14)</f>
        <v>0</v>
      </c>
      <c r="D14" s="35">
        <f>SUMIFS(Archives!$AF$2:$AF$1048576,Archives!$D$2:$D$1048576,2,Archives!$V$2:$V$1048576,$B14)+SUMIFS(Archives!$AF$2:$AF$1048576,Archives!$D$2:$D$1048576,2,Archives!$Y$2:$Y$1048576,$B14)</f>
        <v>0</v>
      </c>
      <c r="E14" s="35">
        <f>SUMIFS(Archives!$AF$2:$AF$1048576,Archives!$D$2:$D$1048576,3,Archives!$V$2:$V$1048576,$B14)+SUMIFS(Archives!$AF$2:$AF$1048576,Archives!$D$2:$D$1048576,3,Archives!$Y$2:$Y$1048576,$B14)</f>
        <v>4</v>
      </c>
      <c r="F14" s="35">
        <f>SUMIFS(Archives!$AF$2:$AF$1048576,Archives!$D$2:$D$1048576,4,Archives!$V$2:$V$1048576,$B14)+SUMIFS(Archives!$AF$2:$AF$1048576,Archives!$D$2:$D$1048576,4,Archives!$Y$2:$Y$1048576,$B14)</f>
        <v>4</v>
      </c>
      <c r="G14" s="35">
        <f>SUMIFS(Archives!$AF$2:$AF$1048576,Archives!$D$2:$D$1048576,5,Archives!$V$2:$V$1048576,$B14)+SUMIFS(Archives!$AF$2:$AF$1048576,Archives!$D$2:$D$1048576,5,Archives!$Y$2:$Y$1048576,$B14)</f>
        <v>3.5</v>
      </c>
      <c r="H14" s="35">
        <f>SUMIFS(Archives!$AF$2:$AF$1048576,Archives!$D$2:$D$1048576,6,Archives!$V$2:$V$1048576,$B14)+SUMIFS(Archives!$AF$2:$AF$1048576,Archives!$D$2:$D$1048576,6,Archives!$Y$2:$Y$1048576,$B14)</f>
        <v>4.5</v>
      </c>
      <c r="I14" s="35">
        <f>SUMIFS(Archives!$AF$2:$AF$1048576,Archives!$D$2:$D$1048576,7,Archives!$V$2:$V$1048576,$B14)+SUMIFS(Archives!$AF$2:$AF$1048576,Archives!$D$2:$D$1048576,7,Archives!$Y$2:$Y$1048576,$B14)</f>
        <v>7</v>
      </c>
      <c r="J14" s="35">
        <f>SUMIFS(Archives!$AF$2:$AF$1048576,Archives!$D$2:$D$1048576,8,Archives!$V$2:$V$1048576,$B14)+SUMIFS(Archives!$AF$2:$AF$1048576,Archives!$D$2:$D$1048576,8,Archives!$Y$2:$Y$1048576,$B14)</f>
        <v>0</v>
      </c>
      <c r="K14" s="35">
        <f>SUMIFS(Archives!$AF$2:$AF$1048576,Archives!$D$2:$D$1048576,9,Archives!$V$2:$V$1048576,$B14)+SUMIFS(Archives!$AF$2:$AF$1048576,Archives!$D$2:$D$1048576,9,Archives!$Y$2:$Y$1048576,$B14)</f>
        <v>0</v>
      </c>
      <c r="L14" s="35">
        <f>SUMIFS(Archives!$AF$2:$AF$1048576,Archives!$D$2:$D$1048576,10,Archives!$V$2:$V$1048576,$B14)+SUMIFS(Archives!$AF$2:$AF$1048576,Archives!$D$2:$D$1048576,10,Archives!$Y$2:$Y$1048576,$B14)</f>
        <v>5.5</v>
      </c>
      <c r="M14" s="35">
        <f>SUMIFS(Archives!$AF$2:$AF$1048576,Archives!$D$2:$D$1048576,11,Archives!$V$2:$V$1048576,$B14)+SUMIFS(Archives!$AF$2:$AF$1048576,Archives!$D$2:$D$1048576,11,Archives!$Y$2:$Y$1048576,$B14)</f>
        <v>2.5</v>
      </c>
      <c r="N14" s="35">
        <f>SUMIFS(Archives!$AF$2:$AF$1048576,Archives!$D$2:$D$1048576,12,Archives!$V$2:$V$1048576,$B14)+SUMIFS(Archives!$AF$2:$AF$1048576,Archives!$D$2:$D$1048576,12,Archives!$Y$2:$Y$1048576,$B14)</f>
        <v>0</v>
      </c>
      <c r="O14" s="35">
        <f>SUMIFS(Archives!$AF$2:$AF$1048576,Archives!$D$2:$D$1048576,13,Archives!$V$2:$V$1048576,$B14)+SUMIFS(Archives!$AF$2:$AF$1048576,Archives!$D$2:$D$1048576,13,Archives!$Y$2:$Y$1048576,$B14)</f>
        <v>0</v>
      </c>
      <c r="P14" s="35">
        <f>SUMIFS(Archives!$AF$2:$AF$1048576,Archives!$D$2:$D$1048576,14,Archives!$V$2:$V$1048576,$B14)+SUMIFS(Archives!$AF$2:$AF$1048576,Archives!$D$2:$D$1048576,14,Archives!$Y$2:$Y$1048576,$B14)</f>
        <v>0</v>
      </c>
      <c r="Q14" s="35">
        <f>SUMIFS(Archives!$AF$2:$AF$1048576,Archives!$D$2:$D$1048576,15,Archives!$V$2:$V$1048576,$B14)+SUMIFS(Archives!$AF$2:$AF$1048576,Archives!$D$2:$D$1048576,15,Archives!$Y$2:$Y$1048576,$B14)</f>
        <v>0</v>
      </c>
      <c r="R14" s="36">
        <f t="shared" si="0"/>
        <v>31</v>
      </c>
    </row>
    <row r="15" spans="2:18" ht="15" customHeight="1" x14ac:dyDescent="0.2">
      <c r="B15" s="31" t="s">
        <v>172</v>
      </c>
      <c r="C15" s="32">
        <f>SUMIFS(Archives!$AF$2:$AF$1048576,Archives!$D$2:$D$1048576,1,Archives!$V$2:$V$1048576,$B15)+SUMIFS(Archives!$AF$2:$AF$1048576,Archives!$D$2:$D$1048576,1,Archives!$Y$2:$Y$1048576,$B15)</f>
        <v>0</v>
      </c>
      <c r="D15" s="32">
        <f>SUMIFS(Archives!$AF$2:$AF$1048576,Archives!$D$2:$D$1048576,2,Archives!$V$2:$V$1048576,$B15)+SUMIFS(Archives!$AF$2:$AF$1048576,Archives!$D$2:$D$1048576,2,Archives!$Y$2:$Y$1048576,$B15)</f>
        <v>2</v>
      </c>
      <c r="E15" s="32">
        <f>SUMIFS(Archives!$AF$2:$AF$1048576,Archives!$D$2:$D$1048576,3,Archives!$V$2:$V$1048576,$B15)+SUMIFS(Archives!$AF$2:$AF$1048576,Archives!$D$2:$D$1048576,3,Archives!$Y$2:$Y$1048576,$B15)</f>
        <v>3</v>
      </c>
      <c r="F15" s="32">
        <f>SUMIFS(Archives!$AF$2:$AF$1048576,Archives!$D$2:$D$1048576,4,Archives!$V$2:$V$1048576,$B15)+SUMIFS(Archives!$AF$2:$AF$1048576,Archives!$D$2:$D$1048576,4,Archives!$Y$2:$Y$1048576,$B15)</f>
        <v>3</v>
      </c>
      <c r="G15" s="32">
        <f>SUMIFS(Archives!$AF$2:$AF$1048576,Archives!$D$2:$D$1048576,5,Archives!$V$2:$V$1048576,$B15)+SUMIFS(Archives!$AF$2:$AF$1048576,Archives!$D$2:$D$1048576,5,Archives!$Y$2:$Y$1048576,$B15)</f>
        <v>1</v>
      </c>
      <c r="H15" s="32">
        <f>SUMIFS(Archives!$AF$2:$AF$1048576,Archives!$D$2:$D$1048576,6,Archives!$V$2:$V$1048576,$B15)+SUMIFS(Archives!$AF$2:$AF$1048576,Archives!$D$2:$D$1048576,6,Archives!$Y$2:$Y$1048576,$B15)</f>
        <v>0.5</v>
      </c>
      <c r="I15" s="32">
        <f>SUMIFS(Archives!$AF$2:$AF$1048576,Archives!$D$2:$D$1048576,7,Archives!$V$2:$V$1048576,$B15)+SUMIFS(Archives!$AF$2:$AF$1048576,Archives!$D$2:$D$1048576,7,Archives!$Y$2:$Y$1048576,$B15)</f>
        <v>3</v>
      </c>
      <c r="J15" s="32">
        <f>SUMIFS(Archives!$AF$2:$AF$1048576,Archives!$D$2:$D$1048576,8,Archives!$V$2:$V$1048576,$B15)+SUMIFS(Archives!$AF$2:$AF$1048576,Archives!$D$2:$D$1048576,8,Archives!$Y$2:$Y$1048576,$B15)</f>
        <v>3</v>
      </c>
      <c r="K15" s="32">
        <f>SUMIFS(Archives!$AF$2:$AF$1048576,Archives!$D$2:$D$1048576,9,Archives!$V$2:$V$1048576,$B15)+SUMIFS(Archives!$AF$2:$AF$1048576,Archives!$D$2:$D$1048576,9,Archives!$Y$2:$Y$1048576,$B15)</f>
        <v>4.5</v>
      </c>
      <c r="L15" s="32">
        <f>SUMIFS(Archives!$AF$2:$AF$1048576,Archives!$D$2:$D$1048576,10,Archives!$V$2:$V$1048576,$B15)+SUMIFS(Archives!$AF$2:$AF$1048576,Archives!$D$2:$D$1048576,10,Archives!$Y$2:$Y$1048576,$B15)</f>
        <v>1.5</v>
      </c>
      <c r="M15" s="32">
        <f>SUMIFS(Archives!$AF$2:$AF$1048576,Archives!$D$2:$D$1048576,11,Archives!$V$2:$V$1048576,$B15)+SUMIFS(Archives!$AF$2:$AF$1048576,Archives!$D$2:$D$1048576,11,Archives!$Y$2:$Y$1048576,$B15)</f>
        <v>4.5</v>
      </c>
      <c r="N15" s="32">
        <f>SUMIFS(Archives!$AF$2:$AF$1048576,Archives!$D$2:$D$1048576,12,Archives!$V$2:$V$1048576,$B15)+SUMIFS(Archives!$AF$2:$AF$1048576,Archives!$D$2:$D$1048576,12,Archives!$Y$2:$Y$1048576,$B15)</f>
        <v>4</v>
      </c>
      <c r="O15" s="32">
        <f>SUMIFS(Archives!$AF$2:$AF$1048576,Archives!$D$2:$D$1048576,13,Archives!$V$2:$V$1048576,$B15)+SUMIFS(Archives!$AF$2:$AF$1048576,Archives!$D$2:$D$1048576,13,Archives!$Y$2:$Y$1048576,$B15)</f>
        <v>0</v>
      </c>
      <c r="P15" s="32">
        <f>SUMIFS(Archives!$AF$2:$AF$1048576,Archives!$D$2:$D$1048576,14,Archives!$V$2:$V$1048576,$B15)+SUMIFS(Archives!$AF$2:$AF$1048576,Archives!$D$2:$D$1048576,14,Archives!$Y$2:$Y$1048576,$B15)</f>
        <v>0</v>
      </c>
      <c r="Q15" s="32">
        <f>SUMIFS(Archives!$AF$2:$AF$1048576,Archives!$D$2:$D$1048576,15,Archives!$V$2:$V$1048576,$B15)+SUMIFS(Archives!$AF$2:$AF$1048576,Archives!$D$2:$D$1048576,15,Archives!$Y$2:$Y$1048576,$B15)</f>
        <v>0</v>
      </c>
      <c r="R15" s="33">
        <f t="shared" si="0"/>
        <v>30</v>
      </c>
    </row>
    <row r="16" spans="2:18" ht="15" customHeight="1" x14ac:dyDescent="0.2">
      <c r="B16" s="34" t="s">
        <v>179</v>
      </c>
      <c r="C16" s="35">
        <f>SUMIFS(Archives!$AF$2:$AF$1048576,Archives!$D$2:$D$1048576,1,Archives!$V$2:$V$1048576,$B16)+SUMIFS(Archives!$AF$2:$AF$1048576,Archives!$D$2:$D$1048576,1,Archives!$Y$2:$Y$1048576,$B16)</f>
        <v>0</v>
      </c>
      <c r="D16" s="35">
        <f>SUMIFS(Archives!$AF$2:$AF$1048576,Archives!$D$2:$D$1048576,2,Archives!$V$2:$V$1048576,$B16)+SUMIFS(Archives!$AF$2:$AF$1048576,Archives!$D$2:$D$1048576,2,Archives!$Y$2:$Y$1048576,$B16)</f>
        <v>0.5</v>
      </c>
      <c r="E16" s="35">
        <f>SUMIFS(Archives!$AF$2:$AF$1048576,Archives!$D$2:$D$1048576,3,Archives!$V$2:$V$1048576,$B16)+SUMIFS(Archives!$AF$2:$AF$1048576,Archives!$D$2:$D$1048576,3,Archives!$Y$2:$Y$1048576,$B16)</f>
        <v>3.5</v>
      </c>
      <c r="F16" s="35">
        <f>SUMIFS(Archives!$AF$2:$AF$1048576,Archives!$D$2:$D$1048576,4,Archives!$V$2:$V$1048576,$B16)+SUMIFS(Archives!$AF$2:$AF$1048576,Archives!$D$2:$D$1048576,4,Archives!$Y$2:$Y$1048576,$B16)</f>
        <v>2.5</v>
      </c>
      <c r="G16" s="35">
        <f>SUMIFS(Archives!$AF$2:$AF$1048576,Archives!$D$2:$D$1048576,5,Archives!$V$2:$V$1048576,$B16)+SUMIFS(Archives!$AF$2:$AF$1048576,Archives!$D$2:$D$1048576,5,Archives!$Y$2:$Y$1048576,$B16)</f>
        <v>1</v>
      </c>
      <c r="H16" s="35">
        <f>SUMIFS(Archives!$AF$2:$AF$1048576,Archives!$D$2:$D$1048576,6,Archives!$V$2:$V$1048576,$B16)+SUMIFS(Archives!$AF$2:$AF$1048576,Archives!$D$2:$D$1048576,6,Archives!$Y$2:$Y$1048576,$B16)</f>
        <v>4</v>
      </c>
      <c r="I16" s="35">
        <f>SUMIFS(Archives!$AF$2:$AF$1048576,Archives!$D$2:$D$1048576,7,Archives!$V$2:$V$1048576,$B16)+SUMIFS(Archives!$AF$2:$AF$1048576,Archives!$D$2:$D$1048576,7,Archives!$Y$2:$Y$1048576,$B16)</f>
        <v>4.5</v>
      </c>
      <c r="J16" s="35">
        <f>SUMIFS(Archives!$AF$2:$AF$1048576,Archives!$D$2:$D$1048576,8,Archives!$V$2:$V$1048576,$B16)+SUMIFS(Archives!$AF$2:$AF$1048576,Archives!$D$2:$D$1048576,8,Archives!$Y$2:$Y$1048576,$B16)</f>
        <v>3.5</v>
      </c>
      <c r="K16" s="35">
        <f>SUMIFS(Archives!$AF$2:$AF$1048576,Archives!$D$2:$D$1048576,9,Archives!$V$2:$V$1048576,$B16)+SUMIFS(Archives!$AF$2:$AF$1048576,Archives!$D$2:$D$1048576,9,Archives!$Y$2:$Y$1048576,$B16)</f>
        <v>2.5</v>
      </c>
      <c r="L16" s="35">
        <f>SUMIFS(Archives!$AF$2:$AF$1048576,Archives!$D$2:$D$1048576,10,Archives!$V$2:$V$1048576,$B16)+SUMIFS(Archives!$AF$2:$AF$1048576,Archives!$D$2:$D$1048576,10,Archives!$Y$2:$Y$1048576,$B16)</f>
        <v>4.5</v>
      </c>
      <c r="M16" s="35">
        <f>SUMIFS(Archives!$AF$2:$AF$1048576,Archives!$D$2:$D$1048576,11,Archives!$V$2:$V$1048576,$B16)+SUMIFS(Archives!$AF$2:$AF$1048576,Archives!$D$2:$D$1048576,11,Archives!$Y$2:$Y$1048576,$B16)</f>
        <v>3.5</v>
      </c>
      <c r="N16" s="35">
        <f>SUMIFS(Archives!$AF$2:$AF$1048576,Archives!$D$2:$D$1048576,12,Archives!$V$2:$V$1048576,$B16)+SUMIFS(Archives!$AF$2:$AF$1048576,Archives!$D$2:$D$1048576,12,Archives!$Y$2:$Y$1048576,$B16)</f>
        <v>0</v>
      </c>
      <c r="O16" s="35">
        <f>SUMIFS(Archives!$AF$2:$AF$1048576,Archives!$D$2:$D$1048576,13,Archives!$V$2:$V$1048576,$B16)+SUMIFS(Archives!$AF$2:$AF$1048576,Archives!$D$2:$D$1048576,13,Archives!$Y$2:$Y$1048576,$B16)</f>
        <v>0</v>
      </c>
      <c r="P16" s="35">
        <f>SUMIFS(Archives!$AF$2:$AF$1048576,Archives!$D$2:$D$1048576,14,Archives!$V$2:$V$1048576,$B16)+SUMIFS(Archives!$AF$2:$AF$1048576,Archives!$D$2:$D$1048576,14,Archives!$Y$2:$Y$1048576,$B16)</f>
        <v>0</v>
      </c>
      <c r="Q16" s="35">
        <f>SUMIFS(Archives!$AF$2:$AF$1048576,Archives!$D$2:$D$1048576,15,Archives!$V$2:$V$1048576,$B16)+SUMIFS(Archives!$AF$2:$AF$1048576,Archives!$D$2:$D$1048576,15,Archives!$Y$2:$Y$1048576,$B16)</f>
        <v>0</v>
      </c>
      <c r="R16" s="36">
        <f t="shared" si="0"/>
        <v>30</v>
      </c>
    </row>
    <row r="17" spans="2:18" ht="15" customHeight="1" x14ac:dyDescent="0.2">
      <c r="B17" s="31" t="s">
        <v>133</v>
      </c>
      <c r="C17" s="32">
        <f>SUMIFS(Archives!$AF$2:$AF$1048576,Archives!$D$2:$D$1048576,1,Archives!$V$2:$V$1048576,$B17)+SUMIFS(Archives!$AF$2:$AF$1048576,Archives!$D$2:$D$1048576,1,Archives!$Y$2:$Y$1048576,$B17)</f>
        <v>0</v>
      </c>
      <c r="D17" s="32">
        <f>SUMIFS(Archives!$AF$2:$AF$1048576,Archives!$D$2:$D$1048576,2,Archives!$V$2:$V$1048576,$B17)+SUMIFS(Archives!$AF$2:$AF$1048576,Archives!$D$2:$D$1048576,2,Archives!$Y$2:$Y$1048576,$B17)</f>
        <v>3.5</v>
      </c>
      <c r="E17" s="32">
        <f>SUMIFS(Archives!$AF$2:$AF$1048576,Archives!$D$2:$D$1048576,3,Archives!$V$2:$V$1048576,$B17)+SUMIFS(Archives!$AF$2:$AF$1048576,Archives!$D$2:$D$1048576,3,Archives!$Y$2:$Y$1048576,$B17)</f>
        <v>3</v>
      </c>
      <c r="F17" s="32">
        <f>SUMIFS(Archives!$AF$2:$AF$1048576,Archives!$D$2:$D$1048576,4,Archives!$V$2:$V$1048576,$B17)+SUMIFS(Archives!$AF$2:$AF$1048576,Archives!$D$2:$D$1048576,4,Archives!$Y$2:$Y$1048576,$B17)</f>
        <v>2</v>
      </c>
      <c r="G17" s="32">
        <f>SUMIFS(Archives!$AF$2:$AF$1048576,Archives!$D$2:$D$1048576,5,Archives!$V$2:$V$1048576,$B17)+SUMIFS(Archives!$AF$2:$AF$1048576,Archives!$D$2:$D$1048576,5,Archives!$Y$2:$Y$1048576,$B17)</f>
        <v>5</v>
      </c>
      <c r="H17" s="32">
        <f>SUMIFS(Archives!$AF$2:$AF$1048576,Archives!$D$2:$D$1048576,6,Archives!$V$2:$V$1048576,$B17)+SUMIFS(Archives!$AF$2:$AF$1048576,Archives!$D$2:$D$1048576,6,Archives!$Y$2:$Y$1048576,$B17)</f>
        <v>1</v>
      </c>
      <c r="I17" s="32">
        <f>SUMIFS(Archives!$AF$2:$AF$1048576,Archives!$D$2:$D$1048576,7,Archives!$V$2:$V$1048576,$B17)+SUMIFS(Archives!$AF$2:$AF$1048576,Archives!$D$2:$D$1048576,7,Archives!$Y$2:$Y$1048576,$B17)</f>
        <v>2.5</v>
      </c>
      <c r="J17" s="32">
        <f>SUMIFS(Archives!$AF$2:$AF$1048576,Archives!$D$2:$D$1048576,8,Archives!$V$2:$V$1048576,$B17)+SUMIFS(Archives!$AF$2:$AF$1048576,Archives!$D$2:$D$1048576,8,Archives!$Y$2:$Y$1048576,$B17)</f>
        <v>1</v>
      </c>
      <c r="K17" s="32">
        <f>SUMIFS(Archives!$AF$2:$AF$1048576,Archives!$D$2:$D$1048576,9,Archives!$V$2:$V$1048576,$B17)+SUMIFS(Archives!$AF$2:$AF$1048576,Archives!$D$2:$D$1048576,9,Archives!$Y$2:$Y$1048576,$B17)</f>
        <v>0</v>
      </c>
      <c r="L17" s="32">
        <f>SUMIFS(Archives!$AF$2:$AF$1048576,Archives!$D$2:$D$1048576,10,Archives!$V$2:$V$1048576,$B17)+SUMIFS(Archives!$AF$2:$AF$1048576,Archives!$D$2:$D$1048576,10,Archives!$Y$2:$Y$1048576,$B17)</f>
        <v>3.5</v>
      </c>
      <c r="M17" s="32">
        <f>SUMIFS(Archives!$AF$2:$AF$1048576,Archives!$D$2:$D$1048576,11,Archives!$V$2:$V$1048576,$B17)+SUMIFS(Archives!$AF$2:$AF$1048576,Archives!$D$2:$D$1048576,11,Archives!$Y$2:$Y$1048576,$B17)</f>
        <v>1.5</v>
      </c>
      <c r="N17" s="32">
        <f>SUMIFS(Archives!$AF$2:$AF$1048576,Archives!$D$2:$D$1048576,12,Archives!$V$2:$V$1048576,$B17)+SUMIFS(Archives!$AF$2:$AF$1048576,Archives!$D$2:$D$1048576,12,Archives!$Y$2:$Y$1048576,$B17)</f>
        <v>5.5</v>
      </c>
      <c r="O17" s="32">
        <f>SUMIFS(Archives!$AF$2:$AF$1048576,Archives!$D$2:$D$1048576,13,Archives!$V$2:$V$1048576,$B17)+SUMIFS(Archives!$AF$2:$AF$1048576,Archives!$D$2:$D$1048576,13,Archives!$Y$2:$Y$1048576,$B17)</f>
        <v>0</v>
      </c>
      <c r="P17" s="32">
        <f>SUMIFS(Archives!$AF$2:$AF$1048576,Archives!$D$2:$D$1048576,14,Archives!$V$2:$V$1048576,$B17)+SUMIFS(Archives!$AF$2:$AF$1048576,Archives!$D$2:$D$1048576,14,Archives!$Y$2:$Y$1048576,$B17)</f>
        <v>0</v>
      </c>
      <c r="Q17" s="32">
        <f>SUMIFS(Archives!$AF$2:$AF$1048576,Archives!$D$2:$D$1048576,15,Archives!$V$2:$V$1048576,$B17)+SUMIFS(Archives!$AF$2:$AF$1048576,Archives!$D$2:$D$1048576,15,Archives!$Y$2:$Y$1048576,$B17)</f>
        <v>0</v>
      </c>
      <c r="R17" s="33">
        <f t="shared" si="0"/>
        <v>28.5</v>
      </c>
    </row>
    <row r="18" spans="2:18" ht="15" customHeight="1" x14ac:dyDescent="0.2">
      <c r="B18" s="34" t="s">
        <v>272</v>
      </c>
      <c r="C18" s="35">
        <f>SUMIFS(Archives!$AF$2:$AF$1048576,Archives!$D$2:$D$1048576,1,Archives!$V$2:$V$1048576,$B18)+SUMIFS(Archives!$AF$2:$AF$1048576,Archives!$D$2:$D$1048576,1,Archives!$Y$2:$Y$1048576,$B18)</f>
        <v>0</v>
      </c>
      <c r="D18" s="35">
        <f>SUMIFS(Archives!$AF$2:$AF$1048576,Archives!$D$2:$D$1048576,2,Archives!$V$2:$V$1048576,$B18)+SUMIFS(Archives!$AF$2:$AF$1048576,Archives!$D$2:$D$1048576,2,Archives!$Y$2:$Y$1048576,$B18)</f>
        <v>0</v>
      </c>
      <c r="E18" s="35">
        <f>SUMIFS(Archives!$AF$2:$AF$1048576,Archives!$D$2:$D$1048576,3,Archives!$V$2:$V$1048576,$B18)+SUMIFS(Archives!$AF$2:$AF$1048576,Archives!$D$2:$D$1048576,3,Archives!$Y$2:$Y$1048576,$B18)</f>
        <v>0</v>
      </c>
      <c r="F18" s="35">
        <f>SUMIFS(Archives!$AF$2:$AF$1048576,Archives!$D$2:$D$1048576,4,Archives!$V$2:$V$1048576,$B18)+SUMIFS(Archives!$AF$2:$AF$1048576,Archives!$D$2:$D$1048576,4,Archives!$Y$2:$Y$1048576,$B18)</f>
        <v>2</v>
      </c>
      <c r="G18" s="35">
        <f>SUMIFS(Archives!$AF$2:$AF$1048576,Archives!$D$2:$D$1048576,5,Archives!$V$2:$V$1048576,$B18)+SUMIFS(Archives!$AF$2:$AF$1048576,Archives!$D$2:$D$1048576,5,Archives!$Y$2:$Y$1048576,$B18)</f>
        <v>3</v>
      </c>
      <c r="H18" s="35">
        <f>SUMIFS(Archives!$AF$2:$AF$1048576,Archives!$D$2:$D$1048576,6,Archives!$V$2:$V$1048576,$B18)+SUMIFS(Archives!$AF$2:$AF$1048576,Archives!$D$2:$D$1048576,6,Archives!$Y$2:$Y$1048576,$B18)</f>
        <v>5.5</v>
      </c>
      <c r="I18" s="35">
        <f>SUMIFS(Archives!$AF$2:$AF$1048576,Archives!$D$2:$D$1048576,7,Archives!$V$2:$V$1048576,$B18)+SUMIFS(Archives!$AF$2:$AF$1048576,Archives!$D$2:$D$1048576,7,Archives!$Y$2:$Y$1048576,$B18)</f>
        <v>3</v>
      </c>
      <c r="J18" s="35">
        <f>SUMIFS(Archives!$AF$2:$AF$1048576,Archives!$D$2:$D$1048576,8,Archives!$V$2:$V$1048576,$B18)+SUMIFS(Archives!$AF$2:$AF$1048576,Archives!$D$2:$D$1048576,8,Archives!$Y$2:$Y$1048576,$B18)</f>
        <v>3</v>
      </c>
      <c r="K18" s="35">
        <f>SUMIFS(Archives!$AF$2:$AF$1048576,Archives!$D$2:$D$1048576,9,Archives!$V$2:$V$1048576,$B18)+SUMIFS(Archives!$AF$2:$AF$1048576,Archives!$D$2:$D$1048576,9,Archives!$Y$2:$Y$1048576,$B18)</f>
        <v>3</v>
      </c>
      <c r="L18" s="35">
        <f>SUMIFS(Archives!$AF$2:$AF$1048576,Archives!$D$2:$D$1048576,10,Archives!$V$2:$V$1048576,$B18)+SUMIFS(Archives!$AF$2:$AF$1048576,Archives!$D$2:$D$1048576,10,Archives!$Y$2:$Y$1048576,$B18)</f>
        <v>5</v>
      </c>
      <c r="M18" s="35">
        <f>SUMIFS(Archives!$AF$2:$AF$1048576,Archives!$D$2:$D$1048576,11,Archives!$V$2:$V$1048576,$B18)+SUMIFS(Archives!$AF$2:$AF$1048576,Archives!$D$2:$D$1048576,11,Archives!$Y$2:$Y$1048576,$B18)</f>
        <v>4</v>
      </c>
      <c r="N18" s="35">
        <f>SUMIFS(Archives!$AF$2:$AF$1048576,Archives!$D$2:$D$1048576,12,Archives!$V$2:$V$1048576,$B18)+SUMIFS(Archives!$AF$2:$AF$1048576,Archives!$D$2:$D$1048576,12,Archives!$Y$2:$Y$1048576,$B18)</f>
        <v>0</v>
      </c>
      <c r="O18" s="35">
        <f>SUMIFS(Archives!$AF$2:$AF$1048576,Archives!$D$2:$D$1048576,13,Archives!$V$2:$V$1048576,$B18)+SUMIFS(Archives!$AF$2:$AF$1048576,Archives!$D$2:$D$1048576,13,Archives!$Y$2:$Y$1048576,$B18)</f>
        <v>0</v>
      </c>
      <c r="P18" s="35">
        <f>SUMIFS(Archives!$AF$2:$AF$1048576,Archives!$D$2:$D$1048576,14,Archives!$V$2:$V$1048576,$B18)+SUMIFS(Archives!$AF$2:$AF$1048576,Archives!$D$2:$D$1048576,14,Archives!$Y$2:$Y$1048576,$B18)</f>
        <v>0</v>
      </c>
      <c r="Q18" s="35">
        <f>SUMIFS(Archives!$AF$2:$AF$1048576,Archives!$D$2:$D$1048576,15,Archives!$V$2:$V$1048576,$B18)+SUMIFS(Archives!$AF$2:$AF$1048576,Archives!$D$2:$D$1048576,15,Archives!$Y$2:$Y$1048576,$B18)</f>
        <v>0</v>
      </c>
      <c r="R18" s="36">
        <f t="shared" si="0"/>
        <v>28.5</v>
      </c>
    </row>
    <row r="19" spans="2:18" ht="15" customHeight="1" x14ac:dyDescent="0.2">
      <c r="B19" s="31" t="s">
        <v>231</v>
      </c>
      <c r="C19" s="32">
        <f>SUMIFS(Archives!$AF$2:$AF$1048576,Archives!$D$2:$D$1048576,1,Archives!$V$2:$V$1048576,$B19)+SUMIFS(Archives!$AF$2:$AF$1048576,Archives!$D$2:$D$1048576,1,Archives!$Y$2:$Y$1048576,$B19)</f>
        <v>0</v>
      </c>
      <c r="D19" s="32">
        <f>SUMIFS(Archives!$AF$2:$AF$1048576,Archives!$D$2:$D$1048576,2,Archives!$V$2:$V$1048576,$B19)+SUMIFS(Archives!$AF$2:$AF$1048576,Archives!$D$2:$D$1048576,2,Archives!$Y$2:$Y$1048576,$B19)</f>
        <v>0</v>
      </c>
      <c r="E19" s="32">
        <f>SUMIFS(Archives!$AF$2:$AF$1048576,Archives!$D$2:$D$1048576,3,Archives!$V$2:$V$1048576,$B19)+SUMIFS(Archives!$AF$2:$AF$1048576,Archives!$D$2:$D$1048576,3,Archives!$Y$2:$Y$1048576,$B19)</f>
        <v>2.5</v>
      </c>
      <c r="F19" s="32">
        <f>SUMIFS(Archives!$AF$2:$AF$1048576,Archives!$D$2:$D$1048576,4,Archives!$V$2:$V$1048576,$B19)+SUMIFS(Archives!$AF$2:$AF$1048576,Archives!$D$2:$D$1048576,4,Archives!$Y$2:$Y$1048576,$B19)</f>
        <v>3.5</v>
      </c>
      <c r="G19" s="32">
        <f>SUMIFS(Archives!$AF$2:$AF$1048576,Archives!$D$2:$D$1048576,5,Archives!$V$2:$V$1048576,$B19)+SUMIFS(Archives!$AF$2:$AF$1048576,Archives!$D$2:$D$1048576,5,Archives!$Y$2:$Y$1048576,$B19)</f>
        <v>3.5</v>
      </c>
      <c r="H19" s="32">
        <f>SUMIFS(Archives!$AF$2:$AF$1048576,Archives!$D$2:$D$1048576,6,Archives!$V$2:$V$1048576,$B19)+SUMIFS(Archives!$AF$2:$AF$1048576,Archives!$D$2:$D$1048576,6,Archives!$Y$2:$Y$1048576,$B19)</f>
        <v>5.5</v>
      </c>
      <c r="I19" s="32">
        <f>SUMIFS(Archives!$AF$2:$AF$1048576,Archives!$D$2:$D$1048576,7,Archives!$V$2:$V$1048576,$B19)+SUMIFS(Archives!$AF$2:$AF$1048576,Archives!$D$2:$D$1048576,7,Archives!$Y$2:$Y$1048576,$B19)</f>
        <v>3</v>
      </c>
      <c r="J19" s="32">
        <f>SUMIFS(Archives!$AF$2:$AF$1048576,Archives!$D$2:$D$1048576,8,Archives!$V$2:$V$1048576,$B19)+SUMIFS(Archives!$AF$2:$AF$1048576,Archives!$D$2:$D$1048576,8,Archives!$Y$2:$Y$1048576,$B19)</f>
        <v>3</v>
      </c>
      <c r="K19" s="32">
        <f>SUMIFS(Archives!$AF$2:$AF$1048576,Archives!$D$2:$D$1048576,9,Archives!$V$2:$V$1048576,$B19)+SUMIFS(Archives!$AF$2:$AF$1048576,Archives!$D$2:$D$1048576,9,Archives!$Y$2:$Y$1048576,$B19)</f>
        <v>4</v>
      </c>
      <c r="L19" s="32">
        <f>SUMIFS(Archives!$AF$2:$AF$1048576,Archives!$D$2:$D$1048576,10,Archives!$V$2:$V$1048576,$B19)+SUMIFS(Archives!$AF$2:$AF$1048576,Archives!$D$2:$D$1048576,10,Archives!$Y$2:$Y$1048576,$B19)</f>
        <v>3</v>
      </c>
      <c r="M19" s="32">
        <f>SUMIFS(Archives!$AF$2:$AF$1048576,Archives!$D$2:$D$1048576,11,Archives!$V$2:$V$1048576,$B19)+SUMIFS(Archives!$AF$2:$AF$1048576,Archives!$D$2:$D$1048576,11,Archives!$Y$2:$Y$1048576,$B19)</f>
        <v>0</v>
      </c>
      <c r="N19" s="32">
        <f>SUMIFS(Archives!$AF$2:$AF$1048576,Archives!$D$2:$D$1048576,12,Archives!$V$2:$V$1048576,$B19)+SUMIFS(Archives!$AF$2:$AF$1048576,Archives!$D$2:$D$1048576,12,Archives!$Y$2:$Y$1048576,$B19)</f>
        <v>0</v>
      </c>
      <c r="O19" s="32">
        <f>SUMIFS(Archives!$AF$2:$AF$1048576,Archives!$D$2:$D$1048576,13,Archives!$V$2:$V$1048576,$B19)+SUMIFS(Archives!$AF$2:$AF$1048576,Archives!$D$2:$D$1048576,13,Archives!$Y$2:$Y$1048576,$B19)</f>
        <v>0</v>
      </c>
      <c r="P19" s="32">
        <f>SUMIFS(Archives!$AF$2:$AF$1048576,Archives!$D$2:$D$1048576,14,Archives!$V$2:$V$1048576,$B19)+SUMIFS(Archives!$AF$2:$AF$1048576,Archives!$D$2:$D$1048576,14,Archives!$Y$2:$Y$1048576,$B19)</f>
        <v>0</v>
      </c>
      <c r="Q19" s="32">
        <f>SUMIFS(Archives!$AF$2:$AF$1048576,Archives!$D$2:$D$1048576,15,Archives!$V$2:$V$1048576,$B19)+SUMIFS(Archives!$AF$2:$AF$1048576,Archives!$D$2:$D$1048576,15,Archives!$Y$2:$Y$1048576,$B19)</f>
        <v>0</v>
      </c>
      <c r="R19" s="33">
        <f t="shared" si="0"/>
        <v>28</v>
      </c>
    </row>
    <row r="20" spans="2:18" ht="15" customHeight="1" x14ac:dyDescent="0.2">
      <c r="B20" s="34" t="s">
        <v>130</v>
      </c>
      <c r="C20" s="35">
        <f>SUMIFS(Archives!$AF$2:$AF$1048576,Archives!$D$2:$D$1048576,1,Archives!$V$2:$V$1048576,$B20)+SUMIFS(Archives!$AF$2:$AF$1048576,Archives!$D$2:$D$1048576,1,Archives!$Y$2:$Y$1048576,$B20)</f>
        <v>3.5</v>
      </c>
      <c r="D20" s="35">
        <f>SUMIFS(Archives!$AF$2:$AF$1048576,Archives!$D$2:$D$1048576,2,Archives!$V$2:$V$1048576,$B20)+SUMIFS(Archives!$AF$2:$AF$1048576,Archives!$D$2:$D$1048576,2,Archives!$Y$2:$Y$1048576,$B20)</f>
        <v>0</v>
      </c>
      <c r="E20" s="35">
        <f>SUMIFS(Archives!$AF$2:$AF$1048576,Archives!$D$2:$D$1048576,3,Archives!$V$2:$V$1048576,$B20)+SUMIFS(Archives!$AF$2:$AF$1048576,Archives!$D$2:$D$1048576,3,Archives!$Y$2:$Y$1048576,$B20)</f>
        <v>0</v>
      </c>
      <c r="F20" s="35">
        <f>SUMIFS(Archives!$AF$2:$AF$1048576,Archives!$D$2:$D$1048576,4,Archives!$V$2:$V$1048576,$B20)+SUMIFS(Archives!$AF$2:$AF$1048576,Archives!$D$2:$D$1048576,4,Archives!$Y$2:$Y$1048576,$B20)</f>
        <v>0</v>
      </c>
      <c r="G20" s="35">
        <f>SUMIFS(Archives!$AF$2:$AF$1048576,Archives!$D$2:$D$1048576,5,Archives!$V$2:$V$1048576,$B20)+SUMIFS(Archives!$AF$2:$AF$1048576,Archives!$D$2:$D$1048576,5,Archives!$Y$2:$Y$1048576,$B20)</f>
        <v>3.5</v>
      </c>
      <c r="H20" s="35">
        <f>SUMIFS(Archives!$AF$2:$AF$1048576,Archives!$D$2:$D$1048576,6,Archives!$V$2:$V$1048576,$B20)+SUMIFS(Archives!$AF$2:$AF$1048576,Archives!$D$2:$D$1048576,6,Archives!$Y$2:$Y$1048576,$B20)</f>
        <v>0</v>
      </c>
      <c r="I20" s="35">
        <f>SUMIFS(Archives!$AF$2:$AF$1048576,Archives!$D$2:$D$1048576,7,Archives!$V$2:$V$1048576,$B20)+SUMIFS(Archives!$AF$2:$AF$1048576,Archives!$D$2:$D$1048576,7,Archives!$Y$2:$Y$1048576,$B20)</f>
        <v>4.5</v>
      </c>
      <c r="J20" s="35">
        <f>SUMIFS(Archives!$AF$2:$AF$1048576,Archives!$D$2:$D$1048576,8,Archives!$V$2:$V$1048576,$B20)+SUMIFS(Archives!$AF$2:$AF$1048576,Archives!$D$2:$D$1048576,8,Archives!$Y$2:$Y$1048576,$B20)</f>
        <v>0</v>
      </c>
      <c r="K20" s="35">
        <f>SUMIFS(Archives!$AF$2:$AF$1048576,Archives!$D$2:$D$1048576,9,Archives!$V$2:$V$1048576,$B20)+SUMIFS(Archives!$AF$2:$AF$1048576,Archives!$D$2:$D$1048576,9,Archives!$Y$2:$Y$1048576,$B20)</f>
        <v>4.5</v>
      </c>
      <c r="L20" s="35">
        <f>SUMIFS(Archives!$AF$2:$AF$1048576,Archives!$D$2:$D$1048576,10,Archives!$V$2:$V$1048576,$B20)+SUMIFS(Archives!$AF$2:$AF$1048576,Archives!$D$2:$D$1048576,10,Archives!$Y$2:$Y$1048576,$B20)</f>
        <v>0</v>
      </c>
      <c r="M20" s="35">
        <f>SUMIFS(Archives!$AF$2:$AF$1048576,Archives!$D$2:$D$1048576,11,Archives!$V$2:$V$1048576,$B20)+SUMIFS(Archives!$AF$2:$AF$1048576,Archives!$D$2:$D$1048576,11,Archives!$Y$2:$Y$1048576,$B20)</f>
        <v>5</v>
      </c>
      <c r="N20" s="35">
        <f>SUMIFS(Archives!$AF$2:$AF$1048576,Archives!$D$2:$D$1048576,12,Archives!$V$2:$V$1048576,$B20)+SUMIFS(Archives!$AF$2:$AF$1048576,Archives!$D$2:$D$1048576,12,Archives!$Y$2:$Y$1048576,$B20)</f>
        <v>6</v>
      </c>
      <c r="O20" s="35">
        <f>SUMIFS(Archives!$AF$2:$AF$1048576,Archives!$D$2:$D$1048576,13,Archives!$V$2:$V$1048576,$B20)+SUMIFS(Archives!$AF$2:$AF$1048576,Archives!$D$2:$D$1048576,13,Archives!$Y$2:$Y$1048576,$B20)</f>
        <v>0</v>
      </c>
      <c r="P20" s="35">
        <f>SUMIFS(Archives!$AF$2:$AF$1048576,Archives!$D$2:$D$1048576,14,Archives!$V$2:$V$1048576,$B20)+SUMIFS(Archives!$AF$2:$AF$1048576,Archives!$D$2:$D$1048576,14,Archives!$Y$2:$Y$1048576,$B20)</f>
        <v>0</v>
      </c>
      <c r="Q20" s="35">
        <f>SUMIFS(Archives!$AF$2:$AF$1048576,Archives!$D$2:$D$1048576,15,Archives!$V$2:$V$1048576,$B20)+SUMIFS(Archives!$AF$2:$AF$1048576,Archives!$D$2:$D$1048576,15,Archives!$Y$2:$Y$1048576,$B20)</f>
        <v>0</v>
      </c>
      <c r="R20" s="36">
        <f t="shared" si="0"/>
        <v>27</v>
      </c>
    </row>
    <row r="21" spans="2:18" ht="15" customHeight="1" x14ac:dyDescent="0.2">
      <c r="B21" s="31" t="s">
        <v>135</v>
      </c>
      <c r="C21" s="32">
        <f>SUMIFS(Archives!$AF$2:$AF$1048576,Archives!$D$2:$D$1048576,1,Archives!$V$2:$V$1048576,$B21)+SUMIFS(Archives!$AF$2:$AF$1048576,Archives!$D$2:$D$1048576,1,Archives!$Y$2:$Y$1048576,$B21)</f>
        <v>4</v>
      </c>
      <c r="D21" s="32">
        <f>SUMIFS(Archives!$AF$2:$AF$1048576,Archives!$D$2:$D$1048576,2,Archives!$V$2:$V$1048576,$B21)+SUMIFS(Archives!$AF$2:$AF$1048576,Archives!$D$2:$D$1048576,2,Archives!$Y$2:$Y$1048576,$B21)</f>
        <v>3</v>
      </c>
      <c r="E21" s="32">
        <f>SUMIFS(Archives!$AF$2:$AF$1048576,Archives!$D$2:$D$1048576,3,Archives!$V$2:$V$1048576,$B21)+SUMIFS(Archives!$AF$2:$AF$1048576,Archives!$D$2:$D$1048576,3,Archives!$Y$2:$Y$1048576,$B21)</f>
        <v>1.5</v>
      </c>
      <c r="F21" s="32">
        <f>SUMIFS(Archives!$AF$2:$AF$1048576,Archives!$D$2:$D$1048576,4,Archives!$V$2:$V$1048576,$B21)+SUMIFS(Archives!$AF$2:$AF$1048576,Archives!$D$2:$D$1048576,4,Archives!$Y$2:$Y$1048576,$B21)</f>
        <v>2.5</v>
      </c>
      <c r="G21" s="32">
        <f>SUMIFS(Archives!$AF$2:$AF$1048576,Archives!$D$2:$D$1048576,5,Archives!$V$2:$V$1048576,$B21)+SUMIFS(Archives!$AF$2:$AF$1048576,Archives!$D$2:$D$1048576,5,Archives!$Y$2:$Y$1048576,$B21)</f>
        <v>0.5</v>
      </c>
      <c r="H21" s="32">
        <f>SUMIFS(Archives!$AF$2:$AF$1048576,Archives!$D$2:$D$1048576,6,Archives!$V$2:$V$1048576,$B21)+SUMIFS(Archives!$AF$2:$AF$1048576,Archives!$D$2:$D$1048576,6,Archives!$Y$2:$Y$1048576,$B21)</f>
        <v>5.5</v>
      </c>
      <c r="I21" s="32">
        <f>SUMIFS(Archives!$AF$2:$AF$1048576,Archives!$D$2:$D$1048576,7,Archives!$V$2:$V$1048576,$B21)+SUMIFS(Archives!$AF$2:$AF$1048576,Archives!$D$2:$D$1048576,7,Archives!$Y$2:$Y$1048576,$B21)</f>
        <v>3.5</v>
      </c>
      <c r="J21" s="32">
        <f>SUMIFS(Archives!$AF$2:$AF$1048576,Archives!$D$2:$D$1048576,8,Archives!$V$2:$V$1048576,$B21)+SUMIFS(Archives!$AF$2:$AF$1048576,Archives!$D$2:$D$1048576,8,Archives!$Y$2:$Y$1048576,$B21)</f>
        <v>2.5</v>
      </c>
      <c r="K21" s="32">
        <f>SUMIFS(Archives!$AF$2:$AF$1048576,Archives!$D$2:$D$1048576,9,Archives!$V$2:$V$1048576,$B21)+SUMIFS(Archives!$AF$2:$AF$1048576,Archives!$D$2:$D$1048576,9,Archives!$Y$2:$Y$1048576,$B21)</f>
        <v>1</v>
      </c>
      <c r="L21" s="32">
        <f>SUMIFS(Archives!$AF$2:$AF$1048576,Archives!$D$2:$D$1048576,10,Archives!$V$2:$V$1048576,$B21)+SUMIFS(Archives!$AF$2:$AF$1048576,Archives!$D$2:$D$1048576,10,Archives!$Y$2:$Y$1048576,$B21)</f>
        <v>0</v>
      </c>
      <c r="M21" s="32">
        <f>SUMIFS(Archives!$AF$2:$AF$1048576,Archives!$D$2:$D$1048576,11,Archives!$V$2:$V$1048576,$B21)+SUMIFS(Archives!$AF$2:$AF$1048576,Archives!$D$2:$D$1048576,11,Archives!$Y$2:$Y$1048576,$B21)</f>
        <v>1.5</v>
      </c>
      <c r="N21" s="32">
        <f>SUMIFS(Archives!$AF$2:$AF$1048576,Archives!$D$2:$D$1048576,12,Archives!$V$2:$V$1048576,$B21)+SUMIFS(Archives!$AF$2:$AF$1048576,Archives!$D$2:$D$1048576,12,Archives!$Y$2:$Y$1048576,$B21)</f>
        <v>1.5</v>
      </c>
      <c r="O21" s="32">
        <f>SUMIFS(Archives!$AF$2:$AF$1048576,Archives!$D$2:$D$1048576,13,Archives!$V$2:$V$1048576,$B21)+SUMIFS(Archives!$AF$2:$AF$1048576,Archives!$D$2:$D$1048576,13,Archives!$Y$2:$Y$1048576,$B21)</f>
        <v>0</v>
      </c>
      <c r="P21" s="32">
        <f>SUMIFS(Archives!$AF$2:$AF$1048576,Archives!$D$2:$D$1048576,14,Archives!$V$2:$V$1048576,$B21)+SUMIFS(Archives!$AF$2:$AF$1048576,Archives!$D$2:$D$1048576,14,Archives!$Y$2:$Y$1048576,$B21)</f>
        <v>0</v>
      </c>
      <c r="Q21" s="32">
        <f>SUMIFS(Archives!$AF$2:$AF$1048576,Archives!$D$2:$D$1048576,15,Archives!$V$2:$V$1048576,$B21)+SUMIFS(Archives!$AF$2:$AF$1048576,Archives!$D$2:$D$1048576,15,Archives!$Y$2:$Y$1048576,$B21)</f>
        <v>0</v>
      </c>
      <c r="R21" s="33">
        <f t="shared" si="0"/>
        <v>27</v>
      </c>
    </row>
    <row r="22" spans="2:18" ht="15" customHeight="1" x14ac:dyDescent="0.2">
      <c r="B22" s="34" t="s">
        <v>178</v>
      </c>
      <c r="C22" s="35">
        <f>SUMIFS(Archives!$AF$2:$AF$1048576,Archives!$D$2:$D$1048576,1,Archives!$V$2:$V$1048576,$B22)+SUMIFS(Archives!$AF$2:$AF$1048576,Archives!$D$2:$D$1048576,1,Archives!$Y$2:$Y$1048576,$B22)</f>
        <v>0</v>
      </c>
      <c r="D22" s="35">
        <f>SUMIFS(Archives!$AF$2:$AF$1048576,Archives!$D$2:$D$1048576,2,Archives!$V$2:$V$1048576,$B22)+SUMIFS(Archives!$AF$2:$AF$1048576,Archives!$D$2:$D$1048576,2,Archives!$Y$2:$Y$1048576,$B22)</f>
        <v>2.5</v>
      </c>
      <c r="E22" s="35">
        <f>SUMIFS(Archives!$AF$2:$AF$1048576,Archives!$D$2:$D$1048576,3,Archives!$V$2:$V$1048576,$B22)+SUMIFS(Archives!$AF$2:$AF$1048576,Archives!$D$2:$D$1048576,3,Archives!$Y$2:$Y$1048576,$B22)</f>
        <v>2</v>
      </c>
      <c r="F22" s="35">
        <f>SUMIFS(Archives!$AF$2:$AF$1048576,Archives!$D$2:$D$1048576,4,Archives!$V$2:$V$1048576,$B22)+SUMIFS(Archives!$AF$2:$AF$1048576,Archives!$D$2:$D$1048576,4,Archives!$Y$2:$Y$1048576,$B22)</f>
        <v>3.5</v>
      </c>
      <c r="G22" s="35">
        <f>SUMIFS(Archives!$AF$2:$AF$1048576,Archives!$D$2:$D$1048576,5,Archives!$V$2:$V$1048576,$B22)+SUMIFS(Archives!$AF$2:$AF$1048576,Archives!$D$2:$D$1048576,5,Archives!$Y$2:$Y$1048576,$B22)</f>
        <v>1</v>
      </c>
      <c r="H22" s="35">
        <f>SUMIFS(Archives!$AF$2:$AF$1048576,Archives!$D$2:$D$1048576,6,Archives!$V$2:$V$1048576,$B22)+SUMIFS(Archives!$AF$2:$AF$1048576,Archives!$D$2:$D$1048576,6,Archives!$Y$2:$Y$1048576,$B22)</f>
        <v>2.5</v>
      </c>
      <c r="I22" s="35">
        <f>SUMIFS(Archives!$AF$2:$AF$1048576,Archives!$D$2:$D$1048576,7,Archives!$V$2:$V$1048576,$B22)+SUMIFS(Archives!$AF$2:$AF$1048576,Archives!$D$2:$D$1048576,7,Archives!$Y$2:$Y$1048576,$B22)</f>
        <v>1.5</v>
      </c>
      <c r="J22" s="35">
        <f>SUMIFS(Archives!$AF$2:$AF$1048576,Archives!$D$2:$D$1048576,8,Archives!$V$2:$V$1048576,$B22)+SUMIFS(Archives!$AF$2:$AF$1048576,Archives!$D$2:$D$1048576,8,Archives!$Y$2:$Y$1048576,$B22)</f>
        <v>2.5</v>
      </c>
      <c r="K22" s="35">
        <f>SUMIFS(Archives!$AF$2:$AF$1048576,Archives!$D$2:$D$1048576,9,Archives!$V$2:$V$1048576,$B22)+SUMIFS(Archives!$AF$2:$AF$1048576,Archives!$D$2:$D$1048576,9,Archives!$Y$2:$Y$1048576,$B22)</f>
        <v>1</v>
      </c>
      <c r="L22" s="35">
        <f>SUMIFS(Archives!$AF$2:$AF$1048576,Archives!$D$2:$D$1048576,10,Archives!$V$2:$V$1048576,$B22)+SUMIFS(Archives!$AF$2:$AF$1048576,Archives!$D$2:$D$1048576,10,Archives!$Y$2:$Y$1048576,$B22)</f>
        <v>3</v>
      </c>
      <c r="M22" s="35">
        <f>SUMIFS(Archives!$AF$2:$AF$1048576,Archives!$D$2:$D$1048576,11,Archives!$V$2:$V$1048576,$B22)+SUMIFS(Archives!$AF$2:$AF$1048576,Archives!$D$2:$D$1048576,11,Archives!$Y$2:$Y$1048576,$B22)</f>
        <v>2.5</v>
      </c>
      <c r="N22" s="35">
        <f>SUMIFS(Archives!$AF$2:$AF$1048576,Archives!$D$2:$D$1048576,12,Archives!$V$2:$V$1048576,$B22)+SUMIFS(Archives!$AF$2:$AF$1048576,Archives!$D$2:$D$1048576,12,Archives!$Y$2:$Y$1048576,$B22)</f>
        <v>0</v>
      </c>
      <c r="O22" s="35">
        <f>SUMIFS(Archives!$AF$2:$AF$1048576,Archives!$D$2:$D$1048576,13,Archives!$V$2:$V$1048576,$B22)+SUMIFS(Archives!$AF$2:$AF$1048576,Archives!$D$2:$D$1048576,13,Archives!$Y$2:$Y$1048576,$B22)</f>
        <v>0</v>
      </c>
      <c r="P22" s="35">
        <f>SUMIFS(Archives!$AF$2:$AF$1048576,Archives!$D$2:$D$1048576,14,Archives!$V$2:$V$1048576,$B22)+SUMIFS(Archives!$AF$2:$AF$1048576,Archives!$D$2:$D$1048576,14,Archives!$Y$2:$Y$1048576,$B22)</f>
        <v>0</v>
      </c>
      <c r="Q22" s="35">
        <f>SUMIFS(Archives!$AF$2:$AF$1048576,Archives!$D$2:$D$1048576,15,Archives!$V$2:$V$1048576,$B22)+SUMIFS(Archives!$AF$2:$AF$1048576,Archives!$D$2:$D$1048576,15,Archives!$Y$2:$Y$1048576,$B22)</f>
        <v>0</v>
      </c>
      <c r="R22" s="36">
        <f t="shared" si="0"/>
        <v>22</v>
      </c>
    </row>
    <row r="23" spans="2:18" ht="15" customHeight="1" x14ac:dyDescent="0.2">
      <c r="B23" s="31" t="s">
        <v>230</v>
      </c>
      <c r="C23" s="32">
        <f>SUMIFS(Archives!$AF$2:$AF$1048576,Archives!$D$2:$D$1048576,1,Archives!$V$2:$V$1048576,$B23)+SUMIFS(Archives!$AF$2:$AF$1048576,Archives!$D$2:$D$1048576,1,Archives!$Y$2:$Y$1048576,$B23)</f>
        <v>0</v>
      </c>
      <c r="D23" s="32">
        <f>SUMIFS(Archives!$AF$2:$AF$1048576,Archives!$D$2:$D$1048576,2,Archives!$V$2:$V$1048576,$B23)+SUMIFS(Archives!$AF$2:$AF$1048576,Archives!$D$2:$D$1048576,2,Archives!$Y$2:$Y$1048576,$B23)</f>
        <v>0</v>
      </c>
      <c r="E23" s="32">
        <f>SUMIFS(Archives!$AF$2:$AF$1048576,Archives!$D$2:$D$1048576,3,Archives!$V$2:$V$1048576,$B23)+SUMIFS(Archives!$AF$2:$AF$1048576,Archives!$D$2:$D$1048576,3,Archives!$Y$2:$Y$1048576,$B23)</f>
        <v>2.5</v>
      </c>
      <c r="F23" s="32">
        <f>SUMIFS(Archives!$AF$2:$AF$1048576,Archives!$D$2:$D$1048576,4,Archives!$V$2:$V$1048576,$B23)+SUMIFS(Archives!$AF$2:$AF$1048576,Archives!$D$2:$D$1048576,4,Archives!$Y$2:$Y$1048576,$B23)</f>
        <v>2</v>
      </c>
      <c r="G23" s="32">
        <f>SUMIFS(Archives!$AF$2:$AF$1048576,Archives!$D$2:$D$1048576,5,Archives!$V$2:$V$1048576,$B23)+SUMIFS(Archives!$AF$2:$AF$1048576,Archives!$D$2:$D$1048576,5,Archives!$Y$2:$Y$1048576,$B23)</f>
        <v>5.5</v>
      </c>
      <c r="H23" s="32">
        <f>SUMIFS(Archives!$AF$2:$AF$1048576,Archives!$D$2:$D$1048576,6,Archives!$V$2:$V$1048576,$B23)+SUMIFS(Archives!$AF$2:$AF$1048576,Archives!$D$2:$D$1048576,6,Archives!$Y$2:$Y$1048576,$B23)</f>
        <v>4</v>
      </c>
      <c r="I23" s="32">
        <f>SUMIFS(Archives!$AF$2:$AF$1048576,Archives!$D$2:$D$1048576,7,Archives!$V$2:$V$1048576,$B23)+SUMIFS(Archives!$AF$2:$AF$1048576,Archives!$D$2:$D$1048576,7,Archives!$Y$2:$Y$1048576,$B23)</f>
        <v>2</v>
      </c>
      <c r="J23" s="32">
        <f>SUMIFS(Archives!$AF$2:$AF$1048576,Archives!$D$2:$D$1048576,8,Archives!$V$2:$V$1048576,$B23)+SUMIFS(Archives!$AF$2:$AF$1048576,Archives!$D$2:$D$1048576,8,Archives!$Y$2:$Y$1048576,$B23)</f>
        <v>0</v>
      </c>
      <c r="K23" s="32">
        <f>SUMIFS(Archives!$AF$2:$AF$1048576,Archives!$D$2:$D$1048576,9,Archives!$V$2:$V$1048576,$B23)+SUMIFS(Archives!$AF$2:$AF$1048576,Archives!$D$2:$D$1048576,9,Archives!$Y$2:$Y$1048576,$B23)</f>
        <v>0</v>
      </c>
      <c r="L23" s="32">
        <f>SUMIFS(Archives!$AF$2:$AF$1048576,Archives!$D$2:$D$1048576,10,Archives!$V$2:$V$1048576,$B23)+SUMIFS(Archives!$AF$2:$AF$1048576,Archives!$D$2:$D$1048576,10,Archives!$Y$2:$Y$1048576,$B23)</f>
        <v>0</v>
      </c>
      <c r="M23" s="32">
        <f>SUMIFS(Archives!$AF$2:$AF$1048576,Archives!$D$2:$D$1048576,11,Archives!$V$2:$V$1048576,$B23)+SUMIFS(Archives!$AF$2:$AF$1048576,Archives!$D$2:$D$1048576,11,Archives!$Y$2:$Y$1048576,$B23)</f>
        <v>5</v>
      </c>
      <c r="N23" s="32">
        <f>SUMIFS(Archives!$AF$2:$AF$1048576,Archives!$D$2:$D$1048576,12,Archives!$V$2:$V$1048576,$B23)+SUMIFS(Archives!$AF$2:$AF$1048576,Archives!$D$2:$D$1048576,12,Archives!$Y$2:$Y$1048576,$B23)</f>
        <v>0</v>
      </c>
      <c r="O23" s="32">
        <f>SUMIFS(Archives!$AF$2:$AF$1048576,Archives!$D$2:$D$1048576,13,Archives!$V$2:$V$1048576,$B23)+SUMIFS(Archives!$AF$2:$AF$1048576,Archives!$D$2:$D$1048576,13,Archives!$Y$2:$Y$1048576,$B23)</f>
        <v>0</v>
      </c>
      <c r="P23" s="32">
        <f>SUMIFS(Archives!$AF$2:$AF$1048576,Archives!$D$2:$D$1048576,14,Archives!$V$2:$V$1048576,$B23)+SUMIFS(Archives!$AF$2:$AF$1048576,Archives!$D$2:$D$1048576,14,Archives!$Y$2:$Y$1048576,$B23)</f>
        <v>0</v>
      </c>
      <c r="Q23" s="32">
        <f>SUMIFS(Archives!$AF$2:$AF$1048576,Archives!$D$2:$D$1048576,15,Archives!$V$2:$V$1048576,$B23)+SUMIFS(Archives!$AF$2:$AF$1048576,Archives!$D$2:$D$1048576,15,Archives!$Y$2:$Y$1048576,$B23)</f>
        <v>0</v>
      </c>
      <c r="R23" s="33">
        <f t="shared" si="0"/>
        <v>21</v>
      </c>
    </row>
    <row r="24" spans="2:18" ht="15" customHeight="1" x14ac:dyDescent="0.2">
      <c r="B24" s="34" t="s">
        <v>452</v>
      </c>
      <c r="C24" s="35">
        <f>SUMIFS(Archives!$AF$2:$AF$1048576,Archives!$D$2:$D$1048576,1,Archives!$V$2:$V$1048576,$B24)+SUMIFS(Archives!$AF$2:$AF$1048576,Archives!$D$2:$D$1048576,1,Archives!$Y$2:$Y$1048576,$B24)</f>
        <v>0</v>
      </c>
      <c r="D24" s="35">
        <f>SUMIFS(Archives!$AF$2:$AF$1048576,Archives!$D$2:$D$1048576,2,Archives!$V$2:$V$1048576,$B24)+SUMIFS(Archives!$AF$2:$AF$1048576,Archives!$D$2:$D$1048576,2,Archives!$Y$2:$Y$1048576,$B24)</f>
        <v>0</v>
      </c>
      <c r="E24" s="35">
        <f>SUMIFS(Archives!$AF$2:$AF$1048576,Archives!$D$2:$D$1048576,3,Archives!$V$2:$V$1048576,$B24)+SUMIFS(Archives!$AF$2:$AF$1048576,Archives!$D$2:$D$1048576,3,Archives!$Y$2:$Y$1048576,$B24)</f>
        <v>0</v>
      </c>
      <c r="F24" s="35">
        <f>SUMIFS(Archives!$AF$2:$AF$1048576,Archives!$D$2:$D$1048576,4,Archives!$V$2:$V$1048576,$B24)+SUMIFS(Archives!$AF$2:$AF$1048576,Archives!$D$2:$D$1048576,4,Archives!$Y$2:$Y$1048576,$B24)</f>
        <v>0</v>
      </c>
      <c r="G24" s="35">
        <f>SUMIFS(Archives!$AF$2:$AF$1048576,Archives!$D$2:$D$1048576,5,Archives!$V$2:$V$1048576,$B24)+SUMIFS(Archives!$AF$2:$AF$1048576,Archives!$D$2:$D$1048576,5,Archives!$Y$2:$Y$1048576,$B24)</f>
        <v>0</v>
      </c>
      <c r="H24" s="35">
        <f>SUMIFS(Archives!$AF$2:$AF$1048576,Archives!$D$2:$D$1048576,6,Archives!$V$2:$V$1048576,$B24)+SUMIFS(Archives!$AF$2:$AF$1048576,Archives!$D$2:$D$1048576,6,Archives!$Y$2:$Y$1048576,$B24)</f>
        <v>0</v>
      </c>
      <c r="I24" s="35">
        <f>SUMIFS(Archives!$AF$2:$AF$1048576,Archives!$D$2:$D$1048576,7,Archives!$V$2:$V$1048576,$B24)+SUMIFS(Archives!$AF$2:$AF$1048576,Archives!$D$2:$D$1048576,7,Archives!$Y$2:$Y$1048576,$B24)</f>
        <v>0</v>
      </c>
      <c r="J24" s="35">
        <f>SUMIFS(Archives!$AF$2:$AF$1048576,Archives!$D$2:$D$1048576,8,Archives!$V$2:$V$1048576,$B24)+SUMIFS(Archives!$AF$2:$AF$1048576,Archives!$D$2:$D$1048576,8,Archives!$Y$2:$Y$1048576,$B24)</f>
        <v>1.5</v>
      </c>
      <c r="K24" s="35">
        <f>SUMIFS(Archives!$AF$2:$AF$1048576,Archives!$D$2:$D$1048576,9,Archives!$V$2:$V$1048576,$B24)+SUMIFS(Archives!$AF$2:$AF$1048576,Archives!$D$2:$D$1048576,9,Archives!$Y$2:$Y$1048576,$B24)</f>
        <v>4.5</v>
      </c>
      <c r="L24" s="35">
        <f>SUMIFS(Archives!$AF$2:$AF$1048576,Archives!$D$2:$D$1048576,10,Archives!$V$2:$V$1048576,$B24)+SUMIFS(Archives!$AF$2:$AF$1048576,Archives!$D$2:$D$1048576,10,Archives!$Y$2:$Y$1048576,$B24)</f>
        <v>5</v>
      </c>
      <c r="M24" s="35">
        <f>SUMIFS(Archives!$AF$2:$AF$1048576,Archives!$D$2:$D$1048576,11,Archives!$V$2:$V$1048576,$B24)+SUMIFS(Archives!$AF$2:$AF$1048576,Archives!$D$2:$D$1048576,11,Archives!$Y$2:$Y$1048576,$B24)</f>
        <v>4.5</v>
      </c>
      <c r="N24" s="35">
        <f>SUMIFS(Archives!$AF$2:$AF$1048576,Archives!$D$2:$D$1048576,12,Archives!$V$2:$V$1048576,$B24)+SUMIFS(Archives!$AF$2:$AF$1048576,Archives!$D$2:$D$1048576,12,Archives!$Y$2:$Y$1048576,$B24)</f>
        <v>5</v>
      </c>
      <c r="O24" s="35">
        <f>SUMIFS(Archives!$AF$2:$AF$1048576,Archives!$D$2:$D$1048576,13,Archives!$V$2:$V$1048576,$B24)+SUMIFS(Archives!$AF$2:$AF$1048576,Archives!$D$2:$D$1048576,13,Archives!$Y$2:$Y$1048576,$B24)</f>
        <v>0</v>
      </c>
      <c r="P24" s="35">
        <f>SUMIFS(Archives!$AF$2:$AF$1048576,Archives!$D$2:$D$1048576,14,Archives!$V$2:$V$1048576,$B24)+SUMIFS(Archives!$AF$2:$AF$1048576,Archives!$D$2:$D$1048576,14,Archives!$Y$2:$Y$1048576,$B24)</f>
        <v>0</v>
      </c>
      <c r="Q24" s="35">
        <f>SUMIFS(Archives!$AF$2:$AF$1048576,Archives!$D$2:$D$1048576,15,Archives!$V$2:$V$1048576,$B24)+SUMIFS(Archives!$AF$2:$AF$1048576,Archives!$D$2:$D$1048576,15,Archives!$Y$2:$Y$1048576,$B24)</f>
        <v>0</v>
      </c>
      <c r="R24" s="36">
        <f t="shared" si="0"/>
        <v>20.5</v>
      </c>
    </row>
    <row r="25" spans="2:18" ht="15" customHeight="1" x14ac:dyDescent="0.2">
      <c r="B25" s="31" t="s">
        <v>321</v>
      </c>
      <c r="C25" s="32">
        <f>SUMIFS(Archives!$AF$2:$AF$1048576,Archives!$D$2:$D$1048576,1,Archives!$V$2:$V$1048576,$B25)+SUMIFS(Archives!$AF$2:$AF$1048576,Archives!$D$2:$D$1048576,1,Archives!$Y$2:$Y$1048576,$B25)</f>
        <v>0</v>
      </c>
      <c r="D25" s="32">
        <f>SUMIFS(Archives!$AF$2:$AF$1048576,Archives!$D$2:$D$1048576,2,Archives!$V$2:$V$1048576,$B25)+SUMIFS(Archives!$AF$2:$AF$1048576,Archives!$D$2:$D$1048576,2,Archives!$Y$2:$Y$1048576,$B25)</f>
        <v>0</v>
      </c>
      <c r="E25" s="32">
        <f>SUMIFS(Archives!$AF$2:$AF$1048576,Archives!$D$2:$D$1048576,3,Archives!$V$2:$V$1048576,$B25)+SUMIFS(Archives!$AF$2:$AF$1048576,Archives!$D$2:$D$1048576,3,Archives!$Y$2:$Y$1048576,$B25)</f>
        <v>0</v>
      </c>
      <c r="F25" s="32">
        <f>SUMIFS(Archives!$AF$2:$AF$1048576,Archives!$D$2:$D$1048576,4,Archives!$V$2:$V$1048576,$B25)+SUMIFS(Archives!$AF$2:$AF$1048576,Archives!$D$2:$D$1048576,4,Archives!$Y$2:$Y$1048576,$B25)</f>
        <v>0</v>
      </c>
      <c r="G25" s="32">
        <f>SUMIFS(Archives!$AF$2:$AF$1048576,Archives!$D$2:$D$1048576,5,Archives!$V$2:$V$1048576,$B25)+SUMIFS(Archives!$AF$2:$AF$1048576,Archives!$D$2:$D$1048576,5,Archives!$Y$2:$Y$1048576,$B25)</f>
        <v>4</v>
      </c>
      <c r="H25" s="32">
        <f>SUMIFS(Archives!$AF$2:$AF$1048576,Archives!$D$2:$D$1048576,6,Archives!$V$2:$V$1048576,$B25)+SUMIFS(Archives!$AF$2:$AF$1048576,Archives!$D$2:$D$1048576,6,Archives!$Y$2:$Y$1048576,$B25)</f>
        <v>0</v>
      </c>
      <c r="I25" s="32">
        <f>SUMIFS(Archives!$AF$2:$AF$1048576,Archives!$D$2:$D$1048576,7,Archives!$V$2:$V$1048576,$B25)+SUMIFS(Archives!$AF$2:$AF$1048576,Archives!$D$2:$D$1048576,7,Archives!$Y$2:$Y$1048576,$B25)</f>
        <v>0</v>
      </c>
      <c r="J25" s="32">
        <f>SUMIFS(Archives!$AF$2:$AF$1048576,Archives!$D$2:$D$1048576,8,Archives!$V$2:$V$1048576,$B25)+SUMIFS(Archives!$AF$2:$AF$1048576,Archives!$D$2:$D$1048576,8,Archives!$Y$2:$Y$1048576,$B25)</f>
        <v>3</v>
      </c>
      <c r="K25" s="32">
        <f>SUMIFS(Archives!$AF$2:$AF$1048576,Archives!$D$2:$D$1048576,9,Archives!$V$2:$V$1048576,$B25)+SUMIFS(Archives!$AF$2:$AF$1048576,Archives!$D$2:$D$1048576,9,Archives!$Y$2:$Y$1048576,$B25)</f>
        <v>3</v>
      </c>
      <c r="L25" s="32">
        <f>SUMIFS(Archives!$AF$2:$AF$1048576,Archives!$D$2:$D$1048576,10,Archives!$V$2:$V$1048576,$B25)+SUMIFS(Archives!$AF$2:$AF$1048576,Archives!$D$2:$D$1048576,10,Archives!$Y$2:$Y$1048576,$B25)</f>
        <v>2</v>
      </c>
      <c r="M25" s="32">
        <f>SUMIFS(Archives!$AF$2:$AF$1048576,Archives!$D$2:$D$1048576,11,Archives!$V$2:$V$1048576,$B25)+SUMIFS(Archives!$AF$2:$AF$1048576,Archives!$D$2:$D$1048576,11,Archives!$Y$2:$Y$1048576,$B25)</f>
        <v>2.5</v>
      </c>
      <c r="N25" s="32">
        <f>SUMIFS(Archives!$AF$2:$AF$1048576,Archives!$D$2:$D$1048576,12,Archives!$V$2:$V$1048576,$B25)+SUMIFS(Archives!$AF$2:$AF$1048576,Archives!$D$2:$D$1048576,12,Archives!$Y$2:$Y$1048576,$B25)</f>
        <v>4</v>
      </c>
      <c r="O25" s="32">
        <f>SUMIFS(Archives!$AF$2:$AF$1048576,Archives!$D$2:$D$1048576,13,Archives!$V$2:$V$1048576,$B25)+SUMIFS(Archives!$AF$2:$AF$1048576,Archives!$D$2:$D$1048576,13,Archives!$Y$2:$Y$1048576,$B25)</f>
        <v>0</v>
      </c>
      <c r="P25" s="32">
        <f>SUMIFS(Archives!$AF$2:$AF$1048576,Archives!$D$2:$D$1048576,14,Archives!$V$2:$V$1048576,$B25)+SUMIFS(Archives!$AF$2:$AF$1048576,Archives!$D$2:$D$1048576,14,Archives!$Y$2:$Y$1048576,$B25)</f>
        <v>0</v>
      </c>
      <c r="Q25" s="32">
        <f>SUMIFS(Archives!$AF$2:$AF$1048576,Archives!$D$2:$D$1048576,15,Archives!$V$2:$V$1048576,$B25)+SUMIFS(Archives!$AF$2:$AF$1048576,Archives!$D$2:$D$1048576,15,Archives!$Y$2:$Y$1048576,$B25)</f>
        <v>0</v>
      </c>
      <c r="R25" s="33">
        <f t="shared" si="0"/>
        <v>18.5</v>
      </c>
    </row>
    <row r="26" spans="2:18" ht="15" customHeight="1" x14ac:dyDescent="0.2">
      <c r="B26" s="34" t="s">
        <v>456</v>
      </c>
      <c r="C26" s="35">
        <f>SUMIFS(Archives!$AF$2:$AF$1048576,Archives!$D$2:$D$1048576,1,Archives!$V$2:$V$1048576,$B26)+SUMIFS(Archives!$AF$2:$AF$1048576,Archives!$D$2:$D$1048576,1,Archives!$Y$2:$Y$1048576,$B26)</f>
        <v>0</v>
      </c>
      <c r="D26" s="35">
        <f>SUMIFS(Archives!$AF$2:$AF$1048576,Archives!$D$2:$D$1048576,2,Archives!$V$2:$V$1048576,$B26)+SUMIFS(Archives!$AF$2:$AF$1048576,Archives!$D$2:$D$1048576,2,Archives!$Y$2:$Y$1048576,$B26)</f>
        <v>0</v>
      </c>
      <c r="E26" s="35">
        <f>SUMIFS(Archives!$AF$2:$AF$1048576,Archives!$D$2:$D$1048576,3,Archives!$V$2:$V$1048576,$B26)+SUMIFS(Archives!$AF$2:$AF$1048576,Archives!$D$2:$D$1048576,3,Archives!$Y$2:$Y$1048576,$B26)</f>
        <v>0</v>
      </c>
      <c r="F26" s="35">
        <f>SUMIFS(Archives!$AF$2:$AF$1048576,Archives!$D$2:$D$1048576,4,Archives!$V$2:$V$1048576,$B26)+SUMIFS(Archives!$AF$2:$AF$1048576,Archives!$D$2:$D$1048576,4,Archives!$Y$2:$Y$1048576,$B26)</f>
        <v>0</v>
      </c>
      <c r="G26" s="35">
        <f>SUMIFS(Archives!$AF$2:$AF$1048576,Archives!$D$2:$D$1048576,5,Archives!$V$2:$V$1048576,$B26)+SUMIFS(Archives!$AF$2:$AF$1048576,Archives!$D$2:$D$1048576,5,Archives!$Y$2:$Y$1048576,$B26)</f>
        <v>0</v>
      </c>
      <c r="H26" s="35">
        <f>SUMIFS(Archives!$AF$2:$AF$1048576,Archives!$D$2:$D$1048576,6,Archives!$V$2:$V$1048576,$B26)+SUMIFS(Archives!$AF$2:$AF$1048576,Archives!$D$2:$D$1048576,6,Archives!$Y$2:$Y$1048576,$B26)</f>
        <v>0</v>
      </c>
      <c r="I26" s="35">
        <f>SUMIFS(Archives!$AF$2:$AF$1048576,Archives!$D$2:$D$1048576,7,Archives!$V$2:$V$1048576,$B26)+SUMIFS(Archives!$AF$2:$AF$1048576,Archives!$D$2:$D$1048576,7,Archives!$Y$2:$Y$1048576,$B26)</f>
        <v>0</v>
      </c>
      <c r="J26" s="35">
        <f>SUMIFS(Archives!$AF$2:$AF$1048576,Archives!$D$2:$D$1048576,8,Archives!$V$2:$V$1048576,$B26)+SUMIFS(Archives!$AF$2:$AF$1048576,Archives!$D$2:$D$1048576,8,Archives!$Y$2:$Y$1048576,$B26)</f>
        <v>5.5</v>
      </c>
      <c r="K26" s="35">
        <f>SUMIFS(Archives!$AF$2:$AF$1048576,Archives!$D$2:$D$1048576,9,Archives!$V$2:$V$1048576,$B26)+SUMIFS(Archives!$AF$2:$AF$1048576,Archives!$D$2:$D$1048576,9,Archives!$Y$2:$Y$1048576,$B26)</f>
        <v>6</v>
      </c>
      <c r="L26" s="35">
        <f>SUMIFS(Archives!$AF$2:$AF$1048576,Archives!$D$2:$D$1048576,10,Archives!$V$2:$V$1048576,$B26)+SUMIFS(Archives!$AF$2:$AF$1048576,Archives!$D$2:$D$1048576,10,Archives!$Y$2:$Y$1048576,$B26)</f>
        <v>2</v>
      </c>
      <c r="M26" s="35">
        <f>SUMIFS(Archives!$AF$2:$AF$1048576,Archives!$D$2:$D$1048576,11,Archives!$V$2:$V$1048576,$B26)+SUMIFS(Archives!$AF$2:$AF$1048576,Archives!$D$2:$D$1048576,11,Archives!$Y$2:$Y$1048576,$B26)</f>
        <v>0</v>
      </c>
      <c r="N26" s="35">
        <f>SUMIFS(Archives!$AF$2:$AF$1048576,Archives!$D$2:$D$1048576,12,Archives!$V$2:$V$1048576,$B26)+SUMIFS(Archives!$AF$2:$AF$1048576,Archives!$D$2:$D$1048576,12,Archives!$Y$2:$Y$1048576,$B26)</f>
        <v>5</v>
      </c>
      <c r="O26" s="35">
        <f>SUMIFS(Archives!$AF$2:$AF$1048576,Archives!$D$2:$D$1048576,13,Archives!$V$2:$V$1048576,$B26)+SUMIFS(Archives!$AF$2:$AF$1048576,Archives!$D$2:$D$1048576,13,Archives!$Y$2:$Y$1048576,$B26)</f>
        <v>0</v>
      </c>
      <c r="P26" s="35">
        <f>SUMIFS(Archives!$AF$2:$AF$1048576,Archives!$D$2:$D$1048576,14,Archives!$V$2:$V$1048576,$B26)+SUMIFS(Archives!$AF$2:$AF$1048576,Archives!$D$2:$D$1048576,14,Archives!$Y$2:$Y$1048576,$B26)</f>
        <v>0</v>
      </c>
      <c r="Q26" s="35">
        <f>SUMIFS(Archives!$AF$2:$AF$1048576,Archives!$D$2:$D$1048576,15,Archives!$V$2:$V$1048576,$B26)+SUMIFS(Archives!$AF$2:$AF$1048576,Archives!$D$2:$D$1048576,15,Archives!$Y$2:$Y$1048576,$B26)</f>
        <v>0</v>
      </c>
      <c r="R26" s="36">
        <f t="shared" si="0"/>
        <v>18.5</v>
      </c>
    </row>
    <row r="27" spans="2:18" ht="15" customHeight="1" x14ac:dyDescent="0.2">
      <c r="B27" s="31" t="s">
        <v>693</v>
      </c>
      <c r="C27" s="32">
        <f>SUMIFS(Archives!$AF$2:$AF$1048576,Archives!$D$2:$D$1048576,1,Archives!$V$2:$V$1048576,$B27)+SUMIFS(Archives!$AF$2:$AF$1048576,Archives!$D$2:$D$1048576,1,Archives!$Y$2:$Y$1048576,$B27)</f>
        <v>0</v>
      </c>
      <c r="D27" s="32">
        <f>SUMIFS(Archives!$AF$2:$AF$1048576,Archives!$D$2:$D$1048576,2,Archives!$V$2:$V$1048576,$B27)+SUMIFS(Archives!$AF$2:$AF$1048576,Archives!$D$2:$D$1048576,2,Archives!$Y$2:$Y$1048576,$B27)</f>
        <v>2</v>
      </c>
      <c r="E27" s="32">
        <f>SUMIFS(Archives!$AF$2:$AF$1048576,Archives!$D$2:$D$1048576,3,Archives!$V$2:$V$1048576,$B27)+SUMIFS(Archives!$AF$2:$AF$1048576,Archives!$D$2:$D$1048576,3,Archives!$Y$2:$Y$1048576,$B27)</f>
        <v>2</v>
      </c>
      <c r="F27" s="32">
        <f>SUMIFS(Archives!$AF$2:$AF$1048576,Archives!$D$2:$D$1048576,4,Archives!$V$2:$V$1048576,$B27)+SUMIFS(Archives!$AF$2:$AF$1048576,Archives!$D$2:$D$1048576,4,Archives!$Y$2:$Y$1048576,$B27)</f>
        <v>4.5</v>
      </c>
      <c r="G27" s="32">
        <f>SUMIFS(Archives!$AF$2:$AF$1048576,Archives!$D$2:$D$1048576,5,Archives!$V$2:$V$1048576,$B27)+SUMIFS(Archives!$AF$2:$AF$1048576,Archives!$D$2:$D$1048576,5,Archives!$Y$2:$Y$1048576,$B27)</f>
        <v>0</v>
      </c>
      <c r="H27" s="32">
        <f>SUMIFS(Archives!$AF$2:$AF$1048576,Archives!$D$2:$D$1048576,6,Archives!$V$2:$V$1048576,$B27)+SUMIFS(Archives!$AF$2:$AF$1048576,Archives!$D$2:$D$1048576,6,Archives!$Y$2:$Y$1048576,$B27)</f>
        <v>2</v>
      </c>
      <c r="I27" s="32">
        <f>SUMIFS(Archives!$AF$2:$AF$1048576,Archives!$D$2:$D$1048576,7,Archives!$V$2:$V$1048576,$B27)+SUMIFS(Archives!$AF$2:$AF$1048576,Archives!$D$2:$D$1048576,7,Archives!$Y$2:$Y$1048576,$B27)</f>
        <v>2.5</v>
      </c>
      <c r="J27" s="32">
        <f>SUMIFS(Archives!$AF$2:$AF$1048576,Archives!$D$2:$D$1048576,8,Archives!$V$2:$V$1048576,$B27)+SUMIFS(Archives!$AF$2:$AF$1048576,Archives!$D$2:$D$1048576,8,Archives!$Y$2:$Y$1048576,$B27)</f>
        <v>0</v>
      </c>
      <c r="K27" s="32">
        <f>SUMIFS(Archives!$AF$2:$AF$1048576,Archives!$D$2:$D$1048576,9,Archives!$V$2:$V$1048576,$B27)+SUMIFS(Archives!$AF$2:$AF$1048576,Archives!$D$2:$D$1048576,9,Archives!$Y$2:$Y$1048576,$B27)</f>
        <v>0</v>
      </c>
      <c r="L27" s="32">
        <f>SUMIFS(Archives!$AF$2:$AF$1048576,Archives!$D$2:$D$1048576,10,Archives!$V$2:$V$1048576,$B27)+SUMIFS(Archives!$AF$2:$AF$1048576,Archives!$D$2:$D$1048576,10,Archives!$Y$2:$Y$1048576,$B27)</f>
        <v>0</v>
      </c>
      <c r="M27" s="32">
        <f>SUMIFS(Archives!$AF$2:$AF$1048576,Archives!$D$2:$D$1048576,11,Archives!$V$2:$V$1048576,$B27)+SUMIFS(Archives!$AF$2:$AF$1048576,Archives!$D$2:$D$1048576,11,Archives!$Y$2:$Y$1048576,$B27)</f>
        <v>0</v>
      </c>
      <c r="N27" s="32">
        <f>SUMIFS(Archives!$AF$2:$AF$1048576,Archives!$D$2:$D$1048576,12,Archives!$V$2:$V$1048576,$B27)+SUMIFS(Archives!$AF$2:$AF$1048576,Archives!$D$2:$D$1048576,12,Archives!$Y$2:$Y$1048576,$B27)</f>
        <v>0</v>
      </c>
      <c r="O27" s="32">
        <f>SUMIFS(Archives!$AF$2:$AF$1048576,Archives!$D$2:$D$1048576,13,Archives!$V$2:$V$1048576,$B27)+SUMIFS(Archives!$AF$2:$AF$1048576,Archives!$D$2:$D$1048576,13,Archives!$Y$2:$Y$1048576,$B27)</f>
        <v>0</v>
      </c>
      <c r="P27" s="32">
        <f>SUMIFS(Archives!$AF$2:$AF$1048576,Archives!$D$2:$D$1048576,14,Archives!$V$2:$V$1048576,$B27)+SUMIFS(Archives!$AF$2:$AF$1048576,Archives!$D$2:$D$1048576,14,Archives!$Y$2:$Y$1048576,$B27)</f>
        <v>0</v>
      </c>
      <c r="Q27" s="32">
        <f>SUMIFS(Archives!$AF$2:$AF$1048576,Archives!$D$2:$D$1048576,15,Archives!$V$2:$V$1048576,$B27)+SUMIFS(Archives!$AF$2:$AF$1048576,Archives!$D$2:$D$1048576,15,Archives!$Y$2:$Y$1048576,$B27)</f>
        <v>0</v>
      </c>
      <c r="R27" s="33">
        <f t="shared" si="0"/>
        <v>13</v>
      </c>
    </row>
    <row r="28" spans="2:18" ht="15" customHeight="1" x14ac:dyDescent="0.2">
      <c r="B28" s="34" t="s">
        <v>541</v>
      </c>
      <c r="C28" s="35">
        <f>SUMIFS(Archives!$AF$2:$AF$1048576,Archives!$D$2:$D$1048576,1,Archives!$V$2:$V$1048576,$B28)+SUMIFS(Archives!$AF$2:$AF$1048576,Archives!$D$2:$D$1048576,1,Archives!$Y$2:$Y$1048576,$B28)</f>
        <v>0</v>
      </c>
      <c r="D28" s="35">
        <f>SUMIFS(Archives!$AF$2:$AF$1048576,Archives!$D$2:$D$1048576,2,Archives!$V$2:$V$1048576,$B28)+SUMIFS(Archives!$AF$2:$AF$1048576,Archives!$D$2:$D$1048576,2,Archives!$Y$2:$Y$1048576,$B28)</f>
        <v>0</v>
      </c>
      <c r="E28" s="35">
        <f>SUMIFS(Archives!$AF$2:$AF$1048576,Archives!$D$2:$D$1048576,3,Archives!$V$2:$V$1048576,$B28)+SUMIFS(Archives!$AF$2:$AF$1048576,Archives!$D$2:$D$1048576,3,Archives!$Y$2:$Y$1048576,$B28)</f>
        <v>0</v>
      </c>
      <c r="F28" s="35">
        <f>SUMIFS(Archives!$AF$2:$AF$1048576,Archives!$D$2:$D$1048576,4,Archives!$V$2:$V$1048576,$B28)+SUMIFS(Archives!$AF$2:$AF$1048576,Archives!$D$2:$D$1048576,4,Archives!$Y$2:$Y$1048576,$B28)</f>
        <v>0</v>
      </c>
      <c r="G28" s="35">
        <f>SUMIFS(Archives!$AF$2:$AF$1048576,Archives!$D$2:$D$1048576,5,Archives!$V$2:$V$1048576,$B28)+SUMIFS(Archives!$AF$2:$AF$1048576,Archives!$D$2:$D$1048576,5,Archives!$Y$2:$Y$1048576,$B28)</f>
        <v>0</v>
      </c>
      <c r="H28" s="35">
        <f>SUMIFS(Archives!$AF$2:$AF$1048576,Archives!$D$2:$D$1048576,6,Archives!$V$2:$V$1048576,$B28)+SUMIFS(Archives!$AF$2:$AF$1048576,Archives!$D$2:$D$1048576,6,Archives!$Y$2:$Y$1048576,$B28)</f>
        <v>0</v>
      </c>
      <c r="I28" s="35">
        <f>SUMIFS(Archives!$AF$2:$AF$1048576,Archives!$D$2:$D$1048576,7,Archives!$V$2:$V$1048576,$B28)+SUMIFS(Archives!$AF$2:$AF$1048576,Archives!$D$2:$D$1048576,7,Archives!$Y$2:$Y$1048576,$B28)</f>
        <v>0</v>
      </c>
      <c r="J28" s="35">
        <f>SUMIFS(Archives!$AF$2:$AF$1048576,Archives!$D$2:$D$1048576,8,Archives!$V$2:$V$1048576,$B28)+SUMIFS(Archives!$AF$2:$AF$1048576,Archives!$D$2:$D$1048576,8,Archives!$Y$2:$Y$1048576,$B28)</f>
        <v>0</v>
      </c>
      <c r="K28" s="35">
        <f>SUMIFS(Archives!$AF$2:$AF$1048576,Archives!$D$2:$D$1048576,9,Archives!$V$2:$V$1048576,$B28)+SUMIFS(Archives!$AF$2:$AF$1048576,Archives!$D$2:$D$1048576,9,Archives!$Y$2:$Y$1048576,$B28)</f>
        <v>0</v>
      </c>
      <c r="L28" s="35">
        <f>SUMIFS(Archives!$AF$2:$AF$1048576,Archives!$D$2:$D$1048576,10,Archives!$V$2:$V$1048576,$B28)+SUMIFS(Archives!$AF$2:$AF$1048576,Archives!$D$2:$D$1048576,10,Archives!$Y$2:$Y$1048576,$B28)</f>
        <v>3</v>
      </c>
      <c r="M28" s="35">
        <f>SUMIFS(Archives!$AF$2:$AF$1048576,Archives!$D$2:$D$1048576,11,Archives!$V$2:$V$1048576,$B28)+SUMIFS(Archives!$AF$2:$AF$1048576,Archives!$D$2:$D$1048576,11,Archives!$Y$2:$Y$1048576,$B28)</f>
        <v>0</v>
      </c>
      <c r="N28" s="35">
        <f>SUMIFS(Archives!$AF$2:$AF$1048576,Archives!$D$2:$D$1048576,12,Archives!$V$2:$V$1048576,$B28)+SUMIFS(Archives!$AF$2:$AF$1048576,Archives!$D$2:$D$1048576,12,Archives!$Y$2:$Y$1048576,$B28)</f>
        <v>6</v>
      </c>
      <c r="O28" s="35">
        <f>SUMIFS(Archives!$AF$2:$AF$1048576,Archives!$D$2:$D$1048576,13,Archives!$V$2:$V$1048576,$B28)+SUMIFS(Archives!$AF$2:$AF$1048576,Archives!$D$2:$D$1048576,13,Archives!$Y$2:$Y$1048576,$B28)</f>
        <v>0</v>
      </c>
      <c r="P28" s="35">
        <f>SUMIFS(Archives!$AF$2:$AF$1048576,Archives!$D$2:$D$1048576,14,Archives!$V$2:$V$1048576,$B28)+SUMIFS(Archives!$AF$2:$AF$1048576,Archives!$D$2:$D$1048576,14,Archives!$Y$2:$Y$1048576,$B28)</f>
        <v>0</v>
      </c>
      <c r="Q28" s="35">
        <f>SUMIFS(Archives!$AF$2:$AF$1048576,Archives!$D$2:$D$1048576,15,Archives!$V$2:$V$1048576,$B28)+SUMIFS(Archives!$AF$2:$AF$1048576,Archives!$D$2:$D$1048576,15,Archives!$Y$2:$Y$1048576,$B28)</f>
        <v>0</v>
      </c>
      <c r="R28" s="36">
        <f t="shared" si="0"/>
        <v>9</v>
      </c>
    </row>
    <row r="29" spans="2:18" ht="15" customHeight="1" x14ac:dyDescent="0.2">
      <c r="B29" s="31" t="s">
        <v>120</v>
      </c>
      <c r="C29" s="32">
        <f>SUMIFS(Archives!$AF$2:$AF$1048576,Archives!$D$2:$D$1048576,1,Archives!$V$2:$V$1048576,$B29)+SUMIFS(Archives!$AF$2:$AF$1048576,Archives!$D$2:$D$1048576,1,Archives!$Y$2:$Y$1048576,$B29)</f>
        <v>3.5</v>
      </c>
      <c r="D29" s="32">
        <f>SUMIFS(Archives!$AF$2:$AF$1048576,Archives!$D$2:$D$1048576,2,Archives!$V$2:$V$1048576,$B29)+SUMIFS(Archives!$AF$2:$AF$1048576,Archives!$D$2:$D$1048576,2,Archives!$Y$2:$Y$1048576,$B29)</f>
        <v>2</v>
      </c>
      <c r="E29" s="32">
        <f>SUMIFS(Archives!$AF$2:$AF$1048576,Archives!$D$2:$D$1048576,3,Archives!$V$2:$V$1048576,$B29)+SUMIFS(Archives!$AF$2:$AF$1048576,Archives!$D$2:$D$1048576,3,Archives!$Y$2:$Y$1048576,$B29)</f>
        <v>3</v>
      </c>
      <c r="F29" s="32">
        <f>SUMIFS(Archives!$AF$2:$AF$1048576,Archives!$D$2:$D$1048576,4,Archives!$V$2:$V$1048576,$B29)+SUMIFS(Archives!$AF$2:$AF$1048576,Archives!$D$2:$D$1048576,4,Archives!$Y$2:$Y$1048576,$B29)</f>
        <v>0</v>
      </c>
      <c r="G29" s="32">
        <f>SUMIFS(Archives!$AF$2:$AF$1048576,Archives!$D$2:$D$1048576,5,Archives!$V$2:$V$1048576,$B29)+SUMIFS(Archives!$AF$2:$AF$1048576,Archives!$D$2:$D$1048576,5,Archives!$Y$2:$Y$1048576,$B29)</f>
        <v>0</v>
      </c>
      <c r="H29" s="32">
        <f>SUMIFS(Archives!$AF$2:$AF$1048576,Archives!$D$2:$D$1048576,6,Archives!$V$2:$V$1048576,$B29)+SUMIFS(Archives!$AF$2:$AF$1048576,Archives!$D$2:$D$1048576,6,Archives!$Y$2:$Y$1048576,$B29)</f>
        <v>0</v>
      </c>
      <c r="I29" s="32">
        <f>SUMIFS(Archives!$AF$2:$AF$1048576,Archives!$D$2:$D$1048576,7,Archives!$V$2:$V$1048576,$B29)+SUMIFS(Archives!$AF$2:$AF$1048576,Archives!$D$2:$D$1048576,7,Archives!$Y$2:$Y$1048576,$B29)</f>
        <v>0</v>
      </c>
      <c r="J29" s="32">
        <f>SUMIFS(Archives!$AF$2:$AF$1048576,Archives!$D$2:$D$1048576,8,Archives!$V$2:$V$1048576,$B29)+SUMIFS(Archives!$AF$2:$AF$1048576,Archives!$D$2:$D$1048576,8,Archives!$Y$2:$Y$1048576,$B29)</f>
        <v>0</v>
      </c>
      <c r="K29" s="32">
        <f>SUMIFS(Archives!$AF$2:$AF$1048576,Archives!$D$2:$D$1048576,9,Archives!$V$2:$V$1048576,$B29)+SUMIFS(Archives!$AF$2:$AF$1048576,Archives!$D$2:$D$1048576,9,Archives!$Y$2:$Y$1048576,$B29)</f>
        <v>0</v>
      </c>
      <c r="L29" s="32">
        <f>SUMIFS(Archives!$AF$2:$AF$1048576,Archives!$D$2:$D$1048576,10,Archives!$V$2:$V$1048576,$B29)+SUMIFS(Archives!$AF$2:$AF$1048576,Archives!$D$2:$D$1048576,10,Archives!$Y$2:$Y$1048576,$B29)</f>
        <v>0</v>
      </c>
      <c r="M29" s="32">
        <f>SUMIFS(Archives!$AF$2:$AF$1048576,Archives!$D$2:$D$1048576,11,Archives!$V$2:$V$1048576,$B29)+SUMIFS(Archives!$AF$2:$AF$1048576,Archives!$D$2:$D$1048576,11,Archives!$Y$2:$Y$1048576,$B29)</f>
        <v>0</v>
      </c>
      <c r="N29" s="32">
        <f>SUMIFS(Archives!$AF$2:$AF$1048576,Archives!$D$2:$D$1048576,12,Archives!$V$2:$V$1048576,$B29)+SUMIFS(Archives!$AF$2:$AF$1048576,Archives!$D$2:$D$1048576,12,Archives!$Y$2:$Y$1048576,$B29)</f>
        <v>0</v>
      </c>
      <c r="O29" s="32">
        <f>SUMIFS(Archives!$AF$2:$AF$1048576,Archives!$D$2:$D$1048576,13,Archives!$V$2:$V$1048576,$B29)+SUMIFS(Archives!$AF$2:$AF$1048576,Archives!$D$2:$D$1048576,13,Archives!$Y$2:$Y$1048576,$B29)</f>
        <v>0</v>
      </c>
      <c r="P29" s="32">
        <f>SUMIFS(Archives!$AF$2:$AF$1048576,Archives!$D$2:$D$1048576,14,Archives!$V$2:$V$1048576,$B29)+SUMIFS(Archives!$AF$2:$AF$1048576,Archives!$D$2:$D$1048576,14,Archives!$Y$2:$Y$1048576,$B29)</f>
        <v>0</v>
      </c>
      <c r="Q29" s="32">
        <f>SUMIFS(Archives!$AF$2:$AF$1048576,Archives!$D$2:$D$1048576,15,Archives!$V$2:$V$1048576,$B29)+SUMIFS(Archives!$AF$2:$AF$1048576,Archives!$D$2:$D$1048576,15,Archives!$Y$2:$Y$1048576,$B29)</f>
        <v>0</v>
      </c>
      <c r="R29" s="33">
        <f t="shared" si="0"/>
        <v>8.5</v>
      </c>
    </row>
    <row r="30" spans="2:18" ht="15" customHeight="1" x14ac:dyDescent="0.2">
      <c r="B30" s="34" t="s">
        <v>175</v>
      </c>
      <c r="C30" s="35">
        <f>SUMIFS(Archives!$AF$2:$AF$1048576,Archives!$D$2:$D$1048576,1,Archives!$V$2:$V$1048576,$B30)+SUMIFS(Archives!$AF$2:$AF$1048576,Archives!$D$2:$D$1048576,1,Archives!$Y$2:$Y$1048576,$B30)</f>
        <v>0</v>
      </c>
      <c r="D30" s="35">
        <f>SUMIFS(Archives!$AF$2:$AF$1048576,Archives!$D$2:$D$1048576,2,Archives!$V$2:$V$1048576,$B30)+SUMIFS(Archives!$AF$2:$AF$1048576,Archives!$D$2:$D$1048576,2,Archives!$Y$2:$Y$1048576,$B30)</f>
        <v>2.5</v>
      </c>
      <c r="E30" s="35">
        <f>SUMIFS(Archives!$AF$2:$AF$1048576,Archives!$D$2:$D$1048576,3,Archives!$V$2:$V$1048576,$B30)+SUMIFS(Archives!$AF$2:$AF$1048576,Archives!$D$2:$D$1048576,3,Archives!$Y$2:$Y$1048576,$B30)</f>
        <v>3</v>
      </c>
      <c r="F30" s="35">
        <f>SUMIFS(Archives!$AF$2:$AF$1048576,Archives!$D$2:$D$1048576,4,Archives!$V$2:$V$1048576,$B30)+SUMIFS(Archives!$AF$2:$AF$1048576,Archives!$D$2:$D$1048576,4,Archives!$Y$2:$Y$1048576,$B30)</f>
        <v>3</v>
      </c>
      <c r="G30" s="35">
        <f>SUMIFS(Archives!$AF$2:$AF$1048576,Archives!$D$2:$D$1048576,5,Archives!$V$2:$V$1048576,$B30)+SUMIFS(Archives!$AF$2:$AF$1048576,Archives!$D$2:$D$1048576,5,Archives!$Y$2:$Y$1048576,$B30)</f>
        <v>0</v>
      </c>
      <c r="H30" s="35">
        <f>SUMIFS(Archives!$AF$2:$AF$1048576,Archives!$D$2:$D$1048576,6,Archives!$V$2:$V$1048576,$B30)+SUMIFS(Archives!$AF$2:$AF$1048576,Archives!$D$2:$D$1048576,6,Archives!$Y$2:$Y$1048576,$B30)</f>
        <v>0</v>
      </c>
      <c r="I30" s="35">
        <f>SUMIFS(Archives!$AF$2:$AF$1048576,Archives!$D$2:$D$1048576,7,Archives!$V$2:$V$1048576,$B30)+SUMIFS(Archives!$AF$2:$AF$1048576,Archives!$D$2:$D$1048576,7,Archives!$Y$2:$Y$1048576,$B30)</f>
        <v>0</v>
      </c>
      <c r="J30" s="35">
        <f>SUMIFS(Archives!$AF$2:$AF$1048576,Archives!$D$2:$D$1048576,8,Archives!$V$2:$V$1048576,$B30)+SUMIFS(Archives!$AF$2:$AF$1048576,Archives!$D$2:$D$1048576,8,Archives!$Y$2:$Y$1048576,$B30)</f>
        <v>0</v>
      </c>
      <c r="K30" s="35">
        <f>SUMIFS(Archives!$AF$2:$AF$1048576,Archives!$D$2:$D$1048576,9,Archives!$V$2:$V$1048576,$B30)+SUMIFS(Archives!$AF$2:$AF$1048576,Archives!$D$2:$D$1048576,9,Archives!$Y$2:$Y$1048576,$B30)</f>
        <v>0</v>
      </c>
      <c r="L30" s="35">
        <f>SUMIFS(Archives!$AF$2:$AF$1048576,Archives!$D$2:$D$1048576,10,Archives!$V$2:$V$1048576,$B30)+SUMIFS(Archives!$AF$2:$AF$1048576,Archives!$D$2:$D$1048576,10,Archives!$Y$2:$Y$1048576,$B30)</f>
        <v>0</v>
      </c>
      <c r="M30" s="35">
        <f>SUMIFS(Archives!$AF$2:$AF$1048576,Archives!$D$2:$D$1048576,11,Archives!$V$2:$V$1048576,$B30)+SUMIFS(Archives!$AF$2:$AF$1048576,Archives!$D$2:$D$1048576,11,Archives!$Y$2:$Y$1048576,$B30)</f>
        <v>0</v>
      </c>
      <c r="N30" s="35">
        <f>SUMIFS(Archives!$AF$2:$AF$1048576,Archives!$D$2:$D$1048576,12,Archives!$V$2:$V$1048576,$B30)+SUMIFS(Archives!$AF$2:$AF$1048576,Archives!$D$2:$D$1048576,12,Archives!$Y$2:$Y$1048576,$B30)</f>
        <v>0</v>
      </c>
      <c r="O30" s="35">
        <f>SUMIFS(Archives!$AF$2:$AF$1048576,Archives!$D$2:$D$1048576,13,Archives!$V$2:$V$1048576,$B30)+SUMIFS(Archives!$AF$2:$AF$1048576,Archives!$D$2:$D$1048576,13,Archives!$Y$2:$Y$1048576,$B30)</f>
        <v>0</v>
      </c>
      <c r="P30" s="35">
        <f>SUMIFS(Archives!$AF$2:$AF$1048576,Archives!$D$2:$D$1048576,14,Archives!$V$2:$V$1048576,$B30)+SUMIFS(Archives!$AF$2:$AF$1048576,Archives!$D$2:$D$1048576,14,Archives!$Y$2:$Y$1048576,$B30)</f>
        <v>0</v>
      </c>
      <c r="Q30" s="35">
        <f>SUMIFS(Archives!$AF$2:$AF$1048576,Archives!$D$2:$D$1048576,15,Archives!$V$2:$V$1048576,$B30)+SUMIFS(Archives!$AF$2:$AF$1048576,Archives!$D$2:$D$1048576,15,Archives!$Y$2:$Y$1048576,$B30)</f>
        <v>0</v>
      </c>
      <c r="R30" s="36">
        <f t="shared" si="0"/>
        <v>8.5</v>
      </c>
    </row>
    <row r="31" spans="2:18" ht="15" customHeight="1" x14ac:dyDescent="0.2">
      <c r="B31" s="31" t="s">
        <v>1285</v>
      </c>
      <c r="C31" s="32">
        <f>SUMIFS(Archives!$AF$2:$AF$1048576,Archives!$D$2:$D$1048576,1,Archives!$V$2:$V$1048576,$B31)+SUMIFS(Archives!$AF$2:$AF$1048576,Archives!$D$2:$D$1048576,1,Archives!$Y$2:$Y$1048576,$B31)</f>
        <v>0</v>
      </c>
      <c r="D31" s="32">
        <f>SUMIFS(Archives!$AF$2:$AF$1048576,Archives!$D$2:$D$1048576,2,Archives!$V$2:$V$1048576,$B31)+SUMIFS(Archives!$AF$2:$AF$1048576,Archives!$D$2:$D$1048576,2,Archives!$Y$2:$Y$1048576,$B31)</f>
        <v>0</v>
      </c>
      <c r="E31" s="32">
        <f>SUMIFS(Archives!$AF$2:$AF$1048576,Archives!$D$2:$D$1048576,3,Archives!$V$2:$V$1048576,$B31)+SUMIFS(Archives!$AF$2:$AF$1048576,Archives!$D$2:$D$1048576,3,Archives!$Y$2:$Y$1048576,$B31)</f>
        <v>0</v>
      </c>
      <c r="F31" s="32">
        <f>SUMIFS(Archives!$AF$2:$AF$1048576,Archives!$D$2:$D$1048576,4,Archives!$V$2:$V$1048576,$B31)+SUMIFS(Archives!$AF$2:$AF$1048576,Archives!$D$2:$D$1048576,4,Archives!$Y$2:$Y$1048576,$B31)</f>
        <v>0</v>
      </c>
      <c r="G31" s="32">
        <f>SUMIFS(Archives!$AF$2:$AF$1048576,Archives!$D$2:$D$1048576,5,Archives!$V$2:$V$1048576,$B31)+SUMIFS(Archives!$AF$2:$AF$1048576,Archives!$D$2:$D$1048576,5,Archives!$Y$2:$Y$1048576,$B31)</f>
        <v>0</v>
      </c>
      <c r="H31" s="32">
        <f>SUMIFS(Archives!$AF$2:$AF$1048576,Archives!$D$2:$D$1048576,6,Archives!$V$2:$V$1048576,$B31)+SUMIFS(Archives!$AF$2:$AF$1048576,Archives!$D$2:$D$1048576,6,Archives!$Y$2:$Y$1048576,$B31)</f>
        <v>0</v>
      </c>
      <c r="I31" s="32">
        <f>SUMIFS(Archives!$AF$2:$AF$1048576,Archives!$D$2:$D$1048576,7,Archives!$V$2:$V$1048576,$B31)+SUMIFS(Archives!$AF$2:$AF$1048576,Archives!$D$2:$D$1048576,7,Archives!$Y$2:$Y$1048576,$B31)</f>
        <v>0</v>
      </c>
      <c r="J31" s="32">
        <f>SUMIFS(Archives!$AF$2:$AF$1048576,Archives!$D$2:$D$1048576,8,Archives!$V$2:$V$1048576,$B31)+SUMIFS(Archives!$AF$2:$AF$1048576,Archives!$D$2:$D$1048576,8,Archives!$Y$2:$Y$1048576,$B31)</f>
        <v>3</v>
      </c>
      <c r="K31" s="32">
        <f>SUMIFS(Archives!$AF$2:$AF$1048576,Archives!$D$2:$D$1048576,9,Archives!$V$2:$V$1048576,$B31)+SUMIFS(Archives!$AF$2:$AF$1048576,Archives!$D$2:$D$1048576,9,Archives!$Y$2:$Y$1048576,$B31)</f>
        <v>3</v>
      </c>
      <c r="L31" s="32">
        <f>SUMIFS(Archives!$AF$2:$AF$1048576,Archives!$D$2:$D$1048576,10,Archives!$V$2:$V$1048576,$B31)+SUMIFS(Archives!$AF$2:$AF$1048576,Archives!$D$2:$D$1048576,10,Archives!$Y$2:$Y$1048576,$B31)</f>
        <v>0</v>
      </c>
      <c r="M31" s="32">
        <f>SUMIFS(Archives!$AF$2:$AF$1048576,Archives!$D$2:$D$1048576,11,Archives!$V$2:$V$1048576,$B31)+SUMIFS(Archives!$AF$2:$AF$1048576,Archives!$D$2:$D$1048576,11,Archives!$Y$2:$Y$1048576,$B31)</f>
        <v>0</v>
      </c>
      <c r="N31" s="32">
        <f>SUMIFS(Archives!$AF$2:$AF$1048576,Archives!$D$2:$D$1048576,12,Archives!$V$2:$V$1048576,$B31)+SUMIFS(Archives!$AF$2:$AF$1048576,Archives!$D$2:$D$1048576,12,Archives!$Y$2:$Y$1048576,$B31)</f>
        <v>1</v>
      </c>
      <c r="O31" s="32">
        <f>SUMIFS(Archives!$AF$2:$AF$1048576,Archives!$D$2:$D$1048576,13,Archives!$V$2:$V$1048576,$B31)+SUMIFS(Archives!$AF$2:$AF$1048576,Archives!$D$2:$D$1048576,13,Archives!$Y$2:$Y$1048576,$B31)</f>
        <v>0</v>
      </c>
      <c r="P31" s="32">
        <f>SUMIFS(Archives!$AF$2:$AF$1048576,Archives!$D$2:$D$1048576,14,Archives!$V$2:$V$1048576,$B31)+SUMIFS(Archives!$AF$2:$AF$1048576,Archives!$D$2:$D$1048576,14,Archives!$Y$2:$Y$1048576,$B31)</f>
        <v>0</v>
      </c>
      <c r="Q31" s="32">
        <f>SUMIFS(Archives!$AF$2:$AF$1048576,Archives!$D$2:$D$1048576,15,Archives!$V$2:$V$1048576,$B31)+SUMIFS(Archives!$AF$2:$AF$1048576,Archives!$D$2:$D$1048576,15,Archives!$Y$2:$Y$1048576,$B31)</f>
        <v>0</v>
      </c>
      <c r="R31" s="33">
        <f t="shared" si="0"/>
        <v>7</v>
      </c>
    </row>
    <row r="32" spans="2:18" ht="15" customHeight="1" x14ac:dyDescent="0.2">
      <c r="B32" s="34" t="s">
        <v>632</v>
      </c>
      <c r="C32" s="35">
        <f>SUMIFS(Archives!$AF$2:$AF$1048576,Archives!$D$2:$D$1048576,1,Archives!$V$2:$V$1048576,$B32)+SUMIFS(Archives!$AF$2:$AF$1048576,Archives!$D$2:$D$1048576,1,Archives!$Y$2:$Y$1048576,$B32)</f>
        <v>0</v>
      </c>
      <c r="D32" s="35">
        <f>SUMIFS(Archives!$AF$2:$AF$1048576,Archives!$D$2:$D$1048576,2,Archives!$V$2:$V$1048576,$B32)+SUMIFS(Archives!$AF$2:$AF$1048576,Archives!$D$2:$D$1048576,2,Archives!$Y$2:$Y$1048576,$B32)</f>
        <v>0</v>
      </c>
      <c r="E32" s="35">
        <f>SUMIFS(Archives!$AF$2:$AF$1048576,Archives!$D$2:$D$1048576,3,Archives!$V$2:$V$1048576,$B32)+SUMIFS(Archives!$AF$2:$AF$1048576,Archives!$D$2:$D$1048576,3,Archives!$Y$2:$Y$1048576,$B32)</f>
        <v>0</v>
      </c>
      <c r="F32" s="35">
        <f>SUMIFS(Archives!$AF$2:$AF$1048576,Archives!$D$2:$D$1048576,4,Archives!$V$2:$V$1048576,$B32)+SUMIFS(Archives!$AF$2:$AF$1048576,Archives!$D$2:$D$1048576,4,Archives!$Y$2:$Y$1048576,$B32)</f>
        <v>0</v>
      </c>
      <c r="G32" s="35">
        <f>SUMIFS(Archives!$AF$2:$AF$1048576,Archives!$D$2:$D$1048576,5,Archives!$V$2:$V$1048576,$B32)+SUMIFS(Archives!$AF$2:$AF$1048576,Archives!$D$2:$D$1048576,5,Archives!$Y$2:$Y$1048576,$B32)</f>
        <v>0</v>
      </c>
      <c r="H32" s="35">
        <f>SUMIFS(Archives!$AF$2:$AF$1048576,Archives!$D$2:$D$1048576,6,Archives!$V$2:$V$1048576,$B32)+SUMIFS(Archives!$AF$2:$AF$1048576,Archives!$D$2:$D$1048576,6,Archives!$Y$2:$Y$1048576,$B32)</f>
        <v>0</v>
      </c>
      <c r="I32" s="35">
        <f>SUMIFS(Archives!$AF$2:$AF$1048576,Archives!$D$2:$D$1048576,7,Archives!$V$2:$V$1048576,$B32)+SUMIFS(Archives!$AF$2:$AF$1048576,Archives!$D$2:$D$1048576,7,Archives!$Y$2:$Y$1048576,$B32)</f>
        <v>0</v>
      </c>
      <c r="J32" s="35">
        <f>SUMIFS(Archives!$AF$2:$AF$1048576,Archives!$D$2:$D$1048576,8,Archives!$V$2:$V$1048576,$B32)+SUMIFS(Archives!$AF$2:$AF$1048576,Archives!$D$2:$D$1048576,8,Archives!$Y$2:$Y$1048576,$B32)</f>
        <v>0</v>
      </c>
      <c r="K32" s="35">
        <f>SUMIFS(Archives!$AF$2:$AF$1048576,Archives!$D$2:$D$1048576,9,Archives!$V$2:$V$1048576,$B32)+SUMIFS(Archives!$AF$2:$AF$1048576,Archives!$D$2:$D$1048576,9,Archives!$Y$2:$Y$1048576,$B32)</f>
        <v>0</v>
      </c>
      <c r="L32" s="35">
        <f>SUMIFS(Archives!$AF$2:$AF$1048576,Archives!$D$2:$D$1048576,10,Archives!$V$2:$V$1048576,$B32)+SUMIFS(Archives!$AF$2:$AF$1048576,Archives!$D$2:$D$1048576,10,Archives!$Y$2:$Y$1048576,$B32)</f>
        <v>0</v>
      </c>
      <c r="M32" s="35">
        <f>SUMIFS(Archives!$AF$2:$AF$1048576,Archives!$D$2:$D$1048576,11,Archives!$V$2:$V$1048576,$B32)+SUMIFS(Archives!$AF$2:$AF$1048576,Archives!$D$2:$D$1048576,11,Archives!$Y$2:$Y$1048576,$B32)</f>
        <v>0</v>
      </c>
      <c r="N32" s="35">
        <f>SUMIFS(Archives!$AF$2:$AF$1048576,Archives!$D$2:$D$1048576,12,Archives!$V$2:$V$1048576,$B32)+SUMIFS(Archives!$AF$2:$AF$1048576,Archives!$D$2:$D$1048576,12,Archives!$Y$2:$Y$1048576,$B32)</f>
        <v>4</v>
      </c>
      <c r="O32" s="35">
        <f>SUMIFS(Archives!$AF$2:$AF$1048576,Archives!$D$2:$D$1048576,13,Archives!$V$2:$V$1048576,$B32)+SUMIFS(Archives!$AF$2:$AF$1048576,Archives!$D$2:$D$1048576,13,Archives!$Y$2:$Y$1048576,$B32)</f>
        <v>0</v>
      </c>
      <c r="P32" s="35">
        <f>SUMIFS(Archives!$AF$2:$AF$1048576,Archives!$D$2:$D$1048576,14,Archives!$V$2:$V$1048576,$B32)+SUMIFS(Archives!$AF$2:$AF$1048576,Archives!$D$2:$D$1048576,14,Archives!$Y$2:$Y$1048576,$B32)</f>
        <v>0</v>
      </c>
      <c r="Q32" s="35">
        <f>SUMIFS(Archives!$AF$2:$AF$1048576,Archives!$D$2:$D$1048576,15,Archives!$V$2:$V$1048576,$B32)+SUMIFS(Archives!$AF$2:$AF$1048576,Archives!$D$2:$D$1048576,15,Archives!$Y$2:$Y$1048576,$B32)</f>
        <v>0</v>
      </c>
      <c r="R32" s="36">
        <f t="shared" si="0"/>
        <v>4</v>
      </c>
    </row>
    <row r="33" spans="2:18" ht="15" customHeight="1" x14ac:dyDescent="0.2">
      <c r="B33" s="31" t="s">
        <v>457</v>
      </c>
      <c r="C33" s="32">
        <f>SUMIFS(Archives!$AF$2:$AF$1048576,Archives!$D$2:$D$1048576,1,Archives!$V$2:$V$1048576,$B33)+SUMIFS(Archives!$AF$2:$AF$1048576,Archives!$D$2:$D$1048576,1,Archives!$Y$2:$Y$1048576,$B33)</f>
        <v>0</v>
      </c>
      <c r="D33" s="32">
        <f>SUMIFS(Archives!$AF$2:$AF$1048576,Archives!$D$2:$D$1048576,2,Archives!$V$2:$V$1048576,$B33)+SUMIFS(Archives!$AF$2:$AF$1048576,Archives!$D$2:$D$1048576,2,Archives!$Y$2:$Y$1048576,$B33)</f>
        <v>0</v>
      </c>
      <c r="E33" s="32">
        <f>SUMIFS(Archives!$AF$2:$AF$1048576,Archives!$D$2:$D$1048576,3,Archives!$V$2:$V$1048576,$B33)+SUMIFS(Archives!$AF$2:$AF$1048576,Archives!$D$2:$D$1048576,3,Archives!$Y$2:$Y$1048576,$B33)</f>
        <v>0</v>
      </c>
      <c r="F33" s="32">
        <f>SUMIFS(Archives!$AF$2:$AF$1048576,Archives!$D$2:$D$1048576,4,Archives!$V$2:$V$1048576,$B33)+SUMIFS(Archives!$AF$2:$AF$1048576,Archives!$D$2:$D$1048576,4,Archives!$Y$2:$Y$1048576,$B33)</f>
        <v>0</v>
      </c>
      <c r="G33" s="32">
        <f>SUMIFS(Archives!$AF$2:$AF$1048576,Archives!$D$2:$D$1048576,5,Archives!$V$2:$V$1048576,$B33)+SUMIFS(Archives!$AF$2:$AF$1048576,Archives!$D$2:$D$1048576,5,Archives!$Y$2:$Y$1048576,$B33)</f>
        <v>0</v>
      </c>
      <c r="H33" s="32">
        <f>SUMIFS(Archives!$AF$2:$AF$1048576,Archives!$D$2:$D$1048576,6,Archives!$V$2:$V$1048576,$B33)+SUMIFS(Archives!$AF$2:$AF$1048576,Archives!$D$2:$D$1048576,6,Archives!$Y$2:$Y$1048576,$B33)</f>
        <v>0</v>
      </c>
      <c r="I33" s="32">
        <f>SUMIFS(Archives!$AF$2:$AF$1048576,Archives!$D$2:$D$1048576,7,Archives!$V$2:$V$1048576,$B33)+SUMIFS(Archives!$AF$2:$AF$1048576,Archives!$D$2:$D$1048576,7,Archives!$Y$2:$Y$1048576,$B33)</f>
        <v>0</v>
      </c>
      <c r="J33" s="32">
        <f>SUMIFS(Archives!$AF$2:$AF$1048576,Archives!$D$2:$D$1048576,8,Archives!$V$2:$V$1048576,$B33)+SUMIFS(Archives!$AF$2:$AF$1048576,Archives!$D$2:$D$1048576,8,Archives!$Y$2:$Y$1048576,$B33)</f>
        <v>1.5</v>
      </c>
      <c r="K33" s="32">
        <f>SUMIFS(Archives!$AF$2:$AF$1048576,Archives!$D$2:$D$1048576,9,Archives!$V$2:$V$1048576,$B33)+SUMIFS(Archives!$AF$2:$AF$1048576,Archives!$D$2:$D$1048576,9,Archives!$Y$2:$Y$1048576,$B33)</f>
        <v>0</v>
      </c>
      <c r="L33" s="32">
        <f>SUMIFS(Archives!$AF$2:$AF$1048576,Archives!$D$2:$D$1048576,10,Archives!$V$2:$V$1048576,$B33)+SUMIFS(Archives!$AF$2:$AF$1048576,Archives!$D$2:$D$1048576,10,Archives!$Y$2:$Y$1048576,$B33)</f>
        <v>0</v>
      </c>
      <c r="M33" s="32">
        <f>SUMIFS(Archives!$AF$2:$AF$1048576,Archives!$D$2:$D$1048576,11,Archives!$V$2:$V$1048576,$B33)+SUMIFS(Archives!$AF$2:$AF$1048576,Archives!$D$2:$D$1048576,11,Archives!$Y$2:$Y$1048576,$B33)</f>
        <v>0</v>
      </c>
      <c r="N33" s="32">
        <f>SUMIFS(Archives!$AF$2:$AF$1048576,Archives!$D$2:$D$1048576,12,Archives!$V$2:$V$1048576,$B33)+SUMIFS(Archives!$AF$2:$AF$1048576,Archives!$D$2:$D$1048576,12,Archives!$Y$2:$Y$1048576,$B33)</f>
        <v>1</v>
      </c>
      <c r="O33" s="32">
        <f>SUMIFS(Archives!$AF$2:$AF$1048576,Archives!$D$2:$D$1048576,13,Archives!$V$2:$V$1048576,$B33)+SUMIFS(Archives!$AF$2:$AF$1048576,Archives!$D$2:$D$1048576,13,Archives!$Y$2:$Y$1048576,$B33)</f>
        <v>0</v>
      </c>
      <c r="P33" s="32">
        <f>SUMIFS(Archives!$AF$2:$AF$1048576,Archives!$D$2:$D$1048576,14,Archives!$V$2:$V$1048576,$B33)+SUMIFS(Archives!$AF$2:$AF$1048576,Archives!$D$2:$D$1048576,14,Archives!$Y$2:$Y$1048576,$B33)</f>
        <v>0</v>
      </c>
      <c r="Q33" s="32">
        <f>SUMIFS(Archives!$AF$2:$AF$1048576,Archives!$D$2:$D$1048576,15,Archives!$V$2:$V$1048576,$B33)+SUMIFS(Archives!$AF$2:$AF$1048576,Archives!$D$2:$D$1048576,15,Archives!$Y$2:$Y$1048576,$B33)</f>
        <v>0</v>
      </c>
      <c r="R33" s="33">
        <f t="shared" si="0"/>
        <v>2.5</v>
      </c>
    </row>
    <row r="34" spans="2:18" ht="15" customHeight="1" x14ac:dyDescent="0.2">
      <c r="B34" s="34" t="s">
        <v>460</v>
      </c>
      <c r="C34" s="35">
        <f>SUMIFS(Archives!$AF$2:$AF$1048576,Archives!$D$2:$D$1048576,1,Archives!$V$2:$V$1048576,$B34)+SUMIFS(Archives!$AF$2:$AF$1048576,Archives!$D$2:$D$1048576,1,Archives!$Y$2:$Y$1048576,$B34)</f>
        <v>0</v>
      </c>
      <c r="D34" s="35">
        <f>SUMIFS(Archives!$AF$2:$AF$1048576,Archives!$D$2:$D$1048576,2,Archives!$V$2:$V$1048576,$B34)+SUMIFS(Archives!$AF$2:$AF$1048576,Archives!$D$2:$D$1048576,2,Archives!$Y$2:$Y$1048576,$B34)</f>
        <v>0</v>
      </c>
      <c r="E34" s="35">
        <f>SUMIFS(Archives!$AF$2:$AF$1048576,Archives!$D$2:$D$1048576,3,Archives!$V$2:$V$1048576,$B34)+SUMIFS(Archives!$AF$2:$AF$1048576,Archives!$D$2:$D$1048576,3,Archives!$Y$2:$Y$1048576,$B34)</f>
        <v>0</v>
      </c>
      <c r="F34" s="35">
        <f>SUMIFS(Archives!$AF$2:$AF$1048576,Archives!$D$2:$D$1048576,4,Archives!$V$2:$V$1048576,$B34)+SUMIFS(Archives!$AF$2:$AF$1048576,Archives!$D$2:$D$1048576,4,Archives!$Y$2:$Y$1048576,$B34)</f>
        <v>0</v>
      </c>
      <c r="G34" s="35">
        <f>SUMIFS(Archives!$AF$2:$AF$1048576,Archives!$D$2:$D$1048576,5,Archives!$V$2:$V$1048576,$B34)+SUMIFS(Archives!$AF$2:$AF$1048576,Archives!$D$2:$D$1048576,5,Archives!$Y$2:$Y$1048576,$B34)</f>
        <v>0</v>
      </c>
      <c r="H34" s="35">
        <f>SUMIFS(Archives!$AF$2:$AF$1048576,Archives!$D$2:$D$1048576,6,Archives!$V$2:$V$1048576,$B34)+SUMIFS(Archives!$AF$2:$AF$1048576,Archives!$D$2:$D$1048576,6,Archives!$Y$2:$Y$1048576,$B34)</f>
        <v>0</v>
      </c>
      <c r="I34" s="35">
        <f>SUMIFS(Archives!$AF$2:$AF$1048576,Archives!$D$2:$D$1048576,7,Archives!$V$2:$V$1048576,$B34)+SUMIFS(Archives!$AF$2:$AF$1048576,Archives!$D$2:$D$1048576,7,Archives!$Y$2:$Y$1048576,$B34)</f>
        <v>0</v>
      </c>
      <c r="J34" s="35">
        <f>SUMIFS(Archives!$AF$2:$AF$1048576,Archives!$D$2:$D$1048576,8,Archives!$V$2:$V$1048576,$B34)+SUMIFS(Archives!$AF$2:$AF$1048576,Archives!$D$2:$D$1048576,8,Archives!$Y$2:$Y$1048576,$B34)</f>
        <v>2.5</v>
      </c>
      <c r="K34" s="35">
        <f>SUMIFS(Archives!$AF$2:$AF$1048576,Archives!$D$2:$D$1048576,9,Archives!$V$2:$V$1048576,$B34)+SUMIFS(Archives!$AF$2:$AF$1048576,Archives!$D$2:$D$1048576,9,Archives!$Y$2:$Y$1048576,$B34)</f>
        <v>0</v>
      </c>
      <c r="L34" s="35">
        <f>SUMIFS(Archives!$AF$2:$AF$1048576,Archives!$D$2:$D$1048576,10,Archives!$V$2:$V$1048576,$B34)+SUMIFS(Archives!$AF$2:$AF$1048576,Archives!$D$2:$D$1048576,10,Archives!$Y$2:$Y$1048576,$B34)</f>
        <v>0</v>
      </c>
      <c r="M34" s="35">
        <f>SUMIFS(Archives!$AF$2:$AF$1048576,Archives!$D$2:$D$1048576,11,Archives!$V$2:$V$1048576,$B34)+SUMIFS(Archives!$AF$2:$AF$1048576,Archives!$D$2:$D$1048576,11,Archives!$Y$2:$Y$1048576,$B34)</f>
        <v>0</v>
      </c>
      <c r="N34" s="35">
        <f>SUMIFS(Archives!$AF$2:$AF$1048576,Archives!$D$2:$D$1048576,12,Archives!$V$2:$V$1048576,$B34)+SUMIFS(Archives!$AF$2:$AF$1048576,Archives!$D$2:$D$1048576,12,Archives!$Y$2:$Y$1048576,$B34)</f>
        <v>0</v>
      </c>
      <c r="O34" s="35">
        <f>SUMIFS(Archives!$AF$2:$AF$1048576,Archives!$D$2:$D$1048576,13,Archives!$V$2:$V$1048576,$B34)+SUMIFS(Archives!$AF$2:$AF$1048576,Archives!$D$2:$D$1048576,13,Archives!$Y$2:$Y$1048576,$B34)</f>
        <v>0</v>
      </c>
      <c r="P34" s="35">
        <f>SUMIFS(Archives!$AF$2:$AF$1048576,Archives!$D$2:$D$1048576,14,Archives!$V$2:$V$1048576,$B34)+SUMIFS(Archives!$AF$2:$AF$1048576,Archives!$D$2:$D$1048576,14,Archives!$Y$2:$Y$1048576,$B34)</f>
        <v>0</v>
      </c>
      <c r="Q34" s="35">
        <f>SUMIFS(Archives!$AF$2:$AF$1048576,Archives!$D$2:$D$1048576,15,Archives!$V$2:$V$1048576,$B34)+SUMIFS(Archives!$AF$2:$AF$1048576,Archives!$D$2:$D$1048576,15,Archives!$Y$2:$Y$1048576,$B34)</f>
        <v>0</v>
      </c>
      <c r="R34" s="36">
        <f t="shared" si="0"/>
        <v>2.5</v>
      </c>
    </row>
    <row r="35" spans="2:18" ht="15" customHeight="1" x14ac:dyDescent="0.2">
      <c r="B35" s="31" t="s">
        <v>129</v>
      </c>
      <c r="C35" s="32">
        <f>SUMIFS(Archives!$AF$2:$AF$1048576,Archives!$D$2:$D$1048576,1,Archives!$V$2:$V$1048576,$B35)+SUMIFS(Archives!$AF$2:$AF$1048576,Archives!$D$2:$D$1048576,1,Archives!$Y$2:$Y$1048576,$B35)</f>
        <v>1.5</v>
      </c>
      <c r="D35" s="32">
        <f>SUMIFS(Archives!$AF$2:$AF$1048576,Archives!$D$2:$D$1048576,2,Archives!$V$2:$V$1048576,$B35)+SUMIFS(Archives!$AF$2:$AF$1048576,Archives!$D$2:$D$1048576,2,Archives!$Y$2:$Y$1048576,$B35)</f>
        <v>0</v>
      </c>
      <c r="E35" s="32">
        <f>SUMIFS(Archives!$AF$2:$AF$1048576,Archives!$D$2:$D$1048576,3,Archives!$V$2:$V$1048576,$B35)+SUMIFS(Archives!$AF$2:$AF$1048576,Archives!$D$2:$D$1048576,3,Archives!$Y$2:$Y$1048576,$B35)</f>
        <v>0</v>
      </c>
      <c r="F35" s="32">
        <f>SUMIFS(Archives!$AF$2:$AF$1048576,Archives!$D$2:$D$1048576,4,Archives!$V$2:$V$1048576,$B35)+SUMIFS(Archives!$AF$2:$AF$1048576,Archives!$D$2:$D$1048576,4,Archives!$Y$2:$Y$1048576,$B35)</f>
        <v>0</v>
      </c>
      <c r="G35" s="32">
        <f>SUMIFS(Archives!$AF$2:$AF$1048576,Archives!$D$2:$D$1048576,5,Archives!$V$2:$V$1048576,$B35)+SUMIFS(Archives!$AF$2:$AF$1048576,Archives!$D$2:$D$1048576,5,Archives!$Y$2:$Y$1048576,$B35)</f>
        <v>0</v>
      </c>
      <c r="H35" s="32">
        <f>SUMIFS(Archives!$AF$2:$AF$1048576,Archives!$D$2:$D$1048576,6,Archives!$V$2:$V$1048576,$B35)+SUMIFS(Archives!$AF$2:$AF$1048576,Archives!$D$2:$D$1048576,6,Archives!$Y$2:$Y$1048576,$B35)</f>
        <v>0</v>
      </c>
      <c r="I35" s="32">
        <f>SUMIFS(Archives!$AF$2:$AF$1048576,Archives!$D$2:$D$1048576,7,Archives!$V$2:$V$1048576,$B35)+SUMIFS(Archives!$AF$2:$AF$1048576,Archives!$D$2:$D$1048576,7,Archives!$Y$2:$Y$1048576,$B35)</f>
        <v>0</v>
      </c>
      <c r="J35" s="32">
        <f>SUMIFS(Archives!$AF$2:$AF$1048576,Archives!$D$2:$D$1048576,8,Archives!$V$2:$V$1048576,$B35)+SUMIFS(Archives!$AF$2:$AF$1048576,Archives!$D$2:$D$1048576,8,Archives!$Y$2:$Y$1048576,$B35)</f>
        <v>0</v>
      </c>
      <c r="K35" s="32">
        <f>SUMIFS(Archives!$AF$2:$AF$1048576,Archives!$D$2:$D$1048576,9,Archives!$V$2:$V$1048576,$B35)+SUMIFS(Archives!$AF$2:$AF$1048576,Archives!$D$2:$D$1048576,9,Archives!$Y$2:$Y$1048576,$B35)</f>
        <v>0</v>
      </c>
      <c r="L35" s="32">
        <f>SUMIFS(Archives!$AF$2:$AF$1048576,Archives!$D$2:$D$1048576,10,Archives!$V$2:$V$1048576,$B35)+SUMIFS(Archives!$AF$2:$AF$1048576,Archives!$D$2:$D$1048576,10,Archives!$Y$2:$Y$1048576,$B35)</f>
        <v>0</v>
      </c>
      <c r="M35" s="32">
        <f>SUMIFS(Archives!$AF$2:$AF$1048576,Archives!$D$2:$D$1048576,11,Archives!$V$2:$V$1048576,$B35)+SUMIFS(Archives!$AF$2:$AF$1048576,Archives!$D$2:$D$1048576,11,Archives!$Y$2:$Y$1048576,$B35)</f>
        <v>0</v>
      </c>
      <c r="N35" s="32">
        <f>SUMIFS(Archives!$AF$2:$AF$1048576,Archives!$D$2:$D$1048576,12,Archives!$V$2:$V$1048576,$B35)+SUMIFS(Archives!$AF$2:$AF$1048576,Archives!$D$2:$D$1048576,12,Archives!$Y$2:$Y$1048576,$B35)</f>
        <v>0</v>
      </c>
      <c r="O35" s="32">
        <f>SUMIFS(Archives!$AF$2:$AF$1048576,Archives!$D$2:$D$1048576,13,Archives!$V$2:$V$1048576,$B35)+SUMIFS(Archives!$AF$2:$AF$1048576,Archives!$D$2:$D$1048576,13,Archives!$Y$2:$Y$1048576,$B35)</f>
        <v>0</v>
      </c>
      <c r="P35" s="32">
        <f>SUMIFS(Archives!$AF$2:$AF$1048576,Archives!$D$2:$D$1048576,14,Archives!$V$2:$V$1048576,$B35)+SUMIFS(Archives!$AF$2:$AF$1048576,Archives!$D$2:$D$1048576,14,Archives!$Y$2:$Y$1048576,$B35)</f>
        <v>0</v>
      </c>
      <c r="Q35" s="32">
        <f>SUMIFS(Archives!$AF$2:$AF$1048576,Archives!$D$2:$D$1048576,15,Archives!$V$2:$V$1048576,$B35)+SUMIFS(Archives!$AF$2:$AF$1048576,Archives!$D$2:$D$1048576,15,Archives!$Y$2:$Y$1048576,$B35)</f>
        <v>0</v>
      </c>
      <c r="R35" s="33">
        <f t="shared" si="0"/>
        <v>1.5</v>
      </c>
    </row>
    <row r="36" spans="2:18" ht="15" customHeight="1" x14ac:dyDescent="0.2">
      <c r="B36" s="37" t="s">
        <v>687</v>
      </c>
      <c r="C36" s="38">
        <f t="shared" ref="C36:R36" si="1">SUM(C5:C35)</f>
        <v>36</v>
      </c>
      <c r="D36" s="38">
        <f t="shared" si="1"/>
        <v>48</v>
      </c>
      <c r="E36" s="38">
        <f t="shared" si="1"/>
        <v>60</v>
      </c>
      <c r="F36" s="38">
        <f t="shared" si="1"/>
        <v>65</v>
      </c>
      <c r="G36" s="38">
        <f t="shared" si="1"/>
        <v>65</v>
      </c>
      <c r="H36" s="38">
        <f t="shared" si="1"/>
        <v>65</v>
      </c>
      <c r="I36" s="38">
        <f t="shared" si="1"/>
        <v>75</v>
      </c>
      <c r="J36" s="38">
        <f t="shared" si="1"/>
        <v>67.5</v>
      </c>
      <c r="K36" s="38">
        <f t="shared" si="1"/>
        <v>65</v>
      </c>
      <c r="L36" s="38">
        <f t="shared" si="1"/>
        <v>70</v>
      </c>
      <c r="M36" s="38">
        <f t="shared" si="1"/>
        <v>65</v>
      </c>
      <c r="N36" s="38">
        <f t="shared" si="1"/>
        <v>80</v>
      </c>
      <c r="O36" s="38">
        <f t="shared" si="1"/>
        <v>0</v>
      </c>
      <c r="P36" s="38">
        <f t="shared" si="1"/>
        <v>0</v>
      </c>
      <c r="Q36" s="38">
        <f t="shared" si="1"/>
        <v>0</v>
      </c>
      <c r="R36" s="39">
        <f t="shared" si="1"/>
        <v>761.5</v>
      </c>
    </row>
    <row r="37" spans="2:18" ht="15" customHeight="1" x14ac:dyDescent="0.2"/>
    <row r="39" spans="2:18" ht="15" customHeight="1" x14ac:dyDescent="0.2"/>
    <row r="41" spans="2:18" ht="15" customHeight="1" x14ac:dyDescent="0.2"/>
    <row r="42" spans="2:18" ht="15" customHeight="1" x14ac:dyDescent="0.2"/>
    <row r="43" spans="2:18" ht="15" customHeight="1" x14ac:dyDescent="0.2"/>
    <row r="45" spans="2:18" ht="15" customHeight="1" x14ac:dyDescent="0.2"/>
    <row r="47" spans="2:18" ht="15" customHeight="1" x14ac:dyDescent="0.2"/>
    <row r="48" spans="2:18" ht="15" customHeight="1" x14ac:dyDescent="0.2"/>
    <row r="49" ht="15" customHeight="1" x14ac:dyDescent="0.2"/>
    <row r="51" ht="15" customHeight="1" x14ac:dyDescent="0.2"/>
    <row r="53" ht="15" customHeight="1" x14ac:dyDescent="0.2"/>
    <row r="54" ht="15" customHeight="1" x14ac:dyDescent="0.2"/>
    <row r="55" ht="15" customHeight="1" x14ac:dyDescent="0.2"/>
    <row r="57" ht="15" customHeight="1" x14ac:dyDescent="0.2"/>
    <row r="59" ht="15" customHeight="1" x14ac:dyDescent="0.2"/>
    <row r="60" ht="15" customHeight="1" x14ac:dyDescent="0.2"/>
    <row r="61" ht="15" customHeight="1" x14ac:dyDescent="0.2"/>
    <row r="63" ht="15" customHeight="1" x14ac:dyDescent="0.2"/>
    <row r="65" ht="15" customHeight="1" x14ac:dyDescent="0.2"/>
    <row r="66" ht="15" customHeight="1" x14ac:dyDescent="0.2"/>
    <row r="67" ht="15" customHeight="1" x14ac:dyDescent="0.2"/>
    <row r="69" ht="15" customHeight="1" x14ac:dyDescent="0.2"/>
    <row r="71" ht="15" customHeight="1" x14ac:dyDescent="0.2"/>
    <row r="72" ht="15" customHeight="1" x14ac:dyDescent="0.2"/>
    <row r="73" ht="15" customHeight="1" x14ac:dyDescent="0.2"/>
    <row r="75" ht="15" customHeight="1" x14ac:dyDescent="0.2"/>
    <row r="77" ht="15" customHeight="1" x14ac:dyDescent="0.2"/>
    <row r="78" ht="15" customHeight="1" x14ac:dyDescent="0.2"/>
    <row r="79" ht="15" customHeight="1" x14ac:dyDescent="0.2"/>
    <row r="81" ht="15" customHeight="1" x14ac:dyDescent="0.2"/>
    <row r="83" ht="15" customHeight="1" x14ac:dyDescent="0.2"/>
    <row r="84" ht="15" customHeight="1" x14ac:dyDescent="0.2"/>
    <row r="85" ht="15" customHeight="1" x14ac:dyDescent="0.2"/>
    <row r="87" ht="15" customHeight="1" x14ac:dyDescent="0.2"/>
    <row r="89" ht="15" customHeight="1" x14ac:dyDescent="0.2"/>
    <row r="90" ht="15" customHeight="1" x14ac:dyDescent="0.2"/>
    <row r="91" ht="15" customHeight="1" x14ac:dyDescent="0.2"/>
    <row r="93" ht="15" customHeight="1" x14ac:dyDescent="0.2"/>
    <row r="95" ht="15" customHeight="1" x14ac:dyDescent="0.2"/>
    <row r="96" ht="15" customHeight="1" x14ac:dyDescent="0.2"/>
    <row r="97" ht="15" customHeight="1" x14ac:dyDescent="0.2"/>
    <row r="99" ht="15" customHeight="1" x14ac:dyDescent="0.2"/>
    <row r="101" ht="15" customHeight="1" x14ac:dyDescent="0.2"/>
    <row r="102" ht="15" customHeight="1" x14ac:dyDescent="0.2"/>
    <row r="103" ht="15" customHeight="1" x14ac:dyDescent="0.2"/>
    <row r="105" ht="15" customHeight="1" x14ac:dyDescent="0.2"/>
    <row r="107" ht="15" customHeight="1" x14ac:dyDescent="0.2"/>
    <row r="108" ht="15" customHeight="1" x14ac:dyDescent="0.2"/>
    <row r="109" ht="15" customHeight="1" x14ac:dyDescent="0.2"/>
    <row r="111" ht="15" customHeight="1" x14ac:dyDescent="0.2"/>
    <row r="113" ht="15" customHeight="1" x14ac:dyDescent="0.2"/>
    <row r="114" ht="15" customHeight="1" x14ac:dyDescent="0.2"/>
    <row r="115" ht="15" customHeight="1" x14ac:dyDescent="0.2"/>
    <row r="117" ht="15" customHeight="1" x14ac:dyDescent="0.2"/>
    <row r="119" ht="15" customHeight="1" x14ac:dyDescent="0.2"/>
    <row r="120" ht="15" customHeight="1" x14ac:dyDescent="0.2"/>
    <row r="121" ht="15" customHeight="1" x14ac:dyDescent="0.2"/>
    <row r="123" ht="15" customHeight="1" x14ac:dyDescent="0.2"/>
    <row r="125" ht="15" customHeight="1" x14ac:dyDescent="0.2"/>
    <row r="126" ht="15" customHeight="1" x14ac:dyDescent="0.2"/>
    <row r="127" ht="15" customHeight="1" x14ac:dyDescent="0.2"/>
    <row r="129" ht="15" customHeight="1" x14ac:dyDescent="0.2"/>
    <row r="131" ht="15" customHeight="1" x14ac:dyDescent="0.2"/>
    <row r="132" ht="15" customHeight="1" x14ac:dyDescent="0.2"/>
    <row r="133" ht="15" customHeight="1" x14ac:dyDescent="0.2"/>
    <row r="135" ht="15" customHeight="1" x14ac:dyDescent="0.2"/>
    <row r="137" ht="15" customHeight="1" x14ac:dyDescent="0.2"/>
    <row r="138" ht="15" customHeight="1" x14ac:dyDescent="0.2"/>
    <row r="139" ht="15" customHeight="1" x14ac:dyDescent="0.2"/>
    <row r="141" ht="15" customHeight="1" x14ac:dyDescent="0.2"/>
    <row r="143" ht="15" customHeight="1" x14ac:dyDescent="0.2"/>
    <row r="144" ht="15" customHeight="1" x14ac:dyDescent="0.2"/>
    <row r="145" ht="15" customHeight="1" x14ac:dyDescent="0.2"/>
    <row r="147" ht="15" customHeight="1" x14ac:dyDescent="0.2"/>
    <row r="149" ht="15" customHeight="1" x14ac:dyDescent="0.2"/>
    <row r="150" ht="15" customHeight="1" x14ac:dyDescent="0.2"/>
    <row r="151" ht="15" customHeight="1" x14ac:dyDescent="0.2"/>
    <row r="153" ht="15" customHeight="1" x14ac:dyDescent="0.2"/>
    <row r="155" ht="15" customHeight="1" x14ac:dyDescent="0.2"/>
    <row r="156" ht="15" customHeight="1" x14ac:dyDescent="0.2"/>
    <row r="157" ht="15" customHeight="1" x14ac:dyDescent="0.2"/>
    <row r="159" ht="15" customHeight="1" x14ac:dyDescent="0.2"/>
    <row r="161" ht="15" customHeight="1" x14ac:dyDescent="0.2"/>
    <row r="162" ht="15" customHeight="1" x14ac:dyDescent="0.2"/>
    <row r="163" ht="15" customHeight="1" x14ac:dyDescent="0.2"/>
    <row r="165" ht="15" customHeight="1" x14ac:dyDescent="0.2"/>
    <row r="167" ht="15" customHeight="1" x14ac:dyDescent="0.2"/>
    <row r="168" ht="15" customHeight="1" x14ac:dyDescent="0.2"/>
    <row r="169" ht="15" customHeight="1" x14ac:dyDescent="0.2"/>
    <row r="171" ht="15" customHeight="1" x14ac:dyDescent="0.2"/>
    <row r="173" ht="15" customHeight="1" x14ac:dyDescent="0.2"/>
    <row r="174" ht="15" customHeight="1" x14ac:dyDescent="0.2"/>
    <row r="175" ht="15" customHeight="1" x14ac:dyDescent="0.2"/>
    <row r="177" ht="15" customHeight="1" x14ac:dyDescent="0.2"/>
    <row r="179" ht="15" customHeight="1" x14ac:dyDescent="0.2"/>
    <row r="180" ht="15" customHeight="1" x14ac:dyDescent="0.2"/>
    <row r="181" ht="15" customHeight="1" x14ac:dyDescent="0.2"/>
    <row r="183" ht="15" customHeight="1" x14ac:dyDescent="0.2"/>
    <row r="185" ht="15" customHeight="1" x14ac:dyDescent="0.2"/>
    <row r="186" ht="15" customHeight="1" x14ac:dyDescent="0.2"/>
    <row r="187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7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7" sqref="B27"/>
    </sheetView>
  </sheetViews>
  <sheetFormatPr baseColWidth="10" defaultColWidth="8.83203125" defaultRowHeight="15" x14ac:dyDescent="0.2"/>
  <cols>
    <col min="2" max="2" width="13" customWidth="1"/>
    <col min="3" max="3" width="7" customWidth="1"/>
    <col min="4" max="6" width="5" customWidth="1"/>
    <col min="7" max="7" width="7" customWidth="1"/>
    <col min="8" max="8" width="8" customWidth="1"/>
    <col min="9" max="9" width="6" customWidth="1"/>
    <col min="10" max="10" width="8" customWidth="1"/>
  </cols>
  <sheetData>
    <row r="1" spans="2:10" ht="15" customHeight="1" x14ac:dyDescent="0.25">
      <c r="B1" s="6" t="s">
        <v>715</v>
      </c>
    </row>
    <row r="2" spans="2:10" ht="15" customHeight="1" x14ac:dyDescent="0.2">
      <c r="B2" s="29" t="s">
        <v>716</v>
      </c>
    </row>
    <row r="3" spans="2:10" ht="15" customHeight="1" x14ac:dyDescent="0.2"/>
    <row r="4" spans="2:10" ht="15" customHeight="1" x14ac:dyDescent="0.2">
      <c r="B4" s="30" t="s">
        <v>674</v>
      </c>
      <c r="C4" s="30" t="s">
        <v>37</v>
      </c>
      <c r="D4" s="30" t="s">
        <v>99</v>
      </c>
      <c r="E4" s="30" t="s">
        <v>100</v>
      </c>
      <c r="F4" s="30" t="s">
        <v>101</v>
      </c>
      <c r="G4" s="30" t="s">
        <v>717</v>
      </c>
      <c r="H4" s="30" t="s">
        <v>718</v>
      </c>
      <c r="I4" s="30" t="s">
        <v>51</v>
      </c>
      <c r="J4" s="30" t="s">
        <v>719</v>
      </c>
    </row>
    <row r="5" spans="2:10" ht="15" customHeight="1" x14ac:dyDescent="0.2">
      <c r="B5" s="31" t="s">
        <v>1308</v>
      </c>
      <c r="C5" s="40">
        <f>SUMIFS(Archives!$AF$2:$AF$1048576,Archives!$V$2:$V$1048576,$B5)+SUMIFS(Archives!$AF$2:$AF$1048576,Archives!$Y$2:$Y$1048576,$B5)</f>
        <v>50.5</v>
      </c>
      <c r="D5" s="40">
        <f>COUNTIFS(Archives!$AB$2:$AB$1048576,"W",Archives!$V$2:$V$1048576,$B5)+COUNTIFS(Archives!$AB$2:$AB$1048576,"W",Archives!$Y$2:$Y$1048576,$B5)</f>
        <v>39</v>
      </c>
      <c r="E5" s="40">
        <f>COUNTIFS(Archives!$AB$2:$AB$1048576,"L",Archives!$V$2:$V$1048576,$B5)+COUNTIFS(Archives!$AB$2:$AB$1048576,"L",Archives!$Y$2:$Y$1048576,$B5)</f>
        <v>23</v>
      </c>
      <c r="F5" s="40">
        <f>COUNTIFS(Archives!$AB$2:$AB$1048576,"T",Archives!$V$2:$V$1048576,$B5)+COUNTIFS(Archives!$AB$2:$AB$1048576,"T",Archives!$Y$2:$Y$1048576,$B5)</f>
        <v>9</v>
      </c>
      <c r="G5" s="41">
        <f t="shared" ref="G5:G36" si="0">IF(H5=0,0,(D5+0.5*F5)/H5)</f>
        <v>0.61267605633802813</v>
      </c>
      <c r="H5" s="40">
        <f t="shared" ref="H5:H35" si="1">D5+E5+F5</f>
        <v>71</v>
      </c>
      <c r="I5" s="40">
        <f>SUMPRODUCT(--((COUNTIFS(Archives!$D$2:$D$1048576,{1,2,3,4,5,6,7,8,9,10,11,12,13,14,15,16,17,18,19,20,21,22,23,24,25,26,27,28,29,30,31,32,33,34,35,36,37,38,39,40},Archives!$V$2:$V$1048576,$B5)+COUNTIFS(Archives!$D$2:$D$1048576,{1,2,3,4,5,6,7,8,9,10,11,12,13,14,15,16,17,18,19,20,21,22,23,24,25,26,27,28,29,30,31,32,33,34,35,36,37,38,39,40},Archives!$Y$2:$Y$1048576,$B5))&gt;0))</f>
        <v>12</v>
      </c>
      <c r="J5" s="42">
        <f t="shared" ref="J5:J35" si="2">IF(I5=0,0,C5/I5)</f>
        <v>4.208333333333333</v>
      </c>
    </row>
    <row r="6" spans="2:10" ht="15" customHeight="1" x14ac:dyDescent="0.2">
      <c r="B6" s="34" t="s">
        <v>127</v>
      </c>
      <c r="C6" s="43">
        <f>SUMIFS(Archives!$AF$2:$AF$1048576,Archives!$V$2:$V$1048576,$B6)+SUMIFS(Archives!$AF$2:$AF$1048576,Archives!$Y$2:$Y$1048576,$B6)</f>
        <v>46</v>
      </c>
      <c r="D6" s="43">
        <f>COUNTIFS(Archives!$AB$2:$AB$1048576,"W",Archives!$V$2:$V$1048576,$B6)+COUNTIFS(Archives!$AB$2:$AB$1048576,"W",Archives!$Y$2:$Y$1048576,$B6)</f>
        <v>38</v>
      </c>
      <c r="E6" s="43">
        <f>COUNTIFS(Archives!$AB$2:$AB$1048576,"L",Archives!$V$2:$V$1048576,$B6)+COUNTIFS(Archives!$AB$2:$AB$1048576,"L",Archives!$Y$2:$Y$1048576,$B6)</f>
        <v>26</v>
      </c>
      <c r="F6" s="43">
        <f>COUNTIFS(Archives!$AB$2:$AB$1048576,"T",Archives!$V$2:$V$1048576,$B6)+COUNTIFS(Archives!$AB$2:$AB$1048576,"T",Archives!$Y$2:$Y$1048576,$B6)</f>
        <v>7</v>
      </c>
      <c r="G6" s="44">
        <f t="shared" si="0"/>
        <v>0.58450704225352113</v>
      </c>
      <c r="H6" s="43">
        <f t="shared" si="1"/>
        <v>71</v>
      </c>
      <c r="I6" s="43">
        <f>SUMPRODUCT(--((COUNTIFS(Archives!$D$2:$D$1048576,{1,2,3,4,5,6,7,8,9,10,11,12,13,14,15,16,17,18,19,20,21,22,23,24,25,26,27,28,29,30,31,32,33,34,35,36,37,38,39,40},Archives!$V$2:$V$1048576,$B6)+COUNTIFS(Archives!$D$2:$D$1048576,{1,2,3,4,5,6,7,8,9,10,11,12,13,14,15,16,17,18,19,20,21,22,23,24,25,26,27,28,29,30,31,32,33,34,35,36,37,38,39,40},Archives!$Y$2:$Y$1048576,$B6))&gt;0))</f>
        <v>12</v>
      </c>
      <c r="J6" s="45">
        <f t="shared" si="2"/>
        <v>3.8333333333333335</v>
      </c>
    </row>
    <row r="7" spans="2:10" ht="15" customHeight="1" x14ac:dyDescent="0.2">
      <c r="B7" s="31" t="s">
        <v>118</v>
      </c>
      <c r="C7" s="40">
        <f>SUMIFS(Archives!$AF$2:$AF$1048576,Archives!$V$2:$V$1048576,$B7)+SUMIFS(Archives!$AF$2:$AF$1048576,Archives!$Y$2:$Y$1048576,$B7)</f>
        <v>46</v>
      </c>
      <c r="D7" s="40">
        <f>COUNTIFS(Archives!$AB$2:$AB$1048576,"W",Archives!$V$2:$V$1048576,$B7)+COUNTIFS(Archives!$AB$2:$AB$1048576,"W",Archives!$Y$2:$Y$1048576,$B7)</f>
        <v>39</v>
      </c>
      <c r="E7" s="40">
        <f>COUNTIFS(Archives!$AB$2:$AB$1048576,"L",Archives!$V$2:$V$1048576,$B7)+COUNTIFS(Archives!$AB$2:$AB$1048576,"L",Archives!$Y$2:$Y$1048576,$B7)</f>
        <v>24</v>
      </c>
      <c r="F7" s="40">
        <f>COUNTIFS(Archives!$AB$2:$AB$1048576,"T",Archives!$V$2:$V$1048576,$B7)+COUNTIFS(Archives!$AB$2:$AB$1048576,"T",Archives!$Y$2:$Y$1048576,$B7)</f>
        <v>8</v>
      </c>
      <c r="G7" s="41">
        <f t="shared" si="0"/>
        <v>0.60563380281690138</v>
      </c>
      <c r="H7" s="40">
        <f t="shared" si="1"/>
        <v>71</v>
      </c>
      <c r="I7" s="40">
        <f>SUMPRODUCT(--((COUNTIFS(Archives!$D$2:$D$1048576,{1,2,3,4,5,6,7,8,9,10,11,12,13,14,15,16,17,18,19,20,21,22,23,24,25,26,27,28,29,30,31,32,33,34,35,36,37,38,39,40},Archives!$V$2:$V$1048576,$B7)+COUNTIFS(Archives!$D$2:$D$1048576,{1,2,3,4,5,6,7,8,9,10,11,12,13,14,15,16,17,18,19,20,21,22,23,24,25,26,27,28,29,30,31,32,33,34,35,36,37,38,39,40},Archives!$Y$2:$Y$1048576,$B7))&gt;0))</f>
        <v>12</v>
      </c>
      <c r="J7" s="42">
        <f t="shared" si="2"/>
        <v>3.8333333333333335</v>
      </c>
    </row>
    <row r="8" spans="2:10" ht="15" customHeight="1" x14ac:dyDescent="0.2">
      <c r="B8" s="34" t="s">
        <v>119</v>
      </c>
      <c r="C8" s="43">
        <f>SUMIFS(Archives!$AF$2:$AF$1048576,Archives!$V$2:$V$1048576,$B8)+SUMIFS(Archives!$AF$2:$AF$1048576,Archives!$Y$2:$Y$1048576,$B8)</f>
        <v>43</v>
      </c>
      <c r="D8" s="43">
        <f>COUNTIFS(Archives!$AB$2:$AB$1048576,"W",Archives!$V$2:$V$1048576,$B8)+COUNTIFS(Archives!$AB$2:$AB$1048576,"W",Archives!$Y$2:$Y$1048576,$B8)</f>
        <v>36</v>
      </c>
      <c r="E8" s="43">
        <f>COUNTIFS(Archives!$AB$2:$AB$1048576,"L",Archives!$V$2:$V$1048576,$B8)+COUNTIFS(Archives!$AB$2:$AB$1048576,"L",Archives!$Y$2:$Y$1048576,$B8)</f>
        <v>29</v>
      </c>
      <c r="F8" s="43">
        <f>COUNTIFS(Archives!$AB$2:$AB$1048576,"T",Archives!$V$2:$V$1048576,$B8)+COUNTIFS(Archives!$AB$2:$AB$1048576,"T",Archives!$Y$2:$Y$1048576,$B8)</f>
        <v>6</v>
      </c>
      <c r="G8" s="44">
        <f t="shared" si="0"/>
        <v>0.54929577464788737</v>
      </c>
      <c r="H8" s="43">
        <f t="shared" si="1"/>
        <v>71</v>
      </c>
      <c r="I8" s="43">
        <f>SUMPRODUCT(--((COUNTIFS(Archives!$D$2:$D$1048576,{1,2,3,4,5,6,7,8,9,10,11,12,13,14,15,16,17,18,19,20,21,22,23,24,25,26,27,28,29,30,31,32,33,34,35,36,37,38,39,40},Archives!$V$2:$V$1048576,$B8)+COUNTIFS(Archives!$D$2:$D$1048576,{1,2,3,4,5,6,7,8,9,10,11,12,13,14,15,16,17,18,19,20,21,22,23,24,25,26,27,28,29,30,31,32,33,34,35,36,37,38,39,40},Archives!$Y$2:$Y$1048576,$B8))&gt;0))</f>
        <v>12</v>
      </c>
      <c r="J8" s="45">
        <f t="shared" si="2"/>
        <v>3.5833333333333335</v>
      </c>
    </row>
    <row r="9" spans="2:10" ht="15" customHeight="1" x14ac:dyDescent="0.2">
      <c r="B9" s="31" t="s">
        <v>176</v>
      </c>
      <c r="C9" s="40">
        <f>SUMIFS(Archives!$AF$2:$AF$1048576,Archives!$V$2:$V$1048576,$B9)+SUMIFS(Archives!$AF$2:$AF$1048576,Archives!$Y$2:$Y$1048576,$B9)</f>
        <v>42</v>
      </c>
      <c r="D9" s="40">
        <f>COUNTIFS(Archives!$AB$2:$AB$1048576,"W",Archives!$V$2:$V$1048576,$B9)+COUNTIFS(Archives!$AB$2:$AB$1048576,"W",Archives!$Y$2:$Y$1048576,$B9)</f>
        <v>34</v>
      </c>
      <c r="E9" s="40">
        <f>COUNTIFS(Archives!$AB$2:$AB$1048576,"L",Archives!$V$2:$V$1048576,$B9)+COUNTIFS(Archives!$AB$2:$AB$1048576,"L",Archives!$Y$2:$Y$1048576,$B9)</f>
        <v>24</v>
      </c>
      <c r="F9" s="40">
        <f>COUNTIFS(Archives!$AB$2:$AB$1048576,"T",Archives!$V$2:$V$1048576,$B9)+COUNTIFS(Archives!$AB$2:$AB$1048576,"T",Archives!$Y$2:$Y$1048576,$B9)</f>
        <v>7</v>
      </c>
      <c r="G9" s="41">
        <f t="shared" si="0"/>
        <v>0.57692307692307687</v>
      </c>
      <c r="H9" s="40">
        <f t="shared" si="1"/>
        <v>65</v>
      </c>
      <c r="I9" s="40">
        <f>SUMPRODUCT(--((COUNTIFS(Archives!$D$2:$D$1048576,{1,2,3,4,5,6,7,8,9,10,11,12,13,14,15,16,17,18,19,20,21,22,23,24,25,26,27,28,29,30,31,32,33,34,35,36,37,38,39,40},Archives!$V$2:$V$1048576,$B9)+COUNTIFS(Archives!$D$2:$D$1048576,{1,2,3,4,5,6,7,8,9,10,11,12,13,14,15,16,17,18,19,20,21,22,23,24,25,26,27,28,29,30,31,32,33,34,35,36,37,38,39,40},Archives!$Y$2:$Y$1048576,$B9))&gt;0))</f>
        <v>11</v>
      </c>
      <c r="J9" s="42">
        <f t="shared" si="2"/>
        <v>3.8181818181818183</v>
      </c>
    </row>
    <row r="10" spans="2:10" ht="15" customHeight="1" x14ac:dyDescent="0.2">
      <c r="B10" s="34" t="s">
        <v>123</v>
      </c>
      <c r="C10" s="43">
        <f>SUMIFS(Archives!$AF$2:$AF$1048576,Archives!$V$2:$V$1048576,$B10)+SUMIFS(Archives!$AF$2:$AF$1048576,Archives!$Y$2:$Y$1048576,$B10)</f>
        <v>41</v>
      </c>
      <c r="D10" s="43">
        <f>COUNTIFS(Archives!$AB$2:$AB$1048576,"W",Archives!$V$2:$V$1048576,$B10)+COUNTIFS(Archives!$AB$2:$AB$1048576,"W",Archives!$Y$2:$Y$1048576,$B10)</f>
        <v>35</v>
      </c>
      <c r="E10" s="43">
        <f>COUNTIFS(Archives!$AB$2:$AB$1048576,"L",Archives!$V$2:$V$1048576,$B10)+COUNTIFS(Archives!$AB$2:$AB$1048576,"L",Archives!$Y$2:$Y$1048576,$B10)</f>
        <v>29</v>
      </c>
      <c r="F10" s="43">
        <f>COUNTIFS(Archives!$AB$2:$AB$1048576,"T",Archives!$V$2:$V$1048576,$B10)+COUNTIFS(Archives!$AB$2:$AB$1048576,"T",Archives!$Y$2:$Y$1048576,$B10)</f>
        <v>7</v>
      </c>
      <c r="G10" s="44">
        <f t="shared" si="0"/>
        <v>0.54225352112676062</v>
      </c>
      <c r="H10" s="43">
        <f t="shared" si="1"/>
        <v>71</v>
      </c>
      <c r="I10" s="43">
        <f>SUMPRODUCT(--((COUNTIFS(Archives!$D$2:$D$1048576,{1,2,3,4,5,6,7,8,9,10,11,12,13,14,15,16,17,18,19,20,21,22,23,24,25,26,27,28,29,30,31,32,33,34,35,36,37,38,39,40},Archives!$V$2:$V$1048576,$B10)+COUNTIFS(Archives!$D$2:$D$1048576,{1,2,3,4,5,6,7,8,9,10,11,12,13,14,15,16,17,18,19,20,21,22,23,24,25,26,27,28,29,30,31,32,33,34,35,36,37,38,39,40},Archives!$Y$2:$Y$1048576,$B10))&gt;0))</f>
        <v>12</v>
      </c>
      <c r="J10" s="45">
        <f t="shared" si="2"/>
        <v>3.4166666666666665</v>
      </c>
    </row>
    <row r="11" spans="2:10" ht="15" customHeight="1" x14ac:dyDescent="0.2">
      <c r="B11" s="31" t="s">
        <v>132</v>
      </c>
      <c r="C11" s="40">
        <f>SUMIFS(Archives!$AF$2:$AF$1048576,Archives!$V$2:$V$1048576,$B11)+SUMIFS(Archives!$AF$2:$AF$1048576,Archives!$Y$2:$Y$1048576,$B11)</f>
        <v>36.5</v>
      </c>
      <c r="D11" s="40">
        <f>COUNTIFS(Archives!$AB$2:$AB$1048576,"W",Archives!$V$2:$V$1048576,$B11)+COUNTIFS(Archives!$AB$2:$AB$1048576,"W",Archives!$Y$2:$Y$1048576,$B11)</f>
        <v>29</v>
      </c>
      <c r="E11" s="40">
        <f>COUNTIFS(Archives!$AB$2:$AB$1048576,"L",Archives!$V$2:$V$1048576,$B11)+COUNTIFS(Archives!$AB$2:$AB$1048576,"L",Archives!$Y$2:$Y$1048576,$B11)</f>
        <v>34</v>
      </c>
      <c r="F11" s="40">
        <f>COUNTIFS(Archives!$AB$2:$AB$1048576,"T",Archives!$V$2:$V$1048576,$B11)+COUNTIFS(Archives!$AB$2:$AB$1048576,"T",Archives!$Y$2:$Y$1048576,$B11)</f>
        <v>8</v>
      </c>
      <c r="G11" s="41">
        <f t="shared" si="0"/>
        <v>0.46478873239436619</v>
      </c>
      <c r="H11" s="40">
        <f t="shared" si="1"/>
        <v>71</v>
      </c>
      <c r="I11" s="40">
        <f>SUMPRODUCT(--((COUNTIFS(Archives!$D$2:$D$1048576,{1,2,3,4,5,6,7,8,9,10,11,12,13,14,15,16,17,18,19,20,21,22,23,24,25,26,27,28,29,30,31,32,33,34,35,36,37,38,39,40},Archives!$V$2:$V$1048576,$B11)+COUNTIFS(Archives!$D$2:$D$1048576,{1,2,3,4,5,6,7,8,9,10,11,12,13,14,15,16,17,18,19,20,21,22,23,24,25,26,27,28,29,30,31,32,33,34,35,36,37,38,39,40},Archives!$Y$2:$Y$1048576,$B11))&gt;0))</f>
        <v>12</v>
      </c>
      <c r="J11" s="42">
        <f t="shared" si="2"/>
        <v>3.0416666666666665</v>
      </c>
    </row>
    <row r="12" spans="2:10" ht="15" customHeight="1" x14ac:dyDescent="0.2">
      <c r="B12" s="34" t="s">
        <v>122</v>
      </c>
      <c r="C12" s="43">
        <f>SUMIFS(Archives!$AF$2:$AF$1048576,Archives!$V$2:$V$1048576,$B12)+SUMIFS(Archives!$AF$2:$AF$1048576,Archives!$Y$2:$Y$1048576,$B12)</f>
        <v>37</v>
      </c>
      <c r="D12" s="43">
        <f>COUNTIFS(Archives!$AB$2:$AB$1048576,"W",Archives!$V$2:$V$1048576,$B12)+COUNTIFS(Archives!$AB$2:$AB$1048576,"W",Archives!$Y$2:$Y$1048576,$B12)</f>
        <v>28</v>
      </c>
      <c r="E12" s="43">
        <f>COUNTIFS(Archives!$AB$2:$AB$1048576,"L",Archives!$V$2:$V$1048576,$B12)+COUNTIFS(Archives!$AB$2:$AB$1048576,"L",Archives!$Y$2:$Y$1048576,$B12)</f>
        <v>30</v>
      </c>
      <c r="F12" s="43">
        <f>COUNTIFS(Archives!$AB$2:$AB$1048576,"T",Archives!$V$2:$V$1048576,$B12)+COUNTIFS(Archives!$AB$2:$AB$1048576,"T",Archives!$Y$2:$Y$1048576,$B12)</f>
        <v>7</v>
      </c>
      <c r="G12" s="44">
        <f t="shared" si="0"/>
        <v>0.48461538461538461</v>
      </c>
      <c r="H12" s="43">
        <f t="shared" si="1"/>
        <v>65</v>
      </c>
      <c r="I12" s="43">
        <f>SUMPRODUCT(--((COUNTIFS(Archives!$D$2:$D$1048576,{1,2,3,4,5,6,7,8,9,10,11,12,13,14,15,16,17,18,19,20,21,22,23,24,25,26,27,28,29,30,31,32,33,34,35,36,37,38,39,40},Archives!$V$2:$V$1048576,$B12)+COUNTIFS(Archives!$D$2:$D$1048576,{1,2,3,4,5,6,7,8,9,10,11,12,13,14,15,16,17,18,19,20,21,22,23,24,25,26,27,28,29,30,31,32,33,34,35,36,37,38,39,40},Archives!$Y$2:$Y$1048576,$B12))&gt;0))</f>
        <v>11</v>
      </c>
      <c r="J12" s="45">
        <f t="shared" si="2"/>
        <v>3.3636363636363638</v>
      </c>
    </row>
    <row r="13" spans="2:10" ht="15" customHeight="1" x14ac:dyDescent="0.2">
      <c r="B13" s="31" t="s">
        <v>227</v>
      </c>
      <c r="C13" s="40">
        <f>SUMIFS(Archives!$AF$2:$AF$1048576,Archives!$V$2:$V$1048576,$B13)+SUMIFS(Archives!$AF$2:$AF$1048576,Archives!$Y$2:$Y$1048576,$B13)</f>
        <v>32.5</v>
      </c>
      <c r="D13" s="40">
        <f>COUNTIFS(Archives!$AB$2:$AB$1048576,"W",Archives!$V$2:$V$1048576,$B13)+COUNTIFS(Archives!$AB$2:$AB$1048576,"W",Archives!$Y$2:$Y$1048576,$B13)</f>
        <v>25</v>
      </c>
      <c r="E13" s="40">
        <f>COUNTIFS(Archives!$AB$2:$AB$1048576,"L",Archives!$V$2:$V$1048576,$B13)+COUNTIFS(Archives!$AB$2:$AB$1048576,"L",Archives!$Y$2:$Y$1048576,$B13)</f>
        <v>29</v>
      </c>
      <c r="F13" s="40">
        <f>COUNTIFS(Archives!$AB$2:$AB$1048576,"T",Archives!$V$2:$V$1048576,$B13)+COUNTIFS(Archives!$AB$2:$AB$1048576,"T",Archives!$Y$2:$Y$1048576,$B13)</f>
        <v>7</v>
      </c>
      <c r="G13" s="41">
        <f t="shared" si="0"/>
        <v>0.46721311475409838</v>
      </c>
      <c r="H13" s="40">
        <f t="shared" si="1"/>
        <v>61</v>
      </c>
      <c r="I13" s="40">
        <f>SUMPRODUCT(--((COUNTIFS(Archives!$D$2:$D$1048576,{1,2,3,4,5,6,7,8,9,10,11,12,13,14,15,16,17,18,19,20,21,22,23,24,25,26,27,28,29,30,31,32,33,34,35,36,37,38,39,40},Archives!$V$2:$V$1048576,$B13)+COUNTIFS(Archives!$D$2:$D$1048576,{1,2,3,4,5,6,7,8,9,10,11,12,13,14,15,16,17,18,19,20,21,22,23,24,25,26,27,28,29,30,31,32,33,34,35,36,37,38,39,40},Archives!$Y$2:$Y$1048576,$B13))&gt;0))</f>
        <v>10</v>
      </c>
      <c r="J13" s="42">
        <f t="shared" si="2"/>
        <v>3.25</v>
      </c>
    </row>
    <row r="14" spans="2:10" ht="15" customHeight="1" x14ac:dyDescent="0.2">
      <c r="B14" s="34" t="s">
        <v>226</v>
      </c>
      <c r="C14" s="43">
        <f>SUMIFS(Archives!$AF$2:$AF$1048576,Archives!$V$2:$V$1048576,$B14)+SUMIFS(Archives!$AF$2:$AF$1048576,Archives!$Y$2:$Y$1048576,$B14)</f>
        <v>31</v>
      </c>
      <c r="D14" s="43">
        <f>COUNTIFS(Archives!$AB$2:$AB$1048576,"W",Archives!$V$2:$V$1048576,$B14)+COUNTIFS(Archives!$AB$2:$AB$1048576,"W",Archives!$Y$2:$Y$1048576,$B14)</f>
        <v>24</v>
      </c>
      <c r="E14" s="43">
        <f>COUNTIFS(Archives!$AB$2:$AB$1048576,"L",Archives!$V$2:$V$1048576,$B14)+COUNTIFS(Archives!$AB$2:$AB$1048576,"L",Archives!$Y$2:$Y$1048576,$B14)</f>
        <v>11</v>
      </c>
      <c r="F14" s="43">
        <f>COUNTIFS(Archives!$AB$2:$AB$1048576,"T",Archives!$V$2:$V$1048576,$B14)+COUNTIFS(Archives!$AB$2:$AB$1048576,"T",Archives!$Y$2:$Y$1048576,$B14)</f>
        <v>7</v>
      </c>
      <c r="G14" s="44">
        <f t="shared" si="0"/>
        <v>0.65476190476190477</v>
      </c>
      <c r="H14" s="43">
        <f t="shared" si="1"/>
        <v>42</v>
      </c>
      <c r="I14" s="43">
        <f>SUMPRODUCT(--((COUNTIFS(Archives!$D$2:$D$1048576,{1,2,3,4,5,6,7,8,9,10,11,12,13,14,15,16,17,18,19,20,21,22,23,24,25,26,27,28,29,30,31,32,33,34,35,36,37,38,39,40},Archives!$V$2:$V$1048576,$B14)+COUNTIFS(Archives!$D$2:$D$1048576,{1,2,3,4,5,6,7,8,9,10,11,12,13,14,15,16,17,18,19,20,21,22,23,24,25,26,27,28,29,30,31,32,33,34,35,36,37,38,39,40},Archives!$Y$2:$Y$1048576,$B14))&gt;0))</f>
        <v>7</v>
      </c>
      <c r="J14" s="45">
        <f t="shared" si="2"/>
        <v>4.4285714285714288</v>
      </c>
    </row>
    <row r="15" spans="2:10" ht="15" customHeight="1" x14ac:dyDescent="0.2">
      <c r="B15" s="31" t="s">
        <v>172</v>
      </c>
      <c r="C15" s="40">
        <f>SUMIFS(Archives!$AF$2:$AF$1048576,Archives!$V$2:$V$1048576,$B15)+SUMIFS(Archives!$AF$2:$AF$1048576,Archives!$Y$2:$Y$1048576,$B15)</f>
        <v>30</v>
      </c>
      <c r="D15" s="40">
        <f>COUNTIFS(Archives!$AB$2:$AB$1048576,"W",Archives!$V$2:$V$1048576,$B15)+COUNTIFS(Archives!$AB$2:$AB$1048576,"W",Archives!$Y$2:$Y$1048576,$B15)</f>
        <v>24</v>
      </c>
      <c r="E15" s="40">
        <f>COUNTIFS(Archives!$AB$2:$AB$1048576,"L",Archives!$V$2:$V$1048576,$B15)+COUNTIFS(Archives!$AB$2:$AB$1048576,"L",Archives!$Y$2:$Y$1048576,$B15)</f>
        <v>38</v>
      </c>
      <c r="F15" s="40">
        <f>COUNTIFS(Archives!$AB$2:$AB$1048576,"T",Archives!$V$2:$V$1048576,$B15)+COUNTIFS(Archives!$AB$2:$AB$1048576,"T",Archives!$Y$2:$Y$1048576,$B15)</f>
        <v>4</v>
      </c>
      <c r="G15" s="41">
        <f t="shared" si="0"/>
        <v>0.39393939393939392</v>
      </c>
      <c r="H15" s="40">
        <f t="shared" si="1"/>
        <v>66</v>
      </c>
      <c r="I15" s="40">
        <f>SUMPRODUCT(--((COUNTIFS(Archives!$D$2:$D$1048576,{1,2,3,4,5,6,7,8,9,10,11,12,13,14,15,16,17,18,19,20,21,22,23,24,25,26,27,28,29,30,31,32,33,34,35,36,37,38,39,40},Archives!$V$2:$V$1048576,$B15)+COUNTIFS(Archives!$D$2:$D$1048576,{1,2,3,4,5,6,7,8,9,10,11,12,13,14,15,16,17,18,19,20,21,22,23,24,25,26,27,28,29,30,31,32,33,34,35,36,37,38,39,40},Archives!$Y$2:$Y$1048576,$B15))&gt;0))</f>
        <v>11</v>
      </c>
      <c r="J15" s="42">
        <f t="shared" si="2"/>
        <v>2.7272727272727271</v>
      </c>
    </row>
    <row r="16" spans="2:10" ht="15" customHeight="1" x14ac:dyDescent="0.2">
      <c r="B16" s="34" t="s">
        <v>179</v>
      </c>
      <c r="C16" s="43">
        <f>SUMIFS(Archives!$AF$2:$AF$1048576,Archives!$V$2:$V$1048576,$B16)+SUMIFS(Archives!$AF$2:$AF$1048576,Archives!$Y$2:$Y$1048576,$B16)</f>
        <v>30</v>
      </c>
      <c r="D16" s="43">
        <f>COUNTIFS(Archives!$AB$2:$AB$1048576,"W",Archives!$V$2:$V$1048576,$B16)+COUNTIFS(Archives!$AB$2:$AB$1048576,"W",Archives!$Y$2:$Y$1048576,$B16)</f>
        <v>23</v>
      </c>
      <c r="E16" s="43">
        <f>COUNTIFS(Archives!$AB$2:$AB$1048576,"L",Archives!$V$2:$V$1048576,$B16)+COUNTIFS(Archives!$AB$2:$AB$1048576,"L",Archives!$Y$2:$Y$1048576,$B16)</f>
        <v>30</v>
      </c>
      <c r="F16" s="43">
        <f>COUNTIFS(Archives!$AB$2:$AB$1048576,"T",Archives!$V$2:$V$1048576,$B16)+COUNTIFS(Archives!$AB$2:$AB$1048576,"T",Archives!$Y$2:$Y$1048576,$B16)</f>
        <v>6</v>
      </c>
      <c r="G16" s="44">
        <f t="shared" si="0"/>
        <v>0.44067796610169491</v>
      </c>
      <c r="H16" s="43">
        <f t="shared" si="1"/>
        <v>59</v>
      </c>
      <c r="I16" s="43">
        <f>SUMPRODUCT(--((COUNTIFS(Archives!$D$2:$D$1048576,{1,2,3,4,5,6,7,8,9,10,11,12,13,14,15,16,17,18,19,20,21,22,23,24,25,26,27,28,29,30,31,32,33,34,35,36,37,38,39,40},Archives!$V$2:$V$1048576,$B16)+COUNTIFS(Archives!$D$2:$D$1048576,{1,2,3,4,5,6,7,8,9,10,11,12,13,14,15,16,17,18,19,20,21,22,23,24,25,26,27,28,29,30,31,32,33,34,35,36,37,38,39,40},Archives!$Y$2:$Y$1048576,$B16))&gt;0))</f>
        <v>10</v>
      </c>
      <c r="J16" s="45">
        <f t="shared" si="2"/>
        <v>3</v>
      </c>
    </row>
    <row r="17" spans="2:10" ht="15" customHeight="1" x14ac:dyDescent="0.2">
      <c r="B17" s="31" t="s">
        <v>133</v>
      </c>
      <c r="C17" s="40">
        <f>SUMIFS(Archives!$AF$2:$AF$1048576,Archives!$V$2:$V$1048576,$B17)+SUMIFS(Archives!$AF$2:$AF$1048576,Archives!$Y$2:$Y$1048576,$B17)</f>
        <v>28.5</v>
      </c>
      <c r="D17" s="40">
        <f>COUNTIFS(Archives!$AB$2:$AB$1048576,"W",Archives!$V$2:$V$1048576,$B17)+COUNTIFS(Archives!$AB$2:$AB$1048576,"W",Archives!$Y$2:$Y$1048576,$B17)</f>
        <v>22</v>
      </c>
      <c r="E17" s="40">
        <f>COUNTIFS(Archives!$AB$2:$AB$1048576,"L",Archives!$V$2:$V$1048576,$B17)+COUNTIFS(Archives!$AB$2:$AB$1048576,"L",Archives!$Y$2:$Y$1048576,$B17)</f>
        <v>32</v>
      </c>
      <c r="F17" s="40">
        <f>COUNTIFS(Archives!$AB$2:$AB$1048576,"T",Archives!$V$2:$V$1048576,$B17)+COUNTIFS(Archives!$AB$2:$AB$1048576,"T",Archives!$Y$2:$Y$1048576,$B17)</f>
        <v>11</v>
      </c>
      <c r="G17" s="41">
        <f t="shared" si="0"/>
        <v>0.42307692307692307</v>
      </c>
      <c r="H17" s="40">
        <f t="shared" si="1"/>
        <v>65</v>
      </c>
      <c r="I17" s="40">
        <f>SUMPRODUCT(--((COUNTIFS(Archives!$D$2:$D$1048576,{1,2,3,4,5,6,7,8,9,10,11,12,13,14,15,16,17,18,19,20,21,22,23,24,25,26,27,28,29,30,31,32,33,34,35,36,37,38,39,40},Archives!$V$2:$V$1048576,$B17)+COUNTIFS(Archives!$D$2:$D$1048576,{1,2,3,4,5,6,7,8,9,10,11,12,13,14,15,16,17,18,19,20,21,22,23,24,25,26,27,28,29,30,31,32,33,34,35,36,37,38,39,40},Archives!$Y$2:$Y$1048576,$B17))&gt;0))</f>
        <v>11</v>
      </c>
      <c r="J17" s="42">
        <f t="shared" si="2"/>
        <v>2.5909090909090908</v>
      </c>
    </row>
    <row r="18" spans="2:10" ht="15" customHeight="1" x14ac:dyDescent="0.2">
      <c r="B18" s="34" t="s">
        <v>272</v>
      </c>
      <c r="C18" s="43">
        <f>SUMIFS(Archives!$AF$2:$AF$1048576,Archives!$V$2:$V$1048576,$B18)+SUMIFS(Archives!$AF$2:$AF$1048576,Archives!$Y$2:$Y$1048576,$B18)</f>
        <v>28.5</v>
      </c>
      <c r="D18" s="43">
        <f>COUNTIFS(Archives!$AB$2:$AB$1048576,"W",Archives!$V$2:$V$1048576,$B18)+COUNTIFS(Archives!$AB$2:$AB$1048576,"W",Archives!$Y$2:$Y$1048576,$B18)</f>
        <v>22</v>
      </c>
      <c r="E18" s="43">
        <f>COUNTIFS(Archives!$AB$2:$AB$1048576,"L",Archives!$V$2:$V$1048576,$B18)+COUNTIFS(Archives!$AB$2:$AB$1048576,"L",Archives!$Y$2:$Y$1048576,$B18)</f>
        <v>21</v>
      </c>
      <c r="F18" s="43">
        <f>COUNTIFS(Archives!$AB$2:$AB$1048576,"T",Archives!$V$2:$V$1048576,$B18)+COUNTIFS(Archives!$AB$2:$AB$1048576,"T",Archives!$Y$2:$Y$1048576,$B18)</f>
        <v>6</v>
      </c>
      <c r="G18" s="44">
        <f t="shared" si="0"/>
        <v>0.51020408163265307</v>
      </c>
      <c r="H18" s="43">
        <f t="shared" si="1"/>
        <v>49</v>
      </c>
      <c r="I18" s="43">
        <f>SUMPRODUCT(--((COUNTIFS(Archives!$D$2:$D$1048576,{1,2,3,4,5,6,7,8,9,10,11,12,13,14,15,16,17,18,19,20,21,22,23,24,25,26,27,28,29,30,31,32,33,34,35,36,37,38,39,40},Archives!$V$2:$V$1048576,$B18)+COUNTIFS(Archives!$D$2:$D$1048576,{1,2,3,4,5,6,7,8,9,10,11,12,13,14,15,16,17,18,19,20,21,22,23,24,25,26,27,28,29,30,31,32,33,34,35,36,37,38,39,40},Archives!$Y$2:$Y$1048576,$B18))&gt;0))</f>
        <v>8</v>
      </c>
      <c r="J18" s="45">
        <f t="shared" si="2"/>
        <v>3.5625</v>
      </c>
    </row>
    <row r="19" spans="2:10" ht="15" customHeight="1" x14ac:dyDescent="0.2">
      <c r="B19" s="31" t="s">
        <v>231</v>
      </c>
      <c r="C19" s="40">
        <f>SUMIFS(Archives!$AF$2:$AF$1048576,Archives!$V$2:$V$1048576,$B19)+SUMIFS(Archives!$AF$2:$AF$1048576,Archives!$Y$2:$Y$1048576,$B19)</f>
        <v>28</v>
      </c>
      <c r="D19" s="40">
        <f>COUNTIFS(Archives!$AB$2:$AB$1048576,"W",Archives!$V$2:$V$1048576,$B19)+COUNTIFS(Archives!$AB$2:$AB$1048576,"W",Archives!$Y$2:$Y$1048576,$B19)</f>
        <v>21</v>
      </c>
      <c r="E19" s="40">
        <f>COUNTIFS(Archives!$AB$2:$AB$1048576,"L",Archives!$V$2:$V$1048576,$B19)+COUNTIFS(Archives!$AB$2:$AB$1048576,"L",Archives!$Y$2:$Y$1048576,$B19)</f>
        <v>21</v>
      </c>
      <c r="F19" s="40">
        <f>COUNTIFS(Archives!$AB$2:$AB$1048576,"T",Archives!$V$2:$V$1048576,$B19)+COUNTIFS(Archives!$AB$2:$AB$1048576,"T",Archives!$Y$2:$Y$1048576,$B19)</f>
        <v>6</v>
      </c>
      <c r="G19" s="41">
        <f t="shared" si="0"/>
        <v>0.5</v>
      </c>
      <c r="H19" s="40">
        <f t="shared" si="1"/>
        <v>48</v>
      </c>
      <c r="I19" s="40">
        <f>SUMPRODUCT(--((COUNTIFS(Archives!$D$2:$D$1048576,{1,2,3,4,5,6,7,8,9,10,11,12,13,14,15,16,17,18,19,20,21,22,23,24,25,26,27,28,29,30,31,32,33,34,35,36,37,38,39,40},Archives!$V$2:$V$1048576,$B19)+COUNTIFS(Archives!$D$2:$D$1048576,{1,2,3,4,5,6,7,8,9,10,11,12,13,14,15,16,17,18,19,20,21,22,23,24,25,26,27,28,29,30,31,32,33,34,35,36,37,38,39,40},Archives!$Y$2:$Y$1048576,$B19))&gt;0))</f>
        <v>8</v>
      </c>
      <c r="J19" s="42">
        <f t="shared" si="2"/>
        <v>3.5</v>
      </c>
    </row>
    <row r="20" spans="2:10" ht="15" customHeight="1" x14ac:dyDescent="0.2">
      <c r="B20" s="34" t="s">
        <v>135</v>
      </c>
      <c r="C20" s="43">
        <f>SUMIFS(Archives!$AF$2:$AF$1048576,Archives!$V$2:$V$1048576,$B20)+SUMIFS(Archives!$AF$2:$AF$1048576,Archives!$Y$2:$Y$1048576,$B20)</f>
        <v>27</v>
      </c>
      <c r="D20" s="43">
        <f>COUNTIFS(Archives!$AB$2:$AB$1048576,"W",Archives!$V$2:$V$1048576,$B20)+COUNTIFS(Archives!$AB$2:$AB$1048576,"W",Archives!$Y$2:$Y$1048576,$B20)</f>
        <v>23</v>
      </c>
      <c r="E20" s="43">
        <f>COUNTIFS(Archives!$AB$2:$AB$1048576,"L",Archives!$V$2:$V$1048576,$B20)+COUNTIFS(Archives!$AB$2:$AB$1048576,"L",Archives!$Y$2:$Y$1048576,$B20)</f>
        <v>36</v>
      </c>
      <c r="F20" s="43">
        <f>COUNTIFS(Archives!$AB$2:$AB$1048576,"T",Archives!$V$2:$V$1048576,$B20)+COUNTIFS(Archives!$AB$2:$AB$1048576,"T",Archives!$Y$2:$Y$1048576,$B20)</f>
        <v>6</v>
      </c>
      <c r="G20" s="44">
        <f t="shared" si="0"/>
        <v>0.4</v>
      </c>
      <c r="H20" s="43">
        <f t="shared" si="1"/>
        <v>65</v>
      </c>
      <c r="I20" s="43">
        <f>SUMPRODUCT(--((COUNTIFS(Archives!$D$2:$D$1048576,{1,2,3,4,5,6,7,8,9,10,11,12,13,14,15,16,17,18,19,20,21,22,23,24,25,26,27,28,29,30,31,32,33,34,35,36,37,38,39,40},Archives!$V$2:$V$1048576,$B20)+COUNTIFS(Archives!$D$2:$D$1048576,{1,2,3,4,5,6,7,8,9,10,11,12,13,14,15,16,17,18,19,20,21,22,23,24,25,26,27,28,29,30,31,32,33,34,35,36,37,38,39,40},Archives!$Y$2:$Y$1048576,$B20))&gt;0))</f>
        <v>11</v>
      </c>
      <c r="J20" s="45">
        <f t="shared" si="2"/>
        <v>2.4545454545454546</v>
      </c>
    </row>
    <row r="21" spans="2:10" ht="15" customHeight="1" x14ac:dyDescent="0.2">
      <c r="B21" s="31" t="s">
        <v>130</v>
      </c>
      <c r="C21" s="40">
        <f>SUMIFS(Archives!$AF$2:$AF$1048576,Archives!$V$2:$V$1048576,$B21)+SUMIFS(Archives!$AF$2:$AF$1048576,Archives!$Y$2:$Y$1048576,$B21)</f>
        <v>27</v>
      </c>
      <c r="D21" s="40">
        <f>COUNTIFS(Archives!$AB$2:$AB$1048576,"W",Archives!$V$2:$V$1048576,$B21)+COUNTIFS(Archives!$AB$2:$AB$1048576,"W",Archives!$Y$2:$Y$1048576,$B21)</f>
        <v>19</v>
      </c>
      <c r="E21" s="40">
        <f>COUNTIFS(Archives!$AB$2:$AB$1048576,"L",Archives!$V$2:$V$1048576,$B21)+COUNTIFS(Archives!$AB$2:$AB$1048576,"L",Archives!$Y$2:$Y$1048576,$B21)</f>
        <v>17</v>
      </c>
      <c r="F21" s="40">
        <f>COUNTIFS(Archives!$AB$2:$AB$1048576,"T",Archives!$V$2:$V$1048576,$B21)+COUNTIFS(Archives!$AB$2:$AB$1048576,"T",Archives!$Y$2:$Y$1048576,$B21)</f>
        <v>7</v>
      </c>
      <c r="G21" s="41">
        <f t="shared" si="0"/>
        <v>0.52325581395348841</v>
      </c>
      <c r="H21" s="40">
        <f t="shared" si="1"/>
        <v>43</v>
      </c>
      <c r="I21" s="40">
        <f>SUMPRODUCT(--((COUNTIFS(Archives!$D$2:$D$1048576,{1,2,3,4,5,6,7,8,9,10,11,12,13,14,15,16,17,18,19,20,21,22,23,24,25,26,27,28,29,30,31,32,33,34,35,36,37,38,39,40},Archives!$V$2:$V$1048576,$B21)+COUNTIFS(Archives!$D$2:$D$1048576,{1,2,3,4,5,6,7,8,9,10,11,12,13,14,15,16,17,18,19,20,21,22,23,24,25,26,27,28,29,30,31,32,33,34,35,36,37,38,39,40},Archives!$Y$2:$Y$1048576,$B21))&gt;0))</f>
        <v>7</v>
      </c>
      <c r="J21" s="42">
        <f t="shared" si="2"/>
        <v>3.8571428571428572</v>
      </c>
    </row>
    <row r="22" spans="2:10" ht="15" customHeight="1" x14ac:dyDescent="0.2">
      <c r="B22" s="34" t="s">
        <v>178</v>
      </c>
      <c r="C22" s="43">
        <f>SUMIFS(Archives!$AF$2:$AF$1048576,Archives!$V$2:$V$1048576,$B22)+SUMIFS(Archives!$AF$2:$AF$1048576,Archives!$Y$2:$Y$1048576,$B22)</f>
        <v>22</v>
      </c>
      <c r="D22" s="43">
        <f>COUNTIFS(Archives!$AB$2:$AB$1048576,"W",Archives!$V$2:$V$1048576,$B22)+COUNTIFS(Archives!$AB$2:$AB$1048576,"W",Archives!$Y$2:$Y$1048576,$B22)</f>
        <v>16</v>
      </c>
      <c r="E22" s="43">
        <f>COUNTIFS(Archives!$AB$2:$AB$1048576,"L",Archives!$V$2:$V$1048576,$B22)+COUNTIFS(Archives!$AB$2:$AB$1048576,"L",Archives!$Y$2:$Y$1048576,$B22)</f>
        <v>34</v>
      </c>
      <c r="F22" s="43">
        <f>COUNTIFS(Archives!$AB$2:$AB$1048576,"T",Archives!$V$2:$V$1048576,$B22)+COUNTIFS(Archives!$AB$2:$AB$1048576,"T",Archives!$Y$2:$Y$1048576,$B22)</f>
        <v>9</v>
      </c>
      <c r="G22" s="44">
        <f t="shared" si="0"/>
        <v>0.34745762711864409</v>
      </c>
      <c r="H22" s="43">
        <f t="shared" si="1"/>
        <v>59</v>
      </c>
      <c r="I22" s="43">
        <f>SUMPRODUCT(--((COUNTIFS(Archives!$D$2:$D$1048576,{1,2,3,4,5,6,7,8,9,10,11,12,13,14,15,16,17,18,19,20,21,22,23,24,25,26,27,28,29,30,31,32,33,34,35,36,37,38,39,40},Archives!$V$2:$V$1048576,$B22)+COUNTIFS(Archives!$D$2:$D$1048576,{1,2,3,4,5,6,7,8,9,10,11,12,13,14,15,16,17,18,19,20,21,22,23,24,25,26,27,28,29,30,31,32,33,34,35,36,37,38,39,40},Archives!$Y$2:$Y$1048576,$B22))&gt;0))</f>
        <v>10</v>
      </c>
      <c r="J22" s="45">
        <f t="shared" si="2"/>
        <v>2.2000000000000002</v>
      </c>
    </row>
    <row r="23" spans="2:10" ht="15" customHeight="1" x14ac:dyDescent="0.2">
      <c r="B23" s="31" t="s">
        <v>230</v>
      </c>
      <c r="C23" s="40">
        <f>SUMIFS(Archives!$AF$2:$AF$1048576,Archives!$V$2:$V$1048576,$B23)+SUMIFS(Archives!$AF$2:$AF$1048576,Archives!$Y$2:$Y$1048576,$B23)</f>
        <v>21</v>
      </c>
      <c r="D23" s="40">
        <f>COUNTIFS(Archives!$AB$2:$AB$1048576,"W",Archives!$V$2:$V$1048576,$B23)+COUNTIFS(Archives!$AB$2:$AB$1048576,"W",Archives!$Y$2:$Y$1048576,$B23)</f>
        <v>16</v>
      </c>
      <c r="E23" s="40">
        <f>COUNTIFS(Archives!$AB$2:$AB$1048576,"L",Archives!$V$2:$V$1048576,$B23)+COUNTIFS(Archives!$AB$2:$AB$1048576,"L",Archives!$Y$2:$Y$1048576,$B23)</f>
        <v>14</v>
      </c>
      <c r="F23" s="40">
        <f>COUNTIFS(Archives!$AB$2:$AB$1048576,"T",Archives!$V$2:$V$1048576,$B23)+COUNTIFS(Archives!$AB$2:$AB$1048576,"T",Archives!$Y$2:$Y$1048576,$B23)</f>
        <v>6</v>
      </c>
      <c r="G23" s="41">
        <f t="shared" si="0"/>
        <v>0.52777777777777779</v>
      </c>
      <c r="H23" s="40">
        <f t="shared" si="1"/>
        <v>36</v>
      </c>
      <c r="I23" s="40">
        <f>SUMPRODUCT(--((COUNTIFS(Archives!$D$2:$D$1048576,{1,2,3,4,5,6,7,8,9,10,11,12,13,14,15,16,17,18,19,20,21,22,23,24,25,26,27,28,29,30,31,32,33,34,35,36,37,38,39,40},Archives!$V$2:$V$1048576,$B23)+COUNTIFS(Archives!$D$2:$D$1048576,{1,2,3,4,5,6,7,8,9,10,11,12,13,14,15,16,17,18,19,20,21,22,23,24,25,26,27,28,29,30,31,32,33,34,35,36,37,38,39,40},Archives!$Y$2:$Y$1048576,$B23))&gt;0))</f>
        <v>6</v>
      </c>
      <c r="J23" s="42">
        <f t="shared" si="2"/>
        <v>3.5</v>
      </c>
    </row>
    <row r="24" spans="2:10" ht="15" customHeight="1" x14ac:dyDescent="0.2">
      <c r="B24" s="34" t="s">
        <v>452</v>
      </c>
      <c r="C24" s="43">
        <f>SUMIFS(Archives!$AF$2:$AF$1048576,Archives!$V$2:$V$1048576,$B24)+SUMIFS(Archives!$AF$2:$AF$1048576,Archives!$Y$2:$Y$1048576,$B24)</f>
        <v>20.5</v>
      </c>
      <c r="D24" s="43">
        <f>COUNTIFS(Archives!$AB$2:$AB$1048576,"W",Archives!$V$2:$V$1048576,$B24)+COUNTIFS(Archives!$AB$2:$AB$1048576,"W",Archives!$Y$2:$Y$1048576,$B24)</f>
        <v>17</v>
      </c>
      <c r="E24" s="43">
        <f>COUNTIFS(Archives!$AB$2:$AB$1048576,"L",Archives!$V$2:$V$1048576,$B24)+COUNTIFS(Archives!$AB$2:$AB$1048576,"L",Archives!$Y$2:$Y$1048576,$B24)</f>
        <v>10</v>
      </c>
      <c r="F24" s="43">
        <f>COUNTIFS(Archives!$AB$2:$AB$1048576,"T",Archives!$V$2:$V$1048576,$B24)+COUNTIFS(Archives!$AB$2:$AB$1048576,"T",Archives!$Y$2:$Y$1048576,$B24)</f>
        <v>3</v>
      </c>
      <c r="G24" s="44">
        <f t="shared" si="0"/>
        <v>0.6166666666666667</v>
      </c>
      <c r="H24" s="43">
        <f t="shared" si="1"/>
        <v>30</v>
      </c>
      <c r="I24" s="43">
        <f>SUMPRODUCT(--((COUNTIFS(Archives!$D$2:$D$1048576,{1,2,3,4,5,6,7,8,9,10,11,12,13,14,15,16,17,18,19,20,21,22,23,24,25,26,27,28,29,30,31,32,33,34,35,36,37,38,39,40},Archives!$V$2:$V$1048576,$B24)+COUNTIFS(Archives!$D$2:$D$1048576,{1,2,3,4,5,6,7,8,9,10,11,12,13,14,15,16,17,18,19,20,21,22,23,24,25,26,27,28,29,30,31,32,33,34,35,36,37,38,39,40},Archives!$Y$2:$Y$1048576,$B24))&gt;0))</f>
        <v>5</v>
      </c>
      <c r="J24" s="45">
        <f t="shared" si="2"/>
        <v>4.0999999999999996</v>
      </c>
    </row>
    <row r="25" spans="2:10" ht="15" customHeight="1" x14ac:dyDescent="0.2">
      <c r="B25" s="31" t="s">
        <v>321</v>
      </c>
      <c r="C25" s="40">
        <f>SUMIFS(Archives!$AF$2:$AF$1048576,Archives!$V$2:$V$1048576,$B25)+SUMIFS(Archives!$AF$2:$AF$1048576,Archives!$Y$2:$Y$1048576,$B25)</f>
        <v>18.5</v>
      </c>
      <c r="D25" s="40">
        <f>COUNTIFS(Archives!$AB$2:$AB$1048576,"W",Archives!$V$2:$V$1048576,$B25)+COUNTIFS(Archives!$AB$2:$AB$1048576,"W",Archives!$Y$2:$Y$1048576,$B25)</f>
        <v>14</v>
      </c>
      <c r="E25" s="40">
        <f>COUNTIFS(Archives!$AB$2:$AB$1048576,"L",Archives!$V$2:$V$1048576,$B25)+COUNTIFS(Archives!$AB$2:$AB$1048576,"L",Archives!$Y$2:$Y$1048576,$B25)</f>
        <v>17</v>
      </c>
      <c r="F25" s="40">
        <f>COUNTIFS(Archives!$AB$2:$AB$1048576,"T",Archives!$V$2:$V$1048576,$B25)+COUNTIFS(Archives!$AB$2:$AB$1048576,"T",Archives!$Y$2:$Y$1048576,$B25)</f>
        <v>6</v>
      </c>
      <c r="G25" s="41">
        <f t="shared" si="0"/>
        <v>0.45945945945945948</v>
      </c>
      <c r="H25" s="40">
        <f t="shared" si="1"/>
        <v>37</v>
      </c>
      <c r="I25" s="40">
        <f>SUMPRODUCT(--((COUNTIFS(Archives!$D$2:$D$1048576,{1,2,3,4,5,6,7,8,9,10,11,12,13,14,15,16,17,18,19,20,21,22,23,24,25,26,27,28,29,30,31,32,33,34,35,36,37,38,39,40},Archives!$V$2:$V$1048576,$B25)+COUNTIFS(Archives!$D$2:$D$1048576,{1,2,3,4,5,6,7,8,9,10,11,12,13,14,15,16,17,18,19,20,21,22,23,24,25,26,27,28,29,30,31,32,33,34,35,36,37,38,39,40},Archives!$Y$2:$Y$1048576,$B25))&gt;0))</f>
        <v>6</v>
      </c>
      <c r="J25" s="42">
        <f t="shared" si="2"/>
        <v>3.0833333333333335</v>
      </c>
    </row>
    <row r="26" spans="2:10" ht="15" customHeight="1" x14ac:dyDescent="0.2">
      <c r="B26" s="34" t="s">
        <v>456</v>
      </c>
      <c r="C26" s="43">
        <f>SUMIFS(Archives!$AF$2:$AF$1048576,Archives!$V$2:$V$1048576,$B26)+SUMIFS(Archives!$AF$2:$AF$1048576,Archives!$Y$2:$Y$1048576,$B26)</f>
        <v>18.5</v>
      </c>
      <c r="D26" s="43">
        <f>COUNTIFS(Archives!$AB$2:$AB$1048576,"W",Archives!$V$2:$V$1048576,$B26)+COUNTIFS(Archives!$AB$2:$AB$1048576,"W",Archives!$Y$2:$Y$1048576,$B26)</f>
        <v>14</v>
      </c>
      <c r="E26" s="43">
        <f>COUNTIFS(Archives!$AB$2:$AB$1048576,"L",Archives!$V$2:$V$1048576,$B26)+COUNTIFS(Archives!$AB$2:$AB$1048576,"L",Archives!$Y$2:$Y$1048576,$B26)</f>
        <v>8</v>
      </c>
      <c r="F26" s="43">
        <f>COUNTIFS(Archives!$AB$2:$AB$1048576,"T",Archives!$V$2:$V$1048576,$B26)+COUNTIFS(Archives!$AB$2:$AB$1048576,"T",Archives!$Y$2:$Y$1048576,$B26)</f>
        <v>3</v>
      </c>
      <c r="G26" s="44">
        <f t="shared" si="0"/>
        <v>0.62</v>
      </c>
      <c r="H26" s="43">
        <f t="shared" si="1"/>
        <v>25</v>
      </c>
      <c r="I26" s="43">
        <f>SUMPRODUCT(--((COUNTIFS(Archives!$D$2:$D$1048576,{1,2,3,4,5,6,7,8,9,10,11,12,13,14,15,16,17,18,19,20,21,22,23,24,25,26,27,28,29,30,31,32,33,34,35,36,37,38,39,40},Archives!$V$2:$V$1048576,$B26)+COUNTIFS(Archives!$D$2:$D$1048576,{1,2,3,4,5,6,7,8,9,10,11,12,13,14,15,16,17,18,19,20,21,22,23,24,25,26,27,28,29,30,31,32,33,34,35,36,37,38,39,40},Archives!$Y$2:$Y$1048576,$B26))&gt;0))</f>
        <v>4</v>
      </c>
      <c r="J26" s="45">
        <f t="shared" si="2"/>
        <v>4.625</v>
      </c>
    </row>
    <row r="27" spans="2:10" ht="15" customHeight="1" x14ac:dyDescent="0.2">
      <c r="B27" s="31" t="s">
        <v>693</v>
      </c>
      <c r="C27" s="40">
        <f>SUMIFS(Archives!$AF$2:$AF$1048576,Archives!$V$2:$V$1048576,$B27)+SUMIFS(Archives!$AF$2:$AF$1048576,Archives!$Y$2:$Y$1048576,$B27)</f>
        <v>13</v>
      </c>
      <c r="D27" s="40">
        <f>COUNTIFS(Archives!$AB$2:$AB$1048576,"W",Archives!$V$2:$V$1048576,$B27)+COUNTIFS(Archives!$AB$2:$AB$1048576,"W",Archives!$Y$2:$Y$1048576,$B27)</f>
        <v>11</v>
      </c>
      <c r="E27" s="40">
        <f>COUNTIFS(Archives!$AB$2:$AB$1048576,"L",Archives!$V$2:$V$1048576,$B27)+COUNTIFS(Archives!$AB$2:$AB$1048576,"L",Archives!$Y$2:$Y$1048576,$B27)</f>
        <v>14</v>
      </c>
      <c r="F27" s="40">
        <f>COUNTIFS(Archives!$AB$2:$AB$1048576,"T",Archives!$V$2:$V$1048576,$B27)+COUNTIFS(Archives!$AB$2:$AB$1048576,"T",Archives!$Y$2:$Y$1048576,$B27)</f>
        <v>4</v>
      </c>
      <c r="G27" s="41">
        <f t="shared" si="0"/>
        <v>0.44827586206896552</v>
      </c>
      <c r="H27" s="40">
        <f t="shared" si="1"/>
        <v>29</v>
      </c>
      <c r="I27" s="40">
        <f>SUMPRODUCT(--((COUNTIFS(Archives!$D$2:$D$1048576,{1,2,3,4,5,6,7,8,9,10,11,12,13,14,15,16,17,18,19,20,21,22,23,24,25,26,27,28,29,30,31,32,33,34,35,36,37,38,39,40},Archives!$V$2:$V$1048576,$B27)+COUNTIFS(Archives!$D$2:$D$1048576,{1,2,3,4,5,6,7,8,9,10,11,12,13,14,15,16,17,18,19,20,21,22,23,24,25,26,27,28,29,30,31,32,33,34,35,36,37,38,39,40},Archives!$Y$2:$Y$1048576,$B27))&gt;0))</f>
        <v>5</v>
      </c>
      <c r="J27" s="42">
        <f t="shared" si="2"/>
        <v>2.6</v>
      </c>
    </row>
    <row r="28" spans="2:10" ht="15" customHeight="1" x14ac:dyDescent="0.2">
      <c r="B28" s="34" t="s">
        <v>541</v>
      </c>
      <c r="C28" s="43">
        <f>SUMIFS(Archives!$AF$2:$AF$1048576,Archives!$V$2:$V$1048576,$B28)+SUMIFS(Archives!$AF$2:$AF$1048576,Archives!$Y$2:$Y$1048576,$B28)</f>
        <v>9</v>
      </c>
      <c r="D28" s="43">
        <f>COUNTIFS(Archives!$AB$2:$AB$1048576,"W",Archives!$V$2:$V$1048576,$B28)+COUNTIFS(Archives!$AB$2:$AB$1048576,"W",Archives!$Y$2:$Y$1048576,$B28)</f>
        <v>6</v>
      </c>
      <c r="E28" s="43">
        <f>COUNTIFS(Archives!$AB$2:$AB$1048576,"L",Archives!$V$2:$V$1048576,$B28)+COUNTIFS(Archives!$AB$2:$AB$1048576,"L",Archives!$Y$2:$Y$1048576,$B28)</f>
        <v>5</v>
      </c>
      <c r="F28" s="43">
        <f>COUNTIFS(Archives!$AB$2:$AB$1048576,"T",Archives!$V$2:$V$1048576,$B28)+COUNTIFS(Archives!$AB$2:$AB$1048576,"T",Archives!$Y$2:$Y$1048576,$B28)</f>
        <v>2</v>
      </c>
      <c r="G28" s="44">
        <f t="shared" si="0"/>
        <v>0.53846153846153844</v>
      </c>
      <c r="H28" s="43">
        <f t="shared" si="1"/>
        <v>13</v>
      </c>
      <c r="I28" s="43">
        <f>SUMPRODUCT(--((COUNTIFS(Archives!$D$2:$D$1048576,{1,2,3,4,5,6,7,8,9,10,11,12,13,14,15,16,17,18,19,20,21,22,23,24,25,26,27,28,29,30,31,32,33,34,35,36,37,38,39,40},Archives!$V$2:$V$1048576,$B28)+COUNTIFS(Archives!$D$2:$D$1048576,{1,2,3,4,5,6,7,8,9,10,11,12,13,14,15,16,17,18,19,20,21,22,23,24,25,26,27,28,29,30,31,32,33,34,35,36,37,38,39,40},Archives!$Y$2:$Y$1048576,$B28))&gt;0))</f>
        <v>2</v>
      </c>
      <c r="J28" s="45">
        <f t="shared" si="2"/>
        <v>4.5</v>
      </c>
    </row>
    <row r="29" spans="2:10" ht="15" customHeight="1" x14ac:dyDescent="0.2">
      <c r="B29" s="31" t="s">
        <v>120</v>
      </c>
      <c r="C29" s="40">
        <f>SUMIFS(Archives!$AF$2:$AF$1048576,Archives!$V$2:$V$1048576,$B29)+SUMIFS(Archives!$AF$2:$AF$1048576,Archives!$Y$2:$Y$1048576,$B29)</f>
        <v>8.5</v>
      </c>
      <c r="D29" s="40">
        <f>COUNTIFS(Archives!$AB$2:$AB$1048576,"W",Archives!$V$2:$V$1048576,$B29)+COUNTIFS(Archives!$AB$2:$AB$1048576,"W",Archives!$Y$2:$Y$1048576,$B29)</f>
        <v>6</v>
      </c>
      <c r="E29" s="40">
        <f>COUNTIFS(Archives!$AB$2:$AB$1048576,"L",Archives!$V$2:$V$1048576,$B29)+COUNTIFS(Archives!$AB$2:$AB$1048576,"L",Archives!$Y$2:$Y$1048576,$B29)</f>
        <v>12</v>
      </c>
      <c r="F29" s="40">
        <f>COUNTIFS(Archives!$AB$2:$AB$1048576,"T",Archives!$V$2:$V$1048576,$B29)+COUNTIFS(Archives!$AB$2:$AB$1048576,"T",Archives!$Y$2:$Y$1048576,$B29)</f>
        <v>3</v>
      </c>
      <c r="G29" s="41">
        <f t="shared" si="0"/>
        <v>0.35714285714285715</v>
      </c>
      <c r="H29" s="40">
        <f t="shared" si="1"/>
        <v>21</v>
      </c>
      <c r="I29" s="40">
        <f>SUMPRODUCT(--((COUNTIFS(Archives!$D$2:$D$1048576,{1,2,3,4,5,6,7,8,9,10,11,12,13,14,15,16,17,18,19,20,21,22,23,24,25,26,27,28,29,30,31,32,33,34,35,36,37,38,39,40},Archives!$V$2:$V$1048576,$B29)+COUNTIFS(Archives!$D$2:$D$1048576,{1,2,3,4,5,6,7,8,9,10,11,12,13,14,15,16,17,18,19,20,21,22,23,24,25,26,27,28,29,30,31,32,33,34,35,36,37,38,39,40},Archives!$Y$2:$Y$1048576,$B29))&gt;0))</f>
        <v>4</v>
      </c>
      <c r="J29" s="42">
        <f t="shared" si="2"/>
        <v>2.125</v>
      </c>
    </row>
    <row r="30" spans="2:10" ht="15" customHeight="1" x14ac:dyDescent="0.2">
      <c r="B30" s="34" t="s">
        <v>175</v>
      </c>
      <c r="C30" s="43">
        <f>SUMIFS(Archives!$AF$2:$AF$1048576,Archives!$V$2:$V$1048576,$B30)+SUMIFS(Archives!$AF$2:$AF$1048576,Archives!$Y$2:$Y$1048576,$B30)</f>
        <v>8.5</v>
      </c>
      <c r="D30" s="43">
        <f>COUNTIFS(Archives!$AB$2:$AB$1048576,"W",Archives!$V$2:$V$1048576,$B30)+COUNTIFS(Archives!$AB$2:$AB$1048576,"W",Archives!$Y$2:$Y$1048576,$B30)</f>
        <v>7</v>
      </c>
      <c r="E30" s="43">
        <f>COUNTIFS(Archives!$AB$2:$AB$1048576,"L",Archives!$V$2:$V$1048576,$B30)+COUNTIFS(Archives!$AB$2:$AB$1048576,"L",Archives!$Y$2:$Y$1048576,$B30)</f>
        <v>7</v>
      </c>
      <c r="F30" s="43">
        <f>COUNTIFS(Archives!$AB$2:$AB$1048576,"T",Archives!$V$2:$V$1048576,$B30)+COUNTIFS(Archives!$AB$2:$AB$1048576,"T",Archives!$Y$2:$Y$1048576,$B30)</f>
        <v>2</v>
      </c>
      <c r="G30" s="44">
        <f t="shared" si="0"/>
        <v>0.5</v>
      </c>
      <c r="H30" s="43">
        <f t="shared" si="1"/>
        <v>16</v>
      </c>
      <c r="I30" s="43">
        <f>SUMPRODUCT(--((COUNTIFS(Archives!$D$2:$D$1048576,{1,2,3,4,5,6,7,8,9,10,11,12,13,14,15,16,17,18,19,20,21,22,23,24,25,26,27,28,29,30,31,32,33,34,35,36,37,38,39,40},Archives!$V$2:$V$1048576,$B30)+COUNTIFS(Archives!$D$2:$D$1048576,{1,2,3,4,5,6,7,8,9,10,11,12,13,14,15,16,17,18,19,20,21,22,23,24,25,26,27,28,29,30,31,32,33,34,35,36,37,38,39,40},Archives!$Y$2:$Y$1048576,$B30))&gt;0))</f>
        <v>3</v>
      </c>
      <c r="J30" s="45">
        <f t="shared" si="2"/>
        <v>2.8333333333333335</v>
      </c>
    </row>
    <row r="31" spans="2:10" ht="15" customHeight="1" x14ac:dyDescent="0.2">
      <c r="B31" s="31" t="s">
        <v>1285</v>
      </c>
      <c r="C31" s="40">
        <f>SUMIFS(Archives!$AF$2:$AF$1048576,Archives!$V$2:$V$1048576,$B31)+SUMIFS(Archives!$AF$2:$AF$1048576,Archives!$Y$2:$Y$1048576,$B31)</f>
        <v>7</v>
      </c>
      <c r="D31" s="40">
        <f>COUNTIFS(Archives!$AB$2:$AB$1048576,"W",Archives!$V$2:$V$1048576,$B31)+COUNTIFS(Archives!$AB$2:$AB$1048576,"W",Archives!$Y$2:$Y$1048576,$B31)</f>
        <v>5</v>
      </c>
      <c r="E31" s="40">
        <f>COUNTIFS(Archives!$AB$2:$AB$1048576,"L",Archives!$V$2:$V$1048576,$B31)+COUNTIFS(Archives!$AB$2:$AB$1048576,"L",Archives!$Y$2:$Y$1048576,$B31)</f>
        <v>9</v>
      </c>
      <c r="F31" s="40">
        <f>COUNTIFS(Archives!$AB$2:$AB$1048576,"T",Archives!$V$2:$V$1048576,$B31)+COUNTIFS(Archives!$AB$2:$AB$1048576,"T",Archives!$Y$2:$Y$1048576,$B31)</f>
        <v>4</v>
      </c>
      <c r="G31" s="41">
        <f t="shared" si="0"/>
        <v>0.3888888888888889</v>
      </c>
      <c r="H31" s="40">
        <f t="shared" si="1"/>
        <v>18</v>
      </c>
      <c r="I31" s="40">
        <f>SUMPRODUCT(--((COUNTIFS(Archives!$D$2:$D$1048576,{1,2,3,4,5,6,7,8,9,10,11,12,13,14,15,16,17,18,19,20,21,22,23,24,25,26,27,28,29,30,31,32,33,34,35,36,37,38,39,40},Archives!$V$2:$V$1048576,$B31)+COUNTIFS(Archives!$D$2:$D$1048576,{1,2,3,4,5,6,7,8,9,10,11,12,13,14,15,16,17,18,19,20,21,22,23,24,25,26,27,28,29,30,31,32,33,34,35,36,37,38,39,40},Archives!$Y$2:$Y$1048576,$B31))&gt;0))</f>
        <v>3</v>
      </c>
      <c r="J31" s="42">
        <f t="shared" si="2"/>
        <v>2.3333333333333335</v>
      </c>
    </row>
    <row r="32" spans="2:10" ht="15" customHeight="1" x14ac:dyDescent="0.2">
      <c r="B32" s="34" t="s">
        <v>632</v>
      </c>
      <c r="C32" s="43">
        <f>SUMIFS(Archives!$AF$2:$AF$1048576,Archives!$V$2:$V$1048576,$B32)+SUMIFS(Archives!$AF$2:$AF$1048576,Archives!$Y$2:$Y$1048576,$B32)</f>
        <v>4</v>
      </c>
      <c r="D32" s="43">
        <f>COUNTIFS(Archives!$AB$2:$AB$1048576,"W",Archives!$V$2:$V$1048576,$B32)+COUNTIFS(Archives!$AB$2:$AB$1048576,"W",Archives!$Y$2:$Y$1048576,$B32)</f>
        <v>2</v>
      </c>
      <c r="E32" s="43">
        <f>COUNTIFS(Archives!$AB$2:$AB$1048576,"L",Archives!$V$2:$V$1048576,$B32)+COUNTIFS(Archives!$AB$2:$AB$1048576,"L",Archives!$Y$2:$Y$1048576,$B32)</f>
        <v>3</v>
      </c>
      <c r="F32" s="43">
        <f>COUNTIFS(Archives!$AB$2:$AB$1048576,"T",Archives!$V$2:$V$1048576,$B32)+COUNTIFS(Archives!$AB$2:$AB$1048576,"T",Archives!$Y$2:$Y$1048576,$B32)</f>
        <v>2</v>
      </c>
      <c r="G32" s="44">
        <f t="shared" si="0"/>
        <v>0.42857142857142855</v>
      </c>
      <c r="H32" s="43">
        <f t="shared" si="1"/>
        <v>7</v>
      </c>
      <c r="I32" s="43">
        <f>SUMPRODUCT(--((COUNTIFS(Archives!$D$2:$D$1048576,{1,2,3,4,5,6,7,8,9,10,11,12,13,14,15,16,17,18,19,20,21,22,23,24,25,26,27,28,29,30,31,32,33,34,35,36,37,38,39,40},Archives!$V$2:$V$1048576,$B32)+COUNTIFS(Archives!$D$2:$D$1048576,{1,2,3,4,5,6,7,8,9,10,11,12,13,14,15,16,17,18,19,20,21,22,23,24,25,26,27,28,29,30,31,32,33,34,35,36,37,38,39,40},Archives!$Y$2:$Y$1048576,$B32))&gt;0))</f>
        <v>1</v>
      </c>
      <c r="J32" s="45">
        <f t="shared" si="2"/>
        <v>4</v>
      </c>
    </row>
    <row r="33" spans="2:10" ht="15" customHeight="1" x14ac:dyDescent="0.2">
      <c r="B33" s="31" t="s">
        <v>457</v>
      </c>
      <c r="C33" s="40">
        <f>SUMIFS(Archives!$AF$2:$AF$1048576,Archives!$V$2:$V$1048576,$B33)+SUMIFS(Archives!$AF$2:$AF$1048576,Archives!$Y$2:$Y$1048576,$B33)</f>
        <v>2.5</v>
      </c>
      <c r="D33" s="40">
        <f>COUNTIFS(Archives!$AB$2:$AB$1048576,"W",Archives!$V$2:$V$1048576,$B33)+COUNTIFS(Archives!$AB$2:$AB$1048576,"W",Archives!$Y$2:$Y$1048576,$B33)</f>
        <v>2</v>
      </c>
      <c r="E33" s="40">
        <f>COUNTIFS(Archives!$AB$2:$AB$1048576,"L",Archives!$V$2:$V$1048576,$B33)+COUNTIFS(Archives!$AB$2:$AB$1048576,"L",Archives!$Y$2:$Y$1048576,$B33)</f>
        <v>9</v>
      </c>
      <c r="F33" s="40">
        <f>COUNTIFS(Archives!$AB$2:$AB$1048576,"T",Archives!$V$2:$V$1048576,$B33)+COUNTIFS(Archives!$AB$2:$AB$1048576,"T",Archives!$Y$2:$Y$1048576,$B33)</f>
        <v>2</v>
      </c>
      <c r="G33" s="41">
        <f t="shared" si="0"/>
        <v>0.23076923076923078</v>
      </c>
      <c r="H33" s="40">
        <f t="shared" si="1"/>
        <v>13</v>
      </c>
      <c r="I33" s="40">
        <f>SUMPRODUCT(--((COUNTIFS(Archives!$D$2:$D$1048576,{1,2,3,4,5,6,7,8,9,10,11,12,13,14,15,16,17,18,19,20,21,22,23,24,25,26,27,28,29,30,31,32,33,34,35,36,37,38,39,40},Archives!$V$2:$V$1048576,$B33)+COUNTIFS(Archives!$D$2:$D$1048576,{1,2,3,4,5,6,7,8,9,10,11,12,13,14,15,16,17,18,19,20,21,22,23,24,25,26,27,28,29,30,31,32,33,34,35,36,37,38,39,40},Archives!$Y$2:$Y$1048576,$B33))&gt;0))</f>
        <v>2</v>
      </c>
      <c r="J33" s="42">
        <f t="shared" si="2"/>
        <v>1.25</v>
      </c>
    </row>
    <row r="34" spans="2:10" ht="15" customHeight="1" x14ac:dyDescent="0.2">
      <c r="B34" s="34" t="s">
        <v>460</v>
      </c>
      <c r="C34" s="43">
        <f>SUMIFS(Archives!$AF$2:$AF$1048576,Archives!$V$2:$V$1048576,$B34)+SUMIFS(Archives!$AF$2:$AF$1048576,Archives!$Y$2:$Y$1048576,$B34)</f>
        <v>2.5</v>
      </c>
      <c r="D34" s="43">
        <f>COUNTIFS(Archives!$AB$2:$AB$1048576,"W",Archives!$V$2:$V$1048576,$B34)+COUNTIFS(Archives!$AB$2:$AB$1048576,"W",Archives!$Y$2:$Y$1048576,$B34)</f>
        <v>3</v>
      </c>
      <c r="E34" s="43">
        <f>COUNTIFS(Archives!$AB$2:$AB$1048576,"L",Archives!$V$2:$V$1048576,$B34)+COUNTIFS(Archives!$AB$2:$AB$1048576,"L",Archives!$Y$2:$Y$1048576,$B34)</f>
        <v>2</v>
      </c>
      <c r="F34" s="43">
        <f>COUNTIFS(Archives!$AB$2:$AB$1048576,"T",Archives!$V$2:$V$1048576,$B34)+COUNTIFS(Archives!$AB$2:$AB$1048576,"T",Archives!$Y$2:$Y$1048576,$B34)</f>
        <v>0</v>
      </c>
      <c r="G34" s="44">
        <f t="shared" si="0"/>
        <v>0.6</v>
      </c>
      <c r="H34" s="43">
        <f t="shared" si="1"/>
        <v>5</v>
      </c>
      <c r="I34" s="43">
        <f>SUMPRODUCT(--((COUNTIFS(Archives!$D$2:$D$1048576,{1,2,3,4,5,6,7,8,9,10,11,12,13,14,15,16,17,18,19,20,21,22,23,24,25,26,27,28,29,30,31,32,33,34,35,36,37,38,39,40},Archives!$V$2:$V$1048576,$B34)+COUNTIFS(Archives!$D$2:$D$1048576,{1,2,3,4,5,6,7,8,9,10,11,12,13,14,15,16,17,18,19,20,21,22,23,24,25,26,27,28,29,30,31,32,33,34,35,36,37,38,39,40},Archives!$Y$2:$Y$1048576,$B34))&gt;0))</f>
        <v>1</v>
      </c>
      <c r="J34" s="45">
        <f t="shared" si="2"/>
        <v>2.5</v>
      </c>
    </row>
    <row r="35" spans="2:10" ht="15" customHeight="1" x14ac:dyDescent="0.2">
      <c r="B35" s="31" t="s">
        <v>129</v>
      </c>
      <c r="C35" s="40">
        <f>SUMIFS(Archives!$AF$2:$AF$1048576,Archives!$V$2:$V$1048576,$B35)+SUMIFS(Archives!$AF$2:$AF$1048576,Archives!$Y$2:$Y$1048576,$B35)</f>
        <v>1.5</v>
      </c>
      <c r="D35" s="40">
        <f>COUNTIFS(Archives!$AB$2:$AB$1048576,"W",Archives!$V$2:$V$1048576,$B35)+COUNTIFS(Archives!$AB$2:$AB$1048576,"W",Archives!$Y$2:$Y$1048576,$B35)</f>
        <v>1</v>
      </c>
      <c r="E35" s="40">
        <f>COUNTIFS(Archives!$AB$2:$AB$1048576,"L",Archives!$V$2:$V$1048576,$B35)+COUNTIFS(Archives!$AB$2:$AB$1048576,"L",Archives!$Y$2:$Y$1048576,$B35)</f>
        <v>3</v>
      </c>
      <c r="F35" s="40">
        <f>COUNTIFS(Archives!$AB$2:$AB$1048576,"T",Archives!$V$2:$V$1048576,$B35)+COUNTIFS(Archives!$AB$2:$AB$1048576,"T",Archives!$Y$2:$Y$1048576,$B35)</f>
        <v>1</v>
      </c>
      <c r="G35" s="41">
        <f t="shared" si="0"/>
        <v>0.3</v>
      </c>
      <c r="H35" s="40">
        <f t="shared" si="1"/>
        <v>5</v>
      </c>
      <c r="I35" s="40">
        <f>SUMPRODUCT(--((COUNTIFS(Archives!$D$2:$D$1048576,{1,2,3,4,5,6,7,8,9,10,11,12,13,14,15,16,17,18,19,20,21,22,23,24,25,26,27,28,29,30,31,32,33,34,35,36,37,38,39,40},Archives!$V$2:$V$1048576,$B35)+COUNTIFS(Archives!$D$2:$D$1048576,{1,2,3,4,5,6,7,8,9,10,11,12,13,14,15,16,17,18,19,20,21,22,23,24,25,26,27,28,29,30,31,32,33,34,35,36,37,38,39,40},Archives!$Y$2:$Y$1048576,$B35))&gt;0))</f>
        <v>1</v>
      </c>
      <c r="J35" s="42">
        <f t="shared" si="2"/>
        <v>1.5</v>
      </c>
    </row>
    <row r="36" spans="2:10" ht="15" customHeight="1" x14ac:dyDescent="0.2">
      <c r="B36" s="46" t="s">
        <v>720</v>
      </c>
      <c r="C36" s="47">
        <f>SUM(C5:C35)</f>
        <v>761.5</v>
      </c>
      <c r="D36" s="47">
        <f>SUM(D5:D35)</f>
        <v>601</v>
      </c>
      <c r="E36" s="47">
        <f>SUM(E5:E35)</f>
        <v>601</v>
      </c>
      <c r="F36" s="47">
        <f>SUM(F5:F35)</f>
        <v>166</v>
      </c>
      <c r="G36" s="48">
        <f t="shared" si="0"/>
        <v>0.5</v>
      </c>
      <c r="H36" s="47">
        <f>SUM(H5:H35)</f>
        <v>1368</v>
      </c>
      <c r="I36" s="47"/>
      <c r="J36" s="47"/>
    </row>
    <row r="37" spans="2:10" ht="15" customHeight="1" x14ac:dyDescent="0.2"/>
    <row r="38" spans="2:10" ht="15" customHeight="1" x14ac:dyDescent="0.2"/>
    <row r="39" spans="2:10" ht="15" customHeight="1" x14ac:dyDescent="0.2"/>
    <row r="40" spans="2:10" ht="15" customHeight="1" x14ac:dyDescent="0.2"/>
    <row r="41" spans="2:10" ht="15" customHeight="1" x14ac:dyDescent="0.2"/>
    <row r="42" spans="2:10" ht="15" customHeight="1" x14ac:dyDescent="0.2"/>
    <row r="43" spans="2:10" ht="15" customHeight="1" x14ac:dyDescent="0.2"/>
    <row r="44" spans="2:10" ht="15" customHeight="1" x14ac:dyDescent="0.2"/>
    <row r="45" spans="2:10" ht="15" customHeight="1" x14ac:dyDescent="0.2"/>
    <row r="46" spans="2:10" ht="15" customHeight="1" x14ac:dyDescent="0.2"/>
    <row r="47" spans="2:10" ht="15" customHeight="1" x14ac:dyDescent="0.2"/>
    <row r="48" spans="2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7"/>
  <sheetViews>
    <sheetView zoomScaleNormal="100" workbookViewId="0">
      <selection activeCell="C7" sqref="C7"/>
    </sheetView>
  </sheetViews>
  <sheetFormatPr baseColWidth="10" defaultColWidth="8.83203125" defaultRowHeight="15" x14ac:dyDescent="0.2"/>
  <sheetData>
    <row r="1" spans="1:34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3" spans="1:34" ht="15" customHeight="1" x14ac:dyDescent="0.2">
      <c r="C3" t="s">
        <v>94</v>
      </c>
    </row>
    <row r="4" spans="1:34" ht="15" customHeight="1" x14ac:dyDescent="0.2">
      <c r="C4" t="s">
        <v>721</v>
      </c>
    </row>
    <row r="5" spans="1:34" ht="15" customHeight="1" x14ac:dyDescent="0.2">
      <c r="C5" t="s">
        <v>722</v>
      </c>
    </row>
    <row r="6" spans="1:34" ht="15" customHeight="1" x14ac:dyDescent="0.2">
      <c r="D6" t="s">
        <v>693</v>
      </c>
      <c r="E6" t="s">
        <v>179</v>
      </c>
      <c r="F6" t="s">
        <v>1308</v>
      </c>
      <c r="G6" t="s">
        <v>541</v>
      </c>
      <c r="H6" t="s">
        <v>178</v>
      </c>
      <c r="I6" t="s">
        <v>321</v>
      </c>
      <c r="J6" t="s">
        <v>452</v>
      </c>
      <c r="K6" t="s">
        <v>1285</v>
      </c>
      <c r="L6" t="s">
        <v>127</v>
      </c>
      <c r="M6" t="s">
        <v>132</v>
      </c>
      <c r="N6" t="s">
        <v>172</v>
      </c>
      <c r="O6" t="s">
        <v>176</v>
      </c>
      <c r="P6" t="s">
        <v>226</v>
      </c>
      <c r="Q6" t="s">
        <v>119</v>
      </c>
      <c r="R6" t="s">
        <v>120</v>
      </c>
      <c r="S6" t="s">
        <v>122</v>
      </c>
      <c r="T6" t="s">
        <v>118</v>
      </c>
      <c r="U6" t="s">
        <v>123</v>
      </c>
      <c r="V6" t="s">
        <v>129</v>
      </c>
      <c r="W6" t="s">
        <v>133</v>
      </c>
      <c r="X6" t="s">
        <v>231</v>
      </c>
      <c r="Y6" t="s">
        <v>230</v>
      </c>
      <c r="Z6" t="s">
        <v>456</v>
      </c>
      <c r="AA6" t="s">
        <v>457</v>
      </c>
      <c r="AB6" t="s">
        <v>130</v>
      </c>
      <c r="AC6" t="s">
        <v>135</v>
      </c>
      <c r="AD6" t="s">
        <v>632</v>
      </c>
      <c r="AE6" t="s">
        <v>175</v>
      </c>
      <c r="AF6" t="s">
        <v>272</v>
      </c>
      <c r="AG6" t="s">
        <v>227</v>
      </c>
      <c r="AH6" t="s">
        <v>720</v>
      </c>
    </row>
    <row r="7" spans="1:34" ht="15" customHeight="1" x14ac:dyDescent="0.2">
      <c r="C7" t="s">
        <v>693</v>
      </c>
      <c r="F7">
        <v>0</v>
      </c>
      <c r="T7">
        <v>1</v>
      </c>
      <c r="AF7">
        <v>0</v>
      </c>
      <c r="AG7">
        <v>0</v>
      </c>
      <c r="AH7">
        <v>1</v>
      </c>
    </row>
    <row r="8" spans="1:34" ht="15" customHeight="1" x14ac:dyDescent="0.2">
      <c r="C8" t="s">
        <v>179</v>
      </c>
      <c r="H8">
        <v>2</v>
      </c>
      <c r="L8">
        <v>0</v>
      </c>
      <c r="O8">
        <v>0</v>
      </c>
      <c r="Q8">
        <v>0</v>
      </c>
      <c r="U8">
        <v>0</v>
      </c>
      <c r="W8">
        <v>1</v>
      </c>
      <c r="Y8">
        <v>1</v>
      </c>
      <c r="AC8">
        <v>1</v>
      </c>
      <c r="AH8">
        <v>5</v>
      </c>
    </row>
    <row r="9" spans="1:34" ht="15" customHeight="1" x14ac:dyDescent="0.2">
      <c r="C9" t="s">
        <v>1308</v>
      </c>
      <c r="D9">
        <v>1</v>
      </c>
      <c r="I9">
        <v>1</v>
      </c>
      <c r="P9">
        <v>0</v>
      </c>
      <c r="Q9">
        <v>2</v>
      </c>
      <c r="T9">
        <v>1</v>
      </c>
      <c r="X9">
        <v>1</v>
      </c>
      <c r="AC9">
        <v>0</v>
      </c>
      <c r="AF9">
        <v>1</v>
      </c>
      <c r="AG9">
        <v>1</v>
      </c>
      <c r="AH9">
        <v>8</v>
      </c>
    </row>
    <row r="10" spans="1:34" ht="15" customHeight="1" x14ac:dyDescent="0.2">
      <c r="C10" t="s">
        <v>541</v>
      </c>
      <c r="N10">
        <v>1</v>
      </c>
      <c r="AC10">
        <v>1</v>
      </c>
      <c r="AH10">
        <v>2</v>
      </c>
    </row>
    <row r="11" spans="1:34" ht="15" customHeight="1" x14ac:dyDescent="0.2">
      <c r="B11" t="s">
        <v>723</v>
      </c>
      <c r="C11" t="s">
        <v>178</v>
      </c>
      <c r="E11">
        <v>0</v>
      </c>
      <c r="K11">
        <v>0</v>
      </c>
      <c r="N11">
        <v>1</v>
      </c>
      <c r="R11">
        <v>1</v>
      </c>
      <c r="W11">
        <v>0</v>
      </c>
      <c r="AC11">
        <v>0</v>
      </c>
      <c r="AH11">
        <v>2</v>
      </c>
    </row>
    <row r="12" spans="1:34" ht="15" customHeight="1" x14ac:dyDescent="0.2">
      <c r="B12" t="s">
        <v>724</v>
      </c>
      <c r="C12" t="s">
        <v>321</v>
      </c>
      <c r="F12">
        <v>0</v>
      </c>
      <c r="J12">
        <v>1</v>
      </c>
      <c r="N12">
        <v>0</v>
      </c>
      <c r="S12">
        <v>0</v>
      </c>
      <c r="T12">
        <v>0</v>
      </c>
      <c r="W12">
        <v>1</v>
      </c>
      <c r="AH12">
        <v>2</v>
      </c>
    </row>
    <row r="13" spans="1:34" ht="15" customHeight="1" x14ac:dyDescent="0.2">
      <c r="C13" t="s">
        <v>452</v>
      </c>
      <c r="I13">
        <v>0</v>
      </c>
      <c r="S13">
        <v>1</v>
      </c>
      <c r="U13">
        <v>1</v>
      </c>
      <c r="W13">
        <v>1</v>
      </c>
      <c r="X13">
        <v>0</v>
      </c>
      <c r="AH13">
        <v>3</v>
      </c>
    </row>
    <row r="14" spans="1:34" ht="15" customHeight="1" x14ac:dyDescent="0.2">
      <c r="C14" t="s">
        <v>1285</v>
      </c>
      <c r="H14">
        <v>0</v>
      </c>
      <c r="AD14">
        <v>0</v>
      </c>
      <c r="AH14">
        <v>0</v>
      </c>
    </row>
    <row r="15" spans="1:34" ht="15" customHeight="1" x14ac:dyDescent="0.2">
      <c r="C15" t="s">
        <v>127</v>
      </c>
      <c r="E15">
        <v>1</v>
      </c>
      <c r="M15">
        <v>1</v>
      </c>
      <c r="O15">
        <v>0</v>
      </c>
      <c r="Q15">
        <v>1</v>
      </c>
      <c r="S15">
        <v>0</v>
      </c>
      <c r="U15">
        <v>0</v>
      </c>
      <c r="W15">
        <v>0</v>
      </c>
      <c r="X15">
        <v>0</v>
      </c>
      <c r="AC15">
        <v>2</v>
      </c>
      <c r="AE15">
        <v>1</v>
      </c>
      <c r="AH15">
        <v>6</v>
      </c>
    </row>
    <row r="16" spans="1:34" ht="15" customHeight="1" x14ac:dyDescent="0.2">
      <c r="C16" t="s">
        <v>132</v>
      </c>
      <c r="L16">
        <v>0</v>
      </c>
      <c r="P16">
        <v>0</v>
      </c>
      <c r="V16">
        <v>1</v>
      </c>
      <c r="X16">
        <v>0</v>
      </c>
      <c r="Y16">
        <v>0</v>
      </c>
      <c r="AA16">
        <v>1</v>
      </c>
      <c r="AB16">
        <v>0</v>
      </c>
      <c r="AF16">
        <v>2</v>
      </c>
      <c r="AH16">
        <v>4</v>
      </c>
    </row>
    <row r="17" spans="3:34" ht="15" customHeight="1" x14ac:dyDescent="0.2">
      <c r="C17" t="s">
        <v>172</v>
      </c>
      <c r="G17">
        <v>0</v>
      </c>
      <c r="H17">
        <v>3</v>
      </c>
      <c r="I17">
        <v>1</v>
      </c>
      <c r="O17">
        <v>0</v>
      </c>
      <c r="S17">
        <v>1</v>
      </c>
      <c r="Y17">
        <v>1</v>
      </c>
      <c r="AH17">
        <v>6</v>
      </c>
    </row>
    <row r="18" spans="3:34" ht="15" customHeight="1" x14ac:dyDescent="0.2">
      <c r="C18" t="s">
        <v>176</v>
      </c>
      <c r="E18">
        <v>1</v>
      </c>
      <c r="L18">
        <v>1</v>
      </c>
      <c r="N18">
        <v>1</v>
      </c>
      <c r="Q18">
        <v>0</v>
      </c>
      <c r="R18">
        <v>1</v>
      </c>
      <c r="S18">
        <v>1</v>
      </c>
      <c r="U18">
        <v>1</v>
      </c>
      <c r="Z18">
        <v>0</v>
      </c>
      <c r="AC18">
        <v>1</v>
      </c>
      <c r="AF18">
        <v>0</v>
      </c>
      <c r="AG18">
        <v>0</v>
      </c>
      <c r="AH18">
        <v>7</v>
      </c>
    </row>
    <row r="19" spans="3:34" ht="15" customHeight="1" x14ac:dyDescent="0.2">
      <c r="C19" t="s">
        <v>226</v>
      </c>
      <c r="F19">
        <v>2</v>
      </c>
      <c r="M19">
        <v>2</v>
      </c>
      <c r="S19">
        <v>0</v>
      </c>
      <c r="AF19">
        <v>1</v>
      </c>
      <c r="AG19">
        <v>0</v>
      </c>
      <c r="AH19">
        <v>5</v>
      </c>
    </row>
    <row r="20" spans="3:34" ht="15" customHeight="1" x14ac:dyDescent="0.2">
      <c r="C20" t="s">
        <v>119</v>
      </c>
      <c r="E20">
        <v>1</v>
      </c>
      <c r="F20">
        <v>0</v>
      </c>
      <c r="L20">
        <v>1</v>
      </c>
      <c r="O20">
        <v>1</v>
      </c>
      <c r="W20">
        <v>1</v>
      </c>
      <c r="X20">
        <v>0</v>
      </c>
      <c r="AB20">
        <v>0</v>
      </c>
      <c r="AC20">
        <v>1</v>
      </c>
      <c r="AE20">
        <v>1</v>
      </c>
      <c r="AH20">
        <v>6</v>
      </c>
    </row>
    <row r="21" spans="3:34" ht="15" customHeight="1" x14ac:dyDescent="0.2">
      <c r="C21" t="s">
        <v>120</v>
      </c>
      <c r="H21">
        <v>0</v>
      </c>
      <c r="O21">
        <v>0</v>
      </c>
      <c r="U21">
        <v>0</v>
      </c>
      <c r="Y21">
        <v>0</v>
      </c>
      <c r="AH21">
        <v>0</v>
      </c>
    </row>
    <row r="22" spans="3:34" ht="15" customHeight="1" x14ac:dyDescent="0.2">
      <c r="C22" t="s">
        <v>122</v>
      </c>
      <c r="I22">
        <v>1</v>
      </c>
      <c r="J22">
        <v>0</v>
      </c>
      <c r="L22">
        <v>1</v>
      </c>
      <c r="N22">
        <v>0</v>
      </c>
      <c r="O22">
        <v>0</v>
      </c>
      <c r="P22">
        <v>1</v>
      </c>
      <c r="W22">
        <v>2</v>
      </c>
      <c r="AB22">
        <v>1</v>
      </c>
      <c r="AG22">
        <v>0</v>
      </c>
      <c r="AH22">
        <v>6</v>
      </c>
    </row>
    <row r="23" spans="3:34" ht="15" customHeight="1" x14ac:dyDescent="0.2">
      <c r="C23" t="s">
        <v>118</v>
      </c>
      <c r="D23">
        <v>1</v>
      </c>
      <c r="F23">
        <v>0</v>
      </c>
      <c r="I23">
        <v>1</v>
      </c>
      <c r="U23">
        <v>1</v>
      </c>
      <c r="X23">
        <v>1</v>
      </c>
      <c r="AB23">
        <v>0</v>
      </c>
      <c r="AG23">
        <v>1</v>
      </c>
      <c r="AH23">
        <v>5</v>
      </c>
    </row>
    <row r="24" spans="3:34" ht="15" customHeight="1" x14ac:dyDescent="0.2">
      <c r="C24" t="s">
        <v>123</v>
      </c>
      <c r="E24">
        <v>1</v>
      </c>
      <c r="J24">
        <v>0</v>
      </c>
      <c r="L24">
        <v>1</v>
      </c>
      <c r="O24">
        <v>0</v>
      </c>
      <c r="R24">
        <v>0</v>
      </c>
      <c r="T24">
        <v>1</v>
      </c>
      <c r="AB24">
        <v>0</v>
      </c>
      <c r="AC24">
        <v>1</v>
      </c>
      <c r="AE24">
        <v>0</v>
      </c>
      <c r="AF24">
        <v>0</v>
      </c>
      <c r="AH24">
        <v>4</v>
      </c>
    </row>
    <row r="25" spans="3:34" ht="15" customHeight="1" x14ac:dyDescent="0.2">
      <c r="C25" t="s">
        <v>129</v>
      </c>
      <c r="M25">
        <v>0</v>
      </c>
      <c r="AH25">
        <v>0</v>
      </c>
    </row>
    <row r="26" spans="3:34" ht="15" customHeight="1" x14ac:dyDescent="0.2">
      <c r="C26" t="s">
        <v>133</v>
      </c>
      <c r="E26">
        <v>0</v>
      </c>
      <c r="H26">
        <v>1</v>
      </c>
      <c r="I26">
        <v>0</v>
      </c>
      <c r="J26">
        <v>0</v>
      </c>
      <c r="L26">
        <v>0</v>
      </c>
      <c r="Q26">
        <v>0</v>
      </c>
      <c r="S26">
        <v>1</v>
      </c>
      <c r="AG26">
        <v>0</v>
      </c>
      <c r="AH26">
        <v>2</v>
      </c>
    </row>
    <row r="27" spans="3:34" ht="15" customHeight="1" x14ac:dyDescent="0.2">
      <c r="C27" t="s">
        <v>231</v>
      </c>
      <c r="F27">
        <v>0</v>
      </c>
      <c r="J27">
        <v>1</v>
      </c>
      <c r="L27">
        <v>1</v>
      </c>
      <c r="M27">
        <v>1</v>
      </c>
      <c r="Q27">
        <v>1</v>
      </c>
      <c r="T27">
        <v>1</v>
      </c>
      <c r="Z27">
        <v>1</v>
      </c>
      <c r="AH27">
        <v>6</v>
      </c>
    </row>
    <row r="28" spans="3:34" ht="15" customHeight="1" x14ac:dyDescent="0.2">
      <c r="C28" t="s">
        <v>230</v>
      </c>
      <c r="E28">
        <v>0</v>
      </c>
      <c r="M28">
        <v>1</v>
      </c>
      <c r="N28">
        <v>2</v>
      </c>
      <c r="R28">
        <v>0</v>
      </c>
      <c r="AH28">
        <v>3</v>
      </c>
    </row>
    <row r="29" spans="3:34" ht="15" customHeight="1" x14ac:dyDescent="0.2">
      <c r="C29" t="s">
        <v>456</v>
      </c>
      <c r="O29">
        <v>1</v>
      </c>
      <c r="X29">
        <v>0</v>
      </c>
      <c r="AA29">
        <v>1</v>
      </c>
      <c r="AG29">
        <v>1</v>
      </c>
      <c r="AH29">
        <v>3</v>
      </c>
    </row>
    <row r="30" spans="3:34" ht="15" customHeight="1" x14ac:dyDescent="0.2">
      <c r="C30" t="s">
        <v>457</v>
      </c>
      <c r="M30">
        <v>0</v>
      </c>
      <c r="Z30">
        <v>0</v>
      </c>
      <c r="AH30">
        <v>0</v>
      </c>
    </row>
    <row r="31" spans="3:34" ht="15" customHeight="1" x14ac:dyDescent="0.2">
      <c r="C31" t="s">
        <v>130</v>
      </c>
      <c r="M31">
        <v>1</v>
      </c>
      <c r="Q31">
        <v>2</v>
      </c>
      <c r="S31">
        <v>0</v>
      </c>
      <c r="T31">
        <v>1</v>
      </c>
      <c r="U31">
        <v>1</v>
      </c>
      <c r="AH31">
        <v>5</v>
      </c>
    </row>
    <row r="32" spans="3:34" ht="15" customHeight="1" x14ac:dyDescent="0.2">
      <c r="C32" t="s">
        <v>135</v>
      </c>
      <c r="E32">
        <v>0</v>
      </c>
      <c r="F32">
        <v>1</v>
      </c>
      <c r="G32">
        <v>0</v>
      </c>
      <c r="H32">
        <v>1</v>
      </c>
      <c r="L32">
        <v>0</v>
      </c>
      <c r="O32">
        <v>0</v>
      </c>
      <c r="Q32">
        <v>0</v>
      </c>
      <c r="U32">
        <v>1</v>
      </c>
      <c r="AG32">
        <v>0</v>
      </c>
      <c r="AH32">
        <v>3</v>
      </c>
    </row>
    <row r="33" spans="3:34" ht="15" customHeight="1" x14ac:dyDescent="0.2">
      <c r="C33" t="s">
        <v>632</v>
      </c>
      <c r="K33">
        <v>1</v>
      </c>
      <c r="AH33">
        <v>1</v>
      </c>
    </row>
    <row r="34" spans="3:34" ht="15" customHeight="1" x14ac:dyDescent="0.2">
      <c r="C34" t="s">
        <v>175</v>
      </c>
      <c r="L34">
        <v>0</v>
      </c>
      <c r="Q34">
        <v>0</v>
      </c>
      <c r="U34">
        <v>1</v>
      </c>
      <c r="AH34">
        <v>1</v>
      </c>
    </row>
    <row r="35" spans="3:34" ht="15" customHeight="1" x14ac:dyDescent="0.2">
      <c r="C35" t="s">
        <v>272</v>
      </c>
      <c r="D35">
        <v>1</v>
      </c>
      <c r="F35">
        <v>1</v>
      </c>
      <c r="M35">
        <v>0</v>
      </c>
      <c r="O35">
        <v>1</v>
      </c>
      <c r="P35">
        <v>0</v>
      </c>
      <c r="U35">
        <v>1</v>
      </c>
      <c r="AH35">
        <v>4</v>
      </c>
    </row>
    <row r="36" spans="3:34" ht="15" customHeight="1" x14ac:dyDescent="0.2">
      <c r="C36" t="s">
        <v>227</v>
      </c>
      <c r="D36">
        <v>1</v>
      </c>
      <c r="F36">
        <v>0</v>
      </c>
      <c r="O36">
        <v>1</v>
      </c>
      <c r="P36">
        <v>0</v>
      </c>
      <c r="S36">
        <v>1</v>
      </c>
      <c r="T36">
        <v>1</v>
      </c>
      <c r="W36">
        <v>1</v>
      </c>
      <c r="Z36">
        <v>0</v>
      </c>
      <c r="AC36">
        <v>1</v>
      </c>
      <c r="AH36">
        <v>6</v>
      </c>
    </row>
    <row r="37" spans="3:34" ht="15" customHeight="1" x14ac:dyDescent="0.2">
      <c r="C37" t="s">
        <v>720</v>
      </c>
      <c r="D37">
        <v>4</v>
      </c>
      <c r="E37">
        <v>4</v>
      </c>
      <c r="F37">
        <v>4</v>
      </c>
      <c r="G37">
        <v>0</v>
      </c>
      <c r="H37">
        <v>7</v>
      </c>
      <c r="I37">
        <v>4</v>
      </c>
      <c r="J37">
        <v>2</v>
      </c>
      <c r="K37">
        <v>1</v>
      </c>
      <c r="L37">
        <v>5</v>
      </c>
      <c r="M37">
        <v>6</v>
      </c>
      <c r="N37">
        <v>5</v>
      </c>
      <c r="O37">
        <v>4</v>
      </c>
      <c r="P37">
        <v>1</v>
      </c>
      <c r="Q37">
        <v>6</v>
      </c>
      <c r="R37">
        <v>2</v>
      </c>
      <c r="S37">
        <v>5</v>
      </c>
      <c r="T37">
        <v>6</v>
      </c>
      <c r="U37">
        <v>7</v>
      </c>
      <c r="V37">
        <v>1</v>
      </c>
      <c r="W37">
        <v>7</v>
      </c>
      <c r="X37">
        <v>2</v>
      </c>
      <c r="Y37">
        <v>2</v>
      </c>
      <c r="Z37">
        <v>1</v>
      </c>
      <c r="AA37">
        <v>2</v>
      </c>
      <c r="AB37">
        <v>1</v>
      </c>
      <c r="AC37">
        <v>8</v>
      </c>
      <c r="AD37">
        <v>0</v>
      </c>
      <c r="AE37">
        <v>2</v>
      </c>
      <c r="AF37">
        <v>4</v>
      </c>
      <c r="AG37">
        <v>3</v>
      </c>
      <c r="AH37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39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37" sqref="C37"/>
    </sheetView>
  </sheetViews>
  <sheetFormatPr baseColWidth="10" defaultColWidth="8.83203125" defaultRowHeight="15" x14ac:dyDescent="0.2"/>
  <cols>
    <col min="1" max="1" width="2" customWidth="1"/>
    <col min="2" max="2" width="16" customWidth="1"/>
    <col min="3" max="3" width="11" customWidth="1"/>
    <col min="4" max="4" width="9" customWidth="1"/>
    <col min="5" max="5" width="10" customWidth="1"/>
    <col min="6" max="6" width="11" customWidth="1"/>
    <col min="7" max="7" width="12" customWidth="1"/>
    <col min="8" max="8" width="9" customWidth="1"/>
    <col min="9" max="9" width="10" customWidth="1"/>
    <col min="10" max="10" width="9" customWidth="1"/>
  </cols>
  <sheetData>
    <row r="1" spans="2:10" ht="17.25" customHeight="1" x14ac:dyDescent="0.25">
      <c r="B1" s="49" t="s">
        <v>725</v>
      </c>
    </row>
    <row r="3" spans="2:10" ht="45" customHeight="1" x14ac:dyDescent="0.2">
      <c r="B3" s="96" t="inlineStr">
        <is>
          <t xml:space="preserve">What it measures</t>
        </is>
      </c>
      <c r="C3" s="93" t="inlineStr">
        <is>
          <t xml:space="preserve">Expected points in a standard FBC 13-format cup (four 1-pt doubles matches, one 2-pt singles match, FTAS) with an average partner against average opponents. Through FBC13.</t>
        </is>
      </c>
      <c r="D3" s="93"/>
      <c r="E3" s="93"/>
      <c r="F3" s="93"/>
      <c r="G3" s="93"/>
      <c r="H3" s="93"/>
      <c r="I3" s="93"/>
      <c r="J3" s="93"/>
    </row>
    <row r="4" spans="2:10" ht="60" customHeight="1" x14ac:dyDescent="0.2">
      <c r="B4" s="96" t="inlineStr">
        <is>
          <t xml:space="preserve">Model</t>
        </is>
      </c>
      <c r="C4" s="93" t="inlineStr">
        <is>
          <t xml:space="preserve">Joint rating fit to all 401 head-to-head matches (FTAS excluded): side A share − 0.5 = mean(A ratings) − mean(B ratings), weighted by points at stake, ridge-regularized (λ=30, chosen by leave-one-cup-out cross-validation). CAPA = 3.25 + 4 × rating.</t>
        </is>
      </c>
      <c r="D4" s="93"/>
      <c r="E4" s="93"/>
      <c r="F4" s="93"/>
      <c r="G4" s="93"/>
      <c r="H4" s="93"/>
      <c r="I4" s="93"/>
      <c r="J4" s="93"/>
    </row>
    <row r="5" spans="2:10" ht="60" customHeight="1" x14ac:dyDescent="0.2">
      <c r="B5" s="96" t="inlineStr">
        <is>
          <t xml:space="preserve">Columns</t>
        </is>
      </c>
      <c r="C5" s="93" t="inlineStr">
        <is>
          <t xml:space="preserve">Raw = own results only, in standard-cup points. Partner / Opponent Adj = removes the help or hurt from partners’ and opponents’ ratings. Shrinkage = pull toward average for players with fewer matches. CAPA = Raw + Partner + Opponent + Shrinkage.</t>
        </is>
      </c>
      <c r="D5" s="93"/>
      <c r="E5" s="93"/>
      <c r="F5" s="93"/>
      <c r="G5" s="93"/>
      <c r="H5" s="93"/>
      <c r="I5" s="93"/>
      <c r="J5" s="93"/>
    </row>
    <row r="6" spans="2:10" ht="45" customHeight="1" x14ac:dyDescent="0.2">
      <c r="B6" s="96" t="inlineStr">
        <is>
          <t xml:space="preserve">Handicaps</t>
        </is>
      </c>
      <c r="C6" s="93" t="inlineStr">
        <is>
          <t xml:space="preserve">No separate handicap term. Strokes already level matches: adding an opponent-minus-own index term made out-of-sample predictions worse, so it was dropped (Oct 2026 revision).</t>
        </is>
      </c>
      <c r="D6" s="93"/>
      <c r="E6" s="93"/>
      <c r="F6" s="93"/>
      <c r="G6" s="93"/>
      <c r="H6" s="93"/>
      <c r="I6" s="93"/>
      <c r="J6" s="93"/>
    </row>
    <row r="7" spans="2:10" ht="60" customHeight="1" x14ac:dyDescent="0.2">
      <c r="B7" s="96" t="inlineStr">
        <is>
          <t xml:space="preserve">Precision</t>
        </is>
      </c>
      <c r="C7" s="93" t="inlineStr">
        <is>
          <t xml:space="preserve">The signal is weak: the model predicts match results about 2% better than a coin flip (the previous win%-based CAPA was worse than a coin flip at predicting the next cup). ± = one standard deviation; gaps smaller than that are noise. Min 24 matches.</t>
        </is>
      </c>
      <c r="D7" s="93"/>
      <c r="E7" s="93"/>
      <c r="F7" s="93"/>
      <c r="G7" s="93"/>
      <c r="H7" s="93"/>
      <c r="I7" s="93"/>
      <c r="J7" s="93"/>
    </row>
    <row r="9" spans="2:10" ht="30" customHeight="1" x14ac:dyDescent="0.2">
      <c r="B9" s="51" t="inlineStr">
        <is>
          <t xml:space="preserve">Player</t>
        </is>
      </c>
      <c r="C9" s="51" t="inlineStr">
        <is>
          <t xml:space="preserve">Cups</t>
        </is>
      </c>
      <c r="D9" s="51" t="inlineStr">
        <is>
          <t xml:space="preserve">Matches</t>
        </is>
      </c>
      <c r="E9" s="51" t="inlineStr">
        <is>
          <t xml:space="preserve">Raw PPC</t>
        </is>
      </c>
      <c r="F9" s="52" t="inlineStr">
        <is>
          <t xml:space="preserve">Partner Adj</t>
        </is>
      </c>
      <c r="G9" s="52" t="inlineStr">
        <is>
          <t xml:space="preserve">Opponent Adj</t>
        </is>
      </c>
      <c r="H9" s="53" t="inlineStr">
        <is>
          <t xml:space="preserve">Shrinkage</t>
        </is>
      </c>
      <c r="I9" s="51" t="inlineStr">
        <is>
          <t xml:space="preserve">CAPA PPC</t>
        </is>
      </c>
      <c r="J9" s="54" t="inlineStr">
        <is>
          <t xml:space="preserve">± (1 SD)</t>
        </is>
      </c>
    </row>
    <row r="10" spans="2:10" ht="15" customHeight="1" x14ac:dyDescent="0.2">
      <c r="B10" s="55" t="inlineStr">
        <is>
          <t xml:space="preserve">Gray</t>
        </is>
      </c>
      <c r="C10" s="56">
        <v>8</v>
      </c>
      <c r="D10" s="56">
        <v>48</v>
      </c>
      <c r="E10" s="57">
        <v>4.27</v>
      </c>
      <c r="F10" s="57">
        <v>-0.03</v>
      </c>
      <c r="G10" s="57">
        <v>0.18</v>
      </c>
      <c r="H10" s="57">
        <v>-0.64</v>
      </c>
      <c r="I10" s="59">
        <f>E10+F10+G10+H10</f>
      </c>
      <c r="J10" s="57">
        <v>0.25</v>
      </c>
    </row>
    <row r="11" spans="2:10" ht="15" customHeight="1" x14ac:dyDescent="0.2">
      <c r="B11" s="55" t="inlineStr">
        <is>
          <t xml:space="preserve">Connolly</t>
        </is>
      </c>
      <c r="C11" s="56">
        <v>13</v>
      </c>
      <c r="D11" s="56">
        <v>77</v>
      </c>
      <c r="E11" s="57">
        <v>3.9</v>
      </c>
      <c r="F11" s="57">
        <v>0</v>
      </c>
      <c r="G11" s="57">
        <v>0.11</v>
      </c>
      <c r="H11" s="57">
        <v>-0.33</v>
      </c>
      <c r="I11" s="59">
        <f>E11+F11+G11+H11</f>
      </c>
      <c r="J11" s="57">
        <v>0.22</v>
      </c>
    </row>
    <row r="12" spans="2:10" ht="15" customHeight="1" x14ac:dyDescent="0.2">
      <c r="B12" s="55" t="inlineStr">
        <is>
          <t xml:space="preserve">Forster</t>
        </is>
      </c>
      <c r="C12" s="56">
        <v>12</v>
      </c>
      <c r="D12" s="56">
        <v>71</v>
      </c>
      <c r="E12" s="57">
        <v>3.85</v>
      </c>
      <c r="F12" s="57">
        <v>-0.04</v>
      </c>
      <c r="G12" s="57">
        <v>-0.02</v>
      </c>
      <c r="H12" s="57">
        <v>-0.25</v>
      </c>
      <c r="I12" s="59">
        <f>E12+F12+G12+H12</f>
      </c>
      <c r="J12" s="57">
        <v>0.22</v>
      </c>
    </row>
    <row r="13" spans="2:10" ht="15" customHeight="1" x14ac:dyDescent="0.2">
      <c r="B13" s="55" t="inlineStr">
        <is>
          <t xml:space="preserve">Perkins</t>
        </is>
      </c>
      <c r="C13" s="56">
        <v>5</v>
      </c>
      <c r="D13" s="56">
        <v>31</v>
      </c>
      <c r="E13" s="57">
        <v>3.95</v>
      </c>
      <c r="F13" s="57">
        <v>0.05</v>
      </c>
      <c r="G13" s="57">
        <v>0.09</v>
      </c>
      <c r="H13" s="57">
        <v>-0.55</v>
      </c>
      <c r="I13" s="59">
        <f>E13+F13+G13+H13</f>
      </c>
      <c r="J13" s="57">
        <v>0.27</v>
      </c>
    </row>
    <row r="14" spans="2:10" ht="15" customHeight="1" x14ac:dyDescent="0.2">
      <c r="B14" s="55" t="inlineStr">
        <is>
          <t xml:space="preserve">Ferrin</t>
        </is>
      </c>
      <c r="C14" s="56">
        <v>13</v>
      </c>
      <c r="D14" s="56">
        <v>77</v>
      </c>
      <c r="E14" s="57">
        <v>3.73</v>
      </c>
      <c r="F14" s="57">
        <v>-0.01</v>
      </c>
      <c r="G14" s="57">
        <v>0.01</v>
      </c>
      <c r="H14" s="57">
        <v>-0.2</v>
      </c>
      <c r="I14" s="59">
        <f>E14+F14+G14+H14</f>
      </c>
      <c r="J14" s="57">
        <v>0.22</v>
      </c>
    </row>
    <row r="15" spans="2:10" ht="15" customHeight="1" x14ac:dyDescent="0.2">
      <c r="B15" s="55" t="inlineStr">
        <is>
          <t xml:space="preserve">Welker</t>
        </is>
      </c>
      <c r="C15" s="56">
        <v>9</v>
      </c>
      <c r="D15" s="56">
        <v>55</v>
      </c>
      <c r="E15" s="57">
        <v>3.65</v>
      </c>
      <c r="F15" s="57">
        <v>0.03</v>
      </c>
      <c r="G15" s="57">
        <v>0.1</v>
      </c>
      <c r="H15" s="57">
        <v>-0.28</v>
      </c>
      <c r="I15" s="59">
        <f>E15+F15+G15+H15</f>
      </c>
      <c r="J15" s="57">
        <v>0.24</v>
      </c>
    </row>
    <row r="16" spans="2:10" ht="15" customHeight="1" x14ac:dyDescent="0.2">
      <c r="B16" s="55" t="inlineStr">
        <is>
          <t xml:space="preserve">Jackson</t>
        </is>
      </c>
      <c r="C16" s="56">
        <v>13</v>
      </c>
      <c r="D16" s="56">
        <v>77</v>
      </c>
      <c r="E16" s="57">
        <v>3.62</v>
      </c>
      <c r="F16" s="57">
        <v>-0.03</v>
      </c>
      <c r="G16" s="57">
        <v>0.07</v>
      </c>
      <c r="H16" s="57">
        <v>-0.18</v>
      </c>
      <c r="I16" s="59">
        <f>E16+F16+G16+H16</f>
      </c>
      <c r="J16" s="57">
        <v>0.22</v>
      </c>
    </row>
    <row r="17" spans="2:10" ht="15" customHeight="1" x14ac:dyDescent="0.2">
      <c r="B17" s="55" t="inlineStr">
        <is>
          <t xml:space="preserve">McInerney</t>
        </is>
      </c>
      <c r="C17" s="56">
        <v>9</v>
      </c>
      <c r="D17" s="56">
        <v>54</v>
      </c>
      <c r="E17" s="57">
        <v>3.46</v>
      </c>
      <c r="F17" s="57">
        <v>0.02</v>
      </c>
      <c r="G17" s="57">
        <v>0.22</v>
      </c>
      <c r="H17" s="57">
        <v>-0.23</v>
      </c>
      <c r="I17" s="59">
        <f>E17+F17+G17+H17</f>
      </c>
      <c r="J17" s="57">
        <v>0.24</v>
      </c>
    </row>
    <row r="18" spans="2:10" ht="15" customHeight="1" x14ac:dyDescent="0.2">
      <c r="B18" s="55" t="inlineStr">
        <is>
          <t xml:space="preserve">Delneky</t>
        </is>
      </c>
      <c r="C18" s="56">
        <v>6</v>
      </c>
      <c r="D18" s="56">
        <v>36</v>
      </c>
      <c r="E18" s="57">
        <v>3.91</v>
      </c>
      <c r="F18" s="57">
        <v>-0.03</v>
      </c>
      <c r="G18" s="57">
        <v>-0.06</v>
      </c>
      <c r="H18" s="57">
        <v>-0.35</v>
      </c>
      <c r="I18" s="59">
        <f>E18+F18+G18+H18</f>
      </c>
      <c r="J18" s="57">
        <v>0.26</v>
      </c>
    </row>
    <row r="19" spans="2:10" ht="15" customHeight="1" x14ac:dyDescent="0.2">
      <c r="B19" s="55" t="inlineStr">
        <is>
          <t xml:space="preserve">Poirier</t>
        </is>
      </c>
      <c r="C19" s="56">
        <v>8</v>
      </c>
      <c r="D19" s="56">
        <v>49</v>
      </c>
      <c r="E19" s="57">
        <v>3.69</v>
      </c>
      <c r="F19" s="57">
        <v>0.01</v>
      </c>
      <c r="G19" s="57">
        <v>-0.01</v>
      </c>
      <c r="H19" s="57">
        <v>-0.24</v>
      </c>
      <c r="I19" s="59">
        <f>E19+F19+G19+H19</f>
      </c>
      <c r="J19" s="57">
        <v>0.24</v>
      </c>
    </row>
    <row r="20" spans="2:10" ht="15" customHeight="1" x14ac:dyDescent="0.2">
      <c r="B20" s="55" t="inlineStr">
        <is>
          <t xml:space="preserve">Grise</t>
        </is>
      </c>
      <c r="C20" s="56">
        <v>13</v>
      </c>
      <c r="D20" s="56">
        <v>77</v>
      </c>
      <c r="E20" s="57">
        <v>3.45</v>
      </c>
      <c r="F20" s="57">
        <v>0</v>
      </c>
      <c r="G20" s="57">
        <v>0.08</v>
      </c>
      <c r="H20" s="57">
        <v>-0.12</v>
      </c>
      <c r="I20" s="59">
        <f>E20+F20+G20+H20</f>
      </c>
      <c r="J20" s="57">
        <v>0.22</v>
      </c>
    </row>
    <row r="21" spans="2:10" ht="15" customHeight="1" x14ac:dyDescent="0.2">
      <c r="B21" s="55" t="inlineStr">
        <is>
          <t xml:space="preserve">Norat</t>
        </is>
      </c>
      <c r="C21" s="56">
        <v>7</v>
      </c>
      <c r="D21" s="56">
        <v>42</v>
      </c>
      <c r="E21" s="57">
        <v>3.72</v>
      </c>
      <c r="F21" s="57">
        <v>-0.05</v>
      </c>
      <c r="G21" s="57">
        <v>-0.19</v>
      </c>
      <c r="H21" s="57">
        <v>-0.13</v>
      </c>
      <c r="I21" s="59">
        <f>E21+F21+G21+H21</f>
      </c>
      <c r="J21" s="57">
        <v>0.25</v>
      </c>
    </row>
    <row r="22" spans="2:10" ht="15" customHeight="1" x14ac:dyDescent="0.2">
      <c r="B22" s="55" t="inlineStr">
        <is>
          <t xml:space="preserve">Hilts</t>
        </is>
      </c>
      <c r="C22" s="56">
        <v>12</v>
      </c>
      <c r="D22" s="56">
        <v>71</v>
      </c>
      <c r="E22" s="57">
        <v>3.44</v>
      </c>
      <c r="F22" s="57">
        <v>-0.01</v>
      </c>
      <c r="G22" s="57">
        <v>-0.06</v>
      </c>
      <c r="H22" s="57">
        <v>-0.05</v>
      </c>
      <c r="I22" s="59">
        <f>E22+F22+G22+H22</f>
      </c>
      <c r="J22" s="57">
        <v>0.22</v>
      </c>
    </row>
    <row r="23" spans="2:10" ht="15" customHeight="1" x14ac:dyDescent="0.2">
      <c r="B23" s="55" t="inlineStr">
        <is>
          <t xml:space="preserve">Flanders</t>
        </is>
      </c>
      <c r="C23" s="56">
        <v>13</v>
      </c>
      <c r="D23" s="56">
        <v>77</v>
      </c>
      <c r="E23" s="57">
        <v>3.12</v>
      </c>
      <c r="F23" s="57">
        <v>-0.01</v>
      </c>
      <c r="G23" s="57">
        <v>0.16</v>
      </c>
      <c r="H23" s="57">
        <v>-0.01</v>
      </c>
      <c r="I23" s="59">
        <f>E23+F23+G23+H23</f>
      </c>
      <c r="J23" s="57">
        <v>0.22</v>
      </c>
    </row>
    <row r="24" spans="2:10" ht="15" customHeight="1" x14ac:dyDescent="0.2">
      <c r="B24" s="55" t="inlineStr">
        <is>
          <t xml:space="preserve">Zimmer</t>
        </is>
      </c>
      <c r="C24" s="56">
        <v>11</v>
      </c>
      <c r="D24" s="56">
        <v>67</v>
      </c>
      <c r="E24" s="57">
        <v>3.11</v>
      </c>
      <c r="F24" s="57">
        <v>-0.03</v>
      </c>
      <c r="G24" s="57">
        <v>0.09</v>
      </c>
      <c r="H24" s="57">
        <v>0.04</v>
      </c>
      <c r="I24" s="59">
        <f>E24+F24+G24+H24</f>
      </c>
      <c r="J24" s="57">
        <v>0.23</v>
      </c>
    </row>
    <row r="25" spans="2:10" ht="15" customHeight="1" x14ac:dyDescent="0.2">
      <c r="B25" s="55" t="inlineStr">
        <is>
          <t xml:space="preserve">Cole</t>
        </is>
      </c>
      <c r="C25" s="56">
        <v>11</v>
      </c>
      <c r="D25" s="56">
        <v>65</v>
      </c>
      <c r="E25" s="57">
        <v>3.25</v>
      </c>
      <c r="F25" s="57">
        <v>0</v>
      </c>
      <c r="G25" s="57">
        <v>-0.11</v>
      </c>
      <c r="H25" s="57">
        <v>0.05</v>
      </c>
      <c r="I25" s="59">
        <f>E25+F25+G25+H25</f>
      </c>
      <c r="J25" s="57">
        <v>0.23</v>
      </c>
    </row>
    <row r="26" spans="2:10" ht="15" customHeight="1" x14ac:dyDescent="0.2">
      <c r="B26" s="55" t="inlineStr">
        <is>
          <t xml:space="preserve">Lynch</t>
        </is>
      </c>
      <c r="C26" s="56">
        <v>13</v>
      </c>
      <c r="D26" s="56">
        <v>77</v>
      </c>
      <c r="E26" s="57">
        <v>3.02</v>
      </c>
      <c r="F26" s="57">
        <v>0.01</v>
      </c>
      <c r="G26" s="57">
        <v>0.07</v>
      </c>
      <c r="H26" s="57">
        <v>0.06</v>
      </c>
      <c r="I26" s="59">
        <f>E26+F26+G26+H26</f>
      </c>
      <c r="J26" s="57">
        <v>0.22</v>
      </c>
    </row>
    <row r="27" spans="2:10" ht="15" customHeight="1" x14ac:dyDescent="0.2">
      <c r="B27" s="55" t="inlineStr">
        <is>
          <t xml:space="preserve">Delaney</t>
        </is>
      </c>
      <c r="C27" s="56">
        <v>7</v>
      </c>
      <c r="D27" s="56">
        <v>43</v>
      </c>
      <c r="E27" s="57">
        <v>2.88</v>
      </c>
      <c r="F27" s="57">
        <v>0.02</v>
      </c>
      <c r="G27" s="57">
        <v>-0.01</v>
      </c>
      <c r="H27" s="57">
        <v>0.21</v>
      </c>
      <c r="I27" s="59">
        <f>E27+F27+G27+H27</f>
      </c>
      <c r="J27" s="57">
        <v>0.25</v>
      </c>
    </row>
    <row r="28" spans="2:10" ht="15" customHeight="1" x14ac:dyDescent="0.2">
      <c r="B28" s="55" t="inlineStr">
        <is>
          <t xml:space="preserve">DeOteris</t>
        </is>
      </c>
      <c r="C28" s="56">
        <v>4</v>
      </c>
      <c r="D28" s="56">
        <v>24</v>
      </c>
      <c r="E28" s="57">
        <v>2.49</v>
      </c>
      <c r="F28" s="57">
        <v>-0.02</v>
      </c>
      <c r="G28" s="57">
        <v>-0.05</v>
      </c>
      <c r="H28" s="57">
        <v>0.62</v>
      </c>
      <c r="I28" s="59">
        <f>E28+F28+G28+H28</f>
      </c>
      <c r="J28" s="57">
        <v>0.28</v>
      </c>
    </row>
    <row r="29" spans="2:10" ht="15" customHeight="1" x14ac:dyDescent="0.2">
      <c r="B29" s="55" t="inlineStr">
        <is>
          <t xml:space="preserve">Bussiculo</t>
        </is>
      </c>
      <c r="C29" s="56">
        <v>5</v>
      </c>
      <c r="D29" s="56">
        <v>29</v>
      </c>
      <c r="E29" s="57">
        <v>2.4</v>
      </c>
      <c r="F29" s="57">
        <v>0.12</v>
      </c>
      <c r="G29" s="57">
        <v>0.09</v>
      </c>
      <c r="H29" s="57">
        <v>0.43</v>
      </c>
      <c r="I29" s="59">
        <f>E29+F29+G29+H29</f>
      </c>
      <c r="J29" s="57">
        <v>0.27</v>
      </c>
    </row>
    <row r="30" spans="2:10" ht="15" customHeight="1" x14ac:dyDescent="0.2">
      <c r="B30" s="55" t="inlineStr">
        <is>
          <t xml:space="preserve">Fogan</t>
        </is>
      </c>
      <c r="C30" s="56">
        <v>12</v>
      </c>
      <c r="D30" s="56">
        <v>72</v>
      </c>
      <c r="E30" s="57">
        <v>2.87</v>
      </c>
      <c r="F30" s="57">
        <v>-0.02</v>
      </c>
      <c r="G30" s="57">
        <v>-0.07</v>
      </c>
      <c r="H30" s="57">
        <v>0.21</v>
      </c>
      <c r="I30" s="59">
        <f>E30+F30+G30+H30</f>
      </c>
      <c r="J30" s="57">
        <v>0.22</v>
      </c>
    </row>
    <row r="31" spans="2:10" ht="15" customHeight="1" x14ac:dyDescent="0.2">
      <c r="B31" s="55" t="inlineStr">
        <is>
          <t xml:space="preserve">Mangold</t>
        </is>
      </c>
      <c r="C31" s="56">
        <v>12</v>
      </c>
      <c r="D31" s="56">
        <v>71</v>
      </c>
      <c r="E31" s="57">
        <v>2.39</v>
      </c>
      <c r="F31" s="57">
        <v>0.02</v>
      </c>
      <c r="G31" s="57">
        <v>0</v>
      </c>
      <c r="H31" s="57">
        <v>0.38</v>
      </c>
      <c r="I31" s="59">
        <f>E31+F31+G31+H31</f>
      </c>
      <c r="J31" s="57">
        <v>0.22</v>
      </c>
    </row>
    <row r="32" spans="2:10" ht="15" customHeight="1" x14ac:dyDescent="0.2">
      <c r="B32" s="55" t="inlineStr">
        <is>
          <t xml:space="preserve">Shively</t>
        </is>
      </c>
      <c r="C32" s="56">
        <v>12</v>
      </c>
      <c r="D32" s="56">
        <v>71</v>
      </c>
      <c r="E32" s="57">
        <v>2.35</v>
      </c>
      <c r="F32" s="57">
        <v>-0.03</v>
      </c>
      <c r="G32" s="57">
        <v>0.02</v>
      </c>
      <c r="H32" s="57">
        <v>0.41</v>
      </c>
      <c r="I32" s="59">
        <f>E32+F32+G32+H32</f>
      </c>
      <c r="J32" s="57">
        <v>0.22</v>
      </c>
    </row>
    <row r="33" spans="2:10" ht="15" customHeight="1" x14ac:dyDescent="0.2">
      <c r="B33" s="55" t="inlineStr">
        <is>
          <t xml:space="preserve">Connors</t>
        </is>
      </c>
      <c r="C33" s="56">
        <v>10</v>
      </c>
      <c r="D33" s="56">
        <v>59</v>
      </c>
      <c r="E33" s="57">
        <v>2.27</v>
      </c>
      <c r="F33" s="57">
        <v>-0.02</v>
      </c>
      <c r="G33" s="57">
        <v>-0.22</v>
      </c>
      <c r="H33" s="57">
        <v>0.61</v>
      </c>
      <c r="I33" s="59">
        <f>E33+F33+G33+H33</f>
      </c>
      <c r="J33" s="57">
        <v>0.23</v>
      </c>
    </row>
    <row r="34" spans="2:10" ht="15" customHeight="1" x14ac:dyDescent="0.2"/>
    <row r="35" spans="2:10" ht="15" customHeight="1" x14ac:dyDescent="0.2">
      <c r="B35" s="60" t="inlineStr">
        <is>
          <t xml:space="preserve">Belts (through FBC13)</t>
        </is>
      </c>
    </row>
    <row r="36" spans="2:10" ht="15" customHeight="1" x14ac:dyDescent="0.2">
      <c r="B36" s="61" t="s">
        <v>742</v>
      </c>
      <c r="C36" s="62" t="inlineStr">
        <is>
          <t xml:space="preserve">McInerney</t>
        </is>
      </c>
      <c r="D36" s="92" t="s">
        <v>743</v>
      </c>
      <c r="E36" s="92"/>
      <c r="F36" s="92"/>
      <c r="G36" s="92"/>
      <c r="H36" s="92"/>
      <c r="I36" s="92"/>
      <c r="J36" s="92"/>
    </row>
    <row r="37" spans="2:10" ht="15" customHeight="1" x14ac:dyDescent="0.2">
      <c r="B37" s="61" t="s">
        <v>744</v>
      </c>
      <c r="C37" s="62" t="inlineStr">
        <is>
          <t xml:space="preserve">Norat</t>
        </is>
      </c>
      <c r="D37" s="92" t="s">
        <v>745</v>
      </c>
      <c r="E37" s="92"/>
      <c r="F37" s="92"/>
      <c r="G37" s="92"/>
      <c r="H37" s="92"/>
      <c r="I37" s="92"/>
      <c r="J37" s="92"/>
    </row>
    <row r="38" spans="2:10" ht="15" customHeight="1" x14ac:dyDescent="0.2">
      <c r="B38" s="61" t="s">
        <v>746</v>
      </c>
      <c r="C38" s="62" t="inlineStr">
        <is>
          <t xml:space="preserve">Bussiculo</t>
        </is>
      </c>
      <c r="D38" s="92" t="s">
        <v>747</v>
      </c>
      <c r="E38" s="92"/>
      <c r="F38" s="92"/>
      <c r="G38" s="92"/>
      <c r="H38" s="92"/>
      <c r="I38" s="92"/>
      <c r="J38" s="92"/>
    </row>
    <row r="39" spans="2:10" ht="15" customHeight="1" x14ac:dyDescent="0.2">
      <c r="B39" s="61" t="s">
        <v>748</v>
      </c>
      <c r="C39" s="62" t="inlineStr">
        <is>
          <t xml:space="preserve">Connors</t>
        </is>
      </c>
      <c r="D39" s="92" t="s">
        <v>749</v>
      </c>
      <c r="E39" s="92"/>
      <c r="F39" s="92"/>
      <c r="G39" s="92"/>
      <c r="H39" s="92"/>
      <c r="I39" s="92"/>
      <c r="J39" s="92"/>
    </row>
  </sheetData>
  <mergeCells count="9">
    <mergeCell ref="D36:J36"/>
    <mergeCell ref="D37:J37"/>
    <mergeCell ref="D38:J38"/>
    <mergeCell ref="D39:J39"/>
    <mergeCell ref="C3:J3"/>
    <mergeCell ref="C4:J4"/>
    <mergeCell ref="C5:J5"/>
    <mergeCell ref="C6:J6"/>
    <mergeCell ref="C7:J7"/>
  </mergeCells>
  <conditionalFormatting sqref="F10:F33">
    <cfRule type="colorScale" priority="2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conditionalFormatting sqref="G10:G33">
    <cfRule type="colorScale" priority="3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conditionalFormatting sqref="I10:I33">
    <cfRule type="colorScale" priority="5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6" sqref="B26"/>
    </sheetView>
  </sheetViews>
  <sheetFormatPr baseColWidth="10" defaultColWidth="8.6640625" defaultRowHeight="15" x14ac:dyDescent="0.2"/>
  <cols>
    <col min="2" max="2" width="13" customWidth="1"/>
    <col min="3" max="4" width="9" customWidth="1"/>
    <col min="5" max="5" width="8" customWidth="1"/>
    <col min="6" max="6" width="11" customWidth="1"/>
    <col min="7" max="7" width="13" customWidth="1"/>
    <col min="8" max="8" width="3" customWidth="1"/>
    <col min="9" max="9" width="13" customWidth="1"/>
    <col min="10" max="10" width="9" customWidth="1"/>
    <col min="11" max="13" width="10" customWidth="1"/>
    <col min="14" max="14" width="12" customWidth="1"/>
  </cols>
  <sheetData>
    <row r="1" spans="2:14" ht="21.75" customHeight="1" x14ac:dyDescent="0.25">
      <c r="B1" s="63" t="s">
        <v>750</v>
      </c>
      <c r="I1" s="63" t="inlineStr">
        <is>
          <t xml:space="preserve">Beats-Card Model</t>
        </is>
      </c>
    </row>
    <row r="2" spans="2:14" ht="40" customHeight="1" x14ac:dyDescent="0.2">
      <c r="B2" s="94" t="s">
        <v>751</v>
      </c>
      <c r="C2" s="94"/>
      <c r="D2" s="94"/>
      <c r="E2" s="94"/>
      <c r="F2" s="94"/>
      <c r="G2" s="94"/>
      <c r="I2" s="94" t="inlineStr">
        <is>
          <t xml:space="preserve">Win-probability points per match versus what the handicaps imply, using recorded match handicaps and correcting for the league-wide edge of the stroke-giving side. 90% range from bootstrap; min 15 matches.</t>
        </is>
      </c>
      <c r="J2" s="94"/>
      <c r="K2" s="94"/>
      <c r="L2" s="94"/>
      <c r="M2" s="94"/>
      <c r="N2" s="94"/>
    </row>
    <row r="4" spans="2:14" ht="15" customHeight="1" x14ac:dyDescent="0.2">
      <c r="B4" s="30" t="s">
        <v>674</v>
      </c>
      <c r="C4" s="30" t="s">
        <v>752</v>
      </c>
      <c r="D4" s="30" t="s">
        <v>718</v>
      </c>
      <c r="E4" s="30" t="s">
        <v>717</v>
      </c>
      <c r="F4" s="30" t="s">
        <v>753</v>
      </c>
      <c r="G4" s="30" t="s">
        <v>754</v>
      </c>
      <c r="I4" s="30" t="inlineStr">
        <is>
          <t xml:space="preserve">Player</t>
        </is>
      </c>
      <c r="J4" s="30" t="inlineStr">
        <is>
          <t xml:space="preserve">Matches</t>
        </is>
      </c>
      <c r="K4" s="30" t="inlineStr">
        <is>
          <t xml:space="preserve">vs Card</t>
        </is>
      </c>
      <c r="L4" s="30" t="inlineStr">
        <is>
          <t xml:space="preserve">90% Low</t>
        </is>
      </c>
      <c r="M4" s="30" t="inlineStr">
        <is>
          <t xml:space="preserve">90% High</t>
        </is>
      </c>
      <c r="N4" s="30" t="inlineStr">
        <is>
          <t xml:space="preserve">Chance Above</t>
        </is>
      </c>
    </row>
    <row r="5" spans="2:14" ht="15" customHeight="1" x14ac:dyDescent="0.2">
      <c r="B5" s="31" t="inlineStr">
        <is>
          <t xml:space="preserve">Delneky</t>
        </is>
      </c>
      <c r="C5" s="64">
        <v>17.7</v>
      </c>
      <c r="D5" s="40">
        <v>36</v>
      </c>
      <c r="E5" s="41">
        <v>0.625</v>
      </c>
      <c r="F5" s="65">
        <v>0.125</v>
      </c>
      <c r="G5" s="42">
        <v>2.21</v>
      </c>
      <c r="I5" s="31" t="inlineStr">
        <is>
          <t xml:space="preserve">Gray</t>
        </is>
      </c>
      <c r="J5" s="40">
        <v>42</v>
      </c>
      <c r="K5" s="65">
        <v>0.0556</v>
      </c>
      <c r="L5" s="65">
        <v>0.012</v>
      </c>
      <c r="M5" s="65">
        <v>0.0919</v>
      </c>
      <c r="N5" s="41">
        <v>0.985</v>
      </c>
    </row>
    <row r="6" spans="2:14" ht="15" customHeight="1" x14ac:dyDescent="0.2">
      <c r="B6" s="34" t="inlineStr">
        <is>
          <t xml:space="preserve">Forster</t>
        </is>
      </c>
      <c r="C6" s="66">
        <v>17.1</v>
      </c>
      <c r="D6" s="43">
        <v>71</v>
      </c>
      <c r="E6" s="44">
        <v>0.5845</v>
      </c>
      <c r="F6" s="67">
        <v>0.0845</v>
      </c>
      <c r="G6" s="45">
        <v>1.45</v>
      </c>
      <c r="I6" s="34" t="inlineStr">
        <is>
          <t xml:space="preserve">Connolly</t>
        </is>
      </c>
      <c r="J6" s="43">
        <v>65</v>
      </c>
      <c r="K6" s="67">
        <v>0.0542</v>
      </c>
      <c r="L6" s="67">
        <v>0.0078</v>
      </c>
      <c r="M6" s="67">
        <v>0.0988</v>
      </c>
      <c r="N6" s="44">
        <v>0.97</v>
      </c>
    </row>
    <row r="7" spans="2:14" ht="15" customHeight="1" x14ac:dyDescent="0.2">
      <c r="B7" s="31" t="inlineStr">
        <is>
          <t xml:space="preserve">Ferrin</t>
        </is>
      </c>
      <c r="C7" s="64">
        <v>15.4</v>
      </c>
      <c r="D7" s="40">
        <v>77</v>
      </c>
      <c r="E7" s="41">
        <v>0.5844</v>
      </c>
      <c r="F7" s="65">
        <v>0.0844</v>
      </c>
      <c r="G7" s="42">
        <v>1.3</v>
      </c>
      <c r="I7" s="31" t="inlineStr">
        <is>
          <t xml:space="preserve">Ferrin</t>
        </is>
      </c>
      <c r="J7" s="40">
        <v>67</v>
      </c>
      <c r="K7" s="65">
        <v>0.0527</v>
      </c>
      <c r="L7" s="65">
        <v>0.0054</v>
      </c>
      <c r="M7" s="65">
        <v>0.0983</v>
      </c>
      <c r="N7" s="41">
        <v>0.97</v>
      </c>
    </row>
    <row r="8" spans="2:14" ht="15" customHeight="1" x14ac:dyDescent="0.2">
      <c r="B8" s="34" t="inlineStr">
        <is>
          <t xml:space="preserve">Norat</t>
        </is>
      </c>
      <c r="C8" s="66">
        <v>17.8</v>
      </c>
      <c r="D8" s="43">
        <v>42</v>
      </c>
      <c r="E8" s="44">
        <v>0.5714</v>
      </c>
      <c r="F8" s="67">
        <v>0.0714</v>
      </c>
      <c r="G8" s="45">
        <v>1.27</v>
      </c>
      <c r="I8" s="34" t="inlineStr">
        <is>
          <t xml:space="preserve">Delneky</t>
        </is>
      </c>
      <c r="J8" s="43">
        <v>31</v>
      </c>
      <c r="K8" s="67">
        <v>0.0513</v>
      </c>
      <c r="L8" s="67">
        <v>0.0076</v>
      </c>
      <c r="M8" s="67">
        <v>0.0884</v>
      </c>
      <c r="N8" s="44">
        <v>0.975</v>
      </c>
    </row>
    <row r="9" spans="2:14" ht="15" customHeight="1" x14ac:dyDescent="0.2">
      <c r="B9" s="31" t="inlineStr">
        <is>
          <t xml:space="preserve">Jackson</t>
        </is>
      </c>
      <c r="C9" s="64">
        <v>10.8</v>
      </c>
      <c r="D9" s="40">
        <v>77</v>
      </c>
      <c r="E9" s="41">
        <v>0.6104</v>
      </c>
      <c r="F9" s="65">
        <v>0.1104</v>
      </c>
      <c r="G9" s="42">
        <v>1.2</v>
      </c>
      <c r="I9" s="31" t="inlineStr">
        <is>
          <t xml:space="preserve">Welker</t>
        </is>
      </c>
      <c r="J9" s="40">
        <v>47</v>
      </c>
      <c r="K9" s="65">
        <v>0.0431</v>
      </c>
      <c r="L9" s="65">
        <v>-0.0062</v>
      </c>
      <c r="M9" s="65">
        <v>0.0927</v>
      </c>
      <c r="N9" s="41">
        <v>0.915</v>
      </c>
    </row>
    <row r="10" spans="2:14" ht="15" customHeight="1" x14ac:dyDescent="0.2">
      <c r="B10" s="34" t="inlineStr">
        <is>
          <t xml:space="preserve">Gray</t>
        </is>
      </c>
      <c r="C10" s="66">
        <v>8.5</v>
      </c>
      <c r="D10" s="43">
        <v>48</v>
      </c>
      <c r="E10" s="44">
        <v>0.625</v>
      </c>
      <c r="F10" s="67">
        <v>0.125</v>
      </c>
      <c r="G10" s="45">
        <v>1.06</v>
      </c>
      <c r="I10" s="34" t="inlineStr">
        <is>
          <t xml:space="preserve">Perkins</t>
        </is>
      </c>
      <c r="J10" s="43">
        <v>27</v>
      </c>
      <c r="K10" s="67">
        <v>0.0398</v>
      </c>
      <c r="L10" s="67">
        <v>-0.0015</v>
      </c>
      <c r="M10" s="67">
        <v>0.0792</v>
      </c>
      <c r="N10" s="44">
        <v>0.9375</v>
      </c>
    </row>
    <row r="11" spans="2:14" ht="15" customHeight="1" x14ac:dyDescent="0.2">
      <c r="B11" s="31" t="inlineStr">
        <is>
          <t xml:space="preserve">Connolly</t>
        </is>
      </c>
      <c r="C11" s="64">
        <v>10.5</v>
      </c>
      <c r="D11" s="40">
        <v>77</v>
      </c>
      <c r="E11" s="41">
        <v>0.5974</v>
      </c>
      <c r="F11" s="65">
        <v>0.0974</v>
      </c>
      <c r="G11" s="42">
        <v>1.02</v>
      </c>
      <c r="I11" s="31" t="inlineStr">
        <is>
          <t xml:space="preserve">Forster</t>
        </is>
      </c>
      <c r="J11" s="40">
        <v>60</v>
      </c>
      <c r="K11" s="65">
        <v>0.0374</v>
      </c>
      <c r="L11" s="65">
        <v>-0.0077</v>
      </c>
      <c r="M11" s="65">
        <v>0.0838</v>
      </c>
      <c r="N11" s="41">
        <v>0.91</v>
      </c>
    </row>
    <row r="12" spans="2:14" ht="15" customHeight="1" x14ac:dyDescent="0.2">
      <c r="B12" s="34" t="inlineStr">
        <is>
          <t xml:space="preserve">Perkins</t>
        </is>
      </c>
      <c r="C12" s="66">
        <v>7.9</v>
      </c>
      <c r="D12" s="43">
        <v>31</v>
      </c>
      <c r="E12" s="44">
        <v>0.5806</v>
      </c>
      <c r="F12" s="67">
        <v>0.0806</v>
      </c>
      <c r="G12" s="45">
        <v>0.64</v>
      </c>
      <c r="I12" s="34" t="inlineStr">
        <is>
          <t xml:space="preserve">Jackson</t>
        </is>
      </c>
      <c r="J12" s="43">
        <v>64</v>
      </c>
      <c r="K12" s="67">
        <v>0.0344</v>
      </c>
      <c r="L12" s="67">
        <v>-0.0144</v>
      </c>
      <c r="M12" s="67">
        <v>0.0812</v>
      </c>
      <c r="N12" s="44">
        <v>0.8825</v>
      </c>
    </row>
    <row r="13" spans="2:14" ht="15" customHeight="1" x14ac:dyDescent="0.2">
      <c r="B13" s="31" t="inlineStr">
        <is>
          <t xml:space="preserve">Grise</t>
        </is>
      </c>
      <c r="C13" s="64">
        <v>12.4</v>
      </c>
      <c r="D13" s="40">
        <v>77</v>
      </c>
      <c r="E13" s="41">
        <v>0.5455</v>
      </c>
      <c r="F13" s="65">
        <v>0.0455</v>
      </c>
      <c r="G13" s="42">
        <v>0.56</v>
      </c>
      <c r="I13" s="31" t="inlineStr">
        <is>
          <t xml:space="preserve">Norat</t>
        </is>
      </c>
      <c r="J13" s="40">
        <v>36</v>
      </c>
      <c r="K13" s="65">
        <v>0.0179</v>
      </c>
      <c r="L13" s="65">
        <v>-0.0228</v>
      </c>
      <c r="M13" s="65">
        <v>0.0577</v>
      </c>
      <c r="N13" s="41">
        <v>0.7325</v>
      </c>
    </row>
    <row r="14" spans="2:14" ht="15" customHeight="1" x14ac:dyDescent="0.2">
      <c r="B14" s="34" t="inlineStr">
        <is>
          <t xml:space="preserve">Lynch</t>
        </is>
      </c>
      <c r="C14" s="66">
        <v>12.3</v>
      </c>
      <c r="D14" s="43">
        <v>77</v>
      </c>
      <c r="E14" s="44">
        <v>0.5195</v>
      </c>
      <c r="F14" s="67">
        <v>0.0195</v>
      </c>
      <c r="G14" s="45">
        <v>0.24</v>
      </c>
      <c r="I14" s="34" t="inlineStr">
        <is>
          <t xml:space="preserve">Grise</t>
        </is>
      </c>
      <c r="J14" s="43">
        <v>67</v>
      </c>
      <c r="K14" s="67">
        <v>0.0118</v>
      </c>
      <c r="L14" s="67">
        <v>-0.0404</v>
      </c>
      <c r="M14" s="67">
        <v>0.0587</v>
      </c>
      <c r="N14" s="44">
        <v>0.6325</v>
      </c>
    </row>
    <row r="15" spans="2:14" ht="15" customHeight="1" x14ac:dyDescent="0.2">
      <c r="B15" s="31" t="inlineStr">
        <is>
          <t xml:space="preserve">Welker</t>
        </is>
      </c>
      <c r="C15" s="64">
        <v>11.8</v>
      </c>
      <c r="D15" s="40">
        <v>55</v>
      </c>
      <c r="E15" s="41">
        <v>0.5182</v>
      </c>
      <c r="F15" s="65">
        <v>0.0182</v>
      </c>
      <c r="G15" s="42">
        <v>0.21</v>
      </c>
      <c r="I15" s="31" t="inlineStr">
        <is>
          <t xml:space="preserve">McInerney</t>
        </is>
      </c>
      <c r="J15" s="40">
        <v>47</v>
      </c>
      <c r="K15" s="65">
        <v>0.0102</v>
      </c>
      <c r="L15" s="65">
        <v>-0.032</v>
      </c>
      <c r="M15" s="65">
        <v>0.0539</v>
      </c>
      <c r="N15" s="41">
        <v>0.6575</v>
      </c>
    </row>
    <row r="16" spans="2:14" ht="15" customHeight="1" x14ac:dyDescent="0.2">
      <c r="B16" s="34" t="inlineStr">
        <is>
          <t xml:space="preserve">Poirier</t>
        </is>
      </c>
      <c r="C16" s="66">
        <v>6.8</v>
      </c>
      <c r="D16" s="43">
        <v>49</v>
      </c>
      <c r="E16" s="44">
        <v>0.5204</v>
      </c>
      <c r="F16" s="67">
        <v>0.0204</v>
      </c>
      <c r="G16" s="45">
        <v>0.14</v>
      </c>
      <c r="I16" s="34" t="inlineStr">
        <is>
          <t xml:space="preserve">Hilts</t>
        </is>
      </c>
      <c r="J16" s="43">
        <v>60</v>
      </c>
      <c r="K16" s="67">
        <v>0.0099</v>
      </c>
      <c r="L16" s="67">
        <v>-0.0404</v>
      </c>
      <c r="M16" s="67">
        <v>0.0593</v>
      </c>
      <c r="N16" s="44">
        <v>0.62</v>
      </c>
    </row>
    <row r="17" spans="2:14" ht="15" customHeight="1" x14ac:dyDescent="0.2">
      <c r="B17" s="31" t="inlineStr">
        <is>
          <t xml:space="preserve">Delaney</t>
        </is>
      </c>
      <c r="C17" s="64">
        <v>11.9</v>
      </c>
      <c r="D17" s="40">
        <v>43</v>
      </c>
      <c r="E17" s="41">
        <v>0.5</v>
      </c>
      <c r="F17" s="65">
        <v>0</v>
      </c>
      <c r="G17" s="42">
        <v>0</v>
      </c>
      <c r="I17" s="31" t="inlineStr">
        <is>
          <t xml:space="preserve">Poirier</t>
        </is>
      </c>
      <c r="J17" s="40">
        <v>43</v>
      </c>
      <c r="K17" s="65">
        <v>0.0078</v>
      </c>
      <c r="L17" s="65">
        <v>-0.0411</v>
      </c>
      <c r="M17" s="65">
        <v>0.0492</v>
      </c>
      <c r="N17" s="41">
        <v>0.585</v>
      </c>
    </row>
    <row r="18" spans="2:14" ht="15" customHeight="1" x14ac:dyDescent="0.2">
      <c r="B18" s="34" t="inlineStr">
        <is>
          <t xml:space="preserve">Flanders</t>
        </is>
      </c>
      <c r="C18" s="66">
        <v>8.2</v>
      </c>
      <c r="D18" s="43">
        <v>77</v>
      </c>
      <c r="E18" s="44">
        <v>0.487</v>
      </c>
      <c r="F18" s="67">
        <v>-0.013</v>
      </c>
      <c r="G18" s="45">
        <v>-0.11</v>
      </c>
      <c r="I18" s="34" t="inlineStr">
        <is>
          <t xml:space="preserve">Lynch</t>
        </is>
      </c>
      <c r="J18" s="43">
        <v>66</v>
      </c>
      <c r="K18" s="67">
        <v>0.0031</v>
      </c>
      <c r="L18" s="67">
        <v>-0.0482</v>
      </c>
      <c r="M18" s="67">
        <v>0.0482</v>
      </c>
      <c r="N18" s="44">
        <v>0.5375</v>
      </c>
    </row>
    <row r="19" spans="2:14" ht="15" customHeight="1" x14ac:dyDescent="0.2">
      <c r="B19" s="31" t="inlineStr">
        <is>
          <t xml:space="preserve">McInerney</t>
        </is>
      </c>
      <c r="C19" s="64">
        <v>6.9</v>
      </c>
      <c r="D19" s="40">
        <v>54</v>
      </c>
      <c r="E19" s="41">
        <v>0.4815</v>
      </c>
      <c r="F19" s="65">
        <v>-0.0185</v>
      </c>
      <c r="G19" s="42">
        <v>-0.13</v>
      </c>
      <c r="I19" s="31" t="inlineStr">
        <is>
          <t xml:space="preserve">R. Connolly</t>
        </is>
      </c>
      <c r="J19" s="40">
        <v>18</v>
      </c>
      <c r="K19" s="65">
        <v>-0.0071</v>
      </c>
      <c r="L19" s="65">
        <v>-0.0435</v>
      </c>
      <c r="M19" s="65">
        <v>0.031</v>
      </c>
      <c r="N19" s="41">
        <v>0.3725</v>
      </c>
    </row>
    <row r="20" spans="2:14" ht="15" customHeight="1" x14ac:dyDescent="0.2">
      <c r="B20" s="34" t="inlineStr">
        <is>
          <t xml:space="preserve">Hilts</t>
        </is>
      </c>
      <c r="C20" s="66">
        <v>18</v>
      </c>
      <c r="D20" s="43">
        <v>71</v>
      </c>
      <c r="E20" s="44">
        <v>0.4859</v>
      </c>
      <c r="F20" s="67">
        <v>-0.0141</v>
      </c>
      <c r="G20" s="45">
        <v>-0.25</v>
      </c>
      <c r="I20" s="34" t="inlineStr">
        <is>
          <t xml:space="preserve">Cole</t>
        </is>
      </c>
      <c r="J20" s="43">
        <v>56</v>
      </c>
      <c r="K20" s="67">
        <v>-0.0072</v>
      </c>
      <c r="L20" s="67">
        <v>-0.0507</v>
      </c>
      <c r="M20" s="67">
        <v>0.0384</v>
      </c>
      <c r="N20" s="44">
        <v>0.4075</v>
      </c>
    </row>
    <row r="21" spans="2:14" ht="15" customHeight="1" x14ac:dyDescent="0.2">
      <c r="B21" s="31" t="inlineStr">
        <is>
          <t xml:space="preserve">R. Connolly</t>
        </is>
      </c>
      <c r="C21" s="64">
        <v>12.5</v>
      </c>
      <c r="D21" s="40">
        <v>19</v>
      </c>
      <c r="E21" s="41">
        <v>0.4737</v>
      </c>
      <c r="F21" s="65">
        <v>-0.0263</v>
      </c>
      <c r="G21" s="42">
        <v>-0.33</v>
      </c>
      <c r="I21" s="31" t="inlineStr">
        <is>
          <t xml:space="preserve">Flanders</t>
        </is>
      </c>
      <c r="J21" s="40">
        <v>65</v>
      </c>
      <c r="K21" s="65">
        <v>-0.0083</v>
      </c>
      <c r="L21" s="65">
        <v>-0.0538</v>
      </c>
      <c r="M21" s="65">
        <v>0.0431</v>
      </c>
      <c r="N21" s="41">
        <v>0.4225</v>
      </c>
    </row>
    <row r="22" spans="2:14" ht="15" customHeight="1" x14ac:dyDescent="0.2">
      <c r="B22" s="34" t="inlineStr">
        <is>
          <t xml:space="preserve">Zimmer</t>
        </is>
      </c>
      <c r="C22" s="66">
        <v>10.5</v>
      </c>
      <c r="D22" s="43">
        <v>67</v>
      </c>
      <c r="E22" s="44">
        <v>0.4478</v>
      </c>
      <c r="F22" s="67">
        <v>-0.0522</v>
      </c>
      <c r="G22" s="45">
        <v>-0.55</v>
      </c>
      <c r="I22" s="34" t="inlineStr">
        <is>
          <t xml:space="preserve">Delaney</t>
        </is>
      </c>
      <c r="J22" s="43">
        <v>37</v>
      </c>
      <c r="K22" s="67">
        <v>-0.0129</v>
      </c>
      <c r="L22" s="67">
        <v>-0.0575</v>
      </c>
      <c r="M22" s="67">
        <v>0.0314</v>
      </c>
      <c r="N22" s="44">
        <v>0.315</v>
      </c>
    </row>
    <row r="23" spans="2:14" ht="15" customHeight="1" x14ac:dyDescent="0.2">
      <c r="B23" s="31" t="inlineStr">
        <is>
          <t xml:space="preserve">Cole</t>
        </is>
      </c>
      <c r="C23" s="64">
        <v>19.6</v>
      </c>
      <c r="D23" s="40">
        <v>65</v>
      </c>
      <c r="E23" s="41">
        <v>0.4538</v>
      </c>
      <c r="F23" s="65">
        <v>-0.0462</v>
      </c>
      <c r="G23" s="42">
        <v>-0.9</v>
      </c>
      <c r="I23" s="31" t="inlineStr">
        <is>
          <t xml:space="preserve">Bussiculo</t>
        </is>
      </c>
      <c r="J23" s="40">
        <v>20</v>
      </c>
      <c r="K23" s="65">
        <v>-0.0164</v>
      </c>
      <c r="L23" s="65">
        <v>-0.0516</v>
      </c>
      <c r="M23" s="65">
        <v>0.0226</v>
      </c>
      <c r="N23" s="41">
        <v>0.2575</v>
      </c>
    </row>
    <row r="24" spans="2:14" ht="15" customHeight="1" x14ac:dyDescent="0.2">
      <c r="B24" s="34" t="inlineStr">
        <is>
          <t xml:space="preserve">Mangold</t>
        </is>
      </c>
      <c r="C24" s="66">
        <v>15.3</v>
      </c>
      <c r="D24" s="43">
        <v>71</v>
      </c>
      <c r="E24" s="44">
        <v>0.4085</v>
      </c>
      <c r="F24" s="67">
        <v>-0.0915</v>
      </c>
      <c r="G24" s="45">
        <v>-1.4</v>
      </c>
      <c r="I24" s="34" t="inlineStr">
        <is>
          <t xml:space="preserve">Fogan</t>
        </is>
      </c>
      <c r="J24" s="43">
        <v>59</v>
      </c>
      <c r="K24" s="67">
        <v>-0.0223</v>
      </c>
      <c r="L24" s="67">
        <v>-0.0696</v>
      </c>
      <c r="M24" s="67">
        <v>0.0264</v>
      </c>
      <c r="N24" s="44">
        <v>0.2275</v>
      </c>
    </row>
    <row r="25" spans="2:14" ht="15" customHeight="1" x14ac:dyDescent="0.2">
      <c r="B25" s="31" t="inlineStr">
        <is>
          <t xml:space="preserve">DeOteris</t>
        </is>
      </c>
      <c r="C25" s="64">
        <v>12.2</v>
      </c>
      <c r="D25" s="40">
        <v>24</v>
      </c>
      <c r="E25" s="41">
        <v>0.375</v>
      </c>
      <c r="F25" s="65">
        <v>-0.125</v>
      </c>
      <c r="G25" s="42">
        <v>-1.53</v>
      </c>
      <c r="I25" s="31" t="inlineStr">
        <is>
          <t xml:space="preserve">DeOteris</t>
        </is>
      </c>
      <c r="J25" s="40">
        <v>20</v>
      </c>
      <c r="K25" s="65">
        <v>-0.0224</v>
      </c>
      <c r="L25" s="65">
        <v>-0.0458</v>
      </c>
      <c r="M25" s="65">
        <v>0.0064</v>
      </c>
      <c r="N25" s="41">
        <v>0.13</v>
      </c>
    </row>
    <row r="26" spans="2:14" ht="15" customHeight="1" x14ac:dyDescent="0.2">
      <c r="B26" s="34" t="inlineStr">
        <is>
          <t xml:space="preserve">Piegari</t>
        </is>
      </c>
      <c r="C26" s="66">
        <v>9.7</v>
      </c>
      <c r="D26" s="43">
        <v>19</v>
      </c>
      <c r="E26" s="44">
        <v>0.3421</v>
      </c>
      <c r="F26" s="67">
        <v>-0.1579</v>
      </c>
      <c r="G26" s="45">
        <v>-1.53</v>
      </c>
      <c r="I26" s="34" t="inlineStr">
        <is>
          <t xml:space="preserve">Hickerson</t>
        </is>
      </c>
      <c r="J26" s="43">
        <v>15</v>
      </c>
      <c r="K26" s="67">
        <v>-0.0268</v>
      </c>
      <c r="L26" s="67">
        <v>-0.0585</v>
      </c>
      <c r="M26" s="67">
        <v>0.0063</v>
      </c>
      <c r="N26" s="44">
        <v>0.0875</v>
      </c>
    </row>
    <row r="27" spans="2:14" ht="15" customHeight="1" x14ac:dyDescent="0.2">
      <c r="B27" s="31" t="inlineStr">
        <is>
          <t xml:space="preserve">Shively</t>
        </is>
      </c>
      <c r="C27" s="64">
        <v>16.8</v>
      </c>
      <c r="D27" s="40">
        <v>71</v>
      </c>
      <c r="E27" s="41">
        <v>0.3944</v>
      </c>
      <c r="F27" s="65">
        <v>-0.1056</v>
      </c>
      <c r="G27" s="42">
        <v>-1.78</v>
      </c>
      <c r="I27" s="31" t="inlineStr">
        <is>
          <t xml:space="preserve">Piegari</t>
        </is>
      </c>
      <c r="J27" s="40">
        <v>17</v>
      </c>
      <c r="K27" s="65">
        <v>-0.0318</v>
      </c>
      <c r="L27" s="65">
        <v>-0.0609</v>
      </c>
      <c r="M27" s="65">
        <v>0.0059</v>
      </c>
      <c r="N27" s="41">
        <v>0.095</v>
      </c>
    </row>
    <row r="28" spans="2:14" ht="15" customHeight="1" x14ac:dyDescent="0.2">
      <c r="B28" s="34" t="inlineStr">
        <is>
          <t xml:space="preserve">Fogan</t>
        </is>
      </c>
      <c r="C28" s="66">
        <v>22.4</v>
      </c>
      <c r="D28" s="43">
        <v>72</v>
      </c>
      <c r="E28" s="44">
        <v>0.4028</v>
      </c>
      <c r="F28" s="67">
        <v>-0.0972</v>
      </c>
      <c r="G28" s="45">
        <v>-2.18</v>
      </c>
      <c r="I28" s="34" t="inlineStr">
        <is>
          <t xml:space="preserve">Zimmer</t>
        </is>
      </c>
      <c r="J28" s="43">
        <v>59</v>
      </c>
      <c r="K28" s="67">
        <v>-0.0331</v>
      </c>
      <c r="L28" s="67">
        <v>-0.0769</v>
      </c>
      <c r="M28" s="67">
        <v>0.0111</v>
      </c>
      <c r="N28" s="44">
        <v>0.0975</v>
      </c>
    </row>
    <row r="29" spans="2:14" ht="15" customHeight="1" x14ac:dyDescent="0.2">
      <c r="B29" s="31" t="inlineStr">
        <is>
          <t xml:space="preserve">Connors</t>
        </is>
      </c>
      <c r="C29" s="64">
        <v>17</v>
      </c>
      <c r="D29" s="40">
        <v>59</v>
      </c>
      <c r="E29" s="41">
        <v>0.3475</v>
      </c>
      <c r="F29" s="65">
        <v>-0.1525</v>
      </c>
      <c r="G29" s="42">
        <v>-2.59</v>
      </c>
      <c r="I29" s="31" t="inlineStr">
        <is>
          <t xml:space="preserve">Mangold</t>
        </is>
      </c>
      <c r="J29" s="40">
        <v>63</v>
      </c>
      <c r="K29" s="65">
        <v>-0.0605</v>
      </c>
      <c r="L29" s="65">
        <v>-0.1064</v>
      </c>
      <c r="M29" s="65">
        <v>-0.0138</v>
      </c>
      <c r="N29" s="41">
        <v>0.0175</v>
      </c>
    </row>
    <row r="30" spans="2:14" ht="15" customHeight="1" x14ac:dyDescent="0.2">
      <c r="B30" s="34" t="inlineStr">
        <is>
          <t xml:space="preserve">Hickerson</t>
        </is>
      </c>
      <c r="C30" s="66">
        <v>20</v>
      </c>
      <c r="D30" s="43">
        <v>21</v>
      </c>
      <c r="E30" s="44">
        <v>0.3571</v>
      </c>
      <c r="F30" s="67">
        <v>-0.1429</v>
      </c>
      <c r="G30" s="45">
        <v>-2.86</v>
      </c>
      <c r="I30" s="34" t="inlineStr">
        <is>
          <t xml:space="preserve">Shively</t>
        </is>
      </c>
      <c r="J30" s="43">
        <v>61</v>
      </c>
      <c r="K30" s="67">
        <v>-0.0618</v>
      </c>
      <c r="L30" s="67">
        <v>-0.1091</v>
      </c>
      <c r="M30" s="67">
        <v>-0.0114</v>
      </c>
      <c r="N30" s="44">
        <v>0.02</v>
      </c>
    </row>
    <row r="31" spans="2:14" ht="15" customHeight="1" x14ac:dyDescent="0.2">
      <c r="I31" s="31" t="inlineStr">
        <is>
          <t xml:space="preserve">Connors</t>
        </is>
      </c>
      <c r="J31" s="40">
        <v>51</v>
      </c>
      <c r="K31" s="65">
        <v>-0.0824</v>
      </c>
      <c r="L31" s="65">
        <v>-0.1244</v>
      </c>
      <c r="M31" s="65">
        <v>-0.0363</v>
      </c>
      <c r="N31" s="41">
        <v>0</v>
      </c>
    </row>
  </sheetData>
  <mergeCells count="2">
    <mergeCell ref="I2:N2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6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9" sqref="B39"/>
    </sheetView>
  </sheetViews>
  <sheetFormatPr baseColWidth="10" defaultColWidth="8.6640625" defaultRowHeight="15" x14ac:dyDescent="0.2"/>
  <cols>
    <col min="2" max="2" width="22" customWidth="1"/>
    <col min="3" max="3" width="9" customWidth="1"/>
    <col min="4" max="4" width="12" customWidth="1"/>
    <col min="5" max="5" width="10" customWidth="1"/>
    <col min="6" max="6" width="11" customWidth="1"/>
  </cols>
  <sheetData>
    <row r="1" spans="2:6" ht="21.75" customHeight="1" x14ac:dyDescent="0.25">
      <c r="B1" s="63" t="s">
        <v>755</v>
      </c>
    </row>
    <row r="2" spans="2:6" ht="25.5" customHeight="1" x14ac:dyDescent="0.2">
      <c r="B2" s="94" t="s">
        <v>756</v>
      </c>
      <c r="C2" s="94"/>
      <c r="D2" s="94"/>
      <c r="E2" s="94"/>
      <c r="F2" s="94"/>
    </row>
    <row r="4" spans="2:6" ht="15" customHeight="1" x14ac:dyDescent="0.2">
      <c r="B4" s="30" t="s">
        <v>757</v>
      </c>
      <c r="C4" s="30" t="s">
        <v>718</v>
      </c>
      <c r="D4" s="30" t="s">
        <v>758</v>
      </c>
      <c r="E4" s="30" t="s">
        <v>759</v>
      </c>
      <c r="F4" s="30" t="s">
        <v>760</v>
      </c>
    </row>
    <row r="5" spans="2:6" ht="15" customHeight="1" x14ac:dyDescent="0.2">
      <c r="B5" s="31" t="inlineStr">
        <is>
          <t xml:space="preserve">Mangold / Perkins</t>
        </is>
      </c>
      <c r="C5" s="40">
        <v>4</v>
      </c>
      <c r="D5" s="41">
        <v>0.875</v>
      </c>
      <c r="E5" s="41">
        <v>0.4945</v>
      </c>
      <c r="F5" s="65">
        <v>0.3805</v>
      </c>
    </row>
    <row r="6" spans="2:6" ht="15" customHeight="1" x14ac:dyDescent="0.2">
      <c r="B6" s="34" t="inlineStr">
        <is>
          <t xml:space="preserve">Ferrin / Flanders</t>
        </is>
      </c>
      <c r="C6" s="43">
        <v>8</v>
      </c>
      <c r="D6" s="44">
        <v>0.875</v>
      </c>
      <c r="E6" s="44">
        <v>0.5357</v>
      </c>
      <c r="F6" s="67">
        <v>0.3393</v>
      </c>
    </row>
    <row r="7" spans="2:6" ht="15" customHeight="1" x14ac:dyDescent="0.2">
      <c r="B7" s="31" t="inlineStr">
        <is>
          <t xml:space="preserve">Delaney / Perkins</t>
        </is>
      </c>
      <c r="C7" s="40">
        <v>4</v>
      </c>
      <c r="D7" s="41">
        <v>0.875</v>
      </c>
      <c r="E7" s="41">
        <v>0.5403</v>
      </c>
      <c r="F7" s="65">
        <v>0.3347</v>
      </c>
    </row>
    <row r="8" spans="2:6" ht="15" customHeight="1" x14ac:dyDescent="0.2">
      <c r="B8" s="34" t="inlineStr">
        <is>
          <t xml:space="preserve">Connolly / Jackson</t>
        </is>
      </c>
      <c r="C8" s="43">
        <v>4</v>
      </c>
      <c r="D8" s="44">
        <v>0.875</v>
      </c>
      <c r="E8" s="44">
        <v>0.6039</v>
      </c>
      <c r="F8" s="67">
        <v>0.2711</v>
      </c>
    </row>
    <row r="9" spans="2:6" ht="15" customHeight="1" x14ac:dyDescent="0.2">
      <c r="B9" s="31" t="inlineStr">
        <is>
          <t xml:space="preserve">Connolly / R. Connolly</t>
        </is>
      </c>
      <c r="C9" s="40">
        <v>4</v>
      </c>
      <c r="D9" s="41">
        <v>0.75</v>
      </c>
      <c r="E9" s="41">
        <v>0.5355</v>
      </c>
      <c r="F9" s="65">
        <v>0.2145</v>
      </c>
    </row>
    <row r="10" spans="2:6" ht="15" customHeight="1" x14ac:dyDescent="0.2">
      <c r="B10" s="34" t="inlineStr">
        <is>
          <t xml:space="preserve">Bussiculo / Shively</t>
        </is>
      </c>
      <c r="C10" s="43">
        <v>4</v>
      </c>
      <c r="D10" s="44">
        <v>0.625</v>
      </c>
      <c r="E10" s="44">
        <v>0.4213</v>
      </c>
      <c r="F10" s="67">
        <v>0.2037</v>
      </c>
    </row>
    <row r="11" spans="2:6" ht="15" customHeight="1" x14ac:dyDescent="0.2">
      <c r="B11" s="31" t="inlineStr">
        <is>
          <t xml:space="preserve">Connors / Welker</t>
        </is>
      </c>
      <c r="C11" s="40">
        <v>4</v>
      </c>
      <c r="D11" s="41">
        <v>0.625</v>
      </c>
      <c r="E11" s="41">
        <v>0.4328</v>
      </c>
      <c r="F11" s="65">
        <v>0.1922</v>
      </c>
    </row>
    <row r="12" spans="2:6" ht="15" customHeight="1" x14ac:dyDescent="0.2">
      <c r="B12" s="34" t="inlineStr">
        <is>
          <t xml:space="preserve">DeOteris / Ferrin</t>
        </is>
      </c>
      <c r="C12" s="43">
        <v>6</v>
      </c>
      <c r="D12" s="44">
        <v>0.6667</v>
      </c>
      <c r="E12" s="44">
        <v>0.4797</v>
      </c>
      <c r="F12" s="67">
        <v>0.187</v>
      </c>
    </row>
    <row r="13" spans="2:6" ht="15" customHeight="1" x14ac:dyDescent="0.2">
      <c r="B13" s="31" t="inlineStr">
        <is>
          <t xml:space="preserve">Hilts / Lynch</t>
        </is>
      </c>
      <c r="C13" s="40">
        <v>11</v>
      </c>
      <c r="D13" s="41">
        <v>0.6818</v>
      </c>
      <c r="E13" s="41">
        <v>0.5027</v>
      </c>
      <c r="F13" s="65">
        <v>0.1791</v>
      </c>
    </row>
    <row r="14" spans="2:6" ht="15" customHeight="1" x14ac:dyDescent="0.2">
      <c r="B14" s="34" t="inlineStr">
        <is>
          <t xml:space="preserve">Connolly / Grise</t>
        </is>
      </c>
      <c r="C14" s="43">
        <v>4</v>
      </c>
      <c r="D14" s="44">
        <v>0.75</v>
      </c>
      <c r="E14" s="44">
        <v>0.5714</v>
      </c>
      <c r="F14" s="67">
        <v>0.1786</v>
      </c>
    </row>
    <row r="15" spans="2:6" ht="15" customHeight="1" x14ac:dyDescent="0.2">
      <c r="B15" s="31" t="inlineStr">
        <is>
          <t xml:space="preserve">Grise / Hickerson</t>
        </is>
      </c>
      <c r="C15" s="40">
        <v>4</v>
      </c>
      <c r="D15" s="41">
        <v>0.625</v>
      </c>
      <c r="E15" s="41">
        <v>0.4513</v>
      </c>
      <c r="F15" s="65">
        <v>0.1737</v>
      </c>
    </row>
    <row r="16" spans="2:6" ht="15" customHeight="1" x14ac:dyDescent="0.2">
      <c r="B16" s="34" t="inlineStr">
        <is>
          <t xml:space="preserve">Grise / Jackson</t>
        </is>
      </c>
      <c r="C16" s="43">
        <v>10</v>
      </c>
      <c r="D16" s="44">
        <v>0.75</v>
      </c>
      <c r="E16" s="44">
        <v>0.5779</v>
      </c>
      <c r="F16" s="67">
        <v>0.1721</v>
      </c>
    </row>
    <row r="17" spans="2:6" ht="15" customHeight="1" x14ac:dyDescent="0.2">
      <c r="B17" s="31" t="inlineStr">
        <is>
          <t xml:space="preserve">Connolly / Shively</t>
        </is>
      </c>
      <c r="C17" s="40">
        <v>6</v>
      </c>
      <c r="D17" s="41">
        <v>0.6667</v>
      </c>
      <c r="E17" s="41">
        <v>0.4959</v>
      </c>
      <c r="F17" s="65">
        <v>0.1708</v>
      </c>
    </row>
    <row r="18" spans="2:6" ht="15" customHeight="1" x14ac:dyDescent="0.2">
      <c r="B18" s="34" t="inlineStr">
        <is>
          <t xml:space="preserve">Delaney / Mangold</t>
        </is>
      </c>
      <c r="C18" s="43">
        <v>4</v>
      </c>
      <c r="D18" s="44">
        <v>0.625</v>
      </c>
      <c r="E18" s="44">
        <v>0.4542</v>
      </c>
      <c r="F18" s="67">
        <v>0.1708</v>
      </c>
    </row>
    <row r="19" spans="2:6" ht="15" customHeight="1" x14ac:dyDescent="0.2">
      <c r="B19" s="31" t="inlineStr">
        <is>
          <t xml:space="preserve">Mangold / Welker</t>
        </is>
      </c>
      <c r="C19" s="40">
        <v>4</v>
      </c>
      <c r="D19" s="41">
        <v>0.625</v>
      </c>
      <c r="E19" s="41">
        <v>0.4633</v>
      </c>
      <c r="F19" s="65">
        <v>0.1617</v>
      </c>
    </row>
    <row r="20" spans="2:6" ht="15" customHeight="1" x14ac:dyDescent="0.2">
      <c r="B20" s="34" t="inlineStr">
        <is>
          <t xml:space="preserve">Cole / McInerney</t>
        </is>
      </c>
      <c r="C20" s="43">
        <v>4</v>
      </c>
      <c r="D20" s="44">
        <v>0.625</v>
      </c>
      <c r="E20" s="44">
        <v>0.4677</v>
      </c>
      <c r="F20" s="67">
        <v>0.1573</v>
      </c>
    </row>
    <row r="21" spans="2:6" ht="15" customHeight="1" x14ac:dyDescent="0.2">
      <c r="B21" s="31" t="inlineStr">
        <is>
          <t xml:space="preserve">Connolly / Connors</t>
        </is>
      </c>
      <c r="C21" s="40">
        <v>4</v>
      </c>
      <c r="D21" s="41">
        <v>0.625</v>
      </c>
      <c r="E21" s="41">
        <v>0.4724</v>
      </c>
      <c r="F21" s="65">
        <v>0.1526</v>
      </c>
    </row>
    <row r="22" spans="2:6" ht="15" customHeight="1" x14ac:dyDescent="0.2">
      <c r="B22" s="34" t="inlineStr">
        <is>
          <t xml:space="preserve">Fogan / Welker</t>
        </is>
      </c>
      <c r="C22" s="43">
        <v>5</v>
      </c>
      <c r="D22" s="44">
        <v>0.6</v>
      </c>
      <c r="E22" s="44">
        <v>0.4605</v>
      </c>
      <c r="F22" s="67">
        <v>0.1395</v>
      </c>
    </row>
    <row r="23" spans="2:6" ht="15" customHeight="1" x14ac:dyDescent="0.2">
      <c r="B23" s="31" t="inlineStr">
        <is>
          <t xml:space="preserve">Flanders / Poirier</t>
        </is>
      </c>
      <c r="C23" s="40">
        <v>4</v>
      </c>
      <c r="D23" s="41">
        <v>0.625</v>
      </c>
      <c r="E23" s="41">
        <v>0.5037</v>
      </c>
      <c r="F23" s="65">
        <v>0.1213</v>
      </c>
    </row>
    <row r="24" spans="2:6" ht="15" customHeight="1" x14ac:dyDescent="0.2">
      <c r="B24" s="34" t="inlineStr">
        <is>
          <t xml:space="preserve">Delneky / Fogan</t>
        </is>
      </c>
      <c r="C24" s="43">
        <v>4</v>
      </c>
      <c r="D24" s="44">
        <v>0.625</v>
      </c>
      <c r="E24" s="44">
        <v>0.5139</v>
      </c>
      <c r="F24" s="67">
        <v>0.1111</v>
      </c>
    </row>
    <row r="25" spans="2:6" ht="15" customHeight="1" x14ac:dyDescent="0.2">
      <c r="B25" s="31" t="inlineStr">
        <is>
          <t xml:space="preserve">Connolly / Forster</t>
        </is>
      </c>
      <c r="C25" s="40">
        <v>8</v>
      </c>
      <c r="D25" s="41">
        <v>0.6875</v>
      </c>
      <c r="E25" s="41">
        <v>0.591</v>
      </c>
      <c r="F25" s="65">
        <v>0.0965</v>
      </c>
    </row>
    <row r="26" spans="2:6" ht="15" customHeight="1" x14ac:dyDescent="0.2">
      <c r="B26" s="34" t="inlineStr">
        <is>
          <t xml:space="preserve">Grise / Poirier</t>
        </is>
      </c>
      <c r="C26" s="43">
        <v>4</v>
      </c>
      <c r="D26" s="44">
        <v>0.625</v>
      </c>
      <c r="E26" s="44">
        <v>0.5329</v>
      </c>
      <c r="F26" s="67">
        <v>0.0921</v>
      </c>
    </row>
    <row r="27" spans="2:6" ht="15" customHeight="1" x14ac:dyDescent="0.2">
      <c r="B27" s="31" t="inlineStr">
        <is>
          <t xml:space="preserve">Norat / Welker</t>
        </is>
      </c>
      <c r="C27" s="40">
        <v>4</v>
      </c>
      <c r="D27" s="41">
        <v>0.625</v>
      </c>
      <c r="E27" s="41">
        <v>0.5448</v>
      </c>
      <c r="F27" s="65">
        <v>0.0802</v>
      </c>
    </row>
    <row r="28" spans="2:6" ht="15" customHeight="1" x14ac:dyDescent="0.2">
      <c r="B28" s="34" t="inlineStr">
        <is>
          <t xml:space="preserve">Norat / Zimmer</t>
        </is>
      </c>
      <c r="C28" s="43">
        <v>6</v>
      </c>
      <c r="D28" s="44">
        <v>0.5833</v>
      </c>
      <c r="E28" s="44">
        <v>0.5096</v>
      </c>
      <c r="F28" s="67">
        <v>0.0737</v>
      </c>
    </row>
    <row r="29" spans="2:6" ht="15" customHeight="1" x14ac:dyDescent="0.2">
      <c r="B29" s="31" t="inlineStr">
        <is>
          <t xml:space="preserve">Hickerson / Lynch</t>
        </is>
      </c>
      <c r="C29" s="40">
        <v>4</v>
      </c>
      <c r="D29" s="41">
        <v>0.5</v>
      </c>
      <c r="E29" s="41">
        <v>0.4383</v>
      </c>
      <c r="F29" s="65">
        <v>0.0617</v>
      </c>
    </row>
    <row r="30" spans="2:6" ht="15" customHeight="1" x14ac:dyDescent="0.2">
      <c r="B30" s="34" t="inlineStr">
        <is>
          <t xml:space="preserve">Ferrin / Grise</t>
        </is>
      </c>
      <c r="C30" s="43">
        <v>4</v>
      </c>
      <c r="D30" s="44">
        <v>0.625</v>
      </c>
      <c r="E30" s="44">
        <v>0.5649</v>
      </c>
      <c r="F30" s="67">
        <v>0.0601</v>
      </c>
    </row>
    <row r="31" spans="2:6" ht="15" customHeight="1" x14ac:dyDescent="0.2">
      <c r="B31" s="31" t="inlineStr">
        <is>
          <t xml:space="preserve">Gray / Welker</t>
        </is>
      </c>
      <c r="C31" s="40">
        <v>4</v>
      </c>
      <c r="D31" s="41">
        <v>0.625</v>
      </c>
      <c r="E31" s="41">
        <v>0.5716</v>
      </c>
      <c r="F31" s="65">
        <v>0.0534</v>
      </c>
    </row>
    <row r="32" spans="2:6" ht="15" customHeight="1" x14ac:dyDescent="0.2">
      <c r="B32" s="34" t="inlineStr">
        <is>
          <t xml:space="preserve">Fogan / Weisberger</t>
        </is>
      </c>
      <c r="C32" s="43">
        <v>6</v>
      </c>
      <c r="D32" s="44">
        <v>0.5</v>
      </c>
      <c r="E32" s="44">
        <v>0.4514</v>
      </c>
      <c r="F32" s="67">
        <v>0.0486</v>
      </c>
    </row>
    <row r="33" spans="2:6" ht="15" customHeight="1" x14ac:dyDescent="0.2">
      <c r="B33" s="31" t="inlineStr">
        <is>
          <t xml:space="preserve">Gray / Zimmer</t>
        </is>
      </c>
      <c r="C33" s="40">
        <v>6</v>
      </c>
      <c r="D33" s="41">
        <v>0.5833</v>
      </c>
      <c r="E33" s="41">
        <v>0.5364</v>
      </c>
      <c r="F33" s="65">
        <v>0.047</v>
      </c>
    </row>
    <row r="34" spans="2:6" ht="15" customHeight="1" x14ac:dyDescent="0.2">
      <c r="B34" s="34" t="inlineStr">
        <is>
          <t xml:space="preserve">Lynch / Mangold</t>
        </is>
      </c>
      <c r="C34" s="43">
        <v>4</v>
      </c>
      <c r="D34" s="44">
        <v>0.5</v>
      </c>
      <c r="E34" s="44">
        <v>0.464</v>
      </c>
      <c r="F34" s="67">
        <v>0.036</v>
      </c>
    </row>
    <row r="35" spans="2:6" ht="15" customHeight="1" x14ac:dyDescent="0.2">
      <c r="B35" s="31" t="inlineStr">
        <is>
          <t xml:space="preserve">Connolly / Hilts</t>
        </is>
      </c>
      <c r="C35" s="40">
        <v>7</v>
      </c>
      <c r="D35" s="41">
        <v>0.5714</v>
      </c>
      <c r="E35" s="41">
        <v>0.5417</v>
      </c>
      <c r="F35" s="65">
        <v>0.0298</v>
      </c>
    </row>
    <row r="36" spans="2:6" ht="15" customHeight="1" x14ac:dyDescent="0.2">
      <c r="B36" s="34" t="inlineStr">
        <is>
          <t xml:space="preserve">Connors / Jackson</t>
        </is>
      </c>
      <c r="C36" s="43">
        <v>6</v>
      </c>
      <c r="D36" s="44">
        <v>0.5</v>
      </c>
      <c r="E36" s="44">
        <v>0.4789</v>
      </c>
      <c r="F36" s="67">
        <v>0.0211</v>
      </c>
    </row>
    <row r="37" spans="2:6" ht="15" customHeight="1" x14ac:dyDescent="0.2">
      <c r="B37" s="31" t="inlineStr">
        <is>
          <t xml:space="preserve">Ferrin / Shively</t>
        </is>
      </c>
      <c r="C37" s="40">
        <v>4</v>
      </c>
      <c r="D37" s="41">
        <v>0.5</v>
      </c>
      <c r="E37" s="41">
        <v>0.4894</v>
      </c>
      <c r="F37" s="65">
        <v>0.0106</v>
      </c>
    </row>
    <row r="38" spans="2:6" ht="15" customHeight="1" x14ac:dyDescent="0.2">
      <c r="B38" s="34" t="inlineStr">
        <is>
          <t xml:space="preserve">Delaney / Hilts</t>
        </is>
      </c>
      <c r="C38" s="43">
        <v>6</v>
      </c>
      <c r="D38" s="44">
        <v>0.5</v>
      </c>
      <c r="E38" s="44">
        <v>0.493</v>
      </c>
      <c r="F38" s="67">
        <v>0.007</v>
      </c>
    </row>
    <row r="39" spans="2:6" ht="15" customHeight="1" x14ac:dyDescent="0.2">
      <c r="B39" s="31" t="inlineStr">
        <is>
          <t xml:space="preserve">Ferrin / Jackson</t>
        </is>
      </c>
      <c r="C39" s="40">
        <v>15</v>
      </c>
      <c r="D39" s="41">
        <v>0.6</v>
      </c>
      <c r="E39" s="41">
        <v>0.5974</v>
      </c>
      <c r="F39" s="65">
        <v>0.0026</v>
      </c>
    </row>
    <row r="40" spans="2:6" ht="15" customHeight="1" x14ac:dyDescent="0.2">
      <c r="B40" s="34" t="inlineStr">
        <is>
          <t xml:space="preserve">Connors / Mangold</t>
        </is>
      </c>
      <c r="C40" s="43">
        <v>4</v>
      </c>
      <c r="D40" s="44">
        <v>0.375</v>
      </c>
      <c r="E40" s="44">
        <v>0.378</v>
      </c>
      <c r="F40" s="67">
        <v>-0.003</v>
      </c>
    </row>
    <row r="41" spans="2:6" ht="15" customHeight="1" x14ac:dyDescent="0.2">
      <c r="B41" s="31" t="inlineStr">
        <is>
          <t xml:space="preserve">Hilts / Poirier</t>
        </is>
      </c>
      <c r="C41" s="40">
        <v>6</v>
      </c>
      <c r="D41" s="41">
        <v>0.5</v>
      </c>
      <c r="E41" s="41">
        <v>0.5032</v>
      </c>
      <c r="F41" s="65">
        <v>-0.0032</v>
      </c>
    </row>
    <row r="42" spans="2:6" ht="15" customHeight="1" x14ac:dyDescent="0.2">
      <c r="B42" s="34" t="inlineStr">
        <is>
          <t xml:space="preserve">Bussiculo / Mangold</t>
        </is>
      </c>
      <c r="C42" s="43">
        <v>6</v>
      </c>
      <c r="D42" s="44">
        <v>0.4167</v>
      </c>
      <c r="E42" s="44">
        <v>0.4284</v>
      </c>
      <c r="F42" s="67">
        <v>-0.0117</v>
      </c>
    </row>
    <row r="43" spans="2:6" ht="15" customHeight="1" x14ac:dyDescent="0.2">
      <c r="B43" s="31" t="inlineStr">
        <is>
          <t xml:space="preserve">Gray / Norat</t>
        </is>
      </c>
      <c r="C43" s="40">
        <v>6</v>
      </c>
      <c r="D43" s="41">
        <v>0.5833</v>
      </c>
      <c r="E43" s="41">
        <v>0.5982</v>
      </c>
      <c r="F43" s="65">
        <v>-0.0149</v>
      </c>
    </row>
    <row r="44" spans="2:6" ht="15" customHeight="1" x14ac:dyDescent="0.2">
      <c r="B44" s="34" t="inlineStr">
        <is>
          <t xml:space="preserve">Cole / Ferrin</t>
        </is>
      </c>
      <c r="C44" s="43">
        <v>6</v>
      </c>
      <c r="D44" s="44">
        <v>0.5</v>
      </c>
      <c r="E44" s="44">
        <v>0.5191</v>
      </c>
      <c r="F44" s="67">
        <v>-0.0191</v>
      </c>
    </row>
    <row r="45" spans="2:6" ht="15" customHeight="1" x14ac:dyDescent="0.2">
      <c r="B45" s="31" t="inlineStr">
        <is>
          <t xml:space="preserve">Connolly / Zimmer</t>
        </is>
      </c>
      <c r="C45" s="40">
        <v>4</v>
      </c>
      <c r="D45" s="41">
        <v>0.5</v>
      </c>
      <c r="E45" s="41">
        <v>0.5226</v>
      </c>
      <c r="F45" s="65">
        <v>-0.0226</v>
      </c>
    </row>
    <row r="46" spans="2:6" ht="15" customHeight="1" x14ac:dyDescent="0.2">
      <c r="B46" s="34" t="inlineStr">
        <is>
          <t xml:space="preserve">Cole / Jackson</t>
        </is>
      </c>
      <c r="C46" s="43">
        <v>4</v>
      </c>
      <c r="D46" s="44">
        <v>0.5</v>
      </c>
      <c r="E46" s="44">
        <v>0.5321</v>
      </c>
      <c r="F46" s="67">
        <v>-0.0321</v>
      </c>
    </row>
    <row r="47" spans="2:6" ht="15" customHeight="1" x14ac:dyDescent="0.2">
      <c r="B47" s="31" t="inlineStr">
        <is>
          <t xml:space="preserve">Macklin / Poirier</t>
        </is>
      </c>
      <c r="C47" s="40">
        <v>4</v>
      </c>
      <c r="D47" s="41">
        <v>0.375</v>
      </c>
      <c r="E47" s="41">
        <v>0.4102</v>
      </c>
      <c r="F47" s="65">
        <v>-0.0352</v>
      </c>
    </row>
    <row r="48" spans="2:6" ht="15" customHeight="1" x14ac:dyDescent="0.2">
      <c r="B48" s="34" t="inlineStr">
        <is>
          <t xml:space="preserve">Flanders / Forster</t>
        </is>
      </c>
      <c r="C48" s="43">
        <v>14</v>
      </c>
      <c r="D48" s="44">
        <v>0.5</v>
      </c>
      <c r="E48" s="44">
        <v>0.5358</v>
      </c>
      <c r="F48" s="67">
        <v>-0.0358</v>
      </c>
    </row>
    <row r="49" spans="2:6" ht="15" customHeight="1" x14ac:dyDescent="0.2">
      <c r="B49" s="31" t="inlineStr">
        <is>
          <t xml:space="preserve">DeOteris / Zimmer</t>
        </is>
      </c>
      <c r="C49" s="40">
        <v>4</v>
      </c>
      <c r="D49" s="41">
        <v>0.375</v>
      </c>
      <c r="E49" s="41">
        <v>0.4114</v>
      </c>
      <c r="F49" s="65">
        <v>-0.0364</v>
      </c>
    </row>
    <row r="50" spans="2:6" ht="15" customHeight="1" x14ac:dyDescent="0.2">
      <c r="B50" s="34" t="inlineStr">
        <is>
          <t xml:space="preserve">Delneky / R. Connolly</t>
        </is>
      </c>
      <c r="C50" s="43">
        <v>4</v>
      </c>
      <c r="D50" s="44">
        <v>0.5</v>
      </c>
      <c r="E50" s="44">
        <v>0.5493</v>
      </c>
      <c r="F50" s="67">
        <v>-0.0493</v>
      </c>
    </row>
    <row r="51" spans="2:6" ht="15" customHeight="1" x14ac:dyDescent="0.2">
      <c r="B51" s="31" t="inlineStr">
        <is>
          <t xml:space="preserve">Gray / McInerney</t>
        </is>
      </c>
      <c r="C51" s="40">
        <v>4</v>
      </c>
      <c r="D51" s="41">
        <v>0.5</v>
      </c>
      <c r="E51" s="41">
        <v>0.5532</v>
      </c>
      <c r="F51" s="65">
        <v>-0.0532</v>
      </c>
    </row>
    <row r="52" spans="2:6" ht="15" customHeight="1" x14ac:dyDescent="0.2">
      <c r="B52" s="34" t="inlineStr">
        <is>
          <t xml:space="preserve">McInerney / Shively</t>
        </is>
      </c>
      <c r="C52" s="43">
        <v>8</v>
      </c>
      <c r="D52" s="44">
        <v>0.375</v>
      </c>
      <c r="E52" s="44">
        <v>0.4379</v>
      </c>
      <c r="F52" s="67">
        <v>-0.0629</v>
      </c>
    </row>
    <row r="53" spans="2:6" ht="15" customHeight="1" x14ac:dyDescent="0.2">
      <c r="B53" s="31" t="inlineStr">
        <is>
          <t xml:space="preserve">Cole / Lynch</t>
        </is>
      </c>
      <c r="C53" s="40">
        <v>6</v>
      </c>
      <c r="D53" s="41">
        <v>0.4167</v>
      </c>
      <c r="E53" s="41">
        <v>0.4867</v>
      </c>
      <c r="F53" s="65">
        <v>-0.07</v>
      </c>
    </row>
    <row r="54" spans="2:6" ht="15" customHeight="1" x14ac:dyDescent="0.2">
      <c r="B54" s="34" t="inlineStr">
        <is>
          <t xml:space="preserve">Forster / Norat</t>
        </is>
      </c>
      <c r="C54" s="43">
        <v>4</v>
      </c>
      <c r="D54" s="44">
        <v>0.5</v>
      </c>
      <c r="E54" s="44">
        <v>0.578</v>
      </c>
      <c r="F54" s="67">
        <v>-0.078</v>
      </c>
    </row>
    <row r="55" spans="2:6" ht="15" customHeight="1" x14ac:dyDescent="0.2">
      <c r="B55" s="31" t="inlineStr">
        <is>
          <t xml:space="preserve">Connolly / Delneky</t>
        </is>
      </c>
      <c r="C55" s="40">
        <v>4</v>
      </c>
      <c r="D55" s="41">
        <v>0.5</v>
      </c>
      <c r="E55" s="41">
        <v>0.6112</v>
      </c>
      <c r="F55" s="65">
        <v>-0.1112</v>
      </c>
    </row>
    <row r="56" spans="2:6" ht="15" customHeight="1" x14ac:dyDescent="0.2">
      <c r="B56" s="34" t="inlineStr">
        <is>
          <t xml:space="preserve">Flanders / Mangold</t>
        </is>
      </c>
      <c r="C56" s="43">
        <v>6</v>
      </c>
      <c r="D56" s="44">
        <v>0.3333</v>
      </c>
      <c r="E56" s="44">
        <v>0.4477</v>
      </c>
      <c r="F56" s="67">
        <v>-0.1144</v>
      </c>
    </row>
    <row r="57" spans="2:6" ht="15" customHeight="1" x14ac:dyDescent="0.2">
      <c r="B57" s="31" t="inlineStr">
        <is>
          <t xml:space="preserve">Fogan / Lynch</t>
        </is>
      </c>
      <c r="C57" s="40">
        <v>6</v>
      </c>
      <c r="D57" s="41">
        <v>0.3333</v>
      </c>
      <c r="E57" s="41">
        <v>0.4611</v>
      </c>
      <c r="F57" s="65">
        <v>-0.1278</v>
      </c>
    </row>
    <row r="58" spans="2:6" ht="15" customHeight="1" x14ac:dyDescent="0.2">
      <c r="B58" s="34" t="inlineStr">
        <is>
          <t xml:space="preserve">Lynch / Perkins</t>
        </is>
      </c>
      <c r="C58" s="43">
        <v>4</v>
      </c>
      <c r="D58" s="44">
        <v>0.375</v>
      </c>
      <c r="E58" s="44">
        <v>0.5501</v>
      </c>
      <c r="F58" s="67">
        <v>-0.1751</v>
      </c>
    </row>
    <row r="59" spans="2:6" ht="15" customHeight="1" x14ac:dyDescent="0.2">
      <c r="B59" s="31" t="inlineStr">
        <is>
          <t xml:space="preserve">Grise / Mangold</t>
        </is>
      </c>
      <c r="C59" s="40">
        <v>4</v>
      </c>
      <c r="D59" s="41">
        <v>0.25</v>
      </c>
      <c r="E59" s="41">
        <v>0.477</v>
      </c>
      <c r="F59" s="65">
        <v>-0.227</v>
      </c>
    </row>
    <row r="60" spans="2:6" ht="15" customHeight="1" x14ac:dyDescent="0.2">
      <c r="B60" s="34" t="inlineStr">
        <is>
          <t xml:space="preserve">Flanders / Hilts</t>
        </is>
      </c>
      <c r="C60" s="43">
        <v>4</v>
      </c>
      <c r="D60" s="44">
        <v>0.25</v>
      </c>
      <c r="E60" s="44">
        <v>0.4865</v>
      </c>
      <c r="F60" s="67">
        <v>-0.2365</v>
      </c>
    </row>
    <row r="61" spans="2:6" ht="15" customHeight="1" x14ac:dyDescent="0.2">
      <c r="B61" s="31" t="inlineStr">
        <is>
          <t xml:space="preserve">Cole / Poirier</t>
        </is>
      </c>
      <c r="C61" s="40">
        <v>4</v>
      </c>
      <c r="D61" s="41">
        <v>0.25</v>
      </c>
      <c r="E61" s="41">
        <v>0.4871</v>
      </c>
      <c r="F61" s="65">
        <v>-0.2371</v>
      </c>
    </row>
    <row r="62" spans="2:6" ht="15" customHeight="1" x14ac:dyDescent="0.2">
      <c r="B62" s="34" t="inlineStr">
        <is>
          <t xml:space="preserve">Connors / Grise</t>
        </is>
      </c>
      <c r="C62" s="43">
        <v>5</v>
      </c>
      <c r="D62" s="44">
        <v>0.2</v>
      </c>
      <c r="E62" s="44">
        <v>0.4465</v>
      </c>
      <c r="F62" s="67">
        <v>-0.2465</v>
      </c>
    </row>
    <row r="63" spans="2:6" ht="15" customHeight="1" x14ac:dyDescent="0.2">
      <c r="B63" s="31" t="inlineStr">
        <is>
          <t xml:space="preserve">Fogan / Hilts</t>
        </is>
      </c>
      <c r="C63" s="40">
        <v>6</v>
      </c>
      <c r="D63" s="41">
        <v>0.1667</v>
      </c>
      <c r="E63" s="41">
        <v>0.4443</v>
      </c>
      <c r="F63" s="65">
        <v>-0.2777</v>
      </c>
    </row>
    <row r="64" spans="2:6" ht="15" customHeight="1" x14ac:dyDescent="0.2">
      <c r="B64" s="34" t="inlineStr">
        <is>
          <t xml:space="preserve">Cole / Connors</t>
        </is>
      </c>
      <c r="C64" s="43">
        <v>4</v>
      </c>
      <c r="D64" s="44">
        <v>0</v>
      </c>
      <c r="E64" s="44">
        <v>0.4007</v>
      </c>
      <c r="F64" s="67">
        <v>-0.4007</v>
      </c>
    </row>
    <row r="65" spans="2:6" ht="15" customHeight="1" x14ac:dyDescent="0.2">
      <c r="B65" s="31" t="inlineStr">
        <is>
          <t xml:space="preserve">Fogan / McInerney</t>
        </is>
      </c>
      <c r="C65" s="40">
        <v>4</v>
      </c>
      <c r="D65" s="41">
        <v>0</v>
      </c>
      <c r="E65" s="41">
        <v>0.4421</v>
      </c>
      <c r="F65" s="65">
        <v>-0.4421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1" sqref="B31"/>
    </sheetView>
  </sheetViews>
  <sheetFormatPr baseColWidth="10" defaultColWidth="8.6640625" defaultRowHeight="15" x14ac:dyDescent="0.2"/>
  <cols>
    <col min="2" max="2" width="13" customWidth="1"/>
    <col min="3" max="4" width="9" customWidth="1"/>
    <col min="5" max="5" width="18" customWidth="1"/>
    <col min="6" max="6" width="11" customWidth="1"/>
  </cols>
  <sheetData>
    <row r="1" spans="2:6" ht="21.75" customHeight="1" x14ac:dyDescent="0.25">
      <c r="B1" s="63" t="s">
        <v>810</v>
      </c>
    </row>
    <row r="2" spans="2:6" ht="25.5" customHeight="1" x14ac:dyDescent="0.2">
      <c r="B2" s="94" t="s">
        <v>811</v>
      </c>
      <c r="C2" s="94"/>
      <c r="D2" s="94"/>
      <c r="E2" s="94"/>
      <c r="F2" s="94"/>
    </row>
    <row r="4" spans="2:6" ht="15" customHeight="1" x14ac:dyDescent="0.2">
      <c r="B4" s="30" t="s">
        <v>674</v>
      </c>
      <c r="C4" s="30" t="s">
        <v>718</v>
      </c>
      <c r="D4" s="30" t="s">
        <v>717</v>
      </c>
      <c r="E4" s="30" t="s">
        <v>812</v>
      </c>
      <c r="F4" s="30" t="s">
        <v>813</v>
      </c>
    </row>
    <row r="5" spans="2:6" ht="15" customHeight="1" x14ac:dyDescent="0.2">
      <c r="B5" s="31" t="inlineStr">
        <is>
          <t xml:space="preserve">Welker</t>
        </is>
      </c>
      <c r="C5" s="40">
        <v>55</v>
      </c>
      <c r="D5" s="41">
        <v>0.5182</v>
      </c>
      <c r="E5" s="41">
        <v>0.55</v>
      </c>
      <c r="F5" s="65">
        <v>0.0318</v>
      </c>
    </row>
    <row r="6" spans="2:6" ht="15" customHeight="1" x14ac:dyDescent="0.2">
      <c r="B6" s="34" t="inlineStr">
        <is>
          <t xml:space="preserve">Perkins</t>
        </is>
      </c>
      <c r="C6" s="43">
        <v>31</v>
      </c>
      <c r="D6" s="44">
        <v>0.5806</v>
      </c>
      <c r="E6" s="44">
        <v>0.6087</v>
      </c>
      <c r="F6" s="67">
        <v>0.0281</v>
      </c>
    </row>
    <row r="7" spans="2:6" ht="15" customHeight="1" x14ac:dyDescent="0.2">
      <c r="B7" s="31" t="inlineStr">
        <is>
          <t xml:space="preserve">Gray</t>
        </is>
      </c>
      <c r="C7" s="40">
        <v>48</v>
      </c>
      <c r="D7" s="41">
        <v>0.625</v>
      </c>
      <c r="E7" s="41">
        <v>0.6509</v>
      </c>
      <c r="F7" s="65">
        <v>0.0259</v>
      </c>
    </row>
    <row r="8" spans="2:6" ht="15" customHeight="1" x14ac:dyDescent="0.2">
      <c r="B8" s="34" t="inlineStr">
        <is>
          <t xml:space="preserve">Poirier</t>
        </is>
      </c>
      <c r="C8" s="43">
        <v>49</v>
      </c>
      <c r="D8" s="44">
        <v>0.5204</v>
      </c>
      <c r="E8" s="44">
        <v>0.5463</v>
      </c>
      <c r="F8" s="67">
        <v>0.0259</v>
      </c>
    </row>
    <row r="9" spans="2:6" ht="15" customHeight="1" x14ac:dyDescent="0.2">
      <c r="B9" s="31" t="inlineStr">
        <is>
          <t xml:space="preserve">Hilts</t>
        </is>
      </c>
      <c r="C9" s="40">
        <v>71</v>
      </c>
      <c r="D9" s="41">
        <v>0.4859</v>
      </c>
      <c r="E9" s="41">
        <v>0.5094</v>
      </c>
      <c r="F9" s="65">
        <v>0.0235</v>
      </c>
    </row>
    <row r="10" spans="2:6" ht="15" customHeight="1" x14ac:dyDescent="0.2">
      <c r="B10" s="34" t="inlineStr">
        <is>
          <t xml:space="preserve">McInerney</t>
        </is>
      </c>
      <c r="C10" s="43">
        <v>54</v>
      </c>
      <c r="D10" s="44">
        <v>0.4815</v>
      </c>
      <c r="E10" s="44">
        <v>0.5042</v>
      </c>
      <c r="F10" s="67">
        <v>0.0227</v>
      </c>
    </row>
    <row r="11" spans="2:6" ht="15" customHeight="1" x14ac:dyDescent="0.2">
      <c r="B11" s="31" t="inlineStr">
        <is>
          <t xml:space="preserve">Cole</t>
        </is>
      </c>
      <c r="C11" s="40">
        <v>65</v>
      </c>
      <c r="D11" s="41">
        <v>0.4538</v>
      </c>
      <c r="E11" s="41">
        <v>0.4722</v>
      </c>
      <c r="F11" s="65">
        <v>0.0184</v>
      </c>
    </row>
    <row r="12" spans="2:6" ht="15" customHeight="1" x14ac:dyDescent="0.2">
      <c r="B12" s="34" t="inlineStr">
        <is>
          <t xml:space="preserve">R. Connolly</t>
        </is>
      </c>
      <c r="C12" s="43">
        <v>19</v>
      </c>
      <c r="D12" s="44">
        <v>0.4737</v>
      </c>
      <c r="E12" s="44">
        <v>0.4884</v>
      </c>
      <c r="F12" s="67">
        <v>0.0147</v>
      </c>
    </row>
    <row r="13" spans="2:6" ht="15" customHeight="1" x14ac:dyDescent="0.2">
      <c r="B13" s="31" t="inlineStr">
        <is>
          <t xml:space="preserve">Connolly</t>
        </is>
      </c>
      <c r="C13" s="40">
        <v>77</v>
      </c>
      <c r="D13" s="41">
        <v>0.5974</v>
      </c>
      <c r="E13" s="41">
        <v>0.6105</v>
      </c>
      <c r="F13" s="65">
        <v>0.0131</v>
      </c>
    </row>
    <row r="14" spans="2:6" ht="15" customHeight="1" x14ac:dyDescent="0.2">
      <c r="B14" s="34" t="inlineStr">
        <is>
          <t xml:space="preserve">Forster</t>
        </is>
      </c>
      <c r="C14" s="43">
        <v>71</v>
      </c>
      <c r="D14" s="44">
        <v>0.5845</v>
      </c>
      <c r="E14" s="44">
        <v>0.5962</v>
      </c>
      <c r="F14" s="67">
        <v>0.0116</v>
      </c>
    </row>
    <row r="15" spans="2:6" ht="15" customHeight="1" x14ac:dyDescent="0.2">
      <c r="B15" s="31" t="inlineStr">
        <is>
          <t xml:space="preserve">Fogan</t>
        </is>
      </c>
      <c r="C15" s="40">
        <v>72</v>
      </c>
      <c r="D15" s="41">
        <v>0.4028</v>
      </c>
      <c r="E15" s="41">
        <v>0.4125</v>
      </c>
      <c r="F15" s="65">
        <v>0.0097</v>
      </c>
    </row>
    <row r="16" spans="2:6" ht="15" customHeight="1" x14ac:dyDescent="0.2">
      <c r="B16" s="34" t="inlineStr">
        <is>
          <t xml:space="preserve">Zimmer</t>
        </is>
      </c>
      <c r="C16" s="43">
        <v>67</v>
      </c>
      <c r="D16" s="44">
        <v>0.4478</v>
      </c>
      <c r="E16" s="44">
        <v>0.4527</v>
      </c>
      <c r="F16" s="67">
        <v>0.0049</v>
      </c>
    </row>
    <row r="17" spans="2:6" ht="15" customHeight="1" x14ac:dyDescent="0.2">
      <c r="B17" s="31" t="inlineStr">
        <is>
          <t xml:space="preserve">Norat</t>
        </is>
      </c>
      <c r="C17" s="40">
        <v>42</v>
      </c>
      <c r="D17" s="41">
        <v>0.5714</v>
      </c>
      <c r="E17" s="41">
        <v>0.5761</v>
      </c>
      <c r="F17" s="65">
        <v>0.0047</v>
      </c>
    </row>
    <row r="18" spans="2:6" ht="15" customHeight="1" x14ac:dyDescent="0.2">
      <c r="B18" s="34" t="inlineStr">
        <is>
          <t xml:space="preserve">Delneky</t>
        </is>
      </c>
      <c r="C18" s="43">
        <v>36</v>
      </c>
      <c r="D18" s="44">
        <v>0.625</v>
      </c>
      <c r="E18" s="44">
        <v>0.6282</v>
      </c>
      <c r="F18" s="67">
        <v>0.0032</v>
      </c>
    </row>
    <row r="19" spans="2:6" ht="15" customHeight="1" x14ac:dyDescent="0.2">
      <c r="B19" s="31" t="inlineStr">
        <is>
          <t xml:space="preserve">Ferrin</t>
        </is>
      </c>
      <c r="C19" s="40">
        <v>77</v>
      </c>
      <c r="D19" s="41">
        <v>0.5844</v>
      </c>
      <c r="E19" s="41">
        <v>0.5872</v>
      </c>
      <c r="F19" s="65">
        <v>0.0028</v>
      </c>
    </row>
    <row r="20" spans="2:6" ht="15" customHeight="1" x14ac:dyDescent="0.2">
      <c r="B20" s="34" t="inlineStr">
        <is>
          <t xml:space="preserve">DeOteris</t>
        </is>
      </c>
      <c r="C20" s="43">
        <v>24</v>
      </c>
      <c r="D20" s="44">
        <v>0.375</v>
      </c>
      <c r="E20" s="44">
        <v>0.3725</v>
      </c>
      <c r="F20" s="67">
        <v>-0.0025</v>
      </c>
    </row>
    <row r="21" spans="2:6" ht="15" customHeight="1" x14ac:dyDescent="0.2">
      <c r="B21" s="31" t="inlineStr">
        <is>
          <t xml:space="preserve">Flanders</t>
        </is>
      </c>
      <c r="C21" s="40">
        <v>77</v>
      </c>
      <c r="D21" s="41">
        <v>0.487</v>
      </c>
      <c r="E21" s="41">
        <v>0.4826</v>
      </c>
      <c r="F21" s="65">
        <v>-0.0045</v>
      </c>
    </row>
    <row r="22" spans="2:6" ht="15" customHeight="1" x14ac:dyDescent="0.2">
      <c r="B22" s="34" t="inlineStr">
        <is>
          <t xml:space="preserve">Grise</t>
        </is>
      </c>
      <c r="C22" s="43">
        <v>77</v>
      </c>
      <c r="D22" s="44">
        <v>0.5455</v>
      </c>
      <c r="E22" s="44">
        <v>0.5407</v>
      </c>
      <c r="F22" s="67">
        <v>-0.0048</v>
      </c>
    </row>
    <row r="23" spans="2:6" ht="15" customHeight="1" x14ac:dyDescent="0.2">
      <c r="B23" s="31" t="inlineStr">
        <is>
          <t xml:space="preserve">Piegari</t>
        </is>
      </c>
      <c r="C23" s="40">
        <v>19</v>
      </c>
      <c r="D23" s="41">
        <v>0.3421</v>
      </c>
      <c r="E23" s="41">
        <v>0.3333</v>
      </c>
      <c r="F23" s="65">
        <v>-0.0088</v>
      </c>
    </row>
    <row r="24" spans="2:6" ht="15" customHeight="1" x14ac:dyDescent="0.2">
      <c r="B24" s="34" t="inlineStr">
        <is>
          <t xml:space="preserve">Hickerson</t>
        </is>
      </c>
      <c r="C24" s="43">
        <v>21</v>
      </c>
      <c r="D24" s="44">
        <v>0.3571</v>
      </c>
      <c r="E24" s="44">
        <v>0.3469</v>
      </c>
      <c r="F24" s="67">
        <v>-0.0102</v>
      </c>
    </row>
    <row r="25" spans="2:6" ht="15" customHeight="1" x14ac:dyDescent="0.2">
      <c r="B25" s="31" t="inlineStr">
        <is>
          <t xml:space="preserve">Connors</t>
        </is>
      </c>
      <c r="C25" s="40">
        <v>59</v>
      </c>
      <c r="D25" s="41">
        <v>0.3475</v>
      </c>
      <c r="E25" s="41">
        <v>0.3359</v>
      </c>
      <c r="F25" s="65">
        <v>-0.0116</v>
      </c>
    </row>
    <row r="26" spans="2:6" ht="15" customHeight="1" x14ac:dyDescent="0.2">
      <c r="B26" s="34" t="inlineStr">
        <is>
          <t xml:space="preserve">Jackson</t>
        </is>
      </c>
      <c r="C26" s="43">
        <v>77</v>
      </c>
      <c r="D26" s="44">
        <v>0.6104</v>
      </c>
      <c r="E26" s="44">
        <v>0.593</v>
      </c>
      <c r="F26" s="67">
        <v>-0.0174</v>
      </c>
    </row>
    <row r="27" spans="2:6" ht="15" customHeight="1" x14ac:dyDescent="0.2">
      <c r="B27" s="31" t="inlineStr">
        <is>
          <t xml:space="preserve">Lynch</t>
        </is>
      </c>
      <c r="C27" s="40">
        <v>77</v>
      </c>
      <c r="D27" s="41">
        <v>0.5195</v>
      </c>
      <c r="E27" s="41">
        <v>0.4942</v>
      </c>
      <c r="F27" s="65">
        <v>-0.0253</v>
      </c>
    </row>
    <row r="28" spans="2:6" ht="15" customHeight="1" x14ac:dyDescent="0.2">
      <c r="B28" s="34" t="inlineStr">
        <is>
          <t xml:space="preserve">Delaney</t>
        </is>
      </c>
      <c r="C28" s="43">
        <v>43</v>
      </c>
      <c r="D28" s="44">
        <v>0.5</v>
      </c>
      <c r="E28" s="44">
        <v>0.4737</v>
      </c>
      <c r="F28" s="67">
        <v>-0.0263</v>
      </c>
    </row>
    <row r="29" spans="2:6" ht="15" customHeight="1" x14ac:dyDescent="0.2">
      <c r="B29" s="31" t="inlineStr">
        <is>
          <t xml:space="preserve">Shively</t>
        </is>
      </c>
      <c r="C29" s="40">
        <v>71</v>
      </c>
      <c r="D29" s="41">
        <v>0.3944</v>
      </c>
      <c r="E29" s="41">
        <v>0.3671</v>
      </c>
      <c r="F29" s="65">
        <v>-0.0273</v>
      </c>
    </row>
    <row r="30" spans="2:6" ht="15" customHeight="1" x14ac:dyDescent="0.2">
      <c r="B30" s="34" t="inlineStr">
        <is>
          <t xml:space="preserve">Mangold</t>
        </is>
      </c>
      <c r="C30" s="43">
        <v>71</v>
      </c>
      <c r="D30" s="44">
        <v>0.4085</v>
      </c>
      <c r="E30" s="44">
        <v>0.3774</v>
      </c>
      <c r="F30" s="67">
        <v>-0.0311</v>
      </c>
    </row>
    <row r="31" spans="2:6" ht="15" customHeight="1" x14ac:dyDescent="0.2">
      <c r="B31" s="31" t="inlineStr">
        <is>
          <t xml:space="preserve">Weisberger</t>
        </is>
      </c>
      <c r="C31" s="40">
        <v>16</v>
      </c>
      <c r="D31" s="41">
        <v>0.5</v>
      </c>
      <c r="E31" s="41">
        <v>0.4595</v>
      </c>
      <c r="F31" s="65">
        <v>-0.0405</v>
      </c>
    </row>
    <row r="32" spans="2:6" ht="15" customHeight="1" x14ac:dyDescent="0.2">
      <c r="B32" s="34" t="inlineStr">
        <is>
          <t xml:space="preserve">Bussiculo</t>
        </is>
      </c>
      <c r="C32" s="43">
        <v>29</v>
      </c>
      <c r="D32" s="44">
        <v>0.4483</v>
      </c>
      <c r="E32" s="44">
        <v>0.4</v>
      </c>
      <c r="F32" s="67">
        <v>-0.0483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5" sqref="B15"/>
    </sheetView>
  </sheetViews>
  <sheetFormatPr baseColWidth="10" defaultColWidth="8.6640625" defaultRowHeight="15" x14ac:dyDescent="0.2"/>
  <cols>
    <col min="2" max="2" width="13" customWidth="1"/>
    <col min="3" max="3" width="8" customWidth="1"/>
    <col min="4" max="6" width="9" customWidth="1"/>
  </cols>
  <sheetData>
    <row r="1" spans="2:6" ht="21.75" customHeight="1" x14ac:dyDescent="0.25">
      <c r="B1" s="63" t="s">
        <v>814</v>
      </c>
    </row>
    <row r="2" spans="2:6" ht="25.5" customHeight="1" x14ac:dyDescent="0.2">
      <c r="B2" s="94" t="s">
        <v>815</v>
      </c>
      <c r="C2" s="94"/>
      <c r="D2" s="94"/>
      <c r="E2" s="94"/>
      <c r="F2" s="94"/>
    </row>
    <row r="4" spans="2:6" ht="15" customHeight="1" x14ac:dyDescent="0.2">
      <c r="B4" s="30" t="s">
        <v>674</v>
      </c>
      <c r="C4" s="30" t="s">
        <v>51</v>
      </c>
      <c r="D4" s="30" t="s">
        <v>816</v>
      </c>
      <c r="E4" s="30" t="s">
        <v>759</v>
      </c>
      <c r="F4" s="30" t="s">
        <v>817</v>
      </c>
    </row>
    <row r="5" spans="2:6" ht="15" customHeight="1" x14ac:dyDescent="0.2">
      <c r="B5" s="31" t="inlineStr">
        <is>
          <t xml:space="preserve">Lynch</t>
        </is>
      </c>
      <c r="C5" s="40">
        <v>13</v>
      </c>
      <c r="D5" s="40">
        <v>10</v>
      </c>
      <c r="E5" s="42">
        <v>7.03</v>
      </c>
      <c r="F5" s="68">
        <v>2.97</v>
      </c>
    </row>
    <row r="6" spans="2:6" ht="15" customHeight="1" x14ac:dyDescent="0.2">
      <c r="B6" s="34" t="inlineStr">
        <is>
          <t xml:space="preserve">Connolly</t>
        </is>
      </c>
      <c r="C6" s="43">
        <v>13</v>
      </c>
      <c r="D6" s="43">
        <v>10</v>
      </c>
      <c r="E6" s="45">
        <v>7.28</v>
      </c>
      <c r="F6" s="69">
        <v>2.72</v>
      </c>
    </row>
    <row r="7" spans="2:6" ht="15" customHeight="1" x14ac:dyDescent="0.2">
      <c r="B7" s="31" t="inlineStr">
        <is>
          <t xml:space="preserve">Hilts</t>
        </is>
      </c>
      <c r="C7" s="40">
        <v>12</v>
      </c>
      <c r="D7" s="40">
        <v>9</v>
      </c>
      <c r="E7" s="42">
        <v>6.52</v>
      </c>
      <c r="F7" s="68">
        <v>2.48</v>
      </c>
    </row>
    <row r="8" spans="2:6" ht="15" customHeight="1" x14ac:dyDescent="0.2">
      <c r="B8" s="34" t="inlineStr">
        <is>
          <t xml:space="preserve">Grise</t>
        </is>
      </c>
      <c r="C8" s="43">
        <v>13</v>
      </c>
      <c r="D8" s="43">
        <v>9</v>
      </c>
      <c r="E8" s="45">
        <v>6.85</v>
      </c>
      <c r="F8" s="69">
        <v>2.15</v>
      </c>
    </row>
    <row r="9" spans="2:6" ht="15" customHeight="1" x14ac:dyDescent="0.2">
      <c r="B9" s="31" t="inlineStr">
        <is>
          <t xml:space="preserve">Delaney</t>
        </is>
      </c>
      <c r="C9" s="40">
        <v>7</v>
      </c>
      <c r="D9" s="40">
        <v>5</v>
      </c>
      <c r="E9" s="42">
        <v>3.69</v>
      </c>
      <c r="F9" s="68">
        <v>1.31</v>
      </c>
    </row>
    <row r="10" spans="2:6" ht="15" customHeight="1" x14ac:dyDescent="0.2">
      <c r="B10" s="34" t="inlineStr">
        <is>
          <t xml:space="preserve">Zimmer</t>
        </is>
      </c>
      <c r="C10" s="43">
        <v>11</v>
      </c>
      <c r="D10" s="43">
        <v>7</v>
      </c>
      <c r="E10" s="45">
        <v>5.91</v>
      </c>
      <c r="F10" s="69">
        <v>1.09</v>
      </c>
    </row>
    <row r="11" spans="2:6" ht="15" customHeight="1" x14ac:dyDescent="0.2">
      <c r="B11" s="31" t="inlineStr">
        <is>
          <t xml:space="preserve">Perkins</t>
        </is>
      </c>
      <c r="C11" s="40">
        <v>5</v>
      </c>
      <c r="D11" s="40">
        <v>4</v>
      </c>
      <c r="E11" s="42">
        <v>2.98</v>
      </c>
      <c r="F11" s="68">
        <v>1.02</v>
      </c>
    </row>
    <row r="12" spans="2:6" ht="15" customHeight="1" x14ac:dyDescent="0.2">
      <c r="B12" s="34" t="inlineStr">
        <is>
          <t xml:space="preserve">Shively</t>
        </is>
      </c>
      <c r="C12" s="43">
        <v>12</v>
      </c>
      <c r="D12" s="43">
        <v>7</v>
      </c>
      <c r="E12" s="45">
        <v>6.27</v>
      </c>
      <c r="F12" s="69">
        <v>0.73</v>
      </c>
    </row>
    <row r="13" spans="2:6" ht="15" customHeight="1" x14ac:dyDescent="0.2">
      <c r="B13" s="31" t="inlineStr">
        <is>
          <t xml:space="preserve">McInerney</t>
        </is>
      </c>
      <c r="C13" s="40">
        <v>9</v>
      </c>
      <c r="D13" s="40">
        <v>5</v>
      </c>
      <c r="E13" s="42">
        <v>4.69</v>
      </c>
      <c r="F13" s="68">
        <v>0.31</v>
      </c>
    </row>
    <row r="14" spans="2:6" ht="15" customHeight="1" x14ac:dyDescent="0.2">
      <c r="B14" s="34" t="inlineStr">
        <is>
          <t xml:space="preserve">Bussiculo</t>
        </is>
      </c>
      <c r="C14" s="43">
        <v>6</v>
      </c>
      <c r="D14" s="43">
        <v>3</v>
      </c>
      <c r="E14" s="45">
        <v>2.92</v>
      </c>
      <c r="F14" s="69">
        <v>0.08</v>
      </c>
    </row>
    <row r="15" spans="2:6" ht="15" customHeight="1" x14ac:dyDescent="0.2">
      <c r="B15" s="31" t="inlineStr">
        <is>
          <t xml:space="preserve">Hickerson</t>
        </is>
      </c>
      <c r="C15" s="40">
        <v>4</v>
      </c>
      <c r="D15" s="40">
        <v>2</v>
      </c>
      <c r="E15" s="42">
        <v>1.98</v>
      </c>
      <c r="F15" s="68">
        <v>0.02</v>
      </c>
    </row>
    <row r="16" spans="2:6" ht="15" customHeight="1" x14ac:dyDescent="0.2">
      <c r="B16" s="34" t="inlineStr">
        <is>
          <t xml:space="preserve">Poirier</t>
        </is>
      </c>
      <c r="C16" s="43">
        <v>8</v>
      </c>
      <c r="D16" s="43">
        <v>4</v>
      </c>
      <c r="E16" s="45">
        <v>3.99</v>
      </c>
      <c r="F16" s="69">
        <v>0.01</v>
      </c>
    </row>
    <row r="17" spans="2:6" ht="15" customHeight="1" x14ac:dyDescent="0.2">
      <c r="B17" s="31" t="inlineStr">
        <is>
          <t xml:space="preserve">Cole</t>
        </is>
      </c>
      <c r="C17" s="40">
        <v>11</v>
      </c>
      <c r="D17" s="40">
        <v>5</v>
      </c>
      <c r="E17" s="42">
        <v>5.05</v>
      </c>
      <c r="F17" s="68">
        <v>-0.05</v>
      </c>
    </row>
    <row r="18" spans="2:6" ht="15" customHeight="1" x14ac:dyDescent="0.2">
      <c r="B18" s="34" t="inlineStr">
        <is>
          <t xml:space="preserve">Delneky</t>
        </is>
      </c>
      <c r="C18" s="43">
        <v>6</v>
      </c>
      <c r="D18" s="43">
        <v>3</v>
      </c>
      <c r="E18" s="45">
        <v>3.13</v>
      </c>
      <c r="F18" s="69">
        <v>-0.13</v>
      </c>
    </row>
    <row r="19" spans="2:6" ht="15" customHeight="1" x14ac:dyDescent="0.2">
      <c r="B19" s="31" t="inlineStr">
        <is>
          <t xml:space="preserve">Flanders</t>
        </is>
      </c>
      <c r="C19" s="40">
        <v>13</v>
      </c>
      <c r="D19" s="40">
        <v>6</v>
      </c>
      <c r="E19" s="42">
        <v>6.13</v>
      </c>
      <c r="F19" s="68">
        <v>-0.13</v>
      </c>
    </row>
    <row r="20" spans="2:6" ht="15" customHeight="1" x14ac:dyDescent="0.2">
      <c r="B20" s="34" t="inlineStr">
        <is>
          <t xml:space="preserve">Gray</t>
        </is>
      </c>
      <c r="C20" s="43">
        <v>8</v>
      </c>
      <c r="D20" s="43">
        <v>4</v>
      </c>
      <c r="E20" s="45">
        <v>4.21</v>
      </c>
      <c r="F20" s="69">
        <v>-0.21</v>
      </c>
    </row>
    <row r="21" spans="2:6" ht="15" customHeight="1" x14ac:dyDescent="0.2">
      <c r="B21" s="31" t="inlineStr">
        <is>
          <t xml:space="preserve">Forster</t>
        </is>
      </c>
      <c r="C21" s="40">
        <v>12</v>
      </c>
      <c r="D21" s="40">
        <v>5</v>
      </c>
      <c r="E21" s="42">
        <v>5.82</v>
      </c>
      <c r="F21" s="68">
        <v>-0.82</v>
      </c>
    </row>
    <row r="22" spans="2:6" ht="15" customHeight="1" x14ac:dyDescent="0.2">
      <c r="B22" s="34" t="inlineStr">
        <is>
          <t xml:space="preserve">Norat</t>
        </is>
      </c>
      <c r="C22" s="43">
        <v>8</v>
      </c>
      <c r="D22" s="43">
        <v>3</v>
      </c>
      <c r="E22" s="45">
        <v>3.83</v>
      </c>
      <c r="F22" s="69">
        <v>-0.83</v>
      </c>
    </row>
    <row r="23" spans="2:6" ht="15" customHeight="1" x14ac:dyDescent="0.2">
      <c r="B23" s="31" t="inlineStr">
        <is>
          <t xml:space="preserve">DeOteris</t>
        </is>
      </c>
      <c r="C23" s="40">
        <v>4</v>
      </c>
      <c r="D23" s="40">
        <v>1</v>
      </c>
      <c r="E23" s="42">
        <v>1.95</v>
      </c>
      <c r="F23" s="68">
        <v>-0.95</v>
      </c>
    </row>
    <row r="24" spans="2:6" ht="15" customHeight="1" x14ac:dyDescent="0.2">
      <c r="B24" s="34" t="inlineStr">
        <is>
          <t xml:space="preserve">Connors</t>
        </is>
      </c>
      <c r="C24" s="43">
        <v>10</v>
      </c>
      <c r="D24" s="43">
        <v>4</v>
      </c>
      <c r="E24" s="45">
        <v>4.96</v>
      </c>
      <c r="F24" s="69">
        <v>-0.96</v>
      </c>
    </row>
    <row r="25" spans="2:6" ht="15" customHeight="1" x14ac:dyDescent="0.2">
      <c r="B25" s="31" t="inlineStr">
        <is>
          <t xml:space="preserve">Fogan</t>
        </is>
      </c>
      <c r="C25" s="40">
        <v>12</v>
      </c>
      <c r="D25" s="40">
        <v>4</v>
      </c>
      <c r="E25" s="42">
        <v>5.64</v>
      </c>
      <c r="F25" s="68">
        <v>-1.64</v>
      </c>
    </row>
    <row r="26" spans="2:6" ht="15" customHeight="1" x14ac:dyDescent="0.2">
      <c r="B26" s="34" t="inlineStr">
        <is>
          <t xml:space="preserve">Ferrin</t>
        </is>
      </c>
      <c r="C26" s="43">
        <v>13</v>
      </c>
      <c r="D26" s="43">
        <v>4</v>
      </c>
      <c r="E26" s="45">
        <v>6.14</v>
      </c>
      <c r="F26" s="69">
        <v>-2.14</v>
      </c>
    </row>
    <row r="27" spans="2:6" ht="15" customHeight="1" x14ac:dyDescent="0.2">
      <c r="B27" s="31" t="inlineStr">
        <is>
          <t xml:space="preserve">Welker</t>
        </is>
      </c>
      <c r="C27" s="40">
        <v>9</v>
      </c>
      <c r="D27" s="40">
        <v>2</v>
      </c>
      <c r="E27" s="42">
        <v>4.18</v>
      </c>
      <c r="F27" s="68">
        <v>-2.18</v>
      </c>
    </row>
    <row r="28" spans="2:6" ht="15" customHeight="1" x14ac:dyDescent="0.2">
      <c r="B28" s="34" t="inlineStr">
        <is>
          <t xml:space="preserve">Mangold</t>
        </is>
      </c>
      <c r="C28" s="43">
        <v>12</v>
      </c>
      <c r="D28" s="43">
        <v>3</v>
      </c>
      <c r="E28" s="45">
        <v>5.42</v>
      </c>
      <c r="F28" s="69">
        <v>-2.42</v>
      </c>
    </row>
    <row r="29" spans="2:6" ht="15" customHeight="1" x14ac:dyDescent="0.2">
      <c r="B29" s="31" t="inlineStr">
        <is>
          <t xml:space="preserve">Jackson</t>
        </is>
      </c>
      <c r="C29" s="40">
        <v>13</v>
      </c>
      <c r="D29" s="40">
        <v>3</v>
      </c>
      <c r="E29" s="42">
        <v>5.73</v>
      </c>
      <c r="F29" s="68">
        <v>-2.73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1" sqref="B21"/>
    </sheetView>
  </sheetViews>
  <sheetFormatPr baseColWidth="10" defaultColWidth="8.6640625" defaultRowHeight="15" x14ac:dyDescent="0.2"/>
  <cols>
    <col min="2" max="2" width="13" customWidth="1"/>
    <col min="3" max="3" width="8" customWidth="1"/>
    <col min="4" max="5" width="11" customWidth="1"/>
    <col min="6" max="6" width="9" customWidth="1"/>
    <col min="7" max="7" width="11" customWidth="1"/>
  </cols>
  <sheetData>
    <row r="1" spans="2:7" ht="21.75" customHeight="1" x14ac:dyDescent="0.25">
      <c r="B1" s="63" t="s">
        <v>818</v>
      </c>
    </row>
    <row r="2" spans="2:7" ht="25.5" customHeight="1" x14ac:dyDescent="0.2">
      <c r="B2" s="94" t="inlineStr">
        <is>
          <t xml:space="preserve">Who’s heating up going into FBC 14. PPC = points per cup. Last 3 = the three most recent cups each player appeared in. Form = recent − career. Sorted by current form. Min 4 cups.</t>
        </is>
      </c>
      <c r="C2" s="94"/>
      <c r="D2" s="94"/>
      <c r="E2" s="94"/>
      <c r="F2" s="94"/>
      <c r="G2" s="94"/>
    </row>
    <row r="4" spans="2:7" ht="15" customHeight="1" x14ac:dyDescent="0.2">
      <c r="B4" s="30" t="s">
        <v>674</v>
      </c>
      <c r="C4" s="30" t="s">
        <v>51</v>
      </c>
      <c r="D4" s="30" t="s">
        <v>820</v>
      </c>
      <c r="E4" s="30" t="s">
        <v>821</v>
      </c>
      <c r="F4" s="30" t="s">
        <v>822</v>
      </c>
      <c r="G4" s="30" t="s">
        <v>823</v>
      </c>
    </row>
    <row r="5" spans="2:7" ht="15" customHeight="1" x14ac:dyDescent="0.2">
      <c r="B5" s="31" t="inlineStr">
        <is>
          <t xml:space="preserve">Connolly</t>
        </is>
      </c>
      <c r="C5" s="40">
        <v>13</v>
      </c>
      <c r="D5" s="42">
        <v>4.04</v>
      </c>
      <c r="E5" s="42">
        <v>4.5</v>
      </c>
      <c r="F5" s="68">
        <v>0.46</v>
      </c>
      <c r="G5" s="73" t="inlineStr">
        <is>
          <t xml:space="preserve">—  Steady</t>
        </is>
      </c>
    </row>
    <row r="6" spans="2:7" ht="15" customHeight="1" x14ac:dyDescent="0.2">
      <c r="B6" s="34" t="inlineStr">
        <is>
          <t xml:space="preserve">Delneky</t>
        </is>
      </c>
      <c r="C6" s="43">
        <v>6</v>
      </c>
      <c r="D6" s="45">
        <v>4.08</v>
      </c>
      <c r="E6" s="45">
        <v>4.5</v>
      </c>
      <c r="F6" s="69">
        <v>0.42</v>
      </c>
      <c r="G6" s="72" t="inlineStr">
        <is>
          <t xml:space="preserve">—  Steady</t>
        </is>
      </c>
    </row>
    <row r="7" spans="2:7" ht="15" customHeight="1" x14ac:dyDescent="0.2">
      <c r="B7" s="31" t="inlineStr">
        <is>
          <t xml:space="preserve">Hilts</t>
        </is>
      </c>
      <c r="C7" s="40">
        <v>12</v>
      </c>
      <c r="D7" s="42">
        <v>3.38</v>
      </c>
      <c r="E7" s="42">
        <v>4.5</v>
      </c>
      <c r="F7" s="68">
        <v>1.12</v>
      </c>
      <c r="G7" s="70" t="inlineStr">
        <is>
          <t xml:space="preserve">▲  Hot</t>
        </is>
      </c>
    </row>
    <row r="8" spans="2:7" ht="15" customHeight="1" x14ac:dyDescent="0.2">
      <c r="B8" s="34" t="inlineStr">
        <is>
          <t xml:space="preserve">Poirier</t>
        </is>
      </c>
      <c r="C8" s="43">
        <v>8</v>
      </c>
      <c r="D8" s="45">
        <v>3.69</v>
      </c>
      <c r="E8" s="45">
        <v>4.5</v>
      </c>
      <c r="F8" s="69">
        <v>0.81</v>
      </c>
      <c r="G8" s="71" t="inlineStr">
        <is>
          <t xml:space="preserve">▲  Hot</t>
        </is>
      </c>
    </row>
    <row r="9" spans="2:7" ht="15" customHeight="1" x14ac:dyDescent="0.2">
      <c r="B9" s="31" t="inlineStr">
        <is>
          <t xml:space="preserve">Welker</t>
        </is>
      </c>
      <c r="C9" s="40">
        <v>9</v>
      </c>
      <c r="D9" s="42">
        <v>3.67</v>
      </c>
      <c r="E9" s="42">
        <v>4.5</v>
      </c>
      <c r="F9" s="68">
        <v>0.83</v>
      </c>
      <c r="G9" s="70" t="inlineStr">
        <is>
          <t xml:space="preserve">▲  Hot</t>
        </is>
      </c>
    </row>
    <row r="10" spans="2:7" ht="15" customHeight="1" x14ac:dyDescent="0.2">
      <c r="B10" s="34" t="inlineStr">
        <is>
          <t xml:space="preserve">Ferrin</t>
        </is>
      </c>
      <c r="C10" s="43">
        <v>13</v>
      </c>
      <c r="D10" s="45">
        <v>3.88</v>
      </c>
      <c r="E10" s="45">
        <v>4.33</v>
      </c>
      <c r="F10" s="69">
        <v>0.45</v>
      </c>
      <c r="G10" s="72" t="inlineStr">
        <is>
          <t xml:space="preserve">—  Steady</t>
        </is>
      </c>
    </row>
    <row r="11" spans="2:7" ht="15" customHeight="1" x14ac:dyDescent="0.2">
      <c r="B11" s="31" t="inlineStr">
        <is>
          <t xml:space="preserve">Flanders</t>
        </is>
      </c>
      <c r="C11" s="40">
        <v>13</v>
      </c>
      <c r="D11" s="42">
        <v>3.19</v>
      </c>
      <c r="E11" s="42">
        <v>4.33</v>
      </c>
      <c r="F11" s="68">
        <v>1.14</v>
      </c>
      <c r="G11" s="70" t="inlineStr">
        <is>
          <t xml:space="preserve">▲  Hot</t>
        </is>
      </c>
    </row>
    <row r="12" spans="2:7" ht="15" customHeight="1" x14ac:dyDescent="0.2">
      <c r="B12" s="34" t="inlineStr">
        <is>
          <t xml:space="preserve">Norat</t>
        </is>
      </c>
      <c r="C12" s="43">
        <v>7</v>
      </c>
      <c r="D12" s="45">
        <v>3.79</v>
      </c>
      <c r="E12" s="45">
        <v>4.17</v>
      </c>
      <c r="F12" s="69">
        <v>0.38</v>
      </c>
      <c r="G12" s="72" t="inlineStr">
        <is>
          <t xml:space="preserve">—  Steady</t>
        </is>
      </c>
    </row>
    <row r="13" spans="2:7" ht="15" customHeight="1" x14ac:dyDescent="0.2">
      <c r="B13" s="31" t="inlineStr">
        <is>
          <t xml:space="preserve">Cole</t>
        </is>
      </c>
      <c r="C13" s="40">
        <v>11</v>
      </c>
      <c r="D13" s="42">
        <v>3.09</v>
      </c>
      <c r="E13" s="42">
        <v>4</v>
      </c>
      <c r="F13" s="68">
        <v>0.91</v>
      </c>
      <c r="G13" s="70" t="inlineStr">
        <is>
          <t xml:space="preserve">▲  Hot</t>
        </is>
      </c>
    </row>
    <row r="14" spans="2:7" ht="15" customHeight="1" x14ac:dyDescent="0.2">
      <c r="B14" s="34" t="inlineStr">
        <is>
          <t xml:space="preserve">Forster</t>
        </is>
      </c>
      <c r="C14" s="43">
        <v>12</v>
      </c>
      <c r="D14" s="45">
        <v>3.88</v>
      </c>
      <c r="E14" s="45">
        <v>4</v>
      </c>
      <c r="F14" s="69">
        <v>0.12</v>
      </c>
      <c r="G14" s="72" t="inlineStr">
        <is>
          <t xml:space="preserve">—  Steady</t>
        </is>
      </c>
    </row>
    <row r="15" spans="2:7" ht="15" customHeight="1" x14ac:dyDescent="0.2">
      <c r="B15" s="31" t="inlineStr">
        <is>
          <t xml:space="preserve">Fogan</t>
        </is>
      </c>
      <c r="C15" s="40">
        <v>12</v>
      </c>
      <c r="D15" s="42">
        <v>2.75</v>
      </c>
      <c r="E15" s="42">
        <v>3.83</v>
      </c>
      <c r="F15" s="68">
        <v>1.08</v>
      </c>
      <c r="G15" s="70" t="inlineStr">
        <is>
          <t xml:space="preserve">▲  Hot</t>
        </is>
      </c>
    </row>
    <row r="16" spans="2:7" ht="15" customHeight="1" x14ac:dyDescent="0.2">
      <c r="B16" s="34" t="inlineStr">
        <is>
          <t xml:space="preserve">Gray</t>
        </is>
      </c>
      <c r="C16" s="43">
        <v>8</v>
      </c>
      <c r="D16" s="45">
        <v>4.31</v>
      </c>
      <c r="E16" s="45">
        <v>3.83</v>
      </c>
      <c r="F16" s="69">
        <v>-0.48</v>
      </c>
      <c r="G16" s="72" t="inlineStr">
        <is>
          <t xml:space="preserve">—  Steady</t>
        </is>
      </c>
    </row>
    <row r="17" spans="2:7" ht="15" customHeight="1" x14ac:dyDescent="0.2">
      <c r="B17" s="31" t="inlineStr">
        <is>
          <t xml:space="preserve">Jackson</t>
        </is>
      </c>
      <c r="C17" s="40">
        <v>13</v>
      </c>
      <c r="D17" s="42">
        <v>3.92</v>
      </c>
      <c r="E17" s="42">
        <v>3.67</v>
      </c>
      <c r="F17" s="68">
        <v>-0.26</v>
      </c>
      <c r="G17" s="73" t="inlineStr">
        <is>
          <t xml:space="preserve">—  Steady</t>
        </is>
      </c>
    </row>
    <row r="18" spans="2:7" ht="15" customHeight="1" x14ac:dyDescent="0.2">
      <c r="B18" s="34" t="inlineStr">
        <is>
          <t xml:space="preserve">Delaney</t>
        </is>
      </c>
      <c r="C18" s="43">
        <v>7</v>
      </c>
      <c r="D18" s="45">
        <v>3.21</v>
      </c>
      <c r="E18" s="45">
        <v>3.5</v>
      </c>
      <c r="F18" s="69">
        <v>0.29</v>
      </c>
      <c r="G18" s="72" t="inlineStr">
        <is>
          <t xml:space="preserve">—  Steady</t>
        </is>
      </c>
    </row>
    <row r="19" spans="2:7" ht="15" customHeight="1" x14ac:dyDescent="0.2">
      <c r="B19" s="31" t="inlineStr">
        <is>
          <t xml:space="preserve">Perkins</t>
        </is>
      </c>
      <c r="C19" s="40">
        <v>5</v>
      </c>
      <c r="D19" s="42">
        <v>4.2</v>
      </c>
      <c r="E19" s="42">
        <v>3.17</v>
      </c>
      <c r="F19" s="68">
        <v>-1.03</v>
      </c>
      <c r="G19" s="74" t="inlineStr">
        <is>
          <t xml:space="preserve">▼  Cold</t>
        </is>
      </c>
    </row>
    <row r="20" spans="2:7" ht="15" customHeight="1" x14ac:dyDescent="0.2">
      <c r="B20" s="34" t="inlineStr">
        <is>
          <t xml:space="preserve">Bussiculo</t>
        </is>
      </c>
      <c r="C20" s="43">
        <v>5</v>
      </c>
      <c r="D20" s="45">
        <v>2.6</v>
      </c>
      <c r="E20" s="45">
        <v>3</v>
      </c>
      <c r="F20" s="69">
        <v>0.4</v>
      </c>
      <c r="G20" s="72" t="inlineStr">
        <is>
          <t xml:space="preserve">—  Steady</t>
        </is>
      </c>
    </row>
    <row r="21" spans="2:7" ht="15" customHeight="1" x14ac:dyDescent="0.2">
      <c r="B21" s="31" t="inlineStr">
        <is>
          <t xml:space="preserve">McInerney</t>
        </is>
      </c>
      <c r="C21" s="40">
        <v>9</v>
      </c>
      <c r="D21" s="42">
        <v>3.33</v>
      </c>
      <c r="E21" s="42">
        <v>3</v>
      </c>
      <c r="F21" s="68">
        <v>-0.33</v>
      </c>
      <c r="G21" s="73" t="inlineStr">
        <is>
          <t xml:space="preserve">—  Steady</t>
        </is>
      </c>
    </row>
    <row r="22" spans="2:7" ht="15" customHeight="1" x14ac:dyDescent="0.2">
      <c r="B22" s="34" t="inlineStr">
        <is>
          <t xml:space="preserve">Mangold</t>
        </is>
      </c>
      <c r="C22" s="43">
        <v>12</v>
      </c>
      <c r="D22" s="45">
        <v>2.5</v>
      </c>
      <c r="E22" s="45">
        <v>2.83</v>
      </c>
      <c r="F22" s="69">
        <v>0.33</v>
      </c>
      <c r="G22" s="72" t="inlineStr">
        <is>
          <t xml:space="preserve">—  Steady</t>
        </is>
      </c>
    </row>
    <row r="23" spans="2:7" ht="15" customHeight="1" x14ac:dyDescent="0.2">
      <c r="B23" s="31" t="inlineStr">
        <is>
          <t xml:space="preserve">Grise</t>
        </is>
      </c>
      <c r="C23" s="40">
        <v>13</v>
      </c>
      <c r="D23" s="42">
        <v>3.58</v>
      </c>
      <c r="E23" s="42">
        <v>2.67</v>
      </c>
      <c r="F23" s="68">
        <v>-0.91</v>
      </c>
      <c r="G23" s="74" t="inlineStr">
        <is>
          <t xml:space="preserve">▼  Cold</t>
        </is>
      </c>
    </row>
    <row r="24" spans="2:7" ht="15" customHeight="1" x14ac:dyDescent="0.2">
      <c r="B24" s="34" t="inlineStr">
        <is>
          <t xml:space="preserve">Connors</t>
        </is>
      </c>
      <c r="C24" s="43">
        <v>10</v>
      </c>
      <c r="D24" s="45">
        <v>2.2</v>
      </c>
      <c r="E24" s="45">
        <v>2.17</v>
      </c>
      <c r="F24" s="69">
        <v>-0.03</v>
      </c>
      <c r="G24" s="72" t="inlineStr">
        <is>
          <t xml:space="preserve">—  Steady</t>
        </is>
      </c>
    </row>
    <row r="25" spans="2:7" ht="15" customHeight="1" x14ac:dyDescent="0.2">
      <c r="B25" s="31" t="inlineStr">
        <is>
          <t xml:space="preserve">DeOteris</t>
        </is>
      </c>
      <c r="C25" s="40">
        <v>4</v>
      </c>
      <c r="D25" s="42">
        <v>2.38</v>
      </c>
      <c r="E25" s="42">
        <v>2.17</v>
      </c>
      <c r="F25" s="68">
        <v>-0.21</v>
      </c>
      <c r="G25" s="73" t="inlineStr">
        <is>
          <t xml:space="preserve">—  Steady</t>
        </is>
      </c>
    </row>
    <row r="26" spans="2:7" ht="15" customHeight="1" x14ac:dyDescent="0.2">
      <c r="B26" s="34" t="inlineStr">
        <is>
          <t xml:space="preserve">Lynch</t>
        </is>
      </c>
      <c r="C26" s="43">
        <v>13</v>
      </c>
      <c r="D26" s="45">
        <v>3.27</v>
      </c>
      <c r="E26" s="45">
        <v>2.17</v>
      </c>
      <c r="F26" s="69">
        <v>-1.1</v>
      </c>
      <c r="G26" s="75" t="inlineStr">
        <is>
          <t xml:space="preserve">▼  Cold</t>
        </is>
      </c>
    </row>
    <row r="27" spans="2:7" ht="15" customHeight="1" x14ac:dyDescent="0.2">
      <c r="B27" s="31" t="inlineStr">
        <is>
          <t xml:space="preserve">Hickerson</t>
        </is>
      </c>
      <c r="C27" s="40">
        <v>4</v>
      </c>
      <c r="D27" s="42">
        <v>2.12</v>
      </c>
      <c r="E27" s="42">
        <v>1.67</v>
      </c>
      <c r="F27" s="68">
        <v>-0.46</v>
      </c>
      <c r="G27" s="73" t="inlineStr">
        <is>
          <t xml:space="preserve">—  Steady</t>
        </is>
      </c>
    </row>
    <row r="28" spans="2:7" ht="15" customHeight="1" x14ac:dyDescent="0.2">
      <c r="B28" s="34" t="inlineStr">
        <is>
          <t xml:space="preserve">Shively</t>
        </is>
      </c>
      <c r="C28" s="43">
        <v>12</v>
      </c>
      <c r="D28" s="45">
        <v>2.42</v>
      </c>
      <c r="E28" s="45">
        <v>1.67</v>
      </c>
      <c r="F28" s="69">
        <v>-0.75</v>
      </c>
      <c r="G28" s="75" t="inlineStr">
        <is>
          <t xml:space="preserve">▼  Cold</t>
        </is>
      </c>
    </row>
    <row r="29" spans="2:7" ht="15" customHeight="1" x14ac:dyDescent="0.2">
      <c r="B29" s="31" t="inlineStr">
        <is>
          <t xml:space="preserve">Zimmer</t>
        </is>
      </c>
      <c r="C29" s="40">
        <v>11</v>
      </c>
      <c r="D29" s="42">
        <v>3.05</v>
      </c>
      <c r="E29" s="42">
        <v>1.67</v>
      </c>
      <c r="F29" s="68">
        <v>-1.38</v>
      </c>
      <c r="G29" s="74" t="inlineStr">
        <is>
          <t xml:space="preserve">▼  Cold</t>
        </is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1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2" max="2" width="6" customWidth="1"/>
    <col min="3" max="3" width="13" customWidth="1"/>
    <col min="4" max="4" width="8" customWidth="1"/>
    <col min="5" max="7" width="5" customWidth="1"/>
    <col min="8" max="8" width="8" customWidth="1"/>
  </cols>
  <sheetData>
    <row r="1" spans="2:8" ht="21.75" customHeight="1" x14ac:dyDescent="0.25">
      <c r="B1" s="63" t="s">
        <v>827</v>
      </c>
    </row>
    <row r="2" spans="2:8" ht="25.5" customHeight="1" x14ac:dyDescent="0.2">
      <c r="B2" s="94" t="s">
        <v>828</v>
      </c>
      <c r="C2" s="94"/>
      <c r="D2" s="94"/>
      <c r="E2" s="94"/>
      <c r="F2" s="94"/>
      <c r="G2" s="94"/>
      <c r="H2" s="94"/>
    </row>
    <row r="4" spans="2:8" ht="15" customHeight="1" x14ac:dyDescent="0.2">
      <c r="B4" s="30" t="s">
        <v>829</v>
      </c>
      <c r="C4" s="30" t="s">
        <v>674</v>
      </c>
      <c r="D4" s="30" t="s">
        <v>830</v>
      </c>
      <c r="E4" s="30" t="s">
        <v>99</v>
      </c>
      <c r="F4" s="30" t="s">
        <v>100</v>
      </c>
      <c r="G4" s="30" t="s">
        <v>101</v>
      </c>
      <c r="H4" s="30" t="s">
        <v>37</v>
      </c>
    </row>
    <row r="5" spans="2:8" ht="15" customHeight="1" x14ac:dyDescent="0.2">
      <c r="B5" s="31">
        <v>1</v>
      </c>
      <c r="C5" s="40" t="inlineStr">
        <is>
          <t xml:space="preserve">Gray</t>
        </is>
      </c>
      <c r="D5" s="40" t="inlineStr">
        <is>
          <t xml:space="preserve">FBC 7</t>
        </is>
      </c>
      <c r="E5" s="40">
        <v>6</v>
      </c>
      <c r="F5" s="40">
        <v>0</v>
      </c>
      <c r="G5" s="40">
        <v>1</v>
      </c>
      <c r="H5" s="64">
        <v>7</v>
      </c>
    </row>
    <row r="6" spans="2:8" ht="15" customHeight="1" x14ac:dyDescent="0.2">
      <c r="B6" s="34">
        <v>2</v>
      </c>
      <c r="C6" s="43" t="inlineStr">
        <is>
          <t xml:space="preserve">Jackson</t>
        </is>
      </c>
      <c r="D6" s="43" t="inlineStr">
        <is>
          <t xml:space="preserve">FBC 6</t>
        </is>
      </c>
      <c r="E6" s="43">
        <v>6</v>
      </c>
      <c r="F6" s="43">
        <v>0</v>
      </c>
      <c r="G6" s="43">
        <v>0</v>
      </c>
      <c r="H6" s="66">
        <v>6.5</v>
      </c>
    </row>
    <row r="7" spans="2:8" ht="15" customHeight="1" x14ac:dyDescent="0.2">
      <c r="B7" s="31">
        <v>3</v>
      </c>
      <c r="C7" s="40" t="inlineStr">
        <is>
          <t xml:space="preserve">Connolly</t>
        </is>
      </c>
      <c r="D7" s="40" t="inlineStr">
        <is>
          <t xml:space="preserve">FBC 1</t>
        </is>
      </c>
      <c r="E7" s="40">
        <v>5</v>
      </c>
      <c r="F7" s="40">
        <v>0</v>
      </c>
      <c r="G7" s="40">
        <v>0</v>
      </c>
      <c r="H7" s="64">
        <v>6</v>
      </c>
    </row>
    <row r="8" spans="2:8" ht="15" customHeight="1" x14ac:dyDescent="0.2">
      <c r="B8" s="34">
        <v>4</v>
      </c>
      <c r="C8" s="43" t="inlineStr">
        <is>
          <t xml:space="preserve">Jackson</t>
        </is>
      </c>
      <c r="D8" s="43" t="inlineStr">
        <is>
          <t xml:space="preserve">FBC 2</t>
        </is>
      </c>
      <c r="E8" s="43">
        <v>5</v>
      </c>
      <c r="F8" s="43">
        <v>0</v>
      </c>
      <c r="G8" s="43">
        <v>0</v>
      </c>
      <c r="H8" s="66">
        <v>6</v>
      </c>
    </row>
    <row r="9" spans="2:8" ht="15" customHeight="1" x14ac:dyDescent="0.2">
      <c r="B9" s="31">
        <v>5</v>
      </c>
      <c r="C9" s="40" t="inlineStr">
        <is>
          <t xml:space="preserve">Connolly</t>
        </is>
      </c>
      <c r="D9" s="40" t="inlineStr">
        <is>
          <t xml:space="preserve">FBC 10</t>
        </is>
      </c>
      <c r="E9" s="40">
        <v>4</v>
      </c>
      <c r="F9" s="40">
        <v>0</v>
      </c>
      <c r="G9" s="40">
        <v>2</v>
      </c>
      <c r="H9" s="64">
        <v>6</v>
      </c>
    </row>
    <row r="10" spans="2:8" ht="15" customHeight="1" x14ac:dyDescent="0.2">
      <c r="B10" s="34">
        <v>6</v>
      </c>
      <c r="C10" s="43" t="inlineStr">
        <is>
          <t xml:space="preserve">McInerney</t>
        </is>
      </c>
      <c r="D10" s="43" t="inlineStr">
        <is>
          <t xml:space="preserve">FBC 6</t>
        </is>
      </c>
      <c r="E10" s="43">
        <v>5</v>
      </c>
      <c r="F10" s="43">
        <v>0</v>
      </c>
      <c r="G10" s="43">
        <v>1</v>
      </c>
      <c r="H10" s="66">
        <v>5.5</v>
      </c>
    </row>
    <row r="11" spans="2:8" ht="15" customHeight="1" x14ac:dyDescent="0.2">
      <c r="B11" s="31">
        <v>7</v>
      </c>
      <c r="C11" s="40" t="inlineStr">
        <is>
          <t xml:space="preserve">Ferrin</t>
        </is>
      </c>
      <c r="D11" s="40" t="inlineStr">
        <is>
          <t xml:space="preserve">FBC 1</t>
        </is>
      </c>
      <c r="E11" s="40">
        <v>4</v>
      </c>
      <c r="F11" s="40">
        <v>0</v>
      </c>
      <c r="G11" s="40">
        <v>1</v>
      </c>
      <c r="H11" s="64">
        <v>5.5</v>
      </c>
    </row>
    <row r="12" spans="2:8" ht="15" customHeight="1" x14ac:dyDescent="0.2">
      <c r="B12" s="34">
        <v>8</v>
      </c>
      <c r="C12" s="43" t="inlineStr">
        <is>
          <t xml:space="preserve">Forster</t>
        </is>
      </c>
      <c r="D12" s="43" t="inlineStr">
        <is>
          <t xml:space="preserve">FBC 2</t>
        </is>
      </c>
      <c r="E12" s="43">
        <v>4</v>
      </c>
      <c r="F12" s="43">
        <v>0</v>
      </c>
      <c r="G12" s="43">
        <v>1</v>
      </c>
      <c r="H12" s="66">
        <v>5.5</v>
      </c>
    </row>
    <row r="13" spans="2:8" ht="15" customHeight="1" x14ac:dyDescent="0.2">
      <c r="B13" s="31">
        <v>9</v>
      </c>
      <c r="C13" s="40" t="inlineStr">
        <is>
          <t xml:space="preserve">Gray</t>
        </is>
      </c>
      <c r="D13" s="40" t="inlineStr">
        <is>
          <t xml:space="preserve">FBC 10</t>
        </is>
      </c>
      <c r="E13" s="40">
        <v>3</v>
      </c>
      <c r="F13" s="40">
        <v>0</v>
      </c>
      <c r="G13" s="40">
        <v>3</v>
      </c>
      <c r="H13" s="64">
        <v>5.5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F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baseColWidth="10" defaultColWidth="8.6640625" defaultRowHeight="15" x14ac:dyDescent="0.2"/>
  <cols>
    <col min="2" max="2" width="14" customWidth="1"/>
    <col min="3" max="3" width="16" customWidth="1"/>
    <col min="4" max="4" width="9" customWidth="1"/>
    <col min="5" max="5" width="16" customWidth="1"/>
    <col min="6" max="6" width="9" customWidth="1"/>
  </cols>
  <sheetData>
    <row r="1" spans="2:6" ht="22.5" customHeight="1" x14ac:dyDescent="0.25">
      <c r="B1" s="63" t="s">
        <v>831</v>
      </c>
    </row>
    <row r="2" spans="2:6" ht="25.5" customHeight="1" x14ac:dyDescent="0.2">
      <c r="B2" s="94" t="s">
        <v>832</v>
      </c>
      <c r="C2" s="94"/>
      <c r="D2" s="94"/>
      <c r="E2" s="94"/>
      <c r="F2" s="94"/>
    </row>
    <row r="4" spans="2:6" ht="15" customHeight="1" x14ac:dyDescent="0.2">
      <c r="B4" s="30" t="s">
        <v>674</v>
      </c>
      <c r="C4" s="30" t="s">
        <v>833</v>
      </c>
      <c r="D4" s="30" t="s">
        <v>834</v>
      </c>
      <c r="E4" s="30" t="s">
        <v>835</v>
      </c>
      <c r="F4" s="30" t="s">
        <v>834</v>
      </c>
    </row>
    <row r="5" spans="2:6" ht="15" customHeight="1" x14ac:dyDescent="0.2">
      <c r="B5" s="31" t="inlineStr">
        <is>
          <t xml:space="preserve">Bussiculo</t>
        </is>
      </c>
      <c r="C5" s="40" t="inlineStr">
        <is>
          <t xml:space="preserve">Flanders</t>
        </is>
      </c>
      <c r="D5" s="40" t="inlineStr">
        <is>
          <t xml:space="preserve">3–1–0</t>
        </is>
      </c>
      <c r="E5" s="40" t="inlineStr">
        <is>
          <t xml:space="preserve">Jackson</t>
        </is>
      </c>
      <c r="F5" s="40" t="inlineStr">
        <is>
          <t xml:space="preserve">1–3–0</t>
        </is>
      </c>
    </row>
    <row r="6" spans="2:6" ht="15" customHeight="1" x14ac:dyDescent="0.2">
      <c r="B6" s="34" t="inlineStr">
        <is>
          <t xml:space="preserve">Cole</t>
        </is>
      </c>
      <c r="C6" s="43" t="inlineStr">
        <is>
          <t xml:space="preserve">Connors</t>
        </is>
      </c>
      <c r="D6" s="43" t="inlineStr">
        <is>
          <t xml:space="preserve">5–1–2</t>
        </is>
      </c>
      <c r="E6" s="43" t="inlineStr">
        <is>
          <t xml:space="preserve">Forster</t>
        </is>
      </c>
      <c r="F6" s="43" t="inlineStr">
        <is>
          <t xml:space="preserve">1–5–1</t>
        </is>
      </c>
    </row>
    <row r="7" spans="2:6" ht="15" customHeight="1" x14ac:dyDescent="0.2">
      <c r="B7" s="31" t="inlineStr">
        <is>
          <t xml:space="preserve">Connolly</t>
        </is>
      </c>
      <c r="C7" s="40" t="inlineStr">
        <is>
          <t xml:space="preserve">Fogan</t>
        </is>
      </c>
      <c r="D7" s="40" t="inlineStr">
        <is>
          <t xml:space="preserve">6–0–0</t>
        </is>
      </c>
      <c r="E7" s="40" t="inlineStr">
        <is>
          <t xml:space="preserve">Gray</t>
        </is>
      </c>
      <c r="F7" s="40" t="inlineStr">
        <is>
          <t xml:space="preserve">2–6–3</t>
        </is>
      </c>
    </row>
    <row r="8" spans="2:6" ht="15" customHeight="1" x14ac:dyDescent="0.2">
      <c r="B8" s="34" t="inlineStr">
        <is>
          <t xml:space="preserve">Connors</t>
        </is>
      </c>
      <c r="C8" s="43" t="inlineStr">
        <is>
          <t xml:space="preserve">Bussiculo</t>
        </is>
      </c>
      <c r="D8" s="43" t="inlineStr">
        <is>
          <t xml:space="preserve">2–1–1</t>
        </is>
      </c>
      <c r="E8" s="43" t="inlineStr">
        <is>
          <t xml:space="preserve">Fogan</t>
        </is>
      </c>
      <c r="F8" s="43" t="inlineStr">
        <is>
          <t xml:space="preserve">2–7–1</t>
        </is>
      </c>
    </row>
    <row r="9" spans="2:6" ht="15" customHeight="1" x14ac:dyDescent="0.2">
      <c r="B9" s="31" t="inlineStr">
        <is>
          <t xml:space="preserve">Delaney</t>
        </is>
      </c>
      <c r="C9" s="40" t="inlineStr">
        <is>
          <t xml:space="preserve">Mangold</t>
        </is>
      </c>
      <c r="D9" s="40" t="inlineStr">
        <is>
          <t xml:space="preserve">5–3–1</t>
        </is>
      </c>
      <c r="E9" s="40" t="inlineStr">
        <is>
          <t xml:space="preserve">Jackson</t>
        </is>
      </c>
      <c r="F9" s="40" t="inlineStr">
        <is>
          <t xml:space="preserve">0–2–1</t>
        </is>
      </c>
    </row>
    <row r="10" spans="2:6" ht="15" customHeight="1" x14ac:dyDescent="0.2">
      <c r="B10" s="34" t="inlineStr">
        <is>
          <t xml:space="preserve">Delneky</t>
        </is>
      </c>
      <c r="C10" s="43" t="inlineStr">
        <is>
          <t xml:space="preserve">Connors</t>
        </is>
      </c>
      <c r="D10" s="43" t="inlineStr">
        <is>
          <t xml:space="preserve">5–1–0</t>
        </is>
      </c>
      <c r="E10" s="43" t="inlineStr">
        <is>
          <t xml:space="preserve">Delaney</t>
        </is>
      </c>
      <c r="F10" s="43" t="inlineStr">
        <is>
          <t xml:space="preserve">1–3–1</t>
        </is>
      </c>
    </row>
    <row r="11" spans="2:6" ht="15" customHeight="1" x14ac:dyDescent="0.2">
      <c r="B11" s="31" t="inlineStr">
        <is>
          <t xml:space="preserve">DeOteris</t>
        </is>
      </c>
      <c r="C11" s="40" t="inlineStr">
        <is>
          <t xml:space="preserve">—</t>
        </is>
      </c>
      <c r="D11" s="40"/>
      <c r="E11" s="40" t="inlineStr">
        <is>
          <t xml:space="preserve">Delaney</t>
        </is>
      </c>
      <c r="F11" s="40" t="inlineStr">
        <is>
          <t xml:space="preserve">1–3–0</t>
        </is>
      </c>
    </row>
    <row r="12" spans="2:6" ht="15" customHeight="1" x14ac:dyDescent="0.2">
      <c r="B12" s="34" t="inlineStr">
        <is>
          <t xml:space="preserve">Ferrin</t>
        </is>
      </c>
      <c r="C12" s="43" t="inlineStr">
        <is>
          <t xml:space="preserve">Zimmer</t>
        </is>
      </c>
      <c r="D12" s="43" t="inlineStr">
        <is>
          <t xml:space="preserve">8–1–1</t>
        </is>
      </c>
      <c r="E12" s="43" t="inlineStr">
        <is>
          <t xml:space="preserve">Perkins</t>
        </is>
      </c>
      <c r="F12" s="43" t="inlineStr">
        <is>
          <t xml:space="preserve">0–4–0</t>
        </is>
      </c>
    </row>
    <row r="13" spans="2:6" ht="15" customHeight="1" x14ac:dyDescent="0.2">
      <c r="B13" s="31" t="inlineStr">
        <is>
          <t xml:space="preserve">Flanders</t>
        </is>
      </c>
      <c r="C13" s="40" t="inlineStr">
        <is>
          <t xml:space="preserve">Welker</t>
        </is>
      </c>
      <c r="D13" s="40" t="inlineStr">
        <is>
          <t xml:space="preserve">4–0–0</t>
        </is>
      </c>
      <c r="E13" s="40" t="inlineStr">
        <is>
          <t xml:space="preserve">Gray</t>
        </is>
      </c>
      <c r="F13" s="40" t="inlineStr">
        <is>
          <t xml:space="preserve">2–7–0</t>
        </is>
      </c>
    </row>
    <row r="14" spans="2:6" ht="15" customHeight="1" x14ac:dyDescent="0.2">
      <c r="B14" s="34" t="inlineStr">
        <is>
          <t xml:space="preserve">Fogan</t>
        </is>
      </c>
      <c r="C14" s="43" t="inlineStr">
        <is>
          <t xml:space="preserve">Connors</t>
        </is>
      </c>
      <c r="D14" s="43" t="inlineStr">
        <is>
          <t xml:space="preserve">7–2–1</t>
        </is>
      </c>
      <c r="E14" s="43" t="inlineStr">
        <is>
          <t xml:space="preserve">Lynch</t>
        </is>
      </c>
      <c r="F14" s="43" t="inlineStr">
        <is>
          <t xml:space="preserve">0–8–0</t>
        </is>
      </c>
    </row>
    <row r="15" spans="2:6" ht="15" customHeight="1" x14ac:dyDescent="0.2">
      <c r="B15" s="31" t="inlineStr">
        <is>
          <t xml:space="preserve">Forster</t>
        </is>
      </c>
      <c r="C15" s="40" t="inlineStr">
        <is>
          <t xml:space="preserve">McInerney</t>
        </is>
      </c>
      <c r="D15" s="40" t="inlineStr">
        <is>
          <t xml:space="preserve">5–0–1</t>
        </is>
      </c>
      <c r="E15" s="40" t="inlineStr">
        <is>
          <t xml:space="preserve">Flanders</t>
        </is>
      </c>
      <c r="F15" s="40" t="inlineStr">
        <is>
          <t xml:space="preserve">2–5–1</t>
        </is>
      </c>
    </row>
    <row r="16" spans="2:6" ht="15" customHeight="1" x14ac:dyDescent="0.2">
      <c r="B16" s="34" t="inlineStr">
        <is>
          <t xml:space="preserve">Gray</t>
        </is>
      </c>
      <c r="C16" s="43" t="inlineStr">
        <is>
          <t xml:space="preserve">Flanders</t>
        </is>
      </c>
      <c r="D16" s="43" t="inlineStr">
        <is>
          <t xml:space="preserve">7–2–0</t>
        </is>
      </c>
      <c r="E16" s="43" t="inlineStr">
        <is>
          <t xml:space="preserve">Hilts</t>
        </is>
      </c>
      <c r="F16" s="43" t="inlineStr">
        <is>
          <t xml:space="preserve">0–3–0</t>
        </is>
      </c>
    </row>
    <row r="17" spans="2:6" ht="15" customHeight="1" x14ac:dyDescent="0.2">
      <c r="B17" s="31" t="inlineStr">
        <is>
          <t xml:space="preserve">Grise</t>
        </is>
      </c>
      <c r="C17" s="40" t="inlineStr">
        <is>
          <t xml:space="preserve">Mangold</t>
        </is>
      </c>
      <c r="D17" s="40" t="inlineStr">
        <is>
          <t xml:space="preserve">6–2–1</t>
        </is>
      </c>
      <c r="E17" s="40" t="inlineStr">
        <is>
          <t xml:space="preserve">Poirier</t>
        </is>
      </c>
      <c r="F17" s="40" t="inlineStr">
        <is>
          <t xml:space="preserve">2–6–0</t>
        </is>
      </c>
    </row>
    <row r="18" spans="2:6" ht="15" customHeight="1" x14ac:dyDescent="0.2">
      <c r="B18" s="34" t="inlineStr">
        <is>
          <t xml:space="preserve">Hickerson</t>
        </is>
      </c>
      <c r="C18" s="43" t="inlineStr">
        <is>
          <t xml:space="preserve">Hilts</t>
        </is>
      </c>
      <c r="D18" s="43" t="inlineStr">
        <is>
          <t xml:space="preserve">3–2–1</t>
        </is>
      </c>
      <c r="E18" s="43" t="inlineStr">
        <is>
          <t xml:space="preserve">Forster</t>
        </is>
      </c>
      <c r="F18" s="43" t="inlineStr">
        <is>
          <t xml:space="preserve">0–3–0</t>
        </is>
      </c>
    </row>
    <row r="19" spans="2:6" ht="15" customHeight="1" x14ac:dyDescent="0.2">
      <c r="B19" s="31" t="inlineStr">
        <is>
          <t xml:space="preserve">Hilts</t>
        </is>
      </c>
      <c r="C19" s="40" t="inlineStr">
        <is>
          <t xml:space="preserve">Shively</t>
        </is>
      </c>
      <c r="D19" s="40" t="inlineStr">
        <is>
          <t xml:space="preserve">7–3–2</t>
        </is>
      </c>
      <c r="E19" s="40" t="inlineStr">
        <is>
          <t xml:space="preserve">Jackson</t>
        </is>
      </c>
      <c r="F19" s="40" t="inlineStr">
        <is>
          <t xml:space="preserve">1–5–1</t>
        </is>
      </c>
    </row>
    <row r="20" spans="2:6" ht="15" customHeight="1" x14ac:dyDescent="0.2">
      <c r="B20" s="34" t="inlineStr">
        <is>
          <t xml:space="preserve">Jackson</t>
        </is>
      </c>
      <c r="C20" s="43" t="inlineStr">
        <is>
          <t xml:space="preserve">Zimmer</t>
        </is>
      </c>
      <c r="D20" s="43" t="inlineStr">
        <is>
          <t xml:space="preserve">8–1–1</t>
        </is>
      </c>
      <c r="E20" s="43" t="inlineStr">
        <is>
          <t xml:space="preserve">Perkins</t>
        </is>
      </c>
      <c r="F20" s="43" t="inlineStr">
        <is>
          <t xml:space="preserve">1–3–0</t>
        </is>
      </c>
    </row>
    <row r="21" spans="2:6" ht="15" customHeight="1" x14ac:dyDescent="0.2">
      <c r="B21" s="31" t="inlineStr">
        <is>
          <t xml:space="preserve">Lynch</t>
        </is>
      </c>
      <c r="C21" s="40" t="inlineStr">
        <is>
          <t xml:space="preserve">Fogan</t>
        </is>
      </c>
      <c r="D21" s="40" t="inlineStr">
        <is>
          <t xml:space="preserve">8–0–0</t>
        </is>
      </c>
      <c r="E21" s="40" t="inlineStr">
        <is>
          <t xml:space="preserve">Jackson</t>
        </is>
      </c>
      <c r="F21" s="40" t="inlineStr">
        <is>
          <t xml:space="preserve">4–6–2</t>
        </is>
      </c>
    </row>
    <row r="22" spans="2:6" ht="15" customHeight="1" x14ac:dyDescent="0.2">
      <c r="B22" s="34" t="inlineStr">
        <is>
          <t xml:space="preserve">Mangold</t>
        </is>
      </c>
      <c r="C22" s="43" t="inlineStr">
        <is>
          <t xml:space="preserve">Piegari</t>
        </is>
      </c>
      <c r="D22" s="43" t="inlineStr">
        <is>
          <t xml:space="preserve">3–0–1</t>
        </is>
      </c>
      <c r="E22" s="43" t="inlineStr">
        <is>
          <t xml:space="preserve">Shively</t>
        </is>
      </c>
      <c r="F22" s="43" t="inlineStr">
        <is>
          <t xml:space="preserve">1–6–1</t>
        </is>
      </c>
    </row>
    <row r="23" spans="2:6" ht="15" customHeight="1" x14ac:dyDescent="0.2">
      <c r="B23" s="31" t="inlineStr">
        <is>
          <t xml:space="preserve">McInerney</t>
        </is>
      </c>
      <c r="C23" s="40" t="inlineStr">
        <is>
          <t xml:space="preserve">Norat</t>
        </is>
      </c>
      <c r="D23" s="40" t="inlineStr">
        <is>
          <t xml:space="preserve">5–1–2</t>
        </is>
      </c>
      <c r="E23" s="40" t="inlineStr">
        <is>
          <t xml:space="preserve">Forster</t>
        </is>
      </c>
      <c r="F23" s="40" t="inlineStr">
        <is>
          <t xml:space="preserve">0–5–1</t>
        </is>
      </c>
    </row>
    <row r="24" spans="2:6" ht="15" customHeight="1" x14ac:dyDescent="0.2">
      <c r="B24" s="34" t="inlineStr">
        <is>
          <t xml:space="preserve">Norat</t>
        </is>
      </c>
      <c r="C24" s="43" t="inlineStr">
        <is>
          <t xml:space="preserve">Mangold</t>
        </is>
      </c>
      <c r="D24" s="43" t="inlineStr">
        <is>
          <t xml:space="preserve">4–0–0</t>
        </is>
      </c>
      <c r="E24" s="43" t="inlineStr">
        <is>
          <t xml:space="preserve">McInerney</t>
        </is>
      </c>
      <c r="F24" s="43" t="inlineStr">
        <is>
          <t xml:space="preserve">1–5–2</t>
        </is>
      </c>
    </row>
    <row r="25" spans="2:6" ht="15" customHeight="1" x14ac:dyDescent="0.2">
      <c r="B25" s="31" t="inlineStr">
        <is>
          <t xml:space="preserve">Perkins</t>
        </is>
      </c>
      <c r="C25" s="40" t="inlineStr">
        <is>
          <t xml:space="preserve">Piegari</t>
        </is>
      </c>
      <c r="D25" s="40" t="inlineStr">
        <is>
          <t xml:space="preserve">5–0–0</t>
        </is>
      </c>
      <c r="E25" s="40" t="inlineStr">
        <is>
          <t xml:space="preserve">R. Connolly</t>
        </is>
      </c>
      <c r="F25" s="40" t="inlineStr">
        <is>
          <t xml:space="preserve">2–4–0</t>
        </is>
      </c>
    </row>
    <row r="26" spans="2:6" ht="15" customHeight="1" x14ac:dyDescent="0.2">
      <c r="B26" s="34" t="inlineStr">
        <is>
          <t xml:space="preserve">Piegari</t>
        </is>
      </c>
      <c r="C26" s="43" t="inlineStr">
        <is>
          <t xml:space="preserve">Grise</t>
        </is>
      </c>
      <c r="D26" s="43" t="inlineStr">
        <is>
          <t xml:space="preserve">2–1–1</t>
        </is>
      </c>
      <c r="E26" s="43" t="inlineStr">
        <is>
          <t xml:space="preserve">Perkins</t>
        </is>
      </c>
      <c r="F26" s="43" t="inlineStr">
        <is>
          <t xml:space="preserve">0–5–0</t>
        </is>
      </c>
    </row>
    <row r="27" spans="2:6" ht="15" customHeight="1" x14ac:dyDescent="0.2">
      <c r="B27" s="31" t="inlineStr">
        <is>
          <t xml:space="preserve">Poirier</t>
        </is>
      </c>
      <c r="C27" s="40" t="inlineStr">
        <is>
          <t xml:space="preserve">Flanders</t>
        </is>
      </c>
      <c r="D27" s="40" t="inlineStr">
        <is>
          <t xml:space="preserve">6–2–2</t>
        </is>
      </c>
      <c r="E27" s="40" t="inlineStr">
        <is>
          <t xml:space="preserve">McInerney</t>
        </is>
      </c>
      <c r="F27" s="40" t="inlineStr">
        <is>
          <t xml:space="preserve">1–5–0</t>
        </is>
      </c>
    </row>
    <row r="28" spans="2:6" ht="15" customHeight="1" x14ac:dyDescent="0.2">
      <c r="B28" s="34" t="inlineStr">
        <is>
          <t xml:space="preserve">R. Connolly</t>
        </is>
      </c>
      <c r="C28" s="43" t="inlineStr">
        <is>
          <t xml:space="preserve">Shively</t>
        </is>
      </c>
      <c r="D28" s="43" t="inlineStr">
        <is>
          <t xml:space="preserve">3–0–0</t>
        </is>
      </c>
      <c r="E28" s="43" t="inlineStr">
        <is>
          <t xml:space="preserve">Welker</t>
        </is>
      </c>
      <c r="F28" s="43" t="inlineStr">
        <is>
          <t xml:space="preserve">0–3–0</t>
        </is>
      </c>
    </row>
    <row r="29" spans="2:6" ht="15" customHeight="1" x14ac:dyDescent="0.2">
      <c r="B29" s="31" t="inlineStr">
        <is>
          <t xml:space="preserve">Shively</t>
        </is>
      </c>
      <c r="C29" s="40" t="inlineStr">
        <is>
          <t xml:space="preserve">Mangold</t>
        </is>
      </c>
      <c r="D29" s="40" t="inlineStr">
        <is>
          <t xml:space="preserve">6–1–1</t>
        </is>
      </c>
      <c r="E29" s="40" t="inlineStr">
        <is>
          <t xml:space="preserve">Ferrin</t>
        </is>
      </c>
      <c r="F29" s="40" t="inlineStr">
        <is>
          <t xml:space="preserve">1–7–0</t>
        </is>
      </c>
    </row>
    <row r="30" spans="2:6" ht="15" customHeight="1" x14ac:dyDescent="0.2">
      <c r="B30" s="34" t="inlineStr">
        <is>
          <t xml:space="preserve">Weisberger</t>
        </is>
      </c>
      <c r="C30" s="43" t="inlineStr">
        <is>
          <t xml:space="preserve">Grise</t>
        </is>
      </c>
      <c r="D30" s="43" t="inlineStr">
        <is>
          <t xml:space="preserve">3–2–0</t>
        </is>
      </c>
      <c r="E30" s="43" t="inlineStr">
        <is>
          <t xml:space="preserve">Jackson</t>
        </is>
      </c>
      <c r="F30" s="43" t="inlineStr">
        <is>
          <t xml:space="preserve">1–3–0</t>
        </is>
      </c>
    </row>
    <row r="31" spans="2:6" ht="15" customHeight="1" x14ac:dyDescent="0.2">
      <c r="B31" s="31" t="inlineStr">
        <is>
          <t xml:space="preserve">Welker</t>
        </is>
      </c>
      <c r="C31" s="40" t="inlineStr">
        <is>
          <t xml:space="preserve">Cole</t>
        </is>
      </c>
      <c r="D31" s="40" t="inlineStr">
        <is>
          <t xml:space="preserve">4–1–1</t>
        </is>
      </c>
      <c r="E31" s="40" t="inlineStr">
        <is>
          <t xml:space="preserve">Lynch</t>
        </is>
      </c>
      <c r="F31" s="40" t="inlineStr">
        <is>
          <t xml:space="preserve">1–5–1</t>
        </is>
      </c>
    </row>
    <row r="32" spans="2:6" ht="15" customHeight="1" x14ac:dyDescent="0.2">
      <c r="B32" s="34" t="inlineStr">
        <is>
          <t xml:space="preserve">Zimmer</t>
        </is>
      </c>
      <c r="C32" s="43" t="inlineStr">
        <is>
          <t xml:space="preserve">Connors</t>
        </is>
      </c>
      <c r="D32" s="43" t="inlineStr">
        <is>
          <t xml:space="preserve">5–1–0</t>
        </is>
      </c>
      <c r="E32" s="43" t="inlineStr">
        <is>
          <t xml:space="preserve">Ferrin</t>
        </is>
      </c>
      <c r="F32" s="43" t="inlineStr">
        <is>
          <t xml:space="preserve">1–8–1</t>
        </is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F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6" sqref="B26"/>
    </sheetView>
  </sheetViews>
  <sheetFormatPr baseColWidth="10" defaultColWidth="8.6640625" defaultRowHeight="15" x14ac:dyDescent="0.2"/>
  <cols>
    <col min="2" max="2" width="14" customWidth="1"/>
    <col min="3" max="3" width="9" customWidth="1"/>
    <col min="4" max="5" width="18" customWidth="1"/>
    <col min="6" max="6" width="10" customWidth="1"/>
  </cols>
  <sheetData>
    <row r="1" spans="2:6" ht="22.5" customHeight="1" x14ac:dyDescent="0.25">
      <c r="B1" s="63" t="s">
        <v>877</v>
      </c>
    </row>
    <row r="2" spans="2:6" ht="25.5" customHeight="1" x14ac:dyDescent="0.2">
      <c r="B2" s="94" t="s">
        <v>878</v>
      </c>
      <c r="C2" s="94"/>
      <c r="D2" s="94"/>
      <c r="E2" s="94"/>
      <c r="F2" s="94"/>
    </row>
    <row r="4" spans="2:6" ht="15" customHeight="1" x14ac:dyDescent="0.2">
      <c r="B4" s="30" t="s">
        <v>674</v>
      </c>
      <c r="C4" s="30" t="s">
        <v>718</v>
      </c>
      <c r="D4" s="30" t="s">
        <v>879</v>
      </c>
      <c r="E4" s="30" t="s">
        <v>880</v>
      </c>
      <c r="F4" s="30" t="s">
        <v>881</v>
      </c>
    </row>
    <row r="5" spans="2:6" ht="15" customHeight="1" x14ac:dyDescent="0.2">
      <c r="B5" s="31" t="inlineStr">
        <is>
          <t xml:space="preserve">Jackson</t>
        </is>
      </c>
      <c r="C5" s="40">
        <v>69</v>
      </c>
      <c r="D5" s="40">
        <v>8</v>
      </c>
      <c r="E5" s="40">
        <v>4</v>
      </c>
      <c r="F5" s="74" t="inlineStr">
        <is>
          <t xml:space="preserve">W4</t>
        </is>
      </c>
    </row>
    <row r="6" spans="2:6" ht="15" customHeight="1" x14ac:dyDescent="0.2">
      <c r="B6" s="34" t="inlineStr">
        <is>
          <t xml:space="preserve">Perkins</t>
        </is>
      </c>
      <c r="C6" s="43">
        <v>28</v>
      </c>
      <c r="D6" s="43">
        <v>7</v>
      </c>
      <c r="E6" s="43">
        <v>4</v>
      </c>
      <c r="F6" s="71" t="inlineStr">
        <is>
          <t xml:space="preserve">L1</t>
        </is>
      </c>
    </row>
    <row r="7" spans="2:6" ht="15" customHeight="1" x14ac:dyDescent="0.2">
      <c r="B7" s="31" t="inlineStr">
        <is>
          <t xml:space="preserve">Delneky</t>
        </is>
      </c>
      <c r="C7" s="40">
        <v>32</v>
      </c>
      <c r="D7" s="40">
        <v>5</v>
      </c>
      <c r="E7" s="40">
        <v>2</v>
      </c>
      <c r="F7" s="74" t="inlineStr">
        <is>
          <t xml:space="preserve">T2</t>
        </is>
      </c>
    </row>
    <row r="8" spans="2:6" ht="15" customHeight="1" x14ac:dyDescent="0.2">
      <c r="B8" s="34" t="inlineStr">
        <is>
          <t xml:space="preserve">Grise</t>
        </is>
      </c>
      <c r="C8" s="43">
        <v>69</v>
      </c>
      <c r="D8" s="43">
        <v>5</v>
      </c>
      <c r="E8" s="43">
        <v>3</v>
      </c>
      <c r="F8" s="71" t="inlineStr">
        <is>
          <t xml:space="preserve">W1</t>
        </is>
      </c>
    </row>
    <row r="9" spans="2:6" ht="15" customHeight="1" x14ac:dyDescent="0.2">
      <c r="B9" s="31" t="inlineStr">
        <is>
          <t xml:space="preserve">McInerney</t>
        </is>
      </c>
      <c r="C9" s="40">
        <v>47</v>
      </c>
      <c r="D9" s="40">
        <v>5</v>
      </c>
      <c r="E9" s="40">
        <v>4</v>
      </c>
      <c r="F9" s="74" t="inlineStr">
        <is>
          <t xml:space="preserve">L1</t>
        </is>
      </c>
    </row>
    <row r="10" spans="2:6" ht="15" customHeight="1" x14ac:dyDescent="0.2">
      <c r="B10" s="34" t="inlineStr">
        <is>
          <t xml:space="preserve">Connolly</t>
        </is>
      </c>
      <c r="C10" s="43">
        <v>69</v>
      </c>
      <c r="D10" s="43">
        <v>5</v>
      </c>
      <c r="E10" s="43">
        <v>6</v>
      </c>
      <c r="F10" s="71" t="inlineStr">
        <is>
          <t xml:space="preserve">L2</t>
        </is>
      </c>
    </row>
    <row r="11" spans="2:6" ht="15" customHeight="1" x14ac:dyDescent="0.2">
      <c r="B11" s="31" t="inlineStr">
        <is>
          <t xml:space="preserve">Gray</t>
        </is>
      </c>
      <c r="C11" s="40">
        <v>42</v>
      </c>
      <c r="D11" s="40">
        <v>4</v>
      </c>
      <c r="E11" s="40">
        <v>3</v>
      </c>
      <c r="F11" s="74" t="inlineStr">
        <is>
          <t xml:space="preserve">W1</t>
        </is>
      </c>
    </row>
    <row r="12" spans="2:6" ht="15" customHeight="1" x14ac:dyDescent="0.2">
      <c r="B12" s="34" t="inlineStr">
        <is>
          <t xml:space="preserve">Delaney</t>
        </is>
      </c>
      <c r="C12" s="43">
        <v>38</v>
      </c>
      <c r="D12" s="43">
        <v>4</v>
      </c>
      <c r="E12" s="43">
        <v>3</v>
      </c>
      <c r="F12" s="71" t="inlineStr">
        <is>
          <t xml:space="preserve">L1</t>
        </is>
      </c>
    </row>
    <row r="13" spans="2:6" ht="15" customHeight="1" x14ac:dyDescent="0.2">
      <c r="B13" s="31" t="inlineStr">
        <is>
          <t xml:space="preserve">Norat</t>
        </is>
      </c>
      <c r="C13" s="40">
        <v>36</v>
      </c>
      <c r="D13" s="40">
        <v>4</v>
      </c>
      <c r="E13" s="40">
        <v>3</v>
      </c>
      <c r="F13" s="74" t="inlineStr">
        <is>
          <t xml:space="preserve">W1</t>
        </is>
      </c>
    </row>
    <row r="14" spans="2:6" ht="15" customHeight="1" x14ac:dyDescent="0.2">
      <c r="B14" s="34" t="inlineStr">
        <is>
          <t xml:space="preserve">Lynch</t>
        </is>
      </c>
      <c r="C14" s="43">
        <v>69</v>
      </c>
      <c r="D14" s="43">
        <v>4</v>
      </c>
      <c r="E14" s="43">
        <v>4</v>
      </c>
      <c r="F14" s="71" t="inlineStr">
        <is>
          <t xml:space="preserve">L1</t>
        </is>
      </c>
    </row>
    <row r="15" spans="2:6" ht="15" customHeight="1" x14ac:dyDescent="0.2">
      <c r="B15" s="31" t="inlineStr">
        <is>
          <t xml:space="preserve">Hilts</t>
        </is>
      </c>
      <c r="C15" s="40">
        <v>64</v>
      </c>
      <c r="D15" s="40">
        <v>4</v>
      </c>
      <c r="E15" s="40">
        <v>4</v>
      </c>
      <c r="F15" s="74" t="inlineStr">
        <is>
          <t xml:space="preserve">W1</t>
        </is>
      </c>
    </row>
    <row r="16" spans="2:6" ht="15" customHeight="1" x14ac:dyDescent="0.2">
      <c r="B16" s="34" t="inlineStr">
        <is>
          <t xml:space="preserve">Welker</t>
        </is>
      </c>
      <c r="C16" s="43">
        <v>47</v>
      </c>
      <c r="D16" s="43">
        <v>4</v>
      </c>
      <c r="E16" s="43">
        <v>4</v>
      </c>
      <c r="F16" s="71" t="inlineStr">
        <is>
          <t xml:space="preserve">W1</t>
        </is>
      </c>
    </row>
    <row r="17" spans="2:6" ht="15" customHeight="1" x14ac:dyDescent="0.2">
      <c r="B17" s="31" t="inlineStr">
        <is>
          <t xml:space="preserve">R. Connolly</t>
        </is>
      </c>
      <c r="C17" s="40">
        <v>18</v>
      </c>
      <c r="D17" s="40">
        <v>4</v>
      </c>
      <c r="E17" s="40">
        <v>4</v>
      </c>
      <c r="F17" s="74" t="inlineStr">
        <is>
          <t xml:space="preserve">L4</t>
        </is>
      </c>
    </row>
    <row r="18" spans="2:6" ht="15" customHeight="1" x14ac:dyDescent="0.2">
      <c r="B18" s="34" t="inlineStr">
        <is>
          <t xml:space="preserve">Ferrin</t>
        </is>
      </c>
      <c r="C18" s="43">
        <v>69</v>
      </c>
      <c r="D18" s="43">
        <v>4</v>
      </c>
      <c r="E18" s="43">
        <v>5</v>
      </c>
      <c r="F18" s="71" t="inlineStr">
        <is>
          <t xml:space="preserve">W2</t>
        </is>
      </c>
    </row>
    <row r="19" spans="2:6" ht="15" customHeight="1" x14ac:dyDescent="0.2">
      <c r="B19" s="31" t="inlineStr">
        <is>
          <t xml:space="preserve">Flanders</t>
        </is>
      </c>
      <c r="C19" s="40">
        <v>69</v>
      </c>
      <c r="D19" s="40">
        <v>4</v>
      </c>
      <c r="E19" s="40">
        <v>5</v>
      </c>
      <c r="F19" s="74" t="inlineStr">
        <is>
          <t xml:space="preserve">W1</t>
        </is>
      </c>
    </row>
    <row r="20" spans="2:6" ht="15" customHeight="1" x14ac:dyDescent="0.2">
      <c r="B20" s="34" t="inlineStr">
        <is>
          <t xml:space="preserve">Mangold</t>
        </is>
      </c>
      <c r="C20" s="43">
        <v>64</v>
      </c>
      <c r="D20" s="43">
        <v>4</v>
      </c>
      <c r="E20" s="43">
        <v>5</v>
      </c>
      <c r="F20" s="71" t="inlineStr">
        <is>
          <t xml:space="preserve">L1</t>
        </is>
      </c>
    </row>
    <row r="21" spans="2:6" ht="15" customHeight="1" x14ac:dyDescent="0.2">
      <c r="B21" s="31" t="inlineStr">
        <is>
          <t xml:space="preserve">Shively</t>
        </is>
      </c>
      <c r="C21" s="40">
        <v>63</v>
      </c>
      <c r="D21" s="40">
        <v>4</v>
      </c>
      <c r="E21" s="40">
        <v>6</v>
      </c>
      <c r="F21" s="74" t="inlineStr">
        <is>
          <t xml:space="preserve">L1</t>
        </is>
      </c>
    </row>
    <row r="22" spans="2:6" ht="15" customHeight="1" x14ac:dyDescent="0.2">
      <c r="B22" s="34" t="inlineStr">
        <is>
          <t xml:space="preserve">Forster</t>
        </is>
      </c>
      <c r="C22" s="43">
        <v>63</v>
      </c>
      <c r="D22" s="43">
        <v>4</v>
      </c>
      <c r="E22" s="43">
        <v>7</v>
      </c>
      <c r="F22" s="71" t="inlineStr">
        <is>
          <t xml:space="preserve">W1</t>
        </is>
      </c>
    </row>
    <row r="23" spans="2:6" ht="15" customHeight="1" x14ac:dyDescent="0.2">
      <c r="B23" s="31" t="inlineStr">
        <is>
          <t xml:space="preserve">Fogan</t>
        </is>
      </c>
      <c r="C23" s="40">
        <v>64</v>
      </c>
      <c r="D23" s="40">
        <v>4</v>
      </c>
      <c r="E23" s="40">
        <v>13</v>
      </c>
      <c r="F23" s="74" t="inlineStr">
        <is>
          <t xml:space="preserve">L1</t>
        </is>
      </c>
    </row>
    <row r="24" spans="2:6" ht="15" customHeight="1" x14ac:dyDescent="0.2">
      <c r="B24" s="34" t="inlineStr">
        <is>
          <t xml:space="preserve">Piegari</t>
        </is>
      </c>
      <c r="C24" s="43">
        <v>17</v>
      </c>
      <c r="D24" s="43">
        <v>3</v>
      </c>
      <c r="E24" s="43">
        <v>3</v>
      </c>
      <c r="F24" s="71" t="inlineStr">
        <is>
          <t xml:space="preserve">W3</t>
        </is>
      </c>
    </row>
    <row r="25" spans="2:6" ht="15" customHeight="1" x14ac:dyDescent="0.2">
      <c r="B25" s="31" t="inlineStr">
        <is>
          <t xml:space="preserve">DeOteris</t>
        </is>
      </c>
      <c r="C25" s="40">
        <v>21</v>
      </c>
      <c r="D25" s="40">
        <v>3</v>
      </c>
      <c r="E25" s="40">
        <v>5</v>
      </c>
      <c r="F25" s="74" t="inlineStr">
        <is>
          <t xml:space="preserve">T1</t>
        </is>
      </c>
    </row>
    <row r="26" spans="2:6" ht="15" customHeight="1" x14ac:dyDescent="0.2">
      <c r="B26" s="34" t="inlineStr">
        <is>
          <t xml:space="preserve">Zimmer</t>
        </is>
      </c>
      <c r="C26" s="43">
        <v>59</v>
      </c>
      <c r="D26" s="43">
        <v>3</v>
      </c>
      <c r="E26" s="43">
        <v>6</v>
      </c>
      <c r="F26" s="71" t="inlineStr">
        <is>
          <t xml:space="preserve">L2</t>
        </is>
      </c>
    </row>
    <row r="27" spans="2:6" ht="15" customHeight="1" x14ac:dyDescent="0.2">
      <c r="B27" s="31" t="inlineStr">
        <is>
          <t xml:space="preserve">Bussiculo</t>
        </is>
      </c>
      <c r="C27" s="40">
        <v>26</v>
      </c>
      <c r="D27" s="40">
        <v>2</v>
      </c>
      <c r="E27" s="40">
        <v>3</v>
      </c>
      <c r="F27" s="74" t="inlineStr">
        <is>
          <t xml:space="preserve">L2</t>
        </is>
      </c>
    </row>
    <row r="28" spans="2:6" ht="15" customHeight="1" x14ac:dyDescent="0.2">
      <c r="B28" s="34" t="inlineStr">
        <is>
          <t xml:space="preserve">Weisberger</t>
        </is>
      </c>
      <c r="C28" s="43">
        <v>15</v>
      </c>
      <c r="D28" s="43">
        <v>2</v>
      </c>
      <c r="E28" s="43">
        <v>3</v>
      </c>
      <c r="F28" s="71" t="inlineStr">
        <is>
          <t xml:space="preserve">L1</t>
        </is>
      </c>
    </row>
    <row r="29" spans="2:6" ht="15" customHeight="1" x14ac:dyDescent="0.2">
      <c r="B29" s="31" t="inlineStr">
        <is>
          <t xml:space="preserve">Cole</t>
        </is>
      </c>
      <c r="C29" s="40">
        <v>57</v>
      </c>
      <c r="D29" s="40">
        <v>2</v>
      </c>
      <c r="E29" s="40">
        <v>4</v>
      </c>
      <c r="F29" s="74" t="inlineStr">
        <is>
          <t xml:space="preserve">W1</t>
        </is>
      </c>
    </row>
    <row r="30" spans="2:6" ht="15" customHeight="1" x14ac:dyDescent="0.2">
      <c r="B30" s="34" t="inlineStr">
        <is>
          <t xml:space="preserve">Connors</t>
        </is>
      </c>
      <c r="C30" s="43">
        <v>52</v>
      </c>
      <c r="D30" s="43">
        <v>2</v>
      </c>
      <c r="E30" s="43">
        <v>5</v>
      </c>
      <c r="F30" s="71" t="inlineStr">
        <is>
          <t xml:space="preserve">L1</t>
        </is>
      </c>
    </row>
    <row r="31" spans="2:6" ht="15" customHeight="1" x14ac:dyDescent="0.2">
      <c r="B31" s="31" t="inlineStr">
        <is>
          <t xml:space="preserve">Poirier</t>
        </is>
      </c>
      <c r="C31" s="40">
        <v>43</v>
      </c>
      <c r="D31" s="40">
        <v>2</v>
      </c>
      <c r="E31" s="40">
        <v>5</v>
      </c>
      <c r="F31" s="74" t="inlineStr">
        <is>
          <t xml:space="preserve">L2</t>
        </is>
      </c>
    </row>
    <row r="32" spans="2:6" ht="15" customHeight="1" x14ac:dyDescent="0.2">
      <c r="B32" s="34" t="inlineStr">
        <is>
          <t xml:space="preserve">Hickerson</t>
        </is>
      </c>
      <c r="C32" s="43">
        <v>20</v>
      </c>
      <c r="D32" s="43">
        <v>2</v>
      </c>
      <c r="E32" s="43">
        <v>5</v>
      </c>
      <c r="F32" s="71" t="inlineStr">
        <is>
          <t xml:space="preserve">L5</t>
        </is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6"/>
  <sheetViews>
    <sheetView topLeftCell="A15" zoomScaleNormal="100" workbookViewId="0">
      <selection activeCell="H18" sqref="H18"/>
    </sheetView>
  </sheetViews>
  <sheetFormatPr baseColWidth="10" defaultColWidth="8.83203125" defaultRowHeight="15" x14ac:dyDescent="0.2"/>
  <sheetData>
    <row r="1" spans="1:8" ht="15" customHeight="1" x14ac:dyDescent="0.2">
      <c r="A1" s="14"/>
      <c r="B1" s="14"/>
      <c r="C1" s="14"/>
      <c r="D1" s="14"/>
      <c r="E1" s="14"/>
      <c r="F1" s="14"/>
      <c r="G1" s="14"/>
      <c r="H1" s="14"/>
    </row>
    <row r="4" spans="1:8" ht="15" customHeight="1" x14ac:dyDescent="0.2">
      <c r="E4" t="s">
        <v>889</v>
      </c>
    </row>
    <row r="6" spans="1:8" ht="15" customHeight="1" x14ac:dyDescent="0.2">
      <c r="E6" t="s">
        <v>890</v>
      </c>
    </row>
    <row r="7" spans="1:8" ht="15" customHeight="1" x14ac:dyDescent="0.2">
      <c r="E7" t="s">
        <v>891</v>
      </c>
      <c r="F7">
        <f>MAX(Cups!$P$3:$P$33)</f>
        <v>10</v>
      </c>
      <c r="H7" t="str">
        <f>INDEX(Cups!$B$3:$B$33,MATCH(F7,Cups!$P$3:$P$33,0))</f>
        <v>Lynch</v>
      </c>
    </row>
    <row r="8" spans="1:8" ht="15" customHeight="1" x14ac:dyDescent="0.2">
      <c r="E8" t="s">
        <v>892</v>
      </c>
      <c r="F8" s="76">
        <v>1</v>
      </c>
      <c r="H8" t="s">
        <v>456</v>
      </c>
    </row>
    <row r="9" spans="1:8" ht="15" customHeight="1" x14ac:dyDescent="0.2">
      <c r="E9" t="s">
        <v>893</v>
      </c>
      <c r="F9" s="76">
        <v>0</v>
      </c>
      <c r="H9" t="s">
        <v>457</v>
      </c>
    </row>
    <row r="10" spans="1:8" ht="15" customHeight="1" x14ac:dyDescent="0.2">
      <c r="E10" t="s">
        <v>894</v>
      </c>
      <c r="F10">
        <f>MAX(LifetimeLeaderboard!$C$5:$C$35)</f>
        <v>50.5</v>
      </c>
      <c r="H10" t="str">
        <f>INDEX(LifetimeLeaderboard!$B$5:$B$35,MATCH(F10,LifetimeLeaderboard!$C$5:$C$35,0))</f>
        <v>Connolly</v>
      </c>
    </row>
    <row r="11" spans="1:8" ht="15" customHeight="1" x14ac:dyDescent="0.2">
      <c r="E11" t="s">
        <v>895</v>
      </c>
      <c r="F11">
        <v>4.5999999999999996</v>
      </c>
      <c r="H11" t="s">
        <v>456</v>
      </c>
    </row>
    <row r="12" spans="1:8" ht="96" customHeight="1" x14ac:dyDescent="0.2">
      <c r="E12" t="s">
        <v>896</v>
      </c>
      <c r="F12" s="77">
        <f>SUMPRODUCT(MAX(('Singles_Doubles records'!$N$5:$N$168&gt;=3)*'Singles_Doubles records'!$M$5:$M$168))</f>
        <v>0.875</v>
      </c>
      <c r="H12" s="78" t="str">
        <f>INDEX('Singles_Doubles records'!$I$5:$I$168,MATCH(F12,INDEX(('Singles_Doubles records'!$N$5:$N$168&gt;=3)*'Singles_Doubles records'!$M$5:$M$168,0,1),0))</f>
        <v>Ferrin / Flanders</v>
      </c>
    </row>
    <row r="13" spans="1:8" ht="15" customHeight="1" x14ac:dyDescent="0.2">
      <c r="E13" t="s">
        <v>897</v>
      </c>
      <c r="F13">
        <v>9.5</v>
      </c>
      <c r="H13" t="s">
        <v>898</v>
      </c>
    </row>
    <row r="15" spans="1:8" ht="15" customHeight="1" x14ac:dyDescent="0.2">
      <c r="E15" t="s">
        <v>897</v>
      </c>
    </row>
    <row r="16" spans="1:8" ht="96" customHeight="1" x14ac:dyDescent="0.2">
      <c r="E16" t="s">
        <v>158</v>
      </c>
      <c r="F16" t="s">
        <v>396</v>
      </c>
      <c r="H16" s="78" t="s">
        <v>899</v>
      </c>
    </row>
    <row r="17" spans="5:8" ht="144" customHeight="1" x14ac:dyDescent="0.2">
      <c r="E17" t="s">
        <v>115</v>
      </c>
      <c r="F17" t="s">
        <v>257</v>
      </c>
      <c r="H17" s="78" t="s">
        <v>900</v>
      </c>
    </row>
    <row r="18" spans="5:8" ht="159.75" customHeight="1" x14ac:dyDescent="0.2">
      <c r="E18" t="s">
        <v>368</v>
      </c>
      <c r="F18" t="s">
        <v>257</v>
      </c>
      <c r="H18" s="78" t="s">
        <v>1290</v>
      </c>
    </row>
    <row r="19" spans="5:8" ht="144" customHeight="1" x14ac:dyDescent="0.2">
      <c r="E19" t="s">
        <v>901</v>
      </c>
      <c r="F19" t="s">
        <v>902</v>
      </c>
      <c r="H19" s="78" t="s">
        <v>903</v>
      </c>
    </row>
    <row r="20" spans="5:8" ht="240" customHeight="1" x14ac:dyDescent="0.2">
      <c r="E20" t="s">
        <v>145</v>
      </c>
      <c r="F20" t="s">
        <v>257</v>
      </c>
      <c r="H20" s="78" t="s">
        <v>904</v>
      </c>
    </row>
    <row r="21" spans="5:8" ht="15" customHeight="1" x14ac:dyDescent="0.2">
      <c r="E21" t="s">
        <v>197</v>
      </c>
      <c r="F21">
        <v>12.5</v>
      </c>
      <c r="H21" t="s">
        <v>905</v>
      </c>
    </row>
    <row r="23" spans="5:8" ht="15" customHeight="1" x14ac:dyDescent="0.2">
      <c r="E23" t="s">
        <v>906</v>
      </c>
      <c r="F23">
        <v>24</v>
      </c>
      <c r="H23" t="s">
        <v>907</v>
      </c>
    </row>
    <row r="24" spans="5:8" ht="15" customHeight="1" x14ac:dyDescent="0.2">
      <c r="E24" t="s">
        <v>908</v>
      </c>
      <c r="F24">
        <v>6</v>
      </c>
      <c r="H24" t="s">
        <v>909</v>
      </c>
    </row>
    <row r="26" spans="5:8" ht="15" customHeight="1" x14ac:dyDescent="0.2">
      <c r="E26" s="79" t="s">
        <v>910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6"/>
  <sheetViews>
    <sheetView zoomScaleNormal="100" workbookViewId="0">
      <selection activeCell="D37" sqref="D37"/>
    </sheetView>
  </sheetViews>
  <sheetFormatPr baseColWidth="10" defaultColWidth="8.83203125" defaultRowHeight="15" x14ac:dyDescent="0.2"/>
  <sheetData>
    <row r="1" spans="1:11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15" customHeight="1" x14ac:dyDescent="0.2">
      <c r="D3" t="s">
        <v>911</v>
      </c>
      <c r="H3" t="s">
        <v>911</v>
      </c>
      <c r="K3" t="s">
        <v>912</v>
      </c>
    </row>
    <row r="4" spans="1:11" ht="15" customHeight="1" x14ac:dyDescent="0.2">
      <c r="K4" t="s">
        <v>913</v>
      </c>
    </row>
    <row r="5" spans="1:11" ht="15" customHeight="1" x14ac:dyDescent="0.2">
      <c r="D5" t="s">
        <v>914</v>
      </c>
      <c r="E5">
        <v>0</v>
      </c>
      <c r="H5" t="s">
        <v>693</v>
      </c>
      <c r="I5">
        <v>5</v>
      </c>
      <c r="K5" t="s">
        <v>915</v>
      </c>
    </row>
    <row r="6" spans="1:11" ht="15" customHeight="1" x14ac:dyDescent="0.2">
      <c r="D6" t="s">
        <v>179</v>
      </c>
      <c r="E6">
        <v>5</v>
      </c>
      <c r="H6" t="s">
        <v>172</v>
      </c>
      <c r="I6">
        <v>4</v>
      </c>
    </row>
    <row r="7" spans="1:11" ht="15" customHeight="1" x14ac:dyDescent="0.2">
      <c r="D7" t="s">
        <v>1308</v>
      </c>
      <c r="E7">
        <v>2</v>
      </c>
      <c r="H7" t="s">
        <v>226</v>
      </c>
      <c r="I7">
        <v>5</v>
      </c>
    </row>
    <row r="8" spans="1:11" ht="15" customHeight="1" x14ac:dyDescent="0.2">
      <c r="D8" t="s">
        <v>178</v>
      </c>
      <c r="E8">
        <v>9</v>
      </c>
      <c r="H8" t="s">
        <v>119</v>
      </c>
      <c r="I8">
        <v>4</v>
      </c>
    </row>
    <row r="9" spans="1:11" ht="15" customHeight="1" x14ac:dyDescent="0.2">
      <c r="D9" t="s">
        <v>916</v>
      </c>
      <c r="E9">
        <v>10</v>
      </c>
      <c r="H9" t="s">
        <v>122</v>
      </c>
      <c r="I9">
        <v>1</v>
      </c>
    </row>
    <row r="10" spans="1:11" ht="15" customHeight="1" x14ac:dyDescent="0.2">
      <c r="D10" t="s">
        <v>132</v>
      </c>
      <c r="E10">
        <v>10</v>
      </c>
      <c r="H10" t="s">
        <v>118</v>
      </c>
      <c r="I10">
        <v>2</v>
      </c>
    </row>
    <row r="11" spans="1:11" ht="15" customHeight="1" x14ac:dyDescent="0.2">
      <c r="D11" t="s">
        <v>176</v>
      </c>
      <c r="E11">
        <v>3</v>
      </c>
      <c r="H11" t="s">
        <v>123</v>
      </c>
      <c r="I11">
        <v>2</v>
      </c>
    </row>
    <row r="12" spans="1:11" ht="15" customHeight="1" x14ac:dyDescent="0.2">
      <c r="D12" t="s">
        <v>230</v>
      </c>
      <c r="E12">
        <v>11</v>
      </c>
      <c r="H12" t="s">
        <v>133</v>
      </c>
      <c r="I12">
        <v>5</v>
      </c>
    </row>
    <row r="13" spans="1:11" ht="15" customHeight="1" x14ac:dyDescent="0.2">
      <c r="D13" t="s">
        <v>130</v>
      </c>
      <c r="E13">
        <v>10</v>
      </c>
      <c r="H13" t="s">
        <v>231</v>
      </c>
      <c r="I13">
        <v>1</v>
      </c>
    </row>
    <row r="14" spans="1:11" ht="15" customHeight="1" x14ac:dyDescent="0.2">
      <c r="D14" t="s">
        <v>272</v>
      </c>
      <c r="E14">
        <v>9</v>
      </c>
      <c r="H14" t="s">
        <v>135</v>
      </c>
      <c r="I14">
        <v>4</v>
      </c>
    </row>
    <row r="15" spans="1:11" ht="15" customHeight="1" x14ac:dyDescent="0.2">
      <c r="D15" t="s">
        <v>227</v>
      </c>
      <c r="E15">
        <v>7</v>
      </c>
    </row>
    <row r="16" spans="1:11" ht="15" customHeight="1" x14ac:dyDescent="0.2">
      <c r="H16" t="s">
        <v>709</v>
      </c>
      <c r="I16">
        <v>3.3</v>
      </c>
    </row>
    <row r="17" spans="4:6" ht="15" customHeight="1" x14ac:dyDescent="0.2">
      <c r="D17" t="s">
        <v>709</v>
      </c>
      <c r="E17">
        <v>7.6</v>
      </c>
    </row>
    <row r="25" spans="4:6" ht="15" customHeight="1" x14ac:dyDescent="0.2">
      <c r="E25">
        <v>2018</v>
      </c>
      <c r="F25">
        <v>2019</v>
      </c>
    </row>
    <row r="26" spans="4:6" ht="15" customHeight="1" x14ac:dyDescent="0.2">
      <c r="D26" t="s">
        <v>914</v>
      </c>
      <c r="E26">
        <v>0</v>
      </c>
      <c r="F26">
        <v>0</v>
      </c>
    </row>
    <row r="27" spans="4:6" ht="15" customHeight="1" x14ac:dyDescent="0.2">
      <c r="D27" t="s">
        <v>179</v>
      </c>
      <c r="E27">
        <v>5</v>
      </c>
      <c r="F27">
        <v>5</v>
      </c>
    </row>
    <row r="28" spans="4:6" ht="15" customHeight="1" x14ac:dyDescent="0.2">
      <c r="D28" t="s">
        <v>1308</v>
      </c>
      <c r="E28">
        <v>2</v>
      </c>
      <c r="F28">
        <v>2</v>
      </c>
    </row>
    <row r="29" spans="4:6" ht="15" customHeight="1" x14ac:dyDescent="0.2">
      <c r="D29" t="s">
        <v>178</v>
      </c>
      <c r="E29">
        <v>9</v>
      </c>
      <c r="F29">
        <v>9</v>
      </c>
    </row>
    <row r="30" spans="4:6" ht="15" customHeight="1" x14ac:dyDescent="0.2">
      <c r="D30" t="s">
        <v>916</v>
      </c>
      <c r="E30">
        <v>10</v>
      </c>
      <c r="F30">
        <v>10</v>
      </c>
    </row>
    <row r="31" spans="4:6" ht="15" customHeight="1" x14ac:dyDescent="0.2">
      <c r="D31" t="s">
        <v>132</v>
      </c>
      <c r="E31">
        <v>10</v>
      </c>
      <c r="F31">
        <v>9</v>
      </c>
    </row>
    <row r="32" spans="4:6" ht="15" customHeight="1" x14ac:dyDescent="0.2">
      <c r="D32" t="s">
        <v>176</v>
      </c>
      <c r="E32">
        <v>3</v>
      </c>
      <c r="F32">
        <v>2</v>
      </c>
    </row>
    <row r="33" spans="4:6" ht="15" customHeight="1" x14ac:dyDescent="0.2">
      <c r="D33" t="s">
        <v>230</v>
      </c>
      <c r="E33">
        <v>11</v>
      </c>
      <c r="F33">
        <v>11</v>
      </c>
    </row>
    <row r="34" spans="4:6" ht="15" customHeight="1" x14ac:dyDescent="0.2">
      <c r="D34" t="s">
        <v>130</v>
      </c>
      <c r="E34">
        <v>10</v>
      </c>
      <c r="F34">
        <v>10</v>
      </c>
    </row>
    <row r="35" spans="4:6" ht="15" customHeight="1" x14ac:dyDescent="0.2">
      <c r="D35" t="s">
        <v>272</v>
      </c>
      <c r="E35">
        <v>9</v>
      </c>
      <c r="F35">
        <v>5</v>
      </c>
    </row>
    <row r="36" spans="4:6" ht="15" customHeight="1" x14ac:dyDescent="0.2">
      <c r="D36" t="s">
        <v>227</v>
      </c>
      <c r="E36">
        <v>7</v>
      </c>
      <c r="F36">
        <v>7</v>
      </c>
    </row>
    <row r="37" spans="4:6" ht="15" customHeight="1" x14ac:dyDescent="0.2">
      <c r="D37" t="s">
        <v>693</v>
      </c>
      <c r="E37">
        <v>5</v>
      </c>
      <c r="F37">
        <v>5</v>
      </c>
    </row>
    <row r="38" spans="4:6" ht="15" customHeight="1" x14ac:dyDescent="0.2">
      <c r="D38" t="s">
        <v>172</v>
      </c>
      <c r="E38">
        <v>4</v>
      </c>
      <c r="F38">
        <v>4</v>
      </c>
    </row>
    <row r="39" spans="4:6" ht="15" customHeight="1" x14ac:dyDescent="0.2">
      <c r="D39" t="s">
        <v>226</v>
      </c>
      <c r="E39">
        <v>5</v>
      </c>
      <c r="F39">
        <v>7</v>
      </c>
    </row>
    <row r="40" spans="4:6" ht="15" customHeight="1" x14ac:dyDescent="0.2">
      <c r="D40" t="s">
        <v>119</v>
      </c>
      <c r="E40">
        <v>4</v>
      </c>
      <c r="F40">
        <v>6</v>
      </c>
    </row>
    <row r="41" spans="4:6" ht="15" customHeight="1" x14ac:dyDescent="0.2">
      <c r="D41" t="s">
        <v>122</v>
      </c>
      <c r="E41">
        <v>1</v>
      </c>
      <c r="F41">
        <v>1</v>
      </c>
    </row>
    <row r="42" spans="4:6" ht="15" customHeight="1" x14ac:dyDescent="0.2">
      <c r="D42" t="s">
        <v>118</v>
      </c>
      <c r="E42">
        <v>2</v>
      </c>
      <c r="F42">
        <v>2</v>
      </c>
    </row>
    <row r="43" spans="4:6" ht="15" customHeight="1" x14ac:dyDescent="0.2">
      <c r="D43" t="s">
        <v>123</v>
      </c>
      <c r="E43">
        <v>2</v>
      </c>
      <c r="F43">
        <v>2</v>
      </c>
    </row>
    <row r="44" spans="4:6" ht="15" customHeight="1" x14ac:dyDescent="0.2">
      <c r="D44" t="s">
        <v>133</v>
      </c>
      <c r="E44">
        <v>5</v>
      </c>
      <c r="F44">
        <v>5</v>
      </c>
    </row>
    <row r="45" spans="4:6" ht="15" customHeight="1" x14ac:dyDescent="0.2">
      <c r="D45" t="s">
        <v>231</v>
      </c>
      <c r="E45">
        <v>1</v>
      </c>
      <c r="F45">
        <v>1</v>
      </c>
    </row>
    <row r="46" spans="4:6" ht="15" customHeight="1" x14ac:dyDescent="0.2">
      <c r="D46" t="s">
        <v>135</v>
      </c>
      <c r="E46">
        <v>4</v>
      </c>
      <c r="F4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N16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baseColWidth="10" defaultColWidth="8.83203125" defaultRowHeight="15" x14ac:dyDescent="0.2"/>
  <cols>
    <col min="2" max="2" width="14" customWidth="1"/>
    <col min="3" max="5" width="5" customWidth="1"/>
    <col min="6" max="7" width="8" customWidth="1"/>
    <col min="8" max="8" width="2" customWidth="1"/>
    <col min="9" max="9" width="22" customWidth="1"/>
    <col min="10" max="12" width="5" customWidth="1"/>
    <col min="13" max="14" width="8" customWidth="1"/>
  </cols>
  <sheetData>
    <row r="1" spans="2:14" ht="15" customHeight="1" x14ac:dyDescent="0.25">
      <c r="B1" s="6" t="s">
        <v>917</v>
      </c>
    </row>
    <row r="2" spans="2:14" ht="15" customHeight="1" x14ac:dyDescent="0.2">
      <c r="B2" s="29" t="s">
        <v>918</v>
      </c>
    </row>
    <row r="4" spans="2:14" ht="15" customHeight="1" x14ac:dyDescent="0.2">
      <c r="B4" s="30" t="s">
        <v>674</v>
      </c>
      <c r="C4" s="30" t="s">
        <v>99</v>
      </c>
      <c r="D4" s="30" t="s">
        <v>100</v>
      </c>
      <c r="E4" s="30" t="s">
        <v>101</v>
      </c>
      <c r="F4" s="30" t="s">
        <v>717</v>
      </c>
      <c r="G4" s="30" t="s">
        <v>718</v>
      </c>
      <c r="I4" s="30" t="s">
        <v>757</v>
      </c>
      <c r="J4" s="30" t="s">
        <v>99</v>
      </c>
      <c r="K4" s="30" t="s">
        <v>100</v>
      </c>
      <c r="L4" s="30" t="s">
        <v>101</v>
      </c>
      <c r="M4" s="30" t="s">
        <v>717</v>
      </c>
      <c r="N4" s="30" t="s">
        <v>718</v>
      </c>
    </row>
    <row r="5" spans="2:14" ht="15" customHeight="1" x14ac:dyDescent="0.2">
      <c r="B5" s="31" t="s">
        <v>541</v>
      </c>
      <c r="C5" s="40">
        <f>COUNTIFS(Archives!$S$2:$S$1048576,"Singles",Archives!$V$2:$V$1048576,$B5,Archives!$AB$2:$AB$1048576,"W")</f>
        <v>2</v>
      </c>
      <c r="D5" s="40">
        <f>COUNTIFS(Archives!$S$2:$S$1048576,"Singles",Archives!$V$2:$V$1048576,$B5,Archives!$AB$2:$AB$1048576,"L")</f>
        <v>0</v>
      </c>
      <c r="E5" s="40">
        <f>COUNTIFS(Archives!$S$2:$S$1048576,"Singles",Archives!$V$2:$V$1048576,$B5,Archives!$AB$2:$AB$1048576,"T")</f>
        <v>0</v>
      </c>
      <c r="F5" s="41">
        <f t="shared" ref="F5:F35" si="0">IF(G5=0,0,(C5+0.5*E5)/G5)</f>
        <v>1</v>
      </c>
      <c r="G5" s="40">
        <f t="shared" ref="G5:G34" si="1">C5+D5+E5</f>
        <v>2</v>
      </c>
      <c r="I5" s="31" t="s">
        <v>1302</v>
      </c>
      <c r="J5" s="40">
        <f>COUNTIFS(Archives!$S$2:$S$1048576,"Doubles",Archives!$V$2:$V$1048576,"Bussiculo",Archives!$Y$2:$Y$1048576,"Hickerson",Archives!$AB$2:$AB$1048576,"W")+COUNTIFS(Archives!$S$2:$S$1048576,"Doubles",Archives!$V$2:$V$1048576,"Hickerson",Archives!$Y$2:$Y$1048576,"Bussiculo",Archives!$AB$2:$AB$1048576,"W")</f>
        <v>2</v>
      </c>
      <c r="K5" s="40">
        <f>COUNTIFS(Archives!$S$2:$S$1048576,"Doubles",Archives!$V$2:$V$1048576,"Bussiculo",Archives!$Y$2:$Y$1048576,"Hickerson",Archives!$AB$2:$AB$1048576,"L")+COUNTIFS(Archives!$S$2:$S$1048576,"Doubles",Archives!$V$2:$V$1048576,"Hickerson",Archives!$Y$2:$Y$1048576,"Bussiculo",Archives!$AB$2:$AB$1048576,"L")</f>
        <v>0</v>
      </c>
      <c r="L5" s="40">
        <f>COUNTIFS(Archives!$S$2:$S$1048576,"Doubles",Archives!$V$2:$V$1048576,"Bussiculo",Archives!$Y$2:$Y$1048576,"Hickerson",Archives!$AB$2:$AB$1048576,"T")+COUNTIFS(Archives!$S$2:$S$1048576,"Doubles",Archives!$V$2:$V$1048576,"Hickerson",Archives!$Y$2:$Y$1048576,"Bussiculo",Archives!$AB$2:$AB$1048576,"T")</f>
        <v>0</v>
      </c>
      <c r="M5" s="41">
        <f t="shared" ref="M5:M36" si="2">IF(N5=0,0,(J5+0.5*L5)/N5)</f>
        <v>1</v>
      </c>
      <c r="N5" s="40">
        <f t="shared" ref="N5:N36" si="3">J5+K5+L5</f>
        <v>2</v>
      </c>
    </row>
    <row r="6" spans="2:14" ht="15" customHeight="1" x14ac:dyDescent="0.2">
      <c r="B6" s="34" t="s">
        <v>632</v>
      </c>
      <c r="C6" s="43">
        <f>COUNTIFS(Archives!$S$2:$S$1048576,"Singles",Archives!$V$2:$V$1048576,$B6,Archives!$AB$2:$AB$1048576,"W")</f>
        <v>1</v>
      </c>
      <c r="D6" s="43">
        <f>COUNTIFS(Archives!$S$2:$S$1048576,"Singles",Archives!$V$2:$V$1048576,$B6,Archives!$AB$2:$AB$1048576,"L")</f>
        <v>0</v>
      </c>
      <c r="E6" s="43">
        <f>COUNTIFS(Archives!$S$2:$S$1048576,"Singles",Archives!$V$2:$V$1048576,$B6,Archives!$AB$2:$AB$1048576,"T")</f>
        <v>0</v>
      </c>
      <c r="F6" s="44">
        <f t="shared" si="0"/>
        <v>1</v>
      </c>
      <c r="G6" s="43">
        <f t="shared" si="1"/>
        <v>1</v>
      </c>
      <c r="I6" s="34" t="s">
        <v>919</v>
      </c>
      <c r="J6" s="43">
        <f>COUNTIFS(Archives!$S$2:$S$1048576,"Doubles",Archives!$V$2:$V$1048576,"Cole",Archives!$Y$2:$Y$1048576,"Weisberger",Archives!$AB$2:$AB$1048576,"W")+COUNTIFS(Archives!$S$2:$S$1048576,"Doubles",Archives!$V$2:$V$1048576,"Weisberger",Archives!$Y$2:$Y$1048576,"Cole",Archives!$AB$2:$AB$1048576,"W")</f>
        <v>2</v>
      </c>
      <c r="K6" s="43">
        <f>COUNTIFS(Archives!$S$2:$S$1048576,"Doubles",Archives!$V$2:$V$1048576,"Cole",Archives!$Y$2:$Y$1048576,"Weisberger",Archives!$AB$2:$AB$1048576,"L")+COUNTIFS(Archives!$S$2:$S$1048576,"Doubles",Archives!$V$2:$V$1048576,"Weisberger",Archives!$Y$2:$Y$1048576,"Cole",Archives!$AB$2:$AB$1048576,"L")</f>
        <v>0</v>
      </c>
      <c r="L6" s="43">
        <f>COUNTIFS(Archives!$S$2:$S$1048576,"Doubles",Archives!$V$2:$V$1048576,"Cole",Archives!$Y$2:$Y$1048576,"Weisberger",Archives!$AB$2:$AB$1048576,"T")+COUNTIFS(Archives!$S$2:$S$1048576,"Doubles",Archives!$V$2:$V$1048576,"Weisberger",Archives!$Y$2:$Y$1048576,"Cole",Archives!$AB$2:$AB$1048576,"T")</f>
        <v>0</v>
      </c>
      <c r="M6" s="44">
        <f t="shared" si="2"/>
        <v>1</v>
      </c>
      <c r="N6" s="43">
        <f t="shared" si="3"/>
        <v>2</v>
      </c>
    </row>
    <row r="7" spans="2:14" ht="15" customHeight="1" x14ac:dyDescent="0.2">
      <c r="B7" s="31" t="s">
        <v>226</v>
      </c>
      <c r="C7" s="40">
        <f>COUNTIFS(Archives!$S$2:$S$1048576,"Singles",Archives!$V$2:$V$1048576,$B7,Archives!$AB$2:$AB$1048576,"W")</f>
        <v>5</v>
      </c>
      <c r="D7" s="40">
        <f>COUNTIFS(Archives!$S$2:$S$1048576,"Singles",Archives!$V$2:$V$1048576,$B7,Archives!$AB$2:$AB$1048576,"L")</f>
        <v>1</v>
      </c>
      <c r="E7" s="40">
        <f>COUNTIFS(Archives!$S$2:$S$1048576,"Singles",Archives!$V$2:$V$1048576,$B7,Archives!$AB$2:$AB$1048576,"T")</f>
        <v>1</v>
      </c>
      <c r="F7" s="41">
        <f t="shared" si="0"/>
        <v>0.7857142857142857</v>
      </c>
      <c r="G7" s="40">
        <f t="shared" si="1"/>
        <v>7</v>
      </c>
      <c r="I7" s="31" t="s">
        <v>920</v>
      </c>
      <c r="J7" s="40">
        <f>COUNTIFS(Archives!$S$2:$S$1048576,"Doubles",Archives!$V$2:$V$1048576,"Connolly",Archives!$Y$2:$Y$1048576,"Perkins",Archives!$AB$2:$AB$1048576,"W")+COUNTIFS(Archives!$S$2:$S$1048576,"Doubles",Archives!$V$2:$V$1048576,"Perkins",Archives!$Y$2:$Y$1048576,"Connolly",Archives!$AB$2:$AB$1048576,"W")</f>
        <v>2</v>
      </c>
      <c r="K7" s="40">
        <f>COUNTIFS(Archives!$S$2:$S$1048576,"Doubles",Archives!$V$2:$V$1048576,"Connolly",Archives!$Y$2:$Y$1048576,"Perkins",Archives!$AB$2:$AB$1048576,"L")+COUNTIFS(Archives!$S$2:$S$1048576,"Doubles",Archives!$V$2:$V$1048576,"Perkins",Archives!$Y$2:$Y$1048576,"Connolly",Archives!$AB$2:$AB$1048576,"L")</f>
        <v>0</v>
      </c>
      <c r="L7" s="40">
        <f>COUNTIFS(Archives!$S$2:$S$1048576,"Doubles",Archives!$V$2:$V$1048576,"Connolly",Archives!$Y$2:$Y$1048576,"Perkins",Archives!$AB$2:$AB$1048576,"T")+COUNTIFS(Archives!$S$2:$S$1048576,"Doubles",Archives!$V$2:$V$1048576,"Perkins",Archives!$Y$2:$Y$1048576,"Connolly",Archives!$AB$2:$AB$1048576,"T")</f>
        <v>0</v>
      </c>
      <c r="M7" s="41">
        <f t="shared" si="2"/>
        <v>1</v>
      </c>
      <c r="N7" s="40">
        <f t="shared" si="3"/>
        <v>2</v>
      </c>
    </row>
    <row r="8" spans="2:14" ht="15" customHeight="1" x14ac:dyDescent="0.2">
      <c r="B8" s="34" t="s">
        <v>130</v>
      </c>
      <c r="C8" s="43">
        <f>COUNTIFS(Archives!$S$2:$S$1048576,"Singles",Archives!$V$2:$V$1048576,$B8,Archives!$AB$2:$AB$1048576,"W")</f>
        <v>5</v>
      </c>
      <c r="D8" s="43">
        <f>COUNTIFS(Archives!$S$2:$S$1048576,"Singles",Archives!$V$2:$V$1048576,$B8,Archives!$AB$2:$AB$1048576,"L")</f>
        <v>1</v>
      </c>
      <c r="E8" s="43">
        <f>COUNTIFS(Archives!$S$2:$S$1048576,"Singles",Archives!$V$2:$V$1048576,$B8,Archives!$AB$2:$AB$1048576,"T")</f>
        <v>1</v>
      </c>
      <c r="F8" s="44">
        <f t="shared" si="0"/>
        <v>0.7857142857142857</v>
      </c>
      <c r="G8" s="43">
        <f t="shared" si="1"/>
        <v>7</v>
      </c>
      <c r="I8" s="34" t="s">
        <v>921</v>
      </c>
      <c r="J8" s="43">
        <f>COUNTIFS(Archives!$S$2:$S$1048576,"Doubles",Archives!$V$2:$V$1048576,"Connolly",Archives!$Y$2:$Y$1048576,"Grise",Archives!$AB$2:$AB$1048576,"W")+COUNTIFS(Archives!$S$2:$S$1048576,"Doubles",Archives!$V$2:$V$1048576,"Grise",Archives!$Y$2:$Y$1048576,"Connolly",Archives!$AB$2:$AB$1048576,"W")</f>
        <v>2</v>
      </c>
      <c r="K8" s="43">
        <f>COUNTIFS(Archives!$S$2:$S$1048576,"Doubles",Archives!$V$2:$V$1048576,"Connolly",Archives!$Y$2:$Y$1048576,"Grise",Archives!$AB$2:$AB$1048576,"L")+COUNTIFS(Archives!$S$2:$S$1048576,"Doubles",Archives!$V$2:$V$1048576,"Grise",Archives!$Y$2:$Y$1048576,"Connolly",Archives!$AB$2:$AB$1048576,"L")</f>
        <v>0</v>
      </c>
      <c r="L8" s="43">
        <f>COUNTIFS(Archives!$S$2:$S$1048576,"Doubles",Archives!$V$2:$V$1048576,"Connolly",Archives!$Y$2:$Y$1048576,"Grise",Archives!$AB$2:$AB$1048576,"T")+COUNTIFS(Archives!$S$2:$S$1048576,"Doubles",Archives!$V$2:$V$1048576,"Grise",Archives!$Y$2:$Y$1048576,"Connolly",Archives!$AB$2:$AB$1048576,"T")</f>
        <v>0</v>
      </c>
      <c r="M8" s="44">
        <f t="shared" si="2"/>
        <v>1</v>
      </c>
      <c r="N8" s="43">
        <f t="shared" si="3"/>
        <v>2</v>
      </c>
    </row>
    <row r="9" spans="2:14" ht="15" customHeight="1" x14ac:dyDescent="0.2">
      <c r="B9" s="31" t="s">
        <v>456</v>
      </c>
      <c r="C9" s="40">
        <f>COUNTIFS(Archives!$S$2:$S$1048576,"Singles",Archives!$V$2:$V$1048576,$B9,Archives!$AB$2:$AB$1048576,"W")</f>
        <v>3</v>
      </c>
      <c r="D9" s="40">
        <f>COUNTIFS(Archives!$S$2:$S$1048576,"Singles",Archives!$V$2:$V$1048576,$B9,Archives!$AB$2:$AB$1048576,"L")</f>
        <v>1</v>
      </c>
      <c r="E9" s="40">
        <f>COUNTIFS(Archives!$S$2:$S$1048576,"Singles",Archives!$V$2:$V$1048576,$B9,Archives!$AB$2:$AB$1048576,"T")</f>
        <v>0</v>
      </c>
      <c r="F9" s="41">
        <f t="shared" si="0"/>
        <v>0.75</v>
      </c>
      <c r="G9" s="40">
        <f t="shared" si="1"/>
        <v>4</v>
      </c>
      <c r="I9" s="31" t="s">
        <v>922</v>
      </c>
      <c r="J9" s="40">
        <f>COUNTIFS(Archives!$S$2:$S$1048576,"Doubles",Archives!$V$2:$V$1048576,"Delaney",Archives!$Y$2:$Y$1048576,"Lynch",Archives!$AB$2:$AB$1048576,"W")+COUNTIFS(Archives!$S$2:$S$1048576,"Doubles",Archives!$V$2:$V$1048576,"Lynch",Archives!$Y$2:$Y$1048576,"Delaney",Archives!$AB$2:$AB$1048576,"W")</f>
        <v>2</v>
      </c>
      <c r="K9" s="40">
        <f>COUNTIFS(Archives!$S$2:$S$1048576,"Doubles",Archives!$V$2:$V$1048576,"Delaney",Archives!$Y$2:$Y$1048576,"Lynch",Archives!$AB$2:$AB$1048576,"L")+COUNTIFS(Archives!$S$2:$S$1048576,"Doubles",Archives!$V$2:$V$1048576,"Lynch",Archives!$Y$2:$Y$1048576,"Delaney",Archives!$AB$2:$AB$1048576,"L")</f>
        <v>0</v>
      </c>
      <c r="L9" s="40">
        <f>COUNTIFS(Archives!$S$2:$S$1048576,"Doubles",Archives!$V$2:$V$1048576,"Delaney",Archives!$Y$2:$Y$1048576,"Lynch",Archives!$AB$2:$AB$1048576,"T")+COUNTIFS(Archives!$S$2:$S$1048576,"Doubles",Archives!$V$2:$V$1048576,"Lynch",Archives!$Y$2:$Y$1048576,"Delaney",Archives!$AB$2:$AB$1048576,"T")</f>
        <v>0</v>
      </c>
      <c r="M9" s="41">
        <f t="shared" si="2"/>
        <v>1</v>
      </c>
      <c r="N9" s="40">
        <f t="shared" si="3"/>
        <v>2</v>
      </c>
    </row>
    <row r="10" spans="2:14" ht="15" customHeight="1" x14ac:dyDescent="0.2">
      <c r="B10" s="34" t="s">
        <v>231</v>
      </c>
      <c r="C10" s="43">
        <f>COUNTIFS(Archives!$S$2:$S$1048576,"Singles",Archives!$V$2:$V$1048576,$B10,Archives!$AB$2:$AB$1048576,"W")</f>
        <v>6</v>
      </c>
      <c r="D10" s="43">
        <f>COUNTIFS(Archives!$S$2:$S$1048576,"Singles",Archives!$V$2:$V$1048576,$B10,Archives!$AB$2:$AB$1048576,"L")</f>
        <v>2</v>
      </c>
      <c r="E10" s="43">
        <f>COUNTIFS(Archives!$S$2:$S$1048576,"Singles",Archives!$V$2:$V$1048576,$B10,Archives!$AB$2:$AB$1048576,"T")</f>
        <v>2</v>
      </c>
      <c r="F10" s="44">
        <f t="shared" si="0"/>
        <v>0.7</v>
      </c>
      <c r="G10" s="43">
        <f t="shared" si="1"/>
        <v>10</v>
      </c>
      <c r="I10" s="34" t="s">
        <v>923</v>
      </c>
      <c r="J10" s="43">
        <f>COUNTIFS(Archives!$S$2:$S$1048576,"Doubles",Archives!$V$2:$V$1048576,"Delneky",Archives!$Y$2:$Y$1048576,"Forster",Archives!$AB$2:$AB$1048576,"W")+COUNTIFS(Archives!$S$2:$S$1048576,"Doubles",Archives!$V$2:$V$1048576,"Forster",Archives!$Y$2:$Y$1048576,"Delneky",Archives!$AB$2:$AB$1048576,"W")</f>
        <v>2</v>
      </c>
      <c r="K10" s="43">
        <f>COUNTIFS(Archives!$S$2:$S$1048576,"Doubles",Archives!$V$2:$V$1048576,"Delneky",Archives!$Y$2:$Y$1048576,"Forster",Archives!$AB$2:$AB$1048576,"L")+COUNTIFS(Archives!$S$2:$S$1048576,"Doubles",Archives!$V$2:$V$1048576,"Forster",Archives!$Y$2:$Y$1048576,"Delneky",Archives!$AB$2:$AB$1048576,"L")</f>
        <v>0</v>
      </c>
      <c r="L10" s="43">
        <f>COUNTIFS(Archives!$S$2:$S$1048576,"Doubles",Archives!$V$2:$V$1048576,"Delneky",Archives!$Y$2:$Y$1048576,"Forster",Archives!$AB$2:$AB$1048576,"T")+COUNTIFS(Archives!$S$2:$S$1048576,"Doubles",Archives!$V$2:$V$1048576,"Forster",Archives!$Y$2:$Y$1048576,"Delneky",Archives!$AB$2:$AB$1048576,"T")</f>
        <v>0</v>
      </c>
      <c r="M10" s="44">
        <f t="shared" si="2"/>
        <v>1</v>
      </c>
      <c r="N10" s="43">
        <f t="shared" si="3"/>
        <v>2</v>
      </c>
    </row>
    <row r="11" spans="2:14" ht="15" customHeight="1" x14ac:dyDescent="0.2">
      <c r="B11" s="31" t="s">
        <v>1308</v>
      </c>
      <c r="C11" s="40">
        <f>COUNTIFS(Archives!$S$2:$S$1048576,"Singles",Archives!$V$2:$V$1048576,$B11,Archives!$AB$2:$AB$1048576,"W")</f>
        <v>8</v>
      </c>
      <c r="D11" s="40">
        <f>COUNTIFS(Archives!$S$2:$S$1048576,"Singles",Archives!$V$2:$V$1048576,$B11,Archives!$AB$2:$AB$1048576,"L")</f>
        <v>4</v>
      </c>
      <c r="E11" s="40">
        <f>COUNTIFS(Archives!$S$2:$S$1048576,"Singles",Archives!$V$2:$V$1048576,$B11,Archives!$AB$2:$AB$1048576,"T")</f>
        <v>0</v>
      </c>
      <c r="F11" s="41">
        <f t="shared" si="0"/>
        <v>0.66666666666666663</v>
      </c>
      <c r="G11" s="40">
        <f t="shared" si="1"/>
        <v>12</v>
      </c>
      <c r="I11" s="31" t="s">
        <v>924</v>
      </c>
      <c r="J11" s="40">
        <f>COUNTIFS(Archives!$S$2:$S$1048576,"Doubles",Archives!$V$2:$V$1048576,"Ferrin",Archives!$Y$2:$Y$1048576,"Fogan",Archives!$AB$2:$AB$1048576,"W")+COUNTIFS(Archives!$S$2:$S$1048576,"Doubles",Archives!$V$2:$V$1048576,"Fogan",Archives!$Y$2:$Y$1048576,"Ferrin",Archives!$AB$2:$AB$1048576,"W")</f>
        <v>2</v>
      </c>
      <c r="K11" s="40">
        <f>COUNTIFS(Archives!$S$2:$S$1048576,"Doubles",Archives!$V$2:$V$1048576,"Ferrin",Archives!$Y$2:$Y$1048576,"Fogan",Archives!$AB$2:$AB$1048576,"L")+COUNTIFS(Archives!$S$2:$S$1048576,"Doubles",Archives!$V$2:$V$1048576,"Fogan",Archives!$Y$2:$Y$1048576,"Ferrin",Archives!$AB$2:$AB$1048576,"L")</f>
        <v>0</v>
      </c>
      <c r="L11" s="40">
        <f>COUNTIFS(Archives!$S$2:$S$1048576,"Doubles",Archives!$V$2:$V$1048576,"Ferrin",Archives!$Y$2:$Y$1048576,"Fogan",Archives!$AB$2:$AB$1048576,"T")+COUNTIFS(Archives!$S$2:$S$1048576,"Doubles",Archives!$V$2:$V$1048576,"Fogan",Archives!$Y$2:$Y$1048576,"Ferrin",Archives!$AB$2:$AB$1048576,"T")</f>
        <v>0</v>
      </c>
      <c r="M11" s="41">
        <f t="shared" si="2"/>
        <v>1</v>
      </c>
      <c r="N11" s="40">
        <f t="shared" si="3"/>
        <v>2</v>
      </c>
    </row>
    <row r="12" spans="2:14" ht="15" customHeight="1" x14ac:dyDescent="0.2">
      <c r="B12" s="34" t="s">
        <v>176</v>
      </c>
      <c r="C12" s="43">
        <f>COUNTIFS(Archives!$S$2:$S$1048576,"Singles",Archives!$V$2:$V$1048576,$B12,Archives!$AB$2:$AB$1048576,"W")</f>
        <v>7</v>
      </c>
      <c r="D12" s="43">
        <f>COUNTIFS(Archives!$S$2:$S$1048576,"Singles",Archives!$V$2:$V$1048576,$B12,Archives!$AB$2:$AB$1048576,"L")</f>
        <v>4</v>
      </c>
      <c r="E12" s="43">
        <f>COUNTIFS(Archives!$S$2:$S$1048576,"Singles",Archives!$V$2:$V$1048576,$B12,Archives!$AB$2:$AB$1048576,"T")</f>
        <v>1</v>
      </c>
      <c r="F12" s="44">
        <f t="shared" si="0"/>
        <v>0.625</v>
      </c>
      <c r="G12" s="43">
        <f t="shared" si="1"/>
        <v>12</v>
      </c>
      <c r="I12" s="34" t="s">
        <v>925</v>
      </c>
      <c r="J12" s="43">
        <f>COUNTIFS(Archives!$S$2:$S$1048576,"Doubles",Archives!$V$2:$V$1048576,"Flanders",Archives!$Y$2:$Y$1048576,"Lynch",Archives!$AB$2:$AB$1048576,"W")+COUNTIFS(Archives!$S$2:$S$1048576,"Doubles",Archives!$V$2:$V$1048576,"Lynch",Archives!$Y$2:$Y$1048576,"Flanders",Archives!$AB$2:$AB$1048576,"W")</f>
        <v>2</v>
      </c>
      <c r="K12" s="43">
        <f>COUNTIFS(Archives!$S$2:$S$1048576,"Doubles",Archives!$V$2:$V$1048576,"Flanders",Archives!$Y$2:$Y$1048576,"Lynch",Archives!$AB$2:$AB$1048576,"L")+COUNTIFS(Archives!$S$2:$S$1048576,"Doubles",Archives!$V$2:$V$1048576,"Lynch",Archives!$Y$2:$Y$1048576,"Flanders",Archives!$AB$2:$AB$1048576,"L")</f>
        <v>0</v>
      </c>
      <c r="L12" s="43">
        <f>COUNTIFS(Archives!$S$2:$S$1048576,"Doubles",Archives!$V$2:$V$1048576,"Flanders",Archives!$Y$2:$Y$1048576,"Lynch",Archives!$AB$2:$AB$1048576,"T")+COUNTIFS(Archives!$S$2:$S$1048576,"Doubles",Archives!$V$2:$V$1048576,"Lynch",Archives!$Y$2:$Y$1048576,"Flanders",Archives!$AB$2:$AB$1048576,"T")</f>
        <v>0</v>
      </c>
      <c r="M12" s="44">
        <f t="shared" si="2"/>
        <v>1</v>
      </c>
      <c r="N12" s="43">
        <f t="shared" si="3"/>
        <v>2</v>
      </c>
    </row>
    <row r="13" spans="2:14" ht="15" customHeight="1" x14ac:dyDescent="0.2">
      <c r="B13" s="31" t="s">
        <v>227</v>
      </c>
      <c r="C13" s="40">
        <f>COUNTIFS(Archives!$S$2:$S$1048576,"Singles",Archives!$V$2:$V$1048576,$B13,Archives!$AB$2:$AB$1048576,"W")</f>
        <v>6</v>
      </c>
      <c r="D13" s="40">
        <f>COUNTIFS(Archives!$S$2:$S$1048576,"Singles",Archives!$V$2:$V$1048576,$B13,Archives!$AB$2:$AB$1048576,"L")</f>
        <v>3</v>
      </c>
      <c r="E13" s="40">
        <f>COUNTIFS(Archives!$S$2:$S$1048576,"Singles",Archives!$V$2:$V$1048576,$B13,Archives!$AB$2:$AB$1048576,"T")</f>
        <v>3</v>
      </c>
      <c r="F13" s="41">
        <f t="shared" si="0"/>
        <v>0.625</v>
      </c>
      <c r="G13" s="40">
        <f t="shared" si="1"/>
        <v>12</v>
      </c>
      <c r="I13" s="31" t="s">
        <v>926</v>
      </c>
      <c r="J13" s="40">
        <f>COUNTIFS(Archives!$S$2:$S$1048576,"Doubles",Archives!$V$2:$V$1048576,"Fogan",Archives!$Y$2:$Y$1048576,"Poirier",Archives!$AB$2:$AB$1048576,"W")+COUNTIFS(Archives!$S$2:$S$1048576,"Doubles",Archives!$V$2:$V$1048576,"Poirier",Archives!$Y$2:$Y$1048576,"Fogan",Archives!$AB$2:$AB$1048576,"W")</f>
        <v>2</v>
      </c>
      <c r="K13" s="40">
        <f>COUNTIFS(Archives!$S$2:$S$1048576,"Doubles",Archives!$V$2:$V$1048576,"Fogan",Archives!$Y$2:$Y$1048576,"Poirier",Archives!$AB$2:$AB$1048576,"L")+COUNTIFS(Archives!$S$2:$S$1048576,"Doubles",Archives!$V$2:$V$1048576,"Poirier",Archives!$Y$2:$Y$1048576,"Fogan",Archives!$AB$2:$AB$1048576,"L")</f>
        <v>0</v>
      </c>
      <c r="L13" s="40">
        <f>COUNTIFS(Archives!$S$2:$S$1048576,"Doubles",Archives!$V$2:$V$1048576,"Fogan",Archives!$Y$2:$Y$1048576,"Poirier",Archives!$AB$2:$AB$1048576,"T")+COUNTIFS(Archives!$S$2:$S$1048576,"Doubles",Archives!$V$2:$V$1048576,"Poirier",Archives!$Y$2:$Y$1048576,"Fogan",Archives!$AB$2:$AB$1048576,"T")</f>
        <v>0</v>
      </c>
      <c r="M13" s="41">
        <f t="shared" si="2"/>
        <v>1</v>
      </c>
      <c r="N13" s="40">
        <f t="shared" si="3"/>
        <v>2</v>
      </c>
    </row>
    <row r="14" spans="2:14" ht="15" customHeight="1" x14ac:dyDescent="0.2">
      <c r="B14" s="34" t="s">
        <v>452</v>
      </c>
      <c r="C14" s="43">
        <f>COUNTIFS(Archives!$S$2:$S$1048576,"Singles",Archives!$V$2:$V$1048576,$B14,Archives!$AB$2:$AB$1048576,"W")</f>
        <v>3</v>
      </c>
      <c r="D14" s="43">
        <f>COUNTIFS(Archives!$S$2:$S$1048576,"Singles",Archives!$V$2:$V$1048576,$B14,Archives!$AB$2:$AB$1048576,"L")</f>
        <v>2</v>
      </c>
      <c r="E14" s="43">
        <f>COUNTIFS(Archives!$S$2:$S$1048576,"Singles",Archives!$V$2:$V$1048576,$B14,Archives!$AB$2:$AB$1048576,"T")</f>
        <v>1</v>
      </c>
      <c r="F14" s="44">
        <f t="shared" si="0"/>
        <v>0.58333333333333337</v>
      </c>
      <c r="G14" s="43">
        <f t="shared" si="1"/>
        <v>6</v>
      </c>
      <c r="I14" s="34" t="s">
        <v>927</v>
      </c>
      <c r="J14" s="43">
        <f>COUNTIFS(Archives!$S$2:$S$1048576,"Doubles",Archives!$V$2:$V$1048576,"Forster",Archives!$Y$2:$Y$1048576,"Lynch",Archives!$AB$2:$AB$1048576,"W")+COUNTIFS(Archives!$S$2:$S$1048576,"Doubles",Archives!$V$2:$V$1048576,"Lynch",Archives!$Y$2:$Y$1048576,"Forster",Archives!$AB$2:$AB$1048576,"W")</f>
        <v>2</v>
      </c>
      <c r="K14" s="43">
        <f>COUNTIFS(Archives!$S$2:$S$1048576,"Doubles",Archives!$V$2:$V$1048576,"Forster",Archives!$Y$2:$Y$1048576,"Lynch",Archives!$AB$2:$AB$1048576,"L")+COUNTIFS(Archives!$S$2:$S$1048576,"Doubles",Archives!$V$2:$V$1048576,"Lynch",Archives!$Y$2:$Y$1048576,"Forster",Archives!$AB$2:$AB$1048576,"L")</f>
        <v>0</v>
      </c>
      <c r="L14" s="43">
        <f>COUNTIFS(Archives!$S$2:$S$1048576,"Doubles",Archives!$V$2:$V$1048576,"Forster",Archives!$Y$2:$Y$1048576,"Lynch",Archives!$AB$2:$AB$1048576,"T")+COUNTIFS(Archives!$S$2:$S$1048576,"Doubles",Archives!$V$2:$V$1048576,"Lynch",Archives!$Y$2:$Y$1048576,"Forster",Archives!$AB$2:$AB$1048576,"T")</f>
        <v>0</v>
      </c>
      <c r="M14" s="44">
        <f t="shared" si="2"/>
        <v>1</v>
      </c>
      <c r="N14" s="43">
        <f t="shared" si="3"/>
        <v>2</v>
      </c>
    </row>
    <row r="15" spans="2:14" ht="15" customHeight="1" x14ac:dyDescent="0.2">
      <c r="B15" s="31" t="s">
        <v>230</v>
      </c>
      <c r="C15" s="40">
        <f>COUNTIFS(Archives!$S$2:$S$1048576,"Singles",Archives!$V$2:$V$1048576,$B15,Archives!$AB$2:$AB$1048576,"W")</f>
        <v>3</v>
      </c>
      <c r="D15" s="40">
        <f>COUNTIFS(Archives!$S$2:$S$1048576,"Singles",Archives!$V$2:$V$1048576,$B15,Archives!$AB$2:$AB$1048576,"L")</f>
        <v>2</v>
      </c>
      <c r="E15" s="40">
        <f>COUNTIFS(Archives!$S$2:$S$1048576,"Singles",Archives!$V$2:$V$1048576,$B15,Archives!$AB$2:$AB$1048576,"T")</f>
        <v>1</v>
      </c>
      <c r="F15" s="41">
        <f t="shared" si="0"/>
        <v>0.58333333333333337</v>
      </c>
      <c r="G15" s="40">
        <f t="shared" si="1"/>
        <v>6</v>
      </c>
      <c r="I15" s="31" t="s">
        <v>928</v>
      </c>
      <c r="J15" s="40">
        <f>COUNTIFS(Archives!$S$2:$S$1048576,"Doubles",Archives!$V$2:$V$1048576,"Forster",Archives!$Y$2:$Y$1048576,"Poirier",Archives!$AB$2:$AB$1048576,"W")+COUNTIFS(Archives!$S$2:$S$1048576,"Doubles",Archives!$V$2:$V$1048576,"Poirier",Archives!$Y$2:$Y$1048576,"Forster",Archives!$AB$2:$AB$1048576,"W")</f>
        <v>2</v>
      </c>
      <c r="K15" s="40">
        <f>COUNTIFS(Archives!$S$2:$S$1048576,"Doubles",Archives!$V$2:$V$1048576,"Forster",Archives!$Y$2:$Y$1048576,"Poirier",Archives!$AB$2:$AB$1048576,"L")+COUNTIFS(Archives!$S$2:$S$1048576,"Doubles",Archives!$V$2:$V$1048576,"Poirier",Archives!$Y$2:$Y$1048576,"Forster",Archives!$AB$2:$AB$1048576,"L")</f>
        <v>0</v>
      </c>
      <c r="L15" s="40">
        <f>COUNTIFS(Archives!$S$2:$S$1048576,"Doubles",Archives!$V$2:$V$1048576,"Forster",Archives!$Y$2:$Y$1048576,"Poirier",Archives!$AB$2:$AB$1048576,"T")+COUNTIFS(Archives!$S$2:$S$1048576,"Doubles",Archives!$V$2:$V$1048576,"Poirier",Archives!$Y$2:$Y$1048576,"Forster",Archives!$AB$2:$AB$1048576,"T")</f>
        <v>0</v>
      </c>
      <c r="M15" s="41">
        <f t="shared" si="2"/>
        <v>1</v>
      </c>
      <c r="N15" s="40">
        <f t="shared" si="3"/>
        <v>2</v>
      </c>
    </row>
    <row r="16" spans="2:14" ht="15" customHeight="1" x14ac:dyDescent="0.2">
      <c r="B16" s="34" t="s">
        <v>179</v>
      </c>
      <c r="C16" s="43">
        <f>COUNTIFS(Archives!$S$2:$S$1048576,"Singles",Archives!$V$2:$V$1048576,$B16,Archives!$AB$2:$AB$1048576,"W")</f>
        <v>5</v>
      </c>
      <c r="D16" s="43">
        <f>COUNTIFS(Archives!$S$2:$S$1048576,"Singles",Archives!$V$2:$V$1048576,$B16,Archives!$AB$2:$AB$1048576,"L")</f>
        <v>4</v>
      </c>
      <c r="E16" s="43">
        <f>COUNTIFS(Archives!$S$2:$S$1048576,"Singles",Archives!$V$2:$V$1048576,$B16,Archives!$AB$2:$AB$1048576,"T")</f>
        <v>1</v>
      </c>
      <c r="F16" s="44">
        <f t="shared" si="0"/>
        <v>0.55000000000000004</v>
      </c>
      <c r="G16" s="43">
        <f t="shared" si="1"/>
        <v>10</v>
      </c>
      <c r="I16" s="34" t="s">
        <v>929</v>
      </c>
      <c r="J16" s="43">
        <f>COUNTIFS(Archives!$S$2:$S$1048576,"Doubles",Archives!$V$2:$V$1048576,"Gray",Archives!$Y$2:$Y$1048576,"Welker",Archives!$AB$2:$AB$1048576,"W")+COUNTIFS(Archives!$S$2:$S$1048576,"Doubles",Archives!$V$2:$V$1048576,"Welker",Archives!$Y$2:$Y$1048576,"Gray",Archives!$AB$2:$AB$1048576,"W")</f>
        <v>2</v>
      </c>
      <c r="K16" s="43">
        <f>COUNTIFS(Archives!$S$2:$S$1048576,"Doubles",Archives!$V$2:$V$1048576,"Gray",Archives!$Y$2:$Y$1048576,"Welker",Archives!$AB$2:$AB$1048576,"L")+COUNTIFS(Archives!$S$2:$S$1048576,"Doubles",Archives!$V$2:$V$1048576,"Welker",Archives!$Y$2:$Y$1048576,"Gray",Archives!$AB$2:$AB$1048576,"L")</f>
        <v>0</v>
      </c>
      <c r="L16" s="43">
        <f>COUNTIFS(Archives!$S$2:$S$1048576,"Doubles",Archives!$V$2:$V$1048576,"Gray",Archives!$Y$2:$Y$1048576,"Welker",Archives!$AB$2:$AB$1048576,"T")+COUNTIFS(Archives!$S$2:$S$1048576,"Doubles",Archives!$V$2:$V$1048576,"Welker",Archives!$Y$2:$Y$1048576,"Gray",Archives!$AB$2:$AB$1048576,"T")</f>
        <v>0</v>
      </c>
      <c r="M16" s="44">
        <f t="shared" si="2"/>
        <v>1</v>
      </c>
      <c r="N16" s="43">
        <f t="shared" si="3"/>
        <v>2</v>
      </c>
    </row>
    <row r="17" spans="2:14" ht="15" customHeight="1" x14ac:dyDescent="0.2">
      <c r="B17" s="31" t="s">
        <v>172</v>
      </c>
      <c r="C17" s="40">
        <f>COUNTIFS(Archives!$S$2:$S$1048576,"Singles",Archives!$V$2:$V$1048576,$B17,Archives!$AB$2:$AB$1048576,"W")</f>
        <v>6</v>
      </c>
      <c r="D17" s="40">
        <f>COUNTIFS(Archives!$S$2:$S$1048576,"Singles",Archives!$V$2:$V$1048576,$B17,Archives!$AB$2:$AB$1048576,"L")</f>
        <v>5</v>
      </c>
      <c r="E17" s="40">
        <f>COUNTIFS(Archives!$S$2:$S$1048576,"Singles",Archives!$V$2:$V$1048576,$B17,Archives!$AB$2:$AB$1048576,"T")</f>
        <v>0</v>
      </c>
      <c r="F17" s="41">
        <f t="shared" si="0"/>
        <v>0.54545454545454541</v>
      </c>
      <c r="G17" s="40">
        <f t="shared" si="1"/>
        <v>11</v>
      </c>
      <c r="I17" s="31" t="s">
        <v>930</v>
      </c>
      <c r="J17" s="40">
        <f>COUNTIFS(Archives!$S$2:$S$1048576,"Doubles",Archives!$V$2:$V$1048576,"Gray",Archives!$Y$2:$Y$1048576,"Grise",Archives!$AB$2:$AB$1048576,"W")+COUNTIFS(Archives!$S$2:$S$1048576,"Doubles",Archives!$V$2:$V$1048576,"Grise",Archives!$Y$2:$Y$1048576,"Gray",Archives!$AB$2:$AB$1048576,"W")</f>
        <v>2</v>
      </c>
      <c r="K17" s="40">
        <f>COUNTIFS(Archives!$S$2:$S$1048576,"Doubles",Archives!$V$2:$V$1048576,"Gray",Archives!$Y$2:$Y$1048576,"Grise",Archives!$AB$2:$AB$1048576,"L")+COUNTIFS(Archives!$S$2:$S$1048576,"Doubles",Archives!$V$2:$V$1048576,"Grise",Archives!$Y$2:$Y$1048576,"Gray",Archives!$AB$2:$AB$1048576,"L")</f>
        <v>0</v>
      </c>
      <c r="L17" s="40">
        <f>COUNTIFS(Archives!$S$2:$S$1048576,"Doubles",Archives!$V$2:$V$1048576,"Gray",Archives!$Y$2:$Y$1048576,"Grise",Archives!$AB$2:$AB$1048576,"T")+COUNTIFS(Archives!$S$2:$S$1048576,"Doubles",Archives!$V$2:$V$1048576,"Grise",Archives!$Y$2:$Y$1048576,"Gray",Archives!$AB$2:$AB$1048576,"T")</f>
        <v>0</v>
      </c>
      <c r="M17" s="41">
        <f t="shared" si="2"/>
        <v>1</v>
      </c>
      <c r="N17" s="40">
        <f t="shared" si="3"/>
        <v>2</v>
      </c>
    </row>
    <row r="18" spans="2:14" ht="15" customHeight="1" x14ac:dyDescent="0.2">
      <c r="B18" s="34" t="s">
        <v>127</v>
      </c>
      <c r="C18" s="43">
        <f>COUNTIFS(Archives!$S$2:$S$1048576,"Singles",Archives!$V$2:$V$1048576,$B18,Archives!$AB$2:$AB$1048576,"W")</f>
        <v>6</v>
      </c>
      <c r="D18" s="43">
        <f>COUNTIFS(Archives!$S$2:$S$1048576,"Singles",Archives!$V$2:$V$1048576,$B18,Archives!$AB$2:$AB$1048576,"L")</f>
        <v>5</v>
      </c>
      <c r="E18" s="43">
        <f>COUNTIFS(Archives!$S$2:$S$1048576,"Singles",Archives!$V$2:$V$1048576,$B18,Archives!$AB$2:$AB$1048576,"T")</f>
        <v>1</v>
      </c>
      <c r="F18" s="44">
        <f t="shared" si="0"/>
        <v>0.54166666666666663</v>
      </c>
      <c r="G18" s="43">
        <f t="shared" si="1"/>
        <v>12</v>
      </c>
      <c r="I18" s="34" t="s">
        <v>931</v>
      </c>
      <c r="J18" s="43">
        <f>COUNTIFS(Archives!$S$2:$S$1048576,"Doubles",Archives!$V$2:$V$1048576,"Grise",Archives!$Y$2:$Y$1048576,"Welker",Archives!$AB$2:$AB$1048576,"W")+COUNTIFS(Archives!$S$2:$S$1048576,"Doubles",Archives!$V$2:$V$1048576,"Welker",Archives!$Y$2:$Y$1048576,"Grise",Archives!$AB$2:$AB$1048576,"W")</f>
        <v>2</v>
      </c>
      <c r="K18" s="43">
        <f>COUNTIFS(Archives!$S$2:$S$1048576,"Doubles",Archives!$V$2:$V$1048576,"Grise",Archives!$Y$2:$Y$1048576,"Welker",Archives!$AB$2:$AB$1048576,"L")+COUNTIFS(Archives!$S$2:$S$1048576,"Doubles",Archives!$V$2:$V$1048576,"Welker",Archives!$Y$2:$Y$1048576,"Grise",Archives!$AB$2:$AB$1048576,"L")</f>
        <v>0</v>
      </c>
      <c r="L18" s="43">
        <f>COUNTIFS(Archives!$S$2:$S$1048576,"Doubles",Archives!$V$2:$V$1048576,"Grise",Archives!$Y$2:$Y$1048576,"Welker",Archives!$AB$2:$AB$1048576,"T")+COUNTIFS(Archives!$S$2:$S$1048576,"Doubles",Archives!$V$2:$V$1048576,"Welker",Archives!$Y$2:$Y$1048576,"Grise",Archives!$AB$2:$AB$1048576,"T")</f>
        <v>0</v>
      </c>
      <c r="M18" s="44">
        <f t="shared" si="2"/>
        <v>1</v>
      </c>
      <c r="N18" s="43">
        <f t="shared" si="3"/>
        <v>2</v>
      </c>
    </row>
    <row r="19" spans="2:14" ht="15" customHeight="1" x14ac:dyDescent="0.2">
      <c r="B19" s="31" t="s">
        <v>119</v>
      </c>
      <c r="C19" s="40">
        <f>COUNTIFS(Archives!$S$2:$S$1048576,"Singles",Archives!$V$2:$V$1048576,$B19,Archives!$AB$2:$AB$1048576,"W")</f>
        <v>6</v>
      </c>
      <c r="D19" s="40">
        <f>COUNTIFS(Archives!$S$2:$S$1048576,"Singles",Archives!$V$2:$V$1048576,$B19,Archives!$AB$2:$AB$1048576,"L")</f>
        <v>6</v>
      </c>
      <c r="E19" s="40">
        <f>COUNTIFS(Archives!$S$2:$S$1048576,"Singles",Archives!$V$2:$V$1048576,$B19,Archives!$AB$2:$AB$1048576,"T")</f>
        <v>0</v>
      </c>
      <c r="F19" s="41">
        <f t="shared" si="0"/>
        <v>0.5</v>
      </c>
      <c r="G19" s="40">
        <f t="shared" si="1"/>
        <v>12</v>
      </c>
      <c r="I19" s="31" t="s">
        <v>932</v>
      </c>
      <c r="J19" s="40">
        <f>COUNTIFS(Archives!$S$2:$S$1048576,"Doubles",Archives!$V$2:$V$1048576,"Hilts",Archives!$Y$2:$Y$1048576,"Welker",Archives!$AB$2:$AB$1048576,"W")+COUNTIFS(Archives!$S$2:$S$1048576,"Doubles",Archives!$V$2:$V$1048576,"Welker",Archives!$Y$2:$Y$1048576,"Hilts",Archives!$AB$2:$AB$1048576,"W")</f>
        <v>2</v>
      </c>
      <c r="K19" s="40">
        <f>COUNTIFS(Archives!$S$2:$S$1048576,"Doubles",Archives!$V$2:$V$1048576,"Hilts",Archives!$Y$2:$Y$1048576,"Welker",Archives!$AB$2:$AB$1048576,"L")+COUNTIFS(Archives!$S$2:$S$1048576,"Doubles",Archives!$V$2:$V$1048576,"Welker",Archives!$Y$2:$Y$1048576,"Hilts",Archives!$AB$2:$AB$1048576,"L")</f>
        <v>0</v>
      </c>
      <c r="L19" s="40">
        <f>COUNTIFS(Archives!$S$2:$S$1048576,"Doubles",Archives!$V$2:$V$1048576,"Hilts",Archives!$Y$2:$Y$1048576,"Welker",Archives!$AB$2:$AB$1048576,"T")+COUNTIFS(Archives!$S$2:$S$1048576,"Doubles",Archives!$V$2:$V$1048576,"Welker",Archives!$Y$2:$Y$1048576,"Hilts",Archives!$AB$2:$AB$1048576,"T")</f>
        <v>0</v>
      </c>
      <c r="M19" s="41">
        <f t="shared" si="2"/>
        <v>1</v>
      </c>
      <c r="N19" s="40">
        <f t="shared" si="3"/>
        <v>2</v>
      </c>
    </row>
    <row r="20" spans="2:14" ht="15" customHeight="1" x14ac:dyDescent="0.2">
      <c r="B20" s="34" t="s">
        <v>122</v>
      </c>
      <c r="C20" s="43">
        <f>COUNTIFS(Archives!$S$2:$S$1048576,"Singles",Archives!$V$2:$V$1048576,$B20,Archives!$AB$2:$AB$1048576,"W")</f>
        <v>6</v>
      </c>
      <c r="D20" s="43">
        <f>COUNTIFS(Archives!$S$2:$S$1048576,"Singles",Archives!$V$2:$V$1048576,$B20,Archives!$AB$2:$AB$1048576,"L")</f>
        <v>5</v>
      </c>
      <c r="E20" s="43">
        <f>COUNTIFS(Archives!$S$2:$S$1048576,"Singles",Archives!$V$2:$V$1048576,$B20,Archives!$AB$2:$AB$1048576,"T")</f>
        <v>0</v>
      </c>
      <c r="F20" s="44">
        <f t="shared" si="0"/>
        <v>0.54545454545454541</v>
      </c>
      <c r="G20" s="43">
        <f t="shared" si="1"/>
        <v>11</v>
      </c>
      <c r="I20" s="34" t="s">
        <v>933</v>
      </c>
      <c r="J20" s="43">
        <f>COUNTIFS(Archives!$S$2:$S$1048576,"Doubles",Archives!$V$2:$V$1048576,"Jackson",Archives!$Y$2:$Y$1048576,"McInerney",Archives!$AB$2:$AB$1048576,"W")+COUNTIFS(Archives!$S$2:$S$1048576,"Doubles",Archives!$V$2:$V$1048576,"McInerney",Archives!$Y$2:$Y$1048576,"Jackson",Archives!$AB$2:$AB$1048576,"W")</f>
        <v>2</v>
      </c>
      <c r="K20" s="43">
        <f>COUNTIFS(Archives!$S$2:$S$1048576,"Doubles",Archives!$V$2:$V$1048576,"Jackson",Archives!$Y$2:$Y$1048576,"McInerney",Archives!$AB$2:$AB$1048576,"L")+COUNTIFS(Archives!$S$2:$S$1048576,"Doubles",Archives!$V$2:$V$1048576,"McInerney",Archives!$Y$2:$Y$1048576,"Jackson",Archives!$AB$2:$AB$1048576,"L")</f>
        <v>0</v>
      </c>
      <c r="L20" s="43">
        <f>COUNTIFS(Archives!$S$2:$S$1048576,"Doubles",Archives!$V$2:$V$1048576,"Jackson",Archives!$Y$2:$Y$1048576,"McInerney",Archives!$AB$2:$AB$1048576,"T")+COUNTIFS(Archives!$S$2:$S$1048576,"Doubles",Archives!$V$2:$V$1048576,"McInerney",Archives!$Y$2:$Y$1048576,"Jackson",Archives!$AB$2:$AB$1048576,"T")</f>
        <v>0</v>
      </c>
      <c r="M20" s="44">
        <f t="shared" si="2"/>
        <v>1</v>
      </c>
      <c r="N20" s="43">
        <f t="shared" si="3"/>
        <v>2</v>
      </c>
    </row>
    <row r="21" spans="2:14" ht="15" customHeight="1" x14ac:dyDescent="0.2">
      <c r="B21" s="31" t="s">
        <v>272</v>
      </c>
      <c r="C21" s="40">
        <f>COUNTIFS(Archives!$S$2:$S$1048576,"Singles",Archives!$V$2:$V$1048576,$B21,Archives!$AB$2:$AB$1048576,"W")</f>
        <v>4</v>
      </c>
      <c r="D21" s="40">
        <f>COUNTIFS(Archives!$S$2:$S$1048576,"Singles",Archives!$V$2:$V$1048576,$B21,Archives!$AB$2:$AB$1048576,"L")</f>
        <v>4</v>
      </c>
      <c r="E21" s="40">
        <f>COUNTIFS(Archives!$S$2:$S$1048576,"Singles",Archives!$V$2:$V$1048576,$B21,Archives!$AB$2:$AB$1048576,"T")</f>
        <v>0</v>
      </c>
      <c r="F21" s="41">
        <f t="shared" si="0"/>
        <v>0.5</v>
      </c>
      <c r="G21" s="40">
        <f t="shared" si="1"/>
        <v>8</v>
      </c>
      <c r="I21" s="31" t="s">
        <v>934</v>
      </c>
      <c r="J21" s="40">
        <f>COUNTIFS(Archives!$S$2:$S$1048576,"Doubles",Archives!$V$2:$V$1048576,"Lynch",Archives!$Y$2:$Y$1048576,"Zimmer",Archives!$AB$2:$AB$1048576,"W")+COUNTIFS(Archives!$S$2:$S$1048576,"Doubles",Archives!$V$2:$V$1048576,"Zimmer",Archives!$Y$2:$Y$1048576,"Lynch",Archives!$AB$2:$AB$1048576,"W")</f>
        <v>2</v>
      </c>
      <c r="K21" s="40">
        <f>COUNTIFS(Archives!$S$2:$S$1048576,"Doubles",Archives!$V$2:$V$1048576,"Lynch",Archives!$Y$2:$Y$1048576,"Zimmer",Archives!$AB$2:$AB$1048576,"L")+COUNTIFS(Archives!$S$2:$S$1048576,"Doubles",Archives!$V$2:$V$1048576,"Zimmer",Archives!$Y$2:$Y$1048576,"Lynch",Archives!$AB$2:$AB$1048576,"L")</f>
        <v>0</v>
      </c>
      <c r="L21" s="40">
        <f>COUNTIFS(Archives!$S$2:$S$1048576,"Doubles",Archives!$V$2:$V$1048576,"Lynch",Archives!$Y$2:$Y$1048576,"Zimmer",Archives!$AB$2:$AB$1048576,"T")+COUNTIFS(Archives!$S$2:$S$1048576,"Doubles",Archives!$V$2:$V$1048576,"Zimmer",Archives!$Y$2:$Y$1048576,"Lynch",Archives!$AB$2:$AB$1048576,"T")</f>
        <v>0</v>
      </c>
      <c r="M21" s="41">
        <f t="shared" si="2"/>
        <v>1</v>
      </c>
      <c r="N21" s="40">
        <f t="shared" si="3"/>
        <v>2</v>
      </c>
    </row>
    <row r="22" spans="2:14" ht="15" customHeight="1" x14ac:dyDescent="0.2">
      <c r="B22" s="34" t="s">
        <v>118</v>
      </c>
      <c r="C22" s="43">
        <f>COUNTIFS(Archives!$S$2:$S$1048576,"Singles",Archives!$V$2:$V$1048576,$B22,Archives!$AB$2:$AB$1048576,"W")</f>
        <v>5</v>
      </c>
      <c r="D22" s="43">
        <f>COUNTIFS(Archives!$S$2:$S$1048576,"Singles",Archives!$V$2:$V$1048576,$B22,Archives!$AB$2:$AB$1048576,"L")</f>
        <v>6</v>
      </c>
      <c r="E22" s="43">
        <f>COUNTIFS(Archives!$S$2:$S$1048576,"Singles",Archives!$V$2:$V$1048576,$B22,Archives!$AB$2:$AB$1048576,"T")</f>
        <v>1</v>
      </c>
      <c r="F22" s="44">
        <f t="shared" si="0"/>
        <v>0.45833333333333331</v>
      </c>
      <c r="G22" s="43">
        <f t="shared" si="1"/>
        <v>12</v>
      </c>
      <c r="I22" s="34" t="s">
        <v>935</v>
      </c>
      <c r="J22" s="43">
        <f>COUNTIFS(Archives!$S$2:$S$1048576,"Doubles",Archives!$V$2:$V$1048576,"Mangold",Archives!$Y$2:$Y$1048576,"Perkins",Archives!$AB$2:$AB$1048576,"W")+COUNTIFS(Archives!$S$2:$S$1048576,"Doubles",Archives!$V$2:$V$1048576,"Perkins",Archives!$Y$2:$Y$1048576,"Mangold",Archives!$AB$2:$AB$1048576,"W")</f>
        <v>2</v>
      </c>
      <c r="K22" s="43">
        <f>COUNTIFS(Archives!$S$2:$S$1048576,"Doubles",Archives!$V$2:$V$1048576,"Mangold",Archives!$Y$2:$Y$1048576,"Perkins",Archives!$AB$2:$AB$1048576,"L")+COUNTIFS(Archives!$S$2:$S$1048576,"Doubles",Archives!$V$2:$V$1048576,"Perkins",Archives!$Y$2:$Y$1048576,"Mangold",Archives!$AB$2:$AB$1048576,"L")</f>
        <v>0</v>
      </c>
      <c r="L22" s="43">
        <f>COUNTIFS(Archives!$S$2:$S$1048576,"Doubles",Archives!$V$2:$V$1048576,"Mangold",Archives!$Y$2:$Y$1048576,"Perkins",Archives!$AB$2:$AB$1048576,"T")+COUNTIFS(Archives!$S$2:$S$1048576,"Doubles",Archives!$V$2:$V$1048576,"Perkins",Archives!$Y$2:$Y$1048576,"Mangold",Archives!$AB$2:$AB$1048576,"T")</f>
        <v>0</v>
      </c>
      <c r="M22" s="44">
        <f t="shared" si="2"/>
        <v>1</v>
      </c>
      <c r="N22" s="43">
        <f t="shared" si="3"/>
        <v>2</v>
      </c>
    </row>
    <row r="23" spans="2:14" ht="15" customHeight="1" x14ac:dyDescent="0.2">
      <c r="B23" s="31" t="s">
        <v>132</v>
      </c>
      <c r="C23" s="40">
        <f>COUNTIFS(Archives!$S$2:$S$1048576,"Singles",Archives!$V$2:$V$1048576,$B23,Archives!$AB$2:$AB$1048576,"W")</f>
        <v>4</v>
      </c>
      <c r="D23" s="40">
        <f>COUNTIFS(Archives!$S$2:$S$1048576,"Singles",Archives!$V$2:$V$1048576,$B23,Archives!$AB$2:$AB$1048576,"L")</f>
        <v>6</v>
      </c>
      <c r="E23" s="40">
        <f>COUNTIFS(Archives!$S$2:$S$1048576,"Singles",Archives!$V$2:$V$1048576,$B23,Archives!$AB$2:$AB$1048576,"T")</f>
        <v>2</v>
      </c>
      <c r="F23" s="41">
        <f t="shared" si="0"/>
        <v>0.41666666666666669</v>
      </c>
      <c r="G23" s="40">
        <f t="shared" si="1"/>
        <v>12</v>
      </c>
      <c r="I23" s="31" t="s">
        <v>936</v>
      </c>
      <c r="J23" s="40">
        <f>COUNTIFS(Archives!$S$2:$S$1048576,"Doubles",Archives!$V$2:$V$1048576,"McInerney",Archives!$Y$2:$Y$1048576,"Perkins",Archives!$AB$2:$AB$1048576,"W")+COUNTIFS(Archives!$S$2:$S$1048576,"Doubles",Archives!$V$2:$V$1048576,"Perkins",Archives!$Y$2:$Y$1048576,"McInerney",Archives!$AB$2:$AB$1048576,"W")</f>
        <v>2</v>
      </c>
      <c r="K23" s="40">
        <f>COUNTIFS(Archives!$S$2:$S$1048576,"Doubles",Archives!$V$2:$V$1048576,"McInerney",Archives!$Y$2:$Y$1048576,"Perkins",Archives!$AB$2:$AB$1048576,"L")+COUNTIFS(Archives!$S$2:$S$1048576,"Doubles",Archives!$V$2:$V$1048576,"Perkins",Archives!$Y$2:$Y$1048576,"McInerney",Archives!$AB$2:$AB$1048576,"L")</f>
        <v>0</v>
      </c>
      <c r="L23" s="40">
        <f>COUNTIFS(Archives!$S$2:$S$1048576,"Doubles",Archives!$V$2:$V$1048576,"McInerney",Archives!$Y$2:$Y$1048576,"Perkins",Archives!$AB$2:$AB$1048576,"T")+COUNTIFS(Archives!$S$2:$S$1048576,"Doubles",Archives!$V$2:$V$1048576,"Perkins",Archives!$Y$2:$Y$1048576,"McInerney",Archives!$AB$2:$AB$1048576,"T")</f>
        <v>0</v>
      </c>
      <c r="M23" s="41">
        <f t="shared" si="2"/>
        <v>1</v>
      </c>
      <c r="N23" s="40">
        <f t="shared" si="3"/>
        <v>2</v>
      </c>
    </row>
    <row r="24" spans="2:14" ht="15" customHeight="1" x14ac:dyDescent="0.2">
      <c r="B24" s="34" t="s">
        <v>123</v>
      </c>
      <c r="C24" s="43">
        <f>COUNTIFS(Archives!$S$2:$S$1048576,"Singles",Archives!$V$2:$V$1048576,$B24,Archives!$AB$2:$AB$1048576,"W")</f>
        <v>4</v>
      </c>
      <c r="D24" s="43">
        <f>COUNTIFS(Archives!$S$2:$S$1048576,"Singles",Archives!$V$2:$V$1048576,$B24,Archives!$AB$2:$AB$1048576,"L")</f>
        <v>7</v>
      </c>
      <c r="E24" s="43">
        <f>COUNTIFS(Archives!$S$2:$S$1048576,"Singles",Archives!$V$2:$V$1048576,$B24,Archives!$AB$2:$AB$1048576,"T")</f>
        <v>1</v>
      </c>
      <c r="F24" s="44">
        <f t="shared" si="0"/>
        <v>0.375</v>
      </c>
      <c r="G24" s="43">
        <f t="shared" si="1"/>
        <v>12</v>
      </c>
      <c r="I24" s="34" t="s">
        <v>937</v>
      </c>
      <c r="J24" s="43">
        <f>COUNTIFS(Archives!$S$2:$S$1048576,"Doubles",Archives!$V$2:$V$1048576,"Cole",Archives!$Y$2:$Y$1048576,"Connolly",Archives!$AB$2:$AB$1048576,"W")+COUNTIFS(Archives!$S$2:$S$1048576,"Doubles",Archives!$V$2:$V$1048576,"Connolly",Archives!$Y$2:$Y$1048576,"Cole",Archives!$AB$2:$AB$1048576,"W")</f>
        <v>1</v>
      </c>
      <c r="K24" s="43">
        <f>COUNTIFS(Archives!$S$2:$S$1048576,"Doubles",Archives!$V$2:$V$1048576,"Cole",Archives!$Y$2:$Y$1048576,"Connolly",Archives!$AB$2:$AB$1048576,"L")+COUNTIFS(Archives!$S$2:$S$1048576,"Doubles",Archives!$V$2:$V$1048576,"Connolly",Archives!$Y$2:$Y$1048576,"Cole",Archives!$AB$2:$AB$1048576,"L")</f>
        <v>0</v>
      </c>
      <c r="L24" s="43">
        <f>COUNTIFS(Archives!$S$2:$S$1048576,"Doubles",Archives!$V$2:$V$1048576,"Cole",Archives!$Y$2:$Y$1048576,"Connolly",Archives!$AB$2:$AB$1048576,"T")+COUNTIFS(Archives!$S$2:$S$1048576,"Doubles",Archives!$V$2:$V$1048576,"Connolly",Archives!$Y$2:$Y$1048576,"Cole",Archives!$AB$2:$AB$1048576,"T")</f>
        <v>0</v>
      </c>
      <c r="M24" s="44">
        <f t="shared" si="2"/>
        <v>1</v>
      </c>
      <c r="N24" s="43">
        <f t="shared" si="3"/>
        <v>1</v>
      </c>
    </row>
    <row r="25" spans="2:14" ht="15" customHeight="1" x14ac:dyDescent="0.2">
      <c r="B25" s="31" t="s">
        <v>321</v>
      </c>
      <c r="C25" s="40">
        <f>COUNTIFS(Archives!$S$2:$S$1048576,"Singles",Archives!$V$2:$V$1048576,$B25,Archives!$AB$2:$AB$1048576,"W")</f>
        <v>2</v>
      </c>
      <c r="D25" s="40">
        <f>COUNTIFS(Archives!$S$2:$S$1048576,"Singles",Archives!$V$2:$V$1048576,$B25,Archives!$AB$2:$AB$1048576,"L")</f>
        <v>4</v>
      </c>
      <c r="E25" s="40">
        <f>COUNTIFS(Archives!$S$2:$S$1048576,"Singles",Archives!$V$2:$V$1048576,$B25,Archives!$AB$2:$AB$1048576,"T")</f>
        <v>0</v>
      </c>
      <c r="F25" s="41">
        <f t="shared" si="0"/>
        <v>0.33333333333333331</v>
      </c>
      <c r="G25" s="40">
        <f t="shared" si="1"/>
        <v>6</v>
      </c>
      <c r="I25" s="31" t="s">
        <v>938</v>
      </c>
      <c r="J25" s="40">
        <f>COUNTIFS(Archives!$S$2:$S$1048576,"Doubles",Archives!$V$2:$V$1048576,"Connors",Archives!$Y$2:$Y$1048576,"Delneky",Archives!$AB$2:$AB$1048576,"W")+COUNTIFS(Archives!$S$2:$S$1048576,"Doubles",Archives!$V$2:$V$1048576,"Delneky",Archives!$Y$2:$Y$1048576,"Connors",Archives!$AB$2:$AB$1048576,"W")</f>
        <v>1</v>
      </c>
      <c r="K25" s="40">
        <f>COUNTIFS(Archives!$S$2:$S$1048576,"Doubles",Archives!$V$2:$V$1048576,"Connors",Archives!$Y$2:$Y$1048576,"Delneky",Archives!$AB$2:$AB$1048576,"L")+COUNTIFS(Archives!$S$2:$S$1048576,"Doubles",Archives!$V$2:$V$1048576,"Delneky",Archives!$Y$2:$Y$1048576,"Connors",Archives!$AB$2:$AB$1048576,"L")</f>
        <v>0</v>
      </c>
      <c r="L25" s="40">
        <f>COUNTIFS(Archives!$S$2:$S$1048576,"Doubles",Archives!$V$2:$V$1048576,"Connors",Archives!$Y$2:$Y$1048576,"Delneky",Archives!$AB$2:$AB$1048576,"T")+COUNTIFS(Archives!$S$2:$S$1048576,"Doubles",Archives!$V$2:$V$1048576,"Delneky",Archives!$Y$2:$Y$1048576,"Connors",Archives!$AB$2:$AB$1048576,"T")</f>
        <v>0</v>
      </c>
      <c r="M25" s="41">
        <f t="shared" si="2"/>
        <v>1</v>
      </c>
      <c r="N25" s="40">
        <f t="shared" si="3"/>
        <v>1</v>
      </c>
    </row>
    <row r="26" spans="2:14" ht="15" customHeight="1" x14ac:dyDescent="0.2">
      <c r="B26" s="34" t="s">
        <v>175</v>
      </c>
      <c r="C26" s="43">
        <f>COUNTIFS(Archives!$S$2:$S$1048576,"Singles",Archives!$V$2:$V$1048576,$B26,Archives!$AB$2:$AB$1048576,"W")</f>
        <v>1</v>
      </c>
      <c r="D26" s="43">
        <f>COUNTIFS(Archives!$S$2:$S$1048576,"Singles",Archives!$V$2:$V$1048576,$B26,Archives!$AB$2:$AB$1048576,"L")</f>
        <v>2</v>
      </c>
      <c r="E26" s="43">
        <f>COUNTIFS(Archives!$S$2:$S$1048576,"Singles",Archives!$V$2:$V$1048576,$B26,Archives!$AB$2:$AB$1048576,"T")</f>
        <v>0</v>
      </c>
      <c r="F26" s="44">
        <f t="shared" si="0"/>
        <v>0.33333333333333331</v>
      </c>
      <c r="G26" s="43">
        <f t="shared" si="1"/>
        <v>3</v>
      </c>
      <c r="I26" s="34" t="s">
        <v>939</v>
      </c>
      <c r="J26" s="43">
        <f>COUNTIFS(Archives!$S$2:$S$1048576,"Doubles",Archives!$V$2:$V$1048576,"Fogan",Archives!$Y$2:$Y$1048576,"Mangold",Archives!$AB$2:$AB$1048576,"W")+COUNTIFS(Archives!$S$2:$S$1048576,"Doubles",Archives!$V$2:$V$1048576,"Mangold",Archives!$Y$2:$Y$1048576,"Fogan",Archives!$AB$2:$AB$1048576,"W")</f>
        <v>1</v>
      </c>
      <c r="K26" s="43">
        <f>COUNTIFS(Archives!$S$2:$S$1048576,"Doubles",Archives!$V$2:$V$1048576,"Fogan",Archives!$Y$2:$Y$1048576,"Mangold",Archives!$AB$2:$AB$1048576,"L")+COUNTIFS(Archives!$S$2:$S$1048576,"Doubles",Archives!$V$2:$V$1048576,"Mangold",Archives!$Y$2:$Y$1048576,"Fogan",Archives!$AB$2:$AB$1048576,"L")</f>
        <v>0</v>
      </c>
      <c r="L26" s="43">
        <f>COUNTIFS(Archives!$S$2:$S$1048576,"Doubles",Archives!$V$2:$V$1048576,"Fogan",Archives!$Y$2:$Y$1048576,"Mangold",Archives!$AB$2:$AB$1048576,"T")+COUNTIFS(Archives!$S$2:$S$1048576,"Doubles",Archives!$V$2:$V$1048576,"Mangold",Archives!$Y$2:$Y$1048576,"Fogan",Archives!$AB$2:$AB$1048576,"T")</f>
        <v>0</v>
      </c>
      <c r="M26" s="44">
        <f t="shared" si="2"/>
        <v>1</v>
      </c>
      <c r="N26" s="43">
        <f t="shared" si="3"/>
        <v>1</v>
      </c>
    </row>
    <row r="27" spans="2:14" ht="15" customHeight="1" x14ac:dyDescent="0.2">
      <c r="B27" s="31" t="s">
        <v>133</v>
      </c>
      <c r="C27" s="40">
        <f>COUNTIFS(Archives!$S$2:$S$1048576,"Singles",Archives!$V$2:$V$1048576,$B27,Archives!$AB$2:$AB$1048576,"W")</f>
        <v>2</v>
      </c>
      <c r="D27" s="40">
        <f>COUNTIFS(Archives!$S$2:$S$1048576,"Singles",Archives!$V$2:$V$1048576,$B27,Archives!$AB$2:$AB$1048576,"L")</f>
        <v>7</v>
      </c>
      <c r="E27" s="40">
        <f>COUNTIFS(Archives!$S$2:$S$1048576,"Singles",Archives!$V$2:$V$1048576,$B27,Archives!$AB$2:$AB$1048576,"T")</f>
        <v>2</v>
      </c>
      <c r="F27" s="41">
        <f t="shared" si="0"/>
        <v>0.27272727272727271</v>
      </c>
      <c r="G27" s="40">
        <f t="shared" si="1"/>
        <v>11</v>
      </c>
      <c r="I27" s="31" t="s">
        <v>940</v>
      </c>
      <c r="J27" s="40">
        <f>COUNTIFS(Archives!$S$2:$S$1048576,"Doubles",Archives!$V$2:$V$1048576,"Gray",Archives!$Y$2:$Y$1048576,"Jackson",Archives!$AB$2:$AB$1048576,"W")+COUNTIFS(Archives!$S$2:$S$1048576,"Doubles",Archives!$V$2:$V$1048576,"Jackson",Archives!$Y$2:$Y$1048576,"Gray",Archives!$AB$2:$AB$1048576,"W")</f>
        <v>1</v>
      </c>
      <c r="K27" s="40">
        <f>COUNTIFS(Archives!$S$2:$S$1048576,"Doubles",Archives!$V$2:$V$1048576,"Gray",Archives!$Y$2:$Y$1048576,"Jackson",Archives!$AB$2:$AB$1048576,"L")+COUNTIFS(Archives!$S$2:$S$1048576,"Doubles",Archives!$V$2:$V$1048576,"Jackson",Archives!$Y$2:$Y$1048576,"Gray",Archives!$AB$2:$AB$1048576,"L")</f>
        <v>0</v>
      </c>
      <c r="L27" s="40">
        <f>COUNTIFS(Archives!$S$2:$S$1048576,"Doubles",Archives!$V$2:$V$1048576,"Gray",Archives!$Y$2:$Y$1048576,"Jackson",Archives!$AB$2:$AB$1048576,"T")+COUNTIFS(Archives!$S$2:$S$1048576,"Doubles",Archives!$V$2:$V$1048576,"Jackson",Archives!$Y$2:$Y$1048576,"Gray",Archives!$AB$2:$AB$1048576,"T")</f>
        <v>0</v>
      </c>
      <c r="M27" s="41">
        <f t="shared" si="2"/>
        <v>1</v>
      </c>
      <c r="N27" s="40">
        <f t="shared" si="3"/>
        <v>1</v>
      </c>
    </row>
    <row r="28" spans="2:14" ht="15" customHeight="1" x14ac:dyDescent="0.2">
      <c r="B28" s="34" t="s">
        <v>135</v>
      </c>
      <c r="C28" s="43">
        <f>COUNTIFS(Archives!$S$2:$S$1048576,"Singles",Archives!$V$2:$V$1048576,$B28,Archives!$AB$2:$AB$1048576,"W")</f>
        <v>3</v>
      </c>
      <c r="D28" s="43">
        <f>COUNTIFS(Archives!$S$2:$S$1048576,"Singles",Archives!$V$2:$V$1048576,$B28,Archives!$AB$2:$AB$1048576,"L")</f>
        <v>8</v>
      </c>
      <c r="E28" s="43">
        <f>COUNTIFS(Archives!$S$2:$S$1048576,"Singles",Archives!$V$2:$V$1048576,$B28,Archives!$AB$2:$AB$1048576,"T")</f>
        <v>0</v>
      </c>
      <c r="F28" s="44">
        <f t="shared" si="0"/>
        <v>0.27272727272727271</v>
      </c>
      <c r="G28" s="43">
        <f t="shared" si="1"/>
        <v>11</v>
      </c>
      <c r="I28" s="34" t="s">
        <v>941</v>
      </c>
      <c r="J28" s="43">
        <f>COUNTIFS(Archives!$S$2:$S$1048576,"Doubles",Archives!$V$2:$V$1048576,"McInerney",Archives!$Y$2:$Y$1048576,"Norat",Archives!$AB$2:$AB$1048576,"W")+COUNTIFS(Archives!$S$2:$S$1048576,"Doubles",Archives!$V$2:$V$1048576,"Norat",Archives!$Y$2:$Y$1048576,"McInerney",Archives!$AB$2:$AB$1048576,"W")</f>
        <v>1</v>
      </c>
      <c r="K28" s="43">
        <f>COUNTIFS(Archives!$S$2:$S$1048576,"Doubles",Archives!$V$2:$V$1048576,"McInerney",Archives!$Y$2:$Y$1048576,"Norat",Archives!$AB$2:$AB$1048576,"L")+COUNTIFS(Archives!$S$2:$S$1048576,"Doubles",Archives!$V$2:$V$1048576,"Norat",Archives!$Y$2:$Y$1048576,"McInerney",Archives!$AB$2:$AB$1048576,"L")</f>
        <v>0</v>
      </c>
      <c r="L28" s="43">
        <f>COUNTIFS(Archives!$S$2:$S$1048576,"Doubles",Archives!$V$2:$V$1048576,"McInerney",Archives!$Y$2:$Y$1048576,"Norat",Archives!$AB$2:$AB$1048576,"T")+COUNTIFS(Archives!$S$2:$S$1048576,"Doubles",Archives!$V$2:$V$1048576,"Norat",Archives!$Y$2:$Y$1048576,"McInerney",Archives!$AB$2:$AB$1048576,"T")</f>
        <v>0</v>
      </c>
      <c r="M28" s="44">
        <f t="shared" si="2"/>
        <v>1</v>
      </c>
      <c r="N28" s="43">
        <f t="shared" si="3"/>
        <v>1</v>
      </c>
    </row>
    <row r="29" spans="2:14" ht="15" customHeight="1" x14ac:dyDescent="0.2">
      <c r="B29" s="31" t="s">
        <v>178</v>
      </c>
      <c r="C29" s="40">
        <f>COUNTIFS(Archives!$S$2:$S$1048576,"Singles",Archives!$V$2:$V$1048576,$B29,Archives!$AB$2:$AB$1048576,"W")</f>
        <v>2</v>
      </c>
      <c r="D29" s="40">
        <f>COUNTIFS(Archives!$S$2:$S$1048576,"Singles",Archives!$V$2:$V$1048576,$B29,Archives!$AB$2:$AB$1048576,"L")</f>
        <v>7</v>
      </c>
      <c r="E29" s="40">
        <f>COUNTIFS(Archives!$S$2:$S$1048576,"Singles",Archives!$V$2:$V$1048576,$B29,Archives!$AB$2:$AB$1048576,"T")</f>
        <v>1</v>
      </c>
      <c r="F29" s="41">
        <f t="shared" si="0"/>
        <v>0.25</v>
      </c>
      <c r="G29" s="40">
        <f t="shared" si="1"/>
        <v>10</v>
      </c>
      <c r="I29" s="31" t="s">
        <v>761</v>
      </c>
      <c r="J29" s="40">
        <f>COUNTIFS(Archives!$S$2:$S$1048576,"Doubles",Archives!$V$2:$V$1048576,"Ferrin",Archives!$Y$2:$Y$1048576,"Flanders",Archives!$AB$2:$AB$1048576,"W")+COUNTIFS(Archives!$S$2:$S$1048576,"Doubles",Archives!$V$2:$V$1048576,"Flanders",Archives!$Y$2:$Y$1048576,"Ferrin",Archives!$AB$2:$AB$1048576,"W")</f>
        <v>7</v>
      </c>
      <c r="K29" s="40">
        <f>COUNTIFS(Archives!$S$2:$S$1048576,"Doubles",Archives!$V$2:$V$1048576,"Ferrin",Archives!$Y$2:$Y$1048576,"Flanders",Archives!$AB$2:$AB$1048576,"L")+COUNTIFS(Archives!$S$2:$S$1048576,"Doubles",Archives!$V$2:$V$1048576,"Flanders",Archives!$Y$2:$Y$1048576,"Ferrin",Archives!$AB$2:$AB$1048576,"L")</f>
        <v>1</v>
      </c>
      <c r="L29" s="40">
        <f>COUNTIFS(Archives!$S$2:$S$1048576,"Doubles",Archives!$V$2:$V$1048576,"Ferrin",Archives!$Y$2:$Y$1048576,"Flanders",Archives!$AB$2:$AB$1048576,"T")+COUNTIFS(Archives!$S$2:$S$1048576,"Doubles",Archives!$V$2:$V$1048576,"Flanders",Archives!$Y$2:$Y$1048576,"Ferrin",Archives!$AB$2:$AB$1048576,"T")</f>
        <v>0</v>
      </c>
      <c r="M29" s="41">
        <f t="shared" si="2"/>
        <v>0.875</v>
      </c>
      <c r="N29" s="40">
        <f t="shared" si="3"/>
        <v>8</v>
      </c>
    </row>
    <row r="30" spans="2:14" ht="15" customHeight="1" x14ac:dyDescent="0.2">
      <c r="B30" s="34" t="s">
        <v>120</v>
      </c>
      <c r="C30" s="43">
        <f>COUNTIFS(Archives!$S$2:$S$1048576,"Singles",Archives!$V$2:$V$1048576,$B30,Archives!$AB$2:$AB$1048576,"W")</f>
        <v>0</v>
      </c>
      <c r="D30" s="43">
        <f>COUNTIFS(Archives!$S$2:$S$1048576,"Singles",Archives!$V$2:$V$1048576,$B30,Archives!$AB$2:$AB$1048576,"L")</f>
        <v>2</v>
      </c>
      <c r="E30" s="43">
        <f>COUNTIFS(Archives!$S$2:$S$1048576,"Singles",Archives!$V$2:$V$1048576,$B30,Archives!$AB$2:$AB$1048576,"T")</f>
        <v>2</v>
      </c>
      <c r="F30" s="44">
        <f t="shared" si="0"/>
        <v>0.25</v>
      </c>
      <c r="G30" s="43">
        <f t="shared" si="1"/>
        <v>4</v>
      </c>
      <c r="I30" s="34" t="s">
        <v>763</v>
      </c>
      <c r="J30" s="43">
        <f>COUNTIFS(Archives!$S$2:$S$1048576,"Doubles",Archives!$V$2:$V$1048576,"Connolly",Archives!$Y$2:$Y$1048576,"Jackson",Archives!$AB$2:$AB$1048576,"W")+COUNTIFS(Archives!$S$2:$S$1048576,"Doubles",Archives!$V$2:$V$1048576,"Jackson",Archives!$Y$2:$Y$1048576,"Connolly",Archives!$AB$2:$AB$1048576,"W")</f>
        <v>3</v>
      </c>
      <c r="K30" s="43">
        <f>COUNTIFS(Archives!$S$2:$S$1048576,"Doubles",Archives!$V$2:$V$1048576,"Connolly",Archives!$Y$2:$Y$1048576,"Jackson",Archives!$AB$2:$AB$1048576,"L")+COUNTIFS(Archives!$S$2:$S$1048576,"Doubles",Archives!$V$2:$V$1048576,"Jackson",Archives!$Y$2:$Y$1048576,"Connolly",Archives!$AB$2:$AB$1048576,"L")</f>
        <v>0</v>
      </c>
      <c r="L30" s="43">
        <f>COUNTIFS(Archives!$S$2:$S$1048576,"Doubles",Archives!$V$2:$V$1048576,"Connolly",Archives!$Y$2:$Y$1048576,"Jackson",Archives!$AB$2:$AB$1048576,"T")+COUNTIFS(Archives!$S$2:$S$1048576,"Doubles",Archives!$V$2:$V$1048576,"Jackson",Archives!$Y$2:$Y$1048576,"Connolly",Archives!$AB$2:$AB$1048576,"T")</f>
        <v>1</v>
      </c>
      <c r="M30" s="44">
        <f t="shared" si="2"/>
        <v>0.875</v>
      </c>
      <c r="N30" s="43">
        <f t="shared" si="3"/>
        <v>4</v>
      </c>
    </row>
    <row r="31" spans="2:14" ht="15" customHeight="1" x14ac:dyDescent="0.2">
      <c r="B31" s="31" t="s">
        <v>1285</v>
      </c>
      <c r="C31" s="40">
        <f>COUNTIFS(Archives!$S$2:$S$1048576,"Singles",Archives!$V$2:$V$1048576,$B31,Archives!$AB$2:$AB$1048576,"W")</f>
        <v>0</v>
      </c>
      <c r="D31" s="40">
        <f>COUNTIFS(Archives!$S$2:$S$1048576,"Singles",Archives!$V$2:$V$1048576,$B31,Archives!$AB$2:$AB$1048576,"L")</f>
        <v>1</v>
      </c>
      <c r="E31" s="40">
        <f>COUNTIFS(Archives!$S$2:$S$1048576,"Singles",Archives!$V$2:$V$1048576,$B31,Archives!$AB$2:$AB$1048576,"T")</f>
        <v>1</v>
      </c>
      <c r="F31" s="41">
        <f t="shared" si="0"/>
        <v>0.25</v>
      </c>
      <c r="G31" s="40">
        <f t="shared" si="1"/>
        <v>2</v>
      </c>
      <c r="I31" s="31" t="s">
        <v>762</v>
      </c>
      <c r="J31" s="40">
        <f>COUNTIFS(Archives!$S$2:$S$1048576,"Doubles",Archives!$V$2:$V$1048576,"Delaney",Archives!$Y$2:$Y$1048576,"Perkins",Archives!$AB$2:$AB$1048576,"W")+COUNTIFS(Archives!$S$2:$S$1048576,"Doubles",Archives!$V$2:$V$1048576,"Perkins",Archives!$Y$2:$Y$1048576,"Delaney",Archives!$AB$2:$AB$1048576,"W")</f>
        <v>3</v>
      </c>
      <c r="K31" s="40">
        <f>COUNTIFS(Archives!$S$2:$S$1048576,"Doubles",Archives!$V$2:$V$1048576,"Delaney",Archives!$Y$2:$Y$1048576,"Perkins",Archives!$AB$2:$AB$1048576,"L")+COUNTIFS(Archives!$S$2:$S$1048576,"Doubles",Archives!$V$2:$V$1048576,"Perkins",Archives!$Y$2:$Y$1048576,"Delaney",Archives!$AB$2:$AB$1048576,"L")</f>
        <v>0</v>
      </c>
      <c r="L31" s="40">
        <f>COUNTIFS(Archives!$S$2:$S$1048576,"Doubles",Archives!$V$2:$V$1048576,"Delaney",Archives!$Y$2:$Y$1048576,"Perkins",Archives!$AB$2:$AB$1048576,"T")+COUNTIFS(Archives!$S$2:$S$1048576,"Doubles",Archives!$V$2:$V$1048576,"Perkins",Archives!$Y$2:$Y$1048576,"Delaney",Archives!$AB$2:$AB$1048576,"T")</f>
        <v>1</v>
      </c>
      <c r="M31" s="41">
        <f t="shared" si="2"/>
        <v>0.875</v>
      </c>
      <c r="N31" s="40">
        <f t="shared" si="3"/>
        <v>4</v>
      </c>
    </row>
    <row r="32" spans="2:14" ht="15" customHeight="1" x14ac:dyDescent="0.2">
      <c r="B32" s="34" t="s">
        <v>693</v>
      </c>
      <c r="C32" s="43">
        <f>COUNTIFS(Archives!$S$2:$S$1048576,"Singles",Archives!$V$2:$V$1048576,$B32,Archives!$AB$2:$AB$1048576,"W")</f>
        <v>1</v>
      </c>
      <c r="D32" s="43">
        <f>COUNTIFS(Archives!$S$2:$S$1048576,"Singles",Archives!$V$2:$V$1048576,$B32,Archives!$AB$2:$AB$1048576,"L")</f>
        <v>4</v>
      </c>
      <c r="E32" s="43">
        <f>COUNTIFS(Archives!$S$2:$S$1048576,"Singles",Archives!$V$2:$V$1048576,$B32,Archives!$AB$2:$AB$1048576,"T")</f>
        <v>0</v>
      </c>
      <c r="F32" s="44">
        <f t="shared" si="0"/>
        <v>0.2</v>
      </c>
      <c r="G32" s="43">
        <f t="shared" si="1"/>
        <v>5</v>
      </c>
      <c r="I32" s="34" t="s">
        <v>764</v>
      </c>
      <c r="J32" s="43">
        <f>COUNTIFS(Archives!$S$2:$S$1048576,"Doubles",Archives!$V$2:$V$1048576,"Connolly",Archives!$Y$2:$Y$1048576,"Forster",Archives!$AB$2:$AB$1048576,"W")+COUNTIFS(Archives!$S$2:$S$1048576,"Doubles",Archives!$V$2:$V$1048576,"Forster",Archives!$Y$2:$Y$1048576,"Connolly",Archives!$AB$2:$AB$1048576,"W")</f>
        <v>4</v>
      </c>
      <c r="K32" s="43">
        <f>COUNTIFS(Archives!$S$2:$S$1048576,"Doubles",Archives!$V$2:$V$1048576,"Connolly",Archives!$Y$2:$Y$1048576,"Forster",Archives!$AB$2:$AB$1048576,"L")+COUNTIFS(Archives!$S$2:$S$1048576,"Doubles",Archives!$V$2:$V$1048576,"Forster",Archives!$Y$2:$Y$1048576,"Connolly",Archives!$AB$2:$AB$1048576,"L")</f>
        <v>0</v>
      </c>
      <c r="L32" s="43">
        <f>COUNTIFS(Archives!$S$2:$S$1048576,"Doubles",Archives!$V$2:$V$1048576,"Connolly",Archives!$Y$2:$Y$1048576,"Forster",Archives!$AB$2:$AB$1048576,"T")+COUNTIFS(Archives!$S$2:$S$1048576,"Doubles",Archives!$V$2:$V$1048576,"Forster",Archives!$Y$2:$Y$1048576,"Connolly",Archives!$AB$2:$AB$1048576,"T")</f>
        <v>2</v>
      </c>
      <c r="M32" s="44">
        <f t="shared" si="2"/>
        <v>0.83333333333333337</v>
      </c>
      <c r="N32" s="43">
        <f t="shared" si="3"/>
        <v>6</v>
      </c>
    </row>
    <row r="33" spans="2:14" ht="15" customHeight="1" x14ac:dyDescent="0.2">
      <c r="B33" s="31" t="s">
        <v>457</v>
      </c>
      <c r="C33" s="40">
        <f>COUNTIFS(Archives!$S$2:$S$1048576,"Singles",Archives!$V$2:$V$1048576,$B33,Archives!$AB$2:$AB$1048576,"W")</f>
        <v>0</v>
      </c>
      <c r="D33" s="40">
        <f>COUNTIFS(Archives!$S$2:$S$1048576,"Singles",Archives!$V$2:$V$1048576,$B33,Archives!$AB$2:$AB$1048576,"L")</f>
        <v>2</v>
      </c>
      <c r="E33" s="40">
        <f>COUNTIFS(Archives!$S$2:$S$1048576,"Singles",Archives!$V$2:$V$1048576,$B33,Archives!$AB$2:$AB$1048576,"T")</f>
        <v>0</v>
      </c>
      <c r="F33" s="41">
        <f t="shared" si="0"/>
        <v>0</v>
      </c>
      <c r="G33" s="40">
        <f t="shared" si="1"/>
        <v>2</v>
      </c>
      <c r="I33" s="31" t="s">
        <v>768</v>
      </c>
      <c r="J33" s="40">
        <f>COUNTIFS(Archives!$S$2:$S$1048576,"Doubles",Archives!$V$2:$V$1048576,"Grise",Archives!$Y$2:$Y$1048576,"Jackson",Archives!$AB$2:$AB$1048576,"W")+COUNTIFS(Archives!$S$2:$S$1048576,"Doubles",Archives!$V$2:$V$1048576,"Jackson",Archives!$Y$2:$Y$1048576,"Grise",Archives!$AB$2:$AB$1048576,"W")</f>
        <v>7</v>
      </c>
      <c r="K33" s="40">
        <f>COUNTIFS(Archives!$S$2:$S$1048576,"Doubles",Archives!$V$2:$V$1048576,"Grise",Archives!$Y$2:$Y$1048576,"Jackson",Archives!$AB$2:$AB$1048576,"L")+COUNTIFS(Archives!$S$2:$S$1048576,"Doubles",Archives!$V$2:$V$1048576,"Jackson",Archives!$Y$2:$Y$1048576,"Grise",Archives!$AB$2:$AB$1048576,"L")</f>
        <v>2</v>
      </c>
      <c r="L33" s="40">
        <f>COUNTIFS(Archives!$S$2:$S$1048576,"Doubles",Archives!$V$2:$V$1048576,"Grise",Archives!$Y$2:$Y$1048576,"Jackson",Archives!$AB$2:$AB$1048576,"T")+COUNTIFS(Archives!$S$2:$S$1048576,"Doubles",Archives!$V$2:$V$1048576,"Jackson",Archives!$Y$2:$Y$1048576,"Grise",Archives!$AB$2:$AB$1048576,"T")</f>
        <v>1</v>
      </c>
      <c r="M33" s="41">
        <f t="shared" si="2"/>
        <v>0.75</v>
      </c>
      <c r="N33" s="40">
        <f t="shared" si="3"/>
        <v>10</v>
      </c>
    </row>
    <row r="34" spans="2:14" ht="15" customHeight="1" x14ac:dyDescent="0.2">
      <c r="B34" s="34" t="s">
        <v>129</v>
      </c>
      <c r="C34" s="43">
        <f>COUNTIFS(Archives!$S$2:$S$1048576,"Singles",Archives!$V$2:$V$1048576,$B34,Archives!$AB$2:$AB$1048576,"W")</f>
        <v>0</v>
      </c>
      <c r="D34" s="43">
        <f>COUNTIFS(Archives!$S$2:$S$1048576,"Singles",Archives!$V$2:$V$1048576,$B34,Archives!$AB$2:$AB$1048576,"L")</f>
        <v>1</v>
      </c>
      <c r="E34" s="43">
        <f>COUNTIFS(Archives!$S$2:$S$1048576,"Singles",Archives!$V$2:$V$1048576,$B34,Archives!$AB$2:$AB$1048576,"T")</f>
        <v>0</v>
      </c>
      <c r="F34" s="44">
        <f t="shared" si="0"/>
        <v>0</v>
      </c>
      <c r="G34" s="43">
        <f t="shared" si="1"/>
        <v>1</v>
      </c>
      <c r="I34" s="34" t="s">
        <v>767</v>
      </c>
      <c r="J34" s="43">
        <f>COUNTIFS(Archives!$S$2:$S$1048576,"Doubles",Archives!$V$2:$V$1048576,"Connolly",Archives!$Y$2:$Y$1048576,"R. Connolly",Archives!$AB$2:$AB$1048576,"W")+COUNTIFS(Archives!$S$2:$S$1048576,"Doubles",Archives!$V$2:$V$1048576,"R. Connolly",Archives!$Y$2:$Y$1048576,"Connolly",Archives!$AB$2:$AB$1048576,"W")</f>
        <v>2</v>
      </c>
      <c r="K34" s="43">
        <f>COUNTIFS(Archives!$S$2:$S$1048576,"Doubles",Archives!$V$2:$V$1048576,"Connolly",Archives!$Y$2:$Y$1048576,"R. Connolly",Archives!$AB$2:$AB$1048576,"L")+COUNTIFS(Archives!$S$2:$S$1048576,"Doubles",Archives!$V$2:$V$1048576,"R. Connolly",Archives!$Y$2:$Y$1048576,"Connolly",Archives!$AB$2:$AB$1048576,"L")</f>
        <v>0</v>
      </c>
      <c r="L34" s="43">
        <f>COUNTIFS(Archives!$S$2:$S$1048576,"Doubles",Archives!$V$2:$V$1048576,"Connolly",Archives!$Y$2:$Y$1048576,"R. Connolly",Archives!$AB$2:$AB$1048576,"T")+COUNTIFS(Archives!$S$2:$S$1048576,"Doubles",Archives!$V$2:$V$1048576,"R. Connolly",Archives!$Y$2:$Y$1048576,"Connolly",Archives!$AB$2:$AB$1048576,"T")</f>
        <v>2</v>
      </c>
      <c r="M34" s="44">
        <f t="shared" si="2"/>
        <v>0.75</v>
      </c>
      <c r="N34" s="43">
        <f t="shared" si="3"/>
        <v>4</v>
      </c>
    </row>
    <row r="35" spans="2:14" ht="15" customHeight="1" x14ac:dyDescent="0.2">
      <c r="B35" s="46" t="s">
        <v>720</v>
      </c>
      <c r="C35" s="47">
        <f>SUM(C5:C34)</f>
        <v>106</v>
      </c>
      <c r="D35" s="47">
        <f>SUM(D5:D34)</f>
        <v>106</v>
      </c>
      <c r="E35" s="47">
        <f>SUM(E5:E34)</f>
        <v>22</v>
      </c>
      <c r="F35" s="48">
        <f t="shared" si="0"/>
        <v>0.5</v>
      </c>
      <c r="G35" s="47">
        <f>SUM(G5:G34)</f>
        <v>234</v>
      </c>
      <c r="I35" s="31" t="s">
        <v>1303</v>
      </c>
      <c r="J35" s="40">
        <f>COUNTIFS(Archives!$S$2:$S$1048576,"Doubles",Archives!$V$2:$V$1048576,"Bussiculo",Archives!$Y$2:$Y$1048576,"Flanders",Archives!$AB$2:$AB$1048576,"W")+COUNTIFS(Archives!$S$2:$S$1048576,"Doubles",Archives!$V$2:$V$1048576,"Flanders",Archives!$Y$2:$Y$1048576,"Bussiculo",Archives!$AB$2:$AB$1048576,"W")</f>
        <v>1</v>
      </c>
      <c r="K35" s="40">
        <f>COUNTIFS(Archives!$S$2:$S$1048576,"Doubles",Archives!$V$2:$V$1048576,"Bussiculo",Archives!$Y$2:$Y$1048576,"Flanders",Archives!$AB$2:$AB$1048576,"L")+COUNTIFS(Archives!$S$2:$S$1048576,"Doubles",Archives!$V$2:$V$1048576,"Flanders",Archives!$Y$2:$Y$1048576,"Bussiculo",Archives!$AB$2:$AB$1048576,"L")</f>
        <v>0</v>
      </c>
      <c r="L35" s="40">
        <f>COUNTIFS(Archives!$S$2:$S$1048576,"Doubles",Archives!$V$2:$V$1048576,"Bussiculo",Archives!$Y$2:$Y$1048576,"Flanders",Archives!$AB$2:$AB$1048576,"T")+COUNTIFS(Archives!$S$2:$S$1048576,"Doubles",Archives!$V$2:$V$1048576,"Flanders",Archives!$Y$2:$Y$1048576,"Bussiculo",Archives!$AB$2:$AB$1048576,"T")</f>
        <v>1</v>
      </c>
      <c r="M35" s="41">
        <f t="shared" si="2"/>
        <v>0.75</v>
      </c>
      <c r="N35" s="40">
        <f t="shared" si="3"/>
        <v>2</v>
      </c>
    </row>
    <row r="36" spans="2:14" ht="15" customHeight="1" x14ac:dyDescent="0.2">
      <c r="I36" s="34" t="s">
        <v>942</v>
      </c>
      <c r="J36" s="43">
        <f>COUNTIFS(Archives!$S$2:$S$1048576,"Doubles",Archives!$V$2:$V$1048576,"Cole",Archives!$Y$2:$Y$1048576,"Hilts",Archives!$AB$2:$AB$1048576,"W")+COUNTIFS(Archives!$S$2:$S$1048576,"Doubles",Archives!$V$2:$V$1048576,"Hilts",Archives!$Y$2:$Y$1048576,"Cole",Archives!$AB$2:$AB$1048576,"W")</f>
        <v>1</v>
      </c>
      <c r="K36" s="43">
        <f>COUNTIFS(Archives!$S$2:$S$1048576,"Doubles",Archives!$V$2:$V$1048576,"Cole",Archives!$Y$2:$Y$1048576,"Hilts",Archives!$AB$2:$AB$1048576,"L")+COUNTIFS(Archives!$S$2:$S$1048576,"Doubles",Archives!$V$2:$V$1048576,"Hilts",Archives!$Y$2:$Y$1048576,"Cole",Archives!$AB$2:$AB$1048576,"L")</f>
        <v>0</v>
      </c>
      <c r="L36" s="43">
        <f>COUNTIFS(Archives!$S$2:$S$1048576,"Doubles",Archives!$V$2:$V$1048576,"Cole",Archives!$Y$2:$Y$1048576,"Hilts",Archives!$AB$2:$AB$1048576,"T")+COUNTIFS(Archives!$S$2:$S$1048576,"Doubles",Archives!$V$2:$V$1048576,"Hilts",Archives!$Y$2:$Y$1048576,"Cole",Archives!$AB$2:$AB$1048576,"T")</f>
        <v>1</v>
      </c>
      <c r="M36" s="44">
        <f t="shared" si="2"/>
        <v>0.75</v>
      </c>
      <c r="N36" s="43">
        <f t="shared" si="3"/>
        <v>2</v>
      </c>
    </row>
    <row r="37" spans="2:14" ht="15" customHeight="1" x14ac:dyDescent="0.2">
      <c r="I37" s="31" t="s">
        <v>943</v>
      </c>
      <c r="J37" s="40">
        <f>COUNTIFS(Archives!$S$2:$S$1048576,"Doubles",Archives!$V$2:$V$1048576,"Cole",Archives!$Y$2:$Y$1048576,"Welker",Archives!$AB$2:$AB$1048576,"W")+COUNTIFS(Archives!$S$2:$S$1048576,"Doubles",Archives!$V$2:$V$1048576,"Welker",Archives!$Y$2:$Y$1048576,"Cole",Archives!$AB$2:$AB$1048576,"W")</f>
        <v>1</v>
      </c>
      <c r="K37" s="40">
        <f>COUNTIFS(Archives!$S$2:$S$1048576,"Doubles",Archives!$V$2:$V$1048576,"Cole",Archives!$Y$2:$Y$1048576,"Welker",Archives!$AB$2:$AB$1048576,"L")+COUNTIFS(Archives!$S$2:$S$1048576,"Doubles",Archives!$V$2:$V$1048576,"Welker",Archives!$Y$2:$Y$1048576,"Cole",Archives!$AB$2:$AB$1048576,"L")</f>
        <v>0</v>
      </c>
      <c r="L37" s="40">
        <f>COUNTIFS(Archives!$S$2:$S$1048576,"Doubles",Archives!$V$2:$V$1048576,"Cole",Archives!$Y$2:$Y$1048576,"Welker",Archives!$AB$2:$AB$1048576,"T")+COUNTIFS(Archives!$S$2:$S$1048576,"Doubles",Archives!$V$2:$V$1048576,"Welker",Archives!$Y$2:$Y$1048576,"Cole",Archives!$AB$2:$AB$1048576,"T")</f>
        <v>1</v>
      </c>
      <c r="M37" s="41">
        <f t="shared" ref="M37:M68" si="4">IF(N37=0,0,(J37+0.5*L37)/N37)</f>
        <v>0.75</v>
      </c>
      <c r="N37" s="40">
        <f t="shared" ref="N37:N68" si="5">J37+K37+L37</f>
        <v>2</v>
      </c>
    </row>
    <row r="38" spans="2:14" ht="15" customHeight="1" x14ac:dyDescent="0.2">
      <c r="I38" s="34" t="s">
        <v>944</v>
      </c>
      <c r="J38" s="43">
        <f>COUNTIFS(Archives!$S$2:$S$1048576,"Doubles",Archives!$V$2:$V$1048576,"Connolly",Archives!$Y$2:$Y$1048576,"McInerney",Archives!$AB$2:$AB$1048576,"W")+COUNTIFS(Archives!$S$2:$S$1048576,"Doubles",Archives!$V$2:$V$1048576,"McInerney",Archives!$Y$2:$Y$1048576,"Connolly",Archives!$AB$2:$AB$1048576,"W")</f>
        <v>1</v>
      </c>
      <c r="K38" s="43">
        <f>COUNTIFS(Archives!$S$2:$S$1048576,"Doubles",Archives!$V$2:$V$1048576,"Connolly",Archives!$Y$2:$Y$1048576,"McInerney",Archives!$AB$2:$AB$1048576,"L")+COUNTIFS(Archives!$S$2:$S$1048576,"Doubles",Archives!$V$2:$V$1048576,"McInerney",Archives!$Y$2:$Y$1048576,"Connolly",Archives!$AB$2:$AB$1048576,"L")</f>
        <v>0</v>
      </c>
      <c r="L38" s="43">
        <f>COUNTIFS(Archives!$S$2:$S$1048576,"Doubles",Archives!$V$2:$V$1048576,"Connolly",Archives!$Y$2:$Y$1048576,"McInerney",Archives!$AB$2:$AB$1048576,"T")+COUNTIFS(Archives!$S$2:$S$1048576,"Doubles",Archives!$V$2:$V$1048576,"McInerney",Archives!$Y$2:$Y$1048576,"Connolly",Archives!$AB$2:$AB$1048576,"T")</f>
        <v>1</v>
      </c>
      <c r="M38" s="44">
        <f t="shared" si="4"/>
        <v>0.75</v>
      </c>
      <c r="N38" s="43">
        <f t="shared" si="5"/>
        <v>2</v>
      </c>
    </row>
    <row r="39" spans="2:14" ht="15" customHeight="1" x14ac:dyDescent="0.2">
      <c r="I39" s="31" t="s">
        <v>945</v>
      </c>
      <c r="J39" s="40">
        <f>COUNTIFS(Archives!$S$2:$S$1048576,"Doubles",Archives!$V$2:$V$1048576,"Connors",Archives!$Y$2:$Y$1048576,"Perkins",Archives!$AB$2:$AB$1048576,"W")+COUNTIFS(Archives!$S$2:$S$1048576,"Doubles",Archives!$V$2:$V$1048576,"Perkins",Archives!$Y$2:$Y$1048576,"Connors",Archives!$AB$2:$AB$1048576,"W")</f>
        <v>1</v>
      </c>
      <c r="K39" s="40">
        <f>COUNTIFS(Archives!$S$2:$S$1048576,"Doubles",Archives!$V$2:$V$1048576,"Connors",Archives!$Y$2:$Y$1048576,"Perkins",Archives!$AB$2:$AB$1048576,"L")+COUNTIFS(Archives!$S$2:$S$1048576,"Doubles",Archives!$V$2:$V$1048576,"Perkins",Archives!$Y$2:$Y$1048576,"Connors",Archives!$AB$2:$AB$1048576,"L")</f>
        <v>0</v>
      </c>
      <c r="L39" s="40">
        <f>COUNTIFS(Archives!$S$2:$S$1048576,"Doubles",Archives!$V$2:$V$1048576,"Connors",Archives!$Y$2:$Y$1048576,"Perkins",Archives!$AB$2:$AB$1048576,"T")+COUNTIFS(Archives!$S$2:$S$1048576,"Doubles",Archives!$V$2:$V$1048576,"Perkins",Archives!$Y$2:$Y$1048576,"Connors",Archives!$AB$2:$AB$1048576,"T")</f>
        <v>1</v>
      </c>
      <c r="M39" s="41">
        <f t="shared" si="4"/>
        <v>0.75</v>
      </c>
      <c r="N39" s="40">
        <f t="shared" si="5"/>
        <v>2</v>
      </c>
    </row>
    <row r="40" spans="2:14" ht="15" customHeight="1" x14ac:dyDescent="0.2">
      <c r="I40" s="34" t="s">
        <v>946</v>
      </c>
      <c r="J40" s="43">
        <f>COUNTIFS(Archives!$S$2:$S$1048576,"Doubles",Archives!$V$2:$V$1048576,"Connors",Archives!$Y$2:$Y$1048576,"Flanders",Archives!$AB$2:$AB$1048576,"W")+COUNTIFS(Archives!$S$2:$S$1048576,"Doubles",Archives!$V$2:$V$1048576,"Flanders",Archives!$Y$2:$Y$1048576,"Connors",Archives!$AB$2:$AB$1048576,"W")</f>
        <v>1</v>
      </c>
      <c r="K40" s="43">
        <f>COUNTIFS(Archives!$S$2:$S$1048576,"Doubles",Archives!$V$2:$V$1048576,"Connors",Archives!$Y$2:$Y$1048576,"Flanders",Archives!$AB$2:$AB$1048576,"L")+COUNTIFS(Archives!$S$2:$S$1048576,"Doubles",Archives!$V$2:$V$1048576,"Flanders",Archives!$Y$2:$Y$1048576,"Connors",Archives!$AB$2:$AB$1048576,"L")</f>
        <v>0</v>
      </c>
      <c r="L40" s="43">
        <f>COUNTIFS(Archives!$S$2:$S$1048576,"Doubles",Archives!$V$2:$V$1048576,"Connors",Archives!$Y$2:$Y$1048576,"Flanders",Archives!$AB$2:$AB$1048576,"T")+COUNTIFS(Archives!$S$2:$S$1048576,"Doubles",Archives!$V$2:$V$1048576,"Flanders",Archives!$Y$2:$Y$1048576,"Connors",Archives!$AB$2:$AB$1048576,"T")</f>
        <v>1</v>
      </c>
      <c r="M40" s="44">
        <f t="shared" si="4"/>
        <v>0.75</v>
      </c>
      <c r="N40" s="43">
        <f t="shared" si="5"/>
        <v>2</v>
      </c>
    </row>
    <row r="41" spans="2:14" ht="15" customHeight="1" x14ac:dyDescent="0.2">
      <c r="I41" s="31" t="s">
        <v>947</v>
      </c>
      <c r="J41" s="40">
        <f>COUNTIFS(Archives!$S$2:$S$1048576,"Doubles",Archives!$V$2:$V$1048576,"Delaney",Archives!$Y$2:$Y$1048576,"Fogan",Archives!$AB$2:$AB$1048576,"W")+COUNTIFS(Archives!$S$2:$S$1048576,"Doubles",Archives!$V$2:$V$1048576,"Fogan",Archives!$Y$2:$Y$1048576,"Delaney",Archives!$AB$2:$AB$1048576,"W")</f>
        <v>1</v>
      </c>
      <c r="K41" s="40">
        <f>COUNTIFS(Archives!$S$2:$S$1048576,"Doubles",Archives!$V$2:$V$1048576,"Delaney",Archives!$Y$2:$Y$1048576,"Fogan",Archives!$AB$2:$AB$1048576,"L")+COUNTIFS(Archives!$S$2:$S$1048576,"Doubles",Archives!$V$2:$V$1048576,"Fogan",Archives!$Y$2:$Y$1048576,"Delaney",Archives!$AB$2:$AB$1048576,"L")</f>
        <v>0</v>
      </c>
      <c r="L41" s="40">
        <f>COUNTIFS(Archives!$S$2:$S$1048576,"Doubles",Archives!$V$2:$V$1048576,"Delaney",Archives!$Y$2:$Y$1048576,"Fogan",Archives!$AB$2:$AB$1048576,"T")+COUNTIFS(Archives!$S$2:$S$1048576,"Doubles",Archives!$V$2:$V$1048576,"Fogan",Archives!$Y$2:$Y$1048576,"Delaney",Archives!$AB$2:$AB$1048576,"T")</f>
        <v>1</v>
      </c>
      <c r="M41" s="41">
        <f t="shared" si="4"/>
        <v>0.75</v>
      </c>
      <c r="N41" s="40">
        <f t="shared" si="5"/>
        <v>2</v>
      </c>
    </row>
    <row r="42" spans="2:14" ht="15" customHeight="1" x14ac:dyDescent="0.2">
      <c r="I42" s="34" t="s">
        <v>948</v>
      </c>
      <c r="J42" s="43">
        <f>COUNTIFS(Archives!$S$2:$S$1048576,"Doubles",Archives!$V$2:$V$1048576,"Delneky",Archives!$Y$2:$Y$1048576,"Gray",Archives!$AB$2:$AB$1048576,"W")+COUNTIFS(Archives!$S$2:$S$1048576,"Doubles",Archives!$V$2:$V$1048576,"Gray",Archives!$Y$2:$Y$1048576,"Delneky",Archives!$AB$2:$AB$1048576,"W")</f>
        <v>1</v>
      </c>
      <c r="K42" s="43">
        <f>COUNTIFS(Archives!$S$2:$S$1048576,"Doubles",Archives!$V$2:$V$1048576,"Delneky",Archives!$Y$2:$Y$1048576,"Gray",Archives!$AB$2:$AB$1048576,"L")+COUNTIFS(Archives!$S$2:$S$1048576,"Doubles",Archives!$V$2:$V$1048576,"Gray",Archives!$Y$2:$Y$1048576,"Delneky",Archives!$AB$2:$AB$1048576,"L")</f>
        <v>0</v>
      </c>
      <c r="L42" s="43">
        <f>COUNTIFS(Archives!$S$2:$S$1048576,"Doubles",Archives!$V$2:$V$1048576,"Delneky",Archives!$Y$2:$Y$1048576,"Gray",Archives!$AB$2:$AB$1048576,"T")+COUNTIFS(Archives!$S$2:$S$1048576,"Doubles",Archives!$V$2:$V$1048576,"Gray",Archives!$Y$2:$Y$1048576,"Delneky",Archives!$AB$2:$AB$1048576,"T")</f>
        <v>1</v>
      </c>
      <c r="M42" s="44">
        <f t="shared" si="4"/>
        <v>0.75</v>
      </c>
      <c r="N42" s="43">
        <f t="shared" si="5"/>
        <v>2</v>
      </c>
    </row>
    <row r="43" spans="2:14" ht="15" customHeight="1" x14ac:dyDescent="0.2">
      <c r="I43" s="31" t="s">
        <v>949</v>
      </c>
      <c r="J43" s="40">
        <f>COUNTIFS(Archives!$S$2:$S$1048576,"Doubles",Archives!$V$2:$V$1048576,"Ferrin",Archives!$Y$2:$Y$1048576,"Forster",Archives!$AB$2:$AB$1048576,"W")+COUNTIFS(Archives!$S$2:$S$1048576,"Doubles",Archives!$V$2:$V$1048576,"Forster",Archives!$Y$2:$Y$1048576,"Ferrin",Archives!$AB$2:$AB$1048576,"W")</f>
        <v>1</v>
      </c>
      <c r="K43" s="40">
        <f>COUNTIFS(Archives!$S$2:$S$1048576,"Doubles",Archives!$V$2:$V$1048576,"Ferrin",Archives!$Y$2:$Y$1048576,"Forster",Archives!$AB$2:$AB$1048576,"L")+COUNTIFS(Archives!$S$2:$S$1048576,"Doubles",Archives!$V$2:$V$1048576,"Forster",Archives!$Y$2:$Y$1048576,"Ferrin",Archives!$AB$2:$AB$1048576,"L")</f>
        <v>0</v>
      </c>
      <c r="L43" s="40">
        <f>COUNTIFS(Archives!$S$2:$S$1048576,"Doubles",Archives!$V$2:$V$1048576,"Ferrin",Archives!$Y$2:$Y$1048576,"Forster",Archives!$AB$2:$AB$1048576,"T")+COUNTIFS(Archives!$S$2:$S$1048576,"Doubles",Archives!$V$2:$V$1048576,"Forster",Archives!$Y$2:$Y$1048576,"Ferrin",Archives!$AB$2:$AB$1048576,"T")</f>
        <v>1</v>
      </c>
      <c r="M43" s="41">
        <f t="shared" si="4"/>
        <v>0.75</v>
      </c>
      <c r="N43" s="40">
        <f t="shared" si="5"/>
        <v>2</v>
      </c>
    </row>
    <row r="44" spans="2:14" ht="15" customHeight="1" x14ac:dyDescent="0.2">
      <c r="I44" s="34" t="s">
        <v>950</v>
      </c>
      <c r="J44" s="43">
        <f>COUNTIFS(Archives!$S$2:$S$1048576,"Doubles",Archives!$V$2:$V$1048576,"Grise",Archives!$Y$2:$Y$1048576,"Snyder",Archives!$AB$2:$AB$1048576,"W")+COUNTIFS(Archives!$S$2:$S$1048576,"Doubles",Archives!$V$2:$V$1048576,"Snyder",Archives!$Y$2:$Y$1048576,"Grise",Archives!$AB$2:$AB$1048576,"W")</f>
        <v>1</v>
      </c>
      <c r="K44" s="43">
        <f>COUNTIFS(Archives!$S$2:$S$1048576,"Doubles",Archives!$V$2:$V$1048576,"Grise",Archives!$Y$2:$Y$1048576,"Snyder",Archives!$AB$2:$AB$1048576,"L")+COUNTIFS(Archives!$S$2:$S$1048576,"Doubles",Archives!$V$2:$V$1048576,"Snyder",Archives!$Y$2:$Y$1048576,"Grise",Archives!$AB$2:$AB$1048576,"L")</f>
        <v>0</v>
      </c>
      <c r="L44" s="43">
        <f>COUNTIFS(Archives!$S$2:$S$1048576,"Doubles",Archives!$V$2:$V$1048576,"Grise",Archives!$Y$2:$Y$1048576,"Snyder",Archives!$AB$2:$AB$1048576,"T")+COUNTIFS(Archives!$S$2:$S$1048576,"Doubles",Archives!$V$2:$V$1048576,"Snyder",Archives!$Y$2:$Y$1048576,"Grise",Archives!$AB$2:$AB$1048576,"T")</f>
        <v>1</v>
      </c>
      <c r="M44" s="44">
        <f t="shared" si="4"/>
        <v>0.75</v>
      </c>
      <c r="N44" s="43">
        <f t="shared" si="5"/>
        <v>2</v>
      </c>
    </row>
    <row r="45" spans="2:14" ht="15" customHeight="1" x14ac:dyDescent="0.2">
      <c r="I45" s="31" t="s">
        <v>951</v>
      </c>
      <c r="J45" s="40">
        <f>COUNTIFS(Archives!$S$2:$S$1048576,"Doubles",Archives!$V$2:$V$1048576,"Mangold",Archives!$Y$2:$Y$1048576,"Poirier",Archives!$AB$2:$AB$1048576,"W")+COUNTIFS(Archives!$S$2:$S$1048576,"Doubles",Archives!$V$2:$V$1048576,"Poirier",Archives!$Y$2:$Y$1048576,"Mangold",Archives!$AB$2:$AB$1048576,"W")</f>
        <v>1</v>
      </c>
      <c r="K45" s="40">
        <f>COUNTIFS(Archives!$S$2:$S$1048576,"Doubles",Archives!$V$2:$V$1048576,"Mangold",Archives!$Y$2:$Y$1048576,"Poirier",Archives!$AB$2:$AB$1048576,"L")+COUNTIFS(Archives!$S$2:$S$1048576,"Doubles",Archives!$V$2:$V$1048576,"Poirier",Archives!$Y$2:$Y$1048576,"Mangold",Archives!$AB$2:$AB$1048576,"L")</f>
        <v>0</v>
      </c>
      <c r="L45" s="40">
        <f>COUNTIFS(Archives!$S$2:$S$1048576,"Doubles",Archives!$V$2:$V$1048576,"Mangold",Archives!$Y$2:$Y$1048576,"Poirier",Archives!$AB$2:$AB$1048576,"T")+COUNTIFS(Archives!$S$2:$S$1048576,"Doubles",Archives!$V$2:$V$1048576,"Poirier",Archives!$Y$2:$Y$1048576,"Mangold",Archives!$AB$2:$AB$1048576,"T")</f>
        <v>1</v>
      </c>
      <c r="M45" s="41">
        <f t="shared" si="4"/>
        <v>0.75</v>
      </c>
      <c r="N45" s="40">
        <f t="shared" si="5"/>
        <v>2</v>
      </c>
    </row>
    <row r="46" spans="2:14" ht="15" customHeight="1" x14ac:dyDescent="0.2">
      <c r="I46" s="34" t="s">
        <v>952</v>
      </c>
      <c r="J46" s="43">
        <f>COUNTIFS(Archives!$S$2:$S$1048576,"Doubles",Archives!$V$2:$V$1048576,"Shively",Archives!$Y$2:$Y$1048576,"Welker",Archives!$AB$2:$AB$1048576,"W")+COUNTIFS(Archives!$S$2:$S$1048576,"Doubles",Archives!$V$2:$V$1048576,"Welker",Archives!$Y$2:$Y$1048576,"Shively",Archives!$AB$2:$AB$1048576,"W")</f>
        <v>1</v>
      </c>
      <c r="K46" s="43">
        <f>COUNTIFS(Archives!$S$2:$S$1048576,"Doubles",Archives!$V$2:$V$1048576,"Shively",Archives!$Y$2:$Y$1048576,"Welker",Archives!$AB$2:$AB$1048576,"L")+COUNTIFS(Archives!$S$2:$S$1048576,"Doubles",Archives!$V$2:$V$1048576,"Welker",Archives!$Y$2:$Y$1048576,"Shively",Archives!$AB$2:$AB$1048576,"L")</f>
        <v>0</v>
      </c>
      <c r="L46" s="43">
        <f>COUNTIFS(Archives!$S$2:$S$1048576,"Doubles",Archives!$V$2:$V$1048576,"Shively",Archives!$Y$2:$Y$1048576,"Welker",Archives!$AB$2:$AB$1048576,"T")+COUNTIFS(Archives!$S$2:$S$1048576,"Doubles",Archives!$V$2:$V$1048576,"Welker",Archives!$Y$2:$Y$1048576,"Shively",Archives!$AB$2:$AB$1048576,"T")</f>
        <v>1</v>
      </c>
      <c r="M46" s="44">
        <f t="shared" si="4"/>
        <v>0.75</v>
      </c>
      <c r="N46" s="43">
        <f t="shared" si="5"/>
        <v>2</v>
      </c>
    </row>
    <row r="47" spans="2:14" ht="15" customHeight="1" x14ac:dyDescent="0.2">
      <c r="I47" s="31" t="s">
        <v>770</v>
      </c>
      <c r="J47" s="40">
        <f>COUNTIFS(Archives!$S$2:$S$1048576,"Doubles",Archives!$V$2:$V$1048576,"Hilts",Archives!$Y$2:$Y$1048576,"Lynch",Archives!$AB$2:$AB$1048576,"W")+COUNTIFS(Archives!$S$2:$S$1048576,"Doubles",Archives!$V$2:$V$1048576,"Lynch",Archives!$Y$2:$Y$1048576,"Hilts",Archives!$AB$2:$AB$1048576,"W")</f>
        <v>7</v>
      </c>
      <c r="K47" s="40">
        <f>COUNTIFS(Archives!$S$2:$S$1048576,"Doubles",Archives!$V$2:$V$1048576,"Hilts",Archives!$Y$2:$Y$1048576,"Lynch",Archives!$AB$2:$AB$1048576,"L")+COUNTIFS(Archives!$S$2:$S$1048576,"Doubles",Archives!$V$2:$V$1048576,"Lynch",Archives!$Y$2:$Y$1048576,"Hilts",Archives!$AB$2:$AB$1048576,"L")</f>
        <v>3</v>
      </c>
      <c r="L47" s="40">
        <f>COUNTIFS(Archives!$S$2:$S$1048576,"Doubles",Archives!$V$2:$V$1048576,"Hilts",Archives!$Y$2:$Y$1048576,"Lynch",Archives!$AB$2:$AB$1048576,"T")+COUNTIFS(Archives!$S$2:$S$1048576,"Doubles",Archives!$V$2:$V$1048576,"Lynch",Archives!$Y$2:$Y$1048576,"Hilts",Archives!$AB$2:$AB$1048576,"T")</f>
        <v>1</v>
      </c>
      <c r="M47" s="41">
        <f t="shared" si="4"/>
        <v>0.68181818181818177</v>
      </c>
      <c r="N47" s="40">
        <f t="shared" si="5"/>
        <v>11</v>
      </c>
    </row>
    <row r="48" spans="2:14" ht="15" customHeight="1" x14ac:dyDescent="0.2">
      <c r="I48" s="34" t="s">
        <v>771</v>
      </c>
      <c r="J48" s="43">
        <f>COUNTIFS(Archives!$S$2:$S$1048576,"Doubles",Archives!$V$2:$V$1048576,"Connolly",Archives!$Y$2:$Y$1048576,"Shively",Archives!$AB$2:$AB$1048576,"W")+COUNTIFS(Archives!$S$2:$S$1048576,"Doubles",Archives!$V$2:$V$1048576,"Shively",Archives!$Y$2:$Y$1048576,"Connolly",Archives!$AB$2:$AB$1048576,"W")</f>
        <v>4</v>
      </c>
      <c r="K48" s="43">
        <f>COUNTIFS(Archives!$S$2:$S$1048576,"Doubles",Archives!$V$2:$V$1048576,"Connolly",Archives!$Y$2:$Y$1048576,"Shively",Archives!$AB$2:$AB$1048576,"L")+COUNTIFS(Archives!$S$2:$S$1048576,"Doubles",Archives!$V$2:$V$1048576,"Shively",Archives!$Y$2:$Y$1048576,"Connolly",Archives!$AB$2:$AB$1048576,"L")</f>
        <v>2</v>
      </c>
      <c r="L48" s="43">
        <f>COUNTIFS(Archives!$S$2:$S$1048576,"Doubles",Archives!$V$2:$V$1048576,"Connolly",Archives!$Y$2:$Y$1048576,"Shively",Archives!$AB$2:$AB$1048576,"T")+COUNTIFS(Archives!$S$2:$S$1048576,"Doubles",Archives!$V$2:$V$1048576,"Shively",Archives!$Y$2:$Y$1048576,"Connolly",Archives!$AB$2:$AB$1048576,"T")</f>
        <v>0</v>
      </c>
      <c r="M48" s="44">
        <f t="shared" si="4"/>
        <v>0.66666666666666663</v>
      </c>
      <c r="N48" s="43">
        <f t="shared" si="5"/>
        <v>6</v>
      </c>
    </row>
    <row r="49" spans="9:14" ht="15" customHeight="1" x14ac:dyDescent="0.2">
      <c r="I49" s="31" t="s">
        <v>953</v>
      </c>
      <c r="J49" s="40">
        <f>COUNTIFS(Archives!$S$2:$S$1048576,"Doubles",Archives!$V$2:$V$1048576,"Gray",Archives!$Y$2:$Y$1048576,"Lynch",Archives!$AB$2:$AB$1048576,"W")+COUNTIFS(Archives!$S$2:$S$1048576,"Doubles",Archives!$V$2:$V$1048576,"Lynch",Archives!$Y$2:$Y$1048576,"Gray",Archives!$AB$2:$AB$1048576,"W")</f>
        <v>2</v>
      </c>
      <c r="K49" s="40">
        <f>COUNTIFS(Archives!$S$2:$S$1048576,"Doubles",Archives!$V$2:$V$1048576,"Gray",Archives!$Y$2:$Y$1048576,"Lynch",Archives!$AB$2:$AB$1048576,"L")+COUNTIFS(Archives!$S$2:$S$1048576,"Doubles",Archives!$V$2:$V$1048576,"Lynch",Archives!$Y$2:$Y$1048576,"Gray",Archives!$AB$2:$AB$1048576,"L")</f>
        <v>1</v>
      </c>
      <c r="L49" s="40">
        <f>COUNTIFS(Archives!$S$2:$S$1048576,"Doubles",Archives!$V$2:$V$1048576,"Gray",Archives!$Y$2:$Y$1048576,"Lynch",Archives!$AB$2:$AB$1048576,"T")+COUNTIFS(Archives!$S$2:$S$1048576,"Doubles",Archives!$V$2:$V$1048576,"Lynch",Archives!$Y$2:$Y$1048576,"Gray",Archives!$AB$2:$AB$1048576,"T")</f>
        <v>0</v>
      </c>
      <c r="M49" s="41">
        <f t="shared" si="4"/>
        <v>0.66666666666666663</v>
      </c>
      <c r="N49" s="40">
        <f t="shared" si="5"/>
        <v>3</v>
      </c>
    </row>
    <row r="50" spans="9:14" ht="15" customHeight="1" x14ac:dyDescent="0.2">
      <c r="I50" s="34" t="s">
        <v>1300</v>
      </c>
      <c r="J50" s="43">
        <f>COUNTIFS(Archives!$S$2:$S$1048576,"Doubles",Archives!$V$2:$V$1048576,"Bussiculo",Archives!$Y$2:$Y$1048576,"Shively",Archives!$AB$2:$AB$1048576,"W")+COUNTIFS(Archives!$S$2:$S$1048576,"Doubles",Archives!$V$2:$V$1048576,"Shively",Archives!$Y$2:$Y$1048576,"Bussiculo",Archives!$AB$2:$AB$1048576,"W")</f>
        <v>2</v>
      </c>
      <c r="K50" s="43">
        <f>COUNTIFS(Archives!$S$2:$S$1048576,"Doubles",Archives!$V$2:$V$1048576,"Bussiculo",Archives!$Y$2:$Y$1048576,"Shively",Archives!$AB$2:$AB$1048576,"L")+COUNTIFS(Archives!$S$2:$S$1048576,"Doubles",Archives!$V$2:$V$1048576,"Shively",Archives!$Y$2:$Y$1048576,"Bussiculo",Archives!$AB$2:$AB$1048576,"L")</f>
        <v>1</v>
      </c>
      <c r="L50" s="43">
        <f>COUNTIFS(Archives!$S$2:$S$1048576,"Doubles",Archives!$V$2:$V$1048576,"Bussiculo",Archives!$Y$2:$Y$1048576,"Shively",Archives!$AB$2:$AB$1048576,"T")+COUNTIFS(Archives!$S$2:$S$1048576,"Doubles",Archives!$V$2:$V$1048576,"Shively",Archives!$Y$2:$Y$1048576,"Bussiculo",Archives!$AB$2:$AB$1048576,"T")</f>
        <v>1</v>
      </c>
      <c r="M50" s="44">
        <f t="shared" si="4"/>
        <v>0.625</v>
      </c>
      <c r="N50" s="43">
        <f t="shared" si="5"/>
        <v>4</v>
      </c>
    </row>
    <row r="51" spans="9:14" ht="15" customHeight="1" x14ac:dyDescent="0.2">
      <c r="I51" s="31" t="s">
        <v>773</v>
      </c>
      <c r="J51" s="40">
        <f>COUNTIFS(Archives!$S$2:$S$1048576,"Doubles",Archives!$V$2:$V$1048576,"Cole",Archives!$Y$2:$Y$1048576,"McInerney",Archives!$AB$2:$AB$1048576,"W")+COUNTIFS(Archives!$S$2:$S$1048576,"Doubles",Archives!$V$2:$V$1048576,"McInerney",Archives!$Y$2:$Y$1048576,"Cole",Archives!$AB$2:$AB$1048576,"W")</f>
        <v>2</v>
      </c>
      <c r="K51" s="40">
        <f>COUNTIFS(Archives!$S$2:$S$1048576,"Doubles",Archives!$V$2:$V$1048576,"Cole",Archives!$Y$2:$Y$1048576,"McInerney",Archives!$AB$2:$AB$1048576,"L")+COUNTIFS(Archives!$S$2:$S$1048576,"Doubles",Archives!$V$2:$V$1048576,"McInerney",Archives!$Y$2:$Y$1048576,"Cole",Archives!$AB$2:$AB$1048576,"L")</f>
        <v>1</v>
      </c>
      <c r="L51" s="40">
        <f>COUNTIFS(Archives!$S$2:$S$1048576,"Doubles",Archives!$V$2:$V$1048576,"Cole",Archives!$Y$2:$Y$1048576,"McInerney",Archives!$AB$2:$AB$1048576,"T")+COUNTIFS(Archives!$S$2:$S$1048576,"Doubles",Archives!$V$2:$V$1048576,"McInerney",Archives!$Y$2:$Y$1048576,"Cole",Archives!$AB$2:$AB$1048576,"T")</f>
        <v>1</v>
      </c>
      <c r="M51" s="41">
        <f t="shared" si="4"/>
        <v>0.625</v>
      </c>
      <c r="N51" s="40">
        <f t="shared" si="5"/>
        <v>4</v>
      </c>
    </row>
    <row r="52" spans="9:14" ht="15" customHeight="1" x14ac:dyDescent="0.2">
      <c r="I52" s="34" t="s">
        <v>774</v>
      </c>
      <c r="J52" s="43">
        <f>COUNTIFS(Archives!$S$2:$S$1048576,"Doubles",Archives!$V$2:$V$1048576,"Connolly",Archives!$Y$2:$Y$1048576,"Connors",Archives!$AB$2:$AB$1048576,"W")+COUNTIFS(Archives!$S$2:$S$1048576,"Doubles",Archives!$V$2:$V$1048576,"Connors",Archives!$Y$2:$Y$1048576,"Connolly",Archives!$AB$2:$AB$1048576,"W")</f>
        <v>2</v>
      </c>
      <c r="K52" s="43">
        <f>COUNTIFS(Archives!$S$2:$S$1048576,"Doubles",Archives!$V$2:$V$1048576,"Connolly",Archives!$Y$2:$Y$1048576,"Connors",Archives!$AB$2:$AB$1048576,"L")+COUNTIFS(Archives!$S$2:$S$1048576,"Doubles",Archives!$V$2:$V$1048576,"Connors",Archives!$Y$2:$Y$1048576,"Connolly",Archives!$AB$2:$AB$1048576,"L")</f>
        <v>1</v>
      </c>
      <c r="L52" s="43">
        <f>COUNTIFS(Archives!$S$2:$S$1048576,"Doubles",Archives!$V$2:$V$1048576,"Connolly",Archives!$Y$2:$Y$1048576,"Connors",Archives!$AB$2:$AB$1048576,"T")+COUNTIFS(Archives!$S$2:$S$1048576,"Doubles",Archives!$V$2:$V$1048576,"Connors",Archives!$Y$2:$Y$1048576,"Connolly",Archives!$AB$2:$AB$1048576,"T")</f>
        <v>1</v>
      </c>
      <c r="M52" s="44">
        <f t="shared" si="4"/>
        <v>0.625</v>
      </c>
      <c r="N52" s="43">
        <f t="shared" si="5"/>
        <v>4</v>
      </c>
    </row>
    <row r="53" spans="9:14" ht="15" customHeight="1" x14ac:dyDescent="0.2">
      <c r="I53" s="31" t="s">
        <v>765</v>
      </c>
      <c r="J53" s="40">
        <f>COUNTIFS(Archives!$S$2:$S$1048576,"Doubles",Archives!$V$2:$V$1048576,"Connors",Archives!$Y$2:$Y$1048576,"Welker",Archives!$AB$2:$AB$1048576,"W")+COUNTIFS(Archives!$S$2:$S$1048576,"Doubles",Archives!$V$2:$V$1048576,"Welker",Archives!$Y$2:$Y$1048576,"Connors",Archives!$AB$2:$AB$1048576,"W")</f>
        <v>2</v>
      </c>
      <c r="K53" s="40">
        <f>COUNTIFS(Archives!$S$2:$S$1048576,"Doubles",Archives!$V$2:$V$1048576,"Connors",Archives!$Y$2:$Y$1048576,"Welker",Archives!$AB$2:$AB$1048576,"L")+COUNTIFS(Archives!$S$2:$S$1048576,"Doubles",Archives!$V$2:$V$1048576,"Welker",Archives!$Y$2:$Y$1048576,"Connors",Archives!$AB$2:$AB$1048576,"L")</f>
        <v>1</v>
      </c>
      <c r="L53" s="40">
        <f>COUNTIFS(Archives!$S$2:$S$1048576,"Doubles",Archives!$V$2:$V$1048576,"Connors",Archives!$Y$2:$Y$1048576,"Welker",Archives!$AB$2:$AB$1048576,"T")+COUNTIFS(Archives!$S$2:$S$1048576,"Doubles",Archives!$V$2:$V$1048576,"Welker",Archives!$Y$2:$Y$1048576,"Connors",Archives!$AB$2:$AB$1048576,"T")</f>
        <v>1</v>
      </c>
      <c r="M53" s="41">
        <f t="shared" si="4"/>
        <v>0.625</v>
      </c>
      <c r="N53" s="40">
        <f t="shared" si="5"/>
        <v>4</v>
      </c>
    </row>
    <row r="54" spans="9:14" ht="15" customHeight="1" x14ac:dyDescent="0.2">
      <c r="I54" s="34" t="s">
        <v>766</v>
      </c>
      <c r="J54" s="43">
        <f>COUNTIFS(Archives!$S$2:$S$1048576,"Doubles",Archives!$V$2:$V$1048576,"Delaney",Archives!$Y$2:$Y$1048576,"Mangold",Archives!$AB$2:$AB$1048576,"W")+COUNTIFS(Archives!$S$2:$S$1048576,"Doubles",Archives!$V$2:$V$1048576,"Mangold",Archives!$Y$2:$Y$1048576,"Delaney",Archives!$AB$2:$AB$1048576,"W")</f>
        <v>2</v>
      </c>
      <c r="K54" s="43">
        <f>COUNTIFS(Archives!$S$2:$S$1048576,"Doubles",Archives!$V$2:$V$1048576,"Delaney",Archives!$Y$2:$Y$1048576,"Mangold",Archives!$AB$2:$AB$1048576,"L")+COUNTIFS(Archives!$S$2:$S$1048576,"Doubles",Archives!$V$2:$V$1048576,"Mangold",Archives!$Y$2:$Y$1048576,"Delaney",Archives!$AB$2:$AB$1048576,"L")</f>
        <v>1</v>
      </c>
      <c r="L54" s="43">
        <f>COUNTIFS(Archives!$S$2:$S$1048576,"Doubles",Archives!$V$2:$V$1048576,"Delaney",Archives!$Y$2:$Y$1048576,"Mangold",Archives!$AB$2:$AB$1048576,"T")+COUNTIFS(Archives!$S$2:$S$1048576,"Doubles",Archives!$V$2:$V$1048576,"Mangold",Archives!$Y$2:$Y$1048576,"Delaney",Archives!$AB$2:$AB$1048576,"T")</f>
        <v>1</v>
      </c>
      <c r="M54" s="44">
        <f t="shared" si="4"/>
        <v>0.625</v>
      </c>
      <c r="N54" s="43">
        <f t="shared" si="5"/>
        <v>4</v>
      </c>
    </row>
    <row r="55" spans="9:14" ht="15" customHeight="1" x14ac:dyDescent="0.2">
      <c r="I55" s="31" t="s">
        <v>776</v>
      </c>
      <c r="J55" s="40">
        <f>COUNTIFS(Archives!$S$2:$S$1048576,"Doubles",Archives!$V$2:$V$1048576,"Delneky",Archives!$Y$2:$Y$1048576,"Fogan",Archives!$AB$2:$AB$1048576,"W")+COUNTIFS(Archives!$S$2:$S$1048576,"Doubles",Archives!$V$2:$V$1048576,"Fogan",Archives!$Y$2:$Y$1048576,"Delneky",Archives!$AB$2:$AB$1048576,"W")</f>
        <v>2</v>
      </c>
      <c r="K55" s="40">
        <f>COUNTIFS(Archives!$S$2:$S$1048576,"Doubles",Archives!$V$2:$V$1048576,"Delneky",Archives!$Y$2:$Y$1048576,"Fogan",Archives!$AB$2:$AB$1048576,"L")+COUNTIFS(Archives!$S$2:$S$1048576,"Doubles",Archives!$V$2:$V$1048576,"Fogan",Archives!$Y$2:$Y$1048576,"Delneky",Archives!$AB$2:$AB$1048576,"L")</f>
        <v>1</v>
      </c>
      <c r="L55" s="40">
        <f>COUNTIFS(Archives!$S$2:$S$1048576,"Doubles",Archives!$V$2:$V$1048576,"Delneky",Archives!$Y$2:$Y$1048576,"Fogan",Archives!$AB$2:$AB$1048576,"T")+COUNTIFS(Archives!$S$2:$S$1048576,"Doubles",Archives!$V$2:$V$1048576,"Fogan",Archives!$Y$2:$Y$1048576,"Delneky",Archives!$AB$2:$AB$1048576,"T")</f>
        <v>1</v>
      </c>
      <c r="M55" s="41">
        <f t="shared" si="4"/>
        <v>0.625</v>
      </c>
      <c r="N55" s="40">
        <f t="shared" si="5"/>
        <v>4</v>
      </c>
    </row>
    <row r="56" spans="9:14" ht="15" customHeight="1" x14ac:dyDescent="0.2">
      <c r="I56" s="34" t="s">
        <v>1288</v>
      </c>
      <c r="J56" s="43">
        <f>COUNTIFS(Archives!$S$2:$S$1048576,"Doubles",Archives!$V$2:$V$1048576,"DeOteris",Archives!$Y$2:$Y$1048576,"Ferrin",Archives!$AB$2:$AB$1048576,"W")+COUNTIFS(Archives!$S$2:$S$1048576,"Doubles",Archives!$V$2:$V$1048576,"Ferrin",Archives!$Y$2:$Y$1048576,"DeOteris",Archives!$AB$2:$AB$1048576,"W")</f>
        <v>2</v>
      </c>
      <c r="K56" s="43">
        <f>COUNTIFS(Archives!$S$2:$S$1048576,"Doubles",Archives!$V$2:$V$1048576,"DeOteris",Archives!$Y$2:$Y$1048576,"Ferrin",Archives!$AB$2:$AB$1048576,"L")+COUNTIFS(Archives!$S$2:$S$1048576,"Doubles",Archives!$V$2:$V$1048576,"Ferrin",Archives!$Y$2:$Y$1048576,"DeOteris",Archives!$AB$2:$AB$1048576,"L")</f>
        <v>1</v>
      </c>
      <c r="L56" s="43">
        <f>COUNTIFS(Archives!$S$2:$S$1048576,"Doubles",Archives!$V$2:$V$1048576,"DeOteris",Archives!$Y$2:$Y$1048576,"Ferrin",Archives!$AB$2:$AB$1048576,"T")+COUNTIFS(Archives!$S$2:$S$1048576,"Doubles",Archives!$V$2:$V$1048576,"Ferrin",Archives!$Y$2:$Y$1048576,"DeOteris",Archives!$AB$2:$AB$1048576,"T")</f>
        <v>1</v>
      </c>
      <c r="M56" s="44">
        <f t="shared" si="4"/>
        <v>0.625</v>
      </c>
      <c r="N56" s="43">
        <f t="shared" si="5"/>
        <v>4</v>
      </c>
    </row>
    <row r="57" spans="9:14" ht="15" customHeight="1" x14ac:dyDescent="0.2">
      <c r="I57" s="31" t="s">
        <v>780</v>
      </c>
      <c r="J57" s="40">
        <f>COUNTIFS(Archives!$S$2:$S$1048576,"Doubles",Archives!$V$2:$V$1048576,"Ferrin",Archives!$Y$2:$Y$1048576,"Grise",Archives!$AB$2:$AB$1048576,"W")+COUNTIFS(Archives!$S$2:$S$1048576,"Doubles",Archives!$V$2:$V$1048576,"Grise",Archives!$Y$2:$Y$1048576,"Ferrin",Archives!$AB$2:$AB$1048576,"W")</f>
        <v>2</v>
      </c>
      <c r="K57" s="40">
        <f>COUNTIFS(Archives!$S$2:$S$1048576,"Doubles",Archives!$V$2:$V$1048576,"Ferrin",Archives!$Y$2:$Y$1048576,"Grise",Archives!$AB$2:$AB$1048576,"L")+COUNTIFS(Archives!$S$2:$S$1048576,"Doubles",Archives!$V$2:$V$1048576,"Grise",Archives!$Y$2:$Y$1048576,"Ferrin",Archives!$AB$2:$AB$1048576,"L")</f>
        <v>1</v>
      </c>
      <c r="L57" s="40">
        <f>COUNTIFS(Archives!$S$2:$S$1048576,"Doubles",Archives!$V$2:$V$1048576,"Ferrin",Archives!$Y$2:$Y$1048576,"Grise",Archives!$AB$2:$AB$1048576,"T")+COUNTIFS(Archives!$S$2:$S$1048576,"Doubles",Archives!$V$2:$V$1048576,"Grise",Archives!$Y$2:$Y$1048576,"Ferrin",Archives!$AB$2:$AB$1048576,"T")</f>
        <v>1</v>
      </c>
      <c r="M57" s="41">
        <f t="shared" si="4"/>
        <v>0.625</v>
      </c>
      <c r="N57" s="40">
        <f t="shared" si="5"/>
        <v>4</v>
      </c>
    </row>
    <row r="58" spans="9:14" ht="15" customHeight="1" x14ac:dyDescent="0.2">
      <c r="I58" s="34" t="s">
        <v>775</v>
      </c>
      <c r="J58" s="43">
        <f>COUNTIFS(Archives!$S$2:$S$1048576,"Doubles",Archives!$V$2:$V$1048576,"Flanders",Archives!$Y$2:$Y$1048576,"Poirier",Archives!$AB$2:$AB$1048576,"W")+COUNTIFS(Archives!$S$2:$S$1048576,"Doubles",Archives!$V$2:$V$1048576,"Poirier",Archives!$Y$2:$Y$1048576,"Flanders",Archives!$AB$2:$AB$1048576,"W")</f>
        <v>2</v>
      </c>
      <c r="K58" s="43">
        <f>COUNTIFS(Archives!$S$2:$S$1048576,"Doubles",Archives!$V$2:$V$1048576,"Flanders",Archives!$Y$2:$Y$1048576,"Poirier",Archives!$AB$2:$AB$1048576,"L")+COUNTIFS(Archives!$S$2:$S$1048576,"Doubles",Archives!$V$2:$V$1048576,"Poirier",Archives!$Y$2:$Y$1048576,"Flanders",Archives!$AB$2:$AB$1048576,"L")</f>
        <v>1</v>
      </c>
      <c r="L58" s="43">
        <f>COUNTIFS(Archives!$S$2:$S$1048576,"Doubles",Archives!$V$2:$V$1048576,"Flanders",Archives!$Y$2:$Y$1048576,"Poirier",Archives!$AB$2:$AB$1048576,"T")+COUNTIFS(Archives!$S$2:$S$1048576,"Doubles",Archives!$V$2:$V$1048576,"Poirier",Archives!$Y$2:$Y$1048576,"Flanders",Archives!$AB$2:$AB$1048576,"T")</f>
        <v>1</v>
      </c>
      <c r="M58" s="44">
        <f t="shared" si="4"/>
        <v>0.625</v>
      </c>
      <c r="N58" s="43">
        <f t="shared" si="5"/>
        <v>4</v>
      </c>
    </row>
    <row r="59" spans="9:14" ht="15" customHeight="1" x14ac:dyDescent="0.2">
      <c r="I59" s="31" t="s">
        <v>769</v>
      </c>
      <c r="J59" s="40">
        <f>COUNTIFS(Archives!$S$2:$S$1048576,"Doubles",Archives!$V$2:$V$1048576,"Grise",Archives!$Y$2:$Y$1048576,"Hickerson",Archives!$AB$2:$AB$1048576,"W")+COUNTIFS(Archives!$S$2:$S$1048576,"Doubles",Archives!$V$2:$V$1048576,"Hickerson",Archives!$Y$2:$Y$1048576,"Grise",Archives!$AB$2:$AB$1048576,"W")</f>
        <v>2</v>
      </c>
      <c r="K59" s="40">
        <f>COUNTIFS(Archives!$S$2:$S$1048576,"Doubles",Archives!$V$2:$V$1048576,"Grise",Archives!$Y$2:$Y$1048576,"Hickerson",Archives!$AB$2:$AB$1048576,"L")+COUNTIFS(Archives!$S$2:$S$1048576,"Doubles",Archives!$V$2:$V$1048576,"Hickerson",Archives!$Y$2:$Y$1048576,"Grise",Archives!$AB$2:$AB$1048576,"L")</f>
        <v>1</v>
      </c>
      <c r="L59" s="40">
        <f>COUNTIFS(Archives!$S$2:$S$1048576,"Doubles",Archives!$V$2:$V$1048576,"Grise",Archives!$Y$2:$Y$1048576,"Hickerson",Archives!$AB$2:$AB$1048576,"T")+COUNTIFS(Archives!$S$2:$S$1048576,"Doubles",Archives!$V$2:$V$1048576,"Hickerson",Archives!$Y$2:$Y$1048576,"Grise",Archives!$AB$2:$AB$1048576,"T")</f>
        <v>1</v>
      </c>
      <c r="M59" s="41">
        <f t="shared" si="4"/>
        <v>0.625</v>
      </c>
      <c r="N59" s="40">
        <f t="shared" si="5"/>
        <v>4</v>
      </c>
    </row>
    <row r="60" spans="9:14" ht="15" customHeight="1" x14ac:dyDescent="0.2">
      <c r="I60" s="34" t="s">
        <v>778</v>
      </c>
      <c r="J60" s="43">
        <f>COUNTIFS(Archives!$S$2:$S$1048576,"Doubles",Archives!$V$2:$V$1048576,"Grise",Archives!$Y$2:$Y$1048576,"Poirier",Archives!$AB$2:$AB$1048576,"W")+COUNTIFS(Archives!$S$2:$S$1048576,"Doubles",Archives!$V$2:$V$1048576,"Poirier",Archives!$Y$2:$Y$1048576,"Grise",Archives!$AB$2:$AB$1048576,"W")</f>
        <v>2</v>
      </c>
      <c r="K60" s="43">
        <f>COUNTIFS(Archives!$S$2:$S$1048576,"Doubles",Archives!$V$2:$V$1048576,"Grise",Archives!$Y$2:$Y$1048576,"Poirier",Archives!$AB$2:$AB$1048576,"L")+COUNTIFS(Archives!$S$2:$S$1048576,"Doubles",Archives!$V$2:$V$1048576,"Poirier",Archives!$Y$2:$Y$1048576,"Grise",Archives!$AB$2:$AB$1048576,"L")</f>
        <v>1</v>
      </c>
      <c r="L60" s="43">
        <f>COUNTIFS(Archives!$S$2:$S$1048576,"Doubles",Archives!$V$2:$V$1048576,"Grise",Archives!$Y$2:$Y$1048576,"Poirier",Archives!$AB$2:$AB$1048576,"T")+COUNTIFS(Archives!$S$2:$S$1048576,"Doubles",Archives!$V$2:$V$1048576,"Poirier",Archives!$Y$2:$Y$1048576,"Grise",Archives!$AB$2:$AB$1048576,"T")</f>
        <v>1</v>
      </c>
      <c r="M60" s="44">
        <f t="shared" si="4"/>
        <v>0.625</v>
      </c>
      <c r="N60" s="43">
        <f t="shared" si="5"/>
        <v>4</v>
      </c>
    </row>
    <row r="61" spans="9:14" ht="15" customHeight="1" x14ac:dyDescent="0.2">
      <c r="I61" s="31" t="s">
        <v>772</v>
      </c>
      <c r="J61" s="40">
        <f>COUNTIFS(Archives!$S$2:$S$1048576,"Doubles",Archives!$V$2:$V$1048576,"Mangold",Archives!$Y$2:$Y$1048576,"Welker",Archives!$AB$2:$AB$1048576,"W")+COUNTIFS(Archives!$S$2:$S$1048576,"Doubles",Archives!$V$2:$V$1048576,"Welker",Archives!$Y$2:$Y$1048576,"Mangold",Archives!$AB$2:$AB$1048576,"W")</f>
        <v>2</v>
      </c>
      <c r="K61" s="40">
        <f>COUNTIFS(Archives!$S$2:$S$1048576,"Doubles",Archives!$V$2:$V$1048576,"Mangold",Archives!$Y$2:$Y$1048576,"Welker",Archives!$AB$2:$AB$1048576,"L")+COUNTIFS(Archives!$S$2:$S$1048576,"Doubles",Archives!$V$2:$V$1048576,"Welker",Archives!$Y$2:$Y$1048576,"Mangold",Archives!$AB$2:$AB$1048576,"L")</f>
        <v>1</v>
      </c>
      <c r="L61" s="40">
        <f>COUNTIFS(Archives!$S$2:$S$1048576,"Doubles",Archives!$V$2:$V$1048576,"Mangold",Archives!$Y$2:$Y$1048576,"Welker",Archives!$AB$2:$AB$1048576,"T")+COUNTIFS(Archives!$S$2:$S$1048576,"Doubles",Archives!$V$2:$V$1048576,"Welker",Archives!$Y$2:$Y$1048576,"Mangold",Archives!$AB$2:$AB$1048576,"T")</f>
        <v>1</v>
      </c>
      <c r="M61" s="41">
        <f t="shared" si="4"/>
        <v>0.625</v>
      </c>
      <c r="N61" s="40">
        <f t="shared" si="5"/>
        <v>4</v>
      </c>
    </row>
    <row r="62" spans="9:14" ht="15" customHeight="1" x14ac:dyDescent="0.2">
      <c r="I62" s="34" t="s">
        <v>777</v>
      </c>
      <c r="J62" s="43">
        <f>COUNTIFS(Archives!$S$2:$S$1048576,"Doubles",Archives!$V$2:$V$1048576,"Norat",Archives!$Y$2:$Y$1048576,"Welker",Archives!$AB$2:$AB$1048576,"W")+COUNTIFS(Archives!$S$2:$S$1048576,"Doubles",Archives!$V$2:$V$1048576,"Welker",Archives!$Y$2:$Y$1048576,"Norat",Archives!$AB$2:$AB$1048576,"W")</f>
        <v>2</v>
      </c>
      <c r="K62" s="43">
        <f>COUNTIFS(Archives!$S$2:$S$1048576,"Doubles",Archives!$V$2:$V$1048576,"Norat",Archives!$Y$2:$Y$1048576,"Welker",Archives!$AB$2:$AB$1048576,"L")+COUNTIFS(Archives!$S$2:$S$1048576,"Doubles",Archives!$V$2:$V$1048576,"Welker",Archives!$Y$2:$Y$1048576,"Norat",Archives!$AB$2:$AB$1048576,"L")</f>
        <v>1</v>
      </c>
      <c r="L62" s="43">
        <f>COUNTIFS(Archives!$S$2:$S$1048576,"Doubles",Archives!$V$2:$V$1048576,"Norat",Archives!$Y$2:$Y$1048576,"Welker",Archives!$AB$2:$AB$1048576,"T")+COUNTIFS(Archives!$S$2:$S$1048576,"Doubles",Archives!$V$2:$V$1048576,"Welker",Archives!$Y$2:$Y$1048576,"Norat",Archives!$AB$2:$AB$1048576,"T")</f>
        <v>1</v>
      </c>
      <c r="M62" s="44">
        <f t="shared" si="4"/>
        <v>0.625</v>
      </c>
      <c r="N62" s="43">
        <f t="shared" si="5"/>
        <v>4</v>
      </c>
    </row>
    <row r="63" spans="9:14" ht="15" customHeight="1" x14ac:dyDescent="0.2">
      <c r="I63" s="31" t="s">
        <v>788</v>
      </c>
      <c r="J63" s="40">
        <f>COUNTIFS(Archives!$S$2:$S$1048576,"Doubles",Archives!$V$2:$V$1048576,"Ferrin",Archives!$Y$2:$Y$1048576,"Jackson",Archives!$AB$2:$AB$1048576,"W")+COUNTIFS(Archives!$S$2:$S$1048576,"Doubles",Archives!$V$2:$V$1048576,"Jackson",Archives!$Y$2:$Y$1048576,"Ferrin",Archives!$AB$2:$AB$1048576,"W")</f>
        <v>8</v>
      </c>
      <c r="K63" s="40">
        <f>COUNTIFS(Archives!$S$2:$S$1048576,"Doubles",Archives!$V$2:$V$1048576,"Ferrin",Archives!$Y$2:$Y$1048576,"Jackson",Archives!$AB$2:$AB$1048576,"L")+COUNTIFS(Archives!$S$2:$S$1048576,"Doubles",Archives!$V$2:$V$1048576,"Jackson",Archives!$Y$2:$Y$1048576,"Ferrin",Archives!$AB$2:$AB$1048576,"L")</f>
        <v>5</v>
      </c>
      <c r="L63" s="40">
        <f>COUNTIFS(Archives!$S$2:$S$1048576,"Doubles",Archives!$V$2:$V$1048576,"Ferrin",Archives!$Y$2:$Y$1048576,"Jackson",Archives!$AB$2:$AB$1048576,"T")+COUNTIFS(Archives!$S$2:$S$1048576,"Doubles",Archives!$V$2:$V$1048576,"Jackson",Archives!$Y$2:$Y$1048576,"Ferrin",Archives!$AB$2:$AB$1048576,"T")</f>
        <v>2</v>
      </c>
      <c r="M63" s="41">
        <f t="shared" si="4"/>
        <v>0.6</v>
      </c>
      <c r="N63" s="40">
        <f t="shared" si="5"/>
        <v>15</v>
      </c>
    </row>
    <row r="64" spans="9:14" ht="15" customHeight="1" x14ac:dyDescent="0.2">
      <c r="I64" s="34" t="s">
        <v>786</v>
      </c>
      <c r="J64" s="43">
        <f>COUNTIFS(Archives!$S$2:$S$1048576,"Doubles",Archives!$V$2:$V$1048576,"Gray",Archives!$Y$2:$Y$1048576,"Zimmer",Archives!$AB$2:$AB$1048576,"W")+COUNTIFS(Archives!$S$2:$S$1048576,"Doubles",Archives!$V$2:$V$1048576,"Zimmer",Archives!$Y$2:$Y$1048576,"Gray",Archives!$AB$2:$AB$1048576,"W")</f>
        <v>3</v>
      </c>
      <c r="K64" s="43">
        <f>COUNTIFS(Archives!$S$2:$S$1048576,"Doubles",Archives!$V$2:$V$1048576,"Gray",Archives!$Y$2:$Y$1048576,"Zimmer",Archives!$AB$2:$AB$1048576,"L")+COUNTIFS(Archives!$S$2:$S$1048576,"Doubles",Archives!$V$2:$V$1048576,"Zimmer",Archives!$Y$2:$Y$1048576,"Gray",Archives!$AB$2:$AB$1048576,"L")</f>
        <v>2</v>
      </c>
      <c r="L64" s="43">
        <f>COUNTIFS(Archives!$S$2:$S$1048576,"Doubles",Archives!$V$2:$V$1048576,"Gray",Archives!$Y$2:$Y$1048576,"Zimmer",Archives!$AB$2:$AB$1048576,"T")+COUNTIFS(Archives!$S$2:$S$1048576,"Doubles",Archives!$V$2:$V$1048576,"Zimmer",Archives!$Y$2:$Y$1048576,"Gray",Archives!$AB$2:$AB$1048576,"T")</f>
        <v>1</v>
      </c>
      <c r="M64" s="44">
        <f t="shared" si="4"/>
        <v>0.58333333333333337</v>
      </c>
      <c r="N64" s="43">
        <f t="shared" si="5"/>
        <v>6</v>
      </c>
    </row>
    <row r="65" spans="9:14" ht="15" customHeight="1" x14ac:dyDescent="0.2">
      <c r="I65" s="31" t="s">
        <v>790</v>
      </c>
      <c r="J65" s="40">
        <f>COUNTIFS(Archives!$S$2:$S$1048576,"Doubles",Archives!$V$2:$V$1048576,"Gray",Archives!$Y$2:$Y$1048576,"Norat",Archives!$AB$2:$AB$1048576,"W")+COUNTIFS(Archives!$S$2:$S$1048576,"Doubles",Archives!$V$2:$V$1048576,"Norat",Archives!$Y$2:$Y$1048576,"Gray",Archives!$AB$2:$AB$1048576,"W")</f>
        <v>3</v>
      </c>
      <c r="K65" s="40">
        <f>COUNTIFS(Archives!$S$2:$S$1048576,"Doubles",Archives!$V$2:$V$1048576,"Gray",Archives!$Y$2:$Y$1048576,"Norat",Archives!$AB$2:$AB$1048576,"L")+COUNTIFS(Archives!$S$2:$S$1048576,"Doubles",Archives!$V$2:$V$1048576,"Norat",Archives!$Y$2:$Y$1048576,"Gray",Archives!$AB$2:$AB$1048576,"L")</f>
        <v>2</v>
      </c>
      <c r="L65" s="40">
        <f>COUNTIFS(Archives!$S$2:$S$1048576,"Doubles",Archives!$V$2:$V$1048576,"Gray",Archives!$Y$2:$Y$1048576,"Norat",Archives!$AB$2:$AB$1048576,"T")+COUNTIFS(Archives!$S$2:$S$1048576,"Doubles",Archives!$V$2:$V$1048576,"Norat",Archives!$Y$2:$Y$1048576,"Gray",Archives!$AB$2:$AB$1048576,"T")</f>
        <v>1</v>
      </c>
      <c r="M65" s="41">
        <f t="shared" si="4"/>
        <v>0.58333333333333337</v>
      </c>
      <c r="N65" s="40">
        <f t="shared" si="5"/>
        <v>6</v>
      </c>
    </row>
    <row r="66" spans="9:14" ht="15" customHeight="1" x14ac:dyDescent="0.2">
      <c r="I66" s="34" t="s">
        <v>779</v>
      </c>
      <c r="J66" s="43">
        <f>COUNTIFS(Archives!$S$2:$S$1048576,"Doubles",Archives!$V$2:$V$1048576,"Norat",Archives!$Y$2:$Y$1048576,"Zimmer",Archives!$AB$2:$AB$1048576,"W")+COUNTIFS(Archives!$S$2:$S$1048576,"Doubles",Archives!$V$2:$V$1048576,"Zimmer",Archives!$Y$2:$Y$1048576,"Norat",Archives!$AB$2:$AB$1048576,"W")</f>
        <v>3</v>
      </c>
      <c r="K66" s="43">
        <f>COUNTIFS(Archives!$S$2:$S$1048576,"Doubles",Archives!$V$2:$V$1048576,"Norat",Archives!$Y$2:$Y$1048576,"Zimmer",Archives!$AB$2:$AB$1048576,"L")+COUNTIFS(Archives!$S$2:$S$1048576,"Doubles",Archives!$V$2:$V$1048576,"Zimmer",Archives!$Y$2:$Y$1048576,"Norat",Archives!$AB$2:$AB$1048576,"L")</f>
        <v>2</v>
      </c>
      <c r="L66" s="43">
        <f>COUNTIFS(Archives!$S$2:$S$1048576,"Doubles",Archives!$V$2:$V$1048576,"Norat",Archives!$Y$2:$Y$1048576,"Zimmer",Archives!$AB$2:$AB$1048576,"T")+COUNTIFS(Archives!$S$2:$S$1048576,"Doubles",Archives!$V$2:$V$1048576,"Zimmer",Archives!$Y$2:$Y$1048576,"Norat",Archives!$AB$2:$AB$1048576,"T")</f>
        <v>1</v>
      </c>
      <c r="M66" s="44">
        <f t="shared" si="4"/>
        <v>0.58333333333333337</v>
      </c>
      <c r="N66" s="43">
        <f t="shared" si="5"/>
        <v>6</v>
      </c>
    </row>
    <row r="67" spans="9:14" ht="15" customHeight="1" x14ac:dyDescent="0.2">
      <c r="I67" s="31" t="s">
        <v>785</v>
      </c>
      <c r="J67" s="40">
        <f>COUNTIFS(Archives!$S$2:$S$1048576,"Doubles",Archives!$V$2:$V$1048576,"Connolly",Archives!$Y$2:$Y$1048576,"Hilts",Archives!$AB$2:$AB$1048576,"W")+COUNTIFS(Archives!$S$2:$S$1048576,"Doubles",Archives!$V$2:$V$1048576,"Hilts",Archives!$Y$2:$Y$1048576,"Connolly",Archives!$AB$2:$AB$1048576,"W")</f>
        <v>3</v>
      </c>
      <c r="K67" s="40">
        <f>COUNTIFS(Archives!$S$2:$S$1048576,"Doubles",Archives!$V$2:$V$1048576,"Connolly",Archives!$Y$2:$Y$1048576,"Hilts",Archives!$AB$2:$AB$1048576,"L")+COUNTIFS(Archives!$S$2:$S$1048576,"Doubles",Archives!$V$2:$V$1048576,"Hilts",Archives!$Y$2:$Y$1048576,"Connolly",Archives!$AB$2:$AB$1048576,"L")</f>
        <v>2</v>
      </c>
      <c r="L67" s="40">
        <f>COUNTIFS(Archives!$S$2:$S$1048576,"Doubles",Archives!$V$2:$V$1048576,"Connolly",Archives!$Y$2:$Y$1048576,"Hilts",Archives!$AB$2:$AB$1048576,"T")+COUNTIFS(Archives!$S$2:$S$1048576,"Doubles",Archives!$V$2:$V$1048576,"Hilts",Archives!$Y$2:$Y$1048576,"Connolly",Archives!$AB$2:$AB$1048576,"T")</f>
        <v>2</v>
      </c>
      <c r="M67" s="41">
        <f t="shared" si="4"/>
        <v>0.5714285714285714</v>
      </c>
      <c r="N67" s="40">
        <f t="shared" si="5"/>
        <v>7</v>
      </c>
    </row>
    <row r="68" spans="9:14" ht="15" customHeight="1" x14ac:dyDescent="0.2">
      <c r="I68" s="34" t="s">
        <v>792</v>
      </c>
      <c r="J68" s="43">
        <f>COUNTIFS(Archives!$S$2:$S$1048576,"Doubles",Archives!$V$2:$V$1048576,"Cole",Archives!$Y$2:$Y$1048576,"Ferrin",Archives!$AB$2:$AB$1048576,"W")+COUNTIFS(Archives!$S$2:$S$1048576,"Doubles",Archives!$V$2:$V$1048576,"Ferrin",Archives!$Y$2:$Y$1048576,"Cole",Archives!$AB$2:$AB$1048576,"W")</f>
        <v>3</v>
      </c>
      <c r="K68" s="43">
        <f>COUNTIFS(Archives!$S$2:$S$1048576,"Doubles",Archives!$V$2:$V$1048576,"Cole",Archives!$Y$2:$Y$1048576,"Ferrin",Archives!$AB$2:$AB$1048576,"L")+COUNTIFS(Archives!$S$2:$S$1048576,"Doubles",Archives!$V$2:$V$1048576,"Ferrin",Archives!$Y$2:$Y$1048576,"Cole",Archives!$AB$2:$AB$1048576,"L")</f>
        <v>3</v>
      </c>
      <c r="L68" s="43">
        <f>COUNTIFS(Archives!$S$2:$S$1048576,"Doubles",Archives!$V$2:$V$1048576,"Cole",Archives!$Y$2:$Y$1048576,"Ferrin",Archives!$AB$2:$AB$1048576,"T")+COUNTIFS(Archives!$S$2:$S$1048576,"Doubles",Archives!$V$2:$V$1048576,"Ferrin",Archives!$Y$2:$Y$1048576,"Cole",Archives!$AB$2:$AB$1048576,"T")</f>
        <v>0</v>
      </c>
      <c r="M68" s="44">
        <f t="shared" si="4"/>
        <v>0.5</v>
      </c>
      <c r="N68" s="43">
        <f t="shared" si="5"/>
        <v>6</v>
      </c>
    </row>
    <row r="69" spans="9:14" ht="15" customHeight="1" x14ac:dyDescent="0.2">
      <c r="I69" s="31" t="s">
        <v>784</v>
      </c>
      <c r="J69" s="40">
        <f>COUNTIFS(Archives!$S$2:$S$1048576,"Doubles",Archives!$V$2:$V$1048576,"Connors",Archives!$Y$2:$Y$1048576,"Jackson",Archives!$AB$2:$AB$1048576,"W")+COUNTIFS(Archives!$S$2:$S$1048576,"Doubles",Archives!$V$2:$V$1048576,"Jackson",Archives!$Y$2:$Y$1048576,"Connors",Archives!$AB$2:$AB$1048576,"W")</f>
        <v>2</v>
      </c>
      <c r="K69" s="40">
        <f>COUNTIFS(Archives!$S$2:$S$1048576,"Doubles",Archives!$V$2:$V$1048576,"Connors",Archives!$Y$2:$Y$1048576,"Jackson",Archives!$AB$2:$AB$1048576,"L")+COUNTIFS(Archives!$S$2:$S$1048576,"Doubles",Archives!$V$2:$V$1048576,"Jackson",Archives!$Y$2:$Y$1048576,"Connors",Archives!$AB$2:$AB$1048576,"L")</f>
        <v>2</v>
      </c>
      <c r="L69" s="40">
        <f>COUNTIFS(Archives!$S$2:$S$1048576,"Doubles",Archives!$V$2:$V$1048576,"Connors",Archives!$Y$2:$Y$1048576,"Jackson",Archives!$AB$2:$AB$1048576,"T")+COUNTIFS(Archives!$S$2:$S$1048576,"Doubles",Archives!$V$2:$V$1048576,"Jackson",Archives!$Y$2:$Y$1048576,"Connors",Archives!$AB$2:$AB$1048576,"T")</f>
        <v>2</v>
      </c>
      <c r="M69" s="41">
        <f t="shared" ref="M69:M100" si="6">IF(N69=0,0,(J69+0.5*L69)/N69)</f>
        <v>0.5</v>
      </c>
      <c r="N69" s="40">
        <f t="shared" ref="N69:N100" si="7">J69+K69+L69</f>
        <v>6</v>
      </c>
    </row>
    <row r="70" spans="9:14" ht="15" customHeight="1" x14ac:dyDescent="0.2">
      <c r="I70" s="34" t="s">
        <v>783</v>
      </c>
      <c r="J70" s="43">
        <f>COUNTIFS(Archives!$S$2:$S$1048576,"Doubles",Archives!$V$2:$V$1048576,"Delaney",Archives!$Y$2:$Y$1048576,"Hilts",Archives!$AB$2:$AB$1048576,"W")+COUNTIFS(Archives!$S$2:$S$1048576,"Doubles",Archives!$V$2:$V$1048576,"Hilts",Archives!$Y$2:$Y$1048576,"Delaney",Archives!$AB$2:$AB$1048576,"W")</f>
        <v>2</v>
      </c>
      <c r="K70" s="43">
        <f>COUNTIFS(Archives!$S$2:$S$1048576,"Doubles",Archives!$V$2:$V$1048576,"Delaney",Archives!$Y$2:$Y$1048576,"Hilts",Archives!$AB$2:$AB$1048576,"L")+COUNTIFS(Archives!$S$2:$S$1048576,"Doubles",Archives!$V$2:$V$1048576,"Hilts",Archives!$Y$2:$Y$1048576,"Delaney",Archives!$AB$2:$AB$1048576,"L")</f>
        <v>2</v>
      </c>
      <c r="L70" s="43">
        <f>COUNTIFS(Archives!$S$2:$S$1048576,"Doubles",Archives!$V$2:$V$1048576,"Delaney",Archives!$Y$2:$Y$1048576,"Hilts",Archives!$AB$2:$AB$1048576,"T")+COUNTIFS(Archives!$S$2:$S$1048576,"Doubles",Archives!$V$2:$V$1048576,"Hilts",Archives!$Y$2:$Y$1048576,"Delaney",Archives!$AB$2:$AB$1048576,"T")</f>
        <v>2</v>
      </c>
      <c r="M70" s="44">
        <f t="shared" si="6"/>
        <v>0.5</v>
      </c>
      <c r="N70" s="43">
        <f t="shared" si="7"/>
        <v>6</v>
      </c>
    </row>
    <row r="71" spans="9:14" ht="15" customHeight="1" x14ac:dyDescent="0.2">
      <c r="I71" s="31" t="s">
        <v>781</v>
      </c>
      <c r="J71" s="40">
        <f>COUNTIFS(Archives!$S$2:$S$1048576,"Doubles",Archives!$V$2:$V$1048576,"Fogan",Archives!$Y$2:$Y$1048576,"Weisberger",Archives!$AB$2:$AB$1048576,"W")+COUNTIFS(Archives!$S$2:$S$1048576,"Doubles",Archives!$V$2:$V$1048576,"Weisberger",Archives!$Y$2:$Y$1048576,"Fogan",Archives!$AB$2:$AB$1048576,"W")</f>
        <v>3</v>
      </c>
      <c r="K71" s="40">
        <f>COUNTIFS(Archives!$S$2:$S$1048576,"Doubles",Archives!$V$2:$V$1048576,"Fogan",Archives!$Y$2:$Y$1048576,"Weisberger",Archives!$AB$2:$AB$1048576,"L")+COUNTIFS(Archives!$S$2:$S$1048576,"Doubles",Archives!$V$2:$V$1048576,"Weisberger",Archives!$Y$2:$Y$1048576,"Fogan",Archives!$AB$2:$AB$1048576,"L")</f>
        <v>3</v>
      </c>
      <c r="L71" s="40">
        <f>COUNTIFS(Archives!$S$2:$S$1048576,"Doubles",Archives!$V$2:$V$1048576,"Fogan",Archives!$Y$2:$Y$1048576,"Weisberger",Archives!$AB$2:$AB$1048576,"T")+COUNTIFS(Archives!$S$2:$S$1048576,"Doubles",Archives!$V$2:$V$1048576,"Weisberger",Archives!$Y$2:$Y$1048576,"Fogan",Archives!$AB$2:$AB$1048576,"T")</f>
        <v>0</v>
      </c>
      <c r="M71" s="41">
        <f t="shared" si="6"/>
        <v>0.5</v>
      </c>
      <c r="N71" s="40">
        <f t="shared" si="7"/>
        <v>6</v>
      </c>
    </row>
    <row r="72" spans="9:14" ht="15" customHeight="1" x14ac:dyDescent="0.2">
      <c r="I72" s="34" t="s">
        <v>793</v>
      </c>
      <c r="J72" s="43">
        <f>COUNTIFS(Archives!$S$2:$S$1048576,"Doubles",Archives!$V$2:$V$1048576,"Cole",Archives!$Y$2:$Y$1048576,"Jackson",Archives!$AB$2:$AB$1048576,"W")+COUNTIFS(Archives!$S$2:$S$1048576,"Doubles",Archives!$V$2:$V$1048576,"Jackson",Archives!$Y$2:$Y$1048576,"Cole",Archives!$AB$2:$AB$1048576,"W")</f>
        <v>2</v>
      </c>
      <c r="K72" s="43">
        <f>COUNTIFS(Archives!$S$2:$S$1048576,"Doubles",Archives!$V$2:$V$1048576,"Cole",Archives!$Y$2:$Y$1048576,"Jackson",Archives!$AB$2:$AB$1048576,"L")+COUNTIFS(Archives!$S$2:$S$1048576,"Doubles",Archives!$V$2:$V$1048576,"Jackson",Archives!$Y$2:$Y$1048576,"Cole",Archives!$AB$2:$AB$1048576,"L")</f>
        <v>2</v>
      </c>
      <c r="L72" s="43">
        <f>COUNTIFS(Archives!$S$2:$S$1048576,"Doubles",Archives!$V$2:$V$1048576,"Cole",Archives!$Y$2:$Y$1048576,"Jackson",Archives!$AB$2:$AB$1048576,"T")+COUNTIFS(Archives!$S$2:$S$1048576,"Doubles",Archives!$V$2:$V$1048576,"Jackson",Archives!$Y$2:$Y$1048576,"Cole",Archives!$AB$2:$AB$1048576,"T")</f>
        <v>0</v>
      </c>
      <c r="M72" s="44">
        <f t="shared" si="6"/>
        <v>0.5</v>
      </c>
      <c r="N72" s="43">
        <f t="shared" si="7"/>
        <v>4</v>
      </c>
    </row>
    <row r="73" spans="9:14" ht="15" customHeight="1" x14ac:dyDescent="0.2">
      <c r="I73" s="31" t="s">
        <v>795</v>
      </c>
      <c r="J73" s="40">
        <f>COUNTIFS(Archives!$S$2:$S$1048576,"Doubles",Archives!$V$2:$V$1048576,"Connolly",Archives!$Y$2:$Y$1048576,"Zimmer",Archives!$AB$2:$AB$1048576,"W")+COUNTIFS(Archives!$S$2:$S$1048576,"Doubles",Archives!$V$2:$V$1048576,"Zimmer",Archives!$Y$2:$Y$1048576,"Connolly",Archives!$AB$2:$AB$1048576,"W")</f>
        <v>2</v>
      </c>
      <c r="K73" s="40">
        <f>COUNTIFS(Archives!$S$2:$S$1048576,"Doubles",Archives!$V$2:$V$1048576,"Connolly",Archives!$Y$2:$Y$1048576,"Zimmer",Archives!$AB$2:$AB$1048576,"L")+COUNTIFS(Archives!$S$2:$S$1048576,"Doubles",Archives!$V$2:$V$1048576,"Zimmer",Archives!$Y$2:$Y$1048576,"Connolly",Archives!$AB$2:$AB$1048576,"L")</f>
        <v>2</v>
      </c>
      <c r="L73" s="40">
        <f>COUNTIFS(Archives!$S$2:$S$1048576,"Doubles",Archives!$V$2:$V$1048576,"Connolly",Archives!$Y$2:$Y$1048576,"Zimmer",Archives!$AB$2:$AB$1048576,"T")+COUNTIFS(Archives!$S$2:$S$1048576,"Doubles",Archives!$V$2:$V$1048576,"Zimmer",Archives!$Y$2:$Y$1048576,"Connolly",Archives!$AB$2:$AB$1048576,"T")</f>
        <v>0</v>
      </c>
      <c r="M73" s="41">
        <f t="shared" si="6"/>
        <v>0.5</v>
      </c>
      <c r="N73" s="40">
        <f t="shared" si="7"/>
        <v>4</v>
      </c>
    </row>
    <row r="74" spans="9:14" ht="15" customHeight="1" x14ac:dyDescent="0.2">
      <c r="I74" s="34" t="s">
        <v>800</v>
      </c>
      <c r="J74" s="43">
        <f>COUNTIFS(Archives!$S$2:$S$1048576,"Doubles",Archives!$V$2:$V$1048576,"Connolly",Archives!$Y$2:$Y$1048576,"Delneky",Archives!$AB$2:$AB$1048576,"W")+COUNTIFS(Archives!$S$2:$S$1048576,"Doubles",Archives!$V$2:$V$1048576,"Delneky",Archives!$Y$2:$Y$1048576,"Connolly",Archives!$AB$2:$AB$1048576,"W")</f>
        <v>2</v>
      </c>
      <c r="K74" s="43">
        <f>COUNTIFS(Archives!$S$2:$S$1048576,"Doubles",Archives!$V$2:$V$1048576,"Connolly",Archives!$Y$2:$Y$1048576,"Delneky",Archives!$AB$2:$AB$1048576,"L")+COUNTIFS(Archives!$S$2:$S$1048576,"Doubles",Archives!$V$2:$V$1048576,"Delneky",Archives!$Y$2:$Y$1048576,"Connolly",Archives!$AB$2:$AB$1048576,"L")</f>
        <v>2</v>
      </c>
      <c r="L74" s="43">
        <f>COUNTIFS(Archives!$S$2:$S$1048576,"Doubles",Archives!$V$2:$V$1048576,"Connolly",Archives!$Y$2:$Y$1048576,"Delneky",Archives!$AB$2:$AB$1048576,"T")+COUNTIFS(Archives!$S$2:$S$1048576,"Doubles",Archives!$V$2:$V$1048576,"Delneky",Archives!$Y$2:$Y$1048576,"Connolly",Archives!$AB$2:$AB$1048576,"T")</f>
        <v>0</v>
      </c>
      <c r="M74" s="44">
        <f t="shared" si="6"/>
        <v>0.5</v>
      </c>
      <c r="N74" s="43">
        <f t="shared" si="7"/>
        <v>4</v>
      </c>
    </row>
    <row r="75" spans="9:14" ht="15" customHeight="1" x14ac:dyDescent="0.2">
      <c r="I75" s="31" t="s">
        <v>796</v>
      </c>
      <c r="J75" s="40">
        <f>COUNTIFS(Archives!$S$2:$S$1048576,"Doubles",Archives!$V$2:$V$1048576,"Forster",Archives!$Y$2:$Y$1048576,"Norat",Archives!$AB$2:$AB$1048576,"W")+COUNTIFS(Archives!$S$2:$S$1048576,"Doubles",Archives!$V$2:$V$1048576,"Norat",Archives!$Y$2:$Y$1048576,"Forster",Archives!$AB$2:$AB$1048576,"W")</f>
        <v>1</v>
      </c>
      <c r="K75" s="40">
        <f>COUNTIFS(Archives!$S$2:$S$1048576,"Doubles",Archives!$V$2:$V$1048576,"Forster",Archives!$Y$2:$Y$1048576,"Norat",Archives!$AB$2:$AB$1048576,"L")+COUNTIFS(Archives!$S$2:$S$1048576,"Doubles",Archives!$V$2:$V$1048576,"Norat",Archives!$Y$2:$Y$1048576,"Forster",Archives!$AB$2:$AB$1048576,"L")</f>
        <v>1</v>
      </c>
      <c r="L75" s="40">
        <f>COUNTIFS(Archives!$S$2:$S$1048576,"Doubles",Archives!$V$2:$V$1048576,"Forster",Archives!$Y$2:$Y$1048576,"Norat",Archives!$AB$2:$AB$1048576,"T")+COUNTIFS(Archives!$S$2:$S$1048576,"Doubles",Archives!$V$2:$V$1048576,"Norat",Archives!$Y$2:$Y$1048576,"Forster",Archives!$AB$2:$AB$1048576,"T")</f>
        <v>2</v>
      </c>
      <c r="M75" s="41">
        <f t="shared" si="6"/>
        <v>0.5</v>
      </c>
      <c r="N75" s="40">
        <f t="shared" si="7"/>
        <v>4</v>
      </c>
    </row>
    <row r="76" spans="9:14" ht="15" customHeight="1" x14ac:dyDescent="0.2">
      <c r="I76" s="34" t="s">
        <v>782</v>
      </c>
      <c r="J76" s="43">
        <f>COUNTIFS(Archives!$S$2:$S$1048576,"Doubles",Archives!$V$2:$V$1048576,"Hickerson",Archives!$Y$2:$Y$1048576,"Lynch",Archives!$AB$2:$AB$1048576,"W")+COUNTIFS(Archives!$S$2:$S$1048576,"Doubles",Archives!$V$2:$V$1048576,"Lynch",Archives!$Y$2:$Y$1048576,"Hickerson",Archives!$AB$2:$AB$1048576,"W")</f>
        <v>2</v>
      </c>
      <c r="K76" s="43">
        <f>COUNTIFS(Archives!$S$2:$S$1048576,"Doubles",Archives!$V$2:$V$1048576,"Hickerson",Archives!$Y$2:$Y$1048576,"Lynch",Archives!$AB$2:$AB$1048576,"L")+COUNTIFS(Archives!$S$2:$S$1048576,"Doubles",Archives!$V$2:$V$1048576,"Lynch",Archives!$Y$2:$Y$1048576,"Hickerson",Archives!$AB$2:$AB$1048576,"L")</f>
        <v>2</v>
      </c>
      <c r="L76" s="43">
        <f>COUNTIFS(Archives!$S$2:$S$1048576,"Doubles",Archives!$V$2:$V$1048576,"Hickerson",Archives!$Y$2:$Y$1048576,"Lynch",Archives!$AB$2:$AB$1048576,"T")+COUNTIFS(Archives!$S$2:$S$1048576,"Doubles",Archives!$V$2:$V$1048576,"Lynch",Archives!$Y$2:$Y$1048576,"Hickerson",Archives!$AB$2:$AB$1048576,"T")</f>
        <v>0</v>
      </c>
      <c r="M76" s="44">
        <f t="shared" si="6"/>
        <v>0.5</v>
      </c>
      <c r="N76" s="43">
        <f t="shared" si="7"/>
        <v>4</v>
      </c>
    </row>
    <row r="77" spans="9:14" ht="15" customHeight="1" x14ac:dyDescent="0.2">
      <c r="I77" s="31" t="s">
        <v>789</v>
      </c>
      <c r="J77" s="40">
        <f>COUNTIFS(Archives!$S$2:$S$1048576,"Doubles",Archives!$V$2:$V$1048576,"Hilts",Archives!$Y$2:$Y$1048576,"Poirier",Archives!$AB$2:$AB$1048576,"W")+COUNTIFS(Archives!$S$2:$S$1048576,"Doubles",Archives!$V$2:$V$1048576,"Poirier",Archives!$Y$2:$Y$1048576,"Hilts",Archives!$AB$2:$AB$1048576,"W")</f>
        <v>2</v>
      </c>
      <c r="K77" s="40">
        <f>COUNTIFS(Archives!$S$2:$S$1048576,"Doubles",Archives!$V$2:$V$1048576,"Hilts",Archives!$Y$2:$Y$1048576,"Poirier",Archives!$AB$2:$AB$1048576,"L")+COUNTIFS(Archives!$S$2:$S$1048576,"Doubles",Archives!$V$2:$V$1048576,"Poirier",Archives!$Y$2:$Y$1048576,"Hilts",Archives!$AB$2:$AB$1048576,"L")</f>
        <v>2</v>
      </c>
      <c r="L77" s="40">
        <f>COUNTIFS(Archives!$S$2:$S$1048576,"Doubles",Archives!$V$2:$V$1048576,"Hilts",Archives!$Y$2:$Y$1048576,"Poirier",Archives!$AB$2:$AB$1048576,"T")+COUNTIFS(Archives!$S$2:$S$1048576,"Doubles",Archives!$V$2:$V$1048576,"Poirier",Archives!$Y$2:$Y$1048576,"Hilts",Archives!$AB$2:$AB$1048576,"T")</f>
        <v>0</v>
      </c>
      <c r="M77" s="41">
        <f t="shared" si="6"/>
        <v>0.5</v>
      </c>
      <c r="N77" s="40">
        <f t="shared" si="7"/>
        <v>4</v>
      </c>
    </row>
    <row r="78" spans="9:14" ht="15" customHeight="1" x14ac:dyDescent="0.2">
      <c r="I78" s="34" t="s">
        <v>787</v>
      </c>
      <c r="J78" s="43">
        <f>COUNTIFS(Archives!$S$2:$S$1048576,"Doubles",Archives!$V$2:$V$1048576,"Lynch",Archives!$Y$2:$Y$1048576,"Mangold",Archives!$AB$2:$AB$1048576,"W")+COUNTIFS(Archives!$S$2:$S$1048576,"Doubles",Archives!$V$2:$V$1048576,"Mangold",Archives!$Y$2:$Y$1048576,"Lynch",Archives!$AB$2:$AB$1048576,"W")</f>
        <v>1</v>
      </c>
      <c r="K78" s="43">
        <f>COUNTIFS(Archives!$S$2:$S$1048576,"Doubles",Archives!$V$2:$V$1048576,"Lynch",Archives!$Y$2:$Y$1048576,"Mangold",Archives!$AB$2:$AB$1048576,"L")+COUNTIFS(Archives!$S$2:$S$1048576,"Doubles",Archives!$V$2:$V$1048576,"Mangold",Archives!$Y$2:$Y$1048576,"Lynch",Archives!$AB$2:$AB$1048576,"L")</f>
        <v>1</v>
      </c>
      <c r="L78" s="43">
        <f>COUNTIFS(Archives!$S$2:$S$1048576,"Doubles",Archives!$V$2:$V$1048576,"Lynch",Archives!$Y$2:$Y$1048576,"Mangold",Archives!$AB$2:$AB$1048576,"T")+COUNTIFS(Archives!$S$2:$S$1048576,"Doubles",Archives!$V$2:$V$1048576,"Mangold",Archives!$Y$2:$Y$1048576,"Lynch",Archives!$AB$2:$AB$1048576,"T")</f>
        <v>2</v>
      </c>
      <c r="M78" s="44">
        <f t="shared" si="6"/>
        <v>0.5</v>
      </c>
      <c r="N78" s="43">
        <f t="shared" si="7"/>
        <v>4</v>
      </c>
    </row>
    <row r="79" spans="9:14" ht="15" customHeight="1" x14ac:dyDescent="0.2">
      <c r="I79" s="31" t="s">
        <v>1304</v>
      </c>
      <c r="J79" s="40">
        <f>COUNTIFS(Archives!$S$2:$S$1048576,"Doubles",Archives!$V$2:$V$1048576,"Bussiculo",Archives!$Y$2:$Y$1048576,"Lynch",Archives!$AB$2:$AB$1048576,"W")+COUNTIFS(Archives!$S$2:$S$1048576,"Doubles",Archives!$V$2:$V$1048576,"Lynch",Archives!$Y$2:$Y$1048576,"Bussiculo",Archives!$AB$2:$AB$1048576,"W")</f>
        <v>1</v>
      </c>
      <c r="K79" s="40">
        <f>COUNTIFS(Archives!$S$2:$S$1048576,"Doubles",Archives!$V$2:$V$1048576,"Bussiculo",Archives!$Y$2:$Y$1048576,"Lynch",Archives!$AB$2:$AB$1048576,"L")+COUNTIFS(Archives!$S$2:$S$1048576,"Doubles",Archives!$V$2:$V$1048576,"Lynch",Archives!$Y$2:$Y$1048576,"Bussiculo",Archives!$AB$2:$AB$1048576,"L")</f>
        <v>1</v>
      </c>
      <c r="L79" s="40">
        <f>COUNTIFS(Archives!$S$2:$S$1048576,"Doubles",Archives!$V$2:$V$1048576,"Bussiculo",Archives!$Y$2:$Y$1048576,"Lynch",Archives!$AB$2:$AB$1048576,"T")+COUNTIFS(Archives!$S$2:$S$1048576,"Doubles",Archives!$V$2:$V$1048576,"Lynch",Archives!$Y$2:$Y$1048576,"Bussiculo",Archives!$AB$2:$AB$1048576,"T")</f>
        <v>0</v>
      </c>
      <c r="M79" s="41">
        <f t="shared" si="6"/>
        <v>0.5</v>
      </c>
      <c r="N79" s="40">
        <f t="shared" si="7"/>
        <v>2</v>
      </c>
    </row>
    <row r="80" spans="9:14" ht="15" customHeight="1" x14ac:dyDescent="0.2">
      <c r="I80" s="34" t="s">
        <v>954</v>
      </c>
      <c r="J80" s="43">
        <f>COUNTIFS(Archives!$S$2:$S$1048576,"Doubles",Archives!$V$2:$V$1048576,"Cole",Archives!$Y$2:$Y$1048576,"Flanders",Archives!$AB$2:$AB$1048576,"W")+COUNTIFS(Archives!$S$2:$S$1048576,"Doubles",Archives!$V$2:$V$1048576,"Flanders",Archives!$Y$2:$Y$1048576,"Cole",Archives!$AB$2:$AB$1048576,"W")</f>
        <v>1</v>
      </c>
      <c r="K80" s="43">
        <f>COUNTIFS(Archives!$S$2:$S$1048576,"Doubles",Archives!$V$2:$V$1048576,"Cole",Archives!$Y$2:$Y$1048576,"Flanders",Archives!$AB$2:$AB$1048576,"L")+COUNTIFS(Archives!$S$2:$S$1048576,"Doubles",Archives!$V$2:$V$1048576,"Flanders",Archives!$Y$2:$Y$1048576,"Cole",Archives!$AB$2:$AB$1048576,"L")</f>
        <v>1</v>
      </c>
      <c r="L80" s="43">
        <f>COUNTIFS(Archives!$S$2:$S$1048576,"Doubles",Archives!$V$2:$V$1048576,"Cole",Archives!$Y$2:$Y$1048576,"Flanders",Archives!$AB$2:$AB$1048576,"T")+COUNTIFS(Archives!$S$2:$S$1048576,"Doubles",Archives!$V$2:$V$1048576,"Flanders",Archives!$Y$2:$Y$1048576,"Cole",Archives!$AB$2:$AB$1048576,"T")</f>
        <v>0</v>
      </c>
      <c r="M80" s="44">
        <f t="shared" si="6"/>
        <v>0.5</v>
      </c>
      <c r="N80" s="43">
        <f t="shared" si="7"/>
        <v>2</v>
      </c>
    </row>
    <row r="81" spans="9:14" ht="15" customHeight="1" x14ac:dyDescent="0.2">
      <c r="I81" s="31" t="s">
        <v>955</v>
      </c>
      <c r="J81" s="40">
        <f>COUNTIFS(Archives!$S$2:$S$1048576,"Doubles",Archives!$V$2:$V$1048576,"Connolly",Archives!$Y$2:$Y$1048576,"Ferrin",Archives!$AB$2:$AB$1048576,"W")+COUNTIFS(Archives!$S$2:$S$1048576,"Doubles",Archives!$V$2:$V$1048576,"Ferrin",Archives!$Y$2:$Y$1048576,"Connolly",Archives!$AB$2:$AB$1048576,"W")</f>
        <v>1</v>
      </c>
      <c r="K81" s="40">
        <f>COUNTIFS(Archives!$S$2:$S$1048576,"Doubles",Archives!$V$2:$V$1048576,"Connolly",Archives!$Y$2:$Y$1048576,"Ferrin",Archives!$AB$2:$AB$1048576,"L")+COUNTIFS(Archives!$S$2:$S$1048576,"Doubles",Archives!$V$2:$V$1048576,"Ferrin",Archives!$Y$2:$Y$1048576,"Connolly",Archives!$AB$2:$AB$1048576,"L")</f>
        <v>1</v>
      </c>
      <c r="L81" s="40">
        <f>COUNTIFS(Archives!$S$2:$S$1048576,"Doubles",Archives!$V$2:$V$1048576,"Connolly",Archives!$Y$2:$Y$1048576,"Ferrin",Archives!$AB$2:$AB$1048576,"T")+COUNTIFS(Archives!$S$2:$S$1048576,"Doubles",Archives!$V$2:$V$1048576,"Ferrin",Archives!$Y$2:$Y$1048576,"Connolly",Archives!$AB$2:$AB$1048576,"T")</f>
        <v>0</v>
      </c>
      <c r="M81" s="41">
        <f t="shared" si="6"/>
        <v>0.5</v>
      </c>
      <c r="N81" s="40">
        <f t="shared" si="7"/>
        <v>2</v>
      </c>
    </row>
    <row r="82" spans="9:14" ht="15" customHeight="1" x14ac:dyDescent="0.2">
      <c r="I82" s="34" t="s">
        <v>956</v>
      </c>
      <c r="J82" s="43">
        <f>COUNTIFS(Archives!$S$2:$S$1048576,"Doubles",Archives!$V$2:$V$1048576,"Connors",Archives!$Y$2:$Y$1048576,"Zimmer",Archives!$AB$2:$AB$1048576,"W")+COUNTIFS(Archives!$S$2:$S$1048576,"Doubles",Archives!$V$2:$V$1048576,"Zimmer",Archives!$Y$2:$Y$1048576,"Connors",Archives!$AB$2:$AB$1048576,"W")</f>
        <v>1</v>
      </c>
      <c r="K82" s="43">
        <f>COUNTIFS(Archives!$S$2:$S$1048576,"Doubles",Archives!$V$2:$V$1048576,"Connors",Archives!$Y$2:$Y$1048576,"Zimmer",Archives!$AB$2:$AB$1048576,"L")+COUNTIFS(Archives!$S$2:$S$1048576,"Doubles",Archives!$V$2:$V$1048576,"Zimmer",Archives!$Y$2:$Y$1048576,"Connors",Archives!$AB$2:$AB$1048576,"L")</f>
        <v>1</v>
      </c>
      <c r="L82" s="43">
        <f>COUNTIFS(Archives!$S$2:$S$1048576,"Doubles",Archives!$V$2:$V$1048576,"Connors",Archives!$Y$2:$Y$1048576,"Zimmer",Archives!$AB$2:$AB$1048576,"T")+COUNTIFS(Archives!$S$2:$S$1048576,"Doubles",Archives!$V$2:$V$1048576,"Zimmer",Archives!$Y$2:$Y$1048576,"Connors",Archives!$AB$2:$AB$1048576,"T")</f>
        <v>0</v>
      </c>
      <c r="M82" s="44">
        <f t="shared" si="6"/>
        <v>0.5</v>
      </c>
      <c r="N82" s="43">
        <f t="shared" si="7"/>
        <v>2</v>
      </c>
    </row>
    <row r="83" spans="9:14" ht="15" customHeight="1" x14ac:dyDescent="0.2">
      <c r="I83" s="31" t="s">
        <v>957</v>
      </c>
      <c r="J83" s="40">
        <f>COUNTIFS(Archives!$S$2:$S$1048576,"Doubles",Archives!$V$2:$V$1048576,"Delaney",Archives!$Y$2:$Y$1048576,"Shively",Archives!$AB$2:$AB$1048576,"W")+COUNTIFS(Archives!$S$2:$S$1048576,"Doubles",Archives!$V$2:$V$1048576,"Shively",Archives!$Y$2:$Y$1048576,"Delaney",Archives!$AB$2:$AB$1048576,"W")</f>
        <v>1</v>
      </c>
      <c r="K83" s="40">
        <f>COUNTIFS(Archives!$S$2:$S$1048576,"Doubles",Archives!$V$2:$V$1048576,"Delaney",Archives!$Y$2:$Y$1048576,"Shively",Archives!$AB$2:$AB$1048576,"L")+COUNTIFS(Archives!$S$2:$S$1048576,"Doubles",Archives!$V$2:$V$1048576,"Shively",Archives!$Y$2:$Y$1048576,"Delaney",Archives!$AB$2:$AB$1048576,"L")</f>
        <v>1</v>
      </c>
      <c r="L83" s="40">
        <f>COUNTIFS(Archives!$S$2:$S$1048576,"Doubles",Archives!$V$2:$V$1048576,"Delaney",Archives!$Y$2:$Y$1048576,"Shively",Archives!$AB$2:$AB$1048576,"T")+COUNTIFS(Archives!$S$2:$S$1048576,"Doubles",Archives!$V$2:$V$1048576,"Shively",Archives!$Y$2:$Y$1048576,"Delaney",Archives!$AB$2:$AB$1048576,"T")</f>
        <v>0</v>
      </c>
      <c r="M83" s="41">
        <f t="shared" si="6"/>
        <v>0.5</v>
      </c>
      <c r="N83" s="40">
        <f t="shared" si="7"/>
        <v>2</v>
      </c>
    </row>
    <row r="84" spans="9:14" ht="15" customHeight="1" x14ac:dyDescent="0.2">
      <c r="I84" s="34" t="s">
        <v>958</v>
      </c>
      <c r="J84" s="43">
        <f>COUNTIFS(Archives!$S$2:$S$1048576,"Doubles",Archives!$V$2:$V$1048576,"Delneky",Archives!$Y$2:$Y$1048576,"Ferrin",Archives!$AB$2:$AB$1048576,"W")+COUNTIFS(Archives!$S$2:$S$1048576,"Doubles",Archives!$V$2:$V$1048576,"Ferrin",Archives!$Y$2:$Y$1048576,"Delneky",Archives!$AB$2:$AB$1048576,"W")</f>
        <v>1</v>
      </c>
      <c r="K84" s="43">
        <f>COUNTIFS(Archives!$S$2:$S$1048576,"Doubles",Archives!$V$2:$V$1048576,"Delneky",Archives!$Y$2:$Y$1048576,"Ferrin",Archives!$AB$2:$AB$1048576,"L")+COUNTIFS(Archives!$S$2:$S$1048576,"Doubles",Archives!$V$2:$V$1048576,"Ferrin",Archives!$Y$2:$Y$1048576,"Delneky",Archives!$AB$2:$AB$1048576,"L")</f>
        <v>1</v>
      </c>
      <c r="L84" s="43">
        <f>COUNTIFS(Archives!$S$2:$S$1048576,"Doubles",Archives!$V$2:$V$1048576,"Delneky",Archives!$Y$2:$Y$1048576,"Ferrin",Archives!$AB$2:$AB$1048576,"T")+COUNTIFS(Archives!$S$2:$S$1048576,"Doubles",Archives!$V$2:$V$1048576,"Ferrin",Archives!$Y$2:$Y$1048576,"Delneky",Archives!$AB$2:$AB$1048576,"T")</f>
        <v>0</v>
      </c>
      <c r="M84" s="44">
        <f t="shared" si="6"/>
        <v>0.5</v>
      </c>
      <c r="N84" s="43">
        <f t="shared" si="7"/>
        <v>2</v>
      </c>
    </row>
    <row r="85" spans="9:14" ht="15" customHeight="1" x14ac:dyDescent="0.2">
      <c r="I85" s="31" t="s">
        <v>959</v>
      </c>
      <c r="J85" s="40">
        <f>COUNTIFS(Archives!$S$2:$S$1048576,"Doubles",Archives!$V$2:$V$1048576,"Delneky",Archives!$Y$2:$Y$1048576,"Jackson",Archives!$AB$2:$AB$1048576,"W")+COUNTIFS(Archives!$S$2:$S$1048576,"Doubles",Archives!$V$2:$V$1048576,"Jackson",Archives!$Y$2:$Y$1048576,"Delneky",Archives!$AB$2:$AB$1048576,"W")</f>
        <v>1</v>
      </c>
      <c r="K85" s="40">
        <f>COUNTIFS(Archives!$S$2:$S$1048576,"Doubles",Archives!$V$2:$V$1048576,"Delneky",Archives!$Y$2:$Y$1048576,"Jackson",Archives!$AB$2:$AB$1048576,"L")+COUNTIFS(Archives!$S$2:$S$1048576,"Doubles",Archives!$V$2:$V$1048576,"Jackson",Archives!$Y$2:$Y$1048576,"Delneky",Archives!$AB$2:$AB$1048576,"L")</f>
        <v>1</v>
      </c>
      <c r="L85" s="40">
        <f>COUNTIFS(Archives!$S$2:$S$1048576,"Doubles",Archives!$V$2:$V$1048576,"Delneky",Archives!$Y$2:$Y$1048576,"Jackson",Archives!$AB$2:$AB$1048576,"T")+COUNTIFS(Archives!$S$2:$S$1048576,"Doubles",Archives!$V$2:$V$1048576,"Jackson",Archives!$Y$2:$Y$1048576,"Delneky",Archives!$AB$2:$AB$1048576,"T")</f>
        <v>0</v>
      </c>
      <c r="M85" s="41">
        <f t="shared" si="6"/>
        <v>0.5</v>
      </c>
      <c r="N85" s="40">
        <f t="shared" si="7"/>
        <v>2</v>
      </c>
    </row>
    <row r="86" spans="9:14" ht="15" customHeight="1" x14ac:dyDescent="0.2">
      <c r="I86" s="34" t="s">
        <v>960</v>
      </c>
      <c r="J86" s="43">
        <f>COUNTIFS(Archives!$S$2:$S$1048576,"Doubles",Archives!$V$2:$V$1048576,"Delneky",Archives!$Y$2:$Y$1048576,"R. Connolly",Archives!$AB$2:$AB$1048576,"W")+COUNTIFS(Archives!$S$2:$S$1048576,"Doubles",Archives!$V$2:$V$1048576,"R. Connolly",Archives!$Y$2:$Y$1048576,"Delneky",Archives!$AB$2:$AB$1048576,"W")</f>
        <v>1</v>
      </c>
      <c r="K86" s="43">
        <f>COUNTIFS(Archives!$S$2:$S$1048576,"Doubles",Archives!$V$2:$V$1048576,"Delneky",Archives!$Y$2:$Y$1048576,"R. Connolly",Archives!$AB$2:$AB$1048576,"L")+COUNTIFS(Archives!$S$2:$S$1048576,"Doubles",Archives!$V$2:$V$1048576,"R. Connolly",Archives!$Y$2:$Y$1048576,"Delneky",Archives!$AB$2:$AB$1048576,"L")</f>
        <v>1</v>
      </c>
      <c r="L86" s="43">
        <f>COUNTIFS(Archives!$S$2:$S$1048576,"Doubles",Archives!$V$2:$V$1048576,"Delneky",Archives!$Y$2:$Y$1048576,"R. Connolly",Archives!$AB$2:$AB$1048576,"T")+COUNTIFS(Archives!$S$2:$S$1048576,"Doubles",Archives!$V$2:$V$1048576,"R. Connolly",Archives!$Y$2:$Y$1048576,"Delneky",Archives!$AB$2:$AB$1048576,"T")</f>
        <v>0</v>
      </c>
      <c r="M86" s="44">
        <f t="shared" si="6"/>
        <v>0.5</v>
      </c>
      <c r="N86" s="43">
        <f t="shared" si="7"/>
        <v>2</v>
      </c>
    </row>
    <row r="87" spans="9:14" ht="15" customHeight="1" x14ac:dyDescent="0.2">
      <c r="I87" s="31" t="s">
        <v>961</v>
      </c>
      <c r="J87" s="40">
        <f>COUNTIFS(Archives!$S$2:$S$1048576,"Doubles",Archives!$V$2:$V$1048576,"Delneky",Archives!$Y$2:$Y$1048576,"Zimmer",Archives!$AB$2:$AB$1048576,"W")+COUNTIFS(Archives!$S$2:$S$1048576,"Doubles",Archives!$V$2:$V$1048576,"Zimmer",Archives!$Y$2:$Y$1048576,"Delneky",Archives!$AB$2:$AB$1048576,"W")</f>
        <v>1</v>
      </c>
      <c r="K87" s="40">
        <f>COUNTIFS(Archives!$S$2:$S$1048576,"Doubles",Archives!$V$2:$V$1048576,"Delneky",Archives!$Y$2:$Y$1048576,"Zimmer",Archives!$AB$2:$AB$1048576,"L")+COUNTIFS(Archives!$S$2:$S$1048576,"Doubles",Archives!$V$2:$V$1048576,"Zimmer",Archives!$Y$2:$Y$1048576,"Delneky",Archives!$AB$2:$AB$1048576,"L")</f>
        <v>1</v>
      </c>
      <c r="L87" s="40">
        <f>COUNTIFS(Archives!$S$2:$S$1048576,"Doubles",Archives!$V$2:$V$1048576,"Delneky",Archives!$Y$2:$Y$1048576,"Zimmer",Archives!$AB$2:$AB$1048576,"T")+COUNTIFS(Archives!$S$2:$S$1048576,"Doubles",Archives!$V$2:$V$1048576,"Zimmer",Archives!$Y$2:$Y$1048576,"Delneky",Archives!$AB$2:$AB$1048576,"T")</f>
        <v>0</v>
      </c>
      <c r="M87" s="41">
        <f t="shared" si="6"/>
        <v>0.5</v>
      </c>
      <c r="N87" s="40">
        <f t="shared" si="7"/>
        <v>2</v>
      </c>
    </row>
    <row r="88" spans="9:14" ht="15" customHeight="1" x14ac:dyDescent="0.2">
      <c r="I88" s="34" t="s">
        <v>1291</v>
      </c>
      <c r="J88" s="43">
        <f>COUNTIFS(Archives!$S$2:$S$1048576,"Doubles",Archives!$V$2:$V$1048576,"DeOteris",Archives!$Y$2:$Y$1048576,"Welker",Archives!$AB$2:$AB$1048576,"W")+COUNTIFS(Archives!$S$2:$S$1048576,"Doubles",Archives!$V$2:$V$1048576,"Welker",Archives!$Y$2:$Y$1048576,"DeOteris",Archives!$AB$2:$AB$1048576,"W")</f>
        <v>1</v>
      </c>
      <c r="K88" s="43">
        <f>COUNTIFS(Archives!$S$2:$S$1048576,"Doubles",Archives!$V$2:$V$1048576,"DeOteris",Archives!$Y$2:$Y$1048576,"Welker",Archives!$AB$2:$AB$1048576,"L")+COUNTIFS(Archives!$S$2:$S$1048576,"Doubles",Archives!$V$2:$V$1048576,"Welker",Archives!$Y$2:$Y$1048576,"DeOteris",Archives!$AB$2:$AB$1048576,"L")</f>
        <v>1</v>
      </c>
      <c r="L88" s="43">
        <f>COUNTIFS(Archives!$S$2:$S$1048576,"Doubles",Archives!$V$2:$V$1048576,"DeOteris",Archives!$Y$2:$Y$1048576,"Welker",Archives!$AB$2:$AB$1048576,"T")+COUNTIFS(Archives!$S$2:$S$1048576,"Doubles",Archives!$V$2:$V$1048576,"Welker",Archives!$Y$2:$Y$1048576,"DeOteris",Archives!$AB$2:$AB$1048576,"T")</f>
        <v>0</v>
      </c>
      <c r="M88" s="44">
        <f t="shared" si="6"/>
        <v>0.5</v>
      </c>
      <c r="N88" s="43">
        <f t="shared" si="7"/>
        <v>2</v>
      </c>
    </row>
    <row r="89" spans="9:14" ht="15" customHeight="1" x14ac:dyDescent="0.2">
      <c r="I89" s="31" t="s">
        <v>962</v>
      </c>
      <c r="J89" s="40">
        <f>COUNTIFS(Archives!$S$2:$S$1048576,"Doubles",Archives!$V$2:$V$1048576,"Ferrin",Archives!$Y$2:$Y$1048576,"Shively",Archives!$AB$2:$AB$1048576,"W")+COUNTIFS(Archives!$S$2:$S$1048576,"Doubles",Archives!$V$2:$V$1048576,"Shively",Archives!$Y$2:$Y$1048576,"Ferrin",Archives!$AB$2:$AB$1048576,"W")</f>
        <v>1</v>
      </c>
      <c r="K89" s="40">
        <f>COUNTIFS(Archives!$S$2:$S$1048576,"Doubles",Archives!$V$2:$V$1048576,"Ferrin",Archives!$Y$2:$Y$1048576,"Shively",Archives!$AB$2:$AB$1048576,"L")+COUNTIFS(Archives!$S$2:$S$1048576,"Doubles",Archives!$V$2:$V$1048576,"Shively",Archives!$Y$2:$Y$1048576,"Ferrin",Archives!$AB$2:$AB$1048576,"L")</f>
        <v>1</v>
      </c>
      <c r="L89" s="40">
        <f>COUNTIFS(Archives!$S$2:$S$1048576,"Doubles",Archives!$V$2:$V$1048576,"Ferrin",Archives!$Y$2:$Y$1048576,"Shively",Archives!$AB$2:$AB$1048576,"T")+COUNTIFS(Archives!$S$2:$S$1048576,"Doubles",Archives!$V$2:$V$1048576,"Shively",Archives!$Y$2:$Y$1048576,"Ferrin",Archives!$AB$2:$AB$1048576,"T")</f>
        <v>0</v>
      </c>
      <c r="M89" s="41">
        <f t="shared" si="6"/>
        <v>0.5</v>
      </c>
      <c r="N89" s="40">
        <f t="shared" si="7"/>
        <v>2</v>
      </c>
    </row>
    <row r="90" spans="9:14" ht="15" customHeight="1" x14ac:dyDescent="0.2">
      <c r="I90" s="34" t="s">
        <v>963</v>
      </c>
      <c r="J90" s="43">
        <f>COUNTIFS(Archives!$S$2:$S$1048576,"Doubles",Archives!$V$2:$V$1048576,"Forster",Archives!$Y$2:$Y$1048576,"McInerney",Archives!$AB$2:$AB$1048576,"W")+COUNTIFS(Archives!$S$2:$S$1048576,"Doubles",Archives!$V$2:$V$1048576,"McInerney",Archives!$Y$2:$Y$1048576,"Forster",Archives!$AB$2:$AB$1048576,"W")</f>
        <v>1</v>
      </c>
      <c r="K90" s="43">
        <f>COUNTIFS(Archives!$S$2:$S$1048576,"Doubles",Archives!$V$2:$V$1048576,"Forster",Archives!$Y$2:$Y$1048576,"McInerney",Archives!$AB$2:$AB$1048576,"L")+COUNTIFS(Archives!$S$2:$S$1048576,"Doubles",Archives!$V$2:$V$1048576,"McInerney",Archives!$Y$2:$Y$1048576,"Forster",Archives!$AB$2:$AB$1048576,"L")</f>
        <v>1</v>
      </c>
      <c r="L90" s="43">
        <f>COUNTIFS(Archives!$S$2:$S$1048576,"Doubles",Archives!$V$2:$V$1048576,"Forster",Archives!$Y$2:$Y$1048576,"McInerney",Archives!$AB$2:$AB$1048576,"T")+COUNTIFS(Archives!$S$2:$S$1048576,"Doubles",Archives!$V$2:$V$1048576,"McInerney",Archives!$Y$2:$Y$1048576,"Forster",Archives!$AB$2:$AB$1048576,"T")</f>
        <v>0</v>
      </c>
      <c r="M90" s="44">
        <f t="shared" si="6"/>
        <v>0.5</v>
      </c>
      <c r="N90" s="43">
        <f t="shared" si="7"/>
        <v>2</v>
      </c>
    </row>
    <row r="91" spans="9:14" ht="15" customHeight="1" x14ac:dyDescent="0.2">
      <c r="I91" s="31" t="s">
        <v>964</v>
      </c>
      <c r="J91" s="40">
        <f>COUNTIFS(Archives!$S$2:$S$1048576,"Doubles",Archives!$V$2:$V$1048576,"Forster",Archives!$Y$2:$Y$1048576,"Hilts",Archives!$AB$2:$AB$1048576,"W")+COUNTIFS(Archives!$S$2:$S$1048576,"Doubles",Archives!$V$2:$V$1048576,"Hilts",Archives!$Y$2:$Y$1048576,"Forster",Archives!$AB$2:$AB$1048576,"W")</f>
        <v>1</v>
      </c>
      <c r="K91" s="40">
        <f>COUNTIFS(Archives!$S$2:$S$1048576,"Doubles",Archives!$V$2:$V$1048576,"Forster",Archives!$Y$2:$Y$1048576,"Hilts",Archives!$AB$2:$AB$1048576,"L")+COUNTIFS(Archives!$S$2:$S$1048576,"Doubles",Archives!$V$2:$V$1048576,"Hilts",Archives!$Y$2:$Y$1048576,"Forster",Archives!$AB$2:$AB$1048576,"L")</f>
        <v>1</v>
      </c>
      <c r="L91" s="40">
        <f>COUNTIFS(Archives!$S$2:$S$1048576,"Doubles",Archives!$V$2:$V$1048576,"Forster",Archives!$Y$2:$Y$1048576,"Hilts",Archives!$AB$2:$AB$1048576,"T")+COUNTIFS(Archives!$S$2:$S$1048576,"Doubles",Archives!$V$2:$V$1048576,"Hilts",Archives!$Y$2:$Y$1048576,"Forster",Archives!$AB$2:$AB$1048576,"T")</f>
        <v>0</v>
      </c>
      <c r="M91" s="41">
        <f t="shared" si="6"/>
        <v>0.5</v>
      </c>
      <c r="N91" s="40">
        <f t="shared" si="7"/>
        <v>2</v>
      </c>
    </row>
    <row r="92" spans="9:14" ht="15" customHeight="1" x14ac:dyDescent="0.2">
      <c r="I92" s="34" t="s">
        <v>965</v>
      </c>
      <c r="J92" s="43">
        <f>COUNTIFS(Archives!$S$2:$S$1048576,"Doubles",Archives!$V$2:$V$1048576,"Forster",Archives!$Y$2:$Y$1048576,"Grise",Archives!$AB$2:$AB$1048576,"W")+COUNTIFS(Archives!$S$2:$S$1048576,"Doubles",Archives!$V$2:$V$1048576,"Grise",Archives!$Y$2:$Y$1048576,"Forster",Archives!$AB$2:$AB$1048576,"W")</f>
        <v>1</v>
      </c>
      <c r="K92" s="43">
        <f>COUNTIFS(Archives!$S$2:$S$1048576,"Doubles",Archives!$V$2:$V$1048576,"Forster",Archives!$Y$2:$Y$1048576,"Grise",Archives!$AB$2:$AB$1048576,"L")+COUNTIFS(Archives!$S$2:$S$1048576,"Doubles",Archives!$V$2:$V$1048576,"Grise",Archives!$Y$2:$Y$1048576,"Forster",Archives!$AB$2:$AB$1048576,"L")</f>
        <v>1</v>
      </c>
      <c r="L92" s="43">
        <f>COUNTIFS(Archives!$S$2:$S$1048576,"Doubles",Archives!$V$2:$V$1048576,"Forster",Archives!$Y$2:$Y$1048576,"Grise",Archives!$AB$2:$AB$1048576,"T")+COUNTIFS(Archives!$S$2:$S$1048576,"Doubles",Archives!$V$2:$V$1048576,"Grise",Archives!$Y$2:$Y$1048576,"Forster",Archives!$AB$2:$AB$1048576,"T")</f>
        <v>0</v>
      </c>
      <c r="M92" s="44">
        <f t="shared" si="6"/>
        <v>0.5</v>
      </c>
      <c r="N92" s="43">
        <f t="shared" si="7"/>
        <v>2</v>
      </c>
    </row>
    <row r="93" spans="9:14" ht="15" customHeight="1" x14ac:dyDescent="0.2">
      <c r="I93" s="31" t="s">
        <v>966</v>
      </c>
      <c r="J93" s="40">
        <f>COUNTIFS(Archives!$S$2:$S$1048576,"Doubles",Archives!$V$2:$V$1048576,"Forster",Archives!$Y$2:$Y$1048576,"Shively",Archives!$AB$2:$AB$1048576,"W")+COUNTIFS(Archives!$S$2:$S$1048576,"Doubles",Archives!$V$2:$V$1048576,"Shively",Archives!$Y$2:$Y$1048576,"Forster",Archives!$AB$2:$AB$1048576,"W")</f>
        <v>1</v>
      </c>
      <c r="K93" s="40">
        <f>COUNTIFS(Archives!$S$2:$S$1048576,"Doubles",Archives!$V$2:$V$1048576,"Forster",Archives!$Y$2:$Y$1048576,"Shively",Archives!$AB$2:$AB$1048576,"L")+COUNTIFS(Archives!$S$2:$S$1048576,"Doubles",Archives!$V$2:$V$1048576,"Shively",Archives!$Y$2:$Y$1048576,"Forster",Archives!$AB$2:$AB$1048576,"L")</f>
        <v>1</v>
      </c>
      <c r="L93" s="40">
        <f>COUNTIFS(Archives!$S$2:$S$1048576,"Doubles",Archives!$V$2:$V$1048576,"Forster",Archives!$Y$2:$Y$1048576,"Shively",Archives!$AB$2:$AB$1048576,"T")+COUNTIFS(Archives!$S$2:$S$1048576,"Doubles",Archives!$V$2:$V$1048576,"Shively",Archives!$Y$2:$Y$1048576,"Forster",Archives!$AB$2:$AB$1048576,"T")</f>
        <v>0</v>
      </c>
      <c r="M93" s="41">
        <f t="shared" si="6"/>
        <v>0.5</v>
      </c>
      <c r="N93" s="40">
        <f t="shared" si="7"/>
        <v>2</v>
      </c>
    </row>
    <row r="94" spans="9:14" ht="15" customHeight="1" x14ac:dyDescent="0.2">
      <c r="I94" s="34" t="s">
        <v>967</v>
      </c>
      <c r="J94" s="43">
        <f>COUNTIFS(Archives!$S$2:$S$1048576,"Doubles",Archives!$V$2:$V$1048576,"Gray",Archives!$Y$2:$Y$1048576,"Hilts",Archives!$AB$2:$AB$1048576,"W")+COUNTIFS(Archives!$S$2:$S$1048576,"Doubles",Archives!$V$2:$V$1048576,"Hilts",Archives!$Y$2:$Y$1048576,"Gray",Archives!$AB$2:$AB$1048576,"W")</f>
        <v>1</v>
      </c>
      <c r="K94" s="43">
        <f>COUNTIFS(Archives!$S$2:$S$1048576,"Doubles",Archives!$V$2:$V$1048576,"Gray",Archives!$Y$2:$Y$1048576,"Hilts",Archives!$AB$2:$AB$1048576,"L")+COUNTIFS(Archives!$S$2:$S$1048576,"Doubles",Archives!$V$2:$V$1048576,"Hilts",Archives!$Y$2:$Y$1048576,"Gray",Archives!$AB$2:$AB$1048576,"L")</f>
        <v>1</v>
      </c>
      <c r="L94" s="43">
        <f>COUNTIFS(Archives!$S$2:$S$1048576,"Doubles",Archives!$V$2:$V$1048576,"Gray",Archives!$Y$2:$Y$1048576,"Hilts",Archives!$AB$2:$AB$1048576,"T")+COUNTIFS(Archives!$S$2:$S$1048576,"Doubles",Archives!$V$2:$V$1048576,"Hilts",Archives!$Y$2:$Y$1048576,"Gray",Archives!$AB$2:$AB$1048576,"T")</f>
        <v>0</v>
      </c>
      <c r="M94" s="44">
        <f t="shared" si="6"/>
        <v>0.5</v>
      </c>
      <c r="N94" s="43">
        <f t="shared" si="7"/>
        <v>2</v>
      </c>
    </row>
    <row r="95" spans="9:14" ht="15" customHeight="1" x14ac:dyDescent="0.2">
      <c r="I95" s="31" t="s">
        <v>968</v>
      </c>
      <c r="J95" s="40">
        <f>COUNTIFS(Archives!$S$2:$S$1048576,"Doubles",Archives!$V$2:$V$1048576,"Gray",Archives!$Y$2:$Y$1048576,"McInerney",Archives!$AB$2:$AB$1048576,"W")+COUNTIFS(Archives!$S$2:$S$1048576,"Doubles",Archives!$V$2:$V$1048576,"McInerney",Archives!$Y$2:$Y$1048576,"Gray",Archives!$AB$2:$AB$1048576,"W")</f>
        <v>0</v>
      </c>
      <c r="K95" s="40">
        <f>COUNTIFS(Archives!$S$2:$S$1048576,"Doubles",Archives!$V$2:$V$1048576,"Gray",Archives!$Y$2:$Y$1048576,"McInerney",Archives!$AB$2:$AB$1048576,"L")+COUNTIFS(Archives!$S$2:$S$1048576,"Doubles",Archives!$V$2:$V$1048576,"McInerney",Archives!$Y$2:$Y$1048576,"Gray",Archives!$AB$2:$AB$1048576,"L")</f>
        <v>0</v>
      </c>
      <c r="L95" s="40">
        <f>COUNTIFS(Archives!$S$2:$S$1048576,"Doubles",Archives!$V$2:$V$1048576,"Gray",Archives!$Y$2:$Y$1048576,"McInerney",Archives!$AB$2:$AB$1048576,"T")+COUNTIFS(Archives!$S$2:$S$1048576,"Doubles",Archives!$V$2:$V$1048576,"McInerney",Archives!$Y$2:$Y$1048576,"Gray",Archives!$AB$2:$AB$1048576,"T")</f>
        <v>2</v>
      </c>
      <c r="M95" s="41">
        <f t="shared" si="6"/>
        <v>0.5</v>
      </c>
      <c r="N95" s="40">
        <f t="shared" si="7"/>
        <v>2</v>
      </c>
    </row>
    <row r="96" spans="9:14" ht="15" customHeight="1" x14ac:dyDescent="0.2">
      <c r="I96" s="34" t="s">
        <v>969</v>
      </c>
      <c r="J96" s="43">
        <f>COUNTIFS(Archives!$S$2:$S$1048576,"Doubles",Archives!$V$2:$V$1048576,"Grise",Archives!$Y$2:$Y$1048576,"Shively",Archives!$AB$2:$AB$1048576,"W")+COUNTIFS(Archives!$S$2:$S$1048576,"Doubles",Archives!$V$2:$V$1048576,"Shively",Archives!$Y$2:$Y$1048576,"Grise",Archives!$AB$2:$AB$1048576,"W")</f>
        <v>1</v>
      </c>
      <c r="K96" s="43">
        <f>COUNTIFS(Archives!$S$2:$S$1048576,"Doubles",Archives!$V$2:$V$1048576,"Grise",Archives!$Y$2:$Y$1048576,"Shively",Archives!$AB$2:$AB$1048576,"L")+COUNTIFS(Archives!$S$2:$S$1048576,"Doubles",Archives!$V$2:$V$1048576,"Shively",Archives!$Y$2:$Y$1048576,"Grise",Archives!$AB$2:$AB$1048576,"L")</f>
        <v>1</v>
      </c>
      <c r="L96" s="43">
        <f>COUNTIFS(Archives!$S$2:$S$1048576,"Doubles",Archives!$V$2:$V$1048576,"Grise",Archives!$Y$2:$Y$1048576,"Shively",Archives!$AB$2:$AB$1048576,"T")+COUNTIFS(Archives!$S$2:$S$1048576,"Doubles",Archives!$V$2:$V$1048576,"Shively",Archives!$Y$2:$Y$1048576,"Grise",Archives!$AB$2:$AB$1048576,"T")</f>
        <v>0</v>
      </c>
      <c r="M96" s="44">
        <f t="shared" si="6"/>
        <v>0.5</v>
      </c>
      <c r="N96" s="43">
        <f t="shared" si="7"/>
        <v>2</v>
      </c>
    </row>
    <row r="97" spans="9:14" ht="15" customHeight="1" x14ac:dyDescent="0.2">
      <c r="I97" s="31" t="s">
        <v>970</v>
      </c>
      <c r="J97" s="40">
        <f>COUNTIFS(Archives!$S$2:$S$1048576,"Doubles",Archives!$V$2:$V$1048576,"Grise",Archives!$Y$2:$Y$1048576,"Lynch",Archives!$AB$2:$AB$1048576,"W")+COUNTIFS(Archives!$S$2:$S$1048576,"Doubles",Archives!$V$2:$V$1048576,"Lynch",Archives!$Y$2:$Y$1048576,"Grise",Archives!$AB$2:$AB$1048576,"W")</f>
        <v>1</v>
      </c>
      <c r="K97" s="40">
        <f>COUNTIFS(Archives!$S$2:$S$1048576,"Doubles",Archives!$V$2:$V$1048576,"Grise",Archives!$Y$2:$Y$1048576,"Lynch",Archives!$AB$2:$AB$1048576,"L")+COUNTIFS(Archives!$S$2:$S$1048576,"Doubles",Archives!$V$2:$V$1048576,"Lynch",Archives!$Y$2:$Y$1048576,"Grise",Archives!$AB$2:$AB$1048576,"L")</f>
        <v>1</v>
      </c>
      <c r="L97" s="40">
        <f>COUNTIFS(Archives!$S$2:$S$1048576,"Doubles",Archives!$V$2:$V$1048576,"Grise",Archives!$Y$2:$Y$1048576,"Lynch",Archives!$AB$2:$AB$1048576,"T")+COUNTIFS(Archives!$S$2:$S$1048576,"Doubles",Archives!$V$2:$V$1048576,"Lynch",Archives!$Y$2:$Y$1048576,"Grise",Archives!$AB$2:$AB$1048576,"T")</f>
        <v>0</v>
      </c>
      <c r="M97" s="41">
        <f t="shared" si="6"/>
        <v>0.5</v>
      </c>
      <c r="N97" s="40">
        <f t="shared" si="7"/>
        <v>2</v>
      </c>
    </row>
    <row r="98" spans="9:14" ht="15" customHeight="1" x14ac:dyDescent="0.2">
      <c r="I98" s="34" t="s">
        <v>971</v>
      </c>
      <c r="J98" s="43">
        <f>COUNTIFS(Archives!$S$2:$S$1048576,"Doubles",Archives!$V$2:$V$1048576,"Grise",Archives!$Y$2:$Y$1048576,"Zimmer",Archives!$AB$2:$AB$1048576,"W")+COUNTIFS(Archives!$S$2:$S$1048576,"Doubles",Archives!$V$2:$V$1048576,"Zimmer",Archives!$Y$2:$Y$1048576,"Grise",Archives!$AB$2:$AB$1048576,"W")</f>
        <v>1</v>
      </c>
      <c r="K98" s="43">
        <f>COUNTIFS(Archives!$S$2:$S$1048576,"Doubles",Archives!$V$2:$V$1048576,"Grise",Archives!$Y$2:$Y$1048576,"Zimmer",Archives!$AB$2:$AB$1048576,"L")+COUNTIFS(Archives!$S$2:$S$1048576,"Doubles",Archives!$V$2:$V$1048576,"Zimmer",Archives!$Y$2:$Y$1048576,"Grise",Archives!$AB$2:$AB$1048576,"L")</f>
        <v>1</v>
      </c>
      <c r="L98" s="43">
        <f>COUNTIFS(Archives!$S$2:$S$1048576,"Doubles",Archives!$V$2:$V$1048576,"Grise",Archives!$Y$2:$Y$1048576,"Zimmer",Archives!$AB$2:$AB$1048576,"T")+COUNTIFS(Archives!$S$2:$S$1048576,"Doubles",Archives!$V$2:$V$1048576,"Zimmer",Archives!$Y$2:$Y$1048576,"Grise",Archives!$AB$2:$AB$1048576,"T")</f>
        <v>0</v>
      </c>
      <c r="M98" s="44">
        <f t="shared" si="6"/>
        <v>0.5</v>
      </c>
      <c r="N98" s="43">
        <f t="shared" si="7"/>
        <v>2</v>
      </c>
    </row>
    <row r="99" spans="9:14" ht="15" customHeight="1" x14ac:dyDescent="0.2">
      <c r="I99" s="31" t="s">
        <v>972</v>
      </c>
      <c r="J99" s="40">
        <f>COUNTIFS(Archives!$S$2:$S$1048576,"Doubles",Archives!$V$2:$V$1048576,"Jackson",Archives!$Y$2:$Y$1048576,"Shively",Archives!$AB$2:$AB$1048576,"W")+COUNTIFS(Archives!$S$2:$S$1048576,"Doubles",Archives!$V$2:$V$1048576,"Shively",Archives!$Y$2:$Y$1048576,"Jackson",Archives!$AB$2:$AB$1048576,"W")</f>
        <v>1</v>
      </c>
      <c r="K99" s="40">
        <f>COUNTIFS(Archives!$S$2:$S$1048576,"Doubles",Archives!$V$2:$V$1048576,"Jackson",Archives!$Y$2:$Y$1048576,"Shively",Archives!$AB$2:$AB$1048576,"L")+COUNTIFS(Archives!$S$2:$S$1048576,"Doubles",Archives!$V$2:$V$1048576,"Shively",Archives!$Y$2:$Y$1048576,"Jackson",Archives!$AB$2:$AB$1048576,"L")</f>
        <v>1</v>
      </c>
      <c r="L99" s="40">
        <f>COUNTIFS(Archives!$S$2:$S$1048576,"Doubles",Archives!$V$2:$V$1048576,"Jackson",Archives!$Y$2:$Y$1048576,"Shively",Archives!$AB$2:$AB$1048576,"T")+COUNTIFS(Archives!$S$2:$S$1048576,"Doubles",Archives!$V$2:$V$1048576,"Shively",Archives!$Y$2:$Y$1048576,"Jackson",Archives!$AB$2:$AB$1048576,"T")</f>
        <v>0</v>
      </c>
      <c r="M99" s="41">
        <f t="shared" si="6"/>
        <v>0.5</v>
      </c>
      <c r="N99" s="40">
        <f t="shared" si="7"/>
        <v>2</v>
      </c>
    </row>
    <row r="100" spans="9:14" ht="15" customHeight="1" x14ac:dyDescent="0.2">
      <c r="I100" s="34" t="s">
        <v>973</v>
      </c>
      <c r="J100" s="43">
        <f>COUNTIFS(Archives!$S$2:$S$1048576,"Doubles",Archives!$V$2:$V$1048576,"Jackson",Archives!$Y$2:$Y$1048576,"Zimmer",Archives!$AB$2:$AB$1048576,"W")+COUNTIFS(Archives!$S$2:$S$1048576,"Doubles",Archives!$V$2:$V$1048576,"Zimmer",Archives!$Y$2:$Y$1048576,"Jackson",Archives!$AB$2:$AB$1048576,"W")</f>
        <v>1</v>
      </c>
      <c r="K100" s="43">
        <f>COUNTIFS(Archives!$S$2:$S$1048576,"Doubles",Archives!$V$2:$V$1048576,"Jackson",Archives!$Y$2:$Y$1048576,"Zimmer",Archives!$AB$2:$AB$1048576,"L")+COUNTIFS(Archives!$S$2:$S$1048576,"Doubles",Archives!$V$2:$V$1048576,"Zimmer",Archives!$Y$2:$Y$1048576,"Jackson",Archives!$AB$2:$AB$1048576,"L")</f>
        <v>1</v>
      </c>
      <c r="L100" s="43">
        <f>COUNTIFS(Archives!$S$2:$S$1048576,"Doubles",Archives!$V$2:$V$1048576,"Jackson",Archives!$Y$2:$Y$1048576,"Zimmer",Archives!$AB$2:$AB$1048576,"T")+COUNTIFS(Archives!$S$2:$S$1048576,"Doubles",Archives!$V$2:$V$1048576,"Zimmer",Archives!$Y$2:$Y$1048576,"Jackson",Archives!$AB$2:$AB$1048576,"T")</f>
        <v>0</v>
      </c>
      <c r="M100" s="44">
        <f t="shared" si="6"/>
        <v>0.5</v>
      </c>
      <c r="N100" s="43">
        <f t="shared" si="7"/>
        <v>2</v>
      </c>
    </row>
    <row r="101" spans="9:14" ht="15" customHeight="1" x14ac:dyDescent="0.2">
      <c r="I101" s="31" t="s">
        <v>974</v>
      </c>
      <c r="J101" s="40">
        <f>COUNTIFS(Archives!$S$2:$S$1048576,"Doubles",Archives!$V$2:$V$1048576,"Jackson",Archives!$Y$2:$Y$1048576,"R. Connolly",Archives!$AB$2:$AB$1048576,"W")+COUNTIFS(Archives!$S$2:$S$1048576,"Doubles",Archives!$V$2:$V$1048576,"R. Connolly",Archives!$Y$2:$Y$1048576,"Jackson",Archives!$AB$2:$AB$1048576,"W")</f>
        <v>1</v>
      </c>
      <c r="K101" s="40">
        <f>COUNTIFS(Archives!$S$2:$S$1048576,"Doubles",Archives!$V$2:$V$1048576,"Jackson",Archives!$Y$2:$Y$1048576,"R. Connolly",Archives!$AB$2:$AB$1048576,"L")+COUNTIFS(Archives!$S$2:$S$1048576,"Doubles",Archives!$V$2:$V$1048576,"R. Connolly",Archives!$Y$2:$Y$1048576,"Jackson",Archives!$AB$2:$AB$1048576,"L")</f>
        <v>1</v>
      </c>
      <c r="L101" s="40">
        <f>COUNTIFS(Archives!$S$2:$S$1048576,"Doubles",Archives!$V$2:$V$1048576,"Jackson",Archives!$Y$2:$Y$1048576,"R. Connolly",Archives!$AB$2:$AB$1048576,"T")+COUNTIFS(Archives!$S$2:$S$1048576,"Doubles",Archives!$V$2:$V$1048576,"R. Connolly",Archives!$Y$2:$Y$1048576,"Jackson",Archives!$AB$2:$AB$1048576,"T")</f>
        <v>0</v>
      </c>
      <c r="M101" s="41">
        <f t="shared" ref="M101:M132" si="8">IF(N101=0,0,(J101+0.5*L101)/N101)</f>
        <v>0.5</v>
      </c>
      <c r="N101" s="40">
        <f t="shared" ref="N101:N132" si="9">J101+K101+L101</f>
        <v>2</v>
      </c>
    </row>
    <row r="102" spans="9:14" ht="15" customHeight="1" x14ac:dyDescent="0.2">
      <c r="I102" s="34" t="s">
        <v>975</v>
      </c>
      <c r="J102" s="43">
        <f>COUNTIFS(Archives!$S$2:$S$1048576,"Doubles",Archives!$V$2:$V$1048576,"Lynch",Archives!$Y$2:$Y$1048576,"Ramsay",Archives!$AB$2:$AB$1048576,"W")+COUNTIFS(Archives!$S$2:$S$1048576,"Doubles",Archives!$V$2:$V$1048576,"Ramsay",Archives!$Y$2:$Y$1048576,"Lynch",Archives!$AB$2:$AB$1048576,"W")</f>
        <v>1</v>
      </c>
      <c r="K102" s="43">
        <f>COUNTIFS(Archives!$S$2:$S$1048576,"Doubles",Archives!$V$2:$V$1048576,"Lynch",Archives!$Y$2:$Y$1048576,"Ramsay",Archives!$AB$2:$AB$1048576,"L")+COUNTIFS(Archives!$S$2:$S$1048576,"Doubles",Archives!$V$2:$V$1048576,"Ramsay",Archives!$Y$2:$Y$1048576,"Lynch",Archives!$AB$2:$AB$1048576,"L")</f>
        <v>1</v>
      </c>
      <c r="L102" s="43">
        <f>COUNTIFS(Archives!$S$2:$S$1048576,"Doubles",Archives!$V$2:$V$1048576,"Lynch",Archives!$Y$2:$Y$1048576,"Ramsay",Archives!$AB$2:$AB$1048576,"T")+COUNTIFS(Archives!$S$2:$S$1048576,"Doubles",Archives!$V$2:$V$1048576,"Ramsay",Archives!$Y$2:$Y$1048576,"Lynch",Archives!$AB$2:$AB$1048576,"T")</f>
        <v>0</v>
      </c>
      <c r="M102" s="44">
        <f t="shared" si="8"/>
        <v>0.5</v>
      </c>
      <c r="N102" s="43">
        <f t="shared" si="9"/>
        <v>2</v>
      </c>
    </row>
    <row r="103" spans="9:14" ht="15" customHeight="1" x14ac:dyDescent="0.2">
      <c r="I103" s="31" t="s">
        <v>976</v>
      </c>
      <c r="J103" s="40">
        <f>COUNTIFS(Archives!$S$2:$S$1048576,"Doubles",Archives!$V$2:$V$1048576,"Mangold",Archives!$Y$2:$Y$1048576,"Shively",Archives!$AB$2:$AB$1048576,"W")+COUNTIFS(Archives!$S$2:$S$1048576,"Doubles",Archives!$V$2:$V$1048576,"Shively",Archives!$Y$2:$Y$1048576,"Mangold",Archives!$AB$2:$AB$1048576,"W")</f>
        <v>1</v>
      </c>
      <c r="K103" s="40">
        <f>COUNTIFS(Archives!$S$2:$S$1048576,"Doubles",Archives!$V$2:$V$1048576,"Mangold",Archives!$Y$2:$Y$1048576,"Shively",Archives!$AB$2:$AB$1048576,"L")+COUNTIFS(Archives!$S$2:$S$1048576,"Doubles",Archives!$V$2:$V$1048576,"Shively",Archives!$Y$2:$Y$1048576,"Mangold",Archives!$AB$2:$AB$1048576,"L")</f>
        <v>1</v>
      </c>
      <c r="L103" s="40">
        <f>COUNTIFS(Archives!$S$2:$S$1048576,"Doubles",Archives!$V$2:$V$1048576,"Mangold",Archives!$Y$2:$Y$1048576,"Shively",Archives!$AB$2:$AB$1048576,"T")+COUNTIFS(Archives!$S$2:$S$1048576,"Doubles",Archives!$V$2:$V$1048576,"Shively",Archives!$Y$2:$Y$1048576,"Mangold",Archives!$AB$2:$AB$1048576,"T")</f>
        <v>0</v>
      </c>
      <c r="M103" s="41">
        <f t="shared" si="8"/>
        <v>0.5</v>
      </c>
      <c r="N103" s="40">
        <f t="shared" si="9"/>
        <v>2</v>
      </c>
    </row>
    <row r="104" spans="9:14" ht="15" customHeight="1" x14ac:dyDescent="0.2">
      <c r="I104" s="34" t="s">
        <v>977</v>
      </c>
      <c r="J104" s="43">
        <f>COUNTIFS(Archives!$S$2:$S$1048576,"Doubles",Archives!$V$2:$V$1048576,"McInerney",Archives!$Y$2:$Y$1048576,"Ramsay",Archives!$AB$2:$AB$1048576,"W")+COUNTIFS(Archives!$S$2:$S$1048576,"Doubles",Archives!$V$2:$V$1048576,"Ramsay",Archives!$Y$2:$Y$1048576,"McInerney",Archives!$AB$2:$AB$1048576,"W")</f>
        <v>1</v>
      </c>
      <c r="K104" s="43">
        <f>COUNTIFS(Archives!$S$2:$S$1048576,"Doubles",Archives!$V$2:$V$1048576,"McInerney",Archives!$Y$2:$Y$1048576,"Ramsay",Archives!$AB$2:$AB$1048576,"L")+COUNTIFS(Archives!$S$2:$S$1048576,"Doubles",Archives!$V$2:$V$1048576,"Ramsay",Archives!$Y$2:$Y$1048576,"McInerney",Archives!$AB$2:$AB$1048576,"L")</f>
        <v>1</v>
      </c>
      <c r="L104" s="43">
        <f>COUNTIFS(Archives!$S$2:$S$1048576,"Doubles",Archives!$V$2:$V$1048576,"McInerney",Archives!$Y$2:$Y$1048576,"Ramsay",Archives!$AB$2:$AB$1048576,"T")+COUNTIFS(Archives!$S$2:$S$1048576,"Doubles",Archives!$V$2:$V$1048576,"Ramsay",Archives!$Y$2:$Y$1048576,"McInerney",Archives!$AB$2:$AB$1048576,"T")</f>
        <v>0</v>
      </c>
      <c r="M104" s="44">
        <f t="shared" si="8"/>
        <v>0.5</v>
      </c>
      <c r="N104" s="43">
        <f t="shared" si="9"/>
        <v>2</v>
      </c>
    </row>
    <row r="105" spans="9:14" ht="15" customHeight="1" x14ac:dyDescent="0.2">
      <c r="I105" s="31" t="s">
        <v>978</v>
      </c>
      <c r="J105" s="40">
        <f>COUNTIFS(Archives!$S$2:$S$1048576,"Doubles",Archives!$V$2:$V$1048576,"Piegari",Archives!$Y$2:$Y$1048576,"Shively",Archives!$AB$2:$AB$1048576,"W")+COUNTIFS(Archives!$S$2:$S$1048576,"Doubles",Archives!$V$2:$V$1048576,"Shively",Archives!$Y$2:$Y$1048576,"Piegari",Archives!$AB$2:$AB$1048576,"W")</f>
        <v>1</v>
      </c>
      <c r="K105" s="40">
        <f>COUNTIFS(Archives!$S$2:$S$1048576,"Doubles",Archives!$V$2:$V$1048576,"Piegari",Archives!$Y$2:$Y$1048576,"Shively",Archives!$AB$2:$AB$1048576,"L")+COUNTIFS(Archives!$S$2:$S$1048576,"Doubles",Archives!$V$2:$V$1048576,"Shively",Archives!$Y$2:$Y$1048576,"Piegari",Archives!$AB$2:$AB$1048576,"L")</f>
        <v>1</v>
      </c>
      <c r="L105" s="40">
        <f>COUNTIFS(Archives!$S$2:$S$1048576,"Doubles",Archives!$V$2:$V$1048576,"Piegari",Archives!$Y$2:$Y$1048576,"Shively",Archives!$AB$2:$AB$1048576,"T")+COUNTIFS(Archives!$S$2:$S$1048576,"Doubles",Archives!$V$2:$V$1048576,"Shively",Archives!$Y$2:$Y$1048576,"Piegari",Archives!$AB$2:$AB$1048576,"T")</f>
        <v>0</v>
      </c>
      <c r="M105" s="41">
        <f t="shared" si="8"/>
        <v>0.5</v>
      </c>
      <c r="N105" s="40">
        <f t="shared" si="9"/>
        <v>2</v>
      </c>
    </row>
    <row r="106" spans="9:14" ht="15" customHeight="1" x14ac:dyDescent="0.2">
      <c r="I106" s="34" t="s">
        <v>797</v>
      </c>
      <c r="J106" s="43">
        <f>COUNTIFS(Archives!$S$2:$S$1048576,"Doubles",Archives!$V$2:$V$1048576,"Flanders",Archives!$Y$2:$Y$1048576,"Forster",Archives!$AB$2:$AB$1048576,"W")+COUNTIFS(Archives!$S$2:$S$1048576,"Doubles",Archives!$V$2:$V$1048576,"Forster",Archives!$Y$2:$Y$1048576,"Flanders",Archives!$AB$2:$AB$1048576,"W")</f>
        <v>5</v>
      </c>
      <c r="K106" s="43">
        <f>COUNTIFS(Archives!$S$2:$S$1048576,"Doubles",Archives!$V$2:$V$1048576,"Flanders",Archives!$Y$2:$Y$1048576,"Forster",Archives!$AB$2:$AB$1048576,"L")+COUNTIFS(Archives!$S$2:$S$1048576,"Doubles",Archives!$V$2:$V$1048576,"Forster",Archives!$Y$2:$Y$1048576,"Flanders",Archives!$AB$2:$AB$1048576,"L")</f>
        <v>6</v>
      </c>
      <c r="L106" s="43">
        <f>COUNTIFS(Archives!$S$2:$S$1048576,"Doubles",Archives!$V$2:$V$1048576,"Flanders",Archives!$Y$2:$Y$1048576,"Forster",Archives!$AB$2:$AB$1048576,"T")+COUNTIFS(Archives!$S$2:$S$1048576,"Doubles",Archives!$V$2:$V$1048576,"Forster",Archives!$Y$2:$Y$1048576,"Flanders",Archives!$AB$2:$AB$1048576,"T")</f>
        <v>1</v>
      </c>
      <c r="M106" s="44">
        <f t="shared" si="8"/>
        <v>0.45833333333333331</v>
      </c>
      <c r="N106" s="43">
        <f t="shared" si="9"/>
        <v>12</v>
      </c>
    </row>
    <row r="107" spans="9:14" ht="15" customHeight="1" x14ac:dyDescent="0.2">
      <c r="I107" s="31" t="s">
        <v>1301</v>
      </c>
      <c r="J107" s="40">
        <f>COUNTIFS(Archives!$S$2:$S$1048576,"Doubles",Archives!$V$2:$V$1048576,"Bussiculo",Archives!$Y$2:$Y$1048576,"Mangold",Archives!$AB$2:$AB$1048576,"W")+COUNTIFS(Archives!$S$2:$S$1048576,"Doubles",Archives!$V$2:$V$1048576,"Mangold",Archives!$Y$2:$Y$1048576,"Bussiculo",Archives!$AB$2:$AB$1048576,"W")</f>
        <v>2</v>
      </c>
      <c r="K107" s="40">
        <f>COUNTIFS(Archives!$S$2:$S$1048576,"Doubles",Archives!$V$2:$V$1048576,"Bussiculo",Archives!$Y$2:$Y$1048576,"Mangold",Archives!$AB$2:$AB$1048576,"L")+COUNTIFS(Archives!$S$2:$S$1048576,"Doubles",Archives!$V$2:$V$1048576,"Mangold",Archives!$Y$2:$Y$1048576,"Bussiculo",Archives!$AB$2:$AB$1048576,"L")</f>
        <v>3</v>
      </c>
      <c r="L107" s="40">
        <f>COUNTIFS(Archives!$S$2:$S$1048576,"Doubles",Archives!$V$2:$V$1048576,"Bussiculo",Archives!$Y$2:$Y$1048576,"Mangold",Archives!$AB$2:$AB$1048576,"T")+COUNTIFS(Archives!$S$2:$S$1048576,"Doubles",Archives!$V$2:$V$1048576,"Mangold",Archives!$Y$2:$Y$1048576,"Bussiculo",Archives!$AB$2:$AB$1048576,"T")</f>
        <v>1</v>
      </c>
      <c r="M107" s="41">
        <f t="shared" si="8"/>
        <v>0.41666666666666669</v>
      </c>
      <c r="N107" s="40">
        <f t="shared" si="9"/>
        <v>6</v>
      </c>
    </row>
    <row r="108" spans="9:14" ht="15" customHeight="1" x14ac:dyDescent="0.2">
      <c r="I108" s="34" t="s">
        <v>798</v>
      </c>
      <c r="J108" s="43">
        <f>COUNTIFS(Archives!$S$2:$S$1048576,"Doubles",Archives!$V$2:$V$1048576,"Cole",Archives!$Y$2:$Y$1048576,"Lynch",Archives!$AB$2:$AB$1048576,"W")+COUNTIFS(Archives!$S$2:$S$1048576,"Doubles",Archives!$V$2:$V$1048576,"Lynch",Archives!$Y$2:$Y$1048576,"Cole",Archives!$AB$2:$AB$1048576,"W")</f>
        <v>2</v>
      </c>
      <c r="K108" s="43">
        <f>COUNTIFS(Archives!$S$2:$S$1048576,"Doubles",Archives!$V$2:$V$1048576,"Cole",Archives!$Y$2:$Y$1048576,"Lynch",Archives!$AB$2:$AB$1048576,"L")+COUNTIFS(Archives!$S$2:$S$1048576,"Doubles",Archives!$V$2:$V$1048576,"Lynch",Archives!$Y$2:$Y$1048576,"Cole",Archives!$AB$2:$AB$1048576,"L")</f>
        <v>3</v>
      </c>
      <c r="L108" s="43">
        <f>COUNTIFS(Archives!$S$2:$S$1048576,"Doubles",Archives!$V$2:$V$1048576,"Cole",Archives!$Y$2:$Y$1048576,"Lynch",Archives!$AB$2:$AB$1048576,"T")+COUNTIFS(Archives!$S$2:$S$1048576,"Doubles",Archives!$V$2:$V$1048576,"Lynch",Archives!$Y$2:$Y$1048576,"Cole",Archives!$AB$2:$AB$1048576,"T")</f>
        <v>1</v>
      </c>
      <c r="M108" s="44">
        <f t="shared" si="8"/>
        <v>0.41666666666666669</v>
      </c>
      <c r="N108" s="43">
        <f t="shared" si="9"/>
        <v>6</v>
      </c>
    </row>
    <row r="109" spans="9:14" ht="15" customHeight="1" x14ac:dyDescent="0.2">
      <c r="I109" s="31" t="s">
        <v>791</v>
      </c>
      <c r="J109" s="40">
        <f>COUNTIFS(Archives!$S$2:$S$1048576,"Doubles",Archives!$V$2:$V$1048576,"Connors",Archives!$Y$2:$Y$1048576,"Mangold",Archives!$AB$2:$AB$1048576,"W")+COUNTIFS(Archives!$S$2:$S$1048576,"Doubles",Archives!$V$2:$V$1048576,"Mangold",Archives!$Y$2:$Y$1048576,"Connors",Archives!$AB$2:$AB$1048576,"W")</f>
        <v>1</v>
      </c>
      <c r="K109" s="40">
        <f>COUNTIFS(Archives!$S$2:$S$1048576,"Doubles",Archives!$V$2:$V$1048576,"Connors",Archives!$Y$2:$Y$1048576,"Mangold",Archives!$AB$2:$AB$1048576,"L")+COUNTIFS(Archives!$S$2:$S$1048576,"Doubles",Archives!$V$2:$V$1048576,"Mangold",Archives!$Y$2:$Y$1048576,"Connors",Archives!$AB$2:$AB$1048576,"L")</f>
        <v>2</v>
      </c>
      <c r="L109" s="40">
        <f>COUNTIFS(Archives!$S$2:$S$1048576,"Doubles",Archives!$V$2:$V$1048576,"Connors",Archives!$Y$2:$Y$1048576,"Mangold",Archives!$AB$2:$AB$1048576,"T")+COUNTIFS(Archives!$S$2:$S$1048576,"Doubles",Archives!$V$2:$V$1048576,"Mangold",Archives!$Y$2:$Y$1048576,"Connors",Archives!$AB$2:$AB$1048576,"T")</f>
        <v>1</v>
      </c>
      <c r="M109" s="41">
        <f t="shared" si="8"/>
        <v>0.375</v>
      </c>
      <c r="N109" s="40">
        <f t="shared" si="9"/>
        <v>4</v>
      </c>
    </row>
    <row r="110" spans="9:14" ht="15" customHeight="1" x14ac:dyDescent="0.2">
      <c r="I110" s="34" t="s">
        <v>1289</v>
      </c>
      <c r="J110" s="43">
        <f>COUNTIFS(Archives!$S$2:$S$1048576,"Doubles",Archives!$V$2:$V$1048576,"DeOteris",Archives!$Y$2:$Y$1048576,"Zimmer",Archives!$AB$2:$AB$1048576,"W")+COUNTIFS(Archives!$S$2:$S$1048576,"Doubles",Archives!$V$2:$V$1048576,"Zimmer",Archives!$Y$2:$Y$1048576,"DeOteris",Archives!$AB$2:$AB$1048576,"W")</f>
        <v>1</v>
      </c>
      <c r="K110" s="43">
        <f>COUNTIFS(Archives!$S$2:$S$1048576,"Doubles",Archives!$V$2:$V$1048576,"DeOteris",Archives!$Y$2:$Y$1048576,"Zimmer",Archives!$AB$2:$AB$1048576,"L")+COUNTIFS(Archives!$S$2:$S$1048576,"Doubles",Archives!$V$2:$V$1048576,"Zimmer",Archives!$Y$2:$Y$1048576,"DeOteris",Archives!$AB$2:$AB$1048576,"L")</f>
        <v>2</v>
      </c>
      <c r="L110" s="43">
        <f>COUNTIFS(Archives!$S$2:$S$1048576,"Doubles",Archives!$V$2:$V$1048576,"DeOteris",Archives!$Y$2:$Y$1048576,"Zimmer",Archives!$AB$2:$AB$1048576,"T")+COUNTIFS(Archives!$S$2:$S$1048576,"Doubles",Archives!$V$2:$V$1048576,"Zimmer",Archives!$Y$2:$Y$1048576,"DeOteris",Archives!$AB$2:$AB$1048576,"T")</f>
        <v>1</v>
      </c>
      <c r="M110" s="44">
        <f t="shared" si="8"/>
        <v>0.375</v>
      </c>
      <c r="N110" s="43">
        <f t="shared" si="9"/>
        <v>4</v>
      </c>
    </row>
    <row r="111" spans="9:14" ht="15" customHeight="1" x14ac:dyDescent="0.2">
      <c r="I111" s="31" t="s">
        <v>802</v>
      </c>
      <c r="J111" s="40">
        <f>COUNTIFS(Archives!$S$2:$S$1048576,"Doubles",Archives!$V$2:$V$1048576,"Lynch",Archives!$Y$2:$Y$1048576,"Perkins",Archives!$AB$2:$AB$1048576,"W")+COUNTIFS(Archives!$S$2:$S$1048576,"Doubles",Archives!$V$2:$V$1048576,"Perkins",Archives!$Y$2:$Y$1048576,"Lynch",Archives!$AB$2:$AB$1048576,"W")</f>
        <v>1</v>
      </c>
      <c r="K111" s="40">
        <f>COUNTIFS(Archives!$S$2:$S$1048576,"Doubles",Archives!$V$2:$V$1048576,"Lynch",Archives!$Y$2:$Y$1048576,"Perkins",Archives!$AB$2:$AB$1048576,"L")+COUNTIFS(Archives!$S$2:$S$1048576,"Doubles",Archives!$V$2:$V$1048576,"Perkins",Archives!$Y$2:$Y$1048576,"Lynch",Archives!$AB$2:$AB$1048576,"L")</f>
        <v>2</v>
      </c>
      <c r="L111" s="40">
        <f>COUNTIFS(Archives!$S$2:$S$1048576,"Doubles",Archives!$V$2:$V$1048576,"Lynch",Archives!$Y$2:$Y$1048576,"Perkins",Archives!$AB$2:$AB$1048576,"T")+COUNTIFS(Archives!$S$2:$S$1048576,"Doubles",Archives!$V$2:$V$1048576,"Perkins",Archives!$Y$2:$Y$1048576,"Lynch",Archives!$AB$2:$AB$1048576,"T")</f>
        <v>1</v>
      </c>
      <c r="M111" s="41">
        <f t="shared" si="8"/>
        <v>0.375</v>
      </c>
      <c r="N111" s="40">
        <f t="shared" si="9"/>
        <v>4</v>
      </c>
    </row>
    <row r="112" spans="9:14" ht="15" customHeight="1" x14ac:dyDescent="0.2">
      <c r="I112" s="34" t="s">
        <v>794</v>
      </c>
      <c r="J112" s="43">
        <f>COUNTIFS(Archives!$S$2:$S$1048576,"Doubles",Archives!$V$2:$V$1048576,"Macklin",Archives!$Y$2:$Y$1048576,"Poirier",Archives!$AB$2:$AB$1048576,"W")+COUNTIFS(Archives!$S$2:$S$1048576,"Doubles",Archives!$V$2:$V$1048576,"Poirier",Archives!$Y$2:$Y$1048576,"Macklin",Archives!$AB$2:$AB$1048576,"W")</f>
        <v>1</v>
      </c>
      <c r="K112" s="43">
        <f>COUNTIFS(Archives!$S$2:$S$1048576,"Doubles",Archives!$V$2:$V$1048576,"Macklin",Archives!$Y$2:$Y$1048576,"Poirier",Archives!$AB$2:$AB$1048576,"L")+COUNTIFS(Archives!$S$2:$S$1048576,"Doubles",Archives!$V$2:$V$1048576,"Poirier",Archives!$Y$2:$Y$1048576,"Macklin",Archives!$AB$2:$AB$1048576,"L")</f>
        <v>2</v>
      </c>
      <c r="L112" s="43">
        <f>COUNTIFS(Archives!$S$2:$S$1048576,"Doubles",Archives!$V$2:$V$1048576,"Macklin",Archives!$Y$2:$Y$1048576,"Poirier",Archives!$AB$2:$AB$1048576,"T")+COUNTIFS(Archives!$S$2:$S$1048576,"Doubles",Archives!$V$2:$V$1048576,"Poirier",Archives!$Y$2:$Y$1048576,"Macklin",Archives!$AB$2:$AB$1048576,"T")</f>
        <v>1</v>
      </c>
      <c r="M112" s="44">
        <f t="shared" si="8"/>
        <v>0.375</v>
      </c>
      <c r="N112" s="43">
        <f t="shared" si="9"/>
        <v>4</v>
      </c>
    </row>
    <row r="113" spans="9:14" ht="15" customHeight="1" x14ac:dyDescent="0.2">
      <c r="I113" s="31" t="s">
        <v>799</v>
      </c>
      <c r="J113" s="40">
        <f>COUNTIFS(Archives!$S$2:$S$1048576,"Doubles",Archives!$V$2:$V$1048576,"Flanders",Archives!$Y$2:$Y$1048576,"Mangold",Archives!$AB$2:$AB$1048576,"W")+COUNTIFS(Archives!$S$2:$S$1048576,"Doubles",Archives!$V$2:$V$1048576,"Mangold",Archives!$Y$2:$Y$1048576,"Flanders",Archives!$AB$2:$AB$1048576,"W")</f>
        <v>2</v>
      </c>
      <c r="K113" s="40">
        <f>COUNTIFS(Archives!$S$2:$S$1048576,"Doubles",Archives!$V$2:$V$1048576,"Flanders",Archives!$Y$2:$Y$1048576,"Mangold",Archives!$AB$2:$AB$1048576,"L")+COUNTIFS(Archives!$S$2:$S$1048576,"Doubles",Archives!$V$2:$V$1048576,"Mangold",Archives!$Y$2:$Y$1048576,"Flanders",Archives!$AB$2:$AB$1048576,"L")</f>
        <v>4</v>
      </c>
      <c r="L113" s="40">
        <f>COUNTIFS(Archives!$S$2:$S$1048576,"Doubles",Archives!$V$2:$V$1048576,"Flanders",Archives!$Y$2:$Y$1048576,"Mangold",Archives!$AB$2:$AB$1048576,"T")+COUNTIFS(Archives!$S$2:$S$1048576,"Doubles",Archives!$V$2:$V$1048576,"Mangold",Archives!$Y$2:$Y$1048576,"Flanders",Archives!$AB$2:$AB$1048576,"T")</f>
        <v>0</v>
      </c>
      <c r="M113" s="41">
        <f t="shared" si="8"/>
        <v>0.33333333333333331</v>
      </c>
      <c r="N113" s="40">
        <f t="shared" si="9"/>
        <v>6</v>
      </c>
    </row>
    <row r="114" spans="9:14" ht="15" customHeight="1" x14ac:dyDescent="0.2">
      <c r="I114" s="34" t="s">
        <v>801</v>
      </c>
      <c r="J114" s="43">
        <f>COUNTIFS(Archives!$S$2:$S$1048576,"Doubles",Archives!$V$2:$V$1048576,"McInerney",Archives!$Y$2:$Y$1048576,"Shively",Archives!$AB$2:$AB$1048576,"W")+COUNTIFS(Archives!$S$2:$S$1048576,"Doubles",Archives!$V$2:$V$1048576,"Shively",Archives!$Y$2:$Y$1048576,"McInerney",Archives!$AB$2:$AB$1048576,"W")</f>
        <v>2</v>
      </c>
      <c r="K114" s="43">
        <f>COUNTIFS(Archives!$S$2:$S$1048576,"Doubles",Archives!$V$2:$V$1048576,"McInerney",Archives!$Y$2:$Y$1048576,"Shively",Archives!$AB$2:$AB$1048576,"L")+COUNTIFS(Archives!$S$2:$S$1048576,"Doubles",Archives!$V$2:$V$1048576,"Shively",Archives!$Y$2:$Y$1048576,"McInerney",Archives!$AB$2:$AB$1048576,"L")</f>
        <v>4</v>
      </c>
      <c r="L114" s="43">
        <f>COUNTIFS(Archives!$S$2:$S$1048576,"Doubles",Archives!$V$2:$V$1048576,"McInerney",Archives!$Y$2:$Y$1048576,"Shively",Archives!$AB$2:$AB$1048576,"T")+COUNTIFS(Archives!$S$2:$S$1048576,"Doubles",Archives!$V$2:$V$1048576,"Shively",Archives!$Y$2:$Y$1048576,"McInerney",Archives!$AB$2:$AB$1048576,"T")</f>
        <v>0</v>
      </c>
      <c r="M114" s="44">
        <f t="shared" si="8"/>
        <v>0.33333333333333331</v>
      </c>
      <c r="N114" s="43">
        <f t="shared" si="9"/>
        <v>6</v>
      </c>
    </row>
    <row r="115" spans="9:14" ht="15" customHeight="1" x14ac:dyDescent="0.2">
      <c r="I115" s="31" t="s">
        <v>979</v>
      </c>
      <c r="J115" s="40">
        <f>COUNTIFS(Archives!$S$2:$S$1048576,"Doubles",Archives!$V$2:$V$1048576,"Fogan",Archives!$Y$2:$Y$1048576,"Welker",Archives!$AB$2:$AB$1048576,"W")+COUNTIFS(Archives!$S$2:$S$1048576,"Doubles",Archives!$V$2:$V$1048576,"Welker",Archives!$Y$2:$Y$1048576,"Fogan",Archives!$AB$2:$AB$1048576,"W")</f>
        <v>1</v>
      </c>
      <c r="K115" s="40">
        <f>COUNTIFS(Archives!$S$2:$S$1048576,"Doubles",Archives!$V$2:$V$1048576,"Fogan",Archives!$Y$2:$Y$1048576,"Welker",Archives!$AB$2:$AB$1048576,"L")+COUNTIFS(Archives!$S$2:$S$1048576,"Doubles",Archives!$V$2:$V$1048576,"Welker",Archives!$Y$2:$Y$1048576,"Fogan",Archives!$AB$2:$AB$1048576,"L")</f>
        <v>2</v>
      </c>
      <c r="L115" s="40">
        <f>COUNTIFS(Archives!$S$2:$S$1048576,"Doubles",Archives!$V$2:$V$1048576,"Fogan",Archives!$Y$2:$Y$1048576,"Welker",Archives!$AB$2:$AB$1048576,"T")+COUNTIFS(Archives!$S$2:$S$1048576,"Doubles",Archives!$V$2:$V$1048576,"Welker",Archives!$Y$2:$Y$1048576,"Fogan",Archives!$AB$2:$AB$1048576,"T")</f>
        <v>0</v>
      </c>
      <c r="M115" s="41">
        <f t="shared" si="8"/>
        <v>0.33333333333333331</v>
      </c>
      <c r="N115" s="40">
        <f t="shared" si="9"/>
        <v>3</v>
      </c>
    </row>
    <row r="116" spans="9:14" ht="15" customHeight="1" x14ac:dyDescent="0.2">
      <c r="I116" s="34" t="s">
        <v>980</v>
      </c>
      <c r="J116" s="43">
        <f>COUNTIFS(Archives!$S$2:$S$1048576,"Doubles",Archives!$V$2:$V$1048576,"Forster",Archives!$Y$2:$Y$1048576,"Welker",Archives!$AB$2:$AB$1048576,"W")+COUNTIFS(Archives!$S$2:$S$1048576,"Doubles",Archives!$V$2:$V$1048576,"Welker",Archives!$Y$2:$Y$1048576,"Forster",Archives!$AB$2:$AB$1048576,"W")</f>
        <v>1</v>
      </c>
      <c r="K116" s="43">
        <f>COUNTIFS(Archives!$S$2:$S$1048576,"Doubles",Archives!$V$2:$V$1048576,"Forster",Archives!$Y$2:$Y$1048576,"Welker",Archives!$AB$2:$AB$1048576,"L")+COUNTIFS(Archives!$S$2:$S$1048576,"Doubles",Archives!$V$2:$V$1048576,"Welker",Archives!$Y$2:$Y$1048576,"Forster",Archives!$AB$2:$AB$1048576,"L")</f>
        <v>2</v>
      </c>
      <c r="L116" s="43">
        <f>COUNTIFS(Archives!$S$2:$S$1048576,"Doubles",Archives!$V$2:$V$1048576,"Forster",Archives!$Y$2:$Y$1048576,"Welker",Archives!$AB$2:$AB$1048576,"T")+COUNTIFS(Archives!$S$2:$S$1048576,"Doubles",Archives!$V$2:$V$1048576,"Welker",Archives!$Y$2:$Y$1048576,"Forster",Archives!$AB$2:$AB$1048576,"T")</f>
        <v>0</v>
      </c>
      <c r="M116" s="44">
        <f t="shared" si="8"/>
        <v>0.33333333333333331</v>
      </c>
      <c r="N116" s="43">
        <f t="shared" si="9"/>
        <v>3</v>
      </c>
    </row>
    <row r="117" spans="9:14" ht="15" customHeight="1" x14ac:dyDescent="0.2">
      <c r="I117" s="31" t="s">
        <v>804</v>
      </c>
      <c r="J117" s="40">
        <f>COUNTIFS(Archives!$S$2:$S$1048576,"Doubles",Archives!$V$2:$V$1048576,"Flanders",Archives!$Y$2:$Y$1048576,"Hilts",Archives!$AB$2:$AB$1048576,"W")+COUNTIFS(Archives!$S$2:$S$1048576,"Doubles",Archives!$V$2:$V$1048576,"Hilts",Archives!$Y$2:$Y$1048576,"Flanders",Archives!$AB$2:$AB$1048576,"W")</f>
        <v>1</v>
      </c>
      <c r="K117" s="40">
        <f>COUNTIFS(Archives!$S$2:$S$1048576,"Doubles",Archives!$V$2:$V$1048576,"Flanders",Archives!$Y$2:$Y$1048576,"Hilts",Archives!$AB$2:$AB$1048576,"L")+COUNTIFS(Archives!$S$2:$S$1048576,"Doubles",Archives!$V$2:$V$1048576,"Hilts",Archives!$Y$2:$Y$1048576,"Flanders",Archives!$AB$2:$AB$1048576,"L")</f>
        <v>3</v>
      </c>
      <c r="L117" s="40">
        <f>COUNTIFS(Archives!$S$2:$S$1048576,"Doubles",Archives!$V$2:$V$1048576,"Flanders",Archives!$Y$2:$Y$1048576,"Hilts",Archives!$AB$2:$AB$1048576,"T")+COUNTIFS(Archives!$S$2:$S$1048576,"Doubles",Archives!$V$2:$V$1048576,"Hilts",Archives!$Y$2:$Y$1048576,"Flanders",Archives!$AB$2:$AB$1048576,"T")</f>
        <v>0</v>
      </c>
      <c r="M117" s="41">
        <f t="shared" si="8"/>
        <v>0.25</v>
      </c>
      <c r="N117" s="40">
        <f t="shared" si="9"/>
        <v>4</v>
      </c>
    </row>
    <row r="118" spans="9:14" ht="15" customHeight="1" x14ac:dyDescent="0.2">
      <c r="I118" s="34" t="s">
        <v>803</v>
      </c>
      <c r="J118" s="43">
        <f>COUNTIFS(Archives!$S$2:$S$1048576,"Doubles",Archives!$V$2:$V$1048576,"Fogan",Archives!$Y$2:$Y$1048576,"Lynch",Archives!$AB$2:$AB$1048576,"W")+COUNTIFS(Archives!$S$2:$S$1048576,"Doubles",Archives!$V$2:$V$1048576,"Lynch",Archives!$Y$2:$Y$1048576,"Fogan",Archives!$AB$2:$AB$1048576,"W")</f>
        <v>1</v>
      </c>
      <c r="K118" s="43">
        <f>COUNTIFS(Archives!$S$2:$S$1048576,"Doubles",Archives!$V$2:$V$1048576,"Fogan",Archives!$Y$2:$Y$1048576,"Lynch",Archives!$AB$2:$AB$1048576,"L")+COUNTIFS(Archives!$S$2:$S$1048576,"Doubles",Archives!$V$2:$V$1048576,"Lynch",Archives!$Y$2:$Y$1048576,"Fogan",Archives!$AB$2:$AB$1048576,"L")</f>
        <v>3</v>
      </c>
      <c r="L118" s="43">
        <f>COUNTIFS(Archives!$S$2:$S$1048576,"Doubles",Archives!$V$2:$V$1048576,"Fogan",Archives!$Y$2:$Y$1048576,"Lynch",Archives!$AB$2:$AB$1048576,"T")+COUNTIFS(Archives!$S$2:$S$1048576,"Doubles",Archives!$V$2:$V$1048576,"Lynch",Archives!$Y$2:$Y$1048576,"Fogan",Archives!$AB$2:$AB$1048576,"T")</f>
        <v>0</v>
      </c>
      <c r="M118" s="44">
        <f t="shared" si="8"/>
        <v>0.25</v>
      </c>
      <c r="N118" s="43">
        <f t="shared" si="9"/>
        <v>4</v>
      </c>
    </row>
    <row r="119" spans="9:14" ht="15" customHeight="1" x14ac:dyDescent="0.2">
      <c r="I119" s="31" t="s">
        <v>805</v>
      </c>
      <c r="J119" s="40">
        <f>COUNTIFS(Archives!$S$2:$S$1048576,"Doubles",Archives!$V$2:$V$1048576,"Grise",Archives!$Y$2:$Y$1048576,"Mangold",Archives!$AB$2:$AB$1048576,"W")+COUNTIFS(Archives!$S$2:$S$1048576,"Doubles",Archives!$V$2:$V$1048576,"Mangold",Archives!$Y$2:$Y$1048576,"Grise",Archives!$AB$2:$AB$1048576,"W")</f>
        <v>1</v>
      </c>
      <c r="K119" s="40">
        <f>COUNTIFS(Archives!$S$2:$S$1048576,"Doubles",Archives!$V$2:$V$1048576,"Grise",Archives!$Y$2:$Y$1048576,"Mangold",Archives!$AB$2:$AB$1048576,"L")+COUNTIFS(Archives!$S$2:$S$1048576,"Doubles",Archives!$V$2:$V$1048576,"Mangold",Archives!$Y$2:$Y$1048576,"Grise",Archives!$AB$2:$AB$1048576,"L")</f>
        <v>3</v>
      </c>
      <c r="L119" s="40">
        <f>COUNTIFS(Archives!$S$2:$S$1048576,"Doubles",Archives!$V$2:$V$1048576,"Grise",Archives!$Y$2:$Y$1048576,"Mangold",Archives!$AB$2:$AB$1048576,"T")+COUNTIFS(Archives!$S$2:$S$1048576,"Doubles",Archives!$V$2:$V$1048576,"Mangold",Archives!$Y$2:$Y$1048576,"Grise",Archives!$AB$2:$AB$1048576,"T")</f>
        <v>0</v>
      </c>
      <c r="M119" s="41">
        <f t="shared" si="8"/>
        <v>0.25</v>
      </c>
      <c r="N119" s="40">
        <f t="shared" si="9"/>
        <v>4</v>
      </c>
    </row>
    <row r="120" spans="9:14" ht="15" customHeight="1" x14ac:dyDescent="0.2">
      <c r="I120" s="34" t="s">
        <v>1305</v>
      </c>
      <c r="J120" s="43">
        <f>COUNTIFS(Archives!$S$2:$S$1048576,"Doubles",Archives!$V$2:$V$1048576,"Bussiculo",Archives!$Y$2:$Y$1048576,"Connors",Archives!$AB$2:$AB$1048576,"W")+COUNTIFS(Archives!$S$2:$S$1048576,"Doubles",Archives!$V$2:$V$1048576,"Connors",Archives!$Y$2:$Y$1048576,"Bussiculo",Archives!$AB$2:$AB$1048576,"W")</f>
        <v>0</v>
      </c>
      <c r="K120" s="43">
        <f>COUNTIFS(Archives!$S$2:$S$1048576,"Doubles",Archives!$V$2:$V$1048576,"Bussiculo",Archives!$Y$2:$Y$1048576,"Connors",Archives!$AB$2:$AB$1048576,"L")+COUNTIFS(Archives!$S$2:$S$1048576,"Doubles",Archives!$V$2:$V$1048576,"Connors",Archives!$Y$2:$Y$1048576,"Bussiculo",Archives!$AB$2:$AB$1048576,"L")</f>
        <v>1</v>
      </c>
      <c r="L120" s="43">
        <f>COUNTIFS(Archives!$S$2:$S$1048576,"Doubles",Archives!$V$2:$V$1048576,"Bussiculo",Archives!$Y$2:$Y$1048576,"Connors",Archives!$AB$2:$AB$1048576,"T")+COUNTIFS(Archives!$S$2:$S$1048576,"Doubles",Archives!$V$2:$V$1048576,"Connors",Archives!$Y$2:$Y$1048576,"Bussiculo",Archives!$AB$2:$AB$1048576,"T")</f>
        <v>1</v>
      </c>
      <c r="M120" s="44">
        <f t="shared" si="8"/>
        <v>0.25</v>
      </c>
      <c r="N120" s="43">
        <f t="shared" si="9"/>
        <v>2</v>
      </c>
    </row>
    <row r="121" spans="9:14" ht="15" customHeight="1" x14ac:dyDescent="0.2">
      <c r="I121" s="31" t="s">
        <v>981</v>
      </c>
      <c r="J121" s="40">
        <f>COUNTIFS(Archives!$S$2:$S$1048576,"Doubles",Archives!$V$2:$V$1048576,"Cole",Archives!$Y$2:$Y$1048576,"Mangold",Archives!$AB$2:$AB$1048576,"W")+COUNTIFS(Archives!$S$2:$S$1048576,"Doubles",Archives!$V$2:$V$1048576,"Mangold",Archives!$Y$2:$Y$1048576,"Cole",Archives!$AB$2:$AB$1048576,"W")</f>
        <v>0</v>
      </c>
      <c r="K121" s="40">
        <f>COUNTIFS(Archives!$S$2:$S$1048576,"Doubles",Archives!$V$2:$V$1048576,"Cole",Archives!$Y$2:$Y$1048576,"Mangold",Archives!$AB$2:$AB$1048576,"L")+COUNTIFS(Archives!$S$2:$S$1048576,"Doubles",Archives!$V$2:$V$1048576,"Mangold",Archives!$Y$2:$Y$1048576,"Cole",Archives!$AB$2:$AB$1048576,"L")</f>
        <v>1</v>
      </c>
      <c r="L121" s="40">
        <f>COUNTIFS(Archives!$S$2:$S$1048576,"Doubles",Archives!$V$2:$V$1048576,"Cole",Archives!$Y$2:$Y$1048576,"Mangold",Archives!$AB$2:$AB$1048576,"T")+COUNTIFS(Archives!$S$2:$S$1048576,"Doubles",Archives!$V$2:$V$1048576,"Mangold",Archives!$Y$2:$Y$1048576,"Cole",Archives!$AB$2:$AB$1048576,"T")</f>
        <v>1</v>
      </c>
      <c r="M121" s="41">
        <f t="shared" si="8"/>
        <v>0.25</v>
      </c>
      <c r="N121" s="40">
        <f t="shared" si="9"/>
        <v>2</v>
      </c>
    </row>
    <row r="122" spans="9:14" ht="15" customHeight="1" x14ac:dyDescent="0.2">
      <c r="I122" s="34" t="s">
        <v>982</v>
      </c>
      <c r="J122" s="43">
        <f>COUNTIFS(Archives!$S$2:$S$1048576,"Doubles",Archives!$V$2:$V$1048576,"Delaney",Archives!$Y$2:$Y$1048576,"Piegari",Archives!$AB$2:$AB$1048576,"W")+COUNTIFS(Archives!$S$2:$S$1048576,"Doubles",Archives!$V$2:$V$1048576,"Piegari",Archives!$Y$2:$Y$1048576,"Delaney",Archives!$AB$2:$AB$1048576,"W")</f>
        <v>0</v>
      </c>
      <c r="K122" s="43">
        <f>COUNTIFS(Archives!$S$2:$S$1048576,"Doubles",Archives!$V$2:$V$1048576,"Delaney",Archives!$Y$2:$Y$1048576,"Piegari",Archives!$AB$2:$AB$1048576,"L")+COUNTIFS(Archives!$S$2:$S$1048576,"Doubles",Archives!$V$2:$V$1048576,"Piegari",Archives!$Y$2:$Y$1048576,"Delaney",Archives!$AB$2:$AB$1048576,"L")</f>
        <v>1</v>
      </c>
      <c r="L122" s="43">
        <f>COUNTIFS(Archives!$S$2:$S$1048576,"Doubles",Archives!$V$2:$V$1048576,"Delaney",Archives!$Y$2:$Y$1048576,"Piegari",Archives!$AB$2:$AB$1048576,"T")+COUNTIFS(Archives!$S$2:$S$1048576,"Doubles",Archives!$V$2:$V$1048576,"Piegari",Archives!$Y$2:$Y$1048576,"Delaney",Archives!$AB$2:$AB$1048576,"T")</f>
        <v>1</v>
      </c>
      <c r="M122" s="44">
        <f t="shared" si="8"/>
        <v>0.25</v>
      </c>
      <c r="N122" s="43">
        <f t="shared" si="9"/>
        <v>2</v>
      </c>
    </row>
    <row r="123" spans="9:14" ht="15" customHeight="1" x14ac:dyDescent="0.2">
      <c r="I123" s="31" t="s">
        <v>1292</v>
      </c>
      <c r="J123" s="40">
        <f>COUNTIFS(Archives!$S$2:$S$1048576,"Doubles",Archives!$V$2:$V$1048576,"DeOteris",Archives!$Y$2:$Y$1048576,"Grise",Archives!$AB$2:$AB$1048576,"W")+COUNTIFS(Archives!$S$2:$S$1048576,"Doubles",Archives!$V$2:$V$1048576,"Grise",Archives!$Y$2:$Y$1048576,"DeOteris",Archives!$AB$2:$AB$1048576,"W")</f>
        <v>0</v>
      </c>
      <c r="K123" s="40">
        <f>COUNTIFS(Archives!$S$2:$S$1048576,"Doubles",Archives!$V$2:$V$1048576,"DeOteris",Archives!$Y$2:$Y$1048576,"Grise",Archives!$AB$2:$AB$1048576,"L")+COUNTIFS(Archives!$S$2:$S$1048576,"Doubles",Archives!$V$2:$V$1048576,"Grise",Archives!$Y$2:$Y$1048576,"DeOteris",Archives!$AB$2:$AB$1048576,"L")</f>
        <v>1</v>
      </c>
      <c r="L123" s="40">
        <f>COUNTIFS(Archives!$S$2:$S$1048576,"Doubles",Archives!$V$2:$V$1048576,"DeOteris",Archives!$Y$2:$Y$1048576,"Grise",Archives!$AB$2:$AB$1048576,"T")+COUNTIFS(Archives!$S$2:$S$1048576,"Doubles",Archives!$V$2:$V$1048576,"Grise",Archives!$Y$2:$Y$1048576,"DeOteris",Archives!$AB$2:$AB$1048576,"T")</f>
        <v>1</v>
      </c>
      <c r="M123" s="41">
        <f t="shared" si="8"/>
        <v>0.25</v>
      </c>
      <c r="N123" s="40">
        <f t="shared" si="9"/>
        <v>2</v>
      </c>
    </row>
    <row r="124" spans="9:14" ht="15" customHeight="1" x14ac:dyDescent="0.2">
      <c r="I124" s="34" t="s">
        <v>983</v>
      </c>
      <c r="J124" s="43">
        <f>COUNTIFS(Archives!$S$2:$S$1048576,"Doubles",Archives!$V$2:$V$1048576,"Ferrin",Archives!$Y$2:$Y$1048576,"Weisberger",Archives!$AB$2:$AB$1048576,"W")+COUNTIFS(Archives!$S$2:$S$1048576,"Doubles",Archives!$V$2:$V$1048576,"Weisberger",Archives!$Y$2:$Y$1048576,"Ferrin",Archives!$AB$2:$AB$1048576,"W")</f>
        <v>0</v>
      </c>
      <c r="K124" s="43">
        <f>COUNTIFS(Archives!$S$2:$S$1048576,"Doubles",Archives!$V$2:$V$1048576,"Ferrin",Archives!$Y$2:$Y$1048576,"Weisberger",Archives!$AB$2:$AB$1048576,"L")+COUNTIFS(Archives!$S$2:$S$1048576,"Doubles",Archives!$V$2:$V$1048576,"Weisberger",Archives!$Y$2:$Y$1048576,"Ferrin",Archives!$AB$2:$AB$1048576,"L")</f>
        <v>1</v>
      </c>
      <c r="L124" s="43">
        <f>COUNTIFS(Archives!$S$2:$S$1048576,"Doubles",Archives!$V$2:$V$1048576,"Ferrin",Archives!$Y$2:$Y$1048576,"Weisberger",Archives!$AB$2:$AB$1048576,"T")+COUNTIFS(Archives!$S$2:$S$1048576,"Doubles",Archives!$V$2:$V$1048576,"Weisberger",Archives!$Y$2:$Y$1048576,"Ferrin",Archives!$AB$2:$AB$1048576,"T")</f>
        <v>1</v>
      </c>
      <c r="M124" s="44">
        <f t="shared" si="8"/>
        <v>0.25</v>
      </c>
      <c r="N124" s="43">
        <f t="shared" si="9"/>
        <v>2</v>
      </c>
    </row>
    <row r="125" spans="9:14" ht="15" customHeight="1" x14ac:dyDescent="0.2">
      <c r="I125" s="31" t="s">
        <v>984</v>
      </c>
      <c r="J125" s="40">
        <f>COUNTIFS(Archives!$S$2:$S$1048576,"Doubles",Archives!$V$2:$V$1048576,"Flanders",Archives!$Y$2:$Y$1048576,"Shively",Archives!$AB$2:$AB$1048576,"W")+COUNTIFS(Archives!$S$2:$S$1048576,"Doubles",Archives!$V$2:$V$1048576,"Shively",Archives!$Y$2:$Y$1048576,"Flanders",Archives!$AB$2:$AB$1048576,"W")</f>
        <v>0</v>
      </c>
      <c r="K125" s="40">
        <f>COUNTIFS(Archives!$S$2:$S$1048576,"Doubles",Archives!$V$2:$V$1048576,"Flanders",Archives!$Y$2:$Y$1048576,"Shively",Archives!$AB$2:$AB$1048576,"L")+COUNTIFS(Archives!$S$2:$S$1048576,"Doubles",Archives!$V$2:$V$1048576,"Shively",Archives!$Y$2:$Y$1048576,"Flanders",Archives!$AB$2:$AB$1048576,"L")</f>
        <v>1</v>
      </c>
      <c r="L125" s="40">
        <f>COUNTIFS(Archives!$S$2:$S$1048576,"Doubles",Archives!$V$2:$V$1048576,"Flanders",Archives!$Y$2:$Y$1048576,"Shively",Archives!$AB$2:$AB$1048576,"T")+COUNTIFS(Archives!$S$2:$S$1048576,"Doubles",Archives!$V$2:$V$1048576,"Shively",Archives!$Y$2:$Y$1048576,"Flanders",Archives!$AB$2:$AB$1048576,"T")</f>
        <v>1</v>
      </c>
      <c r="M125" s="41">
        <f t="shared" si="8"/>
        <v>0.25</v>
      </c>
      <c r="N125" s="40">
        <f t="shared" si="9"/>
        <v>2</v>
      </c>
    </row>
    <row r="126" spans="9:14" ht="15" customHeight="1" x14ac:dyDescent="0.2">
      <c r="I126" s="34" t="s">
        <v>985</v>
      </c>
      <c r="J126" s="43">
        <f>COUNTIFS(Archives!$S$2:$S$1048576,"Doubles",Archives!$V$2:$V$1048576,"Flanders",Archives!$Y$2:$Y$1048576,"Fogan",Archives!$AB$2:$AB$1048576,"W")+COUNTIFS(Archives!$S$2:$S$1048576,"Doubles",Archives!$V$2:$V$1048576,"Fogan",Archives!$Y$2:$Y$1048576,"Flanders",Archives!$AB$2:$AB$1048576,"W")</f>
        <v>0</v>
      </c>
      <c r="K126" s="43">
        <f>COUNTIFS(Archives!$S$2:$S$1048576,"Doubles",Archives!$V$2:$V$1048576,"Flanders",Archives!$Y$2:$Y$1048576,"Fogan",Archives!$AB$2:$AB$1048576,"L")+COUNTIFS(Archives!$S$2:$S$1048576,"Doubles",Archives!$V$2:$V$1048576,"Fogan",Archives!$Y$2:$Y$1048576,"Flanders",Archives!$AB$2:$AB$1048576,"L")</f>
        <v>1</v>
      </c>
      <c r="L126" s="43">
        <f>COUNTIFS(Archives!$S$2:$S$1048576,"Doubles",Archives!$V$2:$V$1048576,"Flanders",Archives!$Y$2:$Y$1048576,"Fogan",Archives!$AB$2:$AB$1048576,"T")+COUNTIFS(Archives!$S$2:$S$1048576,"Doubles",Archives!$V$2:$V$1048576,"Fogan",Archives!$Y$2:$Y$1048576,"Flanders",Archives!$AB$2:$AB$1048576,"T")</f>
        <v>1</v>
      </c>
      <c r="M126" s="44">
        <f t="shared" si="8"/>
        <v>0.25</v>
      </c>
      <c r="N126" s="43">
        <f t="shared" si="9"/>
        <v>2</v>
      </c>
    </row>
    <row r="127" spans="9:14" ht="15" customHeight="1" x14ac:dyDescent="0.2">
      <c r="I127" s="31" t="s">
        <v>986</v>
      </c>
      <c r="J127" s="40">
        <f>COUNTIFS(Archives!$S$2:$S$1048576,"Doubles",Archives!$V$2:$V$1048576,"Fogan",Archives!$Y$2:$Y$1048576,"Piegari",Archives!$AB$2:$AB$1048576,"W")+COUNTIFS(Archives!$S$2:$S$1048576,"Doubles",Archives!$V$2:$V$1048576,"Piegari",Archives!$Y$2:$Y$1048576,"Fogan",Archives!$AB$2:$AB$1048576,"W")</f>
        <v>0</v>
      </c>
      <c r="K127" s="40">
        <f>COUNTIFS(Archives!$S$2:$S$1048576,"Doubles",Archives!$V$2:$V$1048576,"Fogan",Archives!$Y$2:$Y$1048576,"Piegari",Archives!$AB$2:$AB$1048576,"L")+COUNTIFS(Archives!$S$2:$S$1048576,"Doubles",Archives!$V$2:$V$1048576,"Piegari",Archives!$Y$2:$Y$1048576,"Fogan",Archives!$AB$2:$AB$1048576,"L")</f>
        <v>1</v>
      </c>
      <c r="L127" s="40">
        <f>COUNTIFS(Archives!$S$2:$S$1048576,"Doubles",Archives!$V$2:$V$1048576,"Fogan",Archives!$Y$2:$Y$1048576,"Piegari",Archives!$AB$2:$AB$1048576,"T")+COUNTIFS(Archives!$S$2:$S$1048576,"Doubles",Archives!$V$2:$V$1048576,"Piegari",Archives!$Y$2:$Y$1048576,"Fogan",Archives!$AB$2:$AB$1048576,"T")</f>
        <v>1</v>
      </c>
      <c r="M127" s="41">
        <f t="shared" si="8"/>
        <v>0.25</v>
      </c>
      <c r="N127" s="40">
        <f t="shared" si="9"/>
        <v>2</v>
      </c>
    </row>
    <row r="128" spans="9:14" ht="15" customHeight="1" x14ac:dyDescent="0.2">
      <c r="I128" s="34" t="s">
        <v>987</v>
      </c>
      <c r="J128" s="43">
        <f>COUNTIFS(Archives!$S$2:$S$1048576,"Doubles",Archives!$V$2:$V$1048576,"Gray",Archives!$Y$2:$Y$1048576,"Poirier",Archives!$AB$2:$AB$1048576,"W")+COUNTIFS(Archives!$S$2:$S$1048576,"Doubles",Archives!$V$2:$V$1048576,"Poirier",Archives!$Y$2:$Y$1048576,"Gray",Archives!$AB$2:$AB$1048576,"W")</f>
        <v>0</v>
      </c>
      <c r="K128" s="43">
        <f>COUNTIFS(Archives!$S$2:$S$1048576,"Doubles",Archives!$V$2:$V$1048576,"Gray",Archives!$Y$2:$Y$1048576,"Poirier",Archives!$AB$2:$AB$1048576,"L")+COUNTIFS(Archives!$S$2:$S$1048576,"Doubles",Archives!$V$2:$V$1048576,"Poirier",Archives!$Y$2:$Y$1048576,"Gray",Archives!$AB$2:$AB$1048576,"L")</f>
        <v>1</v>
      </c>
      <c r="L128" s="43">
        <f>COUNTIFS(Archives!$S$2:$S$1048576,"Doubles",Archives!$V$2:$V$1048576,"Gray",Archives!$Y$2:$Y$1048576,"Poirier",Archives!$AB$2:$AB$1048576,"T")+COUNTIFS(Archives!$S$2:$S$1048576,"Doubles",Archives!$V$2:$V$1048576,"Poirier",Archives!$Y$2:$Y$1048576,"Gray",Archives!$AB$2:$AB$1048576,"T")</f>
        <v>1</v>
      </c>
      <c r="M128" s="44">
        <f t="shared" si="8"/>
        <v>0.25</v>
      </c>
      <c r="N128" s="43">
        <f t="shared" si="9"/>
        <v>2</v>
      </c>
    </row>
    <row r="129" spans="9:14" ht="15" customHeight="1" x14ac:dyDescent="0.2">
      <c r="I129" s="31" t="s">
        <v>988</v>
      </c>
      <c r="J129" s="40">
        <f>COUNTIFS(Archives!$S$2:$S$1048576,"Doubles",Archives!$V$2:$V$1048576,"Hilts",Archives!$Y$2:$Y$1048576,"Shively",Archives!$AB$2:$AB$1048576,"W")+COUNTIFS(Archives!$S$2:$S$1048576,"Doubles",Archives!$V$2:$V$1048576,"Shively",Archives!$Y$2:$Y$1048576,"Hilts",Archives!$AB$2:$AB$1048576,"W")</f>
        <v>0</v>
      </c>
      <c r="K129" s="40">
        <f>COUNTIFS(Archives!$S$2:$S$1048576,"Doubles",Archives!$V$2:$V$1048576,"Hilts",Archives!$Y$2:$Y$1048576,"Shively",Archives!$AB$2:$AB$1048576,"L")+COUNTIFS(Archives!$S$2:$S$1048576,"Doubles",Archives!$V$2:$V$1048576,"Shively",Archives!$Y$2:$Y$1048576,"Hilts",Archives!$AB$2:$AB$1048576,"L")</f>
        <v>1</v>
      </c>
      <c r="L129" s="40">
        <f>COUNTIFS(Archives!$S$2:$S$1048576,"Doubles",Archives!$V$2:$V$1048576,"Hilts",Archives!$Y$2:$Y$1048576,"Shively",Archives!$AB$2:$AB$1048576,"T")+COUNTIFS(Archives!$S$2:$S$1048576,"Doubles",Archives!$V$2:$V$1048576,"Shively",Archives!$Y$2:$Y$1048576,"Hilts",Archives!$AB$2:$AB$1048576,"T")</f>
        <v>1</v>
      </c>
      <c r="M129" s="41">
        <f t="shared" si="8"/>
        <v>0.25</v>
      </c>
      <c r="N129" s="40">
        <f t="shared" si="9"/>
        <v>2</v>
      </c>
    </row>
    <row r="130" spans="9:14" ht="15" customHeight="1" x14ac:dyDescent="0.2">
      <c r="I130" s="34" t="s">
        <v>989</v>
      </c>
      <c r="J130" s="43">
        <f>COUNTIFS(Archives!$S$2:$S$1048576,"Doubles",Archives!$V$2:$V$1048576,"Jackson",Archives!$Y$2:$Y$1048576,"Welker",Archives!$AB$2:$AB$1048576,"W")+COUNTIFS(Archives!$S$2:$S$1048576,"Doubles",Archives!$V$2:$V$1048576,"Welker",Archives!$Y$2:$Y$1048576,"Jackson",Archives!$AB$2:$AB$1048576,"W")</f>
        <v>0</v>
      </c>
      <c r="K130" s="43">
        <f>COUNTIFS(Archives!$S$2:$S$1048576,"Doubles",Archives!$V$2:$V$1048576,"Jackson",Archives!$Y$2:$Y$1048576,"Welker",Archives!$AB$2:$AB$1048576,"L")+COUNTIFS(Archives!$S$2:$S$1048576,"Doubles",Archives!$V$2:$V$1048576,"Welker",Archives!$Y$2:$Y$1048576,"Jackson",Archives!$AB$2:$AB$1048576,"L")</f>
        <v>1</v>
      </c>
      <c r="L130" s="43">
        <f>COUNTIFS(Archives!$S$2:$S$1048576,"Doubles",Archives!$V$2:$V$1048576,"Jackson",Archives!$Y$2:$Y$1048576,"Welker",Archives!$AB$2:$AB$1048576,"T")+COUNTIFS(Archives!$S$2:$S$1048576,"Doubles",Archives!$V$2:$V$1048576,"Welker",Archives!$Y$2:$Y$1048576,"Jackson",Archives!$AB$2:$AB$1048576,"T")</f>
        <v>1</v>
      </c>
      <c r="M130" s="44">
        <f t="shared" si="8"/>
        <v>0.25</v>
      </c>
      <c r="N130" s="43">
        <f t="shared" si="9"/>
        <v>2</v>
      </c>
    </row>
    <row r="131" spans="9:14" ht="15" customHeight="1" x14ac:dyDescent="0.2">
      <c r="I131" s="31" t="s">
        <v>990</v>
      </c>
      <c r="J131" s="40">
        <f>COUNTIFS(Archives!$S$2:$S$1048576,"Doubles",Archives!$V$2:$V$1048576,"Lynch",Archives!$Y$2:$Y$1048576,"Snyder",Archives!$AB$2:$AB$1048576,"W")+COUNTIFS(Archives!$S$2:$S$1048576,"Doubles",Archives!$V$2:$V$1048576,"Snyder",Archives!$Y$2:$Y$1048576,"Lynch",Archives!$AB$2:$AB$1048576,"W")</f>
        <v>0</v>
      </c>
      <c r="K131" s="40">
        <f>COUNTIFS(Archives!$S$2:$S$1048576,"Doubles",Archives!$V$2:$V$1048576,"Lynch",Archives!$Y$2:$Y$1048576,"Snyder",Archives!$AB$2:$AB$1048576,"L")+COUNTIFS(Archives!$S$2:$S$1048576,"Doubles",Archives!$V$2:$V$1048576,"Snyder",Archives!$Y$2:$Y$1048576,"Lynch",Archives!$AB$2:$AB$1048576,"L")</f>
        <v>1</v>
      </c>
      <c r="L131" s="40">
        <f>COUNTIFS(Archives!$S$2:$S$1048576,"Doubles",Archives!$V$2:$V$1048576,"Lynch",Archives!$Y$2:$Y$1048576,"Snyder",Archives!$AB$2:$AB$1048576,"T")+COUNTIFS(Archives!$S$2:$S$1048576,"Doubles",Archives!$V$2:$V$1048576,"Snyder",Archives!$Y$2:$Y$1048576,"Lynch",Archives!$AB$2:$AB$1048576,"T")</f>
        <v>1</v>
      </c>
      <c r="M131" s="41">
        <f t="shared" si="8"/>
        <v>0.25</v>
      </c>
      <c r="N131" s="40">
        <f t="shared" si="9"/>
        <v>2</v>
      </c>
    </row>
    <row r="132" spans="9:14" ht="15" customHeight="1" x14ac:dyDescent="0.2">
      <c r="I132" s="34" t="s">
        <v>991</v>
      </c>
      <c r="J132" s="43">
        <f>COUNTIFS(Archives!$S$2:$S$1048576,"Doubles",Archives!$V$2:$V$1048576,"Mangold",Archives!$Y$2:$Y$1048576,"Weisberger",Archives!$AB$2:$AB$1048576,"W")+COUNTIFS(Archives!$S$2:$S$1048576,"Doubles",Archives!$V$2:$V$1048576,"Weisberger",Archives!$Y$2:$Y$1048576,"Mangold",Archives!$AB$2:$AB$1048576,"W")</f>
        <v>0</v>
      </c>
      <c r="K132" s="43">
        <f>COUNTIFS(Archives!$S$2:$S$1048576,"Doubles",Archives!$V$2:$V$1048576,"Mangold",Archives!$Y$2:$Y$1048576,"Weisberger",Archives!$AB$2:$AB$1048576,"L")+COUNTIFS(Archives!$S$2:$S$1048576,"Doubles",Archives!$V$2:$V$1048576,"Weisberger",Archives!$Y$2:$Y$1048576,"Mangold",Archives!$AB$2:$AB$1048576,"L")</f>
        <v>1</v>
      </c>
      <c r="L132" s="43">
        <f>COUNTIFS(Archives!$S$2:$S$1048576,"Doubles",Archives!$V$2:$V$1048576,"Mangold",Archives!$Y$2:$Y$1048576,"Weisberger",Archives!$AB$2:$AB$1048576,"T")+COUNTIFS(Archives!$S$2:$S$1048576,"Doubles",Archives!$V$2:$V$1048576,"Weisberger",Archives!$Y$2:$Y$1048576,"Mangold",Archives!$AB$2:$AB$1048576,"T")</f>
        <v>1</v>
      </c>
      <c r="M132" s="44">
        <f t="shared" si="8"/>
        <v>0.25</v>
      </c>
      <c r="N132" s="43">
        <f t="shared" si="9"/>
        <v>2</v>
      </c>
    </row>
    <row r="133" spans="9:14" ht="15" customHeight="1" x14ac:dyDescent="0.2">
      <c r="I133" s="31" t="s">
        <v>992</v>
      </c>
      <c r="J133" s="40">
        <f>COUNTIFS(Archives!$S$2:$S$1048576,"Doubles",Archives!$V$2:$V$1048576,"Shively",Archives!$Y$2:$Y$1048576,"Zimmer",Archives!$AB$2:$AB$1048576,"W")+COUNTIFS(Archives!$S$2:$S$1048576,"Doubles",Archives!$V$2:$V$1048576,"Zimmer",Archives!$Y$2:$Y$1048576,"Shively",Archives!$AB$2:$AB$1048576,"W")</f>
        <v>0</v>
      </c>
      <c r="K133" s="40">
        <f>COUNTIFS(Archives!$S$2:$S$1048576,"Doubles",Archives!$V$2:$V$1048576,"Shively",Archives!$Y$2:$Y$1048576,"Zimmer",Archives!$AB$2:$AB$1048576,"L")+COUNTIFS(Archives!$S$2:$S$1048576,"Doubles",Archives!$V$2:$V$1048576,"Zimmer",Archives!$Y$2:$Y$1048576,"Shively",Archives!$AB$2:$AB$1048576,"L")</f>
        <v>1</v>
      </c>
      <c r="L133" s="40">
        <f>COUNTIFS(Archives!$S$2:$S$1048576,"Doubles",Archives!$V$2:$V$1048576,"Shively",Archives!$Y$2:$Y$1048576,"Zimmer",Archives!$AB$2:$AB$1048576,"T")+COUNTIFS(Archives!$S$2:$S$1048576,"Doubles",Archives!$V$2:$V$1048576,"Zimmer",Archives!$Y$2:$Y$1048576,"Shively",Archives!$AB$2:$AB$1048576,"T")</f>
        <v>1</v>
      </c>
      <c r="M133" s="41">
        <f t="shared" ref="M133:M164" si="10">IF(N133=0,0,(J133+0.5*L133)/N133)</f>
        <v>0.25</v>
      </c>
      <c r="N133" s="40">
        <f t="shared" ref="N133:N168" si="11">J133+K133+L133</f>
        <v>2</v>
      </c>
    </row>
    <row r="134" spans="9:14" ht="15" customHeight="1" x14ac:dyDescent="0.2">
      <c r="I134" s="34" t="s">
        <v>806</v>
      </c>
      <c r="J134" s="43">
        <f>COUNTIFS(Archives!$S$2:$S$1048576,"Doubles",Archives!$V$2:$V$1048576,"Connors",Archives!$Y$2:$Y$1048576,"Grise",Archives!$AB$2:$AB$1048576,"W")+COUNTIFS(Archives!$S$2:$S$1048576,"Doubles",Archives!$V$2:$V$1048576,"Grise",Archives!$Y$2:$Y$1048576,"Connors",Archives!$AB$2:$AB$1048576,"W")</f>
        <v>1</v>
      </c>
      <c r="K134" s="43">
        <f>COUNTIFS(Archives!$S$2:$S$1048576,"Doubles",Archives!$V$2:$V$1048576,"Connors",Archives!$Y$2:$Y$1048576,"Grise",Archives!$AB$2:$AB$1048576,"L")+COUNTIFS(Archives!$S$2:$S$1048576,"Doubles",Archives!$V$2:$V$1048576,"Grise",Archives!$Y$2:$Y$1048576,"Connors",Archives!$AB$2:$AB$1048576,"L")</f>
        <v>4</v>
      </c>
      <c r="L134" s="43">
        <f>COUNTIFS(Archives!$S$2:$S$1048576,"Doubles",Archives!$V$2:$V$1048576,"Connors",Archives!$Y$2:$Y$1048576,"Grise",Archives!$AB$2:$AB$1048576,"T")+COUNTIFS(Archives!$S$2:$S$1048576,"Doubles",Archives!$V$2:$V$1048576,"Grise",Archives!$Y$2:$Y$1048576,"Connors",Archives!$AB$2:$AB$1048576,"T")</f>
        <v>0</v>
      </c>
      <c r="M134" s="44">
        <f t="shared" si="10"/>
        <v>0.2</v>
      </c>
      <c r="N134" s="43">
        <f t="shared" si="11"/>
        <v>5</v>
      </c>
    </row>
    <row r="135" spans="9:14" ht="15" customHeight="1" x14ac:dyDescent="0.2">
      <c r="I135" s="31" t="s">
        <v>807</v>
      </c>
      <c r="J135" s="40">
        <f>COUNTIFS(Archives!$S$2:$S$1048576,"Doubles",Archives!$V$2:$V$1048576,"Fogan",Archives!$Y$2:$Y$1048576,"Hilts",Archives!$AB$2:$AB$1048576,"W")+COUNTIFS(Archives!$S$2:$S$1048576,"Doubles",Archives!$V$2:$V$1048576,"Hilts",Archives!$Y$2:$Y$1048576,"Fogan",Archives!$AB$2:$AB$1048576,"W")</f>
        <v>1</v>
      </c>
      <c r="K135" s="40">
        <f>COUNTIFS(Archives!$S$2:$S$1048576,"Doubles",Archives!$V$2:$V$1048576,"Fogan",Archives!$Y$2:$Y$1048576,"Hilts",Archives!$AB$2:$AB$1048576,"L")+COUNTIFS(Archives!$S$2:$S$1048576,"Doubles",Archives!$V$2:$V$1048576,"Hilts",Archives!$Y$2:$Y$1048576,"Fogan",Archives!$AB$2:$AB$1048576,"L")</f>
        <v>5</v>
      </c>
      <c r="L135" s="40">
        <f>COUNTIFS(Archives!$S$2:$S$1048576,"Doubles",Archives!$V$2:$V$1048576,"Fogan",Archives!$Y$2:$Y$1048576,"Hilts",Archives!$AB$2:$AB$1048576,"T")+COUNTIFS(Archives!$S$2:$S$1048576,"Doubles",Archives!$V$2:$V$1048576,"Hilts",Archives!$Y$2:$Y$1048576,"Fogan",Archives!$AB$2:$AB$1048576,"T")</f>
        <v>0</v>
      </c>
      <c r="M135" s="41">
        <f t="shared" si="10"/>
        <v>0.16666666666666666</v>
      </c>
      <c r="N135" s="40">
        <f t="shared" si="11"/>
        <v>6</v>
      </c>
    </row>
    <row r="136" spans="9:14" ht="15" customHeight="1" x14ac:dyDescent="0.2">
      <c r="I136" s="34" t="s">
        <v>993</v>
      </c>
      <c r="J136" s="43">
        <f>COUNTIFS(Archives!$S$2:$S$1048576,"Doubles",Archives!$V$2:$V$1048576,"Poirier",Archives!$Y$2:$Y$1048576,"Shively",Archives!$AB$2:$AB$1048576,"W")+COUNTIFS(Archives!$S$2:$S$1048576,"Doubles",Archives!$V$2:$V$1048576,"Shively",Archives!$Y$2:$Y$1048576,"Poirier",Archives!$AB$2:$AB$1048576,"W")</f>
        <v>0</v>
      </c>
      <c r="K136" s="43">
        <f>COUNTIFS(Archives!$S$2:$S$1048576,"Doubles",Archives!$V$2:$V$1048576,"Poirier",Archives!$Y$2:$Y$1048576,"Shively",Archives!$AB$2:$AB$1048576,"L")+COUNTIFS(Archives!$S$2:$S$1048576,"Doubles",Archives!$V$2:$V$1048576,"Shively",Archives!$Y$2:$Y$1048576,"Poirier",Archives!$AB$2:$AB$1048576,"L")</f>
        <v>2</v>
      </c>
      <c r="L136" s="43">
        <f>COUNTIFS(Archives!$S$2:$S$1048576,"Doubles",Archives!$V$2:$V$1048576,"Poirier",Archives!$Y$2:$Y$1048576,"Shively",Archives!$AB$2:$AB$1048576,"T")+COUNTIFS(Archives!$S$2:$S$1048576,"Doubles",Archives!$V$2:$V$1048576,"Shively",Archives!$Y$2:$Y$1048576,"Poirier",Archives!$AB$2:$AB$1048576,"T")</f>
        <v>1</v>
      </c>
      <c r="M136" s="44">
        <f t="shared" si="10"/>
        <v>0.16666666666666666</v>
      </c>
      <c r="N136" s="43">
        <f t="shared" si="11"/>
        <v>3</v>
      </c>
    </row>
    <row r="137" spans="9:14" ht="15" customHeight="1" x14ac:dyDescent="0.2">
      <c r="I137" s="31" t="s">
        <v>808</v>
      </c>
      <c r="J137" s="40">
        <f>COUNTIFS(Archives!$S$2:$S$1048576,"Doubles",Archives!$V$2:$V$1048576,"Cole",Archives!$Y$2:$Y$1048576,"Connors",Archives!$AB$2:$AB$1048576,"W")+COUNTIFS(Archives!$S$2:$S$1048576,"Doubles",Archives!$V$2:$V$1048576,"Connors",Archives!$Y$2:$Y$1048576,"Cole",Archives!$AB$2:$AB$1048576,"W")</f>
        <v>0</v>
      </c>
      <c r="K137" s="40">
        <f>COUNTIFS(Archives!$S$2:$S$1048576,"Doubles",Archives!$V$2:$V$1048576,"Cole",Archives!$Y$2:$Y$1048576,"Connors",Archives!$AB$2:$AB$1048576,"L")+COUNTIFS(Archives!$S$2:$S$1048576,"Doubles",Archives!$V$2:$V$1048576,"Connors",Archives!$Y$2:$Y$1048576,"Cole",Archives!$AB$2:$AB$1048576,"L")</f>
        <v>4</v>
      </c>
      <c r="L137" s="40">
        <f>COUNTIFS(Archives!$S$2:$S$1048576,"Doubles",Archives!$V$2:$V$1048576,"Cole",Archives!$Y$2:$Y$1048576,"Connors",Archives!$AB$2:$AB$1048576,"T")+COUNTIFS(Archives!$S$2:$S$1048576,"Doubles",Archives!$V$2:$V$1048576,"Connors",Archives!$Y$2:$Y$1048576,"Cole",Archives!$AB$2:$AB$1048576,"T")</f>
        <v>0</v>
      </c>
      <c r="M137" s="41">
        <f t="shared" si="10"/>
        <v>0</v>
      </c>
      <c r="N137" s="40">
        <f t="shared" si="11"/>
        <v>4</v>
      </c>
    </row>
    <row r="138" spans="9:14" ht="15" customHeight="1" x14ac:dyDescent="0.2">
      <c r="I138" s="34" t="s">
        <v>809</v>
      </c>
      <c r="J138" s="43">
        <f>COUNTIFS(Archives!$S$2:$S$1048576,"Doubles",Archives!$V$2:$V$1048576,"Fogan",Archives!$Y$2:$Y$1048576,"McInerney",Archives!$AB$2:$AB$1048576,"W")+COUNTIFS(Archives!$S$2:$S$1048576,"Doubles",Archives!$V$2:$V$1048576,"McInerney",Archives!$Y$2:$Y$1048576,"Fogan",Archives!$AB$2:$AB$1048576,"W")</f>
        <v>0</v>
      </c>
      <c r="K138" s="43">
        <f>COUNTIFS(Archives!$S$2:$S$1048576,"Doubles",Archives!$V$2:$V$1048576,"Fogan",Archives!$Y$2:$Y$1048576,"McInerney",Archives!$AB$2:$AB$1048576,"L")+COUNTIFS(Archives!$S$2:$S$1048576,"Doubles",Archives!$V$2:$V$1048576,"McInerney",Archives!$Y$2:$Y$1048576,"Fogan",Archives!$AB$2:$AB$1048576,"L")</f>
        <v>4</v>
      </c>
      <c r="L138" s="43">
        <f>COUNTIFS(Archives!$S$2:$S$1048576,"Doubles",Archives!$V$2:$V$1048576,"Fogan",Archives!$Y$2:$Y$1048576,"McInerney",Archives!$AB$2:$AB$1048576,"T")+COUNTIFS(Archives!$S$2:$S$1048576,"Doubles",Archives!$V$2:$V$1048576,"McInerney",Archives!$Y$2:$Y$1048576,"Fogan",Archives!$AB$2:$AB$1048576,"T")</f>
        <v>0</v>
      </c>
      <c r="M138" s="44">
        <f t="shared" si="10"/>
        <v>0</v>
      </c>
      <c r="N138" s="43">
        <f t="shared" si="11"/>
        <v>4</v>
      </c>
    </row>
    <row r="139" spans="9:14" ht="15" customHeight="1" x14ac:dyDescent="0.2">
      <c r="I139" s="31" t="s">
        <v>994</v>
      </c>
      <c r="J139" s="40">
        <f>COUNTIFS(Archives!$S$2:$S$1048576,"Doubles",Archives!$V$2:$V$1048576,"Flanders",Archives!$Y$2:$Y$1048576,"Grise",Archives!$AB$2:$AB$1048576,"W")+COUNTIFS(Archives!$S$2:$S$1048576,"Doubles",Archives!$V$2:$V$1048576,"Grise",Archives!$Y$2:$Y$1048576,"Flanders",Archives!$AB$2:$AB$1048576,"W")</f>
        <v>0</v>
      </c>
      <c r="K139" s="40">
        <f>COUNTIFS(Archives!$S$2:$S$1048576,"Doubles",Archives!$V$2:$V$1048576,"Flanders",Archives!$Y$2:$Y$1048576,"Grise",Archives!$AB$2:$AB$1048576,"L")+COUNTIFS(Archives!$S$2:$S$1048576,"Doubles",Archives!$V$2:$V$1048576,"Grise",Archives!$Y$2:$Y$1048576,"Flanders",Archives!$AB$2:$AB$1048576,"L")</f>
        <v>3</v>
      </c>
      <c r="L139" s="40">
        <f>COUNTIFS(Archives!$S$2:$S$1048576,"Doubles",Archives!$V$2:$V$1048576,"Flanders",Archives!$Y$2:$Y$1048576,"Grise",Archives!$AB$2:$AB$1048576,"T")+COUNTIFS(Archives!$S$2:$S$1048576,"Doubles",Archives!$V$2:$V$1048576,"Grise",Archives!$Y$2:$Y$1048576,"Flanders",Archives!$AB$2:$AB$1048576,"T")</f>
        <v>0</v>
      </c>
      <c r="M139" s="41">
        <f t="shared" si="10"/>
        <v>0</v>
      </c>
      <c r="N139" s="40">
        <f t="shared" si="11"/>
        <v>3</v>
      </c>
    </row>
    <row r="140" spans="9:14" ht="15" customHeight="1" x14ac:dyDescent="0.2">
      <c r="I140" s="34" t="s">
        <v>1306</v>
      </c>
      <c r="J140" s="43">
        <f>COUNTIFS(Archives!$S$2:$S$1048576,"Doubles",Archives!$V$2:$V$1048576,"Bussiculo",Archives!$Y$2:$Y$1048576,"Fogan",Archives!$AB$2:$AB$1048576,"W")+COUNTIFS(Archives!$S$2:$S$1048576,"Doubles",Archives!$V$2:$V$1048576,"Fogan",Archives!$Y$2:$Y$1048576,"Bussiculo",Archives!$AB$2:$AB$1048576,"W")</f>
        <v>0</v>
      </c>
      <c r="K140" s="43">
        <f>COUNTIFS(Archives!$S$2:$S$1048576,"Doubles",Archives!$V$2:$V$1048576,"Bussiculo",Archives!$Y$2:$Y$1048576,"Fogan",Archives!$AB$2:$AB$1048576,"L")+COUNTIFS(Archives!$S$2:$S$1048576,"Doubles",Archives!$V$2:$V$1048576,"Fogan",Archives!$Y$2:$Y$1048576,"Bussiculo",Archives!$AB$2:$AB$1048576,"L")</f>
        <v>2</v>
      </c>
      <c r="L140" s="43">
        <f>COUNTIFS(Archives!$S$2:$S$1048576,"Doubles",Archives!$V$2:$V$1048576,"Bussiculo",Archives!$Y$2:$Y$1048576,"Fogan",Archives!$AB$2:$AB$1048576,"T")+COUNTIFS(Archives!$S$2:$S$1048576,"Doubles",Archives!$V$2:$V$1048576,"Fogan",Archives!$Y$2:$Y$1048576,"Bussiculo",Archives!$AB$2:$AB$1048576,"T")</f>
        <v>0</v>
      </c>
      <c r="M140" s="44">
        <f t="shared" si="10"/>
        <v>0</v>
      </c>
      <c r="N140" s="43">
        <f t="shared" si="11"/>
        <v>2</v>
      </c>
    </row>
    <row r="141" spans="9:14" ht="15" customHeight="1" x14ac:dyDescent="0.2">
      <c r="I141" s="31" t="s">
        <v>995</v>
      </c>
      <c r="J141" s="40">
        <f>COUNTIFS(Archives!$S$2:$S$1048576,"Doubles",Archives!$V$2:$V$1048576,"Cole",Archives!$Y$2:$Y$1048576,"Poirier",Archives!$AB$2:$AB$1048576,"W")+COUNTIFS(Archives!$S$2:$S$1048576,"Doubles",Archives!$V$2:$V$1048576,"Poirier",Archives!$Y$2:$Y$1048576,"Cole",Archives!$AB$2:$AB$1048576,"W")</f>
        <v>0</v>
      </c>
      <c r="K141" s="40">
        <f>COUNTIFS(Archives!$S$2:$S$1048576,"Doubles",Archives!$V$2:$V$1048576,"Cole",Archives!$Y$2:$Y$1048576,"Poirier",Archives!$AB$2:$AB$1048576,"L")+COUNTIFS(Archives!$S$2:$S$1048576,"Doubles",Archives!$V$2:$V$1048576,"Poirier",Archives!$Y$2:$Y$1048576,"Cole",Archives!$AB$2:$AB$1048576,"L")</f>
        <v>2</v>
      </c>
      <c r="L141" s="40">
        <f>COUNTIFS(Archives!$S$2:$S$1048576,"Doubles",Archives!$V$2:$V$1048576,"Cole",Archives!$Y$2:$Y$1048576,"Poirier",Archives!$AB$2:$AB$1048576,"T")+COUNTIFS(Archives!$S$2:$S$1048576,"Doubles",Archives!$V$2:$V$1048576,"Poirier",Archives!$Y$2:$Y$1048576,"Cole",Archives!$AB$2:$AB$1048576,"T")</f>
        <v>0</v>
      </c>
      <c r="M141" s="41">
        <f t="shared" si="10"/>
        <v>0</v>
      </c>
      <c r="N141" s="40">
        <f t="shared" si="11"/>
        <v>2</v>
      </c>
    </row>
    <row r="142" spans="9:14" ht="15" customHeight="1" x14ac:dyDescent="0.2">
      <c r="I142" s="34" t="s">
        <v>996</v>
      </c>
      <c r="J142" s="43">
        <f>COUNTIFS(Archives!$S$2:$S$1048576,"Doubles",Archives!$V$2:$V$1048576,"Cole",Archives!$Y$2:$Y$1048576,"Fogan",Archives!$AB$2:$AB$1048576,"W")+COUNTIFS(Archives!$S$2:$S$1048576,"Doubles",Archives!$V$2:$V$1048576,"Fogan",Archives!$Y$2:$Y$1048576,"Cole",Archives!$AB$2:$AB$1048576,"W")</f>
        <v>0</v>
      </c>
      <c r="K142" s="43">
        <f>COUNTIFS(Archives!$S$2:$S$1048576,"Doubles",Archives!$V$2:$V$1048576,"Cole",Archives!$Y$2:$Y$1048576,"Fogan",Archives!$AB$2:$AB$1048576,"L")+COUNTIFS(Archives!$S$2:$S$1048576,"Doubles",Archives!$V$2:$V$1048576,"Fogan",Archives!$Y$2:$Y$1048576,"Cole",Archives!$AB$2:$AB$1048576,"L")</f>
        <v>2</v>
      </c>
      <c r="L142" s="43">
        <f>COUNTIFS(Archives!$S$2:$S$1048576,"Doubles",Archives!$V$2:$V$1048576,"Cole",Archives!$Y$2:$Y$1048576,"Fogan",Archives!$AB$2:$AB$1048576,"T")+COUNTIFS(Archives!$S$2:$S$1048576,"Doubles",Archives!$V$2:$V$1048576,"Fogan",Archives!$Y$2:$Y$1048576,"Cole",Archives!$AB$2:$AB$1048576,"T")</f>
        <v>0</v>
      </c>
      <c r="M142" s="44">
        <f t="shared" si="10"/>
        <v>0</v>
      </c>
      <c r="N142" s="43">
        <f t="shared" si="11"/>
        <v>2</v>
      </c>
    </row>
    <row r="143" spans="9:14" ht="15" customHeight="1" x14ac:dyDescent="0.2">
      <c r="I143" s="31" t="s">
        <v>997</v>
      </c>
      <c r="J143" s="40">
        <f>COUNTIFS(Archives!$S$2:$S$1048576,"Doubles",Archives!$V$2:$V$1048576,"Cole",Archives!$Y$2:$Y$1048576,"R. Connolly",Archives!$AB$2:$AB$1048576,"W")+COUNTIFS(Archives!$S$2:$S$1048576,"Doubles",Archives!$V$2:$V$1048576,"R. Connolly",Archives!$Y$2:$Y$1048576,"Cole",Archives!$AB$2:$AB$1048576,"W")</f>
        <v>0</v>
      </c>
      <c r="K143" s="40">
        <f>COUNTIFS(Archives!$S$2:$S$1048576,"Doubles",Archives!$V$2:$V$1048576,"Cole",Archives!$Y$2:$Y$1048576,"R. Connolly",Archives!$AB$2:$AB$1048576,"L")+COUNTIFS(Archives!$S$2:$S$1048576,"Doubles",Archives!$V$2:$V$1048576,"R. Connolly",Archives!$Y$2:$Y$1048576,"Cole",Archives!$AB$2:$AB$1048576,"L")</f>
        <v>2</v>
      </c>
      <c r="L143" s="40">
        <f>COUNTIFS(Archives!$S$2:$S$1048576,"Doubles",Archives!$V$2:$V$1048576,"Cole",Archives!$Y$2:$Y$1048576,"R. Connolly",Archives!$AB$2:$AB$1048576,"T")+COUNTIFS(Archives!$S$2:$S$1048576,"Doubles",Archives!$V$2:$V$1048576,"R. Connolly",Archives!$Y$2:$Y$1048576,"Cole",Archives!$AB$2:$AB$1048576,"T")</f>
        <v>0</v>
      </c>
      <c r="M143" s="41">
        <f t="shared" si="10"/>
        <v>0</v>
      </c>
      <c r="N143" s="40">
        <f t="shared" si="11"/>
        <v>2</v>
      </c>
    </row>
    <row r="144" spans="9:14" ht="15" customHeight="1" x14ac:dyDescent="0.2">
      <c r="I144" s="34" t="s">
        <v>998</v>
      </c>
      <c r="J144" s="43">
        <f>COUNTIFS(Archives!$S$2:$S$1048576,"Doubles",Archives!$V$2:$V$1048576,"Connolly",Archives!$Y$2:$Y$1048576,"Fogan",Archives!$AB$2:$AB$1048576,"W")+COUNTIFS(Archives!$S$2:$S$1048576,"Doubles",Archives!$V$2:$V$1048576,"Fogan",Archives!$Y$2:$Y$1048576,"Connolly",Archives!$AB$2:$AB$1048576,"W")</f>
        <v>0</v>
      </c>
      <c r="K144" s="43">
        <f>COUNTIFS(Archives!$S$2:$S$1048576,"Doubles",Archives!$V$2:$V$1048576,"Connolly",Archives!$Y$2:$Y$1048576,"Fogan",Archives!$AB$2:$AB$1048576,"L")+COUNTIFS(Archives!$S$2:$S$1048576,"Doubles",Archives!$V$2:$V$1048576,"Fogan",Archives!$Y$2:$Y$1048576,"Connolly",Archives!$AB$2:$AB$1048576,"L")</f>
        <v>2</v>
      </c>
      <c r="L144" s="43">
        <f>COUNTIFS(Archives!$S$2:$S$1048576,"Doubles",Archives!$V$2:$V$1048576,"Connolly",Archives!$Y$2:$Y$1048576,"Fogan",Archives!$AB$2:$AB$1048576,"T")+COUNTIFS(Archives!$S$2:$S$1048576,"Doubles",Archives!$V$2:$V$1048576,"Fogan",Archives!$Y$2:$Y$1048576,"Connolly",Archives!$AB$2:$AB$1048576,"T")</f>
        <v>0</v>
      </c>
      <c r="M144" s="44">
        <f t="shared" si="10"/>
        <v>0</v>
      </c>
      <c r="N144" s="43">
        <f t="shared" si="11"/>
        <v>2</v>
      </c>
    </row>
    <row r="145" spans="9:14" ht="15" customHeight="1" x14ac:dyDescent="0.2">
      <c r="I145" s="31" t="s">
        <v>999</v>
      </c>
      <c r="J145" s="40">
        <f>COUNTIFS(Archives!$S$2:$S$1048576,"Doubles",Archives!$V$2:$V$1048576,"Connolly",Archives!$Y$2:$Y$1048576,"Mangold",Archives!$AB$2:$AB$1048576,"W")+COUNTIFS(Archives!$S$2:$S$1048576,"Doubles",Archives!$V$2:$V$1048576,"Mangold",Archives!$Y$2:$Y$1048576,"Connolly",Archives!$AB$2:$AB$1048576,"W")</f>
        <v>0</v>
      </c>
      <c r="K145" s="40">
        <f>COUNTIFS(Archives!$S$2:$S$1048576,"Doubles",Archives!$V$2:$V$1048576,"Connolly",Archives!$Y$2:$Y$1048576,"Mangold",Archives!$AB$2:$AB$1048576,"L")+COUNTIFS(Archives!$S$2:$S$1048576,"Doubles",Archives!$V$2:$V$1048576,"Mangold",Archives!$Y$2:$Y$1048576,"Connolly",Archives!$AB$2:$AB$1048576,"L")</f>
        <v>2</v>
      </c>
      <c r="L145" s="40">
        <f>COUNTIFS(Archives!$S$2:$S$1048576,"Doubles",Archives!$V$2:$V$1048576,"Connolly",Archives!$Y$2:$Y$1048576,"Mangold",Archives!$AB$2:$AB$1048576,"T")+COUNTIFS(Archives!$S$2:$S$1048576,"Doubles",Archives!$V$2:$V$1048576,"Mangold",Archives!$Y$2:$Y$1048576,"Connolly",Archives!$AB$2:$AB$1048576,"T")</f>
        <v>0</v>
      </c>
      <c r="M145" s="41">
        <f t="shared" si="10"/>
        <v>0</v>
      </c>
      <c r="N145" s="40">
        <f t="shared" si="11"/>
        <v>2</v>
      </c>
    </row>
    <row r="146" spans="9:14" ht="15" customHeight="1" x14ac:dyDescent="0.2">
      <c r="I146" s="34" t="s">
        <v>1000</v>
      </c>
      <c r="J146" s="43">
        <f>COUNTIFS(Archives!$S$2:$S$1048576,"Doubles",Archives!$V$2:$V$1048576,"Connors",Archives!$Y$2:$Y$1048576,"Norat",Archives!$AB$2:$AB$1048576,"W")+COUNTIFS(Archives!$S$2:$S$1048576,"Doubles",Archives!$V$2:$V$1048576,"Norat",Archives!$Y$2:$Y$1048576,"Connors",Archives!$AB$2:$AB$1048576,"W")</f>
        <v>0</v>
      </c>
      <c r="K146" s="43">
        <f>COUNTIFS(Archives!$S$2:$S$1048576,"Doubles",Archives!$V$2:$V$1048576,"Connors",Archives!$Y$2:$Y$1048576,"Norat",Archives!$AB$2:$AB$1048576,"L")+COUNTIFS(Archives!$S$2:$S$1048576,"Doubles",Archives!$V$2:$V$1048576,"Norat",Archives!$Y$2:$Y$1048576,"Connors",Archives!$AB$2:$AB$1048576,"L")</f>
        <v>2</v>
      </c>
      <c r="L146" s="43">
        <f>COUNTIFS(Archives!$S$2:$S$1048576,"Doubles",Archives!$V$2:$V$1048576,"Connors",Archives!$Y$2:$Y$1048576,"Norat",Archives!$AB$2:$AB$1048576,"T")+COUNTIFS(Archives!$S$2:$S$1048576,"Doubles",Archives!$V$2:$V$1048576,"Norat",Archives!$Y$2:$Y$1048576,"Connors",Archives!$AB$2:$AB$1048576,"T")</f>
        <v>0</v>
      </c>
      <c r="M146" s="44">
        <f t="shared" si="10"/>
        <v>0</v>
      </c>
      <c r="N146" s="43">
        <f t="shared" si="11"/>
        <v>2</v>
      </c>
    </row>
    <row r="147" spans="9:14" ht="15" customHeight="1" x14ac:dyDescent="0.2">
      <c r="I147" s="31" t="s">
        <v>1001</v>
      </c>
      <c r="J147" s="40">
        <f>COUNTIFS(Archives!$S$2:$S$1048576,"Doubles",Archives!$V$2:$V$1048576,"Connors",Archives!$Y$2:$Y$1048576,"McInerney",Archives!$AB$2:$AB$1048576,"W")+COUNTIFS(Archives!$S$2:$S$1048576,"Doubles",Archives!$V$2:$V$1048576,"McInerney",Archives!$Y$2:$Y$1048576,"Connors",Archives!$AB$2:$AB$1048576,"W")</f>
        <v>0</v>
      </c>
      <c r="K147" s="40">
        <f>COUNTIFS(Archives!$S$2:$S$1048576,"Doubles",Archives!$V$2:$V$1048576,"Connors",Archives!$Y$2:$Y$1048576,"McInerney",Archives!$AB$2:$AB$1048576,"L")+COUNTIFS(Archives!$S$2:$S$1048576,"Doubles",Archives!$V$2:$V$1048576,"McInerney",Archives!$Y$2:$Y$1048576,"Connors",Archives!$AB$2:$AB$1048576,"L")</f>
        <v>2</v>
      </c>
      <c r="L147" s="40">
        <f>COUNTIFS(Archives!$S$2:$S$1048576,"Doubles",Archives!$V$2:$V$1048576,"Connors",Archives!$Y$2:$Y$1048576,"McInerney",Archives!$AB$2:$AB$1048576,"T")+COUNTIFS(Archives!$S$2:$S$1048576,"Doubles",Archives!$V$2:$V$1048576,"McInerney",Archives!$Y$2:$Y$1048576,"Connors",Archives!$AB$2:$AB$1048576,"T")</f>
        <v>0</v>
      </c>
      <c r="M147" s="41">
        <f t="shared" si="10"/>
        <v>0</v>
      </c>
      <c r="N147" s="40">
        <f t="shared" si="11"/>
        <v>2</v>
      </c>
    </row>
    <row r="148" spans="9:14" ht="15" customHeight="1" x14ac:dyDescent="0.2">
      <c r="I148" s="34" t="s">
        <v>1002</v>
      </c>
      <c r="J148" s="43">
        <f>COUNTIFS(Archives!$S$2:$S$1048576,"Doubles",Archives!$V$2:$V$1048576,"Connors",Archives!$Y$2:$Y$1048576,"Shively",Archives!$AB$2:$AB$1048576,"W")+COUNTIFS(Archives!$S$2:$S$1048576,"Doubles",Archives!$V$2:$V$1048576,"Shively",Archives!$Y$2:$Y$1048576,"Connors",Archives!$AB$2:$AB$1048576,"W")</f>
        <v>0</v>
      </c>
      <c r="K148" s="43">
        <f>COUNTIFS(Archives!$S$2:$S$1048576,"Doubles",Archives!$V$2:$V$1048576,"Connors",Archives!$Y$2:$Y$1048576,"Shively",Archives!$AB$2:$AB$1048576,"L")+COUNTIFS(Archives!$S$2:$S$1048576,"Doubles",Archives!$V$2:$V$1048576,"Shively",Archives!$Y$2:$Y$1048576,"Connors",Archives!$AB$2:$AB$1048576,"L")</f>
        <v>2</v>
      </c>
      <c r="L148" s="43">
        <f>COUNTIFS(Archives!$S$2:$S$1048576,"Doubles",Archives!$V$2:$V$1048576,"Connors",Archives!$Y$2:$Y$1048576,"Shively",Archives!$AB$2:$AB$1048576,"T")+COUNTIFS(Archives!$S$2:$S$1048576,"Doubles",Archives!$V$2:$V$1048576,"Shively",Archives!$Y$2:$Y$1048576,"Connors",Archives!$AB$2:$AB$1048576,"T")</f>
        <v>0</v>
      </c>
      <c r="M148" s="44">
        <f t="shared" si="10"/>
        <v>0</v>
      </c>
      <c r="N148" s="43">
        <f t="shared" si="11"/>
        <v>2</v>
      </c>
    </row>
    <row r="149" spans="9:14" ht="15" customHeight="1" x14ac:dyDescent="0.2">
      <c r="I149" s="31" t="s">
        <v>1003</v>
      </c>
      <c r="J149" s="40">
        <f>COUNTIFS(Archives!$S$2:$S$1048576,"Doubles",Archives!$V$2:$V$1048576,"Delaney",Archives!$Y$2:$Y$1048576,"Flanders",Archives!$AB$2:$AB$1048576,"W")+COUNTIFS(Archives!$S$2:$S$1048576,"Doubles",Archives!$V$2:$V$1048576,"Flanders",Archives!$Y$2:$Y$1048576,"Delaney",Archives!$AB$2:$AB$1048576,"W")</f>
        <v>0</v>
      </c>
      <c r="K149" s="40">
        <f>COUNTIFS(Archives!$S$2:$S$1048576,"Doubles",Archives!$V$2:$V$1048576,"Delaney",Archives!$Y$2:$Y$1048576,"Flanders",Archives!$AB$2:$AB$1048576,"L")+COUNTIFS(Archives!$S$2:$S$1048576,"Doubles",Archives!$V$2:$V$1048576,"Flanders",Archives!$Y$2:$Y$1048576,"Delaney",Archives!$AB$2:$AB$1048576,"L")</f>
        <v>2</v>
      </c>
      <c r="L149" s="40">
        <f>COUNTIFS(Archives!$S$2:$S$1048576,"Doubles",Archives!$V$2:$V$1048576,"Delaney",Archives!$Y$2:$Y$1048576,"Flanders",Archives!$AB$2:$AB$1048576,"T")+COUNTIFS(Archives!$S$2:$S$1048576,"Doubles",Archives!$V$2:$V$1048576,"Flanders",Archives!$Y$2:$Y$1048576,"Delaney",Archives!$AB$2:$AB$1048576,"T")</f>
        <v>0</v>
      </c>
      <c r="M149" s="41">
        <f t="shared" si="10"/>
        <v>0</v>
      </c>
      <c r="N149" s="40">
        <f t="shared" si="11"/>
        <v>2</v>
      </c>
    </row>
    <row r="150" spans="9:14" ht="15" customHeight="1" x14ac:dyDescent="0.2">
      <c r="I150" s="34" t="s">
        <v>1293</v>
      </c>
      <c r="J150" s="43">
        <f>COUNTIFS(Archives!$S$2:$S$1048576,"Doubles",Archives!$V$2:$V$1048576,"Delaney",Archives!$Y$2:$Y$1048576,"DeOteris",Archives!$AB$2:$AB$1048576,"W")+COUNTIFS(Archives!$S$2:$S$1048576,"Doubles",Archives!$V$2:$V$1048576,"DeOteris",Archives!$Y$2:$Y$1048576,"Delaney",Archives!$AB$2:$AB$1048576,"W")</f>
        <v>0</v>
      </c>
      <c r="K150" s="43">
        <f>COUNTIFS(Archives!$S$2:$S$1048576,"Doubles",Archives!$V$2:$V$1048576,"Delaney",Archives!$Y$2:$Y$1048576,"DeOteris",Archives!$AB$2:$AB$1048576,"L")+COUNTIFS(Archives!$S$2:$S$1048576,"Doubles",Archives!$V$2:$V$1048576,"DeOteris",Archives!$Y$2:$Y$1048576,"Delaney",Archives!$AB$2:$AB$1048576,"L")</f>
        <v>2</v>
      </c>
      <c r="L150" s="43">
        <f>COUNTIFS(Archives!$S$2:$S$1048576,"Doubles",Archives!$V$2:$V$1048576,"Delaney",Archives!$Y$2:$Y$1048576,"DeOteris",Archives!$AB$2:$AB$1048576,"T")+COUNTIFS(Archives!$S$2:$S$1048576,"Doubles",Archives!$V$2:$V$1048576,"DeOteris",Archives!$Y$2:$Y$1048576,"Delaney",Archives!$AB$2:$AB$1048576,"T")</f>
        <v>0</v>
      </c>
      <c r="M150" s="44">
        <f t="shared" si="10"/>
        <v>0</v>
      </c>
      <c r="N150" s="43">
        <f t="shared" si="11"/>
        <v>2</v>
      </c>
    </row>
    <row r="151" spans="9:14" ht="15" customHeight="1" x14ac:dyDescent="0.2">
      <c r="I151" s="31" t="s">
        <v>1004</v>
      </c>
      <c r="J151" s="40">
        <f>COUNTIFS(Archives!$S$2:$S$1048576,"Doubles",Archives!$V$2:$V$1048576,"Ferrin",Archives!$Y$2:$Y$1048576,"Zimmer",Archives!$AB$2:$AB$1048576,"W")+COUNTIFS(Archives!$S$2:$S$1048576,"Doubles",Archives!$V$2:$V$1048576,"Zimmer",Archives!$Y$2:$Y$1048576,"Ferrin",Archives!$AB$2:$AB$1048576,"W")</f>
        <v>0</v>
      </c>
      <c r="K151" s="40">
        <f>COUNTIFS(Archives!$S$2:$S$1048576,"Doubles",Archives!$V$2:$V$1048576,"Ferrin",Archives!$Y$2:$Y$1048576,"Zimmer",Archives!$AB$2:$AB$1048576,"L")+COUNTIFS(Archives!$S$2:$S$1048576,"Doubles",Archives!$V$2:$V$1048576,"Zimmer",Archives!$Y$2:$Y$1048576,"Ferrin",Archives!$AB$2:$AB$1048576,"L")</f>
        <v>2</v>
      </c>
      <c r="L151" s="40">
        <f>COUNTIFS(Archives!$S$2:$S$1048576,"Doubles",Archives!$V$2:$V$1048576,"Ferrin",Archives!$Y$2:$Y$1048576,"Zimmer",Archives!$AB$2:$AB$1048576,"T")+COUNTIFS(Archives!$S$2:$S$1048576,"Doubles",Archives!$V$2:$V$1048576,"Zimmer",Archives!$Y$2:$Y$1048576,"Ferrin",Archives!$AB$2:$AB$1048576,"T")</f>
        <v>0</v>
      </c>
      <c r="M151" s="41">
        <f t="shared" si="10"/>
        <v>0</v>
      </c>
      <c r="N151" s="40">
        <f t="shared" si="11"/>
        <v>2</v>
      </c>
    </row>
    <row r="152" spans="9:14" ht="15" customHeight="1" x14ac:dyDescent="0.2">
      <c r="I152" s="34" t="s">
        <v>1005</v>
      </c>
      <c r="J152" s="43">
        <f>COUNTIFS(Archives!$S$2:$S$1048576,"Doubles",Archives!$V$2:$V$1048576,"Fogan",Archives!$Y$2:$Y$1048576,"Hickerson",Archives!$AB$2:$AB$1048576,"W")+COUNTIFS(Archives!$S$2:$S$1048576,"Doubles",Archives!$V$2:$V$1048576,"Hickerson",Archives!$Y$2:$Y$1048576,"Fogan",Archives!$AB$2:$AB$1048576,"W")</f>
        <v>0</v>
      </c>
      <c r="K152" s="43">
        <f>COUNTIFS(Archives!$S$2:$S$1048576,"Doubles",Archives!$V$2:$V$1048576,"Fogan",Archives!$Y$2:$Y$1048576,"Hickerson",Archives!$AB$2:$AB$1048576,"L")+COUNTIFS(Archives!$S$2:$S$1048576,"Doubles",Archives!$V$2:$V$1048576,"Hickerson",Archives!$Y$2:$Y$1048576,"Fogan",Archives!$AB$2:$AB$1048576,"L")</f>
        <v>2</v>
      </c>
      <c r="L152" s="43">
        <f>COUNTIFS(Archives!$S$2:$S$1048576,"Doubles",Archives!$V$2:$V$1048576,"Fogan",Archives!$Y$2:$Y$1048576,"Hickerson",Archives!$AB$2:$AB$1048576,"T")+COUNTIFS(Archives!$S$2:$S$1048576,"Doubles",Archives!$V$2:$V$1048576,"Hickerson",Archives!$Y$2:$Y$1048576,"Fogan",Archives!$AB$2:$AB$1048576,"T")</f>
        <v>0</v>
      </c>
      <c r="M152" s="44">
        <f t="shared" si="10"/>
        <v>0</v>
      </c>
      <c r="N152" s="43">
        <f t="shared" si="11"/>
        <v>2</v>
      </c>
    </row>
    <row r="153" spans="9:14" ht="15" customHeight="1" x14ac:dyDescent="0.2">
      <c r="I153" s="31" t="s">
        <v>1006</v>
      </c>
      <c r="J153" s="40">
        <f>COUNTIFS(Archives!$S$2:$S$1048576,"Doubles",Archives!$V$2:$V$1048576,"Fogan",Archives!$Y$2:$Y$1048576,"Gray",Archives!$AB$2:$AB$1048576,"W")+COUNTIFS(Archives!$S$2:$S$1048576,"Doubles",Archives!$V$2:$V$1048576,"Gray",Archives!$Y$2:$Y$1048576,"Fogan",Archives!$AB$2:$AB$1048576,"W")</f>
        <v>0</v>
      </c>
      <c r="K153" s="40">
        <f>COUNTIFS(Archives!$S$2:$S$1048576,"Doubles",Archives!$V$2:$V$1048576,"Fogan",Archives!$Y$2:$Y$1048576,"Gray",Archives!$AB$2:$AB$1048576,"L")+COUNTIFS(Archives!$S$2:$S$1048576,"Doubles",Archives!$V$2:$V$1048576,"Gray",Archives!$Y$2:$Y$1048576,"Fogan",Archives!$AB$2:$AB$1048576,"L")</f>
        <v>2</v>
      </c>
      <c r="L153" s="40">
        <f>COUNTIFS(Archives!$S$2:$S$1048576,"Doubles",Archives!$V$2:$V$1048576,"Fogan",Archives!$Y$2:$Y$1048576,"Gray",Archives!$AB$2:$AB$1048576,"T")+COUNTIFS(Archives!$S$2:$S$1048576,"Doubles",Archives!$V$2:$V$1048576,"Gray",Archives!$Y$2:$Y$1048576,"Fogan",Archives!$AB$2:$AB$1048576,"T")</f>
        <v>0</v>
      </c>
      <c r="M153" s="41">
        <f t="shared" si="10"/>
        <v>0</v>
      </c>
      <c r="N153" s="40">
        <f t="shared" si="11"/>
        <v>2</v>
      </c>
    </row>
    <row r="154" spans="9:14" ht="15" customHeight="1" x14ac:dyDescent="0.2">
      <c r="I154" s="34" t="s">
        <v>1007</v>
      </c>
      <c r="J154" s="43">
        <f>COUNTIFS(Archives!$S$2:$S$1048576,"Doubles",Archives!$V$2:$V$1048576,"Forster",Archives!$Y$2:$Y$1048576,"Zimmer",Archives!$AB$2:$AB$1048576,"W")+COUNTIFS(Archives!$S$2:$S$1048576,"Doubles",Archives!$V$2:$V$1048576,"Zimmer",Archives!$Y$2:$Y$1048576,"Forster",Archives!$AB$2:$AB$1048576,"W")</f>
        <v>0</v>
      </c>
      <c r="K154" s="43">
        <f>COUNTIFS(Archives!$S$2:$S$1048576,"Doubles",Archives!$V$2:$V$1048576,"Forster",Archives!$Y$2:$Y$1048576,"Zimmer",Archives!$AB$2:$AB$1048576,"L")+COUNTIFS(Archives!$S$2:$S$1048576,"Doubles",Archives!$V$2:$V$1048576,"Zimmer",Archives!$Y$2:$Y$1048576,"Forster",Archives!$AB$2:$AB$1048576,"L")</f>
        <v>2</v>
      </c>
      <c r="L154" s="43">
        <f>COUNTIFS(Archives!$S$2:$S$1048576,"Doubles",Archives!$V$2:$V$1048576,"Forster",Archives!$Y$2:$Y$1048576,"Zimmer",Archives!$AB$2:$AB$1048576,"T")+COUNTIFS(Archives!$S$2:$S$1048576,"Doubles",Archives!$V$2:$V$1048576,"Zimmer",Archives!$Y$2:$Y$1048576,"Forster",Archives!$AB$2:$AB$1048576,"T")</f>
        <v>0</v>
      </c>
      <c r="M154" s="44">
        <f t="shared" si="10"/>
        <v>0</v>
      </c>
      <c r="N154" s="43">
        <f t="shared" si="11"/>
        <v>2</v>
      </c>
    </row>
    <row r="155" spans="9:14" ht="15" customHeight="1" x14ac:dyDescent="0.2">
      <c r="I155" s="31" t="s">
        <v>1008</v>
      </c>
      <c r="J155" s="40">
        <f>COUNTIFS(Archives!$S$2:$S$1048576,"Doubles",Archives!$V$2:$V$1048576,"Forster",Archives!$Y$2:$Y$1048576,"Snyder",Archives!$AB$2:$AB$1048576,"W")+COUNTIFS(Archives!$S$2:$S$1048576,"Doubles",Archives!$V$2:$V$1048576,"Snyder",Archives!$Y$2:$Y$1048576,"Forster",Archives!$AB$2:$AB$1048576,"W")</f>
        <v>0</v>
      </c>
      <c r="K155" s="40">
        <f>COUNTIFS(Archives!$S$2:$S$1048576,"Doubles",Archives!$V$2:$V$1048576,"Forster",Archives!$Y$2:$Y$1048576,"Snyder",Archives!$AB$2:$AB$1048576,"L")+COUNTIFS(Archives!$S$2:$S$1048576,"Doubles",Archives!$V$2:$V$1048576,"Snyder",Archives!$Y$2:$Y$1048576,"Forster",Archives!$AB$2:$AB$1048576,"L")</f>
        <v>2</v>
      </c>
      <c r="L155" s="40">
        <f>COUNTIFS(Archives!$S$2:$S$1048576,"Doubles",Archives!$V$2:$V$1048576,"Forster",Archives!$Y$2:$Y$1048576,"Snyder",Archives!$AB$2:$AB$1048576,"T")+COUNTIFS(Archives!$S$2:$S$1048576,"Doubles",Archives!$V$2:$V$1048576,"Snyder",Archives!$Y$2:$Y$1048576,"Forster",Archives!$AB$2:$AB$1048576,"T")</f>
        <v>0</v>
      </c>
      <c r="M155" s="41">
        <f t="shared" si="10"/>
        <v>0</v>
      </c>
      <c r="N155" s="40">
        <f t="shared" si="11"/>
        <v>2</v>
      </c>
    </row>
    <row r="156" spans="9:14" ht="15" customHeight="1" x14ac:dyDescent="0.2">
      <c r="I156" s="34" t="s">
        <v>1009</v>
      </c>
      <c r="J156" s="43">
        <f>COUNTIFS(Archives!$S$2:$S$1048576,"Doubles",Archives!$V$2:$V$1048576,"Hickerson",Archives!$Y$2:$Y$1048576,"Shively",Archives!$AB$2:$AB$1048576,"W")+COUNTIFS(Archives!$S$2:$S$1048576,"Doubles",Archives!$V$2:$V$1048576,"Shively",Archives!$Y$2:$Y$1048576,"Hickerson",Archives!$AB$2:$AB$1048576,"W")</f>
        <v>0</v>
      </c>
      <c r="K156" s="43">
        <f>COUNTIFS(Archives!$S$2:$S$1048576,"Doubles",Archives!$V$2:$V$1048576,"Hickerson",Archives!$Y$2:$Y$1048576,"Shively",Archives!$AB$2:$AB$1048576,"L")+COUNTIFS(Archives!$S$2:$S$1048576,"Doubles",Archives!$V$2:$V$1048576,"Shively",Archives!$Y$2:$Y$1048576,"Hickerson",Archives!$AB$2:$AB$1048576,"L")</f>
        <v>2</v>
      </c>
      <c r="L156" s="43">
        <f>COUNTIFS(Archives!$S$2:$S$1048576,"Doubles",Archives!$V$2:$V$1048576,"Hickerson",Archives!$Y$2:$Y$1048576,"Shively",Archives!$AB$2:$AB$1048576,"T")+COUNTIFS(Archives!$S$2:$S$1048576,"Doubles",Archives!$V$2:$V$1048576,"Shively",Archives!$Y$2:$Y$1048576,"Hickerson",Archives!$AB$2:$AB$1048576,"T")</f>
        <v>0</v>
      </c>
      <c r="M156" s="44">
        <f t="shared" si="10"/>
        <v>0</v>
      </c>
      <c r="N156" s="43">
        <f t="shared" si="11"/>
        <v>2</v>
      </c>
    </row>
    <row r="157" spans="9:14" ht="15" customHeight="1" x14ac:dyDescent="0.2">
      <c r="I157" s="31" t="s">
        <v>1010</v>
      </c>
      <c r="J157" s="40">
        <f>COUNTIFS(Archives!$S$2:$S$1048576,"Doubles",Archives!$V$2:$V$1048576,"Hickerson",Archives!$Y$2:$Y$1048576,"McInerney",Archives!$AB$2:$AB$1048576,"W")+COUNTIFS(Archives!$S$2:$S$1048576,"Doubles",Archives!$V$2:$V$1048576,"McInerney",Archives!$Y$2:$Y$1048576,"Hickerson",Archives!$AB$2:$AB$1048576,"W")</f>
        <v>0</v>
      </c>
      <c r="K157" s="40">
        <f>COUNTIFS(Archives!$S$2:$S$1048576,"Doubles",Archives!$V$2:$V$1048576,"Hickerson",Archives!$Y$2:$Y$1048576,"McInerney",Archives!$AB$2:$AB$1048576,"L")+COUNTIFS(Archives!$S$2:$S$1048576,"Doubles",Archives!$V$2:$V$1048576,"McInerney",Archives!$Y$2:$Y$1048576,"Hickerson",Archives!$AB$2:$AB$1048576,"L")</f>
        <v>2</v>
      </c>
      <c r="L157" s="40">
        <f>COUNTIFS(Archives!$S$2:$S$1048576,"Doubles",Archives!$V$2:$V$1048576,"Hickerson",Archives!$Y$2:$Y$1048576,"McInerney",Archives!$AB$2:$AB$1048576,"T")+COUNTIFS(Archives!$S$2:$S$1048576,"Doubles",Archives!$V$2:$V$1048576,"McInerney",Archives!$Y$2:$Y$1048576,"Hickerson",Archives!$AB$2:$AB$1048576,"T")</f>
        <v>0</v>
      </c>
      <c r="M157" s="41">
        <f t="shared" si="10"/>
        <v>0</v>
      </c>
      <c r="N157" s="40">
        <f t="shared" si="11"/>
        <v>2</v>
      </c>
    </row>
    <row r="158" spans="9:14" ht="15" customHeight="1" x14ac:dyDescent="0.2">
      <c r="I158" s="34" t="s">
        <v>1011</v>
      </c>
      <c r="J158" s="43">
        <f>COUNTIFS(Archives!$S$2:$S$1048576,"Doubles",Archives!$V$2:$V$1048576,"Mangold",Archives!$Y$2:$Y$1048576,"Piegari",Archives!$AB$2:$AB$1048576,"W")+COUNTIFS(Archives!$S$2:$S$1048576,"Doubles",Archives!$V$2:$V$1048576,"Piegari",Archives!$Y$2:$Y$1048576,"Mangold",Archives!$AB$2:$AB$1048576,"W")</f>
        <v>0</v>
      </c>
      <c r="K158" s="43">
        <f>COUNTIFS(Archives!$S$2:$S$1048576,"Doubles",Archives!$V$2:$V$1048576,"Mangold",Archives!$Y$2:$Y$1048576,"Piegari",Archives!$AB$2:$AB$1048576,"L")+COUNTIFS(Archives!$S$2:$S$1048576,"Doubles",Archives!$V$2:$V$1048576,"Piegari",Archives!$Y$2:$Y$1048576,"Mangold",Archives!$AB$2:$AB$1048576,"L")</f>
        <v>2</v>
      </c>
      <c r="L158" s="43">
        <f>COUNTIFS(Archives!$S$2:$S$1048576,"Doubles",Archives!$V$2:$V$1048576,"Mangold",Archives!$Y$2:$Y$1048576,"Piegari",Archives!$AB$2:$AB$1048576,"T")+COUNTIFS(Archives!$S$2:$S$1048576,"Doubles",Archives!$V$2:$V$1048576,"Piegari",Archives!$Y$2:$Y$1048576,"Mangold",Archives!$AB$2:$AB$1048576,"T")</f>
        <v>0</v>
      </c>
      <c r="M158" s="44">
        <f t="shared" si="10"/>
        <v>0</v>
      </c>
      <c r="N158" s="43">
        <f t="shared" si="11"/>
        <v>2</v>
      </c>
    </row>
    <row r="159" spans="9:14" ht="15" customHeight="1" x14ac:dyDescent="0.2">
      <c r="I159" s="31" t="s">
        <v>1012</v>
      </c>
      <c r="J159" s="40">
        <f>COUNTIFS(Archives!$S$2:$S$1048576,"Doubles",Archives!$V$2:$V$1048576,"Norat",Archives!$Y$2:$Y$1048576,"Poirier",Archives!$AB$2:$AB$1048576,"W")+COUNTIFS(Archives!$S$2:$S$1048576,"Doubles",Archives!$V$2:$V$1048576,"Poirier",Archives!$Y$2:$Y$1048576,"Norat",Archives!$AB$2:$AB$1048576,"W")</f>
        <v>0</v>
      </c>
      <c r="K159" s="40">
        <f>COUNTIFS(Archives!$S$2:$S$1048576,"Doubles",Archives!$V$2:$V$1048576,"Norat",Archives!$Y$2:$Y$1048576,"Poirier",Archives!$AB$2:$AB$1048576,"L")+COUNTIFS(Archives!$S$2:$S$1048576,"Doubles",Archives!$V$2:$V$1048576,"Poirier",Archives!$Y$2:$Y$1048576,"Norat",Archives!$AB$2:$AB$1048576,"L")</f>
        <v>2</v>
      </c>
      <c r="L159" s="40">
        <f>COUNTIFS(Archives!$S$2:$S$1048576,"Doubles",Archives!$V$2:$V$1048576,"Norat",Archives!$Y$2:$Y$1048576,"Poirier",Archives!$AB$2:$AB$1048576,"T")+COUNTIFS(Archives!$S$2:$S$1048576,"Doubles",Archives!$V$2:$V$1048576,"Poirier",Archives!$Y$2:$Y$1048576,"Norat",Archives!$AB$2:$AB$1048576,"T")</f>
        <v>0</v>
      </c>
      <c r="M159" s="41">
        <f t="shared" si="10"/>
        <v>0</v>
      </c>
      <c r="N159" s="40">
        <f t="shared" si="11"/>
        <v>2</v>
      </c>
    </row>
    <row r="160" spans="9:14" ht="15" customHeight="1" x14ac:dyDescent="0.2">
      <c r="I160" s="34" t="s">
        <v>1013</v>
      </c>
      <c r="J160" s="43">
        <f>COUNTIFS(Archives!$S$2:$S$1048576,"Doubles",Archives!$V$2:$V$1048576,"Perkins",Archives!$Y$2:$Y$1048576,"Shively",Archives!$AB$2:$AB$1048576,"W")+COUNTIFS(Archives!$S$2:$S$1048576,"Doubles",Archives!$V$2:$V$1048576,"Shively",Archives!$Y$2:$Y$1048576,"Perkins",Archives!$AB$2:$AB$1048576,"W")</f>
        <v>0</v>
      </c>
      <c r="K160" s="43">
        <f>COUNTIFS(Archives!$S$2:$S$1048576,"Doubles",Archives!$V$2:$V$1048576,"Perkins",Archives!$Y$2:$Y$1048576,"Shively",Archives!$AB$2:$AB$1048576,"L")+COUNTIFS(Archives!$S$2:$S$1048576,"Doubles",Archives!$V$2:$V$1048576,"Shively",Archives!$Y$2:$Y$1048576,"Perkins",Archives!$AB$2:$AB$1048576,"L")</f>
        <v>2</v>
      </c>
      <c r="L160" s="43">
        <f>COUNTIFS(Archives!$S$2:$S$1048576,"Doubles",Archives!$V$2:$V$1048576,"Perkins",Archives!$Y$2:$Y$1048576,"Shively",Archives!$AB$2:$AB$1048576,"T")+COUNTIFS(Archives!$S$2:$S$1048576,"Doubles",Archives!$V$2:$V$1048576,"Shively",Archives!$Y$2:$Y$1048576,"Perkins",Archives!$AB$2:$AB$1048576,"T")</f>
        <v>0</v>
      </c>
      <c r="M160" s="44">
        <f t="shared" si="10"/>
        <v>0</v>
      </c>
      <c r="N160" s="43">
        <f t="shared" si="11"/>
        <v>2</v>
      </c>
    </row>
    <row r="161" spans="9:14" ht="15" customHeight="1" x14ac:dyDescent="0.2">
      <c r="I161" s="31" t="s">
        <v>1014</v>
      </c>
      <c r="J161" s="40">
        <f>COUNTIFS(Archives!$S$2:$S$1048576,"Doubles",Archives!$V$2:$V$1048576,"Piegari",Archives!$Y$2:$Y$1048576,"Zimmer",Archives!$AB$2:$AB$1048576,"W")+COUNTIFS(Archives!$S$2:$S$1048576,"Doubles",Archives!$V$2:$V$1048576,"Zimmer",Archives!$Y$2:$Y$1048576,"Piegari",Archives!$AB$2:$AB$1048576,"W")</f>
        <v>0</v>
      </c>
      <c r="K161" s="40">
        <f>COUNTIFS(Archives!$S$2:$S$1048576,"Doubles",Archives!$V$2:$V$1048576,"Piegari",Archives!$Y$2:$Y$1048576,"Zimmer",Archives!$AB$2:$AB$1048576,"L")+COUNTIFS(Archives!$S$2:$S$1048576,"Doubles",Archives!$V$2:$V$1048576,"Zimmer",Archives!$Y$2:$Y$1048576,"Piegari",Archives!$AB$2:$AB$1048576,"L")</f>
        <v>2</v>
      </c>
      <c r="L161" s="40">
        <f>COUNTIFS(Archives!$S$2:$S$1048576,"Doubles",Archives!$V$2:$V$1048576,"Piegari",Archives!$Y$2:$Y$1048576,"Zimmer",Archives!$AB$2:$AB$1048576,"T")+COUNTIFS(Archives!$S$2:$S$1048576,"Doubles",Archives!$V$2:$V$1048576,"Zimmer",Archives!$Y$2:$Y$1048576,"Piegari",Archives!$AB$2:$AB$1048576,"T")</f>
        <v>0</v>
      </c>
      <c r="M161" s="41">
        <f t="shared" si="10"/>
        <v>0</v>
      </c>
      <c r="N161" s="40">
        <f t="shared" si="11"/>
        <v>2</v>
      </c>
    </row>
    <row r="162" spans="9:14" ht="15" customHeight="1" x14ac:dyDescent="0.2">
      <c r="I162" s="34" t="s">
        <v>1015</v>
      </c>
      <c r="J162" s="43">
        <f>COUNTIFS(Archives!$S$2:$S$1048576,"Doubles",Archives!$V$2:$V$1048576,"Welker",Archives!$Y$2:$Y$1048576,"Zimmer",Archives!$AB$2:$AB$1048576,"W")+COUNTIFS(Archives!$S$2:$S$1048576,"Doubles",Archives!$V$2:$V$1048576,"Zimmer",Archives!$Y$2:$Y$1048576,"Welker",Archives!$AB$2:$AB$1048576,"W")</f>
        <v>0</v>
      </c>
      <c r="K162" s="43">
        <f>COUNTIFS(Archives!$S$2:$S$1048576,"Doubles",Archives!$V$2:$V$1048576,"Welker",Archives!$Y$2:$Y$1048576,"Zimmer",Archives!$AB$2:$AB$1048576,"L")+COUNTIFS(Archives!$S$2:$S$1048576,"Doubles",Archives!$V$2:$V$1048576,"Zimmer",Archives!$Y$2:$Y$1048576,"Welker",Archives!$AB$2:$AB$1048576,"L")</f>
        <v>2</v>
      </c>
      <c r="L162" s="43">
        <f>COUNTIFS(Archives!$S$2:$S$1048576,"Doubles",Archives!$V$2:$V$1048576,"Welker",Archives!$Y$2:$Y$1048576,"Zimmer",Archives!$AB$2:$AB$1048576,"T")+COUNTIFS(Archives!$S$2:$S$1048576,"Doubles",Archives!$V$2:$V$1048576,"Zimmer",Archives!$Y$2:$Y$1048576,"Welker",Archives!$AB$2:$AB$1048576,"T")</f>
        <v>0</v>
      </c>
      <c r="M162" s="44">
        <f t="shared" si="10"/>
        <v>0</v>
      </c>
      <c r="N162" s="43">
        <f t="shared" si="11"/>
        <v>2</v>
      </c>
    </row>
    <row r="163" spans="9:14" ht="15" customHeight="1" x14ac:dyDescent="0.2">
      <c r="I163" s="31" t="s">
        <v>1307</v>
      </c>
      <c r="J163" s="40">
        <f>COUNTIFS(Archives!$S$2:$S$1048576,"Doubles",Archives!$V$2:$V$1048576,"Bussiculo",Archives!$Y$2:$Y$1048576,"Cole",Archives!$AB$2:$AB$1048576,"W")+COUNTIFS(Archives!$S$2:$S$1048576,"Doubles",Archives!$V$2:$V$1048576,"Cole",Archives!$Y$2:$Y$1048576,"Bussiculo",Archives!$AB$2:$AB$1048576,"W")</f>
        <v>0</v>
      </c>
      <c r="K163" s="40">
        <f>COUNTIFS(Archives!$S$2:$S$1048576,"Doubles",Archives!$V$2:$V$1048576,"Bussiculo",Archives!$Y$2:$Y$1048576,"Cole",Archives!$AB$2:$AB$1048576,"L")+COUNTIFS(Archives!$S$2:$S$1048576,"Doubles",Archives!$V$2:$V$1048576,"Cole",Archives!$Y$2:$Y$1048576,"Bussiculo",Archives!$AB$2:$AB$1048576,"L")</f>
        <v>1</v>
      </c>
      <c r="L163" s="40">
        <f>COUNTIFS(Archives!$S$2:$S$1048576,"Doubles",Archives!$V$2:$V$1048576,"Bussiculo",Archives!$Y$2:$Y$1048576,"Cole",Archives!$AB$2:$AB$1048576,"T")+COUNTIFS(Archives!$S$2:$S$1048576,"Doubles",Archives!$V$2:$V$1048576,"Cole",Archives!$Y$2:$Y$1048576,"Bussiculo",Archives!$AB$2:$AB$1048576,"T")</f>
        <v>0</v>
      </c>
      <c r="M163" s="41">
        <f t="shared" si="10"/>
        <v>0</v>
      </c>
      <c r="N163" s="40">
        <f t="shared" si="11"/>
        <v>1</v>
      </c>
    </row>
    <row r="164" spans="9:14" ht="15" customHeight="1" x14ac:dyDescent="0.2">
      <c r="I164" s="34" t="s">
        <v>1016</v>
      </c>
      <c r="J164" s="43">
        <f>COUNTIFS(Archives!$S$2:$S$1048576,"Doubles",Archives!$V$2:$V$1048576,"Delaney",Archives!$Y$2:$Y$1048576,"Ferrin",Archives!$AB$2:$AB$1048576,"W")+COUNTIFS(Archives!$S$2:$S$1048576,"Doubles",Archives!$V$2:$V$1048576,"Ferrin",Archives!$Y$2:$Y$1048576,"Delaney",Archives!$AB$2:$AB$1048576,"W")</f>
        <v>0</v>
      </c>
      <c r="K164" s="43">
        <f>COUNTIFS(Archives!$S$2:$S$1048576,"Doubles",Archives!$V$2:$V$1048576,"Delaney",Archives!$Y$2:$Y$1048576,"Ferrin",Archives!$AB$2:$AB$1048576,"L")+COUNTIFS(Archives!$S$2:$S$1048576,"Doubles",Archives!$V$2:$V$1048576,"Ferrin",Archives!$Y$2:$Y$1048576,"Delaney",Archives!$AB$2:$AB$1048576,"L")</f>
        <v>1</v>
      </c>
      <c r="L164" s="43">
        <f>COUNTIFS(Archives!$S$2:$S$1048576,"Doubles",Archives!$V$2:$V$1048576,"Delaney",Archives!$Y$2:$Y$1048576,"Ferrin",Archives!$AB$2:$AB$1048576,"T")+COUNTIFS(Archives!$S$2:$S$1048576,"Doubles",Archives!$V$2:$V$1048576,"Ferrin",Archives!$Y$2:$Y$1048576,"Delaney",Archives!$AB$2:$AB$1048576,"T")</f>
        <v>0</v>
      </c>
      <c r="M164" s="44">
        <f t="shared" si="10"/>
        <v>0</v>
      </c>
      <c r="N164" s="43">
        <f t="shared" si="11"/>
        <v>1</v>
      </c>
    </row>
    <row r="165" spans="9:14" ht="15" customHeight="1" x14ac:dyDescent="0.2">
      <c r="I165" s="31" t="s">
        <v>1017</v>
      </c>
      <c r="J165" s="40">
        <f>COUNTIFS(Archives!$S$2:$S$1048576,"Doubles",Archives!$V$2:$V$1048576,"Flanders",Archives!$Y$2:$Y$1048576,"Zimmer",Archives!$AB$2:$AB$1048576,"W")+COUNTIFS(Archives!$S$2:$S$1048576,"Doubles",Archives!$V$2:$V$1048576,"Zimmer",Archives!$Y$2:$Y$1048576,"Flanders",Archives!$AB$2:$AB$1048576,"W")</f>
        <v>0</v>
      </c>
      <c r="K165" s="40">
        <f>COUNTIFS(Archives!$S$2:$S$1048576,"Doubles",Archives!$V$2:$V$1048576,"Flanders",Archives!$Y$2:$Y$1048576,"Zimmer",Archives!$AB$2:$AB$1048576,"L")+COUNTIFS(Archives!$S$2:$S$1048576,"Doubles",Archives!$V$2:$V$1048576,"Zimmer",Archives!$Y$2:$Y$1048576,"Flanders",Archives!$AB$2:$AB$1048576,"L")</f>
        <v>1</v>
      </c>
      <c r="L165" s="40">
        <f>COUNTIFS(Archives!$S$2:$S$1048576,"Doubles",Archives!$V$2:$V$1048576,"Flanders",Archives!$Y$2:$Y$1048576,"Zimmer",Archives!$AB$2:$AB$1048576,"T")+COUNTIFS(Archives!$S$2:$S$1048576,"Doubles",Archives!$V$2:$V$1048576,"Zimmer",Archives!$Y$2:$Y$1048576,"Flanders",Archives!$AB$2:$AB$1048576,"T")</f>
        <v>0</v>
      </c>
      <c r="M165" s="41">
        <f t="shared" ref="M165:M169" si="12">IF(N165=0,0,(J165+0.5*L165)/N165)</f>
        <v>0</v>
      </c>
      <c r="N165" s="40">
        <f t="shared" si="11"/>
        <v>1</v>
      </c>
    </row>
    <row r="166" spans="9:14" ht="15" customHeight="1" x14ac:dyDescent="0.2">
      <c r="I166" s="34" t="s">
        <v>1018</v>
      </c>
      <c r="J166" s="43">
        <f>COUNTIFS(Archives!$S$2:$S$1048576,"Doubles",Archives!$V$2:$V$1048576,"Forster",Archives!$Y$2:$Y$1048576,"Mangold",Archives!$AB$2:$AB$1048576,"W")+COUNTIFS(Archives!$S$2:$S$1048576,"Doubles",Archives!$V$2:$V$1048576,"Mangold",Archives!$Y$2:$Y$1048576,"Forster",Archives!$AB$2:$AB$1048576,"W")</f>
        <v>0</v>
      </c>
      <c r="K166" s="43">
        <f>COUNTIFS(Archives!$S$2:$S$1048576,"Doubles",Archives!$V$2:$V$1048576,"Forster",Archives!$Y$2:$Y$1048576,"Mangold",Archives!$AB$2:$AB$1048576,"L")+COUNTIFS(Archives!$S$2:$S$1048576,"Doubles",Archives!$V$2:$V$1048576,"Mangold",Archives!$Y$2:$Y$1048576,"Forster",Archives!$AB$2:$AB$1048576,"L")</f>
        <v>1</v>
      </c>
      <c r="L166" s="43">
        <f>COUNTIFS(Archives!$S$2:$S$1048576,"Doubles",Archives!$V$2:$V$1048576,"Forster",Archives!$Y$2:$Y$1048576,"Mangold",Archives!$AB$2:$AB$1048576,"T")+COUNTIFS(Archives!$S$2:$S$1048576,"Doubles",Archives!$V$2:$V$1048576,"Mangold",Archives!$Y$2:$Y$1048576,"Forster",Archives!$AB$2:$AB$1048576,"T")</f>
        <v>0</v>
      </c>
      <c r="M166" s="44">
        <f t="shared" si="12"/>
        <v>0</v>
      </c>
      <c r="N166" s="43">
        <f t="shared" si="11"/>
        <v>1</v>
      </c>
    </row>
    <row r="167" spans="9:14" ht="15" customHeight="1" x14ac:dyDescent="0.2">
      <c r="I167" s="31" t="s">
        <v>1019</v>
      </c>
      <c r="J167" s="40">
        <f>COUNTIFS(Archives!$S$2:$S$1048576,"Doubles",Archives!$V$2:$V$1048576,"McInerney",Archives!$Y$2:$Y$1048576,"Zimmer",Archives!$AB$2:$AB$1048576,"W")+COUNTIFS(Archives!$S$2:$S$1048576,"Doubles",Archives!$V$2:$V$1048576,"Zimmer",Archives!$Y$2:$Y$1048576,"McInerney",Archives!$AB$2:$AB$1048576,"W")</f>
        <v>0</v>
      </c>
      <c r="K167" s="40">
        <f>COUNTIFS(Archives!$S$2:$S$1048576,"Doubles",Archives!$V$2:$V$1048576,"McInerney",Archives!$Y$2:$Y$1048576,"Zimmer",Archives!$AB$2:$AB$1048576,"L")+COUNTIFS(Archives!$S$2:$S$1048576,"Doubles",Archives!$V$2:$V$1048576,"Zimmer",Archives!$Y$2:$Y$1048576,"McInerney",Archives!$AB$2:$AB$1048576,"L")</f>
        <v>1</v>
      </c>
      <c r="L167" s="40">
        <f>COUNTIFS(Archives!$S$2:$S$1048576,"Doubles",Archives!$V$2:$V$1048576,"McInerney",Archives!$Y$2:$Y$1048576,"Zimmer",Archives!$AB$2:$AB$1048576,"T")+COUNTIFS(Archives!$S$2:$S$1048576,"Doubles",Archives!$V$2:$V$1048576,"Zimmer",Archives!$Y$2:$Y$1048576,"McInerney",Archives!$AB$2:$AB$1048576,"T")</f>
        <v>0</v>
      </c>
      <c r="M167" s="41">
        <f t="shared" si="12"/>
        <v>0</v>
      </c>
      <c r="N167" s="40">
        <f t="shared" si="11"/>
        <v>1</v>
      </c>
    </row>
    <row r="168" spans="9:14" ht="15" customHeight="1" x14ac:dyDescent="0.2">
      <c r="I168" s="34" t="s">
        <v>1020</v>
      </c>
      <c r="J168" s="43">
        <f>COUNTIFS(Archives!$S$2:$S$1048576,"Doubles",Archives!$V$2:$V$1048576,"Perkins",Archives!$Y$2:$Y$1048576,"R. Connolly",Archives!$AB$2:$AB$1048576,"W")+COUNTIFS(Archives!$S$2:$S$1048576,"Doubles",Archives!$V$2:$V$1048576,"R. Connolly",Archives!$Y$2:$Y$1048576,"Perkins",Archives!$AB$2:$AB$1048576,"W")</f>
        <v>0</v>
      </c>
      <c r="K168" s="43">
        <f>COUNTIFS(Archives!$S$2:$S$1048576,"Doubles",Archives!$V$2:$V$1048576,"Perkins",Archives!$Y$2:$Y$1048576,"R. Connolly",Archives!$AB$2:$AB$1048576,"L")+COUNTIFS(Archives!$S$2:$S$1048576,"Doubles",Archives!$V$2:$V$1048576,"R. Connolly",Archives!$Y$2:$Y$1048576,"Perkins",Archives!$AB$2:$AB$1048576,"L")</f>
        <v>1</v>
      </c>
      <c r="L168" s="43">
        <f>COUNTIFS(Archives!$S$2:$S$1048576,"Doubles",Archives!$V$2:$V$1048576,"Perkins",Archives!$Y$2:$Y$1048576,"R. Connolly",Archives!$AB$2:$AB$1048576,"T")+COUNTIFS(Archives!$S$2:$S$1048576,"Doubles",Archives!$V$2:$V$1048576,"R. Connolly",Archives!$Y$2:$Y$1048576,"Perkins",Archives!$AB$2:$AB$1048576,"T")</f>
        <v>0</v>
      </c>
      <c r="M168" s="44">
        <f t="shared" si="12"/>
        <v>0</v>
      </c>
      <c r="N168" s="43">
        <f t="shared" si="11"/>
        <v>1</v>
      </c>
    </row>
    <row r="169" spans="9:14" ht="15" customHeight="1" x14ac:dyDescent="0.2">
      <c r="I169" s="46" t="s">
        <v>720</v>
      </c>
      <c r="J169" s="47">
        <f>SUM(J5:J168)</f>
        <v>212</v>
      </c>
      <c r="K169" s="47">
        <f>SUM(K5:K168)</f>
        <v>212</v>
      </c>
      <c r="L169" s="47">
        <f>SUM(L5:L168)</f>
        <v>72</v>
      </c>
      <c r="M169" s="48">
        <f t="shared" si="12"/>
        <v>0.5</v>
      </c>
      <c r="N169" s="47">
        <f>SUM(N5:N168)</f>
        <v>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76"/>
  <sheetViews>
    <sheetView zoomScaleNormal="100" workbookViewId="0"/>
  </sheetViews>
  <sheetFormatPr baseColWidth="10" defaultColWidth="8.83203125" defaultRowHeight="15" x14ac:dyDescent="0.2"/>
  <sheetData>
    <row r="1" spans="1:19" ht="15" customHeight="1" x14ac:dyDescent="0.2">
      <c r="A1" s="14"/>
      <c r="B1" s="14"/>
      <c r="C1" s="14" t="s">
        <v>1021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5" customHeight="1" x14ac:dyDescent="0.2">
      <c r="Q2" t="s">
        <v>1022</v>
      </c>
      <c r="R2">
        <v>0.05</v>
      </c>
      <c r="S2" t="s">
        <v>1023</v>
      </c>
    </row>
    <row r="3" spans="1:19" ht="15" customHeight="1" x14ac:dyDescent="0.2">
      <c r="R3">
        <v>5500</v>
      </c>
      <c r="S3" t="s">
        <v>1024</v>
      </c>
    </row>
    <row r="4" spans="1:19" ht="15" customHeight="1" x14ac:dyDescent="0.2">
      <c r="B4" t="s">
        <v>1025</v>
      </c>
      <c r="I4" t="s">
        <v>1026</v>
      </c>
    </row>
    <row r="5" spans="1:19" ht="15" customHeight="1" x14ac:dyDescent="0.2">
      <c r="C5" t="s">
        <v>1027</v>
      </c>
      <c r="D5">
        <v>1000</v>
      </c>
      <c r="R5" t="s">
        <v>1028</v>
      </c>
      <c r="S5" t="s">
        <v>1029</v>
      </c>
    </row>
    <row r="6" spans="1:19" ht="15" customHeight="1" x14ac:dyDescent="0.2">
      <c r="C6" t="s">
        <v>1030</v>
      </c>
      <c r="D6">
        <v>800</v>
      </c>
      <c r="Q6" t="s">
        <v>1031</v>
      </c>
      <c r="R6">
        <v>19493.419999999998</v>
      </c>
      <c r="S6">
        <v>25968.091</v>
      </c>
    </row>
    <row r="7" spans="1:19" ht="15" customHeight="1" x14ac:dyDescent="0.2">
      <c r="C7" t="s">
        <v>1032</v>
      </c>
      <c r="D7">
        <v>100</v>
      </c>
      <c r="I7">
        <v>3945</v>
      </c>
      <c r="J7" t="s">
        <v>1033</v>
      </c>
      <c r="Q7" t="s">
        <v>1034</v>
      </c>
      <c r="R7">
        <v>974.67100000000005</v>
      </c>
      <c r="S7">
        <v>649.20227499999999</v>
      </c>
    </row>
    <row r="8" spans="1:19" ht="15" customHeight="1" x14ac:dyDescent="0.2">
      <c r="C8" t="s">
        <v>1035</v>
      </c>
      <c r="D8">
        <v>50</v>
      </c>
      <c r="I8">
        <v>159.37799999999999</v>
      </c>
      <c r="J8" t="s">
        <v>1036</v>
      </c>
      <c r="Q8" t="s">
        <v>1037</v>
      </c>
      <c r="R8">
        <v>5500</v>
      </c>
      <c r="S8">
        <v>0</v>
      </c>
    </row>
    <row r="9" spans="1:19" ht="15" customHeight="1" x14ac:dyDescent="0.2">
      <c r="C9" t="s">
        <v>1038</v>
      </c>
      <c r="D9">
        <v>50</v>
      </c>
      <c r="I9">
        <v>-580</v>
      </c>
      <c r="J9" t="s">
        <v>1039</v>
      </c>
      <c r="Q9" t="s">
        <v>1040</v>
      </c>
      <c r="R9">
        <v>25968.091</v>
      </c>
      <c r="S9">
        <v>26617.293275</v>
      </c>
    </row>
    <row r="10" spans="1:19" ht="15" customHeight="1" x14ac:dyDescent="0.2">
      <c r="C10" t="s">
        <v>1041</v>
      </c>
      <c r="D10">
        <v>50</v>
      </c>
      <c r="I10">
        <v>3524.3780000000002</v>
      </c>
      <c r="J10" t="s">
        <v>1042</v>
      </c>
    </row>
    <row r="11" spans="1:19" ht="15" customHeight="1" x14ac:dyDescent="0.2">
      <c r="C11" t="s">
        <v>1043</v>
      </c>
      <c r="D11">
        <v>50</v>
      </c>
    </row>
    <row r="12" spans="1:19" ht="15" customHeight="1" x14ac:dyDescent="0.2">
      <c r="C12" t="s">
        <v>1044</v>
      </c>
      <c r="D12">
        <v>50</v>
      </c>
      <c r="I12">
        <v>20</v>
      </c>
      <c r="J12" t="s">
        <v>1045</v>
      </c>
    </row>
    <row r="13" spans="1:19" ht="15" customHeight="1" x14ac:dyDescent="0.2">
      <c r="C13" t="s">
        <v>1044</v>
      </c>
      <c r="D13">
        <v>50</v>
      </c>
      <c r="I13">
        <v>70487.56</v>
      </c>
      <c r="J13" t="s">
        <v>1046</v>
      </c>
      <c r="Q13" t="s">
        <v>1047</v>
      </c>
      <c r="R13">
        <v>7.4999999999999997E-2</v>
      </c>
      <c r="S13" t="s">
        <v>1023</v>
      </c>
    </row>
    <row r="14" spans="1:19" ht="15" customHeight="1" x14ac:dyDescent="0.2">
      <c r="C14" t="s">
        <v>1048</v>
      </c>
      <c r="D14">
        <v>50</v>
      </c>
      <c r="R14">
        <v>6000</v>
      </c>
      <c r="S14" t="s">
        <v>1024</v>
      </c>
    </row>
    <row r="15" spans="1:19" ht="15" customHeight="1" x14ac:dyDescent="0.2">
      <c r="C15" t="s">
        <v>1049</v>
      </c>
      <c r="D15">
        <v>0</v>
      </c>
      <c r="I15">
        <v>19493.419999999998</v>
      </c>
      <c r="J15" t="s">
        <v>1050</v>
      </c>
    </row>
    <row r="16" spans="1:19" ht="15" customHeight="1" x14ac:dyDescent="0.2">
      <c r="C16" t="s">
        <v>1051</v>
      </c>
      <c r="D16">
        <v>2250</v>
      </c>
      <c r="R16" t="s">
        <v>1028</v>
      </c>
      <c r="S16" t="s">
        <v>1029</v>
      </c>
    </row>
    <row r="17" spans="2:19" ht="15" customHeight="1" x14ac:dyDescent="0.2">
      <c r="N17" t="s">
        <v>1052</v>
      </c>
      <c r="Q17" t="s">
        <v>1031</v>
      </c>
      <c r="R17">
        <v>19493.419999999998</v>
      </c>
      <c r="S17">
        <v>26955.426500000001</v>
      </c>
    </row>
    <row r="18" spans="2:19" ht="15" customHeight="1" x14ac:dyDescent="0.2">
      <c r="C18" t="s">
        <v>1053</v>
      </c>
      <c r="E18">
        <v>2250</v>
      </c>
      <c r="I18">
        <v>43870.266725000001</v>
      </c>
      <c r="J18" t="s">
        <v>1054</v>
      </c>
      <c r="Q18" t="s">
        <v>1034</v>
      </c>
      <c r="R18">
        <v>1462.0065</v>
      </c>
      <c r="S18">
        <v>1010.82849375</v>
      </c>
    </row>
    <row r="19" spans="2:19" ht="15" customHeight="1" x14ac:dyDescent="0.2">
      <c r="I19">
        <v>2193.5133362500001</v>
      </c>
      <c r="J19" t="s">
        <v>1055</v>
      </c>
      <c r="N19">
        <v>0.37761689119328301</v>
      </c>
      <c r="Q19" t="s">
        <v>1037</v>
      </c>
      <c r="R19">
        <v>6000</v>
      </c>
      <c r="S19">
        <v>0</v>
      </c>
    </row>
    <row r="20" spans="2:19" ht="15" customHeight="1" x14ac:dyDescent="0.2">
      <c r="B20" t="s">
        <v>1056</v>
      </c>
      <c r="Q20" t="s">
        <v>1040</v>
      </c>
      <c r="R20">
        <v>26955.426500000001</v>
      </c>
      <c r="S20">
        <v>27966.254993750001</v>
      </c>
    </row>
    <row r="21" spans="2:19" ht="15" customHeight="1" x14ac:dyDescent="0.2">
      <c r="C21" t="s">
        <v>1057</v>
      </c>
      <c r="D21">
        <v>530</v>
      </c>
      <c r="I21">
        <v>42521.305006249997</v>
      </c>
      <c r="J21" t="s">
        <v>1058</v>
      </c>
    </row>
    <row r="22" spans="2:19" ht="15" customHeight="1" x14ac:dyDescent="0.2">
      <c r="C22" t="s">
        <v>1059</v>
      </c>
      <c r="D22">
        <v>445</v>
      </c>
      <c r="I22">
        <v>2126.0652503125002</v>
      </c>
      <c r="J22" t="s">
        <v>1060</v>
      </c>
      <c r="N22">
        <v>0.39675447687152199</v>
      </c>
    </row>
    <row r="23" spans="2:19" ht="15" customHeight="1" x14ac:dyDescent="0.2">
      <c r="C23" t="s">
        <v>1061</v>
      </c>
      <c r="D23">
        <v>1500</v>
      </c>
      <c r="Q23" t="s">
        <v>1062</v>
      </c>
      <c r="R23">
        <v>0.1</v>
      </c>
      <c r="S23" t="s">
        <v>1023</v>
      </c>
    </row>
    <row r="24" spans="2:19" ht="15" customHeight="1" x14ac:dyDescent="0.2">
      <c r="C24" t="s">
        <v>1063</v>
      </c>
      <c r="D24">
        <v>-55</v>
      </c>
      <c r="I24">
        <v>40622.659899999999</v>
      </c>
      <c r="J24" t="s">
        <v>1064</v>
      </c>
      <c r="R24">
        <v>7000</v>
      </c>
      <c r="S24" t="s">
        <v>1024</v>
      </c>
    </row>
    <row r="25" spans="2:19" ht="15" customHeight="1" x14ac:dyDescent="0.2">
      <c r="C25" t="s">
        <v>1065</v>
      </c>
      <c r="D25">
        <v>100</v>
      </c>
      <c r="I25">
        <v>2031.1329949999999</v>
      </c>
      <c r="J25" t="s">
        <v>1066</v>
      </c>
      <c r="N25">
        <v>0.42369036607310601</v>
      </c>
    </row>
    <row r="26" spans="2:19" ht="15" customHeight="1" x14ac:dyDescent="0.2">
      <c r="C26" t="s">
        <v>1067</v>
      </c>
      <c r="D26">
        <v>100</v>
      </c>
      <c r="R26" t="s">
        <v>1028</v>
      </c>
      <c r="S26" t="s">
        <v>1029</v>
      </c>
    </row>
    <row r="27" spans="2:19" ht="15" customHeight="1" x14ac:dyDescent="0.2">
      <c r="C27" t="s">
        <v>1068</v>
      </c>
      <c r="D27">
        <v>2620</v>
      </c>
      <c r="Q27" t="s">
        <v>1031</v>
      </c>
      <c r="R27">
        <v>19493.419999999998</v>
      </c>
      <c r="S27">
        <v>28442.761999999999</v>
      </c>
    </row>
    <row r="28" spans="2:19" ht="15" customHeight="1" x14ac:dyDescent="0.2">
      <c r="C28" t="s">
        <v>1069</v>
      </c>
      <c r="D28">
        <v>125</v>
      </c>
      <c r="Q28" t="s">
        <v>1034</v>
      </c>
      <c r="R28">
        <v>1949.3420000000001</v>
      </c>
      <c r="S28">
        <v>1422.1380999999999</v>
      </c>
    </row>
    <row r="29" spans="2:19" ht="15" customHeight="1" x14ac:dyDescent="0.2">
      <c r="Q29" t="s">
        <v>1037</v>
      </c>
      <c r="R29">
        <v>7000</v>
      </c>
      <c r="S29">
        <v>0</v>
      </c>
    </row>
    <row r="30" spans="2:19" ht="15" customHeight="1" x14ac:dyDescent="0.2">
      <c r="C30" t="s">
        <v>1070</v>
      </c>
      <c r="E30">
        <v>5281</v>
      </c>
      <c r="Q30" t="s">
        <v>1040</v>
      </c>
      <c r="R30">
        <v>28442.761999999999</v>
      </c>
      <c r="S30">
        <v>29864.900099999999</v>
      </c>
    </row>
    <row r="32" spans="2:19" ht="15" customHeight="1" x14ac:dyDescent="0.2">
      <c r="B32" t="s">
        <v>1071</v>
      </c>
    </row>
    <row r="33" spans="2:7" ht="15" customHeight="1" x14ac:dyDescent="0.2">
      <c r="C33" t="s">
        <v>1072</v>
      </c>
      <c r="D33">
        <v>1095</v>
      </c>
    </row>
    <row r="34" spans="2:7" ht="15" customHeight="1" x14ac:dyDescent="0.2">
      <c r="C34" t="s">
        <v>1057</v>
      </c>
      <c r="D34">
        <v>1205</v>
      </c>
    </row>
    <row r="35" spans="2:7" ht="15" customHeight="1" x14ac:dyDescent="0.2">
      <c r="C35" t="s">
        <v>1073</v>
      </c>
      <c r="D35">
        <v>3000</v>
      </c>
    </row>
    <row r="36" spans="2:7" ht="15" customHeight="1" x14ac:dyDescent="0.2">
      <c r="C36" t="s">
        <v>1074</v>
      </c>
      <c r="D36">
        <v>500</v>
      </c>
    </row>
    <row r="37" spans="2:7" ht="15" customHeight="1" x14ac:dyDescent="0.2">
      <c r="C37" t="s">
        <v>1063</v>
      </c>
      <c r="D37">
        <v>334.5</v>
      </c>
    </row>
    <row r="38" spans="2:7" ht="15" customHeight="1" x14ac:dyDescent="0.2">
      <c r="C38" t="s">
        <v>1067</v>
      </c>
      <c r="D38">
        <v>12.5</v>
      </c>
    </row>
    <row r="39" spans="2:7" ht="15" customHeight="1" x14ac:dyDescent="0.2">
      <c r="C39" t="s">
        <v>1075</v>
      </c>
      <c r="D39">
        <v>-100</v>
      </c>
    </row>
    <row r="40" spans="2:7" ht="15" customHeight="1" x14ac:dyDescent="0.2">
      <c r="C40" t="s">
        <v>1076</v>
      </c>
      <c r="D40">
        <v>6047</v>
      </c>
    </row>
    <row r="41" spans="2:7" ht="15" customHeight="1" x14ac:dyDescent="0.2">
      <c r="C41" t="s">
        <v>1077</v>
      </c>
      <c r="D41">
        <v>411</v>
      </c>
    </row>
    <row r="43" spans="2:7" ht="15" customHeight="1" x14ac:dyDescent="0.2">
      <c r="C43" t="s">
        <v>1078</v>
      </c>
      <c r="E43">
        <v>13314</v>
      </c>
    </row>
    <row r="45" spans="2:7" ht="15" customHeight="1" x14ac:dyDescent="0.2">
      <c r="B45" t="s">
        <v>1079</v>
      </c>
    </row>
    <row r="46" spans="2:7" ht="15" customHeight="1" x14ac:dyDescent="0.2">
      <c r="C46" t="s">
        <v>1072</v>
      </c>
      <c r="D46">
        <v>1850</v>
      </c>
    </row>
    <row r="47" spans="2:7" ht="15" customHeight="1" x14ac:dyDescent="0.2">
      <c r="C47" t="s">
        <v>1057</v>
      </c>
      <c r="D47">
        <v>2110</v>
      </c>
    </row>
    <row r="48" spans="2:7" ht="63.75" customHeight="1" x14ac:dyDescent="0.2">
      <c r="C48" t="s">
        <v>1073</v>
      </c>
      <c r="D48">
        <v>3000</v>
      </c>
      <c r="G48" s="78" t="s">
        <v>1080</v>
      </c>
    </row>
    <row r="49" spans="3:16" ht="15" customHeight="1" x14ac:dyDescent="0.2">
      <c r="C49" t="s">
        <v>1081</v>
      </c>
      <c r="D49">
        <v>-150</v>
      </c>
      <c r="I49" t="s">
        <v>1082</v>
      </c>
    </row>
    <row r="50" spans="3:16" ht="15" customHeight="1" x14ac:dyDescent="0.2">
      <c r="C50" t="s">
        <v>1063</v>
      </c>
      <c r="D50">
        <v>-393.08</v>
      </c>
      <c r="H50">
        <v>26617.293275</v>
      </c>
      <c r="I50">
        <v>0.03</v>
      </c>
      <c r="J50">
        <v>4.4999999999999998E-2</v>
      </c>
      <c r="K50">
        <v>0.06</v>
      </c>
      <c r="L50">
        <v>7.4999999999999997E-2</v>
      </c>
      <c r="M50">
        <v>0.09</v>
      </c>
      <c r="N50">
        <v>0.105</v>
      </c>
      <c r="O50">
        <v>0.12</v>
      </c>
      <c r="P50">
        <v>0.13500000000000001</v>
      </c>
    </row>
    <row r="51" spans="3:16" ht="15" customHeight="1" x14ac:dyDescent="0.2">
      <c r="C51" t="s">
        <v>1083</v>
      </c>
      <c r="D51">
        <v>-532.5</v>
      </c>
      <c r="H51">
        <v>5000</v>
      </c>
      <c r="I51">
        <v>25454.395939000002</v>
      </c>
      <c r="J51">
        <v>25941.462937749999</v>
      </c>
      <c r="K51">
        <v>26432.915956000001</v>
      </c>
      <c r="L51">
        <v>26928.754993750001</v>
      </c>
      <c r="M51">
        <v>27428.980050999999</v>
      </c>
      <c r="N51">
        <v>27933.591127750002</v>
      </c>
      <c r="O51">
        <v>28442.588223999999</v>
      </c>
      <c r="P51">
        <v>28955.971339750002</v>
      </c>
    </row>
    <row r="52" spans="3:16" ht="15" customHeight="1" x14ac:dyDescent="0.2">
      <c r="C52" t="s">
        <v>1067</v>
      </c>
      <c r="D52">
        <v>95</v>
      </c>
      <c r="H52">
        <v>5200</v>
      </c>
      <c r="I52">
        <v>25657.395939000002</v>
      </c>
      <c r="J52">
        <v>26145.962937749999</v>
      </c>
      <c r="K52">
        <v>26638.915956000001</v>
      </c>
      <c r="L52">
        <v>27136.254993750001</v>
      </c>
      <c r="M52">
        <v>27637.980050999999</v>
      </c>
      <c r="N52">
        <v>28144.091127750002</v>
      </c>
      <c r="O52">
        <v>28654.588223999999</v>
      </c>
      <c r="P52">
        <v>29169.471339750002</v>
      </c>
    </row>
    <row r="53" spans="3:16" ht="15" customHeight="1" x14ac:dyDescent="0.2">
      <c r="C53" t="s">
        <v>1084</v>
      </c>
      <c r="D53">
        <v>200</v>
      </c>
      <c r="H53">
        <v>5400</v>
      </c>
      <c r="I53">
        <v>25860.395939000002</v>
      </c>
      <c r="J53">
        <v>26350.462937749999</v>
      </c>
      <c r="K53">
        <v>26844.915956000001</v>
      </c>
      <c r="L53">
        <v>27343.754993750001</v>
      </c>
      <c r="M53">
        <v>27846.980050999999</v>
      </c>
      <c r="N53">
        <v>28354.591127750002</v>
      </c>
      <c r="O53">
        <v>28866.588223999999</v>
      </c>
      <c r="P53">
        <v>29382.971339750002</v>
      </c>
    </row>
    <row r="54" spans="3:16" ht="15" customHeight="1" x14ac:dyDescent="0.2">
      <c r="C54" t="s">
        <v>1085</v>
      </c>
      <c r="D54">
        <v>755</v>
      </c>
      <c r="H54">
        <v>5600</v>
      </c>
      <c r="I54">
        <v>26063.395939000002</v>
      </c>
      <c r="J54">
        <v>26554.962937749999</v>
      </c>
      <c r="K54">
        <v>27050.915956000001</v>
      </c>
      <c r="L54">
        <v>27551.254993750001</v>
      </c>
      <c r="M54">
        <v>28055.980050999999</v>
      </c>
      <c r="N54">
        <v>28565.091127750002</v>
      </c>
      <c r="O54">
        <v>29078.588223999999</v>
      </c>
      <c r="P54">
        <v>29596.471339750002</v>
      </c>
    </row>
    <row r="55" spans="3:16" ht="15" customHeight="1" x14ac:dyDescent="0.2">
      <c r="H55">
        <v>5800</v>
      </c>
      <c r="I55">
        <v>26266.395939000002</v>
      </c>
      <c r="J55">
        <v>26759.462937749999</v>
      </c>
      <c r="K55">
        <v>27256.915956000001</v>
      </c>
      <c r="L55">
        <v>27758.754993750001</v>
      </c>
      <c r="M55">
        <v>28264.980050999999</v>
      </c>
      <c r="N55">
        <v>28775.591127750002</v>
      </c>
      <c r="O55">
        <v>29290.588223999999</v>
      </c>
      <c r="P55">
        <v>29809.971339750002</v>
      </c>
    </row>
    <row r="56" spans="3:16" ht="15" customHeight="1" x14ac:dyDescent="0.2">
      <c r="C56" t="s">
        <v>1086</v>
      </c>
      <c r="D56">
        <v>6934.42</v>
      </c>
      <c r="G56" t="s">
        <v>1087</v>
      </c>
      <c r="H56">
        <v>6000</v>
      </c>
      <c r="I56">
        <v>26469.395939000002</v>
      </c>
      <c r="J56">
        <v>26963.962937749999</v>
      </c>
      <c r="K56">
        <v>27462.915956000001</v>
      </c>
      <c r="L56">
        <v>27966.254993750001</v>
      </c>
      <c r="M56">
        <v>28473.980050999999</v>
      </c>
      <c r="N56">
        <v>28986.091127750002</v>
      </c>
      <c r="O56">
        <v>29502.588223999999</v>
      </c>
      <c r="P56">
        <v>30023.471339750002</v>
      </c>
    </row>
    <row r="57" spans="3:16" ht="15" customHeight="1" x14ac:dyDescent="0.2">
      <c r="C57" t="s">
        <v>1088</v>
      </c>
      <c r="D57">
        <v>1986</v>
      </c>
      <c r="G57" t="s">
        <v>1089</v>
      </c>
      <c r="H57">
        <v>6200</v>
      </c>
      <c r="I57">
        <v>26672.395939000002</v>
      </c>
      <c r="J57">
        <v>27168.462937749999</v>
      </c>
      <c r="K57">
        <v>27668.915956000001</v>
      </c>
      <c r="L57">
        <v>28173.754993750001</v>
      </c>
      <c r="M57">
        <v>28682.980050999999</v>
      </c>
      <c r="N57">
        <v>29196.591127750002</v>
      </c>
      <c r="O57">
        <v>29714.588223999999</v>
      </c>
      <c r="P57">
        <v>30236.971339750002</v>
      </c>
    </row>
    <row r="58" spans="3:16" ht="15" customHeight="1" x14ac:dyDescent="0.2">
      <c r="H58">
        <v>6400</v>
      </c>
      <c r="I58">
        <v>26875.395939000002</v>
      </c>
      <c r="J58">
        <v>27372.962937749999</v>
      </c>
      <c r="K58">
        <v>27874.915956000001</v>
      </c>
      <c r="L58">
        <v>28381.254993750001</v>
      </c>
      <c r="M58">
        <v>28891.980050999999</v>
      </c>
      <c r="N58">
        <v>29407.091127750002</v>
      </c>
      <c r="O58">
        <v>29926.588223999999</v>
      </c>
      <c r="P58">
        <v>30450.471339750002</v>
      </c>
    </row>
    <row r="59" spans="3:16" ht="15" customHeight="1" x14ac:dyDescent="0.2">
      <c r="C59" t="s">
        <v>1090</v>
      </c>
      <c r="E59">
        <v>19493.419999999998</v>
      </c>
      <c r="H59">
        <v>6600</v>
      </c>
      <c r="I59">
        <v>27078.395939000002</v>
      </c>
      <c r="J59">
        <v>27577.462937749999</v>
      </c>
      <c r="K59">
        <v>28080.915956000001</v>
      </c>
      <c r="L59">
        <v>28588.754993750001</v>
      </c>
      <c r="M59">
        <v>29100.980050999999</v>
      </c>
      <c r="N59">
        <v>29617.591127750002</v>
      </c>
      <c r="O59">
        <v>30138.588223999999</v>
      </c>
      <c r="P59">
        <v>30663.971339750002</v>
      </c>
    </row>
    <row r="60" spans="3:16" ht="15" customHeight="1" x14ac:dyDescent="0.2">
      <c r="H60">
        <v>6800</v>
      </c>
      <c r="I60">
        <v>27281.395939000002</v>
      </c>
      <c r="J60">
        <v>27781.962937749999</v>
      </c>
      <c r="K60">
        <v>28286.915956000001</v>
      </c>
      <c r="L60">
        <v>28796.254993750001</v>
      </c>
      <c r="M60">
        <v>29309.980050999999</v>
      </c>
      <c r="N60">
        <v>29828.091127750002</v>
      </c>
      <c r="O60">
        <v>30350.588223999999</v>
      </c>
      <c r="P60">
        <v>30877.471339750002</v>
      </c>
    </row>
    <row r="61" spans="3:16" ht="15" customHeight="1" x14ac:dyDescent="0.2">
      <c r="H61">
        <v>7000</v>
      </c>
      <c r="I61">
        <v>27484.395939000002</v>
      </c>
      <c r="J61">
        <v>27986.462937749999</v>
      </c>
      <c r="K61">
        <v>28492.915956000001</v>
      </c>
      <c r="L61">
        <v>29003.754993750001</v>
      </c>
      <c r="M61">
        <v>29518.980050999999</v>
      </c>
      <c r="N61">
        <v>30038.591127750002</v>
      </c>
      <c r="O61">
        <v>30562.588223999999</v>
      </c>
      <c r="P61">
        <v>31090.971339750002</v>
      </c>
    </row>
    <row r="63" spans="3:16" ht="15" customHeight="1" x14ac:dyDescent="0.2">
      <c r="G63" t="s">
        <v>1091</v>
      </c>
    </row>
    <row r="64" spans="3:16" ht="15" customHeight="1" x14ac:dyDescent="0.2">
      <c r="I64" t="s">
        <v>1082</v>
      </c>
    </row>
    <row r="65" spans="7:16" ht="15" customHeight="1" x14ac:dyDescent="0.2">
      <c r="H65">
        <v>0.37761689119328301</v>
      </c>
      <c r="I65">
        <v>0.03</v>
      </c>
      <c r="J65">
        <v>4.4999999999999998E-2</v>
      </c>
      <c r="K65">
        <v>0.06</v>
      </c>
      <c r="L65">
        <v>7.4999999999999997E-2</v>
      </c>
      <c r="M65">
        <v>0.09</v>
      </c>
      <c r="N65">
        <v>0.105</v>
      </c>
      <c r="O65">
        <v>0.12</v>
      </c>
      <c r="P65">
        <v>0.13500000000000001</v>
      </c>
    </row>
    <row r="66" spans="7:16" ht="15" customHeight="1" x14ac:dyDescent="0.2">
      <c r="H66">
        <v>5000</v>
      </c>
      <c r="I66">
        <v>0.36111898239916401</v>
      </c>
      <c r="J66">
        <v>0.36802895344582798</v>
      </c>
      <c r="K66">
        <v>0.375001148514717</v>
      </c>
      <c r="L66">
        <v>0.38203556760583002</v>
      </c>
      <c r="M66">
        <v>0.38913221071916798</v>
      </c>
      <c r="N66">
        <v>0.396291077854731</v>
      </c>
      <c r="O66">
        <v>0.40351216901251802</v>
      </c>
      <c r="P66">
        <v>0.41079548419252998</v>
      </c>
    </row>
    <row r="67" spans="7:16" ht="15" customHeight="1" x14ac:dyDescent="0.2">
      <c r="H67">
        <v>5200</v>
      </c>
      <c r="I67">
        <v>0.36399892320006499</v>
      </c>
      <c r="J67">
        <v>0.37093017459747502</v>
      </c>
      <c r="K67">
        <v>0.37792365001710898</v>
      </c>
      <c r="L67">
        <v>0.384979349458968</v>
      </c>
      <c r="M67">
        <v>0.39209727292305202</v>
      </c>
      <c r="N67">
        <v>0.39927742040935998</v>
      </c>
      <c r="O67">
        <v>0.406519791917893</v>
      </c>
      <c r="P67">
        <v>0.41382438744865102</v>
      </c>
    </row>
    <row r="68" spans="7:16" ht="15" customHeight="1" x14ac:dyDescent="0.2">
      <c r="H68">
        <v>5400</v>
      </c>
      <c r="I68">
        <v>0.36687886400096698</v>
      </c>
      <c r="J68">
        <v>0.373831395749122</v>
      </c>
      <c r="K68">
        <v>0.38084615151950202</v>
      </c>
      <c r="L68">
        <v>0.38792313131210698</v>
      </c>
      <c r="M68">
        <v>0.395062335126936</v>
      </c>
      <c r="N68">
        <v>0.40226376296399002</v>
      </c>
      <c r="O68">
        <v>0.40952741482326799</v>
      </c>
      <c r="P68">
        <v>0.41685329070477101</v>
      </c>
    </row>
    <row r="69" spans="7:16" ht="15" customHeight="1" x14ac:dyDescent="0.2">
      <c r="H69">
        <v>5600</v>
      </c>
      <c r="I69">
        <v>0.36975880480186901</v>
      </c>
      <c r="J69">
        <v>0.37673261690076898</v>
      </c>
      <c r="K69">
        <v>0.383768653021895</v>
      </c>
      <c r="L69">
        <v>0.39086691316524502</v>
      </c>
      <c r="M69">
        <v>0.39802739733081999</v>
      </c>
      <c r="N69">
        <v>0.40525010551861901</v>
      </c>
      <c r="O69">
        <v>0.41253503772864297</v>
      </c>
      <c r="P69">
        <v>0.41988219396089199</v>
      </c>
    </row>
    <row r="70" spans="7:16" ht="15" customHeight="1" x14ac:dyDescent="0.2">
      <c r="H70">
        <v>5800</v>
      </c>
      <c r="I70">
        <v>0.37263874560276999</v>
      </c>
      <c r="J70">
        <v>0.37963383805241702</v>
      </c>
      <c r="K70">
        <v>0.38669115452428798</v>
      </c>
      <c r="L70">
        <v>0.39381069501838301</v>
      </c>
      <c r="M70">
        <v>0.40099245953470403</v>
      </c>
      <c r="N70">
        <v>0.40823644807324899</v>
      </c>
      <c r="O70">
        <v>0.41554266063401801</v>
      </c>
      <c r="P70">
        <v>0.42291109721701298</v>
      </c>
    </row>
    <row r="71" spans="7:16" ht="15" customHeight="1" x14ac:dyDescent="0.2">
      <c r="G71" t="s">
        <v>1087</v>
      </c>
      <c r="H71">
        <v>6000</v>
      </c>
      <c r="I71">
        <v>0.37551868640367198</v>
      </c>
      <c r="J71">
        <v>0.382535059204064</v>
      </c>
      <c r="K71">
        <v>0.38961365602668002</v>
      </c>
      <c r="L71">
        <v>0.39675447687152199</v>
      </c>
      <c r="M71">
        <v>0.40395752173858801</v>
      </c>
      <c r="N71">
        <v>0.41122279062787798</v>
      </c>
      <c r="O71">
        <v>0.418550283539393</v>
      </c>
      <c r="P71">
        <v>0.42594000047313302</v>
      </c>
    </row>
    <row r="72" spans="7:16" ht="15" customHeight="1" x14ac:dyDescent="0.2">
      <c r="G72" t="s">
        <v>1089</v>
      </c>
      <c r="H72">
        <v>6200</v>
      </c>
      <c r="I72">
        <v>0.37839862720457301</v>
      </c>
      <c r="J72">
        <v>0.38543628035571098</v>
      </c>
      <c r="K72">
        <v>0.392536157529073</v>
      </c>
      <c r="L72">
        <v>0.39969825872466003</v>
      </c>
      <c r="M72">
        <v>0.40692258394247199</v>
      </c>
      <c r="N72">
        <v>0.41420913318250802</v>
      </c>
      <c r="O72">
        <v>0.42155790644476798</v>
      </c>
      <c r="P72">
        <v>0.428968903729254</v>
      </c>
    </row>
    <row r="73" spans="7:16" ht="15" customHeight="1" x14ac:dyDescent="0.2">
      <c r="H73">
        <v>6400</v>
      </c>
      <c r="I73">
        <v>0.38127856800547499</v>
      </c>
      <c r="J73">
        <v>0.38833750150735802</v>
      </c>
      <c r="K73">
        <v>0.39545865903146599</v>
      </c>
      <c r="L73">
        <v>0.40264204057779801</v>
      </c>
      <c r="M73">
        <v>0.40988764614635498</v>
      </c>
      <c r="N73">
        <v>0.417195475737137</v>
      </c>
      <c r="O73">
        <v>0.42456552935014402</v>
      </c>
      <c r="P73">
        <v>0.43199780698537499</v>
      </c>
    </row>
    <row r="74" spans="7:16" ht="15" customHeight="1" x14ac:dyDescent="0.2">
      <c r="H74">
        <v>6600</v>
      </c>
      <c r="I74">
        <v>0.38415850880637697</v>
      </c>
      <c r="J74">
        <v>0.391238722659005</v>
      </c>
      <c r="K74">
        <v>0.39838116053385902</v>
      </c>
      <c r="L74">
        <v>0.40558582243093699</v>
      </c>
      <c r="M74">
        <v>0.41285270835023902</v>
      </c>
      <c r="N74">
        <v>0.42018181829176698</v>
      </c>
      <c r="O74">
        <v>0.42757315225551901</v>
      </c>
      <c r="P74">
        <v>0.43502671024149497</v>
      </c>
    </row>
    <row r="75" spans="7:16" ht="15" customHeight="1" x14ac:dyDescent="0.2">
      <c r="H75">
        <v>6800</v>
      </c>
      <c r="I75">
        <v>0.38703844960727801</v>
      </c>
      <c r="J75">
        <v>0.39413994381065298</v>
      </c>
      <c r="K75">
        <v>0.40130366203625201</v>
      </c>
      <c r="L75">
        <v>0.40852960428407498</v>
      </c>
      <c r="M75">
        <v>0.415817770554123</v>
      </c>
      <c r="N75">
        <v>0.42316816084639602</v>
      </c>
      <c r="O75">
        <v>0.43058077516089399</v>
      </c>
      <c r="P75">
        <v>0.43805561349761601</v>
      </c>
    </row>
    <row r="76" spans="7:16" ht="15" customHeight="1" x14ac:dyDescent="0.2">
      <c r="H76">
        <v>7000</v>
      </c>
      <c r="I76">
        <v>0.38991839040817999</v>
      </c>
      <c r="J76">
        <v>0.39704116496230002</v>
      </c>
      <c r="K76">
        <v>0.40422616353864399</v>
      </c>
      <c r="L76">
        <v>0.41147338613721302</v>
      </c>
      <c r="M76">
        <v>0.41878283275800698</v>
      </c>
      <c r="N76">
        <v>0.42615450340102601</v>
      </c>
      <c r="O76">
        <v>0.43358839806626898</v>
      </c>
      <c r="P76">
        <v>0.441084516753736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4"/>
  <sheetViews>
    <sheetView zoomScaleNormal="100" workbookViewId="0"/>
  </sheetViews>
  <sheetFormatPr baseColWidth="10" defaultColWidth="8.83203125" defaultRowHeight="15" x14ac:dyDescent="0.2"/>
  <sheetData>
    <row r="1" spans="1:14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4" spans="1:14" ht="15" customHeight="1" x14ac:dyDescent="0.2">
      <c r="D4" t="s">
        <v>70</v>
      </c>
      <c r="E4" t="s">
        <v>1092</v>
      </c>
      <c r="F4" t="s">
        <v>1093</v>
      </c>
      <c r="G4" t="s">
        <v>1094</v>
      </c>
      <c r="H4" t="s">
        <v>1095</v>
      </c>
      <c r="I4" t="s">
        <v>1096</v>
      </c>
      <c r="J4" t="s">
        <v>1097</v>
      </c>
      <c r="K4" t="s">
        <v>1098</v>
      </c>
      <c r="L4" t="s">
        <v>1099</v>
      </c>
      <c r="N4" t="s">
        <v>1100</v>
      </c>
    </row>
    <row r="5" spans="1:14" ht="96" customHeight="1" x14ac:dyDescent="0.2">
      <c r="D5">
        <v>1</v>
      </c>
      <c r="E5" s="78" t="s">
        <v>1101</v>
      </c>
      <c r="F5">
        <v>4</v>
      </c>
      <c r="G5">
        <v>3</v>
      </c>
      <c r="H5">
        <v>2</v>
      </c>
      <c r="I5">
        <v>3</v>
      </c>
      <c r="J5">
        <v>1</v>
      </c>
      <c r="K5">
        <v>2</v>
      </c>
      <c r="L5">
        <v>4</v>
      </c>
      <c r="N5">
        <v>2.71428571428571</v>
      </c>
    </row>
    <row r="6" spans="1:14" ht="15" customHeight="1" x14ac:dyDescent="0.2">
      <c r="F6" t="s">
        <v>1102</v>
      </c>
      <c r="G6" t="s">
        <v>1103</v>
      </c>
      <c r="H6" t="s">
        <v>1104</v>
      </c>
      <c r="I6" t="s">
        <v>1105</v>
      </c>
      <c r="J6" t="s">
        <v>1106</v>
      </c>
      <c r="K6" t="s">
        <v>1105</v>
      </c>
      <c r="L6" t="s">
        <v>1107</v>
      </c>
    </row>
    <row r="7" spans="1:14" ht="111.75" customHeight="1" x14ac:dyDescent="0.2">
      <c r="D7">
        <v>2</v>
      </c>
      <c r="E7" s="78" t="s">
        <v>1108</v>
      </c>
      <c r="F7">
        <v>4</v>
      </c>
      <c r="G7">
        <v>4</v>
      </c>
      <c r="H7">
        <v>3</v>
      </c>
      <c r="I7">
        <v>4</v>
      </c>
      <c r="J7">
        <v>4</v>
      </c>
      <c r="K7">
        <v>4</v>
      </c>
      <c r="L7">
        <v>4</v>
      </c>
      <c r="N7">
        <v>3.8571428571428599</v>
      </c>
    </row>
    <row r="8" spans="1:14" ht="255.75" customHeight="1" x14ac:dyDescent="0.2">
      <c r="F8" t="s">
        <v>1109</v>
      </c>
      <c r="G8" s="78" t="s">
        <v>1110</v>
      </c>
      <c r="H8" t="s">
        <v>1111</v>
      </c>
      <c r="I8" t="s">
        <v>1112</v>
      </c>
      <c r="J8" t="s">
        <v>1113</v>
      </c>
      <c r="K8" t="s">
        <v>1114</v>
      </c>
      <c r="L8" t="s">
        <v>1115</v>
      </c>
    </row>
    <row r="9" spans="1:14" ht="79.5" customHeight="1" x14ac:dyDescent="0.2">
      <c r="D9">
        <v>3</v>
      </c>
      <c r="E9" s="78" t="s">
        <v>1116</v>
      </c>
      <c r="F9">
        <v>4</v>
      </c>
      <c r="G9">
        <v>5</v>
      </c>
      <c r="H9">
        <v>5</v>
      </c>
      <c r="I9">
        <v>4</v>
      </c>
      <c r="J9">
        <v>5</v>
      </c>
      <c r="K9">
        <v>5</v>
      </c>
      <c r="L9">
        <v>3</v>
      </c>
      <c r="N9">
        <v>4.4285714285714297</v>
      </c>
    </row>
    <row r="10" spans="1:14" ht="15" customHeight="1" x14ac:dyDescent="0.2">
      <c r="G10" t="s">
        <v>1117</v>
      </c>
      <c r="H10" t="s">
        <v>1118</v>
      </c>
      <c r="J10" t="s">
        <v>1119</v>
      </c>
      <c r="K10" t="s">
        <v>1120</v>
      </c>
      <c r="L10" t="s">
        <v>1121</v>
      </c>
    </row>
    <row r="11" spans="1:14" ht="63.75" customHeight="1" x14ac:dyDescent="0.2">
      <c r="D11">
        <v>4</v>
      </c>
      <c r="E11" s="78" t="s">
        <v>1122</v>
      </c>
      <c r="F11">
        <v>4</v>
      </c>
      <c r="G11">
        <v>4</v>
      </c>
      <c r="H11">
        <v>4</v>
      </c>
      <c r="I11">
        <v>2</v>
      </c>
      <c r="J11">
        <v>4</v>
      </c>
      <c r="K11">
        <v>3</v>
      </c>
      <c r="L11">
        <v>4</v>
      </c>
      <c r="N11">
        <v>3.5714285714285698</v>
      </c>
    </row>
    <row r="12" spans="1:14" ht="15" customHeight="1" x14ac:dyDescent="0.2">
      <c r="F12" t="s">
        <v>1123</v>
      </c>
      <c r="J12" t="s">
        <v>1124</v>
      </c>
      <c r="L12" t="s">
        <v>1115</v>
      </c>
    </row>
    <row r="13" spans="1:14" ht="96" customHeight="1" x14ac:dyDescent="0.2">
      <c r="D13">
        <v>5</v>
      </c>
      <c r="E13" s="78" t="s">
        <v>1125</v>
      </c>
      <c r="F13">
        <v>3</v>
      </c>
      <c r="G13">
        <v>1</v>
      </c>
      <c r="H13">
        <v>2</v>
      </c>
      <c r="I13">
        <v>2</v>
      </c>
      <c r="J13">
        <v>2</v>
      </c>
      <c r="K13">
        <v>4</v>
      </c>
      <c r="L13">
        <v>4</v>
      </c>
      <c r="N13">
        <v>2.5714285714285698</v>
      </c>
    </row>
    <row r="14" spans="1:14" ht="15" customHeight="1" x14ac:dyDescent="0.2">
      <c r="G14" t="s">
        <v>1126</v>
      </c>
      <c r="H14" t="s">
        <v>1127</v>
      </c>
      <c r="I14" t="s">
        <v>1128</v>
      </c>
      <c r="J14" t="s">
        <v>1129</v>
      </c>
      <c r="K14" t="s">
        <v>1130</v>
      </c>
      <c r="L14" t="s">
        <v>1131</v>
      </c>
    </row>
    <row r="15" spans="1:14" ht="48" customHeight="1" x14ac:dyDescent="0.2">
      <c r="D15">
        <v>6</v>
      </c>
      <c r="E15" s="78" t="s">
        <v>1132</v>
      </c>
      <c r="F15">
        <v>5</v>
      </c>
      <c r="G15">
        <v>3</v>
      </c>
      <c r="H15">
        <v>5</v>
      </c>
      <c r="I15">
        <v>5</v>
      </c>
      <c r="J15">
        <v>5</v>
      </c>
      <c r="K15">
        <v>4</v>
      </c>
      <c r="L15">
        <v>3</v>
      </c>
      <c r="N15">
        <v>4.28571428571429</v>
      </c>
    </row>
    <row r="16" spans="1:14" ht="15" customHeight="1" x14ac:dyDescent="0.2">
      <c r="G16" t="s">
        <v>1133</v>
      </c>
      <c r="H16" t="s">
        <v>1134</v>
      </c>
      <c r="I16" t="s">
        <v>1135</v>
      </c>
      <c r="J16" t="s">
        <v>1136</v>
      </c>
      <c r="K16" t="s">
        <v>1137</v>
      </c>
      <c r="L16" t="s">
        <v>1138</v>
      </c>
    </row>
    <row r="17" spans="4:14" ht="96" customHeight="1" x14ac:dyDescent="0.2">
      <c r="D17">
        <v>7</v>
      </c>
      <c r="E17" s="78" t="s">
        <v>1139</v>
      </c>
      <c r="F17">
        <v>5</v>
      </c>
      <c r="G17">
        <v>5</v>
      </c>
      <c r="H17">
        <v>5</v>
      </c>
      <c r="I17">
        <v>5</v>
      </c>
      <c r="J17">
        <v>4</v>
      </c>
      <c r="K17">
        <v>5</v>
      </c>
      <c r="L17">
        <v>4</v>
      </c>
      <c r="N17">
        <v>4.71428571428571</v>
      </c>
    </row>
    <row r="18" spans="4:14" ht="15" customHeight="1" x14ac:dyDescent="0.2">
      <c r="H18" t="s">
        <v>1140</v>
      </c>
      <c r="K18" t="s">
        <v>1141</v>
      </c>
    </row>
    <row r="20" spans="4:14" ht="15" customHeight="1" x14ac:dyDescent="0.2">
      <c r="D20">
        <v>8</v>
      </c>
      <c r="E20" t="s">
        <v>1142</v>
      </c>
      <c r="F20">
        <v>5</v>
      </c>
      <c r="G20">
        <v>4</v>
      </c>
      <c r="H20">
        <v>5</v>
      </c>
      <c r="I20">
        <v>5</v>
      </c>
      <c r="J20">
        <v>3</v>
      </c>
      <c r="K20">
        <v>4</v>
      </c>
      <c r="L20">
        <v>3</v>
      </c>
      <c r="N20">
        <v>4.1428571428571397</v>
      </c>
    </row>
    <row r="21" spans="4:14" ht="15" customHeight="1" x14ac:dyDescent="0.2">
      <c r="J21" t="s">
        <v>1143</v>
      </c>
    </row>
    <row r="23" spans="4:14" ht="15" customHeight="1" x14ac:dyDescent="0.2">
      <c r="D23">
        <v>9</v>
      </c>
      <c r="E23" t="s">
        <v>1144</v>
      </c>
      <c r="F23">
        <v>4</v>
      </c>
      <c r="G23">
        <v>2</v>
      </c>
      <c r="H23">
        <v>4</v>
      </c>
      <c r="I23">
        <v>4</v>
      </c>
      <c r="J23">
        <v>5</v>
      </c>
      <c r="K23">
        <v>2</v>
      </c>
      <c r="L23">
        <v>3</v>
      </c>
      <c r="N23">
        <v>3.4285714285714302</v>
      </c>
    </row>
    <row r="24" spans="4:14" ht="15" customHeight="1" x14ac:dyDescent="0.2">
      <c r="G24" t="s">
        <v>1145</v>
      </c>
      <c r="J24" t="s">
        <v>1143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11"/>
  <sheetViews>
    <sheetView zoomScaleNormal="100" workbookViewId="0">
      <selection activeCell="R11" sqref="R11"/>
    </sheetView>
  </sheetViews>
  <sheetFormatPr baseColWidth="10" defaultColWidth="8.83203125" defaultRowHeight="15" x14ac:dyDescent="0.2"/>
  <sheetData>
    <row r="1" spans="1:19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5" customHeight="1" x14ac:dyDescent="0.2">
      <c r="A2" t="s">
        <v>1308</v>
      </c>
    </row>
    <row r="3" spans="1:19" ht="15" customHeight="1" x14ac:dyDescent="0.2">
      <c r="A3" t="s">
        <v>75</v>
      </c>
      <c r="B3" t="s">
        <v>218</v>
      </c>
    </row>
    <row r="5" spans="1:19" ht="15" customHeight="1" x14ac:dyDescent="0.2">
      <c r="A5" t="s">
        <v>1146</v>
      </c>
      <c r="B5" t="s">
        <v>722</v>
      </c>
      <c r="C5" t="s">
        <v>1147</v>
      </c>
      <c r="D5" t="s">
        <v>1148</v>
      </c>
      <c r="E5" t="s">
        <v>717</v>
      </c>
    </row>
    <row r="6" spans="1:19" ht="15" customHeight="1" x14ac:dyDescent="0.2">
      <c r="A6">
        <v>40</v>
      </c>
      <c r="B6">
        <v>26</v>
      </c>
      <c r="C6">
        <v>26</v>
      </c>
      <c r="D6">
        <v>8</v>
      </c>
      <c r="E6">
        <v>0.5</v>
      </c>
      <c r="H6" t="s">
        <v>1149</v>
      </c>
      <c r="N6" t="s">
        <v>1150</v>
      </c>
      <c r="R6" t="s">
        <v>1151</v>
      </c>
    </row>
    <row r="7" spans="1:19" ht="15" customHeight="1" x14ac:dyDescent="0.2">
      <c r="A7" t="s">
        <v>119</v>
      </c>
      <c r="H7" t="s">
        <v>1152</v>
      </c>
      <c r="I7" t="s">
        <v>1153</v>
      </c>
      <c r="J7" t="s">
        <v>717</v>
      </c>
      <c r="K7" t="s">
        <v>1154</v>
      </c>
      <c r="L7" t="s">
        <v>1155</v>
      </c>
      <c r="N7" t="s">
        <v>1152</v>
      </c>
      <c r="O7" t="s">
        <v>1153</v>
      </c>
      <c r="R7" t="s">
        <v>1152</v>
      </c>
      <c r="S7" t="s">
        <v>717</v>
      </c>
    </row>
    <row r="8" spans="1:19" ht="15" customHeight="1" x14ac:dyDescent="0.2">
      <c r="A8" t="s">
        <v>75</v>
      </c>
      <c r="B8" t="s">
        <v>218</v>
      </c>
      <c r="H8" t="s">
        <v>1308</v>
      </c>
      <c r="I8">
        <v>40</v>
      </c>
      <c r="J8">
        <v>0.5</v>
      </c>
      <c r="K8">
        <v>3</v>
      </c>
      <c r="L8">
        <v>13.3333333333333</v>
      </c>
      <c r="N8" t="s">
        <v>118</v>
      </c>
      <c r="O8">
        <v>5</v>
      </c>
      <c r="R8" t="s">
        <v>118</v>
      </c>
      <c r="S8">
        <v>0.8</v>
      </c>
    </row>
    <row r="9" spans="1:19" ht="15" customHeight="1" x14ac:dyDescent="0.2">
      <c r="H9" t="s">
        <v>119</v>
      </c>
      <c r="I9">
        <v>40</v>
      </c>
      <c r="J9">
        <v>0.5</v>
      </c>
      <c r="K9">
        <v>3</v>
      </c>
      <c r="L9">
        <v>13.3333333333333</v>
      </c>
      <c r="N9" t="s">
        <v>127</v>
      </c>
      <c r="O9">
        <v>5</v>
      </c>
      <c r="R9" t="s">
        <v>127</v>
      </c>
      <c r="S9">
        <v>0.8</v>
      </c>
    </row>
    <row r="10" spans="1:19" ht="15" customHeight="1" x14ac:dyDescent="0.2">
      <c r="A10" t="s">
        <v>1146</v>
      </c>
      <c r="B10" t="s">
        <v>722</v>
      </c>
      <c r="C10" t="s">
        <v>1147</v>
      </c>
      <c r="D10" t="s">
        <v>1148</v>
      </c>
      <c r="E10" t="s">
        <v>717</v>
      </c>
      <c r="H10" t="s">
        <v>122</v>
      </c>
      <c r="I10">
        <v>40</v>
      </c>
      <c r="J10">
        <v>0.5</v>
      </c>
      <c r="K10">
        <v>3</v>
      </c>
      <c r="L10">
        <v>13.3333333333333</v>
      </c>
      <c r="N10" t="s">
        <v>1308</v>
      </c>
      <c r="O10">
        <v>4.5</v>
      </c>
      <c r="R10" t="s">
        <v>172</v>
      </c>
      <c r="S10">
        <v>0.75</v>
      </c>
    </row>
    <row r="11" spans="1:19" ht="15" customHeight="1" x14ac:dyDescent="0.2">
      <c r="A11">
        <v>40</v>
      </c>
      <c r="B11">
        <v>26</v>
      </c>
      <c r="C11">
        <v>26</v>
      </c>
      <c r="D11">
        <v>8</v>
      </c>
      <c r="E11">
        <v>0.5</v>
      </c>
      <c r="H11" t="s">
        <v>118</v>
      </c>
      <c r="I11">
        <v>40</v>
      </c>
      <c r="J11">
        <v>0.5</v>
      </c>
      <c r="K11">
        <v>3</v>
      </c>
      <c r="L11">
        <v>13.3333333333333</v>
      </c>
      <c r="N11" t="s">
        <v>123</v>
      </c>
      <c r="O11">
        <v>4</v>
      </c>
      <c r="R11" t="s">
        <v>1308</v>
      </c>
      <c r="S11">
        <v>0.7</v>
      </c>
    </row>
    <row r="12" spans="1:19" ht="15" customHeight="1" x14ac:dyDescent="0.2">
      <c r="A12" t="s">
        <v>122</v>
      </c>
      <c r="H12" t="s">
        <v>130</v>
      </c>
      <c r="I12">
        <v>40</v>
      </c>
      <c r="J12">
        <v>0.5</v>
      </c>
      <c r="K12">
        <v>1</v>
      </c>
      <c r="L12">
        <v>40</v>
      </c>
      <c r="N12" t="s">
        <v>1156</v>
      </c>
      <c r="O12">
        <v>4</v>
      </c>
      <c r="R12" t="s">
        <v>123</v>
      </c>
      <c r="S12">
        <v>0.6</v>
      </c>
    </row>
    <row r="13" spans="1:19" ht="15" customHeight="1" x14ac:dyDescent="0.2">
      <c r="A13" t="s">
        <v>75</v>
      </c>
      <c r="B13" t="s">
        <v>218</v>
      </c>
      <c r="H13" t="s">
        <v>132</v>
      </c>
      <c r="I13">
        <v>40</v>
      </c>
      <c r="J13">
        <v>0.5</v>
      </c>
      <c r="K13">
        <v>3</v>
      </c>
      <c r="L13">
        <v>13.3333333333333</v>
      </c>
      <c r="N13" t="s">
        <v>1157</v>
      </c>
      <c r="O13">
        <v>4</v>
      </c>
      <c r="R13" t="s">
        <v>1156</v>
      </c>
      <c r="S13">
        <v>0.6</v>
      </c>
    </row>
    <row r="14" spans="1:19" ht="15" customHeight="1" x14ac:dyDescent="0.2">
      <c r="H14" t="s">
        <v>133</v>
      </c>
      <c r="I14">
        <v>40</v>
      </c>
      <c r="J14">
        <v>0.5</v>
      </c>
      <c r="K14">
        <v>3</v>
      </c>
      <c r="L14">
        <v>13.3333333333333</v>
      </c>
      <c r="N14" t="s">
        <v>176</v>
      </c>
      <c r="O14">
        <v>3.5</v>
      </c>
      <c r="R14" t="s">
        <v>1157</v>
      </c>
      <c r="S14">
        <v>0.6</v>
      </c>
    </row>
    <row r="15" spans="1:19" ht="15" customHeight="1" x14ac:dyDescent="0.2">
      <c r="A15" t="s">
        <v>1146</v>
      </c>
      <c r="B15" t="s">
        <v>722</v>
      </c>
      <c r="C15" t="s">
        <v>1147</v>
      </c>
      <c r="D15" t="s">
        <v>1148</v>
      </c>
      <c r="E15" t="s">
        <v>717</v>
      </c>
      <c r="H15" t="s">
        <v>120</v>
      </c>
      <c r="I15">
        <v>40</v>
      </c>
      <c r="J15">
        <v>0.5</v>
      </c>
      <c r="K15">
        <v>3</v>
      </c>
      <c r="L15">
        <v>13.3333333333333</v>
      </c>
      <c r="N15" t="s">
        <v>179</v>
      </c>
      <c r="O15">
        <v>3.5</v>
      </c>
      <c r="R15" t="s">
        <v>179</v>
      </c>
      <c r="S15">
        <v>0.6</v>
      </c>
    </row>
    <row r="16" spans="1:19" ht="15" customHeight="1" x14ac:dyDescent="0.2">
      <c r="A16">
        <v>40</v>
      </c>
      <c r="B16">
        <v>26</v>
      </c>
      <c r="C16">
        <v>26</v>
      </c>
      <c r="D16">
        <v>8</v>
      </c>
      <c r="E16">
        <v>0.5</v>
      </c>
      <c r="H16" t="s">
        <v>123</v>
      </c>
      <c r="I16">
        <v>40</v>
      </c>
      <c r="J16">
        <v>0.5</v>
      </c>
      <c r="K16">
        <v>3</v>
      </c>
      <c r="L16">
        <v>13.3333333333333</v>
      </c>
      <c r="N16" t="s">
        <v>133</v>
      </c>
      <c r="O16">
        <v>3</v>
      </c>
      <c r="R16" t="s">
        <v>175</v>
      </c>
      <c r="S16">
        <v>0.6</v>
      </c>
    </row>
    <row r="17" spans="1:19" ht="15" customHeight="1" x14ac:dyDescent="0.2">
      <c r="A17" t="s">
        <v>118</v>
      </c>
      <c r="H17" t="s">
        <v>135</v>
      </c>
      <c r="I17">
        <v>40</v>
      </c>
      <c r="J17">
        <v>0.5</v>
      </c>
      <c r="K17">
        <v>3</v>
      </c>
      <c r="L17">
        <v>13.3333333333333</v>
      </c>
      <c r="N17" t="s">
        <v>120</v>
      </c>
      <c r="O17">
        <v>3</v>
      </c>
      <c r="R17" t="s">
        <v>176</v>
      </c>
      <c r="S17">
        <v>0.5</v>
      </c>
    </row>
    <row r="18" spans="1:19" ht="15" customHeight="1" x14ac:dyDescent="0.2">
      <c r="A18" t="s">
        <v>75</v>
      </c>
      <c r="B18" t="s">
        <v>218</v>
      </c>
      <c r="H18" t="s">
        <v>127</v>
      </c>
      <c r="I18">
        <v>40</v>
      </c>
      <c r="J18">
        <v>0.5</v>
      </c>
      <c r="K18">
        <v>3</v>
      </c>
      <c r="L18">
        <v>13.3333333333333</v>
      </c>
      <c r="N18" t="s">
        <v>172</v>
      </c>
      <c r="O18">
        <v>3</v>
      </c>
      <c r="R18" t="s">
        <v>133</v>
      </c>
      <c r="S18">
        <v>0.5</v>
      </c>
    </row>
    <row r="19" spans="1:19" ht="15" customHeight="1" x14ac:dyDescent="0.2">
      <c r="H19" t="s">
        <v>129</v>
      </c>
      <c r="I19">
        <v>40</v>
      </c>
      <c r="J19">
        <v>0.5</v>
      </c>
      <c r="K19">
        <v>1</v>
      </c>
      <c r="L19">
        <v>40</v>
      </c>
      <c r="N19" t="s">
        <v>175</v>
      </c>
      <c r="O19">
        <v>3</v>
      </c>
      <c r="R19" t="s">
        <v>120</v>
      </c>
      <c r="S19">
        <v>0.5</v>
      </c>
    </row>
    <row r="20" spans="1:19" ht="15" customHeight="1" x14ac:dyDescent="0.2">
      <c r="A20" t="s">
        <v>1146</v>
      </c>
      <c r="B20" t="s">
        <v>722</v>
      </c>
      <c r="C20" t="s">
        <v>1147</v>
      </c>
      <c r="D20" t="s">
        <v>1148</v>
      </c>
      <c r="E20" t="s">
        <v>717</v>
      </c>
      <c r="H20" t="s">
        <v>178</v>
      </c>
      <c r="I20">
        <v>40</v>
      </c>
      <c r="J20">
        <v>0.5</v>
      </c>
      <c r="K20">
        <v>2</v>
      </c>
      <c r="L20">
        <v>20</v>
      </c>
      <c r="N20" t="s">
        <v>122</v>
      </c>
      <c r="O20">
        <v>2.5</v>
      </c>
      <c r="R20" t="s">
        <v>122</v>
      </c>
      <c r="S20">
        <v>0.5</v>
      </c>
    </row>
    <row r="21" spans="1:19" ht="15" customHeight="1" x14ac:dyDescent="0.2">
      <c r="A21">
        <v>40</v>
      </c>
      <c r="B21">
        <v>26</v>
      </c>
      <c r="C21">
        <v>26</v>
      </c>
      <c r="D21">
        <v>8</v>
      </c>
      <c r="E21">
        <v>0.5</v>
      </c>
      <c r="H21" t="s">
        <v>176</v>
      </c>
      <c r="I21">
        <v>40</v>
      </c>
      <c r="J21">
        <v>0.5</v>
      </c>
      <c r="K21">
        <v>2</v>
      </c>
      <c r="L21">
        <v>20</v>
      </c>
      <c r="N21" t="s">
        <v>230</v>
      </c>
      <c r="O21">
        <v>2.5</v>
      </c>
      <c r="R21" t="s">
        <v>1158</v>
      </c>
      <c r="S21">
        <v>0.5</v>
      </c>
    </row>
    <row r="22" spans="1:19" ht="15" customHeight="1" x14ac:dyDescent="0.2">
      <c r="A22" t="s">
        <v>130</v>
      </c>
      <c r="H22" t="s">
        <v>172</v>
      </c>
      <c r="I22">
        <v>40</v>
      </c>
      <c r="J22">
        <v>0.5</v>
      </c>
      <c r="K22">
        <v>2</v>
      </c>
      <c r="L22">
        <v>20</v>
      </c>
      <c r="N22" t="s">
        <v>1158</v>
      </c>
      <c r="O22">
        <v>2.5</v>
      </c>
      <c r="R22" t="s">
        <v>230</v>
      </c>
      <c r="S22">
        <v>0.4</v>
      </c>
    </row>
    <row r="23" spans="1:19" ht="15" customHeight="1" x14ac:dyDescent="0.2">
      <c r="A23" t="s">
        <v>75</v>
      </c>
      <c r="B23" t="s">
        <v>218</v>
      </c>
      <c r="H23" t="s">
        <v>179</v>
      </c>
      <c r="I23">
        <v>40</v>
      </c>
      <c r="J23">
        <v>0.5</v>
      </c>
      <c r="K23">
        <v>2</v>
      </c>
      <c r="L23">
        <v>20</v>
      </c>
      <c r="N23" t="s">
        <v>178</v>
      </c>
      <c r="O23">
        <v>2</v>
      </c>
      <c r="R23" t="s">
        <v>693</v>
      </c>
      <c r="S23">
        <v>0.4</v>
      </c>
    </row>
    <row r="24" spans="1:19" ht="15" customHeight="1" x14ac:dyDescent="0.2">
      <c r="H24" t="s">
        <v>175</v>
      </c>
      <c r="I24">
        <v>40</v>
      </c>
      <c r="J24">
        <v>0.5</v>
      </c>
      <c r="K24">
        <v>2</v>
      </c>
      <c r="L24">
        <v>20</v>
      </c>
      <c r="N24" t="s">
        <v>693</v>
      </c>
      <c r="O24">
        <v>2</v>
      </c>
      <c r="R24" t="s">
        <v>135</v>
      </c>
      <c r="S24">
        <v>0.3</v>
      </c>
    </row>
    <row r="25" spans="1:19" ht="15" customHeight="1" x14ac:dyDescent="0.2">
      <c r="A25" t="s">
        <v>1146</v>
      </c>
      <c r="B25" t="s">
        <v>722</v>
      </c>
      <c r="C25" t="s">
        <v>1147</v>
      </c>
      <c r="D25" t="s">
        <v>1148</v>
      </c>
      <c r="E25" t="s">
        <v>717</v>
      </c>
      <c r="H25" t="s">
        <v>693</v>
      </c>
      <c r="I25">
        <v>40</v>
      </c>
      <c r="J25">
        <v>0.5</v>
      </c>
      <c r="K25">
        <v>2</v>
      </c>
      <c r="L25">
        <v>20</v>
      </c>
      <c r="N25" t="s">
        <v>135</v>
      </c>
      <c r="O25">
        <v>1.5</v>
      </c>
      <c r="R25" t="s">
        <v>178</v>
      </c>
      <c r="S25">
        <v>0.2</v>
      </c>
    </row>
    <row r="26" spans="1:19" ht="15" customHeight="1" x14ac:dyDescent="0.2">
      <c r="A26">
        <v>40</v>
      </c>
      <c r="B26">
        <v>26</v>
      </c>
      <c r="C26">
        <v>26</v>
      </c>
      <c r="D26">
        <v>8</v>
      </c>
      <c r="E26">
        <v>0.5</v>
      </c>
      <c r="H26" t="s">
        <v>1156</v>
      </c>
      <c r="I26">
        <v>40</v>
      </c>
      <c r="J26">
        <v>0.5</v>
      </c>
      <c r="K26">
        <v>1</v>
      </c>
      <c r="L26">
        <v>40</v>
      </c>
      <c r="N26" t="s">
        <v>119</v>
      </c>
      <c r="O26">
        <v>1</v>
      </c>
      <c r="R26" t="s">
        <v>119</v>
      </c>
      <c r="S26">
        <v>0.2</v>
      </c>
    </row>
    <row r="27" spans="1:19" ht="15" customHeight="1" x14ac:dyDescent="0.2">
      <c r="A27" t="s">
        <v>132</v>
      </c>
      <c r="H27" t="s">
        <v>230</v>
      </c>
      <c r="I27">
        <v>40</v>
      </c>
      <c r="J27">
        <v>0.5</v>
      </c>
      <c r="K27">
        <v>1</v>
      </c>
      <c r="L27">
        <v>40</v>
      </c>
      <c r="N27" t="s">
        <v>132</v>
      </c>
      <c r="O27">
        <v>0.5</v>
      </c>
      <c r="R27" t="s">
        <v>132</v>
      </c>
      <c r="S27">
        <v>0.1</v>
      </c>
    </row>
    <row r="28" spans="1:19" ht="15" customHeight="1" x14ac:dyDescent="0.2">
      <c r="A28" t="s">
        <v>75</v>
      </c>
      <c r="B28" t="s">
        <v>218</v>
      </c>
      <c r="H28" t="s">
        <v>1157</v>
      </c>
      <c r="I28">
        <v>40</v>
      </c>
      <c r="J28">
        <v>0.5</v>
      </c>
      <c r="K28">
        <v>1</v>
      </c>
      <c r="L28">
        <v>40</v>
      </c>
    </row>
    <row r="29" spans="1:19" ht="15" customHeight="1" x14ac:dyDescent="0.2">
      <c r="H29" t="s">
        <v>1158</v>
      </c>
      <c r="I29">
        <v>40</v>
      </c>
      <c r="J29">
        <v>0.5</v>
      </c>
      <c r="K29">
        <v>1</v>
      </c>
      <c r="L29">
        <v>40</v>
      </c>
    </row>
    <row r="30" spans="1:19" ht="15" customHeight="1" x14ac:dyDescent="0.2">
      <c r="A30" t="s">
        <v>1146</v>
      </c>
      <c r="B30" t="s">
        <v>722</v>
      </c>
      <c r="C30" t="s">
        <v>1147</v>
      </c>
      <c r="D30" t="s">
        <v>1148</v>
      </c>
      <c r="E30" t="s">
        <v>717</v>
      </c>
    </row>
    <row r="31" spans="1:19" ht="15" customHeight="1" x14ac:dyDescent="0.2">
      <c r="A31">
        <v>40</v>
      </c>
      <c r="B31">
        <v>26</v>
      </c>
      <c r="C31">
        <v>26</v>
      </c>
      <c r="D31">
        <v>8</v>
      </c>
      <c r="E31">
        <v>0.5</v>
      </c>
    </row>
    <row r="32" spans="1:19" ht="15" customHeight="1" x14ac:dyDescent="0.2">
      <c r="A32" t="s">
        <v>133</v>
      </c>
    </row>
    <row r="33" spans="1:5" ht="15" customHeight="1" x14ac:dyDescent="0.2">
      <c r="A33" t="s">
        <v>75</v>
      </c>
      <c r="B33" t="s">
        <v>218</v>
      </c>
    </row>
    <row r="35" spans="1:5" ht="15" customHeight="1" x14ac:dyDescent="0.2">
      <c r="A35" t="s">
        <v>1146</v>
      </c>
      <c r="B35" t="s">
        <v>722</v>
      </c>
      <c r="C35" t="s">
        <v>1147</v>
      </c>
      <c r="D35" t="s">
        <v>1148</v>
      </c>
      <c r="E35" t="s">
        <v>717</v>
      </c>
    </row>
    <row r="36" spans="1:5" ht="15" customHeight="1" x14ac:dyDescent="0.2">
      <c r="A36">
        <v>40</v>
      </c>
      <c r="B36">
        <v>26</v>
      </c>
      <c r="C36">
        <v>26</v>
      </c>
      <c r="D36">
        <v>8</v>
      </c>
      <c r="E36">
        <v>0.5</v>
      </c>
    </row>
    <row r="37" spans="1:5" ht="15" customHeight="1" x14ac:dyDescent="0.2">
      <c r="A37" t="s">
        <v>120</v>
      </c>
    </row>
    <row r="38" spans="1:5" ht="15" customHeight="1" x14ac:dyDescent="0.2">
      <c r="A38" t="s">
        <v>75</v>
      </c>
      <c r="B38" t="s">
        <v>218</v>
      </c>
    </row>
    <row r="40" spans="1:5" ht="15" customHeight="1" x14ac:dyDescent="0.2">
      <c r="A40" t="s">
        <v>1146</v>
      </c>
      <c r="B40" t="s">
        <v>722</v>
      </c>
      <c r="C40" t="s">
        <v>1147</v>
      </c>
      <c r="D40" t="s">
        <v>1148</v>
      </c>
      <c r="E40" t="s">
        <v>717</v>
      </c>
    </row>
    <row r="41" spans="1:5" ht="15" customHeight="1" x14ac:dyDescent="0.2">
      <c r="A41">
        <v>40</v>
      </c>
      <c r="B41">
        <v>26</v>
      </c>
      <c r="C41">
        <v>26</v>
      </c>
      <c r="D41">
        <v>8</v>
      </c>
      <c r="E41">
        <v>0.5</v>
      </c>
    </row>
    <row r="42" spans="1:5" ht="15" customHeight="1" x14ac:dyDescent="0.2">
      <c r="A42" t="s">
        <v>123</v>
      </c>
    </row>
    <row r="43" spans="1:5" ht="15" customHeight="1" x14ac:dyDescent="0.2">
      <c r="A43" t="s">
        <v>75</v>
      </c>
      <c r="B43" t="s">
        <v>218</v>
      </c>
    </row>
    <row r="45" spans="1:5" ht="15" customHeight="1" x14ac:dyDescent="0.2">
      <c r="A45" t="s">
        <v>1146</v>
      </c>
      <c r="B45" t="s">
        <v>722</v>
      </c>
      <c r="C45" t="s">
        <v>1147</v>
      </c>
      <c r="D45" t="s">
        <v>1148</v>
      </c>
      <c r="E45" t="s">
        <v>717</v>
      </c>
    </row>
    <row r="46" spans="1:5" ht="15" customHeight="1" x14ac:dyDescent="0.2">
      <c r="A46">
        <v>40</v>
      </c>
      <c r="B46">
        <v>26</v>
      </c>
      <c r="C46">
        <v>26</v>
      </c>
      <c r="D46">
        <v>8</v>
      </c>
      <c r="E46">
        <v>0.5</v>
      </c>
    </row>
    <row r="47" spans="1:5" ht="15" customHeight="1" x14ac:dyDescent="0.2">
      <c r="A47" t="s">
        <v>135</v>
      </c>
    </row>
    <row r="48" spans="1:5" ht="15" customHeight="1" x14ac:dyDescent="0.2">
      <c r="A48" t="s">
        <v>75</v>
      </c>
      <c r="B48" t="s">
        <v>218</v>
      </c>
    </row>
    <row r="50" spans="1:5" ht="15" customHeight="1" x14ac:dyDescent="0.2">
      <c r="A50" t="s">
        <v>1146</v>
      </c>
      <c r="B50" t="s">
        <v>722</v>
      </c>
      <c r="C50" t="s">
        <v>1147</v>
      </c>
      <c r="D50" t="s">
        <v>1148</v>
      </c>
      <c r="E50" t="s">
        <v>717</v>
      </c>
    </row>
    <row r="51" spans="1:5" ht="15" customHeight="1" x14ac:dyDescent="0.2">
      <c r="A51">
        <v>40</v>
      </c>
      <c r="B51">
        <v>26</v>
      </c>
      <c r="C51">
        <v>26</v>
      </c>
      <c r="D51">
        <v>8</v>
      </c>
      <c r="E51">
        <v>0.5</v>
      </c>
    </row>
    <row r="52" spans="1:5" ht="15" customHeight="1" x14ac:dyDescent="0.2">
      <c r="A52" t="s">
        <v>127</v>
      </c>
    </row>
    <row r="53" spans="1:5" ht="15" customHeight="1" x14ac:dyDescent="0.2">
      <c r="A53" t="s">
        <v>75</v>
      </c>
      <c r="B53" t="s">
        <v>218</v>
      </c>
    </row>
    <row r="55" spans="1:5" ht="15" customHeight="1" x14ac:dyDescent="0.2">
      <c r="A55" t="s">
        <v>1146</v>
      </c>
      <c r="B55" t="s">
        <v>722</v>
      </c>
      <c r="C55" t="s">
        <v>1147</v>
      </c>
      <c r="D55" t="s">
        <v>1148</v>
      </c>
      <c r="E55" t="s">
        <v>717</v>
      </c>
    </row>
    <row r="56" spans="1:5" ht="15" customHeight="1" x14ac:dyDescent="0.2">
      <c r="A56">
        <v>40</v>
      </c>
      <c r="B56">
        <v>26</v>
      </c>
      <c r="C56">
        <v>26</v>
      </c>
      <c r="D56">
        <v>8</v>
      </c>
      <c r="E56">
        <v>0.5</v>
      </c>
    </row>
    <row r="57" spans="1:5" ht="15" customHeight="1" x14ac:dyDescent="0.2">
      <c r="A57" t="s">
        <v>129</v>
      </c>
    </row>
    <row r="58" spans="1:5" ht="15" customHeight="1" x14ac:dyDescent="0.2">
      <c r="A58" t="s">
        <v>75</v>
      </c>
      <c r="B58" t="s">
        <v>218</v>
      </c>
    </row>
    <row r="60" spans="1:5" ht="15" customHeight="1" x14ac:dyDescent="0.2">
      <c r="A60" t="s">
        <v>1146</v>
      </c>
      <c r="B60" t="s">
        <v>722</v>
      </c>
      <c r="C60" t="s">
        <v>1147</v>
      </c>
      <c r="D60" t="s">
        <v>1148</v>
      </c>
      <c r="E60" t="s">
        <v>717</v>
      </c>
    </row>
    <row r="61" spans="1:5" ht="15" customHeight="1" x14ac:dyDescent="0.2">
      <c r="A61">
        <v>40</v>
      </c>
      <c r="B61">
        <v>26</v>
      </c>
      <c r="C61">
        <v>26</v>
      </c>
      <c r="D61">
        <v>8</v>
      </c>
      <c r="E61">
        <v>0.5</v>
      </c>
    </row>
    <row r="62" spans="1:5" ht="15" customHeight="1" x14ac:dyDescent="0.2">
      <c r="A62" t="s">
        <v>178</v>
      </c>
    </row>
    <row r="63" spans="1:5" ht="15" customHeight="1" x14ac:dyDescent="0.2">
      <c r="A63" t="s">
        <v>75</v>
      </c>
      <c r="B63" t="s">
        <v>218</v>
      </c>
    </row>
    <row r="65" spans="1:5" ht="15" customHeight="1" x14ac:dyDescent="0.2">
      <c r="A65" t="s">
        <v>1146</v>
      </c>
      <c r="B65" t="s">
        <v>722</v>
      </c>
      <c r="C65" t="s">
        <v>1147</v>
      </c>
      <c r="D65" t="s">
        <v>1148</v>
      </c>
      <c r="E65" t="s">
        <v>717</v>
      </c>
    </row>
    <row r="66" spans="1:5" ht="15" customHeight="1" x14ac:dyDescent="0.2">
      <c r="A66">
        <v>40</v>
      </c>
      <c r="B66">
        <v>26</v>
      </c>
      <c r="C66">
        <v>26</v>
      </c>
      <c r="D66">
        <v>8</v>
      </c>
      <c r="E66">
        <v>0.5</v>
      </c>
    </row>
    <row r="67" spans="1:5" ht="15" customHeight="1" x14ac:dyDescent="0.2">
      <c r="A67" t="s">
        <v>176</v>
      </c>
    </row>
    <row r="68" spans="1:5" ht="15" customHeight="1" x14ac:dyDescent="0.2">
      <c r="A68" t="s">
        <v>75</v>
      </c>
      <c r="B68" t="s">
        <v>218</v>
      </c>
    </row>
    <row r="70" spans="1:5" ht="15" customHeight="1" x14ac:dyDescent="0.2">
      <c r="A70" t="s">
        <v>1146</v>
      </c>
      <c r="B70" t="s">
        <v>722</v>
      </c>
      <c r="C70" t="s">
        <v>1147</v>
      </c>
      <c r="D70" t="s">
        <v>1148</v>
      </c>
      <c r="E70" t="s">
        <v>717</v>
      </c>
    </row>
    <row r="71" spans="1:5" ht="15" customHeight="1" x14ac:dyDescent="0.2">
      <c r="A71">
        <v>40</v>
      </c>
      <c r="B71">
        <v>26</v>
      </c>
      <c r="C71">
        <v>26</v>
      </c>
      <c r="D71">
        <v>8</v>
      </c>
      <c r="E71">
        <v>0.5</v>
      </c>
    </row>
    <row r="72" spans="1:5" ht="15" customHeight="1" x14ac:dyDescent="0.2">
      <c r="A72" t="s">
        <v>172</v>
      </c>
    </row>
    <row r="73" spans="1:5" ht="15" customHeight="1" x14ac:dyDescent="0.2">
      <c r="A73" t="s">
        <v>75</v>
      </c>
      <c r="B73" t="s">
        <v>218</v>
      </c>
    </row>
    <row r="75" spans="1:5" ht="15" customHeight="1" x14ac:dyDescent="0.2">
      <c r="A75" t="s">
        <v>1146</v>
      </c>
      <c r="B75" t="s">
        <v>722</v>
      </c>
      <c r="C75" t="s">
        <v>1147</v>
      </c>
      <c r="D75" t="s">
        <v>1148</v>
      </c>
      <c r="E75" t="s">
        <v>717</v>
      </c>
    </row>
    <row r="76" spans="1:5" ht="15" customHeight="1" x14ac:dyDescent="0.2">
      <c r="A76">
        <v>40</v>
      </c>
      <c r="B76">
        <v>26</v>
      </c>
      <c r="C76">
        <v>26</v>
      </c>
      <c r="D76">
        <v>8</v>
      </c>
      <c r="E76">
        <v>0.5</v>
      </c>
    </row>
    <row r="77" spans="1:5" ht="15" customHeight="1" x14ac:dyDescent="0.2">
      <c r="A77" t="s">
        <v>179</v>
      </c>
    </row>
    <row r="78" spans="1:5" ht="15" customHeight="1" x14ac:dyDescent="0.2">
      <c r="A78" t="s">
        <v>75</v>
      </c>
      <c r="B78" t="s">
        <v>218</v>
      </c>
    </row>
    <row r="80" spans="1:5" ht="15" customHeight="1" x14ac:dyDescent="0.2">
      <c r="A80" t="s">
        <v>1146</v>
      </c>
      <c r="B80" t="s">
        <v>722</v>
      </c>
      <c r="C80" t="s">
        <v>1147</v>
      </c>
      <c r="D80" t="s">
        <v>1148</v>
      </c>
      <c r="E80" t="s">
        <v>717</v>
      </c>
    </row>
    <row r="81" spans="1:5" ht="15" customHeight="1" x14ac:dyDescent="0.2">
      <c r="A81">
        <v>40</v>
      </c>
      <c r="B81">
        <v>26</v>
      </c>
      <c r="C81">
        <v>26</v>
      </c>
      <c r="D81">
        <v>8</v>
      </c>
      <c r="E81">
        <v>0.5</v>
      </c>
    </row>
    <row r="82" spans="1:5" ht="15" customHeight="1" x14ac:dyDescent="0.2">
      <c r="A82" t="s">
        <v>175</v>
      </c>
    </row>
    <row r="83" spans="1:5" ht="15" customHeight="1" x14ac:dyDescent="0.2">
      <c r="A83" t="s">
        <v>75</v>
      </c>
      <c r="B83" t="s">
        <v>218</v>
      </c>
    </row>
    <row r="85" spans="1:5" ht="15" customHeight="1" x14ac:dyDescent="0.2">
      <c r="A85" t="s">
        <v>1146</v>
      </c>
      <c r="B85" t="s">
        <v>722</v>
      </c>
      <c r="C85" t="s">
        <v>1147</v>
      </c>
      <c r="D85" t="s">
        <v>1148</v>
      </c>
      <c r="E85" t="s">
        <v>717</v>
      </c>
    </row>
    <row r="86" spans="1:5" ht="15" customHeight="1" x14ac:dyDescent="0.2">
      <c r="A86">
        <v>40</v>
      </c>
      <c r="B86">
        <v>26</v>
      </c>
      <c r="C86">
        <v>26</v>
      </c>
      <c r="D86">
        <v>8</v>
      </c>
      <c r="E86">
        <v>0.5</v>
      </c>
    </row>
    <row r="87" spans="1:5" ht="15" customHeight="1" x14ac:dyDescent="0.2">
      <c r="A87" t="s">
        <v>693</v>
      </c>
    </row>
    <row r="88" spans="1:5" ht="15" customHeight="1" x14ac:dyDescent="0.2">
      <c r="A88" t="s">
        <v>75</v>
      </c>
      <c r="B88" t="s">
        <v>218</v>
      </c>
    </row>
    <row r="90" spans="1:5" ht="15" customHeight="1" x14ac:dyDescent="0.2">
      <c r="A90" t="s">
        <v>1146</v>
      </c>
      <c r="B90" t="s">
        <v>722</v>
      </c>
      <c r="C90" t="s">
        <v>1147</v>
      </c>
      <c r="D90" t="s">
        <v>1148</v>
      </c>
      <c r="E90" t="s">
        <v>717</v>
      </c>
    </row>
    <row r="91" spans="1:5" ht="15" customHeight="1" x14ac:dyDescent="0.2">
      <c r="A91">
        <v>40</v>
      </c>
      <c r="B91">
        <v>26</v>
      </c>
      <c r="C91">
        <v>26</v>
      </c>
      <c r="D91">
        <v>8</v>
      </c>
      <c r="E91">
        <v>0.5</v>
      </c>
    </row>
    <row r="93" spans="1:5" ht="15" customHeight="1" x14ac:dyDescent="0.2">
      <c r="A93" t="s">
        <v>75</v>
      </c>
      <c r="B93" t="s">
        <v>218</v>
      </c>
    </row>
    <row r="95" spans="1:5" ht="15" customHeight="1" x14ac:dyDescent="0.2">
      <c r="A95" t="s">
        <v>1146</v>
      </c>
      <c r="B95" t="s">
        <v>722</v>
      </c>
      <c r="C95" t="s">
        <v>1147</v>
      </c>
      <c r="D95" t="s">
        <v>1148</v>
      </c>
      <c r="E95" t="s">
        <v>717</v>
      </c>
    </row>
    <row r="96" spans="1:5" ht="15" customHeight="1" x14ac:dyDescent="0.2">
      <c r="A96">
        <v>40</v>
      </c>
      <c r="B96">
        <v>26</v>
      </c>
      <c r="C96">
        <v>26</v>
      </c>
      <c r="D96">
        <v>8</v>
      </c>
      <c r="E96">
        <v>0.5</v>
      </c>
    </row>
    <row r="97" spans="1:5" ht="15" customHeight="1" x14ac:dyDescent="0.2">
      <c r="A97" t="s">
        <v>230</v>
      </c>
    </row>
    <row r="98" spans="1:5" ht="15" customHeight="1" x14ac:dyDescent="0.2">
      <c r="A98" t="s">
        <v>75</v>
      </c>
      <c r="B98" t="s">
        <v>218</v>
      </c>
    </row>
    <row r="100" spans="1:5" ht="15" customHeight="1" x14ac:dyDescent="0.2">
      <c r="A100" t="s">
        <v>1146</v>
      </c>
      <c r="B100" t="s">
        <v>722</v>
      </c>
      <c r="C100" t="s">
        <v>1147</v>
      </c>
      <c r="D100" t="s">
        <v>1148</v>
      </c>
      <c r="E100" t="s">
        <v>717</v>
      </c>
    </row>
    <row r="101" spans="1:5" ht="15" customHeight="1" x14ac:dyDescent="0.2">
      <c r="A101">
        <v>40</v>
      </c>
      <c r="B101">
        <v>26</v>
      </c>
      <c r="C101">
        <v>26</v>
      </c>
      <c r="D101">
        <v>8</v>
      </c>
      <c r="E101">
        <v>0.5</v>
      </c>
    </row>
    <row r="103" spans="1:5" ht="15" customHeight="1" x14ac:dyDescent="0.2">
      <c r="A103" t="s">
        <v>75</v>
      </c>
      <c r="B103" t="s">
        <v>218</v>
      </c>
    </row>
    <row r="105" spans="1:5" ht="15" customHeight="1" x14ac:dyDescent="0.2">
      <c r="A105" t="s">
        <v>1146</v>
      </c>
      <c r="B105" t="s">
        <v>722</v>
      </c>
      <c r="C105" t="s">
        <v>1147</v>
      </c>
      <c r="D105" t="s">
        <v>1148</v>
      </c>
      <c r="E105" t="s">
        <v>717</v>
      </c>
    </row>
    <row r="106" spans="1:5" ht="15" customHeight="1" x14ac:dyDescent="0.2">
      <c r="A106">
        <v>40</v>
      </c>
      <c r="B106">
        <v>26</v>
      </c>
      <c r="C106">
        <v>26</v>
      </c>
      <c r="D106">
        <v>8</v>
      </c>
      <c r="E106">
        <v>0.5</v>
      </c>
    </row>
    <row r="108" spans="1:5" ht="15" customHeight="1" x14ac:dyDescent="0.2">
      <c r="A108" t="s">
        <v>75</v>
      </c>
      <c r="B108" t="s">
        <v>218</v>
      </c>
    </row>
    <row r="110" spans="1:5" ht="15" customHeight="1" x14ac:dyDescent="0.2">
      <c r="A110" t="s">
        <v>1146</v>
      </c>
      <c r="B110" t="s">
        <v>722</v>
      </c>
      <c r="C110" t="s">
        <v>1147</v>
      </c>
      <c r="D110" t="s">
        <v>1148</v>
      </c>
      <c r="E110" t="s">
        <v>717</v>
      </c>
    </row>
    <row r="111" spans="1:5" ht="15" customHeight="1" x14ac:dyDescent="0.2">
      <c r="A111">
        <v>40</v>
      </c>
      <c r="B111">
        <v>26</v>
      </c>
      <c r="C111">
        <v>26</v>
      </c>
      <c r="D111">
        <v>8</v>
      </c>
      <c r="E111"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107"/>
  <sheetViews>
    <sheetView topLeftCell="A58" zoomScaleNormal="100" workbookViewId="0">
      <selection activeCell="C86" sqref="C86"/>
    </sheetView>
  </sheetViews>
  <sheetFormatPr baseColWidth="10" defaultColWidth="8.83203125" defaultRowHeight="15" x14ac:dyDescent="0.2"/>
  <sheetData>
    <row r="1" spans="1:35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3" spans="1:35" ht="15" customHeight="1" x14ac:dyDescent="0.2">
      <c r="C3" t="s">
        <v>1056</v>
      </c>
      <c r="X3" t="s">
        <v>1159</v>
      </c>
      <c r="Y3" t="s">
        <v>1160</v>
      </c>
      <c r="Z3" t="s">
        <v>1161</v>
      </c>
      <c r="AA3" t="s">
        <v>1162</v>
      </c>
      <c r="AF3" t="s">
        <v>1162</v>
      </c>
      <c r="AH3" t="s">
        <v>1163</v>
      </c>
    </row>
    <row r="4" spans="1:35" ht="15" customHeight="1" x14ac:dyDescent="0.2">
      <c r="C4" t="s">
        <v>1164</v>
      </c>
      <c r="D4" t="s">
        <v>1165</v>
      </c>
      <c r="E4" t="s">
        <v>1166</v>
      </c>
      <c r="F4" t="s">
        <v>1167</v>
      </c>
      <c r="G4" t="s">
        <v>1168</v>
      </c>
      <c r="H4" t="s">
        <v>1065</v>
      </c>
      <c r="I4" t="s">
        <v>1067</v>
      </c>
      <c r="J4" t="s">
        <v>1169</v>
      </c>
      <c r="W4" t="s">
        <v>1156</v>
      </c>
      <c r="X4">
        <v>655</v>
      </c>
      <c r="Y4">
        <v>335</v>
      </c>
      <c r="Z4">
        <v>990</v>
      </c>
      <c r="AA4">
        <v>94</v>
      </c>
      <c r="AE4" t="s">
        <v>1170</v>
      </c>
      <c r="AF4">
        <v>329.15</v>
      </c>
      <c r="AH4" t="s">
        <v>172</v>
      </c>
      <c r="AI4">
        <v>1340</v>
      </c>
    </row>
    <row r="5" spans="1:35" ht="15" customHeight="1" x14ac:dyDescent="0.2">
      <c r="C5" t="s">
        <v>1156</v>
      </c>
      <c r="D5">
        <v>110</v>
      </c>
      <c r="E5">
        <v>20</v>
      </c>
      <c r="F5">
        <v>0</v>
      </c>
      <c r="G5">
        <v>-100</v>
      </c>
      <c r="H5">
        <v>0</v>
      </c>
      <c r="I5">
        <v>0</v>
      </c>
      <c r="J5">
        <v>30</v>
      </c>
      <c r="W5" t="s">
        <v>693</v>
      </c>
      <c r="X5">
        <v>85</v>
      </c>
      <c r="Y5">
        <v>175</v>
      </c>
      <c r="Z5">
        <v>260</v>
      </c>
      <c r="AA5">
        <v>192</v>
      </c>
      <c r="AE5" t="s">
        <v>118</v>
      </c>
      <c r="AF5">
        <v>325</v>
      </c>
      <c r="AH5" t="s">
        <v>118</v>
      </c>
      <c r="AI5">
        <v>1055</v>
      </c>
    </row>
    <row r="6" spans="1:35" ht="15" customHeight="1" x14ac:dyDescent="0.2">
      <c r="C6" t="s">
        <v>693</v>
      </c>
      <c r="D6">
        <v>0</v>
      </c>
      <c r="E6">
        <v>50</v>
      </c>
      <c r="F6">
        <v>150</v>
      </c>
      <c r="G6">
        <v>0</v>
      </c>
      <c r="H6">
        <v>0</v>
      </c>
      <c r="I6">
        <v>0</v>
      </c>
      <c r="J6">
        <v>200</v>
      </c>
      <c r="W6" t="s">
        <v>1308</v>
      </c>
      <c r="X6">
        <v>180</v>
      </c>
      <c r="Y6">
        <v>75</v>
      </c>
      <c r="Z6">
        <v>255</v>
      </c>
      <c r="AA6">
        <v>-258.74</v>
      </c>
      <c r="AE6" t="s">
        <v>119</v>
      </c>
      <c r="AF6">
        <v>302</v>
      </c>
      <c r="AH6" t="s">
        <v>123</v>
      </c>
      <c r="AI6">
        <v>1035</v>
      </c>
    </row>
    <row r="7" spans="1:35" ht="15" customHeight="1" x14ac:dyDescent="0.2">
      <c r="C7" t="s">
        <v>1308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W7" t="s">
        <v>914</v>
      </c>
      <c r="X7">
        <v>10</v>
      </c>
      <c r="Y7">
        <v>0</v>
      </c>
      <c r="Z7">
        <v>10</v>
      </c>
      <c r="AA7">
        <v>0</v>
      </c>
      <c r="AE7" t="s">
        <v>693</v>
      </c>
      <c r="AF7">
        <v>192</v>
      </c>
      <c r="AH7" t="s">
        <v>1156</v>
      </c>
      <c r="AI7">
        <v>990</v>
      </c>
    </row>
    <row r="8" spans="1:35" ht="15" customHeight="1" x14ac:dyDescent="0.2">
      <c r="C8" t="s">
        <v>914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10</v>
      </c>
      <c r="W8" t="s">
        <v>916</v>
      </c>
      <c r="X8">
        <v>260</v>
      </c>
      <c r="Y8">
        <v>200</v>
      </c>
      <c r="Z8">
        <v>460</v>
      </c>
      <c r="AA8">
        <v>-147.91999999999999</v>
      </c>
      <c r="AE8" t="s">
        <v>133</v>
      </c>
      <c r="AF8">
        <v>180.24</v>
      </c>
      <c r="AH8" t="s">
        <v>1170</v>
      </c>
      <c r="AI8">
        <v>950</v>
      </c>
    </row>
    <row r="9" spans="1:35" ht="15" customHeight="1" x14ac:dyDescent="0.2">
      <c r="C9" t="s">
        <v>916</v>
      </c>
      <c r="D9">
        <v>0</v>
      </c>
      <c r="E9">
        <v>20</v>
      </c>
      <c r="F9">
        <v>150</v>
      </c>
      <c r="G9">
        <v>0</v>
      </c>
      <c r="H9">
        <v>0</v>
      </c>
      <c r="I9">
        <v>0</v>
      </c>
      <c r="J9">
        <v>170</v>
      </c>
      <c r="W9" t="s">
        <v>132</v>
      </c>
      <c r="X9">
        <v>375</v>
      </c>
      <c r="Y9">
        <v>220</v>
      </c>
      <c r="Z9">
        <v>595</v>
      </c>
      <c r="AA9">
        <v>-195</v>
      </c>
      <c r="AE9" t="s">
        <v>176</v>
      </c>
      <c r="AF9">
        <v>154.24</v>
      </c>
      <c r="AH9" t="s">
        <v>122</v>
      </c>
      <c r="AI9">
        <v>835</v>
      </c>
    </row>
    <row r="10" spans="1:35" ht="15" customHeight="1" x14ac:dyDescent="0.2">
      <c r="C10" t="s">
        <v>132</v>
      </c>
      <c r="D10">
        <v>50</v>
      </c>
      <c r="E10">
        <v>30</v>
      </c>
      <c r="F10">
        <v>150</v>
      </c>
      <c r="G10">
        <v>0</v>
      </c>
      <c r="H10">
        <v>0</v>
      </c>
      <c r="I10">
        <v>0</v>
      </c>
      <c r="J10">
        <v>230</v>
      </c>
      <c r="W10" t="s">
        <v>176</v>
      </c>
      <c r="X10">
        <v>275</v>
      </c>
      <c r="Y10">
        <v>400</v>
      </c>
      <c r="Z10">
        <v>675</v>
      </c>
      <c r="AA10">
        <v>154.24</v>
      </c>
      <c r="AE10" t="s">
        <v>122</v>
      </c>
      <c r="AF10">
        <v>108.93</v>
      </c>
      <c r="AH10" t="s">
        <v>1171</v>
      </c>
      <c r="AI10">
        <v>725</v>
      </c>
    </row>
    <row r="11" spans="1:35" ht="15" customHeight="1" x14ac:dyDescent="0.2">
      <c r="C11" t="s">
        <v>176</v>
      </c>
      <c r="D11">
        <v>30</v>
      </c>
      <c r="E11">
        <v>75</v>
      </c>
      <c r="F11">
        <v>150</v>
      </c>
      <c r="G11">
        <v>0</v>
      </c>
      <c r="H11">
        <v>0</v>
      </c>
      <c r="I11">
        <v>0</v>
      </c>
      <c r="J11">
        <v>255</v>
      </c>
      <c r="W11" t="s">
        <v>119</v>
      </c>
      <c r="X11">
        <v>345</v>
      </c>
      <c r="Y11">
        <v>105</v>
      </c>
      <c r="Z11">
        <v>450</v>
      </c>
      <c r="AA11">
        <v>302</v>
      </c>
      <c r="AE11" t="s">
        <v>1156</v>
      </c>
      <c r="AF11">
        <v>94</v>
      </c>
      <c r="AH11" t="s">
        <v>176</v>
      </c>
      <c r="AI11">
        <v>675</v>
      </c>
    </row>
    <row r="12" spans="1:35" ht="15" customHeight="1" x14ac:dyDescent="0.2">
      <c r="C12" t="s">
        <v>119</v>
      </c>
      <c r="D12">
        <v>50</v>
      </c>
      <c r="E12">
        <v>30</v>
      </c>
      <c r="F12">
        <v>150</v>
      </c>
      <c r="G12">
        <v>130</v>
      </c>
      <c r="H12">
        <v>0</v>
      </c>
      <c r="I12">
        <v>0</v>
      </c>
      <c r="J12">
        <v>360</v>
      </c>
      <c r="W12" t="s">
        <v>120</v>
      </c>
      <c r="X12">
        <v>10</v>
      </c>
      <c r="Y12">
        <v>0</v>
      </c>
      <c r="Z12">
        <v>10</v>
      </c>
      <c r="AA12">
        <v>0</v>
      </c>
      <c r="AE12" t="s">
        <v>272</v>
      </c>
      <c r="AF12">
        <v>66.67</v>
      </c>
      <c r="AH12" t="s">
        <v>133</v>
      </c>
      <c r="AI12">
        <v>645</v>
      </c>
    </row>
    <row r="13" spans="1:35" ht="15" customHeight="1" x14ac:dyDescent="0.2">
      <c r="C13" t="s">
        <v>120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W13" t="s">
        <v>122</v>
      </c>
      <c r="X13">
        <v>320</v>
      </c>
      <c r="Y13">
        <v>515</v>
      </c>
      <c r="Z13">
        <v>835</v>
      </c>
      <c r="AA13">
        <v>108.93</v>
      </c>
      <c r="AE13" t="s">
        <v>914</v>
      </c>
      <c r="AF13">
        <v>0</v>
      </c>
      <c r="AH13" t="s">
        <v>132</v>
      </c>
      <c r="AI13">
        <v>595</v>
      </c>
    </row>
    <row r="14" spans="1:35" ht="15" customHeight="1" x14ac:dyDescent="0.2">
      <c r="C14" t="s">
        <v>122</v>
      </c>
      <c r="D14">
        <v>100</v>
      </c>
      <c r="E14">
        <v>0</v>
      </c>
      <c r="F14">
        <v>0</v>
      </c>
      <c r="G14">
        <v>-50</v>
      </c>
      <c r="H14">
        <v>0</v>
      </c>
      <c r="I14">
        <v>0</v>
      </c>
      <c r="J14">
        <v>50</v>
      </c>
      <c r="W14" t="s">
        <v>118</v>
      </c>
      <c r="X14">
        <v>515</v>
      </c>
      <c r="Y14">
        <v>540</v>
      </c>
      <c r="Z14">
        <v>1055</v>
      </c>
      <c r="AA14">
        <v>325</v>
      </c>
      <c r="AE14" t="s">
        <v>120</v>
      </c>
      <c r="AF14">
        <v>0</v>
      </c>
      <c r="AH14" t="s">
        <v>272</v>
      </c>
      <c r="AI14">
        <v>570</v>
      </c>
    </row>
    <row r="15" spans="1:35" ht="15" customHeight="1" x14ac:dyDescent="0.2">
      <c r="C15" t="s">
        <v>118</v>
      </c>
      <c r="D15">
        <v>85</v>
      </c>
      <c r="E15">
        <v>0</v>
      </c>
      <c r="F15">
        <v>150</v>
      </c>
      <c r="G15">
        <v>100</v>
      </c>
      <c r="H15">
        <v>0</v>
      </c>
      <c r="I15">
        <v>0</v>
      </c>
      <c r="J15">
        <v>335</v>
      </c>
      <c r="W15" t="s">
        <v>1172</v>
      </c>
      <c r="X15">
        <v>60</v>
      </c>
      <c r="Y15">
        <v>60</v>
      </c>
      <c r="Z15">
        <v>120</v>
      </c>
      <c r="AA15">
        <v>0</v>
      </c>
      <c r="AE15" t="s">
        <v>1172</v>
      </c>
      <c r="AF15">
        <v>0</v>
      </c>
      <c r="AH15" t="s">
        <v>916</v>
      </c>
      <c r="AI15">
        <v>460</v>
      </c>
    </row>
    <row r="16" spans="1:35" ht="15" customHeight="1" x14ac:dyDescent="0.2">
      <c r="C16" t="s">
        <v>1172</v>
      </c>
      <c r="D16">
        <v>50</v>
      </c>
      <c r="E16">
        <v>20</v>
      </c>
      <c r="F16">
        <v>0</v>
      </c>
      <c r="G16">
        <v>0</v>
      </c>
      <c r="H16">
        <v>0</v>
      </c>
      <c r="I16">
        <v>0</v>
      </c>
      <c r="J16">
        <v>70</v>
      </c>
      <c r="W16" t="s">
        <v>123</v>
      </c>
      <c r="X16">
        <v>505</v>
      </c>
      <c r="Y16">
        <v>530</v>
      </c>
      <c r="Z16">
        <v>1035</v>
      </c>
      <c r="AA16">
        <v>-31.25</v>
      </c>
      <c r="AE16" t="s">
        <v>1173</v>
      </c>
      <c r="AF16">
        <v>0</v>
      </c>
      <c r="AH16" t="s">
        <v>119</v>
      </c>
      <c r="AI16">
        <v>450</v>
      </c>
    </row>
    <row r="17" spans="3:35" ht="15" customHeight="1" x14ac:dyDescent="0.2">
      <c r="C17" t="s">
        <v>123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W17" t="s">
        <v>133</v>
      </c>
      <c r="X17">
        <v>320</v>
      </c>
      <c r="Y17">
        <v>325</v>
      </c>
      <c r="Z17">
        <v>645</v>
      </c>
      <c r="AA17">
        <v>180.24</v>
      </c>
      <c r="AE17" t="s">
        <v>135</v>
      </c>
      <c r="AF17">
        <v>0</v>
      </c>
      <c r="AH17" t="s">
        <v>1157</v>
      </c>
      <c r="AI17">
        <v>425</v>
      </c>
    </row>
    <row r="18" spans="3:35" ht="15" customHeight="1" x14ac:dyDescent="0.2">
      <c r="C18" t="s">
        <v>133</v>
      </c>
      <c r="D18">
        <v>0</v>
      </c>
      <c r="E18">
        <v>0</v>
      </c>
      <c r="F18">
        <v>150</v>
      </c>
      <c r="G18">
        <v>0</v>
      </c>
      <c r="H18">
        <v>0</v>
      </c>
      <c r="I18">
        <v>0</v>
      </c>
      <c r="J18">
        <v>150</v>
      </c>
      <c r="W18" t="s">
        <v>231</v>
      </c>
      <c r="X18">
        <v>10</v>
      </c>
      <c r="Y18">
        <v>190</v>
      </c>
      <c r="Z18">
        <v>200</v>
      </c>
      <c r="AA18">
        <v>-25</v>
      </c>
      <c r="AE18" t="s">
        <v>1171</v>
      </c>
      <c r="AF18">
        <v>-5</v>
      </c>
      <c r="AH18" t="s">
        <v>693</v>
      </c>
      <c r="AI18">
        <v>260</v>
      </c>
    </row>
    <row r="19" spans="3:35" ht="15" customHeight="1" x14ac:dyDescent="0.2">
      <c r="C19" t="s">
        <v>231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W19" t="s">
        <v>230</v>
      </c>
      <c r="X19">
        <v>95</v>
      </c>
      <c r="Y19">
        <v>0</v>
      </c>
      <c r="Z19">
        <v>95</v>
      </c>
      <c r="AA19">
        <v>-91</v>
      </c>
      <c r="AE19" t="s">
        <v>231</v>
      </c>
      <c r="AF19">
        <v>-25</v>
      </c>
      <c r="AH19" t="s">
        <v>1308</v>
      </c>
      <c r="AI19">
        <v>255</v>
      </c>
    </row>
    <row r="20" spans="3:35" ht="15" customHeight="1" x14ac:dyDescent="0.2">
      <c r="C20" t="s">
        <v>230</v>
      </c>
      <c r="D20">
        <v>0</v>
      </c>
      <c r="E20">
        <v>0</v>
      </c>
      <c r="F20">
        <v>150</v>
      </c>
      <c r="G20">
        <v>0</v>
      </c>
      <c r="H20">
        <v>0</v>
      </c>
      <c r="I20">
        <v>0</v>
      </c>
      <c r="J20">
        <v>150</v>
      </c>
      <c r="W20" t="s">
        <v>130</v>
      </c>
      <c r="X20">
        <v>210</v>
      </c>
      <c r="Y20">
        <v>0</v>
      </c>
      <c r="Z20">
        <v>210</v>
      </c>
      <c r="AA20">
        <v>-739</v>
      </c>
      <c r="AE20" t="s">
        <v>123</v>
      </c>
      <c r="AF20">
        <v>-31.25</v>
      </c>
      <c r="AH20" t="s">
        <v>130</v>
      </c>
      <c r="AI20">
        <v>210</v>
      </c>
    </row>
    <row r="21" spans="3:35" ht="15" customHeight="1" x14ac:dyDescent="0.2">
      <c r="C21" t="s">
        <v>130</v>
      </c>
      <c r="D21">
        <v>0</v>
      </c>
      <c r="E21">
        <v>0</v>
      </c>
      <c r="F21">
        <v>0</v>
      </c>
      <c r="G21">
        <v>215</v>
      </c>
      <c r="H21">
        <v>0</v>
      </c>
      <c r="I21">
        <v>0</v>
      </c>
      <c r="J21">
        <v>215</v>
      </c>
      <c r="W21" t="s">
        <v>1173</v>
      </c>
      <c r="X21">
        <v>35</v>
      </c>
      <c r="Y21">
        <v>50</v>
      </c>
      <c r="Z21">
        <v>85</v>
      </c>
      <c r="AA21">
        <v>0</v>
      </c>
      <c r="AE21" t="s">
        <v>230</v>
      </c>
      <c r="AF21">
        <v>-91</v>
      </c>
      <c r="AH21" t="s">
        <v>231</v>
      </c>
      <c r="AI21">
        <v>200</v>
      </c>
    </row>
    <row r="22" spans="3:35" ht="15" customHeight="1" x14ac:dyDescent="0.2">
      <c r="C22" t="s">
        <v>1173</v>
      </c>
      <c r="D22">
        <v>35</v>
      </c>
      <c r="E22">
        <v>50</v>
      </c>
      <c r="F22">
        <v>0</v>
      </c>
      <c r="G22">
        <v>0</v>
      </c>
      <c r="H22">
        <v>0</v>
      </c>
      <c r="I22">
        <v>0</v>
      </c>
      <c r="J22">
        <v>85</v>
      </c>
      <c r="W22" t="s">
        <v>135</v>
      </c>
      <c r="X22">
        <v>10</v>
      </c>
      <c r="Y22">
        <v>155</v>
      </c>
      <c r="Z22">
        <v>165</v>
      </c>
      <c r="AA22">
        <v>0</v>
      </c>
      <c r="AE22" t="s">
        <v>916</v>
      </c>
      <c r="AF22">
        <v>-147.91999999999999</v>
      </c>
      <c r="AH22" t="s">
        <v>135</v>
      </c>
      <c r="AI22">
        <v>165</v>
      </c>
    </row>
    <row r="23" spans="3:35" ht="15" customHeight="1" x14ac:dyDescent="0.2">
      <c r="C23" t="s">
        <v>135</v>
      </c>
      <c r="D23">
        <v>0</v>
      </c>
      <c r="E23">
        <v>0</v>
      </c>
      <c r="F23">
        <v>150</v>
      </c>
      <c r="G23">
        <v>0</v>
      </c>
      <c r="H23">
        <v>0</v>
      </c>
      <c r="I23">
        <v>0</v>
      </c>
      <c r="J23">
        <v>150</v>
      </c>
      <c r="W23" t="s">
        <v>1157</v>
      </c>
      <c r="X23">
        <v>10</v>
      </c>
      <c r="Y23">
        <v>415</v>
      </c>
      <c r="Z23">
        <v>425</v>
      </c>
      <c r="AA23">
        <v>-261</v>
      </c>
      <c r="AE23" t="s">
        <v>172</v>
      </c>
      <c r="AF23">
        <v>-165.93</v>
      </c>
      <c r="AH23" t="s">
        <v>1172</v>
      </c>
      <c r="AI23">
        <v>120</v>
      </c>
    </row>
    <row r="24" spans="3:35" ht="15" customHeight="1" x14ac:dyDescent="0.2">
      <c r="C24" t="s">
        <v>1157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W24" t="s">
        <v>1171</v>
      </c>
      <c r="X24">
        <v>260</v>
      </c>
      <c r="Y24">
        <v>465</v>
      </c>
      <c r="Z24">
        <v>725</v>
      </c>
      <c r="AA24">
        <v>-5</v>
      </c>
      <c r="AE24" t="s">
        <v>132</v>
      </c>
      <c r="AF24">
        <v>-195</v>
      </c>
      <c r="AH24" t="s">
        <v>230</v>
      </c>
      <c r="AI24">
        <v>95</v>
      </c>
    </row>
    <row r="25" spans="3:35" ht="15" customHeight="1" x14ac:dyDescent="0.2">
      <c r="C25" t="s">
        <v>1171</v>
      </c>
      <c r="D25">
        <v>0</v>
      </c>
      <c r="E25">
        <v>0</v>
      </c>
      <c r="F25">
        <v>150</v>
      </c>
      <c r="G25">
        <v>0</v>
      </c>
      <c r="H25">
        <v>0</v>
      </c>
      <c r="I25">
        <v>0</v>
      </c>
      <c r="J25">
        <v>150</v>
      </c>
      <c r="W25" t="s">
        <v>1170</v>
      </c>
      <c r="X25">
        <v>335</v>
      </c>
      <c r="Y25">
        <v>615</v>
      </c>
      <c r="Z25">
        <v>950</v>
      </c>
      <c r="AA25">
        <v>329.15</v>
      </c>
      <c r="AE25" t="s">
        <v>1308</v>
      </c>
      <c r="AF25">
        <v>-258.74</v>
      </c>
      <c r="AH25" t="s">
        <v>1173</v>
      </c>
      <c r="AI25">
        <v>85</v>
      </c>
    </row>
    <row r="26" spans="3:35" ht="15" customHeight="1" x14ac:dyDescent="0.2">
      <c r="C26" t="s">
        <v>1170</v>
      </c>
      <c r="D26">
        <v>0</v>
      </c>
      <c r="E26">
        <v>150</v>
      </c>
      <c r="F26">
        <v>0</v>
      </c>
      <c r="G26">
        <v>-350</v>
      </c>
      <c r="H26">
        <v>100</v>
      </c>
      <c r="I26">
        <v>100</v>
      </c>
      <c r="J26">
        <v>0</v>
      </c>
      <c r="W26" t="s">
        <v>172</v>
      </c>
      <c r="X26">
        <v>460</v>
      </c>
      <c r="Y26">
        <v>880</v>
      </c>
      <c r="Z26">
        <v>1340</v>
      </c>
      <c r="AA26">
        <v>-165.93</v>
      </c>
      <c r="AE26" t="s">
        <v>1157</v>
      </c>
      <c r="AF26">
        <v>-261</v>
      </c>
      <c r="AH26" t="s">
        <v>914</v>
      </c>
      <c r="AI26">
        <v>10</v>
      </c>
    </row>
    <row r="27" spans="3:35" ht="15" customHeight="1" x14ac:dyDescent="0.2">
      <c r="C27" t="s">
        <v>1174</v>
      </c>
      <c r="D27">
        <v>530</v>
      </c>
      <c r="E27">
        <v>445</v>
      </c>
      <c r="F27">
        <v>1500</v>
      </c>
      <c r="G27">
        <v>-55</v>
      </c>
      <c r="H27">
        <v>100</v>
      </c>
      <c r="I27">
        <v>100</v>
      </c>
      <c r="J27">
        <v>2620</v>
      </c>
      <c r="W27" t="s">
        <v>272</v>
      </c>
      <c r="X27">
        <v>280</v>
      </c>
      <c r="Y27">
        <v>290</v>
      </c>
      <c r="Z27">
        <v>570</v>
      </c>
      <c r="AA27">
        <v>66.67</v>
      </c>
      <c r="AE27" t="s">
        <v>130</v>
      </c>
      <c r="AF27">
        <v>-739</v>
      </c>
      <c r="AH27" t="s">
        <v>120</v>
      </c>
      <c r="AI27">
        <v>10</v>
      </c>
    </row>
    <row r="29" spans="3:35" ht="15" customHeight="1" x14ac:dyDescent="0.2">
      <c r="C29" t="s">
        <v>1071</v>
      </c>
    </row>
    <row r="30" spans="3:35" ht="15" customHeight="1" x14ac:dyDescent="0.2">
      <c r="C30" t="s">
        <v>1164</v>
      </c>
      <c r="D30" t="s">
        <v>1175</v>
      </c>
      <c r="E30" t="s">
        <v>1165</v>
      </c>
      <c r="F30" t="s">
        <v>1176</v>
      </c>
      <c r="G30" t="s">
        <v>1177</v>
      </c>
      <c r="H30" t="s">
        <v>1168</v>
      </c>
      <c r="I30" t="s">
        <v>1178</v>
      </c>
      <c r="J30" t="s">
        <v>1067</v>
      </c>
      <c r="K30" t="s">
        <v>1179</v>
      </c>
      <c r="L30" t="s">
        <v>1180</v>
      </c>
      <c r="M30" t="s">
        <v>1181</v>
      </c>
      <c r="N30" t="s">
        <v>1182</v>
      </c>
      <c r="O30" t="s">
        <v>1183</v>
      </c>
      <c r="P30" t="s">
        <v>1184</v>
      </c>
      <c r="Q30" t="s">
        <v>1185</v>
      </c>
      <c r="R30" t="s">
        <v>1186</v>
      </c>
      <c r="AE30">
        <v>4.3988095238095202</v>
      </c>
    </row>
    <row r="31" spans="3:35" ht="15" customHeight="1" x14ac:dyDescent="0.2">
      <c r="C31" t="s">
        <v>1156</v>
      </c>
      <c r="D31">
        <v>170</v>
      </c>
      <c r="E31">
        <v>0</v>
      </c>
      <c r="F31">
        <v>0</v>
      </c>
      <c r="G31">
        <v>300</v>
      </c>
      <c r="H31">
        <v>-40</v>
      </c>
      <c r="I31">
        <v>0</v>
      </c>
      <c r="J31">
        <v>0</v>
      </c>
      <c r="K31">
        <v>0</v>
      </c>
      <c r="L31">
        <v>430</v>
      </c>
      <c r="N31">
        <v>144</v>
      </c>
      <c r="O31">
        <v>76</v>
      </c>
      <c r="P31">
        <v>220</v>
      </c>
      <c r="Q31">
        <v>30.6</v>
      </c>
      <c r="R31">
        <v>30.6</v>
      </c>
    </row>
    <row r="32" spans="3:35" ht="15" customHeight="1" x14ac:dyDescent="0.2">
      <c r="C32" t="s">
        <v>693</v>
      </c>
      <c r="D32">
        <v>85</v>
      </c>
      <c r="E32">
        <v>0</v>
      </c>
      <c r="F32">
        <v>50</v>
      </c>
      <c r="G32">
        <v>0</v>
      </c>
      <c r="H32">
        <v>0</v>
      </c>
      <c r="I32">
        <v>0</v>
      </c>
      <c r="J32">
        <v>0</v>
      </c>
      <c r="K32">
        <v>0</v>
      </c>
      <c r="L32">
        <v>135</v>
      </c>
      <c r="N32">
        <v>144</v>
      </c>
      <c r="O32">
        <v>76</v>
      </c>
      <c r="P32">
        <v>220</v>
      </c>
      <c r="Q32">
        <v>30.6</v>
      </c>
      <c r="R32">
        <v>30.6</v>
      </c>
    </row>
    <row r="33" spans="3:18" ht="15" customHeight="1" x14ac:dyDescent="0.2">
      <c r="C33" t="s">
        <v>1308</v>
      </c>
      <c r="D33">
        <v>10</v>
      </c>
      <c r="E33">
        <v>75</v>
      </c>
      <c r="F33">
        <v>50</v>
      </c>
      <c r="G33">
        <v>0</v>
      </c>
      <c r="H33">
        <v>0</v>
      </c>
      <c r="I33">
        <v>0</v>
      </c>
      <c r="J33">
        <v>0</v>
      </c>
      <c r="K33">
        <v>0</v>
      </c>
      <c r="L33">
        <v>135</v>
      </c>
      <c r="N33">
        <v>288</v>
      </c>
      <c r="O33">
        <v>76</v>
      </c>
      <c r="P33">
        <v>364</v>
      </c>
      <c r="Q33">
        <v>30.6</v>
      </c>
      <c r="R33">
        <v>30.6</v>
      </c>
    </row>
    <row r="34" spans="3:18" ht="15" customHeight="1" x14ac:dyDescent="0.2">
      <c r="C34" t="s">
        <v>914</v>
      </c>
      <c r="D34">
        <v>0</v>
      </c>
      <c r="E34">
        <v>0</v>
      </c>
      <c r="F34">
        <v>0</v>
      </c>
      <c r="G34">
        <v>150</v>
      </c>
      <c r="H34">
        <v>0</v>
      </c>
      <c r="I34">
        <v>0</v>
      </c>
      <c r="J34">
        <v>0</v>
      </c>
      <c r="K34">
        <v>0</v>
      </c>
      <c r="L34">
        <v>150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3:18" ht="15" customHeight="1" x14ac:dyDescent="0.2">
      <c r="C35" t="s">
        <v>916</v>
      </c>
      <c r="D35">
        <v>10</v>
      </c>
      <c r="E35">
        <v>0</v>
      </c>
      <c r="F35">
        <v>0</v>
      </c>
      <c r="G35">
        <v>150</v>
      </c>
      <c r="H35">
        <v>0</v>
      </c>
      <c r="I35">
        <v>0</v>
      </c>
      <c r="J35">
        <v>0</v>
      </c>
      <c r="K35">
        <v>0</v>
      </c>
      <c r="L35">
        <v>160</v>
      </c>
      <c r="N35">
        <v>144</v>
      </c>
      <c r="O35">
        <v>76</v>
      </c>
      <c r="P35">
        <v>220</v>
      </c>
      <c r="Q35">
        <v>30.6</v>
      </c>
      <c r="R35">
        <v>30.6</v>
      </c>
    </row>
    <row r="36" spans="3:18" ht="15" customHeight="1" x14ac:dyDescent="0.2">
      <c r="C36" t="s">
        <v>132</v>
      </c>
      <c r="D36">
        <v>130</v>
      </c>
      <c r="E36">
        <v>40</v>
      </c>
      <c r="F36">
        <v>0</v>
      </c>
      <c r="G36">
        <v>300</v>
      </c>
      <c r="H36">
        <v>0</v>
      </c>
      <c r="I36">
        <v>0</v>
      </c>
      <c r="J36">
        <v>0</v>
      </c>
      <c r="K36">
        <v>0</v>
      </c>
      <c r="L36">
        <v>470</v>
      </c>
      <c r="N36">
        <v>144</v>
      </c>
      <c r="O36">
        <v>76</v>
      </c>
      <c r="P36">
        <v>220</v>
      </c>
      <c r="Q36">
        <v>30.6</v>
      </c>
      <c r="R36">
        <v>30.6</v>
      </c>
    </row>
    <row r="37" spans="3:18" ht="15" customHeight="1" x14ac:dyDescent="0.2">
      <c r="C37" t="s">
        <v>176</v>
      </c>
      <c r="D37">
        <v>50</v>
      </c>
      <c r="E37">
        <v>0</v>
      </c>
      <c r="F37">
        <v>0</v>
      </c>
      <c r="G37">
        <v>300</v>
      </c>
      <c r="H37">
        <v>0</v>
      </c>
      <c r="I37">
        <v>0</v>
      </c>
      <c r="J37">
        <v>0</v>
      </c>
      <c r="K37">
        <v>0</v>
      </c>
      <c r="L37">
        <v>350</v>
      </c>
      <c r="N37">
        <v>144</v>
      </c>
      <c r="O37">
        <v>76</v>
      </c>
      <c r="P37">
        <v>220</v>
      </c>
      <c r="Q37">
        <v>30.6</v>
      </c>
      <c r="R37">
        <v>30.6</v>
      </c>
    </row>
    <row r="38" spans="3:18" ht="15" customHeight="1" x14ac:dyDescent="0.2">
      <c r="C38" t="s">
        <v>119</v>
      </c>
      <c r="D38">
        <v>70</v>
      </c>
      <c r="E38">
        <v>75</v>
      </c>
      <c r="F38">
        <v>50</v>
      </c>
      <c r="G38">
        <v>0</v>
      </c>
      <c r="H38">
        <v>0</v>
      </c>
      <c r="I38">
        <v>0</v>
      </c>
      <c r="J38">
        <v>0</v>
      </c>
      <c r="K38">
        <v>0</v>
      </c>
      <c r="L38">
        <v>195</v>
      </c>
      <c r="N38">
        <v>144</v>
      </c>
      <c r="O38">
        <v>76</v>
      </c>
      <c r="P38">
        <v>220</v>
      </c>
      <c r="Q38">
        <v>30.6</v>
      </c>
      <c r="R38">
        <v>30.6</v>
      </c>
    </row>
    <row r="39" spans="3:18" ht="15" customHeight="1" x14ac:dyDescent="0.2">
      <c r="C39" t="s">
        <v>120</v>
      </c>
      <c r="D39">
        <v>10</v>
      </c>
      <c r="E39">
        <v>0</v>
      </c>
      <c r="F39">
        <v>50</v>
      </c>
      <c r="G39">
        <v>0</v>
      </c>
      <c r="H39">
        <v>0</v>
      </c>
      <c r="I39">
        <v>0</v>
      </c>
      <c r="J39">
        <v>0</v>
      </c>
      <c r="K39">
        <v>0</v>
      </c>
      <c r="L39">
        <v>60</v>
      </c>
      <c r="N39">
        <v>144</v>
      </c>
      <c r="O39">
        <v>76</v>
      </c>
      <c r="P39">
        <v>220</v>
      </c>
      <c r="Q39">
        <v>30.6</v>
      </c>
      <c r="R39">
        <v>30.6</v>
      </c>
    </row>
    <row r="40" spans="3:18" ht="15" customHeight="1" x14ac:dyDescent="0.2">
      <c r="C40" t="s">
        <v>118</v>
      </c>
      <c r="D40">
        <v>70</v>
      </c>
      <c r="E40">
        <v>75</v>
      </c>
      <c r="F40">
        <v>0</v>
      </c>
      <c r="G40">
        <v>300</v>
      </c>
      <c r="H40">
        <v>0</v>
      </c>
      <c r="I40">
        <v>0</v>
      </c>
      <c r="J40">
        <v>0</v>
      </c>
      <c r="K40">
        <v>0</v>
      </c>
      <c r="L40">
        <v>445</v>
      </c>
      <c r="N40">
        <v>144</v>
      </c>
      <c r="O40">
        <v>76</v>
      </c>
      <c r="P40">
        <v>220</v>
      </c>
      <c r="Q40">
        <v>30.6</v>
      </c>
      <c r="R40">
        <v>30.6</v>
      </c>
    </row>
    <row r="41" spans="3:18" ht="15" customHeight="1" x14ac:dyDescent="0.2">
      <c r="C41" t="s">
        <v>1172</v>
      </c>
      <c r="D41">
        <v>10</v>
      </c>
      <c r="E41">
        <v>40</v>
      </c>
      <c r="F41">
        <v>0</v>
      </c>
      <c r="G41">
        <v>300</v>
      </c>
      <c r="H41">
        <v>0</v>
      </c>
      <c r="I41">
        <v>0</v>
      </c>
      <c r="J41">
        <v>0</v>
      </c>
      <c r="K41">
        <v>0</v>
      </c>
      <c r="L41">
        <v>350</v>
      </c>
      <c r="N41">
        <v>144</v>
      </c>
      <c r="O41">
        <v>76</v>
      </c>
      <c r="P41">
        <v>220</v>
      </c>
      <c r="Q41">
        <v>30.6</v>
      </c>
      <c r="R41">
        <v>30.6</v>
      </c>
    </row>
    <row r="42" spans="3:18" ht="15" customHeight="1" x14ac:dyDescent="0.2">
      <c r="C42" t="s">
        <v>123</v>
      </c>
      <c r="D42">
        <v>105</v>
      </c>
      <c r="E42">
        <v>40</v>
      </c>
      <c r="F42">
        <v>50</v>
      </c>
      <c r="G42">
        <v>0</v>
      </c>
      <c r="H42">
        <v>0</v>
      </c>
      <c r="I42">
        <v>0</v>
      </c>
      <c r="J42">
        <v>0</v>
      </c>
      <c r="K42">
        <v>0</v>
      </c>
      <c r="L42">
        <v>195</v>
      </c>
      <c r="N42">
        <v>144</v>
      </c>
      <c r="O42">
        <v>76</v>
      </c>
      <c r="P42">
        <v>220</v>
      </c>
      <c r="Q42">
        <v>30.6</v>
      </c>
      <c r="R42">
        <v>30.6</v>
      </c>
    </row>
    <row r="43" spans="3:18" ht="15" customHeight="1" x14ac:dyDescent="0.2">
      <c r="C43" t="s">
        <v>133</v>
      </c>
      <c r="D43">
        <v>10</v>
      </c>
      <c r="E43">
        <v>0</v>
      </c>
      <c r="F43">
        <v>0</v>
      </c>
      <c r="G43">
        <v>300</v>
      </c>
      <c r="H43">
        <v>0</v>
      </c>
      <c r="I43">
        <v>0</v>
      </c>
      <c r="J43">
        <v>0</v>
      </c>
      <c r="K43">
        <v>0</v>
      </c>
      <c r="L43">
        <v>310</v>
      </c>
      <c r="N43">
        <v>144</v>
      </c>
      <c r="O43">
        <v>76</v>
      </c>
      <c r="P43">
        <v>220</v>
      </c>
      <c r="Q43">
        <v>30.6</v>
      </c>
      <c r="R43">
        <v>30.6</v>
      </c>
    </row>
    <row r="44" spans="3:18" ht="15" customHeight="1" x14ac:dyDescent="0.2">
      <c r="C44" t="s">
        <v>231</v>
      </c>
      <c r="D44">
        <v>10</v>
      </c>
      <c r="E44">
        <v>150</v>
      </c>
      <c r="F44">
        <v>50</v>
      </c>
      <c r="G44">
        <v>0</v>
      </c>
      <c r="H44">
        <v>0</v>
      </c>
      <c r="I44">
        <v>0</v>
      </c>
      <c r="J44">
        <v>0</v>
      </c>
      <c r="K44">
        <v>0</v>
      </c>
      <c r="L44">
        <v>210</v>
      </c>
      <c r="N44">
        <v>144</v>
      </c>
      <c r="O44">
        <v>76</v>
      </c>
      <c r="P44">
        <v>220</v>
      </c>
      <c r="Q44">
        <v>30.6</v>
      </c>
      <c r="R44">
        <v>30.6</v>
      </c>
    </row>
    <row r="45" spans="3:18" ht="15" customHeight="1" x14ac:dyDescent="0.2">
      <c r="C45" t="s">
        <v>230</v>
      </c>
      <c r="D45">
        <v>10</v>
      </c>
      <c r="E45">
        <v>0</v>
      </c>
      <c r="F45">
        <v>0</v>
      </c>
      <c r="G45">
        <v>300</v>
      </c>
      <c r="H45">
        <v>80</v>
      </c>
      <c r="I45">
        <v>0</v>
      </c>
      <c r="J45">
        <v>0</v>
      </c>
      <c r="K45">
        <v>0</v>
      </c>
      <c r="L45">
        <v>390</v>
      </c>
      <c r="M45">
        <v>83</v>
      </c>
      <c r="N45">
        <v>144</v>
      </c>
      <c r="O45">
        <v>76</v>
      </c>
      <c r="P45">
        <v>303</v>
      </c>
      <c r="Q45">
        <v>30.6</v>
      </c>
      <c r="R45">
        <v>30.6</v>
      </c>
    </row>
    <row r="46" spans="3:18" ht="15" customHeight="1" x14ac:dyDescent="0.2">
      <c r="C46" t="s">
        <v>172</v>
      </c>
      <c r="D46">
        <v>165</v>
      </c>
      <c r="E46">
        <v>300</v>
      </c>
      <c r="F46">
        <v>50</v>
      </c>
      <c r="G46">
        <v>0</v>
      </c>
      <c r="H46">
        <v>40</v>
      </c>
      <c r="I46">
        <v>0</v>
      </c>
      <c r="J46">
        <v>0</v>
      </c>
      <c r="K46">
        <v>0</v>
      </c>
      <c r="L46">
        <v>555</v>
      </c>
      <c r="N46">
        <v>144</v>
      </c>
      <c r="O46">
        <v>76</v>
      </c>
      <c r="P46">
        <v>220</v>
      </c>
      <c r="Q46">
        <v>30.6</v>
      </c>
      <c r="R46">
        <v>30.6</v>
      </c>
    </row>
    <row r="47" spans="3:18" ht="15" customHeight="1" x14ac:dyDescent="0.2">
      <c r="C47" t="s">
        <v>135</v>
      </c>
      <c r="D47">
        <v>10</v>
      </c>
      <c r="E47">
        <v>40</v>
      </c>
      <c r="F47">
        <v>50</v>
      </c>
      <c r="G47">
        <v>0</v>
      </c>
      <c r="H47">
        <v>0</v>
      </c>
      <c r="I47">
        <v>0</v>
      </c>
      <c r="J47">
        <v>0</v>
      </c>
      <c r="K47">
        <v>0</v>
      </c>
      <c r="L47">
        <v>100</v>
      </c>
      <c r="N47">
        <v>144</v>
      </c>
      <c r="O47">
        <v>76</v>
      </c>
      <c r="P47">
        <v>220</v>
      </c>
      <c r="Q47">
        <v>30.6</v>
      </c>
      <c r="R47">
        <v>30.6</v>
      </c>
    </row>
    <row r="48" spans="3:18" ht="15" customHeight="1" x14ac:dyDescent="0.2">
      <c r="C48" t="s">
        <v>1157</v>
      </c>
      <c r="D48">
        <v>10</v>
      </c>
      <c r="E48">
        <v>115</v>
      </c>
      <c r="F48">
        <v>50</v>
      </c>
      <c r="G48">
        <v>0</v>
      </c>
      <c r="H48">
        <v>0</v>
      </c>
      <c r="I48">
        <v>0</v>
      </c>
      <c r="J48">
        <v>0</v>
      </c>
      <c r="K48">
        <v>0</v>
      </c>
      <c r="L48">
        <v>175</v>
      </c>
      <c r="M48">
        <v>83</v>
      </c>
      <c r="N48">
        <v>144</v>
      </c>
      <c r="O48">
        <v>76</v>
      </c>
      <c r="P48">
        <v>303</v>
      </c>
      <c r="Q48">
        <v>30.6</v>
      </c>
      <c r="R48">
        <v>30.6</v>
      </c>
    </row>
    <row r="49" spans="3:19" ht="15" customHeight="1" x14ac:dyDescent="0.2">
      <c r="C49" t="s">
        <v>1171</v>
      </c>
      <c r="D49">
        <v>10</v>
      </c>
      <c r="E49">
        <v>100</v>
      </c>
      <c r="F49">
        <v>0</v>
      </c>
      <c r="G49">
        <v>300</v>
      </c>
      <c r="H49">
        <v>0</v>
      </c>
      <c r="I49">
        <v>0</v>
      </c>
      <c r="J49">
        <v>0</v>
      </c>
      <c r="K49">
        <v>0</v>
      </c>
      <c r="L49">
        <v>410</v>
      </c>
      <c r="M49">
        <v>83</v>
      </c>
      <c r="N49">
        <v>144</v>
      </c>
      <c r="O49">
        <v>76</v>
      </c>
      <c r="P49">
        <v>303</v>
      </c>
      <c r="Q49">
        <v>30.6</v>
      </c>
      <c r="R49">
        <v>30.6</v>
      </c>
    </row>
    <row r="50" spans="3:19" ht="15" customHeight="1" x14ac:dyDescent="0.2">
      <c r="C50" t="s">
        <v>1170</v>
      </c>
      <c r="D50">
        <v>140</v>
      </c>
      <c r="E50">
        <v>115</v>
      </c>
      <c r="F50">
        <v>0</v>
      </c>
      <c r="G50">
        <v>300</v>
      </c>
      <c r="H50">
        <v>0</v>
      </c>
      <c r="I50">
        <v>-100</v>
      </c>
      <c r="J50">
        <v>0</v>
      </c>
      <c r="K50">
        <v>0</v>
      </c>
      <c r="L50">
        <v>455</v>
      </c>
      <c r="N50">
        <v>144</v>
      </c>
      <c r="O50">
        <v>76</v>
      </c>
      <c r="P50">
        <v>220</v>
      </c>
      <c r="Q50">
        <v>30.6</v>
      </c>
      <c r="R50">
        <v>30.6</v>
      </c>
    </row>
    <row r="51" spans="3:19" ht="15" customHeight="1" x14ac:dyDescent="0.2">
      <c r="C51" t="s">
        <v>272</v>
      </c>
      <c r="D51">
        <v>10</v>
      </c>
      <c r="E51">
        <v>40</v>
      </c>
      <c r="F51">
        <v>50</v>
      </c>
      <c r="G51">
        <v>0</v>
      </c>
      <c r="H51">
        <v>0</v>
      </c>
      <c r="I51">
        <v>0</v>
      </c>
      <c r="J51">
        <v>0</v>
      </c>
      <c r="K51">
        <v>0</v>
      </c>
      <c r="L51">
        <v>100</v>
      </c>
      <c r="N51">
        <v>144</v>
      </c>
      <c r="O51">
        <v>76</v>
      </c>
      <c r="P51">
        <v>220</v>
      </c>
      <c r="Q51">
        <v>30.6</v>
      </c>
      <c r="R51">
        <v>30.6</v>
      </c>
    </row>
    <row r="52" spans="3:19" ht="15" customHeight="1" x14ac:dyDescent="0.2">
      <c r="C52" t="s">
        <v>1156</v>
      </c>
      <c r="D52">
        <v>0</v>
      </c>
      <c r="E52">
        <v>0</v>
      </c>
      <c r="F52">
        <v>0</v>
      </c>
      <c r="G52">
        <v>0</v>
      </c>
      <c r="H52">
        <v>217</v>
      </c>
      <c r="I52">
        <v>0</v>
      </c>
      <c r="J52">
        <v>0</v>
      </c>
      <c r="K52">
        <v>-217</v>
      </c>
      <c r="L52">
        <v>217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3:19" ht="15" customHeight="1" x14ac:dyDescent="0.2">
      <c r="C53" t="s">
        <v>122</v>
      </c>
      <c r="D53">
        <v>0</v>
      </c>
      <c r="E53">
        <v>0</v>
      </c>
      <c r="F53">
        <v>0</v>
      </c>
      <c r="G53">
        <v>0</v>
      </c>
      <c r="H53">
        <v>-12.5</v>
      </c>
      <c r="I53">
        <v>0</v>
      </c>
      <c r="J53">
        <v>12.5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3:19" ht="15" customHeight="1" x14ac:dyDescent="0.2">
      <c r="C54" t="s">
        <v>130</v>
      </c>
      <c r="D54">
        <v>0</v>
      </c>
      <c r="E54">
        <v>0</v>
      </c>
      <c r="F54">
        <v>0</v>
      </c>
      <c r="G54">
        <v>0</v>
      </c>
      <c r="H54">
        <v>50</v>
      </c>
      <c r="I54">
        <v>0</v>
      </c>
      <c r="J54">
        <v>0</v>
      </c>
      <c r="K54">
        <v>0</v>
      </c>
      <c r="L54">
        <v>50</v>
      </c>
      <c r="N54">
        <v>144</v>
      </c>
      <c r="O54">
        <v>0</v>
      </c>
      <c r="P54">
        <v>144</v>
      </c>
      <c r="Q54">
        <v>0</v>
      </c>
      <c r="R54">
        <v>0</v>
      </c>
    </row>
    <row r="55" spans="3:19" ht="15" customHeight="1" x14ac:dyDescent="0.2">
      <c r="C55" t="s">
        <v>1187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144</v>
      </c>
      <c r="O55">
        <v>0</v>
      </c>
      <c r="P55">
        <v>144</v>
      </c>
      <c r="Q55">
        <v>0</v>
      </c>
      <c r="R55">
        <v>0</v>
      </c>
    </row>
    <row r="56" spans="3:19" ht="15" customHeight="1" x14ac:dyDescent="0.2">
      <c r="C56" t="s">
        <v>1174</v>
      </c>
      <c r="D56">
        <v>1095</v>
      </c>
      <c r="E56">
        <v>1205</v>
      </c>
      <c r="F56">
        <v>500</v>
      </c>
      <c r="G56">
        <v>3000</v>
      </c>
      <c r="H56">
        <v>334.5</v>
      </c>
      <c r="I56">
        <v>-100</v>
      </c>
      <c r="J56">
        <v>12.5</v>
      </c>
      <c r="K56">
        <v>-217</v>
      </c>
      <c r="L56">
        <v>6047</v>
      </c>
      <c r="M56">
        <v>249</v>
      </c>
      <c r="N56">
        <v>3312</v>
      </c>
      <c r="O56">
        <v>1520</v>
      </c>
      <c r="P56">
        <v>5081</v>
      </c>
      <c r="Q56">
        <v>612</v>
      </c>
      <c r="R56">
        <v>612</v>
      </c>
    </row>
    <row r="58" spans="3:19" ht="15" customHeight="1" x14ac:dyDescent="0.2">
      <c r="C58" t="s">
        <v>1079</v>
      </c>
    </row>
    <row r="59" spans="3:19" ht="48" customHeight="1" x14ac:dyDescent="0.2">
      <c r="C59" t="s">
        <v>1164</v>
      </c>
      <c r="D59" t="s">
        <v>1175</v>
      </c>
      <c r="E59" t="s">
        <v>1165</v>
      </c>
      <c r="F59" t="s">
        <v>1188</v>
      </c>
      <c r="G59" t="s">
        <v>1177</v>
      </c>
      <c r="H59" t="s">
        <v>1168</v>
      </c>
      <c r="I59" t="s">
        <v>1189</v>
      </c>
      <c r="J59" t="s">
        <v>1190</v>
      </c>
      <c r="K59" t="s">
        <v>1191</v>
      </c>
      <c r="L59" t="s">
        <v>1192</v>
      </c>
      <c r="M59" s="78" t="s">
        <v>1193</v>
      </c>
      <c r="N59" t="s">
        <v>1179</v>
      </c>
      <c r="O59" t="s">
        <v>1180</v>
      </c>
      <c r="P59" t="s">
        <v>1194</v>
      </c>
      <c r="Q59" t="s">
        <v>1195</v>
      </c>
      <c r="R59" t="s">
        <v>1196</v>
      </c>
      <c r="S59" t="s">
        <v>1197</v>
      </c>
    </row>
    <row r="60" spans="3:19" ht="15" customHeight="1" x14ac:dyDescent="0.2">
      <c r="C60" t="s">
        <v>1308</v>
      </c>
      <c r="D60">
        <v>160</v>
      </c>
      <c r="E60">
        <v>0</v>
      </c>
      <c r="F60">
        <v>0</v>
      </c>
      <c r="G60">
        <v>0</v>
      </c>
      <c r="H60">
        <v>100</v>
      </c>
      <c r="I60">
        <v>0</v>
      </c>
      <c r="J60">
        <v>-25</v>
      </c>
      <c r="K60">
        <v>-100</v>
      </c>
      <c r="L60">
        <v>0</v>
      </c>
      <c r="M60">
        <v>0</v>
      </c>
      <c r="N60">
        <v>0</v>
      </c>
      <c r="O60">
        <v>135</v>
      </c>
      <c r="P60">
        <v>152</v>
      </c>
      <c r="Q60">
        <v>152</v>
      </c>
      <c r="R60">
        <v>45</v>
      </c>
      <c r="S60">
        <v>45</v>
      </c>
    </row>
    <row r="61" spans="3:19" ht="15" customHeight="1" x14ac:dyDescent="0.2">
      <c r="C61" t="s">
        <v>914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3:19" ht="15" customHeight="1" x14ac:dyDescent="0.2">
      <c r="C62" t="s">
        <v>916</v>
      </c>
      <c r="D62">
        <v>75</v>
      </c>
      <c r="E62">
        <v>140</v>
      </c>
      <c r="F62">
        <v>0</v>
      </c>
      <c r="G62">
        <v>300</v>
      </c>
      <c r="H62">
        <v>186.67</v>
      </c>
      <c r="I62">
        <v>0</v>
      </c>
      <c r="J62">
        <v>-25</v>
      </c>
      <c r="K62">
        <v>0</v>
      </c>
      <c r="L62">
        <v>0</v>
      </c>
      <c r="M62">
        <v>0</v>
      </c>
      <c r="N62">
        <v>0</v>
      </c>
      <c r="O62">
        <v>676.67</v>
      </c>
      <c r="P62">
        <v>152</v>
      </c>
      <c r="Q62">
        <v>152</v>
      </c>
      <c r="R62">
        <v>45</v>
      </c>
      <c r="S62">
        <v>45</v>
      </c>
    </row>
    <row r="63" spans="3:19" ht="15" customHeight="1" x14ac:dyDescent="0.2">
      <c r="C63" t="s">
        <v>321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152</v>
      </c>
      <c r="Q63">
        <v>152</v>
      </c>
      <c r="R63">
        <v>45</v>
      </c>
      <c r="S63">
        <v>45</v>
      </c>
    </row>
    <row r="64" spans="3:19" ht="15" customHeight="1" x14ac:dyDescent="0.2">
      <c r="C64" t="s">
        <v>132</v>
      </c>
      <c r="D64">
        <v>95</v>
      </c>
      <c r="E64">
        <v>0</v>
      </c>
      <c r="F64">
        <v>0</v>
      </c>
      <c r="G64">
        <v>300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395</v>
      </c>
      <c r="P64">
        <v>152</v>
      </c>
      <c r="Q64">
        <v>152</v>
      </c>
      <c r="R64">
        <v>45</v>
      </c>
      <c r="S64">
        <v>45</v>
      </c>
    </row>
    <row r="65" spans="3:19" ht="15" customHeight="1" x14ac:dyDescent="0.2">
      <c r="C65" t="s">
        <v>172</v>
      </c>
      <c r="D65">
        <v>120</v>
      </c>
      <c r="E65">
        <v>290</v>
      </c>
      <c r="F65">
        <v>0</v>
      </c>
      <c r="G65">
        <v>300</v>
      </c>
      <c r="H65">
        <v>0</v>
      </c>
      <c r="I65">
        <v>0</v>
      </c>
      <c r="J65">
        <v>0</v>
      </c>
      <c r="K65">
        <v>-160</v>
      </c>
      <c r="L65">
        <v>0</v>
      </c>
      <c r="M65">
        <v>0</v>
      </c>
      <c r="N65">
        <v>0</v>
      </c>
      <c r="O65">
        <v>550</v>
      </c>
      <c r="P65">
        <v>152</v>
      </c>
      <c r="Q65">
        <v>152</v>
      </c>
      <c r="R65">
        <v>45</v>
      </c>
      <c r="S65">
        <v>45</v>
      </c>
    </row>
    <row r="66" spans="3:19" ht="15" customHeight="1" x14ac:dyDescent="0.2">
      <c r="C66" t="s">
        <v>176</v>
      </c>
      <c r="D66">
        <v>60</v>
      </c>
      <c r="E66">
        <v>225</v>
      </c>
      <c r="F66">
        <v>0</v>
      </c>
      <c r="G66">
        <v>0</v>
      </c>
      <c r="H66">
        <v>-253.41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31.59</v>
      </c>
      <c r="P66">
        <v>152</v>
      </c>
      <c r="Q66">
        <v>152</v>
      </c>
      <c r="R66">
        <v>45</v>
      </c>
      <c r="S66">
        <v>45</v>
      </c>
    </row>
    <row r="67" spans="3:19" ht="15" customHeight="1" x14ac:dyDescent="0.2">
      <c r="C67" t="s">
        <v>1156</v>
      </c>
      <c r="D67">
        <v>200</v>
      </c>
      <c r="E67">
        <v>40</v>
      </c>
      <c r="F67">
        <v>0</v>
      </c>
      <c r="G67">
        <v>300</v>
      </c>
      <c r="H67">
        <v>129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669</v>
      </c>
      <c r="P67">
        <v>152</v>
      </c>
      <c r="Q67">
        <v>152</v>
      </c>
      <c r="R67">
        <v>45</v>
      </c>
      <c r="S67">
        <v>45</v>
      </c>
    </row>
    <row r="68" spans="3:19" ht="15" customHeight="1" x14ac:dyDescent="0.2">
      <c r="C68" t="s">
        <v>119</v>
      </c>
      <c r="D68">
        <v>225</v>
      </c>
      <c r="E68">
        <v>0</v>
      </c>
      <c r="F68">
        <v>100</v>
      </c>
      <c r="G68">
        <v>0</v>
      </c>
      <c r="H68">
        <v>-100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225</v>
      </c>
      <c r="P68">
        <v>152</v>
      </c>
      <c r="Q68">
        <v>152</v>
      </c>
      <c r="R68">
        <v>45</v>
      </c>
      <c r="S68">
        <v>45</v>
      </c>
    </row>
    <row r="69" spans="3:19" ht="15" customHeight="1" x14ac:dyDescent="0.2">
      <c r="C69" t="s">
        <v>122</v>
      </c>
      <c r="D69">
        <v>120</v>
      </c>
      <c r="E69">
        <v>215</v>
      </c>
      <c r="F69">
        <v>0</v>
      </c>
      <c r="G69">
        <v>300</v>
      </c>
      <c r="H69">
        <v>-71.430000000000007</v>
      </c>
      <c r="I69">
        <v>0</v>
      </c>
      <c r="J69">
        <v>0</v>
      </c>
      <c r="K69">
        <v>-112.5</v>
      </c>
      <c r="L69">
        <v>0</v>
      </c>
      <c r="M69">
        <v>0</v>
      </c>
      <c r="N69">
        <v>0</v>
      </c>
      <c r="O69">
        <v>451.07</v>
      </c>
      <c r="P69">
        <v>152</v>
      </c>
      <c r="Q69">
        <v>152</v>
      </c>
      <c r="R69">
        <v>45</v>
      </c>
      <c r="S69">
        <v>45</v>
      </c>
    </row>
    <row r="70" spans="3:19" ht="15" customHeight="1" x14ac:dyDescent="0.2">
      <c r="C70" t="s">
        <v>118</v>
      </c>
      <c r="D70">
        <v>260</v>
      </c>
      <c r="E70">
        <v>290</v>
      </c>
      <c r="F70">
        <v>0</v>
      </c>
      <c r="G70">
        <v>300</v>
      </c>
      <c r="H70">
        <v>-260</v>
      </c>
      <c r="I70">
        <v>-25</v>
      </c>
      <c r="J70">
        <v>0</v>
      </c>
      <c r="K70">
        <v>-160</v>
      </c>
      <c r="L70">
        <v>0</v>
      </c>
      <c r="M70">
        <v>0</v>
      </c>
      <c r="N70">
        <v>0</v>
      </c>
      <c r="O70">
        <v>405</v>
      </c>
      <c r="P70">
        <v>152</v>
      </c>
      <c r="Q70">
        <v>152</v>
      </c>
      <c r="R70">
        <v>45</v>
      </c>
      <c r="S70">
        <v>45</v>
      </c>
    </row>
    <row r="71" spans="3:19" ht="15" customHeight="1" x14ac:dyDescent="0.2">
      <c r="C71" t="s">
        <v>123</v>
      </c>
      <c r="D71">
        <v>100</v>
      </c>
      <c r="E71">
        <v>290</v>
      </c>
      <c r="F71">
        <v>0</v>
      </c>
      <c r="G71">
        <v>0</v>
      </c>
      <c r="H71">
        <v>-91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299</v>
      </c>
      <c r="P71">
        <v>152</v>
      </c>
      <c r="Q71">
        <v>152</v>
      </c>
      <c r="R71">
        <v>45</v>
      </c>
      <c r="S71">
        <v>45</v>
      </c>
    </row>
    <row r="72" spans="3:19" ht="15" customHeight="1" x14ac:dyDescent="0.2">
      <c r="C72" t="s">
        <v>133</v>
      </c>
      <c r="D72">
        <v>60</v>
      </c>
      <c r="E72">
        <v>100</v>
      </c>
      <c r="F72">
        <v>0</v>
      </c>
      <c r="G72">
        <v>0</v>
      </c>
      <c r="H72">
        <v>-25.24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134.76</v>
      </c>
      <c r="P72">
        <v>152</v>
      </c>
      <c r="Q72">
        <v>152</v>
      </c>
      <c r="R72">
        <v>45</v>
      </c>
      <c r="S72">
        <v>45</v>
      </c>
    </row>
    <row r="73" spans="3:19" ht="15" customHeight="1" x14ac:dyDescent="0.2">
      <c r="C73" t="s">
        <v>231</v>
      </c>
      <c r="D73">
        <v>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40</v>
      </c>
      <c r="P73">
        <v>152</v>
      </c>
      <c r="Q73">
        <v>152</v>
      </c>
      <c r="R73">
        <v>45</v>
      </c>
      <c r="S73">
        <v>45</v>
      </c>
    </row>
    <row r="74" spans="3:19" ht="15" customHeight="1" x14ac:dyDescent="0.2">
      <c r="C74" t="s">
        <v>230</v>
      </c>
      <c r="D74">
        <v>60</v>
      </c>
      <c r="E74">
        <v>0</v>
      </c>
      <c r="F74">
        <v>100</v>
      </c>
      <c r="G74">
        <v>0</v>
      </c>
      <c r="H74">
        <v>100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260</v>
      </c>
      <c r="P74">
        <v>152</v>
      </c>
      <c r="Q74">
        <v>152</v>
      </c>
      <c r="R74">
        <v>45</v>
      </c>
      <c r="S74">
        <v>45</v>
      </c>
    </row>
    <row r="75" spans="3:19" ht="15" customHeight="1" x14ac:dyDescent="0.2">
      <c r="C75" t="s">
        <v>130</v>
      </c>
      <c r="D75">
        <v>60</v>
      </c>
      <c r="E75">
        <v>0</v>
      </c>
      <c r="F75">
        <v>0</v>
      </c>
      <c r="G75">
        <v>300</v>
      </c>
      <c r="H75">
        <v>29</v>
      </c>
      <c r="I75">
        <v>-25</v>
      </c>
      <c r="J75">
        <v>0</v>
      </c>
      <c r="K75">
        <v>-100</v>
      </c>
      <c r="L75">
        <v>100</v>
      </c>
      <c r="M75">
        <v>0</v>
      </c>
      <c r="N75">
        <v>0</v>
      </c>
      <c r="O75">
        <v>364</v>
      </c>
      <c r="P75">
        <v>152</v>
      </c>
      <c r="Q75">
        <v>152</v>
      </c>
      <c r="R75">
        <v>45</v>
      </c>
      <c r="S75">
        <v>45</v>
      </c>
    </row>
    <row r="76" spans="3:19" ht="15" customHeight="1" x14ac:dyDescent="0.2">
      <c r="C76" t="s">
        <v>135</v>
      </c>
      <c r="D76">
        <v>0</v>
      </c>
      <c r="E76">
        <v>115</v>
      </c>
      <c r="F76">
        <v>0</v>
      </c>
      <c r="G76">
        <v>0</v>
      </c>
      <c r="I76">
        <v>-25</v>
      </c>
      <c r="J76">
        <v>0</v>
      </c>
      <c r="K76">
        <v>0</v>
      </c>
      <c r="L76">
        <v>0</v>
      </c>
      <c r="M76">
        <v>0</v>
      </c>
      <c r="N76">
        <v>0</v>
      </c>
      <c r="O76">
        <v>90</v>
      </c>
      <c r="P76">
        <v>152</v>
      </c>
      <c r="Q76">
        <v>152</v>
      </c>
      <c r="R76">
        <v>45</v>
      </c>
      <c r="S76">
        <v>45</v>
      </c>
    </row>
    <row r="77" spans="3:19" ht="15" customHeight="1" x14ac:dyDescent="0.2">
      <c r="C77" t="s">
        <v>1157</v>
      </c>
      <c r="D77">
        <v>0</v>
      </c>
      <c r="E77">
        <v>0</v>
      </c>
      <c r="F77">
        <v>0</v>
      </c>
      <c r="G77">
        <v>0</v>
      </c>
      <c r="H77">
        <v>-70</v>
      </c>
      <c r="I77">
        <v>-25</v>
      </c>
      <c r="J77">
        <v>0</v>
      </c>
      <c r="K77">
        <v>0</v>
      </c>
      <c r="L77">
        <v>0</v>
      </c>
      <c r="M77">
        <v>95</v>
      </c>
      <c r="N77">
        <v>0</v>
      </c>
      <c r="O77">
        <v>0</v>
      </c>
      <c r="P77">
        <v>152</v>
      </c>
      <c r="Q77">
        <v>152</v>
      </c>
      <c r="R77">
        <v>45</v>
      </c>
      <c r="S77">
        <v>45</v>
      </c>
    </row>
    <row r="78" spans="3:19" ht="15" customHeight="1" x14ac:dyDescent="0.2">
      <c r="C78" t="s">
        <v>1171</v>
      </c>
      <c r="D78">
        <v>0</v>
      </c>
      <c r="E78">
        <v>115</v>
      </c>
      <c r="F78">
        <v>0</v>
      </c>
      <c r="G78">
        <v>300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415</v>
      </c>
      <c r="P78">
        <v>152</v>
      </c>
      <c r="Q78">
        <v>152</v>
      </c>
      <c r="R78">
        <v>45</v>
      </c>
      <c r="S78">
        <v>45</v>
      </c>
    </row>
    <row r="79" spans="3:19" ht="15" customHeight="1" x14ac:dyDescent="0.2">
      <c r="C79" t="s">
        <v>1170</v>
      </c>
      <c r="D79">
        <v>120</v>
      </c>
      <c r="E79">
        <v>150</v>
      </c>
      <c r="F79">
        <v>0</v>
      </c>
      <c r="G79">
        <v>300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570</v>
      </c>
      <c r="P79">
        <v>152</v>
      </c>
      <c r="Q79">
        <v>152</v>
      </c>
      <c r="R79">
        <v>45</v>
      </c>
      <c r="S79">
        <v>45</v>
      </c>
    </row>
    <row r="80" spans="3:19" ht="15" customHeight="1" x14ac:dyDescent="0.2">
      <c r="C80" t="s">
        <v>272</v>
      </c>
      <c r="D80">
        <v>135</v>
      </c>
      <c r="E80">
        <v>100</v>
      </c>
      <c r="F80">
        <v>0</v>
      </c>
      <c r="G80">
        <v>300</v>
      </c>
      <c r="H80">
        <v>-66.67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468.33</v>
      </c>
      <c r="P80">
        <v>152</v>
      </c>
      <c r="Q80">
        <v>152</v>
      </c>
      <c r="R80">
        <v>45</v>
      </c>
      <c r="S80">
        <v>45</v>
      </c>
    </row>
    <row r="81" spans="3:19" ht="15" customHeight="1" x14ac:dyDescent="0.2">
      <c r="C81" t="s">
        <v>1174</v>
      </c>
      <c r="D81">
        <v>1850</v>
      </c>
      <c r="E81">
        <v>2110</v>
      </c>
      <c r="F81">
        <v>200</v>
      </c>
      <c r="G81">
        <v>3000</v>
      </c>
      <c r="H81">
        <v>-393.08</v>
      </c>
      <c r="I81">
        <v>-100</v>
      </c>
      <c r="J81">
        <v>-50</v>
      </c>
      <c r="K81">
        <v>-632.5</v>
      </c>
      <c r="L81">
        <v>100</v>
      </c>
      <c r="M81">
        <v>95</v>
      </c>
      <c r="N81">
        <v>0</v>
      </c>
      <c r="O81">
        <v>6179.42</v>
      </c>
      <c r="P81">
        <v>3040</v>
      </c>
      <c r="Q81">
        <v>3040</v>
      </c>
      <c r="R81">
        <v>900</v>
      </c>
      <c r="S81">
        <v>900</v>
      </c>
    </row>
    <row r="83" spans="3:19" ht="15" customHeight="1" x14ac:dyDescent="0.2">
      <c r="C83" t="s">
        <v>1089</v>
      </c>
    </row>
    <row r="84" spans="3:19" ht="48" customHeight="1" x14ac:dyDescent="0.2">
      <c r="C84" t="s">
        <v>1164</v>
      </c>
      <c r="D84" t="s">
        <v>1175</v>
      </c>
      <c r="E84" t="s">
        <v>1165</v>
      </c>
      <c r="F84" t="s">
        <v>1177</v>
      </c>
      <c r="G84" t="s">
        <v>1168</v>
      </c>
      <c r="H84" t="s">
        <v>1189</v>
      </c>
      <c r="I84" t="s">
        <v>1190</v>
      </c>
      <c r="J84" t="s">
        <v>1191</v>
      </c>
      <c r="K84" s="78" t="s">
        <v>1198</v>
      </c>
      <c r="L84" t="s">
        <v>1179</v>
      </c>
      <c r="M84" t="s">
        <v>1180</v>
      </c>
      <c r="N84" t="s">
        <v>1199</v>
      </c>
      <c r="O84" t="s">
        <v>1200</v>
      </c>
    </row>
    <row r="85" spans="3:19" ht="15" customHeight="1" x14ac:dyDescent="0.2">
      <c r="C85" t="s">
        <v>693</v>
      </c>
      <c r="D85">
        <v>0</v>
      </c>
      <c r="E85">
        <v>125</v>
      </c>
      <c r="F85">
        <v>0</v>
      </c>
      <c r="G85">
        <v>-192</v>
      </c>
      <c r="H85">
        <v>0</v>
      </c>
      <c r="I85">
        <v>0</v>
      </c>
      <c r="J85">
        <v>0</v>
      </c>
      <c r="K85">
        <v>67</v>
      </c>
      <c r="L85">
        <v>0</v>
      </c>
      <c r="M85">
        <v>0</v>
      </c>
      <c r="N85">
        <v>233.04190476190499</v>
      </c>
      <c r="O85">
        <v>233.04190476190499</v>
      </c>
    </row>
    <row r="86" spans="3:19" ht="15" customHeight="1" x14ac:dyDescent="0.2">
      <c r="C86" t="s">
        <v>1308</v>
      </c>
      <c r="D86">
        <v>0</v>
      </c>
      <c r="E86">
        <v>0</v>
      </c>
      <c r="F86">
        <v>300</v>
      </c>
      <c r="G86">
        <v>158.74</v>
      </c>
      <c r="H86">
        <v>-25</v>
      </c>
      <c r="I86">
        <v>-25</v>
      </c>
      <c r="J86">
        <v>-100</v>
      </c>
      <c r="K86">
        <v>0</v>
      </c>
      <c r="L86">
        <v>0</v>
      </c>
      <c r="M86">
        <v>308.74</v>
      </c>
      <c r="N86">
        <v>233.04190476190499</v>
      </c>
      <c r="O86">
        <v>233.04190476190499</v>
      </c>
    </row>
    <row r="87" spans="3:19" ht="15" customHeight="1" x14ac:dyDescent="0.2">
      <c r="C87" t="s">
        <v>914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3:19" ht="15" customHeight="1" x14ac:dyDescent="0.2">
      <c r="C88" t="s">
        <v>916</v>
      </c>
      <c r="D88">
        <v>175</v>
      </c>
      <c r="E88">
        <v>40</v>
      </c>
      <c r="F88">
        <v>300</v>
      </c>
      <c r="G88">
        <v>-38.75</v>
      </c>
      <c r="H88">
        <v>0</v>
      </c>
      <c r="I88">
        <v>0</v>
      </c>
      <c r="J88">
        <v>-100</v>
      </c>
      <c r="K88">
        <v>0</v>
      </c>
      <c r="L88">
        <v>0</v>
      </c>
      <c r="M88">
        <v>376.25</v>
      </c>
      <c r="N88">
        <v>233.04190476190499</v>
      </c>
      <c r="O88">
        <v>233.04190476190499</v>
      </c>
    </row>
    <row r="89" spans="3:19" ht="15" customHeight="1" x14ac:dyDescent="0.2">
      <c r="C89" t="s">
        <v>452</v>
      </c>
      <c r="D89">
        <v>0</v>
      </c>
      <c r="E89">
        <v>0</v>
      </c>
      <c r="F89">
        <v>0</v>
      </c>
      <c r="G89">
        <v>17.32</v>
      </c>
      <c r="H89">
        <v>0</v>
      </c>
      <c r="I89">
        <v>0</v>
      </c>
      <c r="J89">
        <v>0</v>
      </c>
      <c r="K89">
        <v>0</v>
      </c>
      <c r="L89">
        <v>0</v>
      </c>
      <c r="M89">
        <v>17.32</v>
      </c>
      <c r="N89">
        <v>233.04190476190499</v>
      </c>
      <c r="O89">
        <v>233.04190476190499</v>
      </c>
    </row>
    <row r="90" spans="3:19" ht="15" customHeight="1" x14ac:dyDescent="0.2">
      <c r="C90" t="s">
        <v>132</v>
      </c>
      <c r="D90">
        <v>100</v>
      </c>
      <c r="E90">
        <v>150</v>
      </c>
      <c r="F90">
        <v>300</v>
      </c>
      <c r="G90">
        <v>195</v>
      </c>
      <c r="H90">
        <v>0</v>
      </c>
      <c r="I90">
        <v>0</v>
      </c>
      <c r="J90">
        <v>-100</v>
      </c>
      <c r="K90">
        <v>0</v>
      </c>
      <c r="L90">
        <v>0</v>
      </c>
      <c r="M90">
        <v>645</v>
      </c>
      <c r="N90">
        <v>233.04190476190499</v>
      </c>
      <c r="O90">
        <v>233.04190476190499</v>
      </c>
    </row>
    <row r="91" spans="3:19" ht="15" customHeight="1" x14ac:dyDescent="0.2">
      <c r="C91" t="s">
        <v>172</v>
      </c>
      <c r="D91">
        <v>175</v>
      </c>
      <c r="E91">
        <v>290</v>
      </c>
      <c r="F91">
        <v>0</v>
      </c>
      <c r="G91">
        <v>125.93</v>
      </c>
      <c r="H91">
        <v>0</v>
      </c>
      <c r="I91">
        <v>0</v>
      </c>
      <c r="J91">
        <v>-160</v>
      </c>
      <c r="K91">
        <v>0</v>
      </c>
      <c r="L91">
        <v>0</v>
      </c>
      <c r="M91">
        <v>430.93</v>
      </c>
      <c r="N91">
        <v>233.04190476190499</v>
      </c>
      <c r="O91">
        <v>233.04190476190499</v>
      </c>
    </row>
    <row r="92" spans="3:19" ht="15" customHeight="1" x14ac:dyDescent="0.2">
      <c r="C92" t="s">
        <v>176</v>
      </c>
      <c r="D92">
        <v>135</v>
      </c>
      <c r="E92">
        <v>100</v>
      </c>
      <c r="F92">
        <v>300</v>
      </c>
      <c r="G92">
        <v>99.17</v>
      </c>
      <c r="H92">
        <v>0</v>
      </c>
      <c r="I92">
        <v>0</v>
      </c>
      <c r="J92">
        <v>0</v>
      </c>
      <c r="K92">
        <v>0</v>
      </c>
      <c r="L92">
        <v>0</v>
      </c>
      <c r="M92">
        <v>634.16999999999996</v>
      </c>
      <c r="N92">
        <v>233.04190476190499</v>
      </c>
      <c r="O92">
        <v>233.04190476190499</v>
      </c>
    </row>
    <row r="93" spans="3:19" ht="15" customHeight="1" x14ac:dyDescent="0.2">
      <c r="C93" t="s">
        <v>1156</v>
      </c>
      <c r="D93">
        <v>175</v>
      </c>
      <c r="E93">
        <v>275</v>
      </c>
      <c r="F93">
        <v>0</v>
      </c>
      <c r="G93">
        <v>-300</v>
      </c>
      <c r="H93">
        <v>-25</v>
      </c>
      <c r="I93">
        <v>0</v>
      </c>
      <c r="J93">
        <v>0</v>
      </c>
      <c r="K93">
        <v>0</v>
      </c>
      <c r="L93">
        <v>0</v>
      </c>
      <c r="M93">
        <v>125</v>
      </c>
      <c r="N93">
        <v>233.04190476190499</v>
      </c>
      <c r="O93">
        <v>233.04190476190499</v>
      </c>
    </row>
    <row r="94" spans="3:19" ht="15" customHeight="1" x14ac:dyDescent="0.2">
      <c r="C94" t="s">
        <v>119</v>
      </c>
      <c r="D94">
        <v>0</v>
      </c>
      <c r="E94">
        <v>0</v>
      </c>
      <c r="F94">
        <v>0</v>
      </c>
      <c r="G94">
        <v>-332</v>
      </c>
      <c r="H94">
        <v>0</v>
      </c>
      <c r="I94">
        <v>0</v>
      </c>
      <c r="J94">
        <v>0</v>
      </c>
      <c r="K94">
        <v>332</v>
      </c>
      <c r="L94">
        <v>0</v>
      </c>
      <c r="M94">
        <v>0</v>
      </c>
      <c r="N94">
        <v>233.04190476190499</v>
      </c>
      <c r="O94">
        <v>233.04190476190499</v>
      </c>
    </row>
    <row r="95" spans="3:19" ht="15" customHeight="1" x14ac:dyDescent="0.2">
      <c r="C95" t="s">
        <v>122</v>
      </c>
      <c r="D95">
        <v>100</v>
      </c>
      <c r="E95">
        <v>300</v>
      </c>
      <c r="F95">
        <v>0</v>
      </c>
      <c r="G95">
        <v>25</v>
      </c>
      <c r="H95">
        <v>0</v>
      </c>
      <c r="I95">
        <v>0</v>
      </c>
      <c r="J95">
        <v>-160</v>
      </c>
      <c r="K95">
        <v>0</v>
      </c>
      <c r="L95">
        <v>0</v>
      </c>
      <c r="M95">
        <v>265</v>
      </c>
      <c r="N95">
        <v>233.04190476190499</v>
      </c>
      <c r="O95">
        <v>233.04190476190499</v>
      </c>
    </row>
    <row r="96" spans="3:19" ht="15" customHeight="1" x14ac:dyDescent="0.2">
      <c r="C96" t="s">
        <v>118</v>
      </c>
      <c r="D96">
        <v>100</v>
      </c>
      <c r="E96">
        <v>175</v>
      </c>
      <c r="F96">
        <v>0</v>
      </c>
      <c r="G96">
        <v>-165</v>
      </c>
      <c r="I96">
        <v>0</v>
      </c>
      <c r="J96">
        <v>-310</v>
      </c>
      <c r="K96">
        <v>200</v>
      </c>
      <c r="L96">
        <v>0</v>
      </c>
      <c r="M96">
        <v>0</v>
      </c>
      <c r="N96">
        <v>233.04190476190499</v>
      </c>
      <c r="O96">
        <v>233.04190476190499</v>
      </c>
    </row>
    <row r="97" spans="3:15" ht="15" customHeight="1" x14ac:dyDescent="0.2">
      <c r="C97" t="s">
        <v>123</v>
      </c>
      <c r="D97">
        <v>300</v>
      </c>
      <c r="E97">
        <v>200</v>
      </c>
      <c r="F97">
        <v>0</v>
      </c>
      <c r="G97">
        <v>122.25</v>
      </c>
      <c r="H97">
        <v>-25</v>
      </c>
      <c r="I97">
        <v>0</v>
      </c>
      <c r="J97">
        <v>0</v>
      </c>
      <c r="K97">
        <v>0</v>
      </c>
      <c r="L97">
        <v>0</v>
      </c>
      <c r="M97">
        <v>597.25</v>
      </c>
      <c r="N97">
        <v>233.04190476190499</v>
      </c>
      <c r="O97">
        <v>233.04190476190499</v>
      </c>
    </row>
    <row r="98" spans="3:15" ht="15" customHeight="1" x14ac:dyDescent="0.2">
      <c r="C98" t="s">
        <v>133</v>
      </c>
      <c r="D98">
        <v>250</v>
      </c>
      <c r="E98">
        <v>225</v>
      </c>
      <c r="F98">
        <v>0</v>
      </c>
      <c r="G98">
        <v>-155</v>
      </c>
      <c r="H98">
        <v>0</v>
      </c>
      <c r="I98">
        <v>0</v>
      </c>
      <c r="J98">
        <v>0</v>
      </c>
      <c r="K98">
        <v>0</v>
      </c>
      <c r="L98">
        <v>0</v>
      </c>
      <c r="M98">
        <v>320</v>
      </c>
      <c r="N98">
        <v>233.04190476190499</v>
      </c>
      <c r="O98">
        <v>233.04190476190499</v>
      </c>
    </row>
    <row r="99" spans="3:15" ht="15" customHeight="1" x14ac:dyDescent="0.2">
      <c r="C99" t="s">
        <v>231</v>
      </c>
      <c r="D99">
        <v>0</v>
      </c>
      <c r="E99">
        <v>0</v>
      </c>
      <c r="F99">
        <v>0</v>
      </c>
      <c r="G99">
        <v>25</v>
      </c>
      <c r="H99">
        <v>-25</v>
      </c>
      <c r="I99">
        <v>0</v>
      </c>
      <c r="J99">
        <v>0</v>
      </c>
      <c r="K99">
        <v>0</v>
      </c>
      <c r="L99">
        <v>0</v>
      </c>
      <c r="M99">
        <v>0</v>
      </c>
      <c r="N99">
        <v>233.04190476190499</v>
      </c>
      <c r="O99">
        <v>233.04190476190499</v>
      </c>
    </row>
    <row r="100" spans="3:15" ht="15" customHeight="1" x14ac:dyDescent="0.2">
      <c r="C100" t="s">
        <v>230</v>
      </c>
      <c r="D100">
        <v>25</v>
      </c>
      <c r="E100">
        <v>0</v>
      </c>
      <c r="F100">
        <v>300</v>
      </c>
      <c r="G100">
        <v>-89</v>
      </c>
      <c r="H100">
        <v>0</v>
      </c>
      <c r="I100">
        <v>0</v>
      </c>
      <c r="J100">
        <v>-50</v>
      </c>
      <c r="K100">
        <v>0</v>
      </c>
      <c r="L100">
        <v>0</v>
      </c>
      <c r="M100">
        <v>186</v>
      </c>
      <c r="N100">
        <v>233.04190476190499</v>
      </c>
      <c r="O100">
        <v>233.04190476190499</v>
      </c>
    </row>
    <row r="101" spans="3:15" ht="15" customHeight="1" x14ac:dyDescent="0.2">
      <c r="C101" t="s">
        <v>130</v>
      </c>
      <c r="D101">
        <v>150</v>
      </c>
      <c r="E101">
        <v>0</v>
      </c>
      <c r="F101">
        <v>300</v>
      </c>
      <c r="G101">
        <v>445</v>
      </c>
      <c r="H101">
        <v>0</v>
      </c>
      <c r="I101">
        <v>0</v>
      </c>
      <c r="J101">
        <v>-100</v>
      </c>
      <c r="K101">
        <v>0</v>
      </c>
      <c r="L101">
        <v>0</v>
      </c>
      <c r="M101">
        <v>795</v>
      </c>
      <c r="N101">
        <v>233.04190476190499</v>
      </c>
      <c r="O101">
        <v>233.04190476190499</v>
      </c>
    </row>
    <row r="102" spans="3:15" ht="15" customHeight="1" x14ac:dyDescent="0.2">
      <c r="C102" t="s">
        <v>135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233.04190476190499</v>
      </c>
      <c r="O102">
        <v>233.04190476190499</v>
      </c>
    </row>
    <row r="103" spans="3:15" ht="15" customHeight="1" x14ac:dyDescent="0.2">
      <c r="C103" t="s">
        <v>1157</v>
      </c>
      <c r="D103">
        <v>0</v>
      </c>
      <c r="E103">
        <v>300</v>
      </c>
      <c r="F103">
        <v>300</v>
      </c>
      <c r="G103">
        <v>331</v>
      </c>
      <c r="H103">
        <v>0</v>
      </c>
      <c r="I103">
        <v>0</v>
      </c>
      <c r="J103">
        <v>-160</v>
      </c>
      <c r="K103">
        <v>0</v>
      </c>
      <c r="L103">
        <v>0</v>
      </c>
      <c r="M103">
        <v>771</v>
      </c>
      <c r="N103">
        <v>233.04190476190499</v>
      </c>
      <c r="O103">
        <v>233.04190476190499</v>
      </c>
    </row>
    <row r="104" spans="3:15" ht="15" customHeight="1" x14ac:dyDescent="0.2">
      <c r="C104" t="s">
        <v>1171</v>
      </c>
      <c r="D104">
        <v>250</v>
      </c>
      <c r="E104">
        <v>250</v>
      </c>
      <c r="F104">
        <v>300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805</v>
      </c>
      <c r="N104">
        <v>233.04190476190499</v>
      </c>
      <c r="O104">
        <v>233.04190476190499</v>
      </c>
    </row>
    <row r="105" spans="3:15" ht="15" customHeight="1" x14ac:dyDescent="0.2">
      <c r="C105" t="s">
        <v>1170</v>
      </c>
      <c r="D105">
        <v>75</v>
      </c>
      <c r="E105">
        <v>200</v>
      </c>
      <c r="F105">
        <v>300</v>
      </c>
      <c r="G105">
        <v>20.85</v>
      </c>
      <c r="H105">
        <v>0</v>
      </c>
      <c r="I105">
        <v>0</v>
      </c>
      <c r="J105">
        <v>-100</v>
      </c>
      <c r="K105">
        <v>0</v>
      </c>
      <c r="L105">
        <v>0</v>
      </c>
      <c r="M105">
        <v>495.85</v>
      </c>
      <c r="N105">
        <v>233.04190476190499</v>
      </c>
      <c r="O105">
        <v>233.04190476190499</v>
      </c>
    </row>
    <row r="106" spans="3:15" ht="15" customHeight="1" x14ac:dyDescent="0.2">
      <c r="C106" t="s">
        <v>272</v>
      </c>
      <c r="D106">
        <v>135</v>
      </c>
      <c r="E106">
        <v>150</v>
      </c>
      <c r="F106">
        <v>300</v>
      </c>
      <c r="G106">
        <v>0</v>
      </c>
      <c r="H106">
        <v>0</v>
      </c>
      <c r="I106">
        <v>0</v>
      </c>
      <c r="J106">
        <v>-100</v>
      </c>
      <c r="K106">
        <v>0</v>
      </c>
      <c r="L106">
        <v>0</v>
      </c>
      <c r="M106">
        <v>485</v>
      </c>
      <c r="N106">
        <v>233.04190476190499</v>
      </c>
      <c r="O106">
        <v>233.04190476190499</v>
      </c>
    </row>
    <row r="107" spans="3:15" ht="15" customHeight="1" x14ac:dyDescent="0.2">
      <c r="C107" t="s">
        <v>1174</v>
      </c>
      <c r="D107">
        <v>2145</v>
      </c>
      <c r="E107">
        <v>2780</v>
      </c>
      <c r="F107">
        <v>3000</v>
      </c>
      <c r="G107">
        <v>298.51</v>
      </c>
      <c r="H107">
        <v>-100</v>
      </c>
      <c r="I107">
        <v>-25</v>
      </c>
      <c r="J107">
        <v>-1440</v>
      </c>
      <c r="K107">
        <v>599</v>
      </c>
      <c r="L107">
        <v>0</v>
      </c>
      <c r="M107">
        <v>7257.51</v>
      </c>
      <c r="N107">
        <v>4893.88</v>
      </c>
      <c r="O107">
        <v>4893.88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H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83203125" defaultRowHeight="15" x14ac:dyDescent="0.2"/>
  <cols>
    <col min="2" max="2" width="13" customWidth="1"/>
    <col min="3" max="3" width="6" customWidth="1"/>
    <col min="4" max="4" width="10" customWidth="1"/>
    <col min="5" max="7" width="5" customWidth="1"/>
    <col min="8" max="8" width="7" customWidth="1"/>
  </cols>
  <sheetData>
    <row r="1" spans="2:8" ht="15" customHeight="1" x14ac:dyDescent="0.25">
      <c r="B1" s="6" t="s">
        <v>1201</v>
      </c>
    </row>
    <row r="2" spans="2:8" ht="15" customHeight="1" x14ac:dyDescent="0.2">
      <c r="B2" s="29" t="s">
        <v>1202</v>
      </c>
    </row>
    <row r="3" spans="2:8" ht="15" customHeight="1" x14ac:dyDescent="0.2"/>
    <row r="4" spans="2:8" ht="15" customHeight="1" x14ac:dyDescent="0.2">
      <c r="B4" s="30" t="s">
        <v>674</v>
      </c>
      <c r="C4" s="30" t="s">
        <v>1203</v>
      </c>
      <c r="D4" s="30" t="s">
        <v>1204</v>
      </c>
      <c r="E4" s="30" t="s">
        <v>99</v>
      </c>
      <c r="F4" s="30" t="s">
        <v>100</v>
      </c>
      <c r="G4" s="30" t="s">
        <v>101</v>
      </c>
      <c r="H4" s="30" t="s">
        <v>717</v>
      </c>
    </row>
    <row r="5" spans="2:8" ht="15" customHeight="1" x14ac:dyDescent="0.2">
      <c r="B5" s="31" t="s">
        <v>1308</v>
      </c>
      <c r="C5" s="40"/>
      <c r="D5" s="40" t="s">
        <v>675</v>
      </c>
      <c r="E5" s="40">
        <f>COUNTIFS(Archives!$D$2:$D$1048576,1,Archives!$AB$2:$AB$1048576,"W",Archives!$V$2:$V$1048576,$B5)+COUNTIFS(Archives!$D$2:$D$1048576,1,Archives!$AB$2:$AB$1048576,"W",Archives!$Y$2:$Y$1048576,$B5)</f>
        <v>5</v>
      </c>
      <c r="F5" s="40">
        <f>COUNTIFS(Archives!$D$2:$D$1048576,1,Archives!$AB$2:$AB$1048576,"L",Archives!$V$2:$V$1048576,$B5)+COUNTIFS(Archives!$D$2:$D$1048576,1,Archives!$AB$2:$AB$1048576,"L",Archives!$Y$2:$Y$1048576,$B5)</f>
        <v>0</v>
      </c>
      <c r="G5" s="40">
        <f>COUNTIFS(Archives!$D$2:$D$1048576,1,Archives!$AB$2:$AB$1048576,"T",Archives!$V$2:$V$1048576,$B5)+COUNTIFS(Archives!$D$2:$D$1048576,1,Archives!$AB$2:$AB$1048576,"T",Archives!$Y$2:$Y$1048576,$B5)</f>
        <v>0</v>
      </c>
      <c r="H5" s="41">
        <f t="shared" ref="H5:H35" si="0">IF((E5+F5+G5)=0,0,(E5+0.5*G5)/(E5+F5+G5))</f>
        <v>1</v>
      </c>
    </row>
    <row r="6" spans="2:8" ht="15" customHeight="1" x14ac:dyDescent="0.2">
      <c r="B6" s="34" t="s">
        <v>127</v>
      </c>
      <c r="C6" s="43"/>
      <c r="D6" s="43" t="s">
        <v>675</v>
      </c>
      <c r="E6" s="43">
        <f>COUNTIFS(Archives!$D$2:$D$1048576,1,Archives!$AB$2:$AB$1048576,"W",Archives!$V$2:$V$1048576,$B6)+COUNTIFS(Archives!$D$2:$D$1048576,1,Archives!$AB$2:$AB$1048576,"W",Archives!$Y$2:$Y$1048576,$B6)</f>
        <v>4</v>
      </c>
      <c r="F6" s="43">
        <f>COUNTIFS(Archives!$D$2:$D$1048576,1,Archives!$AB$2:$AB$1048576,"L",Archives!$V$2:$V$1048576,$B6)+COUNTIFS(Archives!$D$2:$D$1048576,1,Archives!$AB$2:$AB$1048576,"L",Archives!$Y$2:$Y$1048576,$B6)</f>
        <v>0</v>
      </c>
      <c r="G6" s="43">
        <f>COUNTIFS(Archives!$D$2:$D$1048576,1,Archives!$AB$2:$AB$1048576,"T",Archives!$V$2:$V$1048576,$B6)+COUNTIFS(Archives!$D$2:$D$1048576,1,Archives!$AB$2:$AB$1048576,"T",Archives!$Y$2:$Y$1048576,$B6)</f>
        <v>1</v>
      </c>
      <c r="H6" s="44">
        <f t="shared" si="0"/>
        <v>0.9</v>
      </c>
    </row>
    <row r="7" spans="2:8" ht="15" customHeight="1" x14ac:dyDescent="0.2">
      <c r="B7" s="31" t="s">
        <v>132</v>
      </c>
      <c r="C7" s="40"/>
      <c r="D7" s="40" t="s">
        <v>675</v>
      </c>
      <c r="E7" s="40">
        <f>COUNTIFS(Archives!$D$2:$D$1048576,1,Archives!$AB$2:$AB$1048576,"W",Archives!$V$2:$V$1048576,$B7)+COUNTIFS(Archives!$D$2:$D$1048576,1,Archives!$AB$2:$AB$1048576,"W",Archives!$Y$2:$Y$1048576,$B7)</f>
        <v>1</v>
      </c>
      <c r="F7" s="40">
        <f>COUNTIFS(Archives!$D$2:$D$1048576,1,Archives!$AB$2:$AB$1048576,"L",Archives!$V$2:$V$1048576,$B7)+COUNTIFS(Archives!$D$2:$D$1048576,1,Archives!$AB$2:$AB$1048576,"L",Archives!$Y$2:$Y$1048576,$B7)</f>
        <v>4</v>
      </c>
      <c r="G7" s="40">
        <f>COUNTIFS(Archives!$D$2:$D$1048576,1,Archives!$AB$2:$AB$1048576,"T",Archives!$V$2:$V$1048576,$B7)+COUNTIFS(Archives!$D$2:$D$1048576,1,Archives!$AB$2:$AB$1048576,"T",Archives!$Y$2:$Y$1048576,$B7)</f>
        <v>0</v>
      </c>
      <c r="H7" s="41">
        <f t="shared" si="0"/>
        <v>0.2</v>
      </c>
    </row>
    <row r="8" spans="2:8" ht="15" customHeight="1" x14ac:dyDescent="0.2">
      <c r="B8" s="34" t="s">
        <v>119</v>
      </c>
      <c r="C8" s="43"/>
      <c r="D8" s="43" t="s">
        <v>675</v>
      </c>
      <c r="E8" s="43">
        <f>COUNTIFS(Archives!$D$2:$D$1048576,1,Archives!$AB$2:$AB$1048576,"W",Archives!$V$2:$V$1048576,$B8)+COUNTIFS(Archives!$D$2:$D$1048576,1,Archives!$AB$2:$AB$1048576,"W",Archives!$Y$2:$Y$1048576,$B8)</f>
        <v>2</v>
      </c>
      <c r="F8" s="43">
        <f>COUNTIFS(Archives!$D$2:$D$1048576,1,Archives!$AB$2:$AB$1048576,"L",Archives!$V$2:$V$1048576,$B8)+COUNTIFS(Archives!$D$2:$D$1048576,1,Archives!$AB$2:$AB$1048576,"L",Archives!$Y$2:$Y$1048576,$B8)</f>
        <v>2</v>
      </c>
      <c r="G8" s="43">
        <f>COUNTIFS(Archives!$D$2:$D$1048576,1,Archives!$AB$2:$AB$1048576,"T",Archives!$V$2:$V$1048576,$B8)+COUNTIFS(Archives!$D$2:$D$1048576,1,Archives!$AB$2:$AB$1048576,"T",Archives!$Y$2:$Y$1048576,$B8)</f>
        <v>1</v>
      </c>
      <c r="H8" s="44">
        <f t="shared" si="0"/>
        <v>0.5</v>
      </c>
    </row>
    <row r="9" spans="2:8" ht="15" customHeight="1" x14ac:dyDescent="0.2">
      <c r="B9" s="31" t="s">
        <v>120</v>
      </c>
      <c r="C9" s="40"/>
      <c r="D9" s="40" t="s">
        <v>675</v>
      </c>
      <c r="E9" s="40">
        <f>COUNTIFS(Archives!$D$2:$D$1048576,1,Archives!$AB$2:$AB$1048576,"W",Archives!$V$2:$V$1048576,$B9)+COUNTIFS(Archives!$D$2:$D$1048576,1,Archives!$AB$2:$AB$1048576,"W",Archives!$Y$2:$Y$1048576,$B9)</f>
        <v>2</v>
      </c>
      <c r="F9" s="40">
        <f>COUNTIFS(Archives!$D$2:$D$1048576,1,Archives!$AB$2:$AB$1048576,"L",Archives!$V$2:$V$1048576,$B9)+COUNTIFS(Archives!$D$2:$D$1048576,1,Archives!$AB$2:$AB$1048576,"L",Archives!$Y$2:$Y$1048576,$B9)</f>
        <v>1</v>
      </c>
      <c r="G9" s="40">
        <f>COUNTIFS(Archives!$D$2:$D$1048576,1,Archives!$AB$2:$AB$1048576,"T",Archives!$V$2:$V$1048576,$B9)+COUNTIFS(Archives!$D$2:$D$1048576,1,Archives!$AB$2:$AB$1048576,"T",Archives!$Y$2:$Y$1048576,$B9)</f>
        <v>2</v>
      </c>
      <c r="H9" s="41">
        <f t="shared" si="0"/>
        <v>0.6</v>
      </c>
    </row>
    <row r="10" spans="2:8" ht="15" customHeight="1" x14ac:dyDescent="0.2">
      <c r="B10" s="34" t="s">
        <v>122</v>
      </c>
      <c r="C10" s="43"/>
      <c r="D10" s="43" t="s">
        <v>675</v>
      </c>
      <c r="E10" s="43">
        <f>COUNTIFS(Archives!$D$2:$D$1048576,1,Archives!$AB$2:$AB$1048576,"W",Archives!$V$2:$V$1048576,$B10)+COUNTIFS(Archives!$D$2:$D$1048576,1,Archives!$AB$2:$AB$1048576,"W",Archives!$Y$2:$Y$1048576,$B10)</f>
        <v>1</v>
      </c>
      <c r="F10" s="43">
        <f>COUNTIFS(Archives!$D$2:$D$1048576,1,Archives!$AB$2:$AB$1048576,"L",Archives!$V$2:$V$1048576,$B10)+COUNTIFS(Archives!$D$2:$D$1048576,1,Archives!$AB$2:$AB$1048576,"L",Archives!$Y$2:$Y$1048576,$B10)</f>
        <v>3</v>
      </c>
      <c r="G10" s="43">
        <f>COUNTIFS(Archives!$D$2:$D$1048576,1,Archives!$AB$2:$AB$1048576,"T",Archives!$V$2:$V$1048576,$B10)+COUNTIFS(Archives!$D$2:$D$1048576,1,Archives!$AB$2:$AB$1048576,"T",Archives!$Y$2:$Y$1048576,$B10)</f>
        <v>1</v>
      </c>
      <c r="H10" s="44">
        <f t="shared" si="0"/>
        <v>0.3</v>
      </c>
    </row>
    <row r="11" spans="2:8" ht="15" customHeight="1" x14ac:dyDescent="0.2">
      <c r="B11" s="31" t="s">
        <v>118</v>
      </c>
      <c r="C11" s="40"/>
      <c r="D11" s="40" t="s">
        <v>675</v>
      </c>
      <c r="E11" s="40">
        <f>COUNTIFS(Archives!$D$2:$D$1048576,1,Archives!$AB$2:$AB$1048576,"W",Archives!$V$2:$V$1048576,$B11)+COUNTIFS(Archives!$D$2:$D$1048576,1,Archives!$AB$2:$AB$1048576,"W",Archives!$Y$2:$Y$1048576,$B11)</f>
        <v>3</v>
      </c>
      <c r="F11" s="40">
        <f>COUNTIFS(Archives!$D$2:$D$1048576,1,Archives!$AB$2:$AB$1048576,"L",Archives!$V$2:$V$1048576,$B11)+COUNTIFS(Archives!$D$2:$D$1048576,1,Archives!$AB$2:$AB$1048576,"L",Archives!$Y$2:$Y$1048576,$B11)</f>
        <v>1</v>
      </c>
      <c r="G11" s="40">
        <f>COUNTIFS(Archives!$D$2:$D$1048576,1,Archives!$AB$2:$AB$1048576,"T",Archives!$V$2:$V$1048576,$B11)+COUNTIFS(Archives!$D$2:$D$1048576,1,Archives!$AB$2:$AB$1048576,"T",Archives!$Y$2:$Y$1048576,$B11)</f>
        <v>1</v>
      </c>
      <c r="H11" s="41">
        <f t="shared" si="0"/>
        <v>0.7</v>
      </c>
    </row>
    <row r="12" spans="2:8" ht="15" customHeight="1" x14ac:dyDescent="0.2">
      <c r="B12" s="34" t="s">
        <v>123</v>
      </c>
      <c r="C12" s="43"/>
      <c r="D12" s="43" t="s">
        <v>675</v>
      </c>
      <c r="E12" s="43">
        <f>COUNTIFS(Archives!$D$2:$D$1048576,1,Archives!$AB$2:$AB$1048576,"W",Archives!$V$2:$V$1048576,$B12)+COUNTIFS(Archives!$D$2:$D$1048576,1,Archives!$AB$2:$AB$1048576,"W",Archives!$Y$2:$Y$1048576,$B12)</f>
        <v>0</v>
      </c>
      <c r="F12" s="43">
        <f>COUNTIFS(Archives!$D$2:$D$1048576,1,Archives!$AB$2:$AB$1048576,"L",Archives!$V$2:$V$1048576,$B12)+COUNTIFS(Archives!$D$2:$D$1048576,1,Archives!$AB$2:$AB$1048576,"L",Archives!$Y$2:$Y$1048576,$B12)</f>
        <v>3</v>
      </c>
      <c r="G12" s="43">
        <f>COUNTIFS(Archives!$D$2:$D$1048576,1,Archives!$AB$2:$AB$1048576,"T",Archives!$V$2:$V$1048576,$B12)+COUNTIFS(Archives!$D$2:$D$1048576,1,Archives!$AB$2:$AB$1048576,"T",Archives!$Y$2:$Y$1048576,$B12)</f>
        <v>2</v>
      </c>
      <c r="H12" s="44">
        <f t="shared" si="0"/>
        <v>0.2</v>
      </c>
    </row>
    <row r="13" spans="2:8" ht="15" customHeight="1" x14ac:dyDescent="0.2">
      <c r="B13" s="31" t="s">
        <v>129</v>
      </c>
      <c r="C13" s="40"/>
      <c r="D13" s="40" t="s">
        <v>675</v>
      </c>
      <c r="E13" s="40">
        <f>COUNTIFS(Archives!$D$2:$D$1048576,1,Archives!$AB$2:$AB$1048576,"W",Archives!$V$2:$V$1048576,$B13)+COUNTIFS(Archives!$D$2:$D$1048576,1,Archives!$AB$2:$AB$1048576,"W",Archives!$Y$2:$Y$1048576,$B13)</f>
        <v>1</v>
      </c>
      <c r="F13" s="40">
        <f>COUNTIFS(Archives!$D$2:$D$1048576,1,Archives!$AB$2:$AB$1048576,"L",Archives!$V$2:$V$1048576,$B13)+COUNTIFS(Archives!$D$2:$D$1048576,1,Archives!$AB$2:$AB$1048576,"L",Archives!$Y$2:$Y$1048576,$B13)</f>
        <v>3</v>
      </c>
      <c r="G13" s="40">
        <f>COUNTIFS(Archives!$D$2:$D$1048576,1,Archives!$AB$2:$AB$1048576,"T",Archives!$V$2:$V$1048576,$B13)+COUNTIFS(Archives!$D$2:$D$1048576,1,Archives!$AB$2:$AB$1048576,"T",Archives!$Y$2:$Y$1048576,$B13)</f>
        <v>1</v>
      </c>
      <c r="H13" s="41">
        <f t="shared" si="0"/>
        <v>0.3</v>
      </c>
    </row>
    <row r="14" spans="2:8" ht="15" customHeight="1" x14ac:dyDescent="0.2">
      <c r="B14" s="34" t="s">
        <v>133</v>
      </c>
      <c r="C14" s="43"/>
      <c r="D14" s="43" t="s">
        <v>675</v>
      </c>
      <c r="E14" s="43">
        <f>COUNTIFS(Archives!$D$2:$D$1048576,1,Archives!$AB$2:$AB$1048576,"W",Archives!$V$2:$V$1048576,$B14)+COUNTIFS(Archives!$D$2:$D$1048576,1,Archives!$AB$2:$AB$1048576,"W",Archives!$Y$2:$Y$1048576,$B14)</f>
        <v>0</v>
      </c>
      <c r="F14" s="43">
        <f>COUNTIFS(Archives!$D$2:$D$1048576,1,Archives!$AB$2:$AB$1048576,"L",Archives!$V$2:$V$1048576,$B14)+COUNTIFS(Archives!$D$2:$D$1048576,1,Archives!$AB$2:$AB$1048576,"L",Archives!$Y$2:$Y$1048576,$B14)</f>
        <v>5</v>
      </c>
      <c r="G14" s="43">
        <f>COUNTIFS(Archives!$D$2:$D$1048576,1,Archives!$AB$2:$AB$1048576,"T",Archives!$V$2:$V$1048576,$B14)+COUNTIFS(Archives!$D$2:$D$1048576,1,Archives!$AB$2:$AB$1048576,"T",Archives!$Y$2:$Y$1048576,$B14)</f>
        <v>0</v>
      </c>
      <c r="H14" s="44">
        <f t="shared" si="0"/>
        <v>0</v>
      </c>
    </row>
    <row r="15" spans="2:8" ht="15" customHeight="1" x14ac:dyDescent="0.2">
      <c r="B15" s="31" t="s">
        <v>130</v>
      </c>
      <c r="C15" s="40"/>
      <c r="D15" s="40" t="s">
        <v>675</v>
      </c>
      <c r="E15" s="40">
        <f>COUNTIFS(Archives!$D$2:$D$1048576,1,Archives!$AB$2:$AB$1048576,"W",Archives!$V$2:$V$1048576,$B15)+COUNTIFS(Archives!$D$2:$D$1048576,1,Archives!$AB$2:$AB$1048576,"W",Archives!$Y$2:$Y$1048576,$B15)</f>
        <v>2</v>
      </c>
      <c r="F15" s="40">
        <f>COUNTIFS(Archives!$D$2:$D$1048576,1,Archives!$AB$2:$AB$1048576,"L",Archives!$V$2:$V$1048576,$B15)+COUNTIFS(Archives!$D$2:$D$1048576,1,Archives!$AB$2:$AB$1048576,"L",Archives!$Y$2:$Y$1048576,$B15)</f>
        <v>2</v>
      </c>
      <c r="G15" s="40">
        <f>COUNTIFS(Archives!$D$2:$D$1048576,1,Archives!$AB$2:$AB$1048576,"T",Archives!$V$2:$V$1048576,$B15)+COUNTIFS(Archives!$D$2:$D$1048576,1,Archives!$AB$2:$AB$1048576,"T",Archives!$Y$2:$Y$1048576,$B15)</f>
        <v>1</v>
      </c>
      <c r="H15" s="41">
        <f t="shared" si="0"/>
        <v>0.5</v>
      </c>
    </row>
    <row r="16" spans="2:8" ht="15" customHeight="1" x14ac:dyDescent="0.2">
      <c r="B16" s="34" t="s">
        <v>135</v>
      </c>
      <c r="C16" s="43"/>
      <c r="D16" s="43" t="s">
        <v>675</v>
      </c>
      <c r="E16" s="43">
        <f>COUNTIFS(Archives!$D$2:$D$1048576,1,Archives!$AB$2:$AB$1048576,"W",Archives!$V$2:$V$1048576,$B16)+COUNTIFS(Archives!$D$2:$D$1048576,1,Archives!$AB$2:$AB$1048576,"W",Archives!$Y$2:$Y$1048576,$B16)</f>
        <v>4</v>
      </c>
      <c r="F16" s="43">
        <f>COUNTIFS(Archives!$D$2:$D$1048576,1,Archives!$AB$2:$AB$1048576,"L",Archives!$V$2:$V$1048576,$B16)+COUNTIFS(Archives!$D$2:$D$1048576,1,Archives!$AB$2:$AB$1048576,"L",Archives!$Y$2:$Y$1048576,$B16)</f>
        <v>1</v>
      </c>
      <c r="G16" s="43">
        <f>COUNTIFS(Archives!$D$2:$D$1048576,1,Archives!$AB$2:$AB$1048576,"T",Archives!$V$2:$V$1048576,$B16)+COUNTIFS(Archives!$D$2:$D$1048576,1,Archives!$AB$2:$AB$1048576,"T",Archives!$Y$2:$Y$1048576,$B16)</f>
        <v>0</v>
      </c>
      <c r="H16" s="44">
        <f t="shared" si="0"/>
        <v>0.8</v>
      </c>
    </row>
    <row r="17" spans="2:8" ht="15" customHeight="1" x14ac:dyDescent="0.2">
      <c r="B17" s="31" t="s">
        <v>693</v>
      </c>
      <c r="C17" s="40" t="s">
        <v>1205</v>
      </c>
      <c r="D17" s="40" t="s">
        <v>676</v>
      </c>
      <c r="E17" s="40">
        <f>COUNTIFS(Archives!$D$2:$D$1048576,2,Archives!$AB$2:$AB$1048576,"W",Archives!$V$2:$V$1048576,$B17)+COUNTIFS(Archives!$D$2:$D$1048576,2,Archives!$AB$2:$AB$1048576,"W",Archives!$Y$2:$Y$1048576,$B17)</f>
        <v>2</v>
      </c>
      <c r="F17" s="40">
        <f>COUNTIFS(Archives!$D$2:$D$1048576,2,Archives!$AB$2:$AB$1048576,"L",Archives!$V$2:$V$1048576,$B17)+COUNTIFS(Archives!$D$2:$D$1048576,2,Archives!$AB$2:$AB$1048576,"L",Archives!$Y$2:$Y$1048576,$B17)</f>
        <v>3</v>
      </c>
      <c r="G17" s="40">
        <f>COUNTIFS(Archives!$D$2:$D$1048576,2,Archives!$AB$2:$AB$1048576,"T",Archives!$V$2:$V$1048576,$B17)+COUNTIFS(Archives!$D$2:$D$1048576,2,Archives!$AB$2:$AB$1048576,"T",Archives!$Y$2:$Y$1048576,$B17)</f>
        <v>0</v>
      </c>
      <c r="H17" s="41">
        <f t="shared" si="0"/>
        <v>0.4</v>
      </c>
    </row>
    <row r="18" spans="2:8" ht="15" customHeight="1" x14ac:dyDescent="0.2">
      <c r="B18" s="34" t="s">
        <v>179</v>
      </c>
      <c r="C18" s="43" t="s">
        <v>1206</v>
      </c>
      <c r="D18" s="43" t="s">
        <v>676</v>
      </c>
      <c r="E18" s="43">
        <f>COUNTIFS(Archives!$D$2:$D$1048576,2,Archives!$AB$2:$AB$1048576,"W",Archives!$V$2:$V$1048576,$B18)+COUNTIFS(Archives!$D$2:$D$1048576,2,Archives!$AB$2:$AB$1048576,"W",Archives!$Y$2:$Y$1048576,$B18)</f>
        <v>0</v>
      </c>
      <c r="F18" s="43">
        <f>COUNTIFS(Archives!$D$2:$D$1048576,2,Archives!$AB$2:$AB$1048576,"L",Archives!$V$2:$V$1048576,$B18)+COUNTIFS(Archives!$D$2:$D$1048576,2,Archives!$AB$2:$AB$1048576,"L",Archives!$Y$2:$Y$1048576,$B18)</f>
        <v>4</v>
      </c>
      <c r="G18" s="43">
        <f>COUNTIFS(Archives!$D$2:$D$1048576,2,Archives!$AB$2:$AB$1048576,"T",Archives!$V$2:$V$1048576,$B18)+COUNTIFS(Archives!$D$2:$D$1048576,2,Archives!$AB$2:$AB$1048576,"T",Archives!$Y$2:$Y$1048576,$B18)</f>
        <v>1</v>
      </c>
      <c r="H18" s="44">
        <f t="shared" si="0"/>
        <v>0.1</v>
      </c>
    </row>
    <row r="19" spans="2:8" ht="15" customHeight="1" x14ac:dyDescent="0.2">
      <c r="B19" s="31" t="s">
        <v>178</v>
      </c>
      <c r="C19" s="40" t="s">
        <v>1207</v>
      </c>
      <c r="D19" s="40" t="s">
        <v>676</v>
      </c>
      <c r="E19" s="40">
        <f>COUNTIFS(Archives!$D$2:$D$1048576,2,Archives!$AB$2:$AB$1048576,"W",Archives!$V$2:$V$1048576,$B19)+COUNTIFS(Archives!$D$2:$D$1048576,2,Archives!$AB$2:$AB$1048576,"W",Archives!$Y$2:$Y$1048576,$B19)</f>
        <v>2</v>
      </c>
      <c r="F19" s="40">
        <f>COUNTIFS(Archives!$D$2:$D$1048576,2,Archives!$AB$2:$AB$1048576,"L",Archives!$V$2:$V$1048576,$B19)+COUNTIFS(Archives!$D$2:$D$1048576,2,Archives!$AB$2:$AB$1048576,"L",Archives!$Y$2:$Y$1048576,$B19)</f>
        <v>2</v>
      </c>
      <c r="G19" s="40">
        <f>COUNTIFS(Archives!$D$2:$D$1048576,2,Archives!$AB$2:$AB$1048576,"T",Archives!$V$2:$V$1048576,$B19)+COUNTIFS(Archives!$D$2:$D$1048576,2,Archives!$AB$2:$AB$1048576,"T",Archives!$Y$2:$Y$1048576,$B19)</f>
        <v>1</v>
      </c>
      <c r="H19" s="41">
        <f t="shared" si="0"/>
        <v>0.5</v>
      </c>
    </row>
    <row r="20" spans="2:8" ht="15" customHeight="1" x14ac:dyDescent="0.2">
      <c r="B20" s="34" t="s">
        <v>172</v>
      </c>
      <c r="C20" s="43" t="s">
        <v>1206</v>
      </c>
      <c r="D20" s="43" t="s">
        <v>676</v>
      </c>
      <c r="E20" s="43">
        <f>COUNTIFS(Archives!$D$2:$D$1048576,2,Archives!$AB$2:$AB$1048576,"W",Archives!$V$2:$V$1048576,$B20)+COUNTIFS(Archives!$D$2:$D$1048576,2,Archives!$AB$2:$AB$1048576,"W",Archives!$Y$2:$Y$1048576,$B20)</f>
        <v>1</v>
      </c>
      <c r="F20" s="43">
        <f>COUNTIFS(Archives!$D$2:$D$1048576,2,Archives!$AB$2:$AB$1048576,"L",Archives!$V$2:$V$1048576,$B20)+COUNTIFS(Archives!$D$2:$D$1048576,2,Archives!$AB$2:$AB$1048576,"L",Archives!$Y$2:$Y$1048576,$B20)</f>
        <v>4</v>
      </c>
      <c r="G20" s="43">
        <f>COUNTIFS(Archives!$D$2:$D$1048576,2,Archives!$AB$2:$AB$1048576,"T",Archives!$V$2:$V$1048576,$B20)+COUNTIFS(Archives!$D$2:$D$1048576,2,Archives!$AB$2:$AB$1048576,"T",Archives!$Y$2:$Y$1048576,$B20)</f>
        <v>0</v>
      </c>
      <c r="H20" s="44">
        <f t="shared" si="0"/>
        <v>0.2</v>
      </c>
    </row>
    <row r="21" spans="2:8" ht="15" customHeight="1" x14ac:dyDescent="0.2">
      <c r="B21" s="31" t="s">
        <v>176</v>
      </c>
      <c r="C21" s="40" t="s">
        <v>1206</v>
      </c>
      <c r="D21" s="40" t="s">
        <v>676</v>
      </c>
      <c r="E21" s="40">
        <f>COUNTIFS(Archives!$D$2:$D$1048576,2,Archives!$AB$2:$AB$1048576,"W",Archives!$V$2:$V$1048576,$B21)+COUNTIFS(Archives!$D$2:$D$1048576,2,Archives!$AB$2:$AB$1048576,"W",Archives!$Y$2:$Y$1048576,$B21)</f>
        <v>4</v>
      </c>
      <c r="F21" s="40">
        <f>COUNTIFS(Archives!$D$2:$D$1048576,2,Archives!$AB$2:$AB$1048576,"L",Archives!$V$2:$V$1048576,$B21)+COUNTIFS(Archives!$D$2:$D$1048576,2,Archives!$AB$2:$AB$1048576,"L",Archives!$Y$2:$Y$1048576,$B21)</f>
        <v>0</v>
      </c>
      <c r="G21" s="40">
        <f>COUNTIFS(Archives!$D$2:$D$1048576,2,Archives!$AB$2:$AB$1048576,"T",Archives!$V$2:$V$1048576,$B21)+COUNTIFS(Archives!$D$2:$D$1048576,2,Archives!$AB$2:$AB$1048576,"T",Archives!$Y$2:$Y$1048576,$B21)</f>
        <v>1</v>
      </c>
      <c r="H21" s="41">
        <f t="shared" si="0"/>
        <v>0.9</v>
      </c>
    </row>
    <row r="22" spans="2:8" ht="15" customHeight="1" x14ac:dyDescent="0.2">
      <c r="B22" s="34" t="s">
        <v>175</v>
      </c>
      <c r="C22" s="43" t="s">
        <v>1207</v>
      </c>
      <c r="D22" s="43" t="s">
        <v>676</v>
      </c>
      <c r="E22" s="43">
        <f>COUNTIFS(Archives!$D$2:$D$1048576,2,Archives!$AB$2:$AB$1048576,"W",Archives!$V$2:$V$1048576,$B22)+COUNTIFS(Archives!$D$2:$D$1048576,2,Archives!$AB$2:$AB$1048576,"W",Archives!$Y$2:$Y$1048576,$B22)</f>
        <v>1</v>
      </c>
      <c r="F22" s="43">
        <f>COUNTIFS(Archives!$D$2:$D$1048576,2,Archives!$AB$2:$AB$1048576,"L",Archives!$V$2:$V$1048576,$B22)+COUNTIFS(Archives!$D$2:$D$1048576,2,Archives!$AB$2:$AB$1048576,"L",Archives!$Y$2:$Y$1048576,$B22)</f>
        <v>3</v>
      </c>
      <c r="G22" s="43">
        <f>COUNTIFS(Archives!$D$2:$D$1048576,2,Archives!$AB$2:$AB$1048576,"T",Archives!$V$2:$V$1048576,$B22)+COUNTIFS(Archives!$D$2:$D$1048576,2,Archives!$AB$2:$AB$1048576,"T",Archives!$Y$2:$Y$1048576,$B22)</f>
        <v>1</v>
      </c>
      <c r="H22" s="44">
        <f t="shared" si="0"/>
        <v>0.3</v>
      </c>
    </row>
    <row r="23" spans="2:8" ht="15" customHeight="1" x14ac:dyDescent="0.2">
      <c r="B23" s="31" t="s">
        <v>226</v>
      </c>
      <c r="C23" s="40" t="s">
        <v>1205</v>
      </c>
      <c r="D23" s="40" t="s">
        <v>677</v>
      </c>
      <c r="E23" s="40">
        <f>COUNTIFS(Archives!$D$2:$D$1048576,3,Archives!$AB$2:$AB$1048576,"W",Archives!$V$2:$V$1048576,$B23)+COUNTIFS(Archives!$D$2:$D$1048576,3,Archives!$AB$2:$AB$1048576,"W",Archives!$Y$2:$Y$1048576,$B23)</f>
        <v>3</v>
      </c>
      <c r="F23" s="40">
        <f>COUNTIFS(Archives!$D$2:$D$1048576,3,Archives!$AB$2:$AB$1048576,"L",Archives!$V$2:$V$1048576,$B23)+COUNTIFS(Archives!$D$2:$D$1048576,3,Archives!$AB$2:$AB$1048576,"L",Archives!$Y$2:$Y$1048576,$B23)</f>
        <v>2</v>
      </c>
      <c r="G23" s="40">
        <f>COUNTIFS(Archives!$D$2:$D$1048576,3,Archives!$AB$2:$AB$1048576,"T",Archives!$V$2:$V$1048576,$B23)+COUNTIFS(Archives!$D$2:$D$1048576,3,Archives!$AB$2:$AB$1048576,"T",Archives!$Y$2:$Y$1048576,$B23)</f>
        <v>0</v>
      </c>
      <c r="H23" s="41">
        <f t="shared" si="0"/>
        <v>0.6</v>
      </c>
    </row>
    <row r="24" spans="2:8" ht="15" customHeight="1" x14ac:dyDescent="0.2">
      <c r="B24" s="34" t="s">
        <v>231</v>
      </c>
      <c r="C24" s="43" t="s">
        <v>1205</v>
      </c>
      <c r="D24" s="43" t="s">
        <v>677</v>
      </c>
      <c r="E24" s="43">
        <f>COUNTIFS(Archives!$D$2:$D$1048576,3,Archives!$AB$2:$AB$1048576,"W",Archives!$V$2:$V$1048576,$B24)+COUNTIFS(Archives!$D$2:$D$1048576,3,Archives!$AB$2:$AB$1048576,"W",Archives!$Y$2:$Y$1048576,$B24)</f>
        <v>2</v>
      </c>
      <c r="F24" s="43">
        <f>COUNTIFS(Archives!$D$2:$D$1048576,3,Archives!$AB$2:$AB$1048576,"L",Archives!$V$2:$V$1048576,$B24)+COUNTIFS(Archives!$D$2:$D$1048576,3,Archives!$AB$2:$AB$1048576,"L",Archives!$Y$2:$Y$1048576,$B24)</f>
        <v>2</v>
      </c>
      <c r="G24" s="43">
        <f>COUNTIFS(Archives!$D$2:$D$1048576,3,Archives!$AB$2:$AB$1048576,"T",Archives!$V$2:$V$1048576,$B24)+COUNTIFS(Archives!$D$2:$D$1048576,3,Archives!$AB$2:$AB$1048576,"T",Archives!$Y$2:$Y$1048576,$B24)</f>
        <v>1</v>
      </c>
      <c r="H24" s="44">
        <f t="shared" si="0"/>
        <v>0.5</v>
      </c>
    </row>
    <row r="25" spans="2:8" ht="15" customHeight="1" x14ac:dyDescent="0.2">
      <c r="B25" s="31" t="s">
        <v>230</v>
      </c>
      <c r="C25" s="40" t="s">
        <v>1206</v>
      </c>
      <c r="D25" s="40" t="s">
        <v>677</v>
      </c>
      <c r="E25" s="40">
        <f>COUNTIFS(Archives!$D$2:$D$1048576,3,Archives!$AB$2:$AB$1048576,"W",Archives!$V$2:$V$1048576,$B25)+COUNTIFS(Archives!$D$2:$D$1048576,3,Archives!$AB$2:$AB$1048576,"W",Archives!$Y$2:$Y$1048576,$B25)</f>
        <v>1</v>
      </c>
      <c r="F25" s="40">
        <f>COUNTIFS(Archives!$D$2:$D$1048576,3,Archives!$AB$2:$AB$1048576,"L",Archives!$V$2:$V$1048576,$B25)+COUNTIFS(Archives!$D$2:$D$1048576,3,Archives!$AB$2:$AB$1048576,"L",Archives!$Y$2:$Y$1048576,$B25)</f>
        <v>2</v>
      </c>
      <c r="G25" s="40">
        <f>COUNTIFS(Archives!$D$2:$D$1048576,3,Archives!$AB$2:$AB$1048576,"T",Archives!$V$2:$V$1048576,$B25)+COUNTIFS(Archives!$D$2:$D$1048576,3,Archives!$AB$2:$AB$1048576,"T",Archives!$Y$2:$Y$1048576,$B25)</f>
        <v>2</v>
      </c>
      <c r="H25" s="41">
        <f t="shared" si="0"/>
        <v>0.4</v>
      </c>
    </row>
    <row r="26" spans="2:8" ht="15" customHeight="1" x14ac:dyDescent="0.2">
      <c r="B26" s="34" t="s">
        <v>227</v>
      </c>
      <c r="C26" s="43" t="s">
        <v>1207</v>
      </c>
      <c r="D26" s="43" t="s">
        <v>677</v>
      </c>
      <c r="E26" s="43">
        <f>COUNTIFS(Archives!$D$2:$D$1048576,3,Archives!$AB$2:$AB$1048576,"W",Archives!$V$2:$V$1048576,$B26)+COUNTIFS(Archives!$D$2:$D$1048576,3,Archives!$AB$2:$AB$1048576,"W",Archives!$Y$2:$Y$1048576,$B26)</f>
        <v>3</v>
      </c>
      <c r="F26" s="43">
        <f>COUNTIFS(Archives!$D$2:$D$1048576,3,Archives!$AB$2:$AB$1048576,"L",Archives!$V$2:$V$1048576,$B26)+COUNTIFS(Archives!$D$2:$D$1048576,3,Archives!$AB$2:$AB$1048576,"L",Archives!$Y$2:$Y$1048576,$B26)</f>
        <v>2</v>
      </c>
      <c r="G26" s="43">
        <f>COUNTIFS(Archives!$D$2:$D$1048576,3,Archives!$AB$2:$AB$1048576,"T",Archives!$V$2:$V$1048576,$B26)+COUNTIFS(Archives!$D$2:$D$1048576,3,Archives!$AB$2:$AB$1048576,"T",Archives!$Y$2:$Y$1048576,$B26)</f>
        <v>0</v>
      </c>
      <c r="H26" s="44">
        <f t="shared" si="0"/>
        <v>0.6</v>
      </c>
    </row>
    <row r="27" spans="2:8" ht="15" customHeight="1" x14ac:dyDescent="0.2">
      <c r="B27" s="31" t="s">
        <v>272</v>
      </c>
      <c r="C27" s="40" t="s">
        <v>1207</v>
      </c>
      <c r="D27" s="40" t="s">
        <v>678</v>
      </c>
      <c r="E27" s="40">
        <f>COUNTIFS(Archives!$D$2:$D$1048576,4,Archives!$AB$2:$AB$1048576,"W",Archives!$V$2:$V$1048576,$B27)+COUNTIFS(Archives!$D$2:$D$1048576,4,Archives!$AB$2:$AB$1048576,"W",Archives!$Y$2:$Y$1048576,$B27)</f>
        <v>2</v>
      </c>
      <c r="F27" s="40">
        <f>COUNTIFS(Archives!$D$2:$D$1048576,4,Archives!$AB$2:$AB$1048576,"L",Archives!$V$2:$V$1048576,$B27)+COUNTIFS(Archives!$D$2:$D$1048576,4,Archives!$AB$2:$AB$1048576,"L",Archives!$Y$2:$Y$1048576,$B27)</f>
        <v>4</v>
      </c>
      <c r="G27" s="40">
        <f>COUNTIFS(Archives!$D$2:$D$1048576,4,Archives!$AB$2:$AB$1048576,"T",Archives!$V$2:$V$1048576,$B27)+COUNTIFS(Archives!$D$2:$D$1048576,4,Archives!$AB$2:$AB$1048576,"T",Archives!$Y$2:$Y$1048576,$B27)</f>
        <v>0</v>
      </c>
      <c r="H27" s="41">
        <f t="shared" si="0"/>
        <v>0.33333333333333331</v>
      </c>
    </row>
    <row r="28" spans="2:8" ht="15" customHeight="1" x14ac:dyDescent="0.2">
      <c r="B28" s="34" t="s">
        <v>321</v>
      </c>
      <c r="C28" s="43"/>
      <c r="D28" s="43" t="s">
        <v>679</v>
      </c>
      <c r="E28" s="43">
        <f>COUNTIFS(Archives!$D$2:$D$1048576,5,Archives!$AB$2:$AB$1048576,"W",Archives!$V$2:$V$1048576,$B28)+COUNTIFS(Archives!$D$2:$D$1048576,5,Archives!$AB$2:$AB$1048576,"W",Archives!$Y$2:$Y$1048576,$B28)</f>
        <v>4</v>
      </c>
      <c r="F28" s="43">
        <f>COUNTIFS(Archives!$D$2:$D$1048576,5,Archives!$AB$2:$AB$1048576,"L",Archives!$V$2:$V$1048576,$B28)+COUNTIFS(Archives!$D$2:$D$1048576,5,Archives!$AB$2:$AB$1048576,"L",Archives!$Y$2:$Y$1048576,$B28)</f>
        <v>1</v>
      </c>
      <c r="G28" s="43">
        <f>COUNTIFS(Archives!$D$2:$D$1048576,5,Archives!$AB$2:$AB$1048576,"T",Archives!$V$2:$V$1048576,$B28)+COUNTIFS(Archives!$D$2:$D$1048576,5,Archives!$AB$2:$AB$1048576,"T",Archives!$Y$2:$Y$1048576,$B28)</f>
        <v>1</v>
      </c>
      <c r="H28" s="44">
        <f t="shared" si="0"/>
        <v>0.75</v>
      </c>
    </row>
    <row r="29" spans="2:8" ht="15" customHeight="1" x14ac:dyDescent="0.2">
      <c r="B29" s="31" t="s">
        <v>452</v>
      </c>
      <c r="C29" s="40"/>
      <c r="D29" s="40" t="s">
        <v>682</v>
      </c>
      <c r="E29" s="40">
        <f>COUNTIFS(Archives!$D$2:$D$1048576,8,Archives!$AB$2:$AB$1048576,"W",Archives!$V$2:$V$1048576,$B29)+COUNTIFS(Archives!$D$2:$D$1048576,8,Archives!$AB$2:$AB$1048576,"W",Archives!$Y$2:$Y$1048576,$B29)</f>
        <v>1</v>
      </c>
      <c r="F29" s="40">
        <f>COUNTIFS(Archives!$D$2:$D$1048576,8,Archives!$AB$2:$AB$1048576,"L",Archives!$V$2:$V$1048576,$B29)+COUNTIFS(Archives!$D$2:$D$1048576,8,Archives!$AB$2:$AB$1048576,"L",Archives!$Y$2:$Y$1048576,$B29)</f>
        <v>3</v>
      </c>
      <c r="G29" s="40">
        <f>COUNTIFS(Archives!$D$2:$D$1048576,8,Archives!$AB$2:$AB$1048576,"T",Archives!$V$2:$V$1048576,$B29)+COUNTIFS(Archives!$D$2:$D$1048576,8,Archives!$AB$2:$AB$1048576,"T",Archives!$Y$2:$Y$1048576,$B29)</f>
        <v>1</v>
      </c>
      <c r="H29" s="41">
        <f t="shared" si="0"/>
        <v>0.3</v>
      </c>
    </row>
    <row r="30" spans="2:8" ht="15" customHeight="1" x14ac:dyDescent="0.2">
      <c r="B30" s="34" t="s">
        <v>1285</v>
      </c>
      <c r="C30" s="43"/>
      <c r="D30" s="43" t="s">
        <v>682</v>
      </c>
      <c r="E30" s="43">
        <f>COUNTIFS(Archives!$D$2:$D$1048576,8,Archives!$AB$2:$AB$1048576,"W",Archives!$V$2:$V$1048576,$B30)+COUNTIFS(Archives!$D$2:$D$1048576,8,Archives!$AB$2:$AB$1048576,"W",Archives!$Y$2:$Y$1048576,$B30)</f>
        <v>3</v>
      </c>
      <c r="F30" s="43">
        <f>COUNTIFS(Archives!$D$2:$D$1048576,8,Archives!$AB$2:$AB$1048576,"L",Archives!$V$2:$V$1048576,$B30)+COUNTIFS(Archives!$D$2:$D$1048576,8,Archives!$AB$2:$AB$1048576,"L",Archives!$Y$2:$Y$1048576,$B30)</f>
        <v>2</v>
      </c>
      <c r="G30" s="43">
        <f>COUNTIFS(Archives!$D$2:$D$1048576,8,Archives!$AB$2:$AB$1048576,"T",Archives!$V$2:$V$1048576,$B30)+COUNTIFS(Archives!$D$2:$D$1048576,8,Archives!$AB$2:$AB$1048576,"T",Archives!$Y$2:$Y$1048576,$B30)</f>
        <v>0</v>
      </c>
      <c r="H30" s="44">
        <f t="shared" si="0"/>
        <v>0.6</v>
      </c>
    </row>
    <row r="31" spans="2:8" ht="15" customHeight="1" x14ac:dyDescent="0.2">
      <c r="B31" s="31" t="s">
        <v>456</v>
      </c>
      <c r="C31" s="40"/>
      <c r="D31" s="40" t="s">
        <v>682</v>
      </c>
      <c r="E31" s="40">
        <f>COUNTIFS(Archives!$D$2:$D$1048576,8,Archives!$AB$2:$AB$1048576,"W",Archives!$V$2:$V$1048576,$B31)+COUNTIFS(Archives!$D$2:$D$1048576,8,Archives!$AB$2:$AB$1048576,"W",Archives!$Y$2:$Y$1048576,$B31)</f>
        <v>4</v>
      </c>
      <c r="F31" s="40">
        <f>COUNTIFS(Archives!$D$2:$D$1048576,8,Archives!$AB$2:$AB$1048576,"L",Archives!$V$2:$V$1048576,$B31)+COUNTIFS(Archives!$D$2:$D$1048576,8,Archives!$AB$2:$AB$1048576,"L",Archives!$Y$2:$Y$1048576,$B31)</f>
        <v>1</v>
      </c>
      <c r="G31" s="40">
        <f>COUNTIFS(Archives!$D$2:$D$1048576,8,Archives!$AB$2:$AB$1048576,"T",Archives!$V$2:$V$1048576,$B31)+COUNTIFS(Archives!$D$2:$D$1048576,8,Archives!$AB$2:$AB$1048576,"T",Archives!$Y$2:$Y$1048576,$B31)</f>
        <v>1</v>
      </c>
      <c r="H31" s="41">
        <f t="shared" si="0"/>
        <v>0.75</v>
      </c>
    </row>
    <row r="32" spans="2:8" ht="15" customHeight="1" x14ac:dyDescent="0.2">
      <c r="B32" s="34" t="s">
        <v>457</v>
      </c>
      <c r="C32" s="43"/>
      <c r="D32" s="43" t="s">
        <v>682</v>
      </c>
      <c r="E32" s="43">
        <f>COUNTIFS(Archives!$D$2:$D$1048576,8,Archives!$AB$2:$AB$1048576,"W",Archives!$V$2:$V$1048576,$B32)+COUNTIFS(Archives!$D$2:$D$1048576,8,Archives!$AB$2:$AB$1048576,"W",Archives!$Y$2:$Y$1048576,$B32)</f>
        <v>2</v>
      </c>
      <c r="F32" s="43">
        <f>COUNTIFS(Archives!$D$2:$D$1048576,8,Archives!$AB$2:$AB$1048576,"L",Archives!$V$2:$V$1048576,$B32)+COUNTIFS(Archives!$D$2:$D$1048576,8,Archives!$AB$2:$AB$1048576,"L",Archives!$Y$2:$Y$1048576,$B32)</f>
        <v>4</v>
      </c>
      <c r="G32" s="43">
        <f>COUNTIFS(Archives!$D$2:$D$1048576,8,Archives!$AB$2:$AB$1048576,"T",Archives!$V$2:$V$1048576,$B32)+COUNTIFS(Archives!$D$2:$D$1048576,8,Archives!$AB$2:$AB$1048576,"T",Archives!$Y$2:$Y$1048576,$B32)</f>
        <v>0</v>
      </c>
      <c r="H32" s="44">
        <f t="shared" si="0"/>
        <v>0.33333333333333331</v>
      </c>
    </row>
    <row r="33" spans="2:8" ht="15" customHeight="1" x14ac:dyDescent="0.2">
      <c r="B33" s="31" t="s">
        <v>460</v>
      </c>
      <c r="C33" s="40"/>
      <c r="D33" s="40" t="s">
        <v>682</v>
      </c>
      <c r="E33" s="40">
        <f>COUNTIFS(Archives!$D$2:$D$1048576,8,Archives!$AB$2:$AB$1048576,"W",Archives!$V$2:$V$1048576,$B33)+COUNTIFS(Archives!$D$2:$D$1048576,8,Archives!$AB$2:$AB$1048576,"W",Archives!$Y$2:$Y$1048576,$B33)</f>
        <v>3</v>
      </c>
      <c r="F33" s="40">
        <f>COUNTIFS(Archives!$D$2:$D$1048576,8,Archives!$AB$2:$AB$1048576,"L",Archives!$V$2:$V$1048576,$B33)+COUNTIFS(Archives!$D$2:$D$1048576,8,Archives!$AB$2:$AB$1048576,"L",Archives!$Y$2:$Y$1048576,$B33)</f>
        <v>2</v>
      </c>
      <c r="G33" s="40">
        <f>COUNTIFS(Archives!$D$2:$D$1048576,8,Archives!$AB$2:$AB$1048576,"T",Archives!$V$2:$V$1048576,$B33)+COUNTIFS(Archives!$D$2:$D$1048576,8,Archives!$AB$2:$AB$1048576,"T",Archives!$Y$2:$Y$1048576,$B33)</f>
        <v>0</v>
      </c>
      <c r="H33" s="41">
        <f t="shared" si="0"/>
        <v>0.6</v>
      </c>
    </row>
    <row r="34" spans="2:8" ht="15" customHeight="1" x14ac:dyDescent="0.2">
      <c r="B34" s="34" t="s">
        <v>541</v>
      </c>
      <c r="C34" s="43"/>
      <c r="D34" s="43" t="s">
        <v>684</v>
      </c>
      <c r="E34" s="43">
        <f>COUNTIFS(Archives!$D$2:$D$1048576,10,Archives!$AB$2:$AB$1048576,"W",Archives!$V$2:$V$1048576,$B34)+COUNTIFS(Archives!$D$2:$D$1048576,10,Archives!$AB$2:$AB$1048576,"W",Archives!$Y$2:$Y$1048576,$B34)</f>
        <v>1</v>
      </c>
      <c r="F34" s="43">
        <f>COUNTIFS(Archives!$D$2:$D$1048576,10,Archives!$AB$2:$AB$1048576,"L",Archives!$V$2:$V$1048576,$B34)+COUNTIFS(Archives!$D$2:$D$1048576,10,Archives!$AB$2:$AB$1048576,"L",Archives!$Y$2:$Y$1048576,$B34)</f>
        <v>3</v>
      </c>
      <c r="G34" s="43">
        <f>COUNTIFS(Archives!$D$2:$D$1048576,10,Archives!$AB$2:$AB$1048576,"T",Archives!$V$2:$V$1048576,$B34)+COUNTIFS(Archives!$D$2:$D$1048576,10,Archives!$AB$2:$AB$1048576,"T",Archives!$Y$2:$Y$1048576,$B34)</f>
        <v>2</v>
      </c>
      <c r="H34" s="44">
        <f t="shared" si="0"/>
        <v>0.33333333333333331</v>
      </c>
    </row>
    <row r="35" spans="2:8" ht="15" customHeight="1" x14ac:dyDescent="0.2">
      <c r="B35" s="31" t="s">
        <v>632</v>
      </c>
      <c r="C35" s="40"/>
      <c r="D35" s="40" t="s">
        <v>686</v>
      </c>
      <c r="E35" s="40">
        <f>COUNTIFS(Archives!$D$2:$D$1048576,12,Archives!$AB$2:$AB$1048576,"W",Archives!$V$2:$V$1048576,$B35)+COUNTIFS(Archives!$D$2:$D$1048576,12,Archives!$AB$2:$AB$1048576,"W",Archives!$Y$2:$Y$1048576,$B35)</f>
        <v>2</v>
      </c>
      <c r="F35" s="40">
        <f>COUNTIFS(Archives!$D$2:$D$1048576,12,Archives!$AB$2:$AB$1048576,"L",Archives!$V$2:$V$1048576,$B35)+COUNTIFS(Archives!$D$2:$D$1048576,12,Archives!$AB$2:$AB$1048576,"L",Archives!$Y$2:$Y$1048576,$B35)</f>
        <v>3</v>
      </c>
      <c r="G35" s="40">
        <f>COUNTIFS(Archives!$D$2:$D$1048576,12,Archives!$AB$2:$AB$1048576,"T",Archives!$V$2:$V$1048576,$B35)+COUNTIFS(Archives!$D$2:$D$1048576,12,Archives!$AB$2:$AB$1048576,"T",Archives!$Y$2:$Y$1048576,$B35)</f>
        <v>2</v>
      </c>
      <c r="H35" s="41">
        <f t="shared" si="0"/>
        <v>0.42857142857142855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zoomScaleNormal="100" workbookViewId="0"/>
  </sheetViews>
  <sheetFormatPr baseColWidth="10" defaultColWidth="8.83203125" defaultRowHeight="15" x14ac:dyDescent="0.2"/>
  <sheetData>
    <row r="1" spans="1:8" ht="15" customHeight="1" x14ac:dyDescent="0.2">
      <c r="A1" s="14"/>
      <c r="B1" s="14"/>
      <c r="C1" s="14"/>
      <c r="D1" s="14"/>
      <c r="E1" s="14"/>
      <c r="F1" s="14"/>
      <c r="G1" s="14"/>
      <c r="H1" s="14"/>
    </row>
    <row r="4" spans="1:8" ht="15" customHeight="1" x14ac:dyDescent="0.2">
      <c r="D4" t="s">
        <v>1208</v>
      </c>
    </row>
    <row r="6" spans="1:8" ht="15" customHeight="1" x14ac:dyDescent="0.2">
      <c r="D6" t="s">
        <v>1209</v>
      </c>
      <c r="E6" t="s">
        <v>1210</v>
      </c>
    </row>
    <row r="7" spans="1:8" ht="15" customHeight="1" x14ac:dyDescent="0.2">
      <c r="D7" t="s">
        <v>1211</v>
      </c>
      <c r="E7">
        <v>100</v>
      </c>
    </row>
    <row r="8" spans="1:8" ht="15" customHeight="1" x14ac:dyDescent="0.2">
      <c r="D8" t="s">
        <v>1212</v>
      </c>
      <c r="E8">
        <v>60</v>
      </c>
    </row>
    <row r="9" spans="1:8" ht="15" customHeight="1" x14ac:dyDescent="0.2">
      <c r="D9" t="s">
        <v>1213</v>
      </c>
      <c r="E9">
        <v>60</v>
      </c>
    </row>
    <row r="10" spans="1:8" ht="15" customHeight="1" x14ac:dyDescent="0.2">
      <c r="D10" t="s">
        <v>1214</v>
      </c>
      <c r="E10">
        <v>100</v>
      </c>
    </row>
    <row r="11" spans="1:8" ht="15" customHeight="1" x14ac:dyDescent="0.2">
      <c r="D11" t="s">
        <v>1215</v>
      </c>
      <c r="E11">
        <v>100</v>
      </c>
    </row>
    <row r="12" spans="1:8" ht="15" customHeight="1" x14ac:dyDescent="0.2">
      <c r="D12" t="s">
        <v>1216</v>
      </c>
      <c r="E12">
        <v>75</v>
      </c>
    </row>
    <row r="13" spans="1:8" ht="15" customHeight="1" x14ac:dyDescent="0.2">
      <c r="D13" t="s">
        <v>1217</v>
      </c>
      <c r="E13">
        <v>75</v>
      </c>
    </row>
    <row r="14" spans="1:8" ht="15" customHeight="1" x14ac:dyDescent="0.2">
      <c r="D14" t="s">
        <v>1218</v>
      </c>
      <c r="E14">
        <v>75</v>
      </c>
    </row>
    <row r="15" spans="1:8" ht="15" customHeight="1" x14ac:dyDescent="0.2">
      <c r="D15" t="s">
        <v>1219</v>
      </c>
      <c r="E15">
        <v>75</v>
      </c>
    </row>
    <row r="16" spans="1:8" ht="15" customHeight="1" x14ac:dyDescent="0.2">
      <c r="D16" t="s">
        <v>1220</v>
      </c>
      <c r="E16">
        <v>75</v>
      </c>
      <c r="G16" t="s">
        <v>1221</v>
      </c>
      <c r="H16">
        <v>-540</v>
      </c>
    </row>
    <row r="17" spans="4:8" ht="15" customHeight="1" x14ac:dyDescent="0.2">
      <c r="D17" t="s">
        <v>1222</v>
      </c>
      <c r="E17">
        <v>795</v>
      </c>
      <c r="G17" t="s">
        <v>1223</v>
      </c>
      <c r="H17">
        <v>500</v>
      </c>
    </row>
    <row r="18" spans="4:8" ht="15" customHeight="1" x14ac:dyDescent="0.2">
      <c r="G18" t="s">
        <v>1224</v>
      </c>
      <c r="H18">
        <v>-40</v>
      </c>
    </row>
    <row r="19" spans="4:8" ht="15" customHeight="1" x14ac:dyDescent="0.2">
      <c r="D19" t="s">
        <v>1225</v>
      </c>
      <c r="E19">
        <v>-40</v>
      </c>
    </row>
    <row r="20" spans="4:8" ht="15" customHeight="1" x14ac:dyDescent="0.2">
      <c r="D20" t="s">
        <v>1226</v>
      </c>
      <c r="E20">
        <v>755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6" customWidth="1"/>
    <col min="4" max="4" width="8" customWidth="1"/>
    <col min="5" max="5" width="9" customWidth="1"/>
    <col min="6" max="7" width="7" customWidth="1"/>
    <col min="8" max="8" width="30" customWidth="1"/>
  </cols>
  <sheetData>
    <row r="1" spans="1:8" ht="15" customHeight="1" x14ac:dyDescent="0.25">
      <c r="A1" s="6" t="s">
        <v>1227</v>
      </c>
    </row>
    <row r="2" spans="1:8" ht="15" customHeight="1" x14ac:dyDescent="0.2">
      <c r="A2" s="79" t="s">
        <v>1228</v>
      </c>
    </row>
    <row r="3" spans="1:8" ht="15" customHeight="1" x14ac:dyDescent="0.2"/>
    <row r="4" spans="1:8" ht="15" customHeight="1" x14ac:dyDescent="0.2">
      <c r="A4" s="30" t="s">
        <v>70</v>
      </c>
      <c r="B4" s="30" t="s">
        <v>79</v>
      </c>
      <c r="C4" s="30" t="s">
        <v>1229</v>
      </c>
      <c r="D4" s="30" t="s">
        <v>1230</v>
      </c>
      <c r="E4" s="30" t="s">
        <v>1231</v>
      </c>
      <c r="F4" s="30" t="s">
        <v>82</v>
      </c>
      <c r="G4" s="30" t="s">
        <v>81</v>
      </c>
      <c r="H4" s="30" t="s">
        <v>1232</v>
      </c>
    </row>
    <row r="5" spans="1:8" ht="15" customHeight="1" x14ac:dyDescent="0.2">
      <c r="A5" s="40">
        <v>1</v>
      </c>
      <c r="B5" s="31" t="s">
        <v>113</v>
      </c>
      <c r="C5" s="31" t="s">
        <v>1233</v>
      </c>
      <c r="D5" s="31" t="s">
        <v>1234</v>
      </c>
      <c r="E5" s="40">
        <v>6225</v>
      </c>
      <c r="F5" s="40">
        <v>130</v>
      </c>
      <c r="G5" s="40">
        <v>71.3</v>
      </c>
      <c r="H5" s="31" t="s">
        <v>1235</v>
      </c>
    </row>
    <row r="6" spans="1:8" ht="15" customHeight="1" x14ac:dyDescent="0.2">
      <c r="A6" s="43">
        <v>1</v>
      </c>
      <c r="B6" s="34" t="s">
        <v>1236</v>
      </c>
      <c r="C6" s="34" t="s">
        <v>1233</v>
      </c>
      <c r="D6" s="34" t="s">
        <v>1234</v>
      </c>
      <c r="E6" s="43">
        <v>6772</v>
      </c>
      <c r="F6" s="43">
        <v>128</v>
      </c>
      <c r="G6" s="43">
        <v>72.2</v>
      </c>
      <c r="H6" s="34" t="s">
        <v>1237</v>
      </c>
    </row>
    <row r="7" spans="1:8" ht="15" customHeight="1" x14ac:dyDescent="0.2">
      <c r="A7" s="40">
        <v>2</v>
      </c>
      <c r="B7" s="31" t="s">
        <v>188</v>
      </c>
      <c r="C7" s="31" t="s">
        <v>1238</v>
      </c>
      <c r="D7" s="31" t="s">
        <v>1234</v>
      </c>
      <c r="E7" s="40">
        <v>6328</v>
      </c>
      <c r="F7" s="40">
        <v>133</v>
      </c>
      <c r="G7" s="40">
        <v>70.599999999999994</v>
      </c>
      <c r="H7" s="31" t="s">
        <v>1239</v>
      </c>
    </row>
    <row r="8" spans="1:8" ht="15" customHeight="1" x14ac:dyDescent="0.2">
      <c r="A8" s="43">
        <v>2</v>
      </c>
      <c r="B8" s="34" t="s">
        <v>206</v>
      </c>
      <c r="C8" s="34" t="s">
        <v>1238</v>
      </c>
      <c r="D8" s="34" t="s">
        <v>1234</v>
      </c>
      <c r="E8" s="43">
        <v>6183</v>
      </c>
      <c r="F8" s="43">
        <v>132</v>
      </c>
      <c r="G8" s="43">
        <v>70.900000000000006</v>
      </c>
      <c r="H8" s="34" t="s">
        <v>1240</v>
      </c>
    </row>
    <row r="9" spans="1:8" ht="15" customHeight="1" x14ac:dyDescent="0.2">
      <c r="A9" s="40">
        <v>2</v>
      </c>
      <c r="B9" s="31" t="s">
        <v>169</v>
      </c>
      <c r="C9" s="31" t="s">
        <v>1238</v>
      </c>
      <c r="D9" s="31" t="s">
        <v>1234</v>
      </c>
      <c r="E9" s="40">
        <v>6561</v>
      </c>
      <c r="F9" s="40">
        <v>131</v>
      </c>
      <c r="G9" s="40">
        <v>71.599999999999994</v>
      </c>
      <c r="H9" s="31" t="s">
        <v>1241</v>
      </c>
    </row>
    <row r="10" spans="1:8" ht="15" customHeight="1" x14ac:dyDescent="0.2">
      <c r="A10" s="43">
        <v>3</v>
      </c>
      <c r="B10" s="34" t="s">
        <v>220</v>
      </c>
      <c r="C10" s="34" t="s">
        <v>1242</v>
      </c>
      <c r="D10" s="34" t="s">
        <v>1243</v>
      </c>
      <c r="E10" s="43">
        <v>6323</v>
      </c>
      <c r="F10" s="43">
        <v>135</v>
      </c>
      <c r="G10" s="43">
        <v>71.099999999999994</v>
      </c>
      <c r="H10" s="34" t="s">
        <v>1244</v>
      </c>
    </row>
    <row r="11" spans="1:8" ht="15" customHeight="1" x14ac:dyDescent="0.2">
      <c r="A11" s="40">
        <v>3</v>
      </c>
      <c r="B11" s="31" t="s">
        <v>255</v>
      </c>
      <c r="C11" s="31" t="s">
        <v>1242</v>
      </c>
      <c r="D11" s="31" t="s">
        <v>1243</v>
      </c>
      <c r="E11" s="40">
        <v>6326</v>
      </c>
      <c r="F11" s="40">
        <v>131</v>
      </c>
      <c r="G11" s="40">
        <v>71.3</v>
      </c>
      <c r="H11" s="31" t="s">
        <v>1245</v>
      </c>
    </row>
    <row r="12" spans="1:8" ht="15" customHeight="1" x14ac:dyDescent="0.2">
      <c r="A12" s="43">
        <v>4</v>
      </c>
      <c r="B12" s="34" t="s">
        <v>1246</v>
      </c>
      <c r="C12" s="34" t="s">
        <v>1247</v>
      </c>
      <c r="D12" s="34" t="s">
        <v>1248</v>
      </c>
      <c r="E12" s="43">
        <v>6111</v>
      </c>
      <c r="F12" s="43">
        <v>130</v>
      </c>
      <c r="G12" s="43">
        <v>70.599999999999994</v>
      </c>
      <c r="H12" s="34" t="s">
        <v>1249</v>
      </c>
    </row>
    <row r="13" spans="1:8" ht="15" customHeight="1" x14ac:dyDescent="0.2">
      <c r="A13" s="40">
        <v>4</v>
      </c>
      <c r="B13" s="31" t="s">
        <v>1250</v>
      </c>
      <c r="C13" s="31" t="s">
        <v>1247</v>
      </c>
      <c r="D13" s="31" t="s">
        <v>1248</v>
      </c>
      <c r="E13" s="40">
        <v>6517</v>
      </c>
      <c r="F13" s="40">
        <v>132</v>
      </c>
      <c r="G13" s="40">
        <v>72.3</v>
      </c>
      <c r="H13" s="31" t="s">
        <v>1251</v>
      </c>
    </row>
    <row r="14" spans="1:8" ht="15" customHeight="1" x14ac:dyDescent="0.2">
      <c r="A14" s="43">
        <v>5</v>
      </c>
      <c r="B14" s="34" t="s">
        <v>319</v>
      </c>
      <c r="C14" s="34" t="s">
        <v>1252</v>
      </c>
      <c r="D14" s="34" t="s">
        <v>1253</v>
      </c>
      <c r="E14" s="43">
        <v>6251</v>
      </c>
      <c r="F14" s="43">
        <v>136</v>
      </c>
      <c r="G14" s="43">
        <v>71.400000000000006</v>
      </c>
      <c r="H14" s="34" t="s">
        <v>1249</v>
      </c>
    </row>
    <row r="15" spans="1:8" ht="15" customHeight="1" x14ac:dyDescent="0.2">
      <c r="A15" s="40">
        <v>5</v>
      </c>
      <c r="B15" s="31" t="s">
        <v>349</v>
      </c>
      <c r="C15" s="31" t="s">
        <v>1252</v>
      </c>
      <c r="D15" s="31" t="s">
        <v>1253</v>
      </c>
      <c r="E15" s="40">
        <v>6522</v>
      </c>
      <c r="F15" s="40">
        <v>138</v>
      </c>
      <c r="G15" s="40">
        <v>72.2</v>
      </c>
      <c r="H15" s="31" t="s">
        <v>1254</v>
      </c>
    </row>
    <row r="16" spans="1:8" ht="15" customHeight="1" x14ac:dyDescent="0.2">
      <c r="A16" s="43">
        <v>6</v>
      </c>
      <c r="B16" s="34" t="s">
        <v>1255</v>
      </c>
      <c r="C16" s="34" t="s">
        <v>1256</v>
      </c>
      <c r="D16" s="34" t="s">
        <v>1257</v>
      </c>
      <c r="E16" s="43">
        <v>6389</v>
      </c>
      <c r="F16" s="43">
        <v>134</v>
      </c>
      <c r="G16" s="43">
        <v>70.5</v>
      </c>
      <c r="H16" s="34" t="s">
        <v>1258</v>
      </c>
    </row>
    <row r="17" spans="1:8" ht="15" customHeight="1" x14ac:dyDescent="0.2">
      <c r="A17" s="40">
        <v>7</v>
      </c>
      <c r="B17" s="31" t="s">
        <v>403</v>
      </c>
      <c r="C17" s="31" t="s">
        <v>403</v>
      </c>
      <c r="D17" s="31" t="s">
        <v>1259</v>
      </c>
      <c r="E17" s="40">
        <v>6454</v>
      </c>
      <c r="F17" s="40">
        <v>138</v>
      </c>
      <c r="G17" s="40"/>
      <c r="H17" s="31" t="s">
        <v>1260</v>
      </c>
    </row>
    <row r="18" spans="1:8" ht="15" customHeight="1" x14ac:dyDescent="0.2">
      <c r="A18" s="43">
        <v>7</v>
      </c>
      <c r="B18" s="34" t="s">
        <v>420</v>
      </c>
      <c r="C18" s="34" t="s">
        <v>403</v>
      </c>
      <c r="D18" s="34" t="s">
        <v>1259</v>
      </c>
      <c r="E18" s="43">
        <v>6123</v>
      </c>
      <c r="F18" s="43">
        <v>133</v>
      </c>
      <c r="G18" s="43"/>
      <c r="H18" s="34" t="s">
        <v>1261</v>
      </c>
    </row>
    <row r="19" spans="1:8" ht="15" customHeight="1" x14ac:dyDescent="0.2">
      <c r="A19" s="40">
        <v>7</v>
      </c>
      <c r="B19" s="31" t="s">
        <v>1262</v>
      </c>
      <c r="C19" s="31" t="s">
        <v>403</v>
      </c>
      <c r="D19" s="31" t="s">
        <v>1259</v>
      </c>
      <c r="E19" s="40">
        <v>6422</v>
      </c>
      <c r="F19" s="40">
        <v>136</v>
      </c>
      <c r="G19" s="40"/>
      <c r="H19" s="31" t="s">
        <v>1240</v>
      </c>
    </row>
    <row r="20" spans="1:8" ht="15" customHeight="1" x14ac:dyDescent="0.2">
      <c r="A20" s="43">
        <v>7</v>
      </c>
      <c r="B20" s="34" t="s">
        <v>432</v>
      </c>
      <c r="C20" s="34" t="s">
        <v>432</v>
      </c>
      <c r="D20" s="34" t="s">
        <v>1259</v>
      </c>
      <c r="E20" s="43">
        <v>5727</v>
      </c>
      <c r="F20" s="43">
        <v>113</v>
      </c>
      <c r="G20" s="43"/>
      <c r="H20" s="34" t="s">
        <v>1263</v>
      </c>
    </row>
    <row r="21" spans="1:8" ht="15" customHeight="1" x14ac:dyDescent="0.2">
      <c r="A21" s="40">
        <v>8</v>
      </c>
      <c r="B21" s="31" t="s">
        <v>450</v>
      </c>
      <c r="C21" s="31" t="s">
        <v>1264</v>
      </c>
      <c r="D21" s="31" t="s">
        <v>1265</v>
      </c>
      <c r="E21" s="40">
        <v>6535</v>
      </c>
      <c r="F21" s="40">
        <v>130</v>
      </c>
      <c r="G21" s="40"/>
      <c r="H21" s="31" t="s">
        <v>1266</v>
      </c>
    </row>
    <row r="22" spans="1:8" ht="15" customHeight="1" x14ac:dyDescent="0.2">
      <c r="A22" s="43">
        <v>8</v>
      </c>
      <c r="B22" s="34" t="s">
        <v>469</v>
      </c>
      <c r="C22" s="34" t="s">
        <v>1264</v>
      </c>
      <c r="D22" s="34" t="s">
        <v>1265</v>
      </c>
      <c r="E22" s="43">
        <v>6587</v>
      </c>
      <c r="F22" s="43">
        <v>124</v>
      </c>
      <c r="G22" s="43"/>
      <c r="H22" s="34" t="s">
        <v>1267</v>
      </c>
    </row>
    <row r="23" spans="1:8" ht="15" customHeight="1" x14ac:dyDescent="0.2">
      <c r="A23" s="40">
        <v>9</v>
      </c>
      <c r="B23" s="31" t="s">
        <v>220</v>
      </c>
      <c r="C23" s="31" t="s">
        <v>1242</v>
      </c>
      <c r="D23" s="31" t="s">
        <v>1243</v>
      </c>
      <c r="E23" s="40">
        <v>6323</v>
      </c>
      <c r="F23" s="40">
        <v>136</v>
      </c>
      <c r="G23" s="40">
        <v>71.099999999999994</v>
      </c>
      <c r="H23" s="31" t="s">
        <v>1244</v>
      </c>
    </row>
    <row r="24" spans="1:8" ht="15" customHeight="1" x14ac:dyDescent="0.2">
      <c r="A24" s="43">
        <v>9</v>
      </c>
      <c r="B24" s="34" t="s">
        <v>220</v>
      </c>
      <c r="C24" s="34" t="s">
        <v>1242</v>
      </c>
      <c r="D24" s="34" t="s">
        <v>1243</v>
      </c>
      <c r="E24" s="43">
        <v>6657</v>
      </c>
      <c r="F24" s="43">
        <v>139</v>
      </c>
      <c r="G24" s="43"/>
      <c r="H24" s="34" t="s">
        <v>1244</v>
      </c>
    </row>
    <row r="25" spans="1:8" ht="15" customHeight="1" x14ac:dyDescent="0.2">
      <c r="A25" s="40">
        <v>10</v>
      </c>
      <c r="B25" s="31" t="s">
        <v>535</v>
      </c>
      <c r="C25" s="31" t="s">
        <v>1268</v>
      </c>
      <c r="D25" s="31" t="s">
        <v>1269</v>
      </c>
      <c r="E25" s="40"/>
      <c r="F25" s="40"/>
      <c r="G25" s="40"/>
      <c r="H25" s="31" t="s">
        <v>1270</v>
      </c>
    </row>
    <row r="26" spans="1:8" ht="15" customHeight="1" x14ac:dyDescent="0.2">
      <c r="A26" s="43">
        <v>10</v>
      </c>
      <c r="B26" s="34" t="s">
        <v>1271</v>
      </c>
      <c r="C26" s="34" t="s">
        <v>1268</v>
      </c>
      <c r="D26" s="34" t="s">
        <v>1269</v>
      </c>
      <c r="E26" s="43"/>
      <c r="F26" s="43"/>
      <c r="G26" s="43"/>
      <c r="H26" s="34" t="s">
        <v>1272</v>
      </c>
    </row>
    <row r="27" spans="1:8" ht="15" customHeight="1" x14ac:dyDescent="0.2">
      <c r="A27" s="40">
        <v>10</v>
      </c>
      <c r="B27" s="31" t="s">
        <v>1273</v>
      </c>
      <c r="C27" s="31" t="s">
        <v>1274</v>
      </c>
      <c r="D27" s="31" t="s">
        <v>1269</v>
      </c>
      <c r="E27" s="40"/>
      <c r="F27" s="40"/>
      <c r="G27" s="40"/>
      <c r="H27" s="31" t="s">
        <v>1275</v>
      </c>
    </row>
    <row r="28" spans="1:8" ht="15" customHeight="1" x14ac:dyDescent="0.2">
      <c r="A28" s="43">
        <v>11</v>
      </c>
      <c r="B28" s="34" t="s">
        <v>586</v>
      </c>
      <c r="C28" s="34" t="s">
        <v>145</v>
      </c>
      <c r="D28" s="34" t="s">
        <v>1276</v>
      </c>
      <c r="E28" s="43"/>
      <c r="F28" s="43"/>
      <c r="G28" s="43"/>
      <c r="H28" s="34" t="s">
        <v>1251</v>
      </c>
    </row>
    <row r="29" spans="1:8" ht="15" customHeight="1" x14ac:dyDescent="0.2">
      <c r="A29" s="40">
        <v>11</v>
      </c>
      <c r="B29" s="31" t="s">
        <v>599</v>
      </c>
      <c r="C29" s="31" t="s">
        <v>145</v>
      </c>
      <c r="D29" s="31" t="s">
        <v>1276</v>
      </c>
      <c r="E29" s="40"/>
      <c r="F29" s="40"/>
      <c r="G29" s="40"/>
      <c r="H29" s="31" t="s">
        <v>1251</v>
      </c>
    </row>
    <row r="30" spans="1:8" ht="15" customHeight="1" x14ac:dyDescent="0.2">
      <c r="A30" s="40">
        <v>11</v>
      </c>
      <c r="B30" s="31" t="s">
        <v>614</v>
      </c>
      <c r="C30" s="31" t="s">
        <v>145</v>
      </c>
      <c r="D30" s="31" t="s">
        <v>1276</v>
      </c>
      <c r="E30" s="40"/>
      <c r="F30" s="40"/>
      <c r="G30" s="40"/>
      <c r="H30" s="31" t="s">
        <v>1277</v>
      </c>
    </row>
    <row r="31" spans="1:8" ht="15" customHeight="1" x14ac:dyDescent="0.2">
      <c r="A31" s="40">
        <v>13</v>
      </c>
      <c r="B31" s="31" t="inlineStr">
        <is>
          <t xml:space="preserve">Fields Ranch East</t>
        </is>
      </c>
      <c r="C31" s="31" t="inlineStr">
        <is>
          <t xml:space="preserve">Frisco</t>
        </is>
      </c>
      <c r="D31" s="31" t="inlineStr">
        <is>
          <t xml:space="preserve">TX</t>
        </is>
      </c>
      <c r="E31" s="40">
        <v>6543</v>
      </c>
      <c r="F31" s="40">
        <v>140</v>
      </c>
      <c r="G31" s="40">
        <v>72.6</v>
      </c>
      <c r="H31" s="31" t="inlineStr">
        <is>
          <t xml:space="preserve">Gil Hanse</t>
        </is>
      </c>
    </row>
    <row r="32" spans="1:8" ht="15" customHeight="1" x14ac:dyDescent="0.2">
      <c r="A32" s="43">
        <v>13</v>
      </c>
      <c r="B32" s="34" t="inlineStr">
        <is>
          <t xml:space="preserve">Fields Ranch West</t>
        </is>
      </c>
      <c r="C32" s="34" t="inlineStr">
        <is>
          <t xml:space="preserve">Frisco</t>
        </is>
      </c>
      <c r="D32" s="34" t="inlineStr">
        <is>
          <t xml:space="preserve">TX</t>
        </is>
      </c>
      <c r="E32" s="43">
        <v>6149</v>
      </c>
      <c r="F32" s="43">
        <v>129</v>
      </c>
      <c r="G32" s="43">
        <v>70.1</v>
      </c>
      <c r="H32" s="34" t="inlineStr">
        <is>
          <t xml:space="preserve">Beau Welling</t>
        </is>
      </c>
    </row>
    <row r="33" spans="1:8" ht="15" customHeight="1" x14ac:dyDescent="0.2">
      <c r="A33" s="80"/>
      <c r="B33" s="37" t="s">
        <v>1278</v>
      </c>
      <c r="C33" s="80"/>
      <c r="D33" s="80"/>
      <c r="E33" s="81">
        <f>AVERAGE(E5:E32)</f>
      </c>
      <c r="F33" s="81">
        <f>AVERAGE(F5:F32)</f>
      </c>
      <c r="G33" s="81">
        <f>AVERAGE(G5:G32)</f>
      </c>
      <c r="H33" s="8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Q30"/>
  <sheetViews>
    <sheetView topLeftCell="V1" zoomScaleNormal="100" workbookViewId="0">
      <selection activeCell="AM16" sqref="AM16"/>
    </sheetView>
  </sheetViews>
  <sheetFormatPr baseColWidth="10" defaultColWidth="8.83203125" defaultRowHeight="15" x14ac:dyDescent="0.2"/>
  <cols>
    <col min="23" max="23" width="8.83203125" customWidth="1"/>
  </cols>
  <sheetData>
    <row r="1" spans="1:43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ht="15" customHeight="1" x14ac:dyDescent="0.2">
      <c r="A2" t="s">
        <v>86</v>
      </c>
      <c r="B2" t="s">
        <v>124</v>
      </c>
      <c r="H2" t="s">
        <v>86</v>
      </c>
      <c r="I2" t="s">
        <v>124</v>
      </c>
      <c r="Q2" t="s">
        <v>1279</v>
      </c>
      <c r="W2" t="s">
        <v>86</v>
      </c>
      <c r="X2" t="s">
        <v>117</v>
      </c>
      <c r="AD2" t="s">
        <v>86</v>
      </c>
      <c r="AE2" t="s">
        <v>117</v>
      </c>
      <c r="AM2" t="s">
        <v>1280</v>
      </c>
    </row>
    <row r="3" spans="1:43" ht="15" customHeight="1" x14ac:dyDescent="0.2">
      <c r="R3" t="s">
        <v>1281</v>
      </c>
      <c r="S3" t="s">
        <v>718</v>
      </c>
      <c r="T3" t="s">
        <v>717</v>
      </c>
      <c r="U3" t="s">
        <v>87</v>
      </c>
      <c r="AN3" t="s">
        <v>1281</v>
      </c>
      <c r="AO3" t="s">
        <v>718</v>
      </c>
      <c r="AP3" t="s">
        <v>717</v>
      </c>
      <c r="AQ3" t="s">
        <v>87</v>
      </c>
    </row>
    <row r="4" spans="1:43" ht="15" customHeight="1" x14ac:dyDescent="0.2">
      <c r="B4" t="s">
        <v>722</v>
      </c>
      <c r="C4" t="s">
        <v>1147</v>
      </c>
      <c r="D4" t="s">
        <v>1148</v>
      </c>
      <c r="E4" t="s">
        <v>1153</v>
      </c>
      <c r="F4" t="s">
        <v>718</v>
      </c>
      <c r="I4" t="s">
        <v>722</v>
      </c>
      <c r="J4" t="s">
        <v>1147</v>
      </c>
      <c r="K4" t="s">
        <v>1148</v>
      </c>
      <c r="L4" t="s">
        <v>1153</v>
      </c>
      <c r="M4" t="s">
        <v>718</v>
      </c>
      <c r="Q4" t="s">
        <v>118</v>
      </c>
      <c r="R4">
        <v>5</v>
      </c>
      <c r="S4">
        <v>5</v>
      </c>
      <c r="T4">
        <v>1</v>
      </c>
      <c r="U4" t="s">
        <v>172</v>
      </c>
      <c r="X4" t="s">
        <v>722</v>
      </c>
      <c r="Y4" t="s">
        <v>1147</v>
      </c>
      <c r="Z4" t="s">
        <v>1148</v>
      </c>
      <c r="AA4" t="s">
        <v>1153</v>
      </c>
      <c r="AB4" t="s">
        <v>718</v>
      </c>
      <c r="AE4" t="s">
        <v>722</v>
      </c>
      <c r="AF4" t="s">
        <v>1147</v>
      </c>
      <c r="AG4" t="s">
        <v>1148</v>
      </c>
      <c r="AH4" t="s">
        <v>1153</v>
      </c>
      <c r="AI4" t="s">
        <v>718</v>
      </c>
      <c r="AM4" t="s">
        <v>123</v>
      </c>
      <c r="AN4">
        <v>0</v>
      </c>
      <c r="AO4">
        <v>0</v>
      </c>
      <c r="AQ4" t="s">
        <v>172</v>
      </c>
    </row>
    <row r="5" spans="1:43" ht="15" customHeight="1" x14ac:dyDescent="0.2">
      <c r="A5" t="s">
        <v>693</v>
      </c>
      <c r="B5">
        <v>5</v>
      </c>
      <c r="C5">
        <v>5</v>
      </c>
      <c r="D5">
        <v>1</v>
      </c>
      <c r="E5">
        <v>5.5</v>
      </c>
      <c r="F5">
        <v>11</v>
      </c>
      <c r="H5" t="s">
        <v>178</v>
      </c>
      <c r="I5">
        <v>1</v>
      </c>
      <c r="J5">
        <v>2</v>
      </c>
      <c r="K5">
        <v>1</v>
      </c>
      <c r="L5">
        <v>1.5</v>
      </c>
      <c r="M5">
        <v>4</v>
      </c>
      <c r="Q5" t="s">
        <v>119</v>
      </c>
      <c r="R5">
        <v>11</v>
      </c>
      <c r="S5">
        <v>17</v>
      </c>
      <c r="T5">
        <v>0.64705882352941202</v>
      </c>
      <c r="U5" t="s">
        <v>172</v>
      </c>
      <c r="W5" t="s">
        <v>693</v>
      </c>
      <c r="X5">
        <v>2</v>
      </c>
      <c r="Y5">
        <v>3</v>
      </c>
      <c r="Z5">
        <v>0</v>
      </c>
      <c r="AA5">
        <v>2</v>
      </c>
      <c r="AB5">
        <v>5</v>
      </c>
      <c r="AD5" t="s">
        <v>178</v>
      </c>
      <c r="AE5">
        <v>0</v>
      </c>
      <c r="AF5">
        <v>2</v>
      </c>
      <c r="AG5">
        <v>0</v>
      </c>
      <c r="AH5">
        <v>0</v>
      </c>
      <c r="AI5">
        <v>2</v>
      </c>
      <c r="AM5" t="s">
        <v>118</v>
      </c>
      <c r="AN5">
        <v>13</v>
      </c>
      <c r="AO5">
        <v>22</v>
      </c>
      <c r="AP5">
        <v>0.59090909090909105</v>
      </c>
      <c r="AQ5" t="s">
        <v>172</v>
      </c>
    </row>
    <row r="6" spans="1:43" ht="15" customHeight="1" x14ac:dyDescent="0.2">
      <c r="A6" t="s">
        <v>179</v>
      </c>
      <c r="B6">
        <v>2</v>
      </c>
      <c r="C6">
        <v>7</v>
      </c>
      <c r="D6">
        <v>3</v>
      </c>
      <c r="E6">
        <v>3.5</v>
      </c>
      <c r="F6">
        <v>12</v>
      </c>
      <c r="H6" t="s">
        <v>127</v>
      </c>
      <c r="I6">
        <v>0</v>
      </c>
      <c r="J6">
        <v>2</v>
      </c>
      <c r="K6">
        <v>0</v>
      </c>
      <c r="L6">
        <v>0</v>
      </c>
      <c r="M6">
        <v>2</v>
      </c>
      <c r="Q6" t="s">
        <v>133</v>
      </c>
      <c r="R6">
        <v>7</v>
      </c>
      <c r="S6">
        <v>11</v>
      </c>
      <c r="T6">
        <v>0.63636363636363602</v>
      </c>
      <c r="U6" t="s">
        <v>172</v>
      </c>
      <c r="W6" t="s">
        <v>179</v>
      </c>
      <c r="X6">
        <v>4</v>
      </c>
      <c r="Y6">
        <v>6</v>
      </c>
      <c r="Z6">
        <v>0</v>
      </c>
      <c r="AA6">
        <v>4</v>
      </c>
      <c r="AB6">
        <v>10</v>
      </c>
      <c r="AD6" t="s">
        <v>132</v>
      </c>
      <c r="AE6">
        <v>2</v>
      </c>
      <c r="AF6">
        <v>0</v>
      </c>
      <c r="AG6">
        <v>0</v>
      </c>
      <c r="AH6">
        <v>2</v>
      </c>
      <c r="AI6">
        <v>2</v>
      </c>
      <c r="AM6" t="s">
        <v>693</v>
      </c>
      <c r="AN6">
        <v>2</v>
      </c>
      <c r="AO6">
        <v>5</v>
      </c>
      <c r="AP6">
        <v>0.4</v>
      </c>
      <c r="AQ6" t="s">
        <v>172</v>
      </c>
    </row>
    <row r="7" spans="1:43" ht="15" customHeight="1" x14ac:dyDescent="0.2">
      <c r="A7" t="s">
        <v>1308</v>
      </c>
      <c r="B7">
        <v>17</v>
      </c>
      <c r="C7">
        <v>6</v>
      </c>
      <c r="D7">
        <v>4</v>
      </c>
      <c r="E7">
        <v>19</v>
      </c>
      <c r="F7">
        <v>27</v>
      </c>
      <c r="H7" t="s">
        <v>172</v>
      </c>
      <c r="I7">
        <v>0</v>
      </c>
      <c r="J7">
        <v>2</v>
      </c>
      <c r="K7">
        <v>0</v>
      </c>
      <c r="L7">
        <v>0</v>
      </c>
      <c r="M7">
        <v>2</v>
      </c>
      <c r="Q7" t="s">
        <v>123</v>
      </c>
      <c r="R7">
        <v>15</v>
      </c>
      <c r="S7">
        <v>27</v>
      </c>
      <c r="T7">
        <v>0.55555555555555602</v>
      </c>
      <c r="U7" t="s">
        <v>172</v>
      </c>
      <c r="W7" t="s">
        <v>178</v>
      </c>
      <c r="X7">
        <v>5</v>
      </c>
      <c r="Y7">
        <v>8</v>
      </c>
      <c r="Z7">
        <v>0</v>
      </c>
      <c r="AA7">
        <v>5</v>
      </c>
      <c r="AB7">
        <v>13</v>
      </c>
      <c r="AD7" t="s">
        <v>176</v>
      </c>
      <c r="AE7">
        <v>3</v>
      </c>
      <c r="AF7">
        <v>3</v>
      </c>
      <c r="AG7">
        <v>0</v>
      </c>
      <c r="AH7">
        <v>3</v>
      </c>
      <c r="AI7">
        <v>6</v>
      </c>
      <c r="AM7" t="s">
        <v>119</v>
      </c>
      <c r="AN7">
        <v>3.5</v>
      </c>
      <c r="AO7">
        <v>10</v>
      </c>
      <c r="AP7">
        <v>0.35</v>
      </c>
      <c r="AQ7" t="s">
        <v>172</v>
      </c>
    </row>
    <row r="8" spans="1:43" ht="15" customHeight="1" x14ac:dyDescent="0.2">
      <c r="A8" t="s">
        <v>178</v>
      </c>
      <c r="B8">
        <v>1</v>
      </c>
      <c r="C8">
        <v>2</v>
      </c>
      <c r="D8">
        <v>0</v>
      </c>
      <c r="E8">
        <v>1</v>
      </c>
      <c r="F8">
        <v>3</v>
      </c>
      <c r="H8" t="s">
        <v>176</v>
      </c>
      <c r="I8">
        <v>2</v>
      </c>
      <c r="J8">
        <v>0</v>
      </c>
      <c r="K8">
        <v>2</v>
      </c>
      <c r="L8">
        <v>3</v>
      </c>
      <c r="M8">
        <v>4</v>
      </c>
      <c r="Q8" t="s">
        <v>693</v>
      </c>
      <c r="R8">
        <v>5.5</v>
      </c>
      <c r="S8">
        <v>11</v>
      </c>
      <c r="T8">
        <v>0.5</v>
      </c>
      <c r="U8" t="s">
        <v>172</v>
      </c>
      <c r="W8" t="s">
        <v>127</v>
      </c>
      <c r="X8">
        <v>14</v>
      </c>
      <c r="Y8">
        <v>6</v>
      </c>
      <c r="Z8">
        <v>2</v>
      </c>
      <c r="AA8">
        <v>15</v>
      </c>
      <c r="AB8">
        <v>22</v>
      </c>
      <c r="AD8" t="s">
        <v>119</v>
      </c>
      <c r="AE8">
        <v>0</v>
      </c>
      <c r="AF8">
        <v>2</v>
      </c>
      <c r="AG8">
        <v>0</v>
      </c>
      <c r="AH8">
        <v>0</v>
      </c>
      <c r="AI8">
        <v>2</v>
      </c>
      <c r="AM8" t="s">
        <v>122</v>
      </c>
      <c r="AN8">
        <v>2</v>
      </c>
      <c r="AO8">
        <v>6</v>
      </c>
      <c r="AP8">
        <v>0.33333333333333298</v>
      </c>
      <c r="AQ8" t="s">
        <v>172</v>
      </c>
    </row>
    <row r="9" spans="1:43" ht="15" customHeight="1" x14ac:dyDescent="0.2">
      <c r="A9" t="s">
        <v>321</v>
      </c>
      <c r="B9">
        <v>4</v>
      </c>
      <c r="C9">
        <v>1</v>
      </c>
      <c r="D9">
        <v>1</v>
      </c>
      <c r="E9">
        <v>4.5</v>
      </c>
      <c r="F9">
        <v>6</v>
      </c>
      <c r="H9" t="s">
        <v>119</v>
      </c>
      <c r="I9">
        <v>1</v>
      </c>
      <c r="J9">
        <v>1</v>
      </c>
      <c r="K9">
        <v>0</v>
      </c>
      <c r="L9">
        <v>1</v>
      </c>
      <c r="M9">
        <v>2</v>
      </c>
      <c r="Q9" t="s">
        <v>135</v>
      </c>
      <c r="R9">
        <v>9.5</v>
      </c>
      <c r="S9">
        <v>22</v>
      </c>
      <c r="T9">
        <v>0.43181818181818199</v>
      </c>
      <c r="U9" t="s">
        <v>172</v>
      </c>
      <c r="W9" t="s">
        <v>132</v>
      </c>
      <c r="X9">
        <v>7</v>
      </c>
      <c r="Y9">
        <v>12</v>
      </c>
      <c r="Z9">
        <v>1</v>
      </c>
      <c r="AA9">
        <v>7.5</v>
      </c>
      <c r="AB9">
        <v>20</v>
      </c>
      <c r="AD9" t="s">
        <v>120</v>
      </c>
      <c r="AE9">
        <v>2</v>
      </c>
      <c r="AF9">
        <v>1</v>
      </c>
      <c r="AG9">
        <v>1</v>
      </c>
      <c r="AH9">
        <v>2.5</v>
      </c>
      <c r="AI9">
        <v>4</v>
      </c>
      <c r="AM9" t="s">
        <v>133</v>
      </c>
      <c r="AN9">
        <v>5</v>
      </c>
      <c r="AO9">
        <v>16</v>
      </c>
      <c r="AP9">
        <v>0.3125</v>
      </c>
      <c r="AQ9" t="s">
        <v>172</v>
      </c>
    </row>
    <row r="10" spans="1:43" ht="15" customHeight="1" x14ac:dyDescent="0.2">
      <c r="A10" t="s">
        <v>127</v>
      </c>
      <c r="B10">
        <v>1</v>
      </c>
      <c r="C10">
        <v>1</v>
      </c>
      <c r="D10">
        <v>1</v>
      </c>
      <c r="E10">
        <v>1.5</v>
      </c>
      <c r="F10">
        <v>3</v>
      </c>
      <c r="H10" t="s">
        <v>120</v>
      </c>
      <c r="I10">
        <v>2</v>
      </c>
      <c r="J10">
        <v>2</v>
      </c>
      <c r="K10">
        <v>0</v>
      </c>
      <c r="L10">
        <v>2</v>
      </c>
      <c r="M10">
        <v>4</v>
      </c>
      <c r="Q10" t="s">
        <v>122</v>
      </c>
      <c r="R10">
        <v>6</v>
      </c>
      <c r="S10">
        <v>15</v>
      </c>
      <c r="T10">
        <v>0.4</v>
      </c>
      <c r="U10" t="s">
        <v>172</v>
      </c>
      <c r="W10" t="s">
        <v>172</v>
      </c>
      <c r="X10">
        <v>1</v>
      </c>
      <c r="Y10">
        <v>5</v>
      </c>
      <c r="Z10">
        <v>0</v>
      </c>
      <c r="AA10">
        <v>1</v>
      </c>
      <c r="AB10">
        <v>6</v>
      </c>
      <c r="AD10" t="s">
        <v>122</v>
      </c>
      <c r="AE10">
        <v>1</v>
      </c>
      <c r="AF10">
        <v>3</v>
      </c>
      <c r="AG10">
        <v>0</v>
      </c>
      <c r="AH10">
        <v>1</v>
      </c>
      <c r="AI10">
        <v>4</v>
      </c>
      <c r="AM10" t="s">
        <v>135</v>
      </c>
      <c r="AN10">
        <v>1.5</v>
      </c>
      <c r="AO10">
        <v>5</v>
      </c>
      <c r="AP10">
        <v>0.3</v>
      </c>
      <c r="AQ10" t="s">
        <v>172</v>
      </c>
    </row>
    <row r="11" spans="1:43" ht="15" customHeight="1" x14ac:dyDescent="0.2">
      <c r="A11" t="s">
        <v>132</v>
      </c>
      <c r="B11">
        <v>1</v>
      </c>
      <c r="C11">
        <v>3</v>
      </c>
      <c r="D11">
        <v>1</v>
      </c>
      <c r="E11">
        <v>1.5</v>
      </c>
      <c r="F11">
        <v>5</v>
      </c>
      <c r="H11" t="s">
        <v>122</v>
      </c>
      <c r="I11">
        <v>2</v>
      </c>
      <c r="J11">
        <v>3</v>
      </c>
      <c r="K11">
        <v>1</v>
      </c>
      <c r="L11">
        <v>2.5</v>
      </c>
      <c r="M11">
        <v>6</v>
      </c>
      <c r="Q11" t="s">
        <v>172</v>
      </c>
      <c r="R11">
        <v>6</v>
      </c>
      <c r="S11">
        <v>16</v>
      </c>
      <c r="T11">
        <v>0.375</v>
      </c>
      <c r="U11" t="s">
        <v>172</v>
      </c>
      <c r="W11" t="s">
        <v>176</v>
      </c>
      <c r="X11">
        <v>4</v>
      </c>
      <c r="Y11">
        <v>0</v>
      </c>
      <c r="Z11">
        <v>1</v>
      </c>
      <c r="AA11">
        <v>4.5</v>
      </c>
      <c r="AB11">
        <v>5</v>
      </c>
      <c r="AD11" t="s">
        <v>118</v>
      </c>
      <c r="AE11">
        <v>9</v>
      </c>
      <c r="AF11">
        <v>5</v>
      </c>
      <c r="AG11">
        <v>2</v>
      </c>
      <c r="AH11">
        <v>10</v>
      </c>
      <c r="AI11">
        <v>16</v>
      </c>
      <c r="AM11" t="s">
        <v>172</v>
      </c>
      <c r="AN11">
        <v>1</v>
      </c>
      <c r="AO11">
        <v>6</v>
      </c>
      <c r="AP11">
        <v>0.16666666666666699</v>
      </c>
      <c r="AQ11" t="s">
        <v>172</v>
      </c>
    </row>
    <row r="12" spans="1:43" ht="15" customHeight="1" x14ac:dyDescent="0.2">
      <c r="A12" t="s">
        <v>172</v>
      </c>
      <c r="B12">
        <v>6</v>
      </c>
      <c r="C12">
        <v>8</v>
      </c>
      <c r="D12">
        <v>0</v>
      </c>
      <c r="E12">
        <v>6</v>
      </c>
      <c r="F12">
        <v>14</v>
      </c>
      <c r="H12" t="s">
        <v>118</v>
      </c>
      <c r="I12">
        <v>4</v>
      </c>
      <c r="J12">
        <v>0</v>
      </c>
      <c r="K12">
        <v>0</v>
      </c>
      <c r="L12">
        <v>4</v>
      </c>
      <c r="M12">
        <v>4</v>
      </c>
      <c r="Q12" t="s">
        <v>176</v>
      </c>
      <c r="R12">
        <v>9</v>
      </c>
      <c r="S12">
        <v>11</v>
      </c>
      <c r="T12">
        <v>0.81818181818181801</v>
      </c>
      <c r="U12" t="s">
        <v>230</v>
      </c>
      <c r="W12" t="s">
        <v>226</v>
      </c>
      <c r="X12">
        <v>5</v>
      </c>
      <c r="Y12">
        <v>4</v>
      </c>
      <c r="Z12">
        <v>3</v>
      </c>
      <c r="AA12">
        <v>6.5</v>
      </c>
      <c r="AB12">
        <v>12</v>
      </c>
      <c r="AD12" t="s">
        <v>133</v>
      </c>
      <c r="AE12">
        <v>3</v>
      </c>
      <c r="AF12">
        <v>7</v>
      </c>
      <c r="AG12">
        <v>0</v>
      </c>
      <c r="AH12">
        <v>3</v>
      </c>
      <c r="AI12">
        <v>10</v>
      </c>
      <c r="AM12" t="s">
        <v>231</v>
      </c>
      <c r="AN12">
        <v>0</v>
      </c>
      <c r="AO12">
        <v>0</v>
      </c>
      <c r="AQ12" t="s">
        <v>172</v>
      </c>
    </row>
    <row r="13" spans="1:43" ht="15" customHeight="1" x14ac:dyDescent="0.2">
      <c r="A13" t="s">
        <v>176</v>
      </c>
      <c r="B13">
        <v>6</v>
      </c>
      <c r="C13">
        <v>1</v>
      </c>
      <c r="D13">
        <v>0</v>
      </c>
      <c r="E13">
        <v>6</v>
      </c>
      <c r="F13">
        <v>7</v>
      </c>
      <c r="H13" t="s">
        <v>123</v>
      </c>
      <c r="I13">
        <v>11</v>
      </c>
      <c r="J13">
        <v>8</v>
      </c>
      <c r="K13">
        <v>1</v>
      </c>
      <c r="L13">
        <v>11.5</v>
      </c>
      <c r="M13">
        <v>20</v>
      </c>
      <c r="Q13" t="s">
        <v>1308</v>
      </c>
      <c r="R13">
        <v>19</v>
      </c>
      <c r="S13">
        <v>27</v>
      </c>
      <c r="T13">
        <v>0.70370370370370405</v>
      </c>
      <c r="U13" t="s">
        <v>230</v>
      </c>
      <c r="W13" t="s">
        <v>119</v>
      </c>
      <c r="X13">
        <v>3</v>
      </c>
      <c r="Y13">
        <v>4</v>
      </c>
      <c r="Z13">
        <v>1</v>
      </c>
      <c r="AA13">
        <v>3.5</v>
      </c>
      <c r="AB13">
        <v>8</v>
      </c>
      <c r="AD13" t="s">
        <v>230</v>
      </c>
      <c r="AE13">
        <v>2</v>
      </c>
      <c r="AF13">
        <v>4</v>
      </c>
      <c r="AG13">
        <v>2</v>
      </c>
      <c r="AH13">
        <v>3</v>
      </c>
      <c r="AI13">
        <v>8</v>
      </c>
      <c r="AM13" t="s">
        <v>226</v>
      </c>
      <c r="AN13">
        <v>6.5</v>
      </c>
      <c r="AO13">
        <v>12</v>
      </c>
      <c r="AP13">
        <v>0.54166666666666696</v>
      </c>
      <c r="AQ13" t="s">
        <v>172</v>
      </c>
    </row>
    <row r="14" spans="1:43" ht="15" customHeight="1" x14ac:dyDescent="0.2">
      <c r="A14" t="s">
        <v>226</v>
      </c>
      <c r="B14">
        <v>3</v>
      </c>
      <c r="C14">
        <v>2</v>
      </c>
      <c r="D14">
        <v>0</v>
      </c>
      <c r="E14">
        <v>3</v>
      </c>
      <c r="F14">
        <v>5</v>
      </c>
      <c r="H14" t="s">
        <v>133</v>
      </c>
      <c r="I14">
        <v>2</v>
      </c>
      <c r="J14">
        <v>2</v>
      </c>
      <c r="K14">
        <v>2</v>
      </c>
      <c r="L14">
        <v>3</v>
      </c>
      <c r="M14">
        <v>6</v>
      </c>
      <c r="Q14" t="s">
        <v>130</v>
      </c>
      <c r="R14">
        <v>2.5</v>
      </c>
      <c r="S14">
        <v>5</v>
      </c>
      <c r="T14">
        <v>0.5</v>
      </c>
      <c r="U14" t="s">
        <v>230</v>
      </c>
      <c r="W14" t="s">
        <v>120</v>
      </c>
      <c r="X14">
        <v>0</v>
      </c>
      <c r="Y14">
        <v>0</v>
      </c>
      <c r="Z14">
        <v>1</v>
      </c>
      <c r="AA14">
        <v>0.5</v>
      </c>
      <c r="AB14">
        <v>1</v>
      </c>
      <c r="AD14" t="s">
        <v>130</v>
      </c>
      <c r="AE14">
        <v>1</v>
      </c>
      <c r="AF14">
        <v>2</v>
      </c>
      <c r="AG14">
        <v>1</v>
      </c>
      <c r="AH14">
        <v>1.5</v>
      </c>
      <c r="AI14">
        <v>4</v>
      </c>
    </row>
    <row r="15" spans="1:43" ht="15" customHeight="1" x14ac:dyDescent="0.2">
      <c r="A15" t="s">
        <v>119</v>
      </c>
      <c r="B15">
        <v>10</v>
      </c>
      <c r="C15">
        <v>5</v>
      </c>
      <c r="D15">
        <v>0</v>
      </c>
      <c r="E15">
        <v>10</v>
      </c>
      <c r="F15">
        <v>15</v>
      </c>
      <c r="H15" t="s">
        <v>231</v>
      </c>
      <c r="I15">
        <v>4</v>
      </c>
      <c r="J15">
        <v>4</v>
      </c>
      <c r="K15">
        <v>2</v>
      </c>
      <c r="L15">
        <v>5</v>
      </c>
      <c r="M15">
        <v>10</v>
      </c>
      <c r="Q15" t="s">
        <v>178</v>
      </c>
      <c r="R15">
        <v>2.5</v>
      </c>
      <c r="S15">
        <v>7</v>
      </c>
      <c r="T15">
        <v>0.35714285714285698</v>
      </c>
      <c r="U15" t="s">
        <v>230</v>
      </c>
      <c r="W15" t="s">
        <v>122</v>
      </c>
      <c r="X15">
        <v>1</v>
      </c>
      <c r="Y15">
        <v>1</v>
      </c>
      <c r="Z15">
        <v>0</v>
      </c>
      <c r="AA15">
        <v>1</v>
      </c>
      <c r="AB15">
        <v>2</v>
      </c>
      <c r="AD15" t="s">
        <v>135</v>
      </c>
      <c r="AE15">
        <v>1</v>
      </c>
      <c r="AF15">
        <v>2</v>
      </c>
      <c r="AG15">
        <v>1</v>
      </c>
      <c r="AH15">
        <v>1.5</v>
      </c>
      <c r="AI15">
        <v>4</v>
      </c>
      <c r="AM15" t="s">
        <v>176</v>
      </c>
      <c r="AN15">
        <v>7.5</v>
      </c>
      <c r="AO15">
        <v>11</v>
      </c>
      <c r="AP15">
        <v>0.68181818181818199</v>
      </c>
      <c r="AQ15" t="s">
        <v>230</v>
      </c>
    </row>
    <row r="16" spans="1:43" ht="15" customHeight="1" x14ac:dyDescent="0.2">
      <c r="A16" t="s">
        <v>120</v>
      </c>
      <c r="B16">
        <v>2</v>
      </c>
      <c r="C16">
        <v>9</v>
      </c>
      <c r="D16">
        <v>1</v>
      </c>
      <c r="E16">
        <v>2.5</v>
      </c>
      <c r="F16">
        <v>12</v>
      </c>
      <c r="H16" t="s">
        <v>130</v>
      </c>
      <c r="I16">
        <v>1</v>
      </c>
      <c r="J16">
        <v>2</v>
      </c>
      <c r="K16">
        <v>1</v>
      </c>
      <c r="L16">
        <v>1.5</v>
      </c>
      <c r="M16">
        <v>4</v>
      </c>
      <c r="Q16" t="s">
        <v>127</v>
      </c>
      <c r="R16">
        <v>1.5</v>
      </c>
      <c r="S16">
        <v>5</v>
      </c>
      <c r="T16">
        <v>0.3</v>
      </c>
      <c r="U16" t="s">
        <v>230</v>
      </c>
      <c r="W16" t="s">
        <v>118</v>
      </c>
      <c r="X16">
        <v>3</v>
      </c>
      <c r="Y16">
        <v>3</v>
      </c>
      <c r="Z16">
        <v>0</v>
      </c>
      <c r="AA16">
        <v>3</v>
      </c>
      <c r="AB16">
        <v>6</v>
      </c>
      <c r="AD16" t="s">
        <v>175</v>
      </c>
      <c r="AE16">
        <v>2</v>
      </c>
      <c r="AF16">
        <v>1</v>
      </c>
      <c r="AG16">
        <v>1</v>
      </c>
      <c r="AH16">
        <v>2.5</v>
      </c>
      <c r="AI16">
        <v>4</v>
      </c>
      <c r="AM16" t="s">
        <v>1308</v>
      </c>
      <c r="AN16">
        <v>0</v>
      </c>
      <c r="AO16">
        <v>0</v>
      </c>
      <c r="AQ16" t="s">
        <v>230</v>
      </c>
    </row>
    <row r="17" spans="1:43" ht="15" customHeight="1" x14ac:dyDescent="0.2">
      <c r="A17" t="s">
        <v>122</v>
      </c>
      <c r="B17">
        <v>3</v>
      </c>
      <c r="C17">
        <v>5</v>
      </c>
      <c r="D17">
        <v>1</v>
      </c>
      <c r="E17">
        <v>3.5</v>
      </c>
      <c r="F17">
        <v>9</v>
      </c>
      <c r="H17" t="s">
        <v>135</v>
      </c>
      <c r="I17">
        <v>7</v>
      </c>
      <c r="J17">
        <v>8</v>
      </c>
      <c r="K17">
        <v>1</v>
      </c>
      <c r="L17">
        <v>7.5</v>
      </c>
      <c r="M17">
        <v>16</v>
      </c>
      <c r="Q17" t="s">
        <v>132</v>
      </c>
      <c r="R17">
        <v>1.5</v>
      </c>
      <c r="S17">
        <v>5</v>
      </c>
      <c r="T17">
        <v>0.3</v>
      </c>
      <c r="U17" t="s">
        <v>230</v>
      </c>
      <c r="W17" t="s">
        <v>133</v>
      </c>
      <c r="X17">
        <v>1</v>
      </c>
      <c r="Y17">
        <v>3</v>
      </c>
      <c r="Z17">
        <v>2</v>
      </c>
      <c r="AA17">
        <v>2</v>
      </c>
      <c r="AB17">
        <v>6</v>
      </c>
      <c r="AD17" t="s">
        <v>272</v>
      </c>
      <c r="AE17">
        <v>3</v>
      </c>
      <c r="AF17">
        <v>1</v>
      </c>
      <c r="AG17">
        <v>0</v>
      </c>
      <c r="AH17">
        <v>3</v>
      </c>
      <c r="AI17">
        <v>4</v>
      </c>
      <c r="AM17" t="s">
        <v>127</v>
      </c>
      <c r="AN17">
        <v>15</v>
      </c>
      <c r="AO17">
        <v>22</v>
      </c>
      <c r="AP17">
        <v>0.68181818181818199</v>
      </c>
      <c r="AQ17" t="s">
        <v>230</v>
      </c>
    </row>
    <row r="18" spans="1:43" ht="15" customHeight="1" x14ac:dyDescent="0.2">
      <c r="A18" t="s">
        <v>118</v>
      </c>
      <c r="B18">
        <v>1</v>
      </c>
      <c r="C18">
        <v>0</v>
      </c>
      <c r="D18">
        <v>0</v>
      </c>
      <c r="E18">
        <v>1</v>
      </c>
      <c r="F18">
        <v>1</v>
      </c>
      <c r="H18" t="s">
        <v>175</v>
      </c>
      <c r="I18">
        <v>3</v>
      </c>
      <c r="J18">
        <v>4</v>
      </c>
      <c r="K18">
        <v>1</v>
      </c>
      <c r="L18">
        <v>3.5</v>
      </c>
      <c r="M18">
        <v>8</v>
      </c>
      <c r="Q18" t="s">
        <v>179</v>
      </c>
      <c r="R18">
        <v>3.5</v>
      </c>
      <c r="S18">
        <v>12</v>
      </c>
      <c r="T18">
        <v>0.29166666666666702</v>
      </c>
      <c r="U18" t="s">
        <v>230</v>
      </c>
      <c r="W18" t="s">
        <v>230</v>
      </c>
      <c r="X18">
        <v>3</v>
      </c>
      <c r="Y18">
        <v>1</v>
      </c>
      <c r="Z18">
        <v>1</v>
      </c>
      <c r="AA18">
        <v>3.5</v>
      </c>
      <c r="AB18">
        <v>5</v>
      </c>
      <c r="AD18" t="s">
        <v>227</v>
      </c>
      <c r="AE18">
        <v>2</v>
      </c>
      <c r="AF18">
        <v>0</v>
      </c>
      <c r="AG18">
        <v>0</v>
      </c>
      <c r="AH18">
        <v>2</v>
      </c>
      <c r="AI18">
        <v>2</v>
      </c>
      <c r="AM18" t="s">
        <v>132</v>
      </c>
      <c r="AN18">
        <v>9.5</v>
      </c>
      <c r="AO18">
        <v>22</v>
      </c>
      <c r="AP18">
        <v>0.43181818181818199</v>
      </c>
      <c r="AQ18" t="s">
        <v>230</v>
      </c>
    </row>
    <row r="19" spans="1:43" ht="15" customHeight="1" x14ac:dyDescent="0.2">
      <c r="A19" t="s">
        <v>123</v>
      </c>
      <c r="B19">
        <v>3</v>
      </c>
      <c r="C19">
        <v>3</v>
      </c>
      <c r="D19">
        <v>1</v>
      </c>
      <c r="E19">
        <v>3.5</v>
      </c>
      <c r="F19">
        <v>7</v>
      </c>
      <c r="H19" t="s">
        <v>272</v>
      </c>
      <c r="I19">
        <v>2</v>
      </c>
      <c r="J19">
        <v>2</v>
      </c>
      <c r="K19">
        <v>0</v>
      </c>
      <c r="L19">
        <v>2</v>
      </c>
      <c r="M19">
        <v>4</v>
      </c>
      <c r="W19" t="s">
        <v>130</v>
      </c>
      <c r="X19">
        <v>1</v>
      </c>
      <c r="Y19">
        <v>1</v>
      </c>
      <c r="Z19">
        <v>0</v>
      </c>
      <c r="AA19">
        <v>1</v>
      </c>
      <c r="AB19">
        <v>2</v>
      </c>
      <c r="AD19" t="s">
        <v>1282</v>
      </c>
      <c r="AE19">
        <v>24</v>
      </c>
      <c r="AF19">
        <v>28</v>
      </c>
      <c r="AG19">
        <v>4</v>
      </c>
      <c r="AM19" t="s">
        <v>130</v>
      </c>
      <c r="AN19">
        <v>2.5</v>
      </c>
      <c r="AO19">
        <v>6</v>
      </c>
      <c r="AP19">
        <v>0.41666666666666702</v>
      </c>
      <c r="AQ19" t="s">
        <v>230</v>
      </c>
    </row>
    <row r="20" spans="1:43" ht="15" customHeight="1" x14ac:dyDescent="0.2">
      <c r="A20" t="s">
        <v>129</v>
      </c>
      <c r="B20">
        <v>1</v>
      </c>
      <c r="C20">
        <v>3</v>
      </c>
      <c r="D20">
        <v>1</v>
      </c>
      <c r="E20">
        <v>1.5</v>
      </c>
      <c r="F20">
        <v>5</v>
      </c>
      <c r="H20" t="s">
        <v>227</v>
      </c>
      <c r="I20">
        <v>5</v>
      </c>
      <c r="J20">
        <v>3</v>
      </c>
      <c r="K20">
        <v>0</v>
      </c>
      <c r="L20">
        <v>5</v>
      </c>
      <c r="M20">
        <v>8</v>
      </c>
      <c r="Q20" t="s">
        <v>87</v>
      </c>
      <c r="T20" t="s">
        <v>1283</v>
      </c>
      <c r="W20" t="s">
        <v>135</v>
      </c>
      <c r="X20">
        <v>0</v>
      </c>
      <c r="Y20">
        <v>1</v>
      </c>
      <c r="Z20">
        <v>0</v>
      </c>
      <c r="AA20">
        <v>0</v>
      </c>
      <c r="AB20">
        <v>1</v>
      </c>
      <c r="AD20" t="s">
        <v>720</v>
      </c>
      <c r="AE20">
        <v>55</v>
      </c>
      <c r="AF20">
        <v>61</v>
      </c>
      <c r="AG20">
        <v>12</v>
      </c>
      <c r="AM20" t="s">
        <v>179</v>
      </c>
      <c r="AN20">
        <v>4</v>
      </c>
      <c r="AO20">
        <v>10</v>
      </c>
      <c r="AP20">
        <v>0.4</v>
      </c>
      <c r="AQ20" t="s">
        <v>230</v>
      </c>
    </row>
    <row r="21" spans="1:43" ht="15" customHeight="1" x14ac:dyDescent="0.2">
      <c r="A21" t="s">
        <v>133</v>
      </c>
      <c r="B21">
        <v>4</v>
      </c>
      <c r="C21">
        <v>1</v>
      </c>
      <c r="D21">
        <v>0</v>
      </c>
      <c r="E21">
        <v>4</v>
      </c>
      <c r="F21">
        <v>5</v>
      </c>
      <c r="H21" t="s">
        <v>1282</v>
      </c>
      <c r="I21">
        <v>36</v>
      </c>
      <c r="J21">
        <v>32</v>
      </c>
      <c r="K21">
        <v>4</v>
      </c>
      <c r="L21">
        <v>38</v>
      </c>
      <c r="M21">
        <v>72</v>
      </c>
      <c r="Q21" t="s">
        <v>172</v>
      </c>
      <c r="T21">
        <v>0.56822452465834805</v>
      </c>
      <c r="W21" t="s">
        <v>175</v>
      </c>
      <c r="X21">
        <v>1</v>
      </c>
      <c r="Y21">
        <v>1</v>
      </c>
      <c r="Z21">
        <v>0</v>
      </c>
      <c r="AA21">
        <v>1</v>
      </c>
      <c r="AB21">
        <v>2</v>
      </c>
      <c r="AM21" t="s">
        <v>178</v>
      </c>
      <c r="AN21">
        <v>5</v>
      </c>
      <c r="AO21">
        <v>15</v>
      </c>
      <c r="AP21">
        <v>0.33333333333333298</v>
      </c>
      <c r="AQ21" t="s">
        <v>230</v>
      </c>
    </row>
    <row r="22" spans="1:43" ht="15" customHeight="1" x14ac:dyDescent="0.2">
      <c r="A22" t="s">
        <v>231</v>
      </c>
      <c r="B22">
        <v>3</v>
      </c>
      <c r="C22">
        <v>4</v>
      </c>
      <c r="D22">
        <v>0</v>
      </c>
      <c r="E22">
        <v>3</v>
      </c>
      <c r="F22">
        <v>7</v>
      </c>
      <c r="H22" t="s">
        <v>720</v>
      </c>
      <c r="I22">
        <v>83</v>
      </c>
      <c r="J22">
        <v>77</v>
      </c>
      <c r="K22">
        <v>16</v>
      </c>
      <c r="Q22" t="s">
        <v>230</v>
      </c>
      <c r="T22">
        <v>0.46724214938500702</v>
      </c>
      <c r="W22" t="s">
        <v>272</v>
      </c>
      <c r="X22">
        <v>0</v>
      </c>
      <c r="Y22">
        <v>2</v>
      </c>
      <c r="Z22">
        <v>0</v>
      </c>
      <c r="AA22">
        <v>0</v>
      </c>
      <c r="AB22">
        <v>2</v>
      </c>
      <c r="AM22" t="s">
        <v>272</v>
      </c>
      <c r="AN22">
        <v>3</v>
      </c>
      <c r="AO22">
        <v>6</v>
      </c>
      <c r="AP22">
        <v>0.5</v>
      </c>
      <c r="AQ22" t="s">
        <v>230</v>
      </c>
    </row>
    <row r="23" spans="1:43" ht="15" customHeight="1" x14ac:dyDescent="0.2">
      <c r="A23" t="s">
        <v>230</v>
      </c>
      <c r="B23">
        <v>3</v>
      </c>
      <c r="C23">
        <v>1</v>
      </c>
      <c r="D23">
        <v>0</v>
      </c>
      <c r="E23">
        <v>3</v>
      </c>
      <c r="F23">
        <v>4</v>
      </c>
      <c r="W23" t="s">
        <v>720</v>
      </c>
      <c r="X23">
        <v>55</v>
      </c>
      <c r="Y23">
        <v>61</v>
      </c>
      <c r="Z23">
        <v>12</v>
      </c>
      <c r="AM23" t="s">
        <v>227</v>
      </c>
      <c r="AN23">
        <v>2</v>
      </c>
      <c r="AO23">
        <v>2</v>
      </c>
      <c r="AP23">
        <v>1</v>
      </c>
      <c r="AQ23" t="s">
        <v>230</v>
      </c>
    </row>
    <row r="24" spans="1:43" ht="15" customHeight="1" x14ac:dyDescent="0.2">
      <c r="A24" t="s">
        <v>130</v>
      </c>
      <c r="B24">
        <v>1</v>
      </c>
      <c r="C24">
        <v>0</v>
      </c>
      <c r="D24">
        <v>0</v>
      </c>
      <c r="E24">
        <v>1</v>
      </c>
      <c r="F24">
        <v>1</v>
      </c>
      <c r="AM24" t="s">
        <v>230</v>
      </c>
      <c r="AN24">
        <v>6.5</v>
      </c>
      <c r="AO24">
        <v>13</v>
      </c>
      <c r="AP24">
        <v>0.5</v>
      </c>
      <c r="AQ24" t="s">
        <v>230</v>
      </c>
    </row>
    <row r="25" spans="1:43" ht="15" customHeight="1" x14ac:dyDescent="0.2">
      <c r="A25" t="s">
        <v>135</v>
      </c>
      <c r="B25">
        <v>2</v>
      </c>
      <c r="C25">
        <v>4</v>
      </c>
      <c r="D25">
        <v>0</v>
      </c>
      <c r="E25">
        <v>2</v>
      </c>
      <c r="F25">
        <v>6</v>
      </c>
    </row>
    <row r="26" spans="1:43" ht="15" customHeight="1" x14ac:dyDescent="0.2">
      <c r="A26" t="s">
        <v>175</v>
      </c>
      <c r="B26">
        <v>1</v>
      </c>
      <c r="C26">
        <v>1</v>
      </c>
      <c r="D26">
        <v>0</v>
      </c>
      <c r="E26">
        <v>1</v>
      </c>
      <c r="F26">
        <v>2</v>
      </c>
    </row>
    <row r="27" spans="1:43" ht="15" customHeight="1" x14ac:dyDescent="0.2">
      <c r="A27" t="s">
        <v>272</v>
      </c>
      <c r="B27">
        <v>0</v>
      </c>
      <c r="C27">
        <v>2</v>
      </c>
      <c r="D27">
        <v>0</v>
      </c>
      <c r="E27">
        <v>0</v>
      </c>
      <c r="F27">
        <v>2</v>
      </c>
    </row>
    <row r="28" spans="1:43" ht="15" customHeight="1" x14ac:dyDescent="0.2">
      <c r="A28" t="s">
        <v>227</v>
      </c>
      <c r="B28">
        <v>3</v>
      </c>
      <c r="C28">
        <v>3</v>
      </c>
      <c r="D28">
        <v>1</v>
      </c>
      <c r="E28">
        <v>3.5</v>
      </c>
      <c r="F28">
        <v>7</v>
      </c>
      <c r="Q28" t="s">
        <v>87</v>
      </c>
      <c r="R28" t="s">
        <v>37</v>
      </c>
      <c r="S28" t="s">
        <v>718</v>
      </c>
      <c r="T28" t="s">
        <v>717</v>
      </c>
      <c r="AM28" t="s">
        <v>87</v>
      </c>
      <c r="AN28" t="s">
        <v>37</v>
      </c>
      <c r="AO28" t="s">
        <v>718</v>
      </c>
      <c r="AP28" t="s">
        <v>717</v>
      </c>
    </row>
    <row r="29" spans="1:43" ht="15" customHeight="1" x14ac:dyDescent="0.2">
      <c r="A29" t="s">
        <v>720</v>
      </c>
      <c r="B29">
        <v>83</v>
      </c>
      <c r="C29">
        <v>77</v>
      </c>
      <c r="D29">
        <v>16</v>
      </c>
      <c r="E29">
        <v>91</v>
      </c>
      <c r="F29">
        <v>176</v>
      </c>
      <c r="Q29" t="s">
        <v>172</v>
      </c>
      <c r="R29">
        <v>65</v>
      </c>
      <c r="S29">
        <v>124</v>
      </c>
      <c r="T29">
        <v>0.52419354838709697</v>
      </c>
      <c r="AM29" t="s">
        <v>172</v>
      </c>
      <c r="AP29">
        <v>0.37438446969696998</v>
      </c>
    </row>
    <row r="30" spans="1:43" ht="15" customHeight="1" x14ac:dyDescent="0.2">
      <c r="Q30" t="s">
        <v>230</v>
      </c>
      <c r="R30">
        <v>39.5</v>
      </c>
      <c r="S30">
        <v>72</v>
      </c>
      <c r="T30">
        <v>0.54861111111111105</v>
      </c>
      <c r="AM30" t="s">
        <v>230</v>
      </c>
      <c r="AP30">
        <v>0.54949494949495004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23"/>
  <sheetViews>
    <sheetView zoomScaleNormal="100" workbookViewId="0">
      <selection activeCell="Q13" sqref="Q13"/>
    </sheetView>
  </sheetViews>
  <sheetFormatPr baseColWidth="10" defaultColWidth="8.83203125" defaultRowHeight="15" x14ac:dyDescent="0.2"/>
  <sheetData>
    <row r="1" spans="1:24" ht="1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5" customHeight="1" x14ac:dyDescent="0.2">
      <c r="A2" t="s">
        <v>76</v>
      </c>
      <c r="B2" t="s">
        <v>111</v>
      </c>
      <c r="H2" t="s">
        <v>76</v>
      </c>
      <c r="I2" t="s">
        <v>111</v>
      </c>
      <c r="Q2" t="s">
        <v>1284</v>
      </c>
    </row>
    <row r="3" spans="1:24" ht="15" customHeight="1" x14ac:dyDescent="0.2">
      <c r="R3" t="s">
        <v>1281</v>
      </c>
      <c r="S3" t="s">
        <v>718</v>
      </c>
      <c r="T3" t="s">
        <v>717</v>
      </c>
      <c r="U3" t="s">
        <v>87</v>
      </c>
    </row>
    <row r="4" spans="1:24" ht="15" customHeight="1" x14ac:dyDescent="0.2">
      <c r="B4" t="s">
        <v>722</v>
      </c>
      <c r="C4" t="s">
        <v>1147</v>
      </c>
      <c r="D4" t="s">
        <v>1148</v>
      </c>
      <c r="E4" t="s">
        <v>1153</v>
      </c>
      <c r="F4" t="s">
        <v>718</v>
      </c>
      <c r="I4" t="s">
        <v>722</v>
      </c>
      <c r="J4" t="s">
        <v>1147</v>
      </c>
      <c r="K4" t="s">
        <v>1148</v>
      </c>
      <c r="L4" t="s">
        <v>1153</v>
      </c>
      <c r="M4" t="s">
        <v>718</v>
      </c>
      <c r="Q4" t="s">
        <v>118</v>
      </c>
      <c r="R4">
        <v>8.5</v>
      </c>
      <c r="S4">
        <v>10</v>
      </c>
      <c r="T4">
        <v>0.85</v>
      </c>
      <c r="U4" t="s">
        <v>172</v>
      </c>
    </row>
    <row r="5" spans="1:24" ht="15" customHeight="1" x14ac:dyDescent="0.2">
      <c r="A5" t="s">
        <v>693</v>
      </c>
      <c r="B5">
        <v>2</v>
      </c>
      <c r="C5">
        <v>3</v>
      </c>
      <c r="D5">
        <v>0</v>
      </c>
      <c r="E5">
        <v>2</v>
      </c>
      <c r="F5">
        <v>5</v>
      </c>
      <c r="H5" t="s">
        <v>178</v>
      </c>
      <c r="I5">
        <v>1</v>
      </c>
      <c r="J5">
        <v>0</v>
      </c>
      <c r="K5">
        <v>1</v>
      </c>
      <c r="L5">
        <v>1.5</v>
      </c>
      <c r="M5">
        <v>2</v>
      </c>
      <c r="Q5" t="s">
        <v>119</v>
      </c>
      <c r="R5">
        <v>6.5</v>
      </c>
      <c r="S5">
        <v>10</v>
      </c>
      <c r="T5">
        <v>0.65</v>
      </c>
      <c r="U5" t="s">
        <v>172</v>
      </c>
    </row>
    <row r="6" spans="1:24" ht="15" customHeight="1" x14ac:dyDescent="0.2">
      <c r="A6" t="s">
        <v>179</v>
      </c>
      <c r="B6">
        <v>0</v>
      </c>
      <c r="C6">
        <v>4</v>
      </c>
      <c r="D6">
        <v>1</v>
      </c>
      <c r="E6">
        <v>0.5</v>
      </c>
      <c r="F6">
        <v>5</v>
      </c>
      <c r="H6" t="s">
        <v>127</v>
      </c>
      <c r="I6">
        <v>0</v>
      </c>
      <c r="J6">
        <v>2</v>
      </c>
      <c r="K6">
        <v>0</v>
      </c>
      <c r="L6">
        <v>0</v>
      </c>
      <c r="M6">
        <v>2</v>
      </c>
      <c r="Q6" t="s">
        <v>135</v>
      </c>
      <c r="R6">
        <v>6</v>
      </c>
      <c r="S6">
        <v>10</v>
      </c>
      <c r="T6">
        <v>0.6</v>
      </c>
      <c r="U6" t="s">
        <v>172</v>
      </c>
    </row>
    <row r="7" spans="1:24" ht="15" customHeight="1" x14ac:dyDescent="0.2">
      <c r="A7" t="s">
        <v>1308</v>
      </c>
      <c r="B7">
        <v>8</v>
      </c>
      <c r="C7">
        <v>1</v>
      </c>
      <c r="D7">
        <v>1</v>
      </c>
      <c r="E7">
        <v>8.5</v>
      </c>
      <c r="F7">
        <v>10</v>
      </c>
      <c r="H7" t="s">
        <v>172</v>
      </c>
      <c r="I7">
        <v>0</v>
      </c>
      <c r="J7">
        <v>2</v>
      </c>
      <c r="K7">
        <v>0</v>
      </c>
      <c r="L7">
        <v>0</v>
      </c>
      <c r="M7">
        <v>2</v>
      </c>
      <c r="Q7" t="s">
        <v>123</v>
      </c>
      <c r="R7">
        <v>5</v>
      </c>
      <c r="S7">
        <v>10</v>
      </c>
      <c r="T7">
        <v>0.5</v>
      </c>
      <c r="U7" t="s">
        <v>172</v>
      </c>
    </row>
    <row r="8" spans="1:24" ht="15" customHeight="1" x14ac:dyDescent="0.2">
      <c r="A8" t="s">
        <v>178</v>
      </c>
      <c r="B8">
        <v>1</v>
      </c>
      <c r="C8">
        <v>2</v>
      </c>
      <c r="D8">
        <v>0</v>
      </c>
      <c r="E8">
        <v>1</v>
      </c>
      <c r="F8">
        <v>3</v>
      </c>
      <c r="H8" t="s">
        <v>176</v>
      </c>
      <c r="I8">
        <v>1</v>
      </c>
      <c r="J8">
        <v>0</v>
      </c>
      <c r="K8">
        <v>1</v>
      </c>
      <c r="L8">
        <v>1.5</v>
      </c>
      <c r="M8">
        <v>2</v>
      </c>
      <c r="Q8" t="s">
        <v>693</v>
      </c>
      <c r="R8">
        <v>2</v>
      </c>
      <c r="S8">
        <v>5</v>
      </c>
      <c r="T8">
        <v>0.4</v>
      </c>
      <c r="U8" t="s">
        <v>172</v>
      </c>
    </row>
    <row r="9" spans="1:24" ht="15" customHeight="1" x14ac:dyDescent="0.2">
      <c r="A9" t="s">
        <v>127</v>
      </c>
      <c r="B9">
        <v>5</v>
      </c>
      <c r="C9">
        <v>1</v>
      </c>
      <c r="D9">
        <v>2</v>
      </c>
      <c r="E9">
        <v>6</v>
      </c>
      <c r="F9">
        <v>8</v>
      </c>
      <c r="H9" t="s">
        <v>119</v>
      </c>
      <c r="I9">
        <v>1</v>
      </c>
      <c r="J9">
        <v>1</v>
      </c>
      <c r="K9">
        <v>0</v>
      </c>
      <c r="L9">
        <v>1</v>
      </c>
      <c r="M9">
        <v>2</v>
      </c>
      <c r="Q9" t="s">
        <v>122</v>
      </c>
      <c r="R9">
        <v>3.5</v>
      </c>
      <c r="S9">
        <v>10</v>
      </c>
      <c r="T9">
        <v>0.35</v>
      </c>
      <c r="U9" t="s">
        <v>172</v>
      </c>
    </row>
    <row r="10" spans="1:24" ht="15" customHeight="1" x14ac:dyDescent="0.2">
      <c r="A10" t="s">
        <v>132</v>
      </c>
      <c r="B10">
        <v>2</v>
      </c>
      <c r="C10">
        <v>7</v>
      </c>
      <c r="D10">
        <v>1</v>
      </c>
      <c r="E10">
        <v>2.5</v>
      </c>
      <c r="F10">
        <v>10</v>
      </c>
      <c r="H10" t="s">
        <v>120</v>
      </c>
      <c r="I10">
        <v>4</v>
      </c>
      <c r="J10">
        <v>1</v>
      </c>
      <c r="K10">
        <v>1</v>
      </c>
      <c r="L10">
        <v>4.5</v>
      </c>
      <c r="M10">
        <v>6</v>
      </c>
      <c r="Q10" t="s">
        <v>133</v>
      </c>
      <c r="R10">
        <v>2.5</v>
      </c>
      <c r="S10">
        <v>10</v>
      </c>
      <c r="T10">
        <v>0.25</v>
      </c>
      <c r="U10" t="s">
        <v>172</v>
      </c>
    </row>
    <row r="11" spans="1:24" ht="15" customHeight="1" x14ac:dyDescent="0.2">
      <c r="A11" t="s">
        <v>172</v>
      </c>
      <c r="B11">
        <v>1</v>
      </c>
      <c r="C11">
        <v>2</v>
      </c>
      <c r="D11">
        <v>0</v>
      </c>
      <c r="E11">
        <v>1</v>
      </c>
      <c r="F11">
        <v>3</v>
      </c>
      <c r="H11" t="s">
        <v>122</v>
      </c>
      <c r="I11">
        <v>0</v>
      </c>
      <c r="J11">
        <v>2</v>
      </c>
      <c r="K11">
        <v>0</v>
      </c>
      <c r="L11">
        <v>0</v>
      </c>
      <c r="M11">
        <v>2</v>
      </c>
      <c r="Q11" t="s">
        <v>172</v>
      </c>
      <c r="R11">
        <v>1</v>
      </c>
      <c r="S11">
        <v>5</v>
      </c>
      <c r="T11">
        <v>0.2</v>
      </c>
      <c r="U11" t="s">
        <v>172</v>
      </c>
    </row>
    <row r="12" spans="1:24" ht="15" customHeight="1" x14ac:dyDescent="0.2">
      <c r="A12" t="s">
        <v>176</v>
      </c>
      <c r="B12">
        <v>3</v>
      </c>
      <c r="C12">
        <v>0</v>
      </c>
      <c r="D12">
        <v>0</v>
      </c>
      <c r="E12">
        <v>3</v>
      </c>
      <c r="F12">
        <v>3</v>
      </c>
      <c r="H12" t="s">
        <v>118</v>
      </c>
      <c r="I12">
        <v>7</v>
      </c>
      <c r="J12">
        <v>0</v>
      </c>
      <c r="K12">
        <v>1</v>
      </c>
      <c r="L12">
        <v>7.5</v>
      </c>
      <c r="M12">
        <v>8</v>
      </c>
      <c r="Q12" t="s">
        <v>176</v>
      </c>
      <c r="R12">
        <v>4.5</v>
      </c>
      <c r="S12">
        <v>5</v>
      </c>
      <c r="T12">
        <v>0.9</v>
      </c>
      <c r="U12" t="s">
        <v>230</v>
      </c>
    </row>
    <row r="13" spans="1:24" ht="15" customHeight="1" x14ac:dyDescent="0.2">
      <c r="A13" t="s">
        <v>119</v>
      </c>
      <c r="B13">
        <v>5</v>
      </c>
      <c r="C13">
        <v>2</v>
      </c>
      <c r="D13">
        <v>1</v>
      </c>
      <c r="E13">
        <v>5.5</v>
      </c>
      <c r="F13">
        <v>8</v>
      </c>
      <c r="H13" t="s">
        <v>123</v>
      </c>
      <c r="I13">
        <v>4</v>
      </c>
      <c r="J13">
        <v>3</v>
      </c>
      <c r="K13">
        <v>1</v>
      </c>
      <c r="L13">
        <v>4.5</v>
      </c>
      <c r="M13">
        <v>8</v>
      </c>
      <c r="Q13" t="s">
        <v>1308</v>
      </c>
      <c r="R13">
        <v>8.5</v>
      </c>
      <c r="S13">
        <v>10</v>
      </c>
      <c r="T13">
        <v>0.85</v>
      </c>
      <c r="U13" t="s">
        <v>230</v>
      </c>
    </row>
    <row r="14" spans="1:24" ht="15" customHeight="1" x14ac:dyDescent="0.2">
      <c r="A14" t="s">
        <v>120</v>
      </c>
      <c r="B14">
        <v>0</v>
      </c>
      <c r="C14">
        <v>3</v>
      </c>
      <c r="D14">
        <v>1</v>
      </c>
      <c r="E14">
        <v>0.5</v>
      </c>
      <c r="F14">
        <v>4</v>
      </c>
      <c r="H14" t="s">
        <v>133</v>
      </c>
      <c r="I14">
        <v>0</v>
      </c>
      <c r="J14">
        <v>5</v>
      </c>
      <c r="K14">
        <v>1</v>
      </c>
      <c r="L14">
        <v>0.5</v>
      </c>
      <c r="M14">
        <v>6</v>
      </c>
      <c r="Q14" t="s">
        <v>127</v>
      </c>
      <c r="R14">
        <v>6</v>
      </c>
      <c r="S14">
        <v>10</v>
      </c>
      <c r="T14">
        <v>0.6</v>
      </c>
      <c r="U14" t="s">
        <v>230</v>
      </c>
    </row>
    <row r="15" spans="1:24" ht="15" customHeight="1" x14ac:dyDescent="0.2">
      <c r="A15" t="s">
        <v>122</v>
      </c>
      <c r="B15">
        <v>3</v>
      </c>
      <c r="C15">
        <v>4</v>
      </c>
      <c r="D15">
        <v>1</v>
      </c>
      <c r="E15">
        <v>3.5</v>
      </c>
      <c r="F15">
        <v>8</v>
      </c>
      <c r="H15" t="s">
        <v>130</v>
      </c>
      <c r="I15">
        <v>1</v>
      </c>
      <c r="J15">
        <v>2</v>
      </c>
      <c r="K15">
        <v>1</v>
      </c>
      <c r="L15">
        <v>1.5</v>
      </c>
      <c r="M15">
        <v>4</v>
      </c>
      <c r="Q15" t="s">
        <v>178</v>
      </c>
      <c r="R15">
        <v>2.5</v>
      </c>
      <c r="S15">
        <v>5</v>
      </c>
      <c r="T15">
        <v>0.5</v>
      </c>
      <c r="U15" t="s">
        <v>230</v>
      </c>
    </row>
    <row r="16" spans="1:24" ht="15" customHeight="1" x14ac:dyDescent="0.2">
      <c r="A16" t="s">
        <v>118</v>
      </c>
      <c r="B16">
        <v>1</v>
      </c>
      <c r="C16">
        <v>1</v>
      </c>
      <c r="D16">
        <v>0</v>
      </c>
      <c r="E16">
        <v>1</v>
      </c>
      <c r="F16">
        <v>2</v>
      </c>
      <c r="H16" t="s">
        <v>135</v>
      </c>
      <c r="I16">
        <v>5</v>
      </c>
      <c r="J16">
        <v>3</v>
      </c>
      <c r="K16">
        <v>0</v>
      </c>
      <c r="L16">
        <v>5</v>
      </c>
      <c r="M16">
        <v>8</v>
      </c>
      <c r="Q16" t="s">
        <v>130</v>
      </c>
      <c r="R16">
        <v>2.5</v>
      </c>
      <c r="S16">
        <v>5</v>
      </c>
      <c r="T16">
        <v>0.5</v>
      </c>
      <c r="U16" t="s">
        <v>230</v>
      </c>
    </row>
    <row r="17" spans="1:24" ht="15" customHeight="1" x14ac:dyDescent="0.2">
      <c r="A17" t="s">
        <v>123</v>
      </c>
      <c r="B17">
        <v>0</v>
      </c>
      <c r="C17">
        <v>1</v>
      </c>
      <c r="D17">
        <v>1</v>
      </c>
      <c r="E17">
        <v>0.5</v>
      </c>
      <c r="F17">
        <v>2</v>
      </c>
      <c r="H17" t="s">
        <v>175</v>
      </c>
      <c r="I17">
        <v>0</v>
      </c>
      <c r="J17">
        <v>3</v>
      </c>
      <c r="K17">
        <v>1</v>
      </c>
      <c r="L17">
        <v>0.5</v>
      </c>
      <c r="M17">
        <v>4</v>
      </c>
      <c r="Q17" t="s">
        <v>132</v>
      </c>
      <c r="R17">
        <v>2.5</v>
      </c>
      <c r="S17">
        <v>10</v>
      </c>
      <c r="T17">
        <v>0.25</v>
      </c>
      <c r="U17" t="s">
        <v>230</v>
      </c>
    </row>
    <row r="18" spans="1:24" ht="15" customHeight="1" x14ac:dyDescent="0.2">
      <c r="A18" t="s">
        <v>129</v>
      </c>
      <c r="B18">
        <v>1</v>
      </c>
      <c r="C18">
        <v>3</v>
      </c>
      <c r="D18">
        <v>1</v>
      </c>
      <c r="E18">
        <v>1.5</v>
      </c>
      <c r="F18">
        <v>5</v>
      </c>
      <c r="H18" t="s">
        <v>1282</v>
      </c>
      <c r="I18">
        <v>13</v>
      </c>
      <c r="J18">
        <v>13</v>
      </c>
      <c r="K18">
        <v>2</v>
      </c>
      <c r="Q18" t="s">
        <v>179</v>
      </c>
      <c r="R18">
        <v>0.5</v>
      </c>
      <c r="S18">
        <v>5</v>
      </c>
      <c r="T18">
        <v>0.1</v>
      </c>
      <c r="U18" t="s">
        <v>230</v>
      </c>
    </row>
    <row r="19" spans="1:24" ht="15" customHeight="1" x14ac:dyDescent="0.2">
      <c r="A19" t="s">
        <v>133</v>
      </c>
      <c r="B19">
        <v>2</v>
      </c>
      <c r="C19">
        <v>2</v>
      </c>
      <c r="D19">
        <v>0</v>
      </c>
      <c r="E19">
        <v>2</v>
      </c>
      <c r="F19">
        <v>4</v>
      </c>
      <c r="H19" t="s">
        <v>720</v>
      </c>
      <c r="I19">
        <v>37</v>
      </c>
      <c r="J19">
        <v>37</v>
      </c>
      <c r="K19">
        <v>10</v>
      </c>
    </row>
    <row r="20" spans="1:24" ht="15" customHeight="1" x14ac:dyDescent="0.2">
      <c r="A20" t="s">
        <v>130</v>
      </c>
      <c r="B20">
        <v>1</v>
      </c>
      <c r="C20">
        <v>0</v>
      </c>
      <c r="D20">
        <v>0</v>
      </c>
      <c r="E20">
        <v>1</v>
      </c>
      <c r="F20">
        <v>1</v>
      </c>
      <c r="Q20" t="s">
        <v>87</v>
      </c>
      <c r="R20" t="s">
        <v>37</v>
      </c>
      <c r="S20" t="s">
        <v>718</v>
      </c>
      <c r="T20" t="s">
        <v>717</v>
      </c>
    </row>
    <row r="21" spans="1:24" ht="15" customHeight="1" x14ac:dyDescent="0.2">
      <c r="A21" t="s">
        <v>135</v>
      </c>
      <c r="B21">
        <v>1</v>
      </c>
      <c r="C21">
        <v>1</v>
      </c>
      <c r="D21">
        <v>0</v>
      </c>
      <c r="E21">
        <v>1</v>
      </c>
      <c r="F21">
        <v>2</v>
      </c>
      <c r="Q21" t="s">
        <v>172</v>
      </c>
      <c r="R21">
        <v>35</v>
      </c>
      <c r="S21">
        <v>70</v>
      </c>
      <c r="T21">
        <v>0.5</v>
      </c>
      <c r="X21">
        <v>0.5</v>
      </c>
    </row>
    <row r="22" spans="1:24" ht="15" customHeight="1" x14ac:dyDescent="0.2">
      <c r="A22" t="s">
        <v>175</v>
      </c>
      <c r="B22">
        <v>1</v>
      </c>
      <c r="C22">
        <v>0</v>
      </c>
      <c r="D22">
        <v>0</v>
      </c>
      <c r="E22">
        <v>1</v>
      </c>
      <c r="F22">
        <v>1</v>
      </c>
      <c r="Q22" t="s">
        <v>230</v>
      </c>
      <c r="R22">
        <v>27</v>
      </c>
      <c r="S22">
        <v>50</v>
      </c>
      <c r="T22">
        <v>0.54</v>
      </c>
      <c r="X22">
        <v>0.54</v>
      </c>
    </row>
    <row r="23" spans="1:24" ht="15" customHeight="1" x14ac:dyDescent="0.2">
      <c r="A23" t="s">
        <v>720</v>
      </c>
      <c r="B23">
        <v>37</v>
      </c>
      <c r="C23">
        <v>37</v>
      </c>
      <c r="D23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B1:I17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/>
  <cols>
    <col min="1" max="1" width="2.5" customWidth="1"/>
    <col min="2" max="3" width="7" customWidth="1"/>
    <col min="4" max="5" width="11" customWidth="1"/>
    <col min="6" max="6" width="26" customWidth="1"/>
    <col min="7" max="7" width="11" customWidth="1"/>
    <col min="8" max="8" width="7" customWidth="1"/>
    <col min="9" max="9" width="60" customWidth="1"/>
  </cols>
  <sheetData>
    <row r="1" spans="2:9">
      <c r="B1" s="6" t="inlineStr">
        <is>
          <t xml:space="preserve">Cup Info</t>
        </is>
      </c>
    </row>
    <row r="2" spans="2:9">
      <c r="B2" s="29" t="inlineStr">
        <is>
          <t xml:space="preserve">One row per cup — manual entry. Dates are the match days recorded in Archives. Rain = it rained during the cup (per-cup, not per-round). Add a row after each FBC.</t>
        </is>
      </c>
    </row>
    <row r="4" spans="2:9">
      <c r="B4" s="30" t="inlineStr">
        <is>
          <t xml:space="preserve">FBC</t>
        </is>
      </c>
      <c r="C4" s="30" t="inlineStr">
        <is>
          <t xml:space="preserve">Year</t>
        </is>
      </c>
      <c r="D4" s="30" t="inlineStr">
        <is>
          <t xml:space="preserve">Start</t>
        </is>
      </c>
      <c r="E4" s="30" t="inlineStr">
        <is>
          <t xml:space="preserve">End</t>
        </is>
      </c>
      <c r="F4" s="30" t="inlineStr">
        <is>
          <t xml:space="preserve">Location</t>
        </is>
      </c>
      <c r="G4" s="30" t="inlineStr">
        <is>
          <t xml:space="preserve">Region</t>
        </is>
      </c>
      <c r="H4" s="30" t="inlineStr">
        <is>
          <t xml:space="preserve">Rain</t>
        </is>
      </c>
      <c r="I4" s="30" t="inlineStr">
        <is>
          <t xml:space="preserve">Notes</t>
        </is>
      </c>
    </row>
    <row r="5" spans="2:9">
      <c r="B5" s="40">
        <v>1</v>
      </c>
      <c r="C5" s="40">
        <v>2013</v>
      </c>
      <c r="D5" s="95">
        <v>41447</v>
      </c>
      <c r="E5" s="95">
        <v>41448</v>
      </c>
      <c r="F5" s="31" t="inlineStr">
        <is>
          <t xml:space="preserve">Saratoga, NY</t>
        </is>
      </c>
      <c r="G5" s="31" t="inlineStr">
        <is>
          <t xml:space="preserve">Northeast</t>
        </is>
      </c>
      <c r="H5" s="40" t="inlineStr">
        <is>
          <t xml:space="preserve">No</t>
        </is>
      </c>
      <c r="I5" s="31"/>
    </row>
    <row r="6" spans="2:9">
      <c r="B6" s="40">
        <v>2</v>
      </c>
      <c r="C6" s="40">
        <v>2014</v>
      </c>
      <c r="D6" s="95">
        <v>41797</v>
      </c>
      <c r="E6" s="95">
        <v>41798</v>
      </c>
      <c r="F6" s="31" t="inlineStr">
        <is>
          <t xml:space="preserve">Verona, NY (Turning Stone)</t>
        </is>
      </c>
      <c r="G6" s="31" t="inlineStr">
        <is>
          <t xml:space="preserve">Northeast</t>
        </is>
      </c>
      <c r="H6" s="40" t="inlineStr">
        <is>
          <t xml:space="preserve">No</t>
        </is>
      </c>
      <c r="I6" s="31"/>
    </row>
    <row r="7" spans="2:9">
      <c r="B7" s="40">
        <v>3</v>
      </c>
      <c r="C7" s="40">
        <v>2015</v>
      </c>
      <c r="D7" s="95">
        <v>42168</v>
      </c>
      <c r="E7" s="95">
        <v>42169</v>
      </c>
      <c r="F7" s="31" t="inlineStr">
        <is>
          <t xml:space="preserve">Sea Island, GA</t>
        </is>
      </c>
      <c r="G7" s="31" t="inlineStr">
        <is>
          <t xml:space="preserve">South</t>
        </is>
      </c>
      <c r="H7" s="40" t="inlineStr">
        <is>
          <t xml:space="preserve">No</t>
        </is>
      </c>
      <c r="I7" s="31"/>
    </row>
    <row r="8" spans="2:9">
      <c r="B8" s="40">
        <v>4</v>
      </c>
      <c r="C8" s="40">
        <v>2016</v>
      </c>
      <c r="D8" s="95">
        <v>42573</v>
      </c>
      <c r="E8" s="95">
        <v>42574</v>
      </c>
      <c r="F8" s="31" t="inlineStr">
        <is>
          <t xml:space="preserve">French Lick, IN</t>
        </is>
      </c>
      <c r="G8" s="31" t="inlineStr">
        <is>
          <t xml:space="preserve">Midwest</t>
        </is>
      </c>
      <c r="H8" s="40" t="inlineStr">
        <is>
          <t xml:space="preserve">Yes</t>
        </is>
      </c>
      <c r="I8" s="31"/>
    </row>
    <row r="9" spans="2:9">
      <c r="B9" s="40">
        <v>5</v>
      </c>
      <c r="C9" s="40">
        <v>2017</v>
      </c>
      <c r="D9" s="95">
        <v>42937</v>
      </c>
      <c r="E9" s="95">
        <v>42938</v>
      </c>
      <c r="F9" s="31" t="inlineStr">
        <is>
          <t xml:space="preserve">Hilton Head, SC</t>
        </is>
      </c>
      <c r="G9" s="31" t="inlineStr">
        <is>
          <t xml:space="preserve">South</t>
        </is>
      </c>
      <c r="H9" s="40" t="inlineStr">
        <is>
          <t xml:space="preserve">No</t>
        </is>
      </c>
      <c r="I9" s="31"/>
    </row>
    <row r="10" spans="2:9">
      <c r="B10" s="40">
        <v>6</v>
      </c>
      <c r="C10" s="40">
        <v>2018</v>
      </c>
      <c r="D10" s="95">
        <v>43308</v>
      </c>
      <c r="E10" s="95">
        <v>43309</v>
      </c>
      <c r="F10" s="31" t="inlineStr">
        <is>
          <t xml:space="preserve">Arcadia, MI</t>
        </is>
      </c>
      <c r="G10" s="31" t="inlineStr">
        <is>
          <t xml:space="preserve">Midwest</t>
        </is>
      </c>
      <c r="H10" s="40" t="inlineStr">
        <is>
          <t xml:space="preserve">No</t>
        </is>
      </c>
      <c r="I10" s="31"/>
    </row>
    <row r="11" spans="2:9">
      <c r="B11" s="40">
        <v>7</v>
      </c>
      <c r="C11" s="40">
        <v>2019</v>
      </c>
      <c r="D11" s="95">
        <v>43685</v>
      </c>
      <c r="E11" s="95">
        <v>43687</v>
      </c>
      <c r="F11" s="31" t="inlineStr">
        <is>
          <t xml:space="preserve">Monterey, CA</t>
        </is>
      </c>
      <c r="G11" s="31" t="inlineStr">
        <is>
          <t xml:space="preserve">West</t>
        </is>
      </c>
      <c r="H11" s="40" t="inlineStr">
        <is>
          <t xml:space="preserve">No</t>
        </is>
      </c>
      <c r="I11" s="31"/>
    </row>
    <row r="12" spans="2:9">
      <c r="B12" s="40">
        <v>8</v>
      </c>
      <c r="C12" s="40">
        <v>2021</v>
      </c>
      <c r="D12" s="95">
        <v>44414</v>
      </c>
      <c r="E12" s="95">
        <v>44414</v>
      </c>
      <c r="F12" s="31" t="inlineStr">
        <is>
          <t xml:space="preserve">Nekoosa, WI</t>
        </is>
      </c>
      <c r="G12" s="31" t="inlineStr">
        <is>
          <t xml:space="preserve">Midwest</t>
        </is>
      </c>
      <c r="H12" s="40" t="inlineStr">
        <is>
          <t xml:space="preserve">Yes</t>
        </is>
      </c>
      <c r="I12" s="31" t="inlineStr">
        <is>
          <t xml:space="preserve">Singles rained out; played later at other courses on different dates (last at Old Barnwell, 2026).</t>
        </is>
      </c>
    </row>
    <row r="13" spans="2:9">
      <c r="B13" s="40">
        <v>9</v>
      </c>
      <c r="C13" s="40">
        <v>2022</v>
      </c>
      <c r="D13" s="95">
        <v>44757</v>
      </c>
      <c r="E13" s="95">
        <v>44758</v>
      </c>
      <c r="F13" s="31" t="inlineStr">
        <is>
          <t xml:space="preserve">Sea Island, GA</t>
        </is>
      </c>
      <c r="G13" s="31" t="inlineStr">
        <is>
          <t xml:space="preserve">South</t>
        </is>
      </c>
      <c r="H13" s="40" t="inlineStr">
        <is>
          <t xml:space="preserve">No</t>
        </is>
      </c>
      <c r="I13" s="31"/>
    </row>
    <row r="14" spans="2:9">
      <c r="B14" s="40">
        <v>10</v>
      </c>
      <c r="C14" s="40">
        <v>2023</v>
      </c>
      <c r="D14" s="95">
        <v>45141</v>
      </c>
      <c r="E14" s="95">
        <v>45143</v>
      </c>
      <c r="F14" s="31" t="inlineStr">
        <is>
          <t xml:space="preserve">Dublin, IE</t>
        </is>
      </c>
      <c r="G14" s="31" t="inlineStr">
        <is>
          <t xml:space="preserve">Europe</t>
        </is>
      </c>
      <c r="H14" s="40" t="inlineStr">
        <is>
          <t xml:space="preserve">Yes</t>
        </is>
      </c>
      <c r="I14" s="31"/>
    </row>
    <row r="15" spans="2:9">
      <c r="B15" s="40">
        <v>11</v>
      </c>
      <c r="C15" s="40">
        <v>2024</v>
      </c>
      <c r="D15" s="95">
        <v>45583</v>
      </c>
      <c r="E15" s="95">
        <v>45584</v>
      </c>
      <c r="F15" s="31" t="inlineStr">
        <is>
          <t xml:space="preserve">Pinehurst, NC</t>
        </is>
      </c>
      <c r="G15" s="31" t="inlineStr">
        <is>
          <t xml:space="preserve">South</t>
        </is>
      </c>
      <c r="H15" s="40" t="inlineStr">
        <is>
          <t xml:space="preserve">No</t>
        </is>
      </c>
      <c r="I15" s="31"/>
    </row>
    <row r="16" spans="2:9">
      <c r="B16" s="40">
        <v>12</v>
      </c>
      <c r="C16" s="40">
        <v>2025</v>
      </c>
      <c r="D16" s="95">
        <v>45876</v>
      </c>
      <c r="E16" s="95">
        <v>45878</v>
      </c>
      <c r="F16" s="31" t="inlineStr">
        <is>
          <t xml:space="preserve">Killarney, IE</t>
        </is>
      </c>
      <c r="G16" s="31" t="inlineStr">
        <is>
          <t xml:space="preserve">Europe</t>
        </is>
      </c>
      <c r="H16" s="40" t="inlineStr">
        <is>
          <t xml:space="preserve">Yes</t>
        </is>
      </c>
      <c r="I16" s="31"/>
    </row>
    <row r="17" spans="2:9">
      <c r="B17" s="40">
        <v>13</v>
      </c>
      <c r="C17" s="40">
        <v>2026</v>
      </c>
      <c r="D17" s="95">
        <v>46297</v>
      </c>
      <c r="E17" s="95">
        <v>46298</v>
      </c>
      <c r="F17" s="31" t="inlineStr">
        <is>
          <t xml:space="preserve">Frisco, TX</t>
        </is>
      </c>
      <c r="G17" s="31" t="inlineStr">
        <is>
          <t xml:space="preserve">South</t>
        </is>
      </c>
      <c r="H17" s="40" t="inlineStr">
        <is>
          <t xml:space="preserve">Yes</t>
        </is>
      </c>
      <c r="I17" s="31"/>
    </row>
  </sheetData>
  <dataValidations count="1">
    <dataValidation type="list" allowBlank="1" showErrorMessage="1" sqref="H5:H60">
      <formula1>"Yes,No"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76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8" customWidth="1"/>
    <col min="3" max="3" width="18" customWidth="1"/>
    <col min="4" max="4" width="12" customWidth="1"/>
    <col min="5" max="5" width="7" customWidth="1"/>
    <col min="6" max="6" width="9" customWidth="1"/>
    <col min="7" max="7" width="10" customWidth="1"/>
    <col min="8" max="8" width="12" customWidth="1"/>
    <col min="9" max="9" width="12" customWidth="1"/>
    <col min="10" max="10" width="12" customWidth="1"/>
    <col min="11" max="11" width="12" customWidth="1"/>
    <col min="12" max="12" width="11" customWidth="1"/>
    <col min="13" max="13" width="11" customWidth="1"/>
    <col min="14" max="14" width="11" customWidth="1"/>
    <col min="15" max="15" width="9" customWidth="1"/>
    <col min="16" max="16" width="10" customWidth="1"/>
    <col min="17" max="17" width="10" customWidth="1"/>
    <col min="18" max="18" width="44" customWidth="1"/>
  </cols>
  <sheetData>
    <row r="1" spans="1:18">
      <c r="A1" s="30" t="inlineStr">
        <is>
          <t xml:space="preserve">FBC</t>
        </is>
      </c>
      <c r="B1" s="30" t="inlineStr">
        <is>
          <t xml:space="preserve">UniqueMatchID</t>
        </is>
      </c>
      <c r="C1" s="30" t="inlineStr">
        <is>
          <t xml:space="preserve">Format</t>
        </is>
      </c>
      <c r="D1" s="30" t="inlineStr">
        <is>
          <t xml:space="preserve">Format Group</t>
        </is>
      </c>
      <c r="E1" s="30" t="inlineStr">
        <is>
          <t xml:space="preserve">Holes</t>
        </is>
      </c>
      <c r="F1" s="30" t="inlineStr">
        <is>
          <t xml:space="preserve">Points at Stake</t>
        </is>
      </c>
      <c r="G1" s="30" t="inlineStr">
        <is>
          <t xml:space="preserve">Team</t>
        </is>
      </c>
      <c r="H1" s="30" t="inlineStr">
        <is>
          <t xml:space="preserve">Player 1</t>
        </is>
      </c>
      <c r="I1" s="30" t="inlineStr">
        <is>
          <t xml:space="preserve">Player 2</t>
        </is>
      </c>
      <c r="J1" s="30" t="inlineStr">
        <is>
          <t xml:space="preserve">Opponent 1</t>
        </is>
      </c>
      <c r="K1" s="30" t="inlineStr">
        <is>
          <t xml:space="preserve">Opponent 2</t>
        </is>
      </c>
      <c r="L1" s="30" t="inlineStr">
        <is>
          <t xml:space="preserve">Strokes Received (18)</t>
        </is>
      </c>
      <c r="M1" s="30" t="inlineStr">
        <is>
          <t xml:space="preserve">Strokes Received (Match)</t>
        </is>
      </c>
      <c r="N1" s="30" t="inlineStr">
        <is>
          <t xml:space="preserve">Stroke Status</t>
        </is>
      </c>
      <c r="O1" s="30" t="inlineStr">
        <is>
          <t xml:space="preserve">Points Earned</t>
        </is>
      </c>
      <c r="P1" s="30" t="inlineStr">
        <is>
          <t xml:space="preserve">Expected Points</t>
        </is>
      </c>
      <c r="Q1" s="30" t="inlineStr">
        <is>
          <t xml:space="preserve">Points vs Expected</t>
        </is>
      </c>
      <c r="R1" s="30" t="inlineStr">
        <is>
          <t xml:space="preserve">Stroke Source</t>
        </is>
      </c>
    </row>
    <row r="2" spans="1:18">
      <c r="A2" s="40">
        <v>1</v>
      </c>
      <c r="B2" s="31" t="inlineStr">
        <is>
          <t xml:space="preserve">FBC1-D1</t>
        </is>
      </c>
      <c r="C2" s="31" t="inlineStr">
        <is>
          <t xml:space="preserve">Best Ball</t>
        </is>
      </c>
      <c r="D2" s="31" t="inlineStr">
        <is>
          <t xml:space="preserve">Four-ball</t>
        </is>
      </c>
      <c r="E2" s="40">
        <v>9</v>
      </c>
      <c r="F2" s="42">
        <v>1</v>
      </c>
      <c r="G2" s="31" t="inlineStr">
        <is>
          <t xml:space="preserve">Jackson</t>
        </is>
      </c>
      <c r="H2" s="31" t="inlineStr">
        <is>
          <t xml:space="preserve">Grise</t>
        </is>
      </c>
      <c r="I2" s="31" t="inlineStr">
        <is>
          <t xml:space="preserve">Hickerson</t>
        </is>
      </c>
      <c r="J2" s="31" t="inlineStr">
        <is>
          <t xml:space="preserve">Hilts</t>
        </is>
      </c>
      <c r="K2" s="31" t="inlineStr">
        <is>
          <t xml:space="preserve">Lynch</t>
        </is>
      </c>
      <c r="L2" s="42">
        <v>-1.73</v>
      </c>
      <c r="M2" s="42">
        <v>-0.86</v>
      </c>
      <c r="N2" s="31" t="inlineStr">
        <is>
          <t xml:space="preserve">Giving</t>
        </is>
      </c>
      <c r="O2" s="42">
        <v>1</v>
      </c>
      <c r="P2" s="42">
        <v>0.575</v>
      </c>
      <c r="Q2" s="42">
        <v>0.425</v>
      </c>
      <c r="R2" s="31" t="inlineStr">
        <is>
          <t xml:space="preserve">Index x slope (Handicaps tab)</t>
        </is>
      </c>
    </row>
    <row r="3" spans="1:18">
      <c r="A3" s="43">
        <v>1</v>
      </c>
      <c r="B3" s="34" t="inlineStr">
        <is>
          <t xml:space="preserve">FBC1-D1</t>
        </is>
      </c>
      <c r="C3" s="34" t="inlineStr">
        <is>
          <t xml:space="preserve">Best Ball</t>
        </is>
      </c>
      <c r="D3" s="34" t="inlineStr">
        <is>
          <t xml:space="preserve">Four-ball</t>
        </is>
      </c>
      <c r="E3" s="43">
        <v>9</v>
      </c>
      <c r="F3" s="45">
        <v>1</v>
      </c>
      <c r="G3" s="34" t="inlineStr">
        <is>
          <t xml:space="preserve">Hilts</t>
        </is>
      </c>
      <c r="H3" s="34" t="inlineStr">
        <is>
          <t xml:space="preserve">Hilts</t>
        </is>
      </c>
      <c r="I3" s="34" t="inlineStr">
        <is>
          <t xml:space="preserve">Lynch</t>
        </is>
      </c>
      <c r="J3" s="34" t="inlineStr">
        <is>
          <t xml:space="preserve">Grise</t>
        </is>
      </c>
      <c r="K3" s="34" t="inlineStr">
        <is>
          <t xml:space="preserve">Hickerson</t>
        </is>
      </c>
      <c r="L3" s="45">
        <v>1.73</v>
      </c>
      <c r="M3" s="45">
        <v>0.86</v>
      </c>
      <c r="N3" s="34" t="inlineStr">
        <is>
          <t xml:space="preserve">Getting</t>
        </is>
      </c>
      <c r="O3" s="45">
        <v>0</v>
      </c>
      <c r="P3" s="45">
        <v>0.425</v>
      </c>
      <c r="Q3" s="45">
        <v>-0.425</v>
      </c>
      <c r="R3" s="34" t="inlineStr">
        <is>
          <t xml:space="preserve">Index x slope (Handicaps tab)</t>
        </is>
      </c>
    </row>
    <row r="4" spans="1:18">
      <c r="A4" s="40">
        <v>1</v>
      </c>
      <c r="B4" s="31" t="inlineStr">
        <is>
          <t xml:space="preserve">FBC1-D2</t>
        </is>
      </c>
      <c r="C4" s="31" t="inlineStr">
        <is>
          <t xml:space="preserve">Best Ball</t>
        </is>
      </c>
      <c r="D4" s="31" t="inlineStr">
        <is>
          <t xml:space="preserve">Four-ball</t>
        </is>
      </c>
      <c r="E4" s="40">
        <v>9</v>
      </c>
      <c r="F4" s="42">
        <v>1</v>
      </c>
      <c r="G4" s="31" t="inlineStr">
        <is>
          <t xml:space="preserve">Jackson</t>
        </is>
      </c>
      <c r="H4" s="31" t="inlineStr">
        <is>
          <t xml:space="preserve">Ferrin</t>
        </is>
      </c>
      <c r="I4" s="31" t="inlineStr">
        <is>
          <t xml:space="preserve">Jackson</t>
        </is>
      </c>
      <c r="J4" s="31" t="inlineStr">
        <is>
          <t xml:space="preserve">Macklin</t>
        </is>
      </c>
      <c r="K4" s="31" t="inlineStr">
        <is>
          <t xml:space="preserve">Poirier</t>
        </is>
      </c>
      <c r="L4" s="42">
        <v>10.35</v>
      </c>
      <c r="M4" s="42">
        <v>5.18</v>
      </c>
      <c r="N4" s="31" t="inlineStr">
        <is>
          <t xml:space="preserve">Getting</t>
        </is>
      </c>
      <c r="O4" s="42">
        <v>1</v>
      </c>
      <c r="P4" s="42">
        <v>0.453</v>
      </c>
      <c r="Q4" s="42">
        <v>0.547</v>
      </c>
      <c r="R4" s="31" t="inlineStr">
        <is>
          <t xml:space="preserve">Index x slope (Handicaps tab)</t>
        </is>
      </c>
    </row>
    <row r="5" spans="1:18">
      <c r="A5" s="43">
        <v>1</v>
      </c>
      <c r="B5" s="34" t="inlineStr">
        <is>
          <t xml:space="preserve">FBC1-D2</t>
        </is>
      </c>
      <c r="C5" s="34" t="inlineStr">
        <is>
          <t xml:space="preserve">Best Ball</t>
        </is>
      </c>
      <c r="D5" s="34" t="inlineStr">
        <is>
          <t xml:space="preserve">Four-ball</t>
        </is>
      </c>
      <c r="E5" s="43">
        <v>9</v>
      </c>
      <c r="F5" s="45">
        <v>1</v>
      </c>
      <c r="G5" s="34" t="inlineStr">
        <is>
          <t xml:space="preserve">Hilts</t>
        </is>
      </c>
      <c r="H5" s="34" t="inlineStr">
        <is>
          <t xml:space="preserve">Macklin</t>
        </is>
      </c>
      <c r="I5" s="34" t="inlineStr">
        <is>
          <t xml:space="preserve">Poirier</t>
        </is>
      </c>
      <c r="J5" s="34" t="inlineStr">
        <is>
          <t xml:space="preserve">Ferrin</t>
        </is>
      </c>
      <c r="K5" s="34" t="inlineStr">
        <is>
          <t xml:space="preserve">Jackson</t>
        </is>
      </c>
      <c r="L5" s="45">
        <v>-10.35</v>
      </c>
      <c r="M5" s="45">
        <v>-5.18</v>
      </c>
      <c r="N5" s="34" t="inlineStr">
        <is>
          <t xml:space="preserve">Giving</t>
        </is>
      </c>
      <c r="O5" s="45">
        <v>0</v>
      </c>
      <c r="P5" s="45">
        <v>0.547</v>
      </c>
      <c r="Q5" s="45">
        <v>-0.547</v>
      </c>
      <c r="R5" s="34" t="inlineStr">
        <is>
          <t xml:space="preserve">Index x slope (Handicaps tab)</t>
        </is>
      </c>
    </row>
    <row r="6" spans="1:18">
      <c r="A6" s="40">
        <v>1</v>
      </c>
      <c r="B6" s="31" t="inlineStr">
        <is>
          <t xml:space="preserve">FBC1-D3</t>
        </is>
      </c>
      <c r="C6" s="31" t="inlineStr">
        <is>
          <t xml:space="preserve">Best Ball</t>
        </is>
      </c>
      <c r="D6" s="31" t="inlineStr">
        <is>
          <t xml:space="preserve">Four-ball</t>
        </is>
      </c>
      <c r="E6" s="40">
        <v>9</v>
      </c>
      <c r="F6" s="42">
        <v>1</v>
      </c>
      <c r="G6" s="31" t="inlineStr">
        <is>
          <t xml:space="preserve">Jackson</t>
        </is>
      </c>
      <c r="H6" s="31" t="inlineStr">
        <is>
          <t xml:space="preserve">Flanders</t>
        </is>
      </c>
      <c r="I6" s="31" t="inlineStr">
        <is>
          <t xml:space="preserve">Mangold</t>
        </is>
      </c>
      <c r="J6" s="31" t="inlineStr">
        <is>
          <t xml:space="preserve">Connolly</t>
        </is>
      </c>
      <c r="K6" s="31" t="inlineStr">
        <is>
          <t xml:space="preserve">Shively</t>
        </is>
      </c>
      <c r="L6" s="42">
        <v>-8.63</v>
      </c>
      <c r="M6" s="42">
        <v>-4.31</v>
      </c>
      <c r="N6" s="31" t="inlineStr">
        <is>
          <t xml:space="preserve">Giving</t>
        </is>
      </c>
      <c r="O6" s="42">
        <v>0</v>
      </c>
      <c r="P6" s="42">
        <v>0.553</v>
      </c>
      <c r="Q6" s="42">
        <v>-0.553</v>
      </c>
      <c r="R6" s="31" t="inlineStr">
        <is>
          <t xml:space="preserve">Index x slope (Handicaps tab)</t>
        </is>
      </c>
    </row>
    <row r="7" spans="1:18">
      <c r="A7" s="43">
        <v>1</v>
      </c>
      <c r="B7" s="34" t="inlineStr">
        <is>
          <t xml:space="preserve">FBC1-D3</t>
        </is>
      </c>
      <c r="C7" s="34" t="inlineStr">
        <is>
          <t xml:space="preserve">Best Ball</t>
        </is>
      </c>
      <c r="D7" s="34" t="inlineStr">
        <is>
          <t xml:space="preserve">Four-ball</t>
        </is>
      </c>
      <c r="E7" s="43">
        <v>9</v>
      </c>
      <c r="F7" s="45">
        <v>1</v>
      </c>
      <c r="G7" s="34" t="inlineStr">
        <is>
          <t xml:space="preserve">Hilts</t>
        </is>
      </c>
      <c r="H7" s="34" t="inlineStr">
        <is>
          <t xml:space="preserve">Connolly</t>
        </is>
      </c>
      <c r="I7" s="34" t="inlineStr">
        <is>
          <t xml:space="preserve">Shively</t>
        </is>
      </c>
      <c r="J7" s="34" t="inlineStr">
        <is>
          <t xml:space="preserve">Flanders</t>
        </is>
      </c>
      <c r="K7" s="34" t="inlineStr">
        <is>
          <t xml:space="preserve">Mangold</t>
        </is>
      </c>
      <c r="L7" s="45">
        <v>8.63</v>
      </c>
      <c r="M7" s="45">
        <v>4.31</v>
      </c>
      <c r="N7" s="34" t="inlineStr">
        <is>
          <t xml:space="preserve">Getting</t>
        </is>
      </c>
      <c r="O7" s="45">
        <v>1</v>
      </c>
      <c r="P7" s="45">
        <v>0.447</v>
      </c>
      <c r="Q7" s="45">
        <v>0.553</v>
      </c>
      <c r="R7" s="34" t="inlineStr">
        <is>
          <t xml:space="preserve">Index x slope (Handicaps tab)</t>
        </is>
      </c>
    </row>
    <row r="8" spans="1:18">
      <c r="A8" s="40">
        <v>1</v>
      </c>
      <c r="B8" s="31" t="inlineStr">
        <is>
          <t xml:space="preserve">FBC1-D4</t>
        </is>
      </c>
      <c r="C8" s="31" t="inlineStr">
        <is>
          <t xml:space="preserve">Scramble</t>
        </is>
      </c>
      <c r="D8" s="31" t="inlineStr">
        <is>
          <t xml:space="preserve">Scramble</t>
        </is>
      </c>
      <c r="E8" s="40">
        <v>9</v>
      </c>
      <c r="F8" s="42">
        <v>1</v>
      </c>
      <c r="G8" s="31" t="inlineStr">
        <is>
          <t xml:space="preserve">Jackson</t>
        </is>
      </c>
      <c r="H8" s="31" t="inlineStr">
        <is>
          <t xml:space="preserve">Grise</t>
        </is>
      </c>
      <c r="I8" s="31" t="inlineStr">
        <is>
          <t xml:space="preserve">Hickerson</t>
        </is>
      </c>
      <c r="J8" s="31" t="inlineStr">
        <is>
          <t xml:space="preserve">Hilts</t>
        </is>
      </c>
      <c r="K8" s="31" t="inlineStr">
        <is>
          <t xml:space="preserve">Lynch</t>
        </is>
      </c>
      <c r="L8" s="42">
        <v>0</v>
      </c>
      <c r="M8" s="42">
        <v>0</v>
      </c>
      <c r="N8" s="31" t="inlineStr">
        <is>
          <t xml:space="preserve">Even</t>
        </is>
      </c>
      <c r="O8" s="42">
        <v>0.5</v>
      </c>
      <c r="P8" s="42">
        <v>0.5</v>
      </c>
      <c r="Q8" s="42">
        <v>0</v>
      </c>
      <c r="R8" s="31" t="inlineStr">
        <is>
          <t xml:space="preserve">Index x slope (Handicaps tab)</t>
        </is>
      </c>
    </row>
    <row r="9" spans="1:18">
      <c r="A9" s="43">
        <v>1</v>
      </c>
      <c r="B9" s="34" t="inlineStr">
        <is>
          <t xml:space="preserve">FBC1-D4</t>
        </is>
      </c>
      <c r="C9" s="34" t="inlineStr">
        <is>
          <t xml:space="preserve">Scramble</t>
        </is>
      </c>
      <c r="D9" s="34" t="inlineStr">
        <is>
          <t xml:space="preserve">Scramble</t>
        </is>
      </c>
      <c r="E9" s="43">
        <v>9</v>
      </c>
      <c r="F9" s="45">
        <v>1</v>
      </c>
      <c r="G9" s="34" t="inlineStr">
        <is>
          <t xml:space="preserve">Hilts</t>
        </is>
      </c>
      <c r="H9" s="34" t="inlineStr">
        <is>
          <t xml:space="preserve">Hilts</t>
        </is>
      </c>
      <c r="I9" s="34" t="inlineStr">
        <is>
          <t xml:space="preserve">Lynch</t>
        </is>
      </c>
      <c r="J9" s="34" t="inlineStr">
        <is>
          <t xml:space="preserve">Grise</t>
        </is>
      </c>
      <c r="K9" s="34" t="inlineStr">
        <is>
          <t xml:space="preserve">Hickerson</t>
        </is>
      </c>
      <c r="L9" s="45">
        <v>0</v>
      </c>
      <c r="M9" s="45">
        <v>0</v>
      </c>
      <c r="N9" s="34" t="inlineStr">
        <is>
          <t xml:space="preserve">Even</t>
        </is>
      </c>
      <c r="O9" s="45">
        <v>0.5</v>
      </c>
      <c r="P9" s="45">
        <v>0.5</v>
      </c>
      <c r="Q9" s="45">
        <v>0</v>
      </c>
      <c r="R9" s="34" t="inlineStr">
        <is>
          <t xml:space="preserve">Index x slope (Handicaps tab)</t>
        </is>
      </c>
    </row>
    <row r="10" spans="1:18">
      <c r="A10" s="40">
        <v>1</v>
      </c>
      <c r="B10" s="31" t="inlineStr">
        <is>
          <t xml:space="preserve">FBC1-D5</t>
        </is>
      </c>
      <c r="C10" s="31" t="inlineStr">
        <is>
          <t xml:space="preserve">Scramble</t>
        </is>
      </c>
      <c r="D10" s="31" t="inlineStr">
        <is>
          <t xml:space="preserve">Scramble</t>
        </is>
      </c>
      <c r="E10" s="40">
        <v>9</v>
      </c>
      <c r="F10" s="42">
        <v>1</v>
      </c>
      <c r="G10" s="31" t="inlineStr">
        <is>
          <t xml:space="preserve">Jackson</t>
        </is>
      </c>
      <c r="H10" s="31" t="inlineStr">
        <is>
          <t xml:space="preserve">Ferrin</t>
        </is>
      </c>
      <c r="I10" s="31" t="inlineStr">
        <is>
          <t xml:space="preserve">Jackson</t>
        </is>
      </c>
      <c r="J10" s="31" t="inlineStr">
        <is>
          <t xml:space="preserve">Macklin</t>
        </is>
      </c>
      <c r="K10" s="31" t="inlineStr">
        <is>
          <t xml:space="preserve">Poirier</t>
        </is>
      </c>
      <c r="L10" s="42">
        <v>0</v>
      </c>
      <c r="M10" s="42">
        <v>0</v>
      </c>
      <c r="N10" s="31" t="inlineStr">
        <is>
          <t xml:space="preserve">Even</t>
        </is>
      </c>
      <c r="O10" s="42">
        <v>0.5</v>
      </c>
      <c r="P10" s="42">
        <v>0.5</v>
      </c>
      <c r="Q10" s="42">
        <v>0</v>
      </c>
      <c r="R10" s="31" t="inlineStr">
        <is>
          <t xml:space="preserve">Index x slope (Handicaps tab)</t>
        </is>
      </c>
    </row>
    <row r="11" spans="1:18">
      <c r="A11" s="43">
        <v>1</v>
      </c>
      <c r="B11" s="34" t="inlineStr">
        <is>
          <t xml:space="preserve">FBC1-D5</t>
        </is>
      </c>
      <c r="C11" s="34" t="inlineStr">
        <is>
          <t xml:space="preserve">Scramble</t>
        </is>
      </c>
      <c r="D11" s="34" t="inlineStr">
        <is>
          <t xml:space="preserve">Scramble</t>
        </is>
      </c>
      <c r="E11" s="43">
        <v>9</v>
      </c>
      <c r="F11" s="45">
        <v>1</v>
      </c>
      <c r="G11" s="34" t="inlineStr">
        <is>
          <t xml:space="preserve">Hilts</t>
        </is>
      </c>
      <c r="H11" s="34" t="inlineStr">
        <is>
          <t xml:space="preserve">Macklin</t>
        </is>
      </c>
      <c r="I11" s="34" t="inlineStr">
        <is>
          <t xml:space="preserve">Poirier</t>
        </is>
      </c>
      <c r="J11" s="34" t="inlineStr">
        <is>
          <t xml:space="preserve">Ferrin</t>
        </is>
      </c>
      <c r="K11" s="34" t="inlineStr">
        <is>
          <t xml:space="preserve">Jackson</t>
        </is>
      </c>
      <c r="L11" s="45">
        <v>0</v>
      </c>
      <c r="M11" s="45">
        <v>0</v>
      </c>
      <c r="N11" s="34" t="inlineStr">
        <is>
          <t xml:space="preserve">Even</t>
        </is>
      </c>
      <c r="O11" s="45">
        <v>0.5</v>
      </c>
      <c r="P11" s="45">
        <v>0.5</v>
      </c>
      <c r="Q11" s="45">
        <v>0</v>
      </c>
      <c r="R11" s="34" t="inlineStr">
        <is>
          <t xml:space="preserve">Index x slope (Handicaps tab)</t>
        </is>
      </c>
    </row>
    <row r="12" spans="1:18">
      <c r="A12" s="40">
        <v>1</v>
      </c>
      <c r="B12" s="31" t="inlineStr">
        <is>
          <t xml:space="preserve">FBC1-D6</t>
        </is>
      </c>
      <c r="C12" s="31" t="inlineStr">
        <is>
          <t xml:space="preserve">Scramble</t>
        </is>
      </c>
      <c r="D12" s="31" t="inlineStr">
        <is>
          <t xml:space="preserve">Scramble</t>
        </is>
      </c>
      <c r="E12" s="40">
        <v>9</v>
      </c>
      <c r="F12" s="42">
        <v>1</v>
      </c>
      <c r="G12" s="31" t="inlineStr">
        <is>
          <t xml:space="preserve">Jackson</t>
        </is>
      </c>
      <c r="H12" s="31" t="inlineStr">
        <is>
          <t xml:space="preserve">Flanders</t>
        </is>
      </c>
      <c r="I12" s="31" t="inlineStr">
        <is>
          <t xml:space="preserve">Mangold</t>
        </is>
      </c>
      <c r="J12" s="31" t="inlineStr">
        <is>
          <t xml:space="preserve">Connolly</t>
        </is>
      </c>
      <c r="K12" s="31" t="inlineStr">
        <is>
          <t xml:space="preserve">Shively</t>
        </is>
      </c>
      <c r="L12" s="42">
        <v>0</v>
      </c>
      <c r="M12" s="42">
        <v>0</v>
      </c>
      <c r="N12" s="31" t="inlineStr">
        <is>
          <t xml:space="preserve">Even</t>
        </is>
      </c>
      <c r="O12" s="42">
        <v>0</v>
      </c>
      <c r="P12" s="42">
        <v>0.5</v>
      </c>
      <c r="Q12" s="42">
        <v>-0.5</v>
      </c>
      <c r="R12" s="31" t="inlineStr">
        <is>
          <t xml:space="preserve">Index x slope (Handicaps tab)</t>
        </is>
      </c>
    </row>
    <row r="13" spans="1:18">
      <c r="A13" s="43">
        <v>1</v>
      </c>
      <c r="B13" s="34" t="inlineStr">
        <is>
          <t xml:space="preserve">FBC1-D6</t>
        </is>
      </c>
      <c r="C13" s="34" t="inlineStr">
        <is>
          <t xml:space="preserve">Scramble</t>
        </is>
      </c>
      <c r="D13" s="34" t="inlineStr">
        <is>
          <t xml:space="preserve">Scramble</t>
        </is>
      </c>
      <c r="E13" s="43">
        <v>9</v>
      </c>
      <c r="F13" s="45">
        <v>1</v>
      </c>
      <c r="G13" s="34" t="inlineStr">
        <is>
          <t xml:space="preserve">Hilts</t>
        </is>
      </c>
      <c r="H13" s="34" t="inlineStr">
        <is>
          <t xml:space="preserve">Connolly</t>
        </is>
      </c>
      <c r="I13" s="34" t="inlineStr">
        <is>
          <t xml:space="preserve">Shively</t>
        </is>
      </c>
      <c r="J13" s="34" t="inlineStr">
        <is>
          <t xml:space="preserve">Flanders</t>
        </is>
      </c>
      <c r="K13" s="34" t="inlineStr">
        <is>
          <t xml:space="preserve">Mangold</t>
        </is>
      </c>
      <c r="L13" s="45">
        <v>0</v>
      </c>
      <c r="M13" s="45">
        <v>0</v>
      </c>
      <c r="N13" s="34" t="inlineStr">
        <is>
          <t xml:space="preserve">Even</t>
        </is>
      </c>
      <c r="O13" s="45">
        <v>1</v>
      </c>
      <c r="P13" s="45">
        <v>0.5</v>
      </c>
      <c r="Q13" s="45">
        <v>0.5</v>
      </c>
      <c r="R13" s="34" t="inlineStr">
        <is>
          <t xml:space="preserve">Index x slope (Handicaps tab)</t>
        </is>
      </c>
    </row>
    <row r="14" spans="1:18">
      <c r="A14" s="40">
        <v>1</v>
      </c>
      <c r="B14" s="31" t="inlineStr">
        <is>
          <t xml:space="preserve">FBC1-D7</t>
        </is>
      </c>
      <c r="C14" s="31" t="inlineStr">
        <is>
          <t xml:space="preserve">Pinehurst</t>
        </is>
      </c>
      <c r="D14" s="31" t="inlineStr">
        <is>
          <t xml:space="preserve">Pinehurst</t>
        </is>
      </c>
      <c r="E14" s="40">
        <v>9</v>
      </c>
      <c r="F14" s="42">
        <v>1</v>
      </c>
      <c r="G14" s="31" t="inlineStr">
        <is>
          <t xml:space="preserve">Hilts</t>
        </is>
      </c>
      <c r="H14" s="31" t="inlineStr">
        <is>
          <t xml:space="preserve">Macklin</t>
        </is>
      </c>
      <c r="I14" s="31" t="inlineStr">
        <is>
          <t xml:space="preserve">Poirier</t>
        </is>
      </c>
      <c r="J14" s="31" t="inlineStr">
        <is>
          <t xml:space="preserve">Grise</t>
        </is>
      </c>
      <c r="K14" s="31" t="inlineStr">
        <is>
          <t xml:space="preserve">Hickerson</t>
        </is>
      </c>
      <c r="L14" s="42">
        <v>-5.75</v>
      </c>
      <c r="M14" s="42">
        <v>-2.88</v>
      </c>
      <c r="N14" s="31" t="inlineStr">
        <is>
          <t xml:space="preserve">Giving</t>
        </is>
      </c>
      <c r="O14" s="42">
        <v>1</v>
      </c>
      <c r="P14" s="42">
        <v>0.531</v>
      </c>
      <c r="Q14" s="42">
        <v>0.469</v>
      </c>
      <c r="R14" s="31" t="inlineStr">
        <is>
          <t xml:space="preserve">Index x slope (Handicaps tab)</t>
        </is>
      </c>
    </row>
    <row r="15" spans="1:18">
      <c r="A15" s="43">
        <v>1</v>
      </c>
      <c r="B15" s="34" t="inlineStr">
        <is>
          <t xml:space="preserve">FBC1-D7</t>
        </is>
      </c>
      <c r="C15" s="34" t="inlineStr">
        <is>
          <t xml:space="preserve">Pinehurst</t>
        </is>
      </c>
      <c r="D15" s="34" t="inlineStr">
        <is>
          <t xml:space="preserve">Pinehurst</t>
        </is>
      </c>
      <c r="E15" s="43">
        <v>9</v>
      </c>
      <c r="F15" s="45">
        <v>1</v>
      </c>
      <c r="G15" s="34" t="inlineStr">
        <is>
          <t xml:space="preserve">Jackson</t>
        </is>
      </c>
      <c r="H15" s="34" t="inlineStr">
        <is>
          <t xml:space="preserve">Grise</t>
        </is>
      </c>
      <c r="I15" s="34" t="inlineStr">
        <is>
          <t xml:space="preserve">Hickerson</t>
        </is>
      </c>
      <c r="J15" s="34" t="inlineStr">
        <is>
          <t xml:space="preserve">Macklin</t>
        </is>
      </c>
      <c r="K15" s="34" t="inlineStr">
        <is>
          <t xml:space="preserve">Poirier</t>
        </is>
      </c>
      <c r="L15" s="45">
        <v>5.75</v>
      </c>
      <c r="M15" s="45">
        <v>2.88</v>
      </c>
      <c r="N15" s="34" t="inlineStr">
        <is>
          <t xml:space="preserve">Getting</t>
        </is>
      </c>
      <c r="O15" s="45">
        <v>0</v>
      </c>
      <c r="P15" s="45">
        <v>0.469</v>
      </c>
      <c r="Q15" s="45">
        <v>-0.469</v>
      </c>
      <c r="R15" s="34" t="inlineStr">
        <is>
          <t xml:space="preserve">Index x slope (Handicaps tab)</t>
        </is>
      </c>
    </row>
    <row r="16" spans="1:18">
      <c r="A16" s="40">
        <v>1</v>
      </c>
      <c r="B16" s="31" t="inlineStr">
        <is>
          <t xml:space="preserve">FBC1-D8</t>
        </is>
      </c>
      <c r="C16" s="31" t="inlineStr">
        <is>
          <t xml:space="preserve">Pinehurst</t>
        </is>
      </c>
      <c r="D16" s="31" t="inlineStr">
        <is>
          <t xml:space="preserve">Pinehurst</t>
        </is>
      </c>
      <c r="E16" s="40">
        <v>9</v>
      </c>
      <c r="F16" s="42">
        <v>1</v>
      </c>
      <c r="G16" s="31" t="inlineStr">
        <is>
          <t xml:space="preserve">Hilts</t>
        </is>
      </c>
      <c r="H16" s="31" t="inlineStr">
        <is>
          <t xml:space="preserve">Hilts</t>
        </is>
      </c>
      <c r="I16" s="31" t="inlineStr">
        <is>
          <t xml:space="preserve">Lynch</t>
        </is>
      </c>
      <c r="J16" s="31" t="inlineStr">
        <is>
          <t xml:space="preserve">Ferrin</t>
        </is>
      </c>
      <c r="K16" s="31" t="inlineStr">
        <is>
          <t xml:space="preserve">Jackson</t>
        </is>
      </c>
      <c r="L16" s="42">
        <v>-1.61</v>
      </c>
      <c r="M16" s="42">
        <v>-0.81</v>
      </c>
      <c r="N16" s="31" t="inlineStr">
        <is>
          <t xml:space="preserve">Giving</t>
        </is>
      </c>
      <c r="O16" s="42">
        <v>0</v>
      </c>
      <c r="P16" s="42">
        <v>0.567</v>
      </c>
      <c r="Q16" s="42">
        <v>-0.567</v>
      </c>
      <c r="R16" s="31" t="inlineStr">
        <is>
          <t xml:space="preserve">Index x slope (Handicaps tab)</t>
        </is>
      </c>
    </row>
    <row r="17" spans="1:18">
      <c r="A17" s="43">
        <v>1</v>
      </c>
      <c r="B17" s="34" t="inlineStr">
        <is>
          <t xml:space="preserve">FBC1-D8</t>
        </is>
      </c>
      <c r="C17" s="34" t="inlineStr">
        <is>
          <t xml:space="preserve">Pinehurst</t>
        </is>
      </c>
      <c r="D17" s="34" t="inlineStr">
        <is>
          <t xml:space="preserve">Pinehurst</t>
        </is>
      </c>
      <c r="E17" s="43">
        <v>9</v>
      </c>
      <c r="F17" s="45">
        <v>1</v>
      </c>
      <c r="G17" s="34" t="inlineStr">
        <is>
          <t xml:space="preserve">Jackson</t>
        </is>
      </c>
      <c r="H17" s="34" t="inlineStr">
        <is>
          <t xml:space="preserve">Ferrin</t>
        </is>
      </c>
      <c r="I17" s="34" t="inlineStr">
        <is>
          <t xml:space="preserve">Jackson</t>
        </is>
      </c>
      <c r="J17" s="34" t="inlineStr">
        <is>
          <t xml:space="preserve">Hilts</t>
        </is>
      </c>
      <c r="K17" s="34" t="inlineStr">
        <is>
          <t xml:space="preserve">Lynch</t>
        </is>
      </c>
      <c r="L17" s="45">
        <v>1.61</v>
      </c>
      <c r="M17" s="45">
        <v>0.81</v>
      </c>
      <c r="N17" s="34" t="inlineStr">
        <is>
          <t xml:space="preserve">Getting</t>
        </is>
      </c>
      <c r="O17" s="45">
        <v>1</v>
      </c>
      <c r="P17" s="45">
        <v>0.433</v>
      </c>
      <c r="Q17" s="45">
        <v>0.567</v>
      </c>
      <c r="R17" s="34" t="inlineStr">
        <is>
          <t xml:space="preserve">Index x slope (Handicaps tab)</t>
        </is>
      </c>
    </row>
    <row r="18" spans="1:18">
      <c r="A18" s="40">
        <v>1</v>
      </c>
      <c r="B18" s="31" t="inlineStr">
        <is>
          <t xml:space="preserve">FBC1-D9</t>
        </is>
      </c>
      <c r="C18" s="31" t="inlineStr">
        <is>
          <t xml:space="preserve">Pinehurst</t>
        </is>
      </c>
      <c r="D18" s="31" t="inlineStr">
        <is>
          <t xml:space="preserve">Pinehurst</t>
        </is>
      </c>
      <c r="E18" s="40">
        <v>9</v>
      </c>
      <c r="F18" s="42">
        <v>1</v>
      </c>
      <c r="G18" s="31" t="inlineStr">
        <is>
          <t xml:space="preserve">Hilts</t>
        </is>
      </c>
      <c r="H18" s="31" t="inlineStr">
        <is>
          <t xml:space="preserve">Connolly</t>
        </is>
      </c>
      <c r="I18" s="31" t="inlineStr">
        <is>
          <t xml:space="preserve">Shively</t>
        </is>
      </c>
      <c r="J18" s="31" t="inlineStr">
        <is>
          <t xml:space="preserve">Flanders</t>
        </is>
      </c>
      <c r="K18" s="31" t="inlineStr">
        <is>
          <t xml:space="preserve">Mangold</t>
        </is>
      </c>
      <c r="L18" s="42">
        <v>6.9</v>
      </c>
      <c r="M18" s="42">
        <v>3.45</v>
      </c>
      <c r="N18" s="31" t="inlineStr">
        <is>
          <t xml:space="preserve">Getting</t>
        </is>
      </c>
      <c r="O18" s="42">
        <v>1</v>
      </c>
      <c r="P18" s="42">
        <v>0.478</v>
      </c>
      <c r="Q18" s="42">
        <v>0.522</v>
      </c>
      <c r="R18" s="31" t="inlineStr">
        <is>
          <t xml:space="preserve">Index x slope (Handicaps tab)</t>
        </is>
      </c>
    </row>
    <row r="19" spans="1:18">
      <c r="A19" s="43">
        <v>1</v>
      </c>
      <c r="B19" s="34" t="inlineStr">
        <is>
          <t xml:space="preserve">FBC1-D9</t>
        </is>
      </c>
      <c r="C19" s="34" t="inlineStr">
        <is>
          <t xml:space="preserve">Pinehurst</t>
        </is>
      </c>
      <c r="D19" s="34" t="inlineStr">
        <is>
          <t xml:space="preserve">Pinehurst</t>
        </is>
      </c>
      <c r="E19" s="43">
        <v>9</v>
      </c>
      <c r="F19" s="45">
        <v>1</v>
      </c>
      <c r="G19" s="34" t="inlineStr">
        <is>
          <t xml:space="preserve">Jackson</t>
        </is>
      </c>
      <c r="H19" s="34" t="inlineStr">
        <is>
          <t xml:space="preserve">Flanders</t>
        </is>
      </c>
      <c r="I19" s="34" t="inlineStr">
        <is>
          <t xml:space="preserve">Mangold</t>
        </is>
      </c>
      <c r="J19" s="34" t="inlineStr">
        <is>
          <t xml:space="preserve">Connolly</t>
        </is>
      </c>
      <c r="K19" s="34" t="inlineStr">
        <is>
          <t xml:space="preserve">Shively</t>
        </is>
      </c>
      <c r="L19" s="45">
        <v>-6.9</v>
      </c>
      <c r="M19" s="45">
        <v>-3.45</v>
      </c>
      <c r="N19" s="34" t="inlineStr">
        <is>
          <t xml:space="preserve">Giving</t>
        </is>
      </c>
      <c r="O19" s="45">
        <v>0</v>
      </c>
      <c r="P19" s="45">
        <v>0.522</v>
      </c>
      <c r="Q19" s="45">
        <v>-0.522</v>
      </c>
      <c r="R19" s="34" t="inlineStr">
        <is>
          <t xml:space="preserve">Index x slope (Handicaps tab)</t>
        </is>
      </c>
    </row>
    <row r="20" spans="1:18">
      <c r="A20" s="40">
        <v>1</v>
      </c>
      <c r="B20" s="31" t="inlineStr">
        <is>
          <t xml:space="preserve">FBC1-D10</t>
        </is>
      </c>
      <c r="C20" s="31" t="inlineStr">
        <is>
          <t xml:space="preserve">Best Ball</t>
        </is>
      </c>
      <c r="D20" s="31" t="inlineStr">
        <is>
          <t xml:space="preserve">Four-ball</t>
        </is>
      </c>
      <c r="E20" s="40">
        <v>9</v>
      </c>
      <c r="F20" s="42">
        <v>1</v>
      </c>
      <c r="G20" s="31" t="inlineStr">
        <is>
          <t xml:space="preserve">Hilts</t>
        </is>
      </c>
      <c r="H20" s="31" t="inlineStr">
        <is>
          <t xml:space="preserve">Macklin</t>
        </is>
      </c>
      <c r="I20" s="31" t="inlineStr">
        <is>
          <t xml:space="preserve">Poirier</t>
        </is>
      </c>
      <c r="J20" s="31" t="inlineStr">
        <is>
          <t xml:space="preserve">Grise</t>
        </is>
      </c>
      <c r="K20" s="31" t="inlineStr">
        <is>
          <t xml:space="preserve">Hickerson</t>
        </is>
      </c>
      <c r="L20" s="42">
        <v>-5.75</v>
      </c>
      <c r="M20" s="42">
        <v>-2.88</v>
      </c>
      <c r="N20" s="31" t="inlineStr">
        <is>
          <t xml:space="preserve">Giving</t>
        </is>
      </c>
      <c r="O20" s="42">
        <v>0</v>
      </c>
      <c r="P20" s="42">
        <v>0.562</v>
      </c>
      <c r="Q20" s="42">
        <v>-0.562</v>
      </c>
      <c r="R20" s="31" t="inlineStr">
        <is>
          <t xml:space="preserve">Index x slope (Handicaps tab)</t>
        </is>
      </c>
    </row>
    <row r="21" spans="1:18">
      <c r="A21" s="43">
        <v>1</v>
      </c>
      <c r="B21" s="34" t="inlineStr">
        <is>
          <t xml:space="preserve">FBC1-D10</t>
        </is>
      </c>
      <c r="C21" s="34" t="inlineStr">
        <is>
          <t xml:space="preserve">Best Ball</t>
        </is>
      </c>
      <c r="D21" s="34" t="inlineStr">
        <is>
          <t xml:space="preserve">Four-ball</t>
        </is>
      </c>
      <c r="E21" s="43">
        <v>9</v>
      </c>
      <c r="F21" s="45">
        <v>1</v>
      </c>
      <c r="G21" s="34" t="inlineStr">
        <is>
          <t xml:space="preserve">Jackson</t>
        </is>
      </c>
      <c r="H21" s="34" t="inlineStr">
        <is>
          <t xml:space="preserve">Grise</t>
        </is>
      </c>
      <c r="I21" s="34" t="inlineStr">
        <is>
          <t xml:space="preserve">Hickerson</t>
        </is>
      </c>
      <c r="J21" s="34" t="inlineStr">
        <is>
          <t xml:space="preserve">Macklin</t>
        </is>
      </c>
      <c r="K21" s="34" t="inlineStr">
        <is>
          <t xml:space="preserve">Poirier</t>
        </is>
      </c>
      <c r="L21" s="45">
        <v>5.75</v>
      </c>
      <c r="M21" s="45">
        <v>2.88</v>
      </c>
      <c r="N21" s="34" t="inlineStr">
        <is>
          <t xml:space="preserve">Getting</t>
        </is>
      </c>
      <c r="O21" s="45">
        <v>1</v>
      </c>
      <c r="P21" s="45">
        <v>0.438</v>
      </c>
      <c r="Q21" s="45">
        <v>0.562</v>
      </c>
      <c r="R21" s="34" t="inlineStr">
        <is>
          <t xml:space="preserve">Index x slope (Handicaps tab)</t>
        </is>
      </c>
    </row>
    <row r="22" spans="1:18">
      <c r="A22" s="40">
        <v>1</v>
      </c>
      <c r="B22" s="31" t="inlineStr">
        <is>
          <t xml:space="preserve">FBC1-D11</t>
        </is>
      </c>
      <c r="C22" s="31" t="inlineStr">
        <is>
          <t xml:space="preserve">Best Ball</t>
        </is>
      </c>
      <c r="D22" s="31" t="inlineStr">
        <is>
          <t xml:space="preserve">Four-ball</t>
        </is>
      </c>
      <c r="E22" s="40">
        <v>9</v>
      </c>
      <c r="F22" s="42">
        <v>1</v>
      </c>
      <c r="G22" s="31" t="inlineStr">
        <is>
          <t xml:space="preserve">Hilts</t>
        </is>
      </c>
      <c r="H22" s="31" t="inlineStr">
        <is>
          <t xml:space="preserve">Hilts</t>
        </is>
      </c>
      <c r="I22" s="31" t="inlineStr">
        <is>
          <t xml:space="preserve">Lynch</t>
        </is>
      </c>
      <c r="J22" s="31" t="inlineStr">
        <is>
          <t xml:space="preserve">Ferrin</t>
        </is>
      </c>
      <c r="K22" s="31" t="inlineStr">
        <is>
          <t xml:space="preserve">Jackson</t>
        </is>
      </c>
      <c r="L22" s="42">
        <v>-2.88</v>
      </c>
      <c r="M22" s="42">
        <v>-1.44</v>
      </c>
      <c r="N22" s="31" t="inlineStr">
        <is>
          <t xml:space="preserve">Giving</t>
        </is>
      </c>
      <c r="O22" s="42">
        <v>0</v>
      </c>
      <c r="P22" s="42">
        <v>0.571</v>
      </c>
      <c r="Q22" s="42">
        <v>-0.571</v>
      </c>
      <c r="R22" s="31" t="inlineStr">
        <is>
          <t xml:space="preserve">Index x slope (Handicaps tab)</t>
        </is>
      </c>
    </row>
    <row r="23" spans="1:18">
      <c r="A23" s="43">
        <v>1</v>
      </c>
      <c r="B23" s="34" t="inlineStr">
        <is>
          <t xml:space="preserve">FBC1-D11</t>
        </is>
      </c>
      <c r="C23" s="34" t="inlineStr">
        <is>
          <t xml:space="preserve">Best Ball</t>
        </is>
      </c>
      <c r="D23" s="34" t="inlineStr">
        <is>
          <t xml:space="preserve">Four-ball</t>
        </is>
      </c>
      <c r="E23" s="43">
        <v>9</v>
      </c>
      <c r="F23" s="45">
        <v>1</v>
      </c>
      <c r="G23" s="34" t="inlineStr">
        <is>
          <t xml:space="preserve">Jackson</t>
        </is>
      </c>
      <c r="H23" s="34" t="inlineStr">
        <is>
          <t xml:space="preserve">Ferrin</t>
        </is>
      </c>
      <c r="I23" s="34" t="inlineStr">
        <is>
          <t xml:space="preserve">Jackson</t>
        </is>
      </c>
      <c r="J23" s="34" t="inlineStr">
        <is>
          <t xml:space="preserve">Hilts</t>
        </is>
      </c>
      <c r="K23" s="34" t="inlineStr">
        <is>
          <t xml:space="preserve">Lynch</t>
        </is>
      </c>
      <c r="L23" s="45">
        <v>2.88</v>
      </c>
      <c r="M23" s="45">
        <v>1.44</v>
      </c>
      <c r="N23" s="34" t="inlineStr">
        <is>
          <t xml:space="preserve">Getting</t>
        </is>
      </c>
      <c r="O23" s="45">
        <v>1</v>
      </c>
      <c r="P23" s="45">
        <v>0.429</v>
      </c>
      <c r="Q23" s="45">
        <v>0.571</v>
      </c>
      <c r="R23" s="34" t="inlineStr">
        <is>
          <t xml:space="preserve">Index x slope (Handicaps tab)</t>
        </is>
      </c>
    </row>
    <row r="24" spans="1:18">
      <c r="A24" s="40">
        <v>1</v>
      </c>
      <c r="B24" s="31" t="inlineStr">
        <is>
          <t xml:space="preserve">FBC1-D12</t>
        </is>
      </c>
      <c r="C24" s="31" t="inlineStr">
        <is>
          <t xml:space="preserve">Best Ball</t>
        </is>
      </c>
      <c r="D24" s="31" t="inlineStr">
        <is>
          <t xml:space="preserve">Four-ball</t>
        </is>
      </c>
      <c r="E24" s="40">
        <v>9</v>
      </c>
      <c r="F24" s="42">
        <v>1</v>
      </c>
      <c r="G24" s="31" t="inlineStr">
        <is>
          <t xml:space="preserve">Hilts</t>
        </is>
      </c>
      <c r="H24" s="31" t="inlineStr">
        <is>
          <t xml:space="preserve">Connolly</t>
        </is>
      </c>
      <c r="I24" s="31" t="inlineStr">
        <is>
          <t xml:space="preserve">Shively</t>
        </is>
      </c>
      <c r="J24" s="31" t="inlineStr">
        <is>
          <t xml:space="preserve">Flanders</t>
        </is>
      </c>
      <c r="K24" s="31" t="inlineStr">
        <is>
          <t xml:space="preserve">Mangold</t>
        </is>
      </c>
      <c r="L24" s="42">
        <v>8.63</v>
      </c>
      <c r="M24" s="42">
        <v>4.31</v>
      </c>
      <c r="N24" s="31" t="inlineStr">
        <is>
          <t xml:space="preserve">Getting</t>
        </is>
      </c>
      <c r="O24" s="42">
        <v>1</v>
      </c>
      <c r="P24" s="42">
        <v>0.447</v>
      </c>
      <c r="Q24" s="42">
        <v>0.553</v>
      </c>
      <c r="R24" s="31" t="inlineStr">
        <is>
          <t xml:space="preserve">Index x slope (Handicaps tab)</t>
        </is>
      </c>
    </row>
    <row r="25" spans="1:18">
      <c r="A25" s="43">
        <v>1</v>
      </c>
      <c r="B25" s="34" t="inlineStr">
        <is>
          <t xml:space="preserve">FBC1-D12</t>
        </is>
      </c>
      <c r="C25" s="34" t="inlineStr">
        <is>
          <t xml:space="preserve">Best Ball</t>
        </is>
      </c>
      <c r="D25" s="34" t="inlineStr">
        <is>
          <t xml:space="preserve">Four-ball</t>
        </is>
      </c>
      <c r="E25" s="43">
        <v>9</v>
      </c>
      <c r="F25" s="45">
        <v>1</v>
      </c>
      <c r="G25" s="34" t="inlineStr">
        <is>
          <t xml:space="preserve">Jackson</t>
        </is>
      </c>
      <c r="H25" s="34" t="inlineStr">
        <is>
          <t xml:space="preserve">Flanders</t>
        </is>
      </c>
      <c r="I25" s="34" t="inlineStr">
        <is>
          <t xml:space="preserve">Mangold</t>
        </is>
      </c>
      <c r="J25" s="34" t="inlineStr">
        <is>
          <t xml:space="preserve">Connolly</t>
        </is>
      </c>
      <c r="K25" s="34" t="inlineStr">
        <is>
          <t xml:space="preserve">Shively</t>
        </is>
      </c>
      <c r="L25" s="45">
        <v>-8.63</v>
      </c>
      <c r="M25" s="45">
        <v>-4.31</v>
      </c>
      <c r="N25" s="34" t="inlineStr">
        <is>
          <t xml:space="preserve">Giving</t>
        </is>
      </c>
      <c r="O25" s="45">
        <v>0</v>
      </c>
      <c r="P25" s="45">
        <v>0.553</v>
      </c>
      <c r="Q25" s="45">
        <v>-0.553</v>
      </c>
      <c r="R25" s="34" t="inlineStr">
        <is>
          <t xml:space="preserve">Index x slope (Handicaps tab)</t>
        </is>
      </c>
    </row>
    <row r="26" spans="1:18">
      <c r="A26" s="40">
        <v>1</v>
      </c>
      <c r="B26" s="31" t="inlineStr">
        <is>
          <t xml:space="preserve">FBC1-S-Connolly-Jackson</t>
        </is>
      </c>
      <c r="C26" s="31" t="inlineStr">
        <is>
          <t xml:space="preserve">Match Play</t>
        </is>
      </c>
      <c r="D26" s="31" t="inlineStr">
        <is>
          <t xml:space="preserve">Singles</t>
        </is>
      </c>
      <c r="E26" s="40">
        <v>18</v>
      </c>
      <c r="F26" s="42">
        <v>2</v>
      </c>
      <c r="G26" s="31" t="inlineStr">
        <is>
          <t xml:space="preserve">Hilts</t>
        </is>
      </c>
      <c r="H26" s="31" t="inlineStr">
        <is>
          <t xml:space="preserve">Connolly</t>
        </is>
      </c>
      <c r="I26" s="31"/>
      <c r="J26" s="31" t="inlineStr">
        <is>
          <t xml:space="preserve">Jackson</t>
        </is>
      </c>
      <c r="K26" s="31"/>
      <c r="L26" s="42">
        <v>0</v>
      </c>
      <c r="M26" s="42">
        <v>0</v>
      </c>
      <c r="N26" s="31" t="inlineStr">
        <is>
          <t xml:space="preserve">Even</t>
        </is>
      </c>
      <c r="O26" s="42">
        <v>2</v>
      </c>
      <c r="P26" s="42">
        <v>1</v>
      </c>
      <c r="Q26" s="42">
        <v>1</v>
      </c>
      <c r="R26" s="31" t="inlineStr">
        <is>
          <t xml:space="preserve">Index x slope (Handicaps tab)</t>
        </is>
      </c>
    </row>
    <row r="27" spans="1:18">
      <c r="A27" s="43">
        <v>1</v>
      </c>
      <c r="B27" s="34" t="inlineStr">
        <is>
          <t xml:space="preserve">FBC1-S-Connolly-Jackson</t>
        </is>
      </c>
      <c r="C27" s="34" t="inlineStr">
        <is>
          <t xml:space="preserve">Match Play</t>
        </is>
      </c>
      <c r="D27" s="34" t="inlineStr">
        <is>
          <t xml:space="preserve">Singles</t>
        </is>
      </c>
      <c r="E27" s="43">
        <v>18</v>
      </c>
      <c r="F27" s="45">
        <v>2</v>
      </c>
      <c r="G27" s="34" t="inlineStr">
        <is>
          <t xml:space="preserve">Jackson</t>
        </is>
      </c>
      <c r="H27" s="34" t="inlineStr">
        <is>
          <t xml:space="preserve">Jackson</t>
        </is>
      </c>
      <c r="I27" s="34"/>
      <c r="J27" s="34" t="inlineStr">
        <is>
          <t xml:space="preserve">Connolly</t>
        </is>
      </c>
      <c r="K27" s="34"/>
      <c r="L27" s="45">
        <v>0</v>
      </c>
      <c r="M27" s="45">
        <v>0</v>
      </c>
      <c r="N27" s="34" t="inlineStr">
        <is>
          <t xml:space="preserve">Even</t>
        </is>
      </c>
      <c r="O27" s="45">
        <v>0</v>
      </c>
      <c r="P27" s="45">
        <v>1</v>
      </c>
      <c r="Q27" s="45">
        <v>-1</v>
      </c>
      <c r="R27" s="34" t="inlineStr">
        <is>
          <t xml:space="preserve">Index x slope (Handicaps tab)</t>
        </is>
      </c>
    </row>
    <row r="28" spans="1:18">
      <c r="A28" s="40">
        <v>1</v>
      </c>
      <c r="B28" s="31" t="inlineStr">
        <is>
          <t xml:space="preserve">FBC1-S-Ferrin-Shively</t>
        </is>
      </c>
      <c r="C28" s="31" t="inlineStr">
        <is>
          <t xml:space="preserve">Match Play</t>
        </is>
      </c>
      <c r="D28" s="31" t="inlineStr">
        <is>
          <t xml:space="preserve">Singles</t>
        </is>
      </c>
      <c r="E28" s="40">
        <v>18</v>
      </c>
      <c r="F28" s="42">
        <v>2</v>
      </c>
      <c r="G28" s="31" t="inlineStr">
        <is>
          <t xml:space="preserve">Hilts</t>
        </is>
      </c>
      <c r="H28" s="31" t="inlineStr">
        <is>
          <t xml:space="preserve">Shively</t>
        </is>
      </c>
      <c r="I28" s="31"/>
      <c r="J28" s="31" t="inlineStr">
        <is>
          <t xml:space="preserve">Ferrin</t>
        </is>
      </c>
      <c r="K28" s="31"/>
      <c r="L28" s="42">
        <v>2.27</v>
      </c>
      <c r="M28" s="42">
        <v>2.27</v>
      </c>
      <c r="N28" s="31" t="inlineStr">
        <is>
          <t xml:space="preserve">Getting</t>
        </is>
      </c>
      <c r="O28" s="42">
        <v>0</v>
      </c>
      <c r="P28" s="42">
        <v>0.883</v>
      </c>
      <c r="Q28" s="42">
        <v>-0.883</v>
      </c>
      <c r="R28" s="31" t="inlineStr">
        <is>
          <t xml:space="preserve">Index x slope (Handicaps tab)</t>
        </is>
      </c>
    </row>
    <row r="29" spans="1:18">
      <c r="A29" s="43">
        <v>1</v>
      </c>
      <c r="B29" s="34" t="inlineStr">
        <is>
          <t xml:space="preserve">FBC1-S-Ferrin-Shively</t>
        </is>
      </c>
      <c r="C29" s="34" t="inlineStr">
        <is>
          <t xml:space="preserve">Match Play</t>
        </is>
      </c>
      <c r="D29" s="34" t="inlineStr">
        <is>
          <t xml:space="preserve">Singles</t>
        </is>
      </c>
      <c r="E29" s="43">
        <v>18</v>
      </c>
      <c r="F29" s="45">
        <v>2</v>
      </c>
      <c r="G29" s="34" t="inlineStr">
        <is>
          <t xml:space="preserve">Jackson</t>
        </is>
      </c>
      <c r="H29" s="34" t="inlineStr">
        <is>
          <t xml:space="preserve">Ferrin</t>
        </is>
      </c>
      <c r="I29" s="34"/>
      <c r="J29" s="34" t="inlineStr">
        <is>
          <t xml:space="preserve">Shively</t>
        </is>
      </c>
      <c r="K29" s="34"/>
      <c r="L29" s="45">
        <v>-2.27</v>
      </c>
      <c r="M29" s="45">
        <v>-2.27</v>
      </c>
      <c r="N29" s="34" t="inlineStr">
        <is>
          <t xml:space="preserve">Giving</t>
        </is>
      </c>
      <c r="O29" s="45">
        <v>2</v>
      </c>
      <c r="P29" s="45">
        <v>1.117</v>
      </c>
      <c r="Q29" s="45">
        <v>0.883</v>
      </c>
      <c r="R29" s="34" t="inlineStr">
        <is>
          <t xml:space="preserve">Index x slope (Handicaps tab)</t>
        </is>
      </c>
    </row>
    <row r="30" spans="1:18">
      <c r="A30" s="40">
        <v>1</v>
      </c>
      <c r="B30" s="31" t="inlineStr">
        <is>
          <t xml:space="preserve">FBC1-S-Flanders-Macklin</t>
        </is>
      </c>
      <c r="C30" s="31" t="inlineStr">
        <is>
          <t xml:space="preserve">Match Play</t>
        </is>
      </c>
      <c r="D30" s="31" t="inlineStr">
        <is>
          <t xml:space="preserve">Singles</t>
        </is>
      </c>
      <c r="E30" s="40">
        <v>18</v>
      </c>
      <c r="F30" s="42">
        <v>2</v>
      </c>
      <c r="G30" s="31" t="inlineStr">
        <is>
          <t xml:space="preserve">Jackson</t>
        </is>
      </c>
      <c r="H30" s="31" t="inlineStr">
        <is>
          <t xml:space="preserve">Flanders</t>
        </is>
      </c>
      <c r="I30" s="31"/>
      <c r="J30" s="31" t="inlineStr">
        <is>
          <t xml:space="preserve">Macklin</t>
        </is>
      </c>
      <c r="K30" s="31"/>
      <c r="L30" s="42">
        <v>0</v>
      </c>
      <c r="M30" s="42">
        <v>0</v>
      </c>
      <c r="N30" s="31" t="inlineStr">
        <is>
          <t xml:space="preserve">Even</t>
        </is>
      </c>
      <c r="O30" s="42">
        <v>2</v>
      </c>
      <c r="P30" s="42">
        <v>1</v>
      </c>
      <c r="Q30" s="42">
        <v>1</v>
      </c>
      <c r="R30" s="31" t="inlineStr">
        <is>
          <t xml:space="preserve">Index x slope (Handicaps tab)</t>
        </is>
      </c>
    </row>
    <row r="31" spans="1:18">
      <c r="A31" s="43">
        <v>1</v>
      </c>
      <c r="B31" s="34" t="inlineStr">
        <is>
          <t xml:space="preserve">FBC1-S-Flanders-Macklin</t>
        </is>
      </c>
      <c r="C31" s="34" t="inlineStr">
        <is>
          <t xml:space="preserve">Match Play</t>
        </is>
      </c>
      <c r="D31" s="34" t="inlineStr">
        <is>
          <t xml:space="preserve">Singles</t>
        </is>
      </c>
      <c r="E31" s="43">
        <v>18</v>
      </c>
      <c r="F31" s="45">
        <v>2</v>
      </c>
      <c r="G31" s="34" t="inlineStr">
        <is>
          <t xml:space="preserve">Hilts</t>
        </is>
      </c>
      <c r="H31" s="34" t="inlineStr">
        <is>
          <t xml:space="preserve">Macklin</t>
        </is>
      </c>
      <c r="I31" s="34"/>
      <c r="J31" s="34" t="inlineStr">
        <is>
          <t xml:space="preserve">Flanders</t>
        </is>
      </c>
      <c r="K31" s="34"/>
      <c r="L31" s="45">
        <v>0</v>
      </c>
      <c r="M31" s="45">
        <v>0</v>
      </c>
      <c r="N31" s="34" t="inlineStr">
        <is>
          <t xml:space="preserve">Even</t>
        </is>
      </c>
      <c r="O31" s="45">
        <v>0</v>
      </c>
      <c r="P31" s="45">
        <v>1</v>
      </c>
      <c r="Q31" s="45">
        <v>-1</v>
      </c>
      <c r="R31" s="34" t="inlineStr">
        <is>
          <t xml:space="preserve">Index x slope (Handicaps tab)</t>
        </is>
      </c>
    </row>
    <row r="32" spans="1:18">
      <c r="A32" s="40">
        <v>1</v>
      </c>
      <c r="B32" s="31" t="inlineStr">
        <is>
          <t xml:space="preserve">FBC1-S-Grise-Poirier</t>
        </is>
      </c>
      <c r="C32" s="31" t="inlineStr">
        <is>
          <t xml:space="preserve">Match Play</t>
        </is>
      </c>
      <c r="D32" s="31" t="inlineStr">
        <is>
          <t xml:space="preserve">Singles</t>
        </is>
      </c>
      <c r="E32" s="40">
        <v>18</v>
      </c>
      <c r="F32" s="42">
        <v>2</v>
      </c>
      <c r="G32" s="31" t="inlineStr">
        <is>
          <t xml:space="preserve">Jackson</t>
        </is>
      </c>
      <c r="H32" s="31" t="inlineStr">
        <is>
          <t xml:space="preserve">Grise</t>
        </is>
      </c>
      <c r="I32" s="31"/>
      <c r="J32" s="31" t="inlineStr">
        <is>
          <t xml:space="preserve">Poirier</t>
        </is>
      </c>
      <c r="K32" s="31"/>
      <c r="L32" s="42">
        <v>5.66</v>
      </c>
      <c r="M32" s="42">
        <v>5.66</v>
      </c>
      <c r="N32" s="31" t="inlineStr">
        <is>
          <t xml:space="preserve">Getting</t>
        </is>
      </c>
      <c r="O32" s="42">
        <v>0</v>
      </c>
      <c r="P32" s="42">
        <v>0.949</v>
      </c>
      <c r="Q32" s="42">
        <v>-0.949</v>
      </c>
      <c r="R32" s="31" t="inlineStr">
        <is>
          <t xml:space="preserve">Index x slope (Handicaps tab)</t>
        </is>
      </c>
    </row>
    <row r="33" spans="1:18">
      <c r="A33" s="43">
        <v>1</v>
      </c>
      <c r="B33" s="34" t="inlineStr">
        <is>
          <t xml:space="preserve">FBC1-S-Grise-Poirier</t>
        </is>
      </c>
      <c r="C33" s="34" t="inlineStr">
        <is>
          <t xml:space="preserve">Match Play</t>
        </is>
      </c>
      <c r="D33" s="34" t="inlineStr">
        <is>
          <t xml:space="preserve">Singles</t>
        </is>
      </c>
      <c r="E33" s="43">
        <v>18</v>
      </c>
      <c r="F33" s="45">
        <v>2</v>
      </c>
      <c r="G33" s="34" t="inlineStr">
        <is>
          <t xml:space="preserve">Hilts</t>
        </is>
      </c>
      <c r="H33" s="34" t="inlineStr">
        <is>
          <t xml:space="preserve">Poirier</t>
        </is>
      </c>
      <c r="I33" s="34"/>
      <c r="J33" s="34" t="inlineStr">
        <is>
          <t xml:space="preserve">Grise</t>
        </is>
      </c>
      <c r="K33" s="34"/>
      <c r="L33" s="45">
        <v>-5.66</v>
      </c>
      <c r="M33" s="45">
        <v>-5.66</v>
      </c>
      <c r="N33" s="34" t="inlineStr">
        <is>
          <t xml:space="preserve">Giving</t>
        </is>
      </c>
      <c r="O33" s="45">
        <v>2</v>
      </c>
      <c r="P33" s="45">
        <v>1.051</v>
      </c>
      <c r="Q33" s="45">
        <v>0.949</v>
      </c>
      <c r="R33" s="34" t="inlineStr">
        <is>
          <t xml:space="preserve">Index x slope (Handicaps tab)</t>
        </is>
      </c>
    </row>
    <row r="34" spans="1:18">
      <c r="A34" s="40">
        <v>1</v>
      </c>
      <c r="B34" s="31" t="inlineStr">
        <is>
          <t xml:space="preserve">FBC1-S-Hickerson-Lynch</t>
        </is>
      </c>
      <c r="C34" s="31" t="inlineStr">
        <is>
          <t xml:space="preserve">Match Play</t>
        </is>
      </c>
      <c r="D34" s="31" t="inlineStr">
        <is>
          <t xml:space="preserve">Singles</t>
        </is>
      </c>
      <c r="E34" s="40">
        <v>18</v>
      </c>
      <c r="F34" s="42">
        <v>2</v>
      </c>
      <c r="G34" s="31" t="inlineStr">
        <is>
          <t xml:space="preserve">Jackson</t>
        </is>
      </c>
      <c r="H34" s="31" t="inlineStr">
        <is>
          <t xml:space="preserve">Hickerson</t>
        </is>
      </c>
      <c r="I34" s="31"/>
      <c r="J34" s="31" t="inlineStr">
        <is>
          <t xml:space="preserve">Lynch</t>
        </is>
      </c>
      <c r="K34" s="31"/>
      <c r="L34" s="42">
        <v>0</v>
      </c>
      <c r="M34" s="42">
        <v>0</v>
      </c>
      <c r="N34" s="31" t="inlineStr">
        <is>
          <t xml:space="preserve">Even</t>
        </is>
      </c>
      <c r="O34" s="42">
        <v>1</v>
      </c>
      <c r="P34" s="42">
        <v>1</v>
      </c>
      <c r="Q34" s="42">
        <v>0</v>
      </c>
      <c r="R34" s="31" t="inlineStr">
        <is>
          <t xml:space="preserve">Index x slope (Handicaps tab)</t>
        </is>
      </c>
    </row>
    <row r="35" spans="1:18">
      <c r="A35" s="43">
        <v>1</v>
      </c>
      <c r="B35" s="34" t="inlineStr">
        <is>
          <t xml:space="preserve">FBC1-S-Hickerson-Lynch</t>
        </is>
      </c>
      <c r="C35" s="34" t="inlineStr">
        <is>
          <t xml:space="preserve">Match Play</t>
        </is>
      </c>
      <c r="D35" s="34" t="inlineStr">
        <is>
          <t xml:space="preserve">Singles</t>
        </is>
      </c>
      <c r="E35" s="43">
        <v>18</v>
      </c>
      <c r="F35" s="45">
        <v>2</v>
      </c>
      <c r="G35" s="34" t="inlineStr">
        <is>
          <t xml:space="preserve">Hilts</t>
        </is>
      </c>
      <c r="H35" s="34" t="inlineStr">
        <is>
          <t xml:space="preserve">Lynch</t>
        </is>
      </c>
      <c r="I35" s="34"/>
      <c r="J35" s="34" t="inlineStr">
        <is>
          <t xml:space="preserve">Hickerson</t>
        </is>
      </c>
      <c r="K35" s="34"/>
      <c r="L35" s="45">
        <v>0</v>
      </c>
      <c r="M35" s="45">
        <v>0</v>
      </c>
      <c r="N35" s="34" t="inlineStr">
        <is>
          <t xml:space="preserve">Even</t>
        </is>
      </c>
      <c r="O35" s="45">
        <v>1</v>
      </c>
      <c r="P35" s="45">
        <v>1</v>
      </c>
      <c r="Q35" s="45">
        <v>0</v>
      </c>
      <c r="R35" s="34" t="inlineStr">
        <is>
          <t xml:space="preserve">Index x slope (Handicaps tab)</t>
        </is>
      </c>
    </row>
    <row r="36" spans="1:18">
      <c r="A36" s="40">
        <v>1</v>
      </c>
      <c r="B36" s="31" t="inlineStr">
        <is>
          <t xml:space="preserve">FBC1-S-Hilts-Mangold</t>
        </is>
      </c>
      <c r="C36" s="31" t="inlineStr">
        <is>
          <t xml:space="preserve">Match Play</t>
        </is>
      </c>
      <c r="D36" s="31" t="inlineStr">
        <is>
          <t xml:space="preserve">Singles</t>
        </is>
      </c>
      <c r="E36" s="40">
        <v>18</v>
      </c>
      <c r="F36" s="42">
        <v>2</v>
      </c>
      <c r="G36" s="31" t="inlineStr">
        <is>
          <t xml:space="preserve">Hilts</t>
        </is>
      </c>
      <c r="H36" s="31" t="inlineStr">
        <is>
          <t xml:space="preserve">Hilts</t>
        </is>
      </c>
      <c r="I36" s="31"/>
      <c r="J36" s="31" t="inlineStr">
        <is>
          <t xml:space="preserve">Mangold</t>
        </is>
      </c>
      <c r="K36" s="31"/>
      <c r="L36" s="42">
        <v>3.4</v>
      </c>
      <c r="M36" s="42">
        <v>3.4</v>
      </c>
      <c r="N36" s="31" t="inlineStr">
        <is>
          <t xml:space="preserve">Getting</t>
        </is>
      </c>
      <c r="O36" s="42">
        <v>2</v>
      </c>
      <c r="P36" s="42">
        <v>0.905</v>
      </c>
      <c r="Q36" s="42">
        <v>1.095</v>
      </c>
      <c r="R36" s="31" t="inlineStr">
        <is>
          <t xml:space="preserve">Index x slope (Handicaps tab)</t>
        </is>
      </c>
    </row>
    <row r="37" spans="1:18">
      <c r="A37" s="43">
        <v>1</v>
      </c>
      <c r="B37" s="34" t="inlineStr">
        <is>
          <t xml:space="preserve">FBC1-S-Hilts-Mangold</t>
        </is>
      </c>
      <c r="C37" s="34" t="inlineStr">
        <is>
          <t xml:space="preserve">Match Play</t>
        </is>
      </c>
      <c r="D37" s="34" t="inlineStr">
        <is>
          <t xml:space="preserve">Singles</t>
        </is>
      </c>
      <c r="E37" s="43">
        <v>18</v>
      </c>
      <c r="F37" s="45">
        <v>2</v>
      </c>
      <c r="G37" s="34" t="inlineStr">
        <is>
          <t xml:space="preserve">Jackson</t>
        </is>
      </c>
      <c r="H37" s="34" t="inlineStr">
        <is>
          <t xml:space="preserve">Mangold</t>
        </is>
      </c>
      <c r="I37" s="34"/>
      <c r="J37" s="34" t="inlineStr">
        <is>
          <t xml:space="preserve">Hilts</t>
        </is>
      </c>
      <c r="K37" s="34"/>
      <c r="L37" s="45">
        <v>-3.4</v>
      </c>
      <c r="M37" s="45">
        <v>-3.4</v>
      </c>
      <c r="N37" s="34" t="inlineStr">
        <is>
          <t xml:space="preserve">Giving</t>
        </is>
      </c>
      <c r="O37" s="45">
        <v>0</v>
      </c>
      <c r="P37" s="45">
        <v>1.095</v>
      </c>
      <c r="Q37" s="45">
        <v>-1.095</v>
      </c>
      <c r="R37" s="34" t="inlineStr">
        <is>
          <t xml:space="preserve">Index x slope (Handicaps tab)</t>
        </is>
      </c>
    </row>
    <row r="38" spans="1:18">
      <c r="A38" s="40">
        <v>2</v>
      </c>
      <c r="B38" s="31" t="inlineStr">
        <is>
          <t xml:space="preserve">FBC2-D3</t>
        </is>
      </c>
      <c r="C38" s="31" t="inlineStr">
        <is>
          <t xml:space="preserve">Best Ball</t>
        </is>
      </c>
      <c r="D38" s="31" t="inlineStr">
        <is>
          <t xml:space="preserve">Four-ball</t>
        </is>
      </c>
      <c r="E38" s="40">
        <v>9</v>
      </c>
      <c r="F38" s="42">
        <v>1</v>
      </c>
      <c r="G38" s="31" t="inlineStr">
        <is>
          <t xml:space="preserve">Connolly</t>
        </is>
      </c>
      <c r="H38" s="31" t="inlineStr">
        <is>
          <t xml:space="preserve">Connolly</t>
        </is>
      </c>
      <c r="I38" s="31" t="inlineStr">
        <is>
          <t xml:space="preserve">Connors</t>
        </is>
      </c>
      <c r="J38" s="31" t="inlineStr">
        <is>
          <t xml:space="preserve">Cole</t>
        </is>
      </c>
      <c r="K38" s="31" t="inlineStr">
        <is>
          <t xml:space="preserve">Mangold</t>
        </is>
      </c>
      <c r="L38" s="42">
        <v>-9.8</v>
      </c>
      <c r="M38" s="42">
        <v>-4.9</v>
      </c>
      <c r="N38" s="31" t="inlineStr">
        <is>
          <t xml:space="preserve">Giving</t>
        </is>
      </c>
      <c r="O38" s="42">
        <v>0.5</v>
      </c>
      <c r="P38" s="42">
        <v>0.549</v>
      </c>
      <c r="Q38" s="42">
        <v>-0.049</v>
      </c>
      <c r="R38" s="31" t="inlineStr">
        <is>
          <t xml:space="preserve">Index x slope (Handicaps tab)</t>
        </is>
      </c>
    </row>
    <row r="39" spans="1:18">
      <c r="A39" s="43">
        <v>2</v>
      </c>
      <c r="B39" s="34" t="inlineStr">
        <is>
          <t xml:space="preserve">FBC2-D3</t>
        </is>
      </c>
      <c r="C39" s="34" t="inlineStr">
        <is>
          <t xml:space="preserve">Best Ball</t>
        </is>
      </c>
      <c r="D39" s="34" t="inlineStr">
        <is>
          <t xml:space="preserve">Four-ball</t>
        </is>
      </c>
      <c r="E39" s="43">
        <v>9</v>
      </c>
      <c r="F39" s="45">
        <v>1</v>
      </c>
      <c r="G39" s="34" t="inlineStr">
        <is>
          <t xml:space="preserve">Ferrin</t>
        </is>
      </c>
      <c r="H39" s="34" t="inlineStr">
        <is>
          <t xml:space="preserve">Cole</t>
        </is>
      </c>
      <c r="I39" s="34" t="inlineStr">
        <is>
          <t xml:space="preserve">Mangold</t>
        </is>
      </c>
      <c r="J39" s="34" t="inlineStr">
        <is>
          <t xml:space="preserve">Connolly</t>
        </is>
      </c>
      <c r="K39" s="34" t="inlineStr">
        <is>
          <t xml:space="preserve">Connors</t>
        </is>
      </c>
      <c r="L39" s="45">
        <v>9.8</v>
      </c>
      <c r="M39" s="45">
        <v>4.9</v>
      </c>
      <c r="N39" s="34" t="inlineStr">
        <is>
          <t xml:space="preserve">Getting</t>
        </is>
      </c>
      <c r="O39" s="45">
        <v>0.5</v>
      </c>
      <c r="P39" s="45">
        <v>0.451</v>
      </c>
      <c r="Q39" s="45">
        <v>0.049</v>
      </c>
      <c r="R39" s="34" t="inlineStr">
        <is>
          <t xml:space="preserve">Index x slope (Handicaps tab)</t>
        </is>
      </c>
    </row>
    <row r="40" spans="1:18">
      <c r="A40" s="40">
        <v>2</v>
      </c>
      <c r="B40" s="31" t="inlineStr">
        <is>
          <t xml:space="preserve">FBC2-D9</t>
        </is>
      </c>
      <c r="C40" s="31" t="inlineStr">
        <is>
          <t xml:space="preserve">Hi-Lo</t>
        </is>
      </c>
      <c r="D40" s="31" t="inlineStr">
        <is>
          <t xml:space="preserve">Four-ball</t>
        </is>
      </c>
      <c r="E40" s="40">
        <v>9</v>
      </c>
      <c r="F40" s="42">
        <v>1</v>
      </c>
      <c r="G40" s="31" t="inlineStr">
        <is>
          <t xml:space="preserve">Connolly</t>
        </is>
      </c>
      <c r="H40" s="31" t="inlineStr">
        <is>
          <t xml:space="preserve">Forster</t>
        </is>
      </c>
      <c r="I40" s="31" t="inlineStr">
        <is>
          <t xml:space="preserve">Lynch</t>
        </is>
      </c>
      <c r="J40" s="31" t="inlineStr">
        <is>
          <t xml:space="preserve">Cole</t>
        </is>
      </c>
      <c r="K40" s="31" t="inlineStr">
        <is>
          <t xml:space="preserve">Ferrin</t>
        </is>
      </c>
      <c r="L40" s="42">
        <v>-3.47</v>
      </c>
      <c r="M40" s="42">
        <v>-1.74</v>
      </c>
      <c r="N40" s="31" t="inlineStr">
        <is>
          <t xml:space="preserve">Giving</t>
        </is>
      </c>
      <c r="O40" s="42">
        <v>1</v>
      </c>
      <c r="P40" s="42">
        <v>0.569</v>
      </c>
      <c r="Q40" s="42">
        <v>0.431</v>
      </c>
      <c r="R40" s="31" t="inlineStr">
        <is>
          <t xml:space="preserve">Index x slope (Handicaps tab)</t>
        </is>
      </c>
    </row>
    <row r="41" spans="1:18">
      <c r="A41" s="43">
        <v>2</v>
      </c>
      <c r="B41" s="34" t="inlineStr">
        <is>
          <t xml:space="preserve">FBC2-D9</t>
        </is>
      </c>
      <c r="C41" s="34" t="inlineStr">
        <is>
          <t xml:space="preserve">Hi-Lo</t>
        </is>
      </c>
      <c r="D41" s="34" t="inlineStr">
        <is>
          <t xml:space="preserve">Four-ball</t>
        </is>
      </c>
      <c r="E41" s="43">
        <v>9</v>
      </c>
      <c r="F41" s="45">
        <v>1</v>
      </c>
      <c r="G41" s="34" t="inlineStr">
        <is>
          <t xml:space="preserve">Ferrin</t>
        </is>
      </c>
      <c r="H41" s="34" t="inlineStr">
        <is>
          <t xml:space="preserve">Cole</t>
        </is>
      </c>
      <c r="I41" s="34" t="inlineStr">
        <is>
          <t xml:space="preserve">Ferrin</t>
        </is>
      </c>
      <c r="J41" s="34" t="inlineStr">
        <is>
          <t xml:space="preserve">Forster</t>
        </is>
      </c>
      <c r="K41" s="34" t="inlineStr">
        <is>
          <t xml:space="preserve">Lynch</t>
        </is>
      </c>
      <c r="L41" s="45">
        <v>3.47</v>
      </c>
      <c r="M41" s="45">
        <v>1.74</v>
      </c>
      <c r="N41" s="34" t="inlineStr">
        <is>
          <t xml:space="preserve">Getting</t>
        </is>
      </c>
      <c r="O41" s="45">
        <v>0</v>
      </c>
      <c r="P41" s="45">
        <v>0.431</v>
      </c>
      <c r="Q41" s="45">
        <v>-0.431</v>
      </c>
      <c r="R41" s="34" t="inlineStr">
        <is>
          <t xml:space="preserve">Index x slope (Handicaps tab)</t>
        </is>
      </c>
    </row>
    <row r="42" spans="1:18">
      <c r="A42" s="40">
        <v>2</v>
      </c>
      <c r="B42" s="31" t="inlineStr">
        <is>
          <t xml:space="preserve">FBC2-D12</t>
        </is>
      </c>
      <c r="C42" s="31" t="inlineStr">
        <is>
          <t xml:space="preserve">Hi-Lo</t>
        </is>
      </c>
      <c r="D42" s="31" t="inlineStr">
        <is>
          <t xml:space="preserve">Four-ball</t>
        </is>
      </c>
      <c r="E42" s="40">
        <v>9</v>
      </c>
      <c r="F42" s="42">
        <v>1</v>
      </c>
      <c r="G42" s="31" t="inlineStr">
        <is>
          <t xml:space="preserve">Ferrin</t>
        </is>
      </c>
      <c r="H42" s="31" t="inlineStr">
        <is>
          <t xml:space="preserve">Mangold</t>
        </is>
      </c>
      <c r="I42" s="31" t="inlineStr">
        <is>
          <t xml:space="preserve">Shively</t>
        </is>
      </c>
      <c r="J42" s="31" t="inlineStr">
        <is>
          <t xml:space="preserve">Connors</t>
        </is>
      </c>
      <c r="K42" s="31" t="inlineStr">
        <is>
          <t xml:space="preserve">Grise</t>
        </is>
      </c>
      <c r="L42" s="42">
        <v>2.71</v>
      </c>
      <c r="M42" s="42">
        <v>1.35</v>
      </c>
      <c r="N42" s="31" t="inlineStr">
        <is>
          <t xml:space="preserve">Getting</t>
        </is>
      </c>
      <c r="O42" s="42">
        <v>1</v>
      </c>
      <c r="P42" s="42">
        <v>0.428</v>
      </c>
      <c r="Q42" s="42">
        <v>0.572</v>
      </c>
      <c r="R42" s="31" t="inlineStr">
        <is>
          <t xml:space="preserve">Index x slope (Handicaps tab)</t>
        </is>
      </c>
    </row>
    <row r="43" spans="1:18">
      <c r="A43" s="43">
        <v>2</v>
      </c>
      <c r="B43" s="34" t="inlineStr">
        <is>
          <t xml:space="preserve">FBC2-D12</t>
        </is>
      </c>
      <c r="C43" s="34" t="inlineStr">
        <is>
          <t xml:space="preserve">Hi-Lo</t>
        </is>
      </c>
      <c r="D43" s="34" t="inlineStr">
        <is>
          <t xml:space="preserve">Four-ball</t>
        </is>
      </c>
      <c r="E43" s="43">
        <v>9</v>
      </c>
      <c r="F43" s="45">
        <v>1</v>
      </c>
      <c r="G43" s="34" t="inlineStr">
        <is>
          <t xml:space="preserve">Connolly</t>
        </is>
      </c>
      <c r="H43" s="34" t="inlineStr">
        <is>
          <t xml:space="preserve">Connors</t>
        </is>
      </c>
      <c r="I43" s="34" t="inlineStr">
        <is>
          <t xml:space="preserve">Grise</t>
        </is>
      </c>
      <c r="J43" s="34" t="inlineStr">
        <is>
          <t xml:space="preserve">Mangold</t>
        </is>
      </c>
      <c r="K43" s="34" t="inlineStr">
        <is>
          <t xml:space="preserve">Shively</t>
        </is>
      </c>
      <c r="L43" s="45">
        <v>-2.71</v>
      </c>
      <c r="M43" s="45">
        <v>-1.35</v>
      </c>
      <c r="N43" s="34" t="inlineStr">
        <is>
          <t xml:space="preserve">Giving</t>
        </is>
      </c>
      <c r="O43" s="45">
        <v>0</v>
      </c>
      <c r="P43" s="45">
        <v>0.572</v>
      </c>
      <c r="Q43" s="45">
        <v>-0.572</v>
      </c>
      <c r="R43" s="34" t="inlineStr">
        <is>
          <t xml:space="preserve">Index x slope (Handicaps tab)</t>
        </is>
      </c>
    </row>
    <row r="44" spans="1:18">
      <c r="A44" s="40">
        <v>2</v>
      </c>
      <c r="B44" s="31" t="inlineStr">
        <is>
          <t xml:space="preserve">FBC2-D13</t>
        </is>
      </c>
      <c r="C44" s="31" t="inlineStr">
        <is>
          <t xml:space="preserve">Scramble-Stableford</t>
        </is>
      </c>
      <c r="D44" s="31" t="inlineStr">
        <is>
          <t xml:space="preserve">Scramble</t>
        </is>
      </c>
      <c r="E44" s="40">
        <v>9</v>
      </c>
      <c r="F44" s="42">
        <v>1</v>
      </c>
      <c r="G44" s="31" t="inlineStr">
        <is>
          <t xml:space="preserve">Connolly</t>
        </is>
      </c>
      <c r="H44" s="31" t="inlineStr">
        <is>
          <t xml:space="preserve">Forster</t>
        </is>
      </c>
      <c r="I44" s="31" t="inlineStr">
        <is>
          <t xml:space="preserve">Lynch</t>
        </is>
      </c>
      <c r="J44" s="31" t="inlineStr">
        <is>
          <t xml:space="preserve">Cole</t>
        </is>
      </c>
      <c r="K44" s="31" t="inlineStr">
        <is>
          <t xml:space="preserve">Ferrin</t>
        </is>
      </c>
      <c r="L44" s="42">
        <v>0</v>
      </c>
      <c r="M44" s="42">
        <v>0</v>
      </c>
      <c r="N44" s="31" t="inlineStr">
        <is>
          <t xml:space="preserve">Even</t>
        </is>
      </c>
      <c r="O44" s="42">
        <v>1</v>
      </c>
      <c r="P44" s="42">
        <v>0.5</v>
      </c>
      <c r="Q44" s="42">
        <v>0.5</v>
      </c>
      <c r="R44" s="31" t="inlineStr">
        <is>
          <t xml:space="preserve">Index x slope (Handicaps tab)</t>
        </is>
      </c>
    </row>
    <row r="45" spans="1:18">
      <c r="A45" s="43">
        <v>2</v>
      </c>
      <c r="B45" s="34" t="inlineStr">
        <is>
          <t xml:space="preserve">FBC2-D13</t>
        </is>
      </c>
      <c r="C45" s="34" t="inlineStr">
        <is>
          <t xml:space="preserve">Scramble-Stableford</t>
        </is>
      </c>
      <c r="D45" s="34" t="inlineStr">
        <is>
          <t xml:space="preserve">Scramble</t>
        </is>
      </c>
      <c r="E45" s="43">
        <v>9</v>
      </c>
      <c r="F45" s="45">
        <v>1</v>
      </c>
      <c r="G45" s="34" t="inlineStr">
        <is>
          <t xml:space="preserve">Ferrin</t>
        </is>
      </c>
      <c r="H45" s="34" t="inlineStr">
        <is>
          <t xml:space="preserve">Cole</t>
        </is>
      </c>
      <c r="I45" s="34" t="inlineStr">
        <is>
          <t xml:space="preserve">Ferrin</t>
        </is>
      </c>
      <c r="J45" s="34" t="inlineStr">
        <is>
          <t xml:space="preserve">Forster</t>
        </is>
      </c>
      <c r="K45" s="34" t="inlineStr">
        <is>
          <t xml:space="preserve">Lynch</t>
        </is>
      </c>
      <c r="L45" s="45">
        <v>0</v>
      </c>
      <c r="M45" s="45">
        <v>0</v>
      </c>
      <c r="N45" s="34" t="inlineStr">
        <is>
          <t xml:space="preserve">Even</t>
        </is>
      </c>
      <c r="O45" s="45">
        <v>0</v>
      </c>
      <c r="P45" s="45">
        <v>0.5</v>
      </c>
      <c r="Q45" s="45">
        <v>-0.5</v>
      </c>
      <c r="R45" s="34" t="inlineStr">
        <is>
          <t xml:space="preserve">Index x slope (Handicaps tab)</t>
        </is>
      </c>
    </row>
    <row r="46" spans="1:18">
      <c r="A46" s="40">
        <v>2</v>
      </c>
      <c r="B46" s="31" t="inlineStr">
        <is>
          <t xml:space="preserve">FBC2-D16</t>
        </is>
      </c>
      <c r="C46" s="31" t="inlineStr">
        <is>
          <t xml:space="preserve">Scramble-Stableford</t>
        </is>
      </c>
      <c r="D46" s="31" t="inlineStr">
        <is>
          <t xml:space="preserve">Scramble</t>
        </is>
      </c>
      <c r="E46" s="40">
        <v>9</v>
      </c>
      <c r="F46" s="42">
        <v>1</v>
      </c>
      <c r="G46" s="31" t="inlineStr">
        <is>
          <t xml:space="preserve">Ferrin</t>
        </is>
      </c>
      <c r="H46" s="31" t="inlineStr">
        <is>
          <t xml:space="preserve">Mangold</t>
        </is>
      </c>
      <c r="I46" s="31" t="inlineStr">
        <is>
          <t xml:space="preserve">Shively</t>
        </is>
      </c>
      <c r="J46" s="31" t="inlineStr">
        <is>
          <t xml:space="preserve">Connors</t>
        </is>
      </c>
      <c r="K46" s="31" t="inlineStr">
        <is>
          <t xml:space="preserve">Grise</t>
        </is>
      </c>
      <c r="L46" s="42">
        <v>0</v>
      </c>
      <c r="M46" s="42">
        <v>0</v>
      </c>
      <c r="N46" s="31" t="inlineStr">
        <is>
          <t xml:space="preserve">Even</t>
        </is>
      </c>
      <c r="O46" s="42">
        <v>0</v>
      </c>
      <c r="P46" s="42">
        <v>0.5</v>
      </c>
      <c r="Q46" s="42">
        <v>-0.5</v>
      </c>
      <c r="R46" s="31" t="inlineStr">
        <is>
          <t xml:space="preserve">Index x slope (Handicaps tab)</t>
        </is>
      </c>
    </row>
    <row r="47" spans="1:18">
      <c r="A47" s="43">
        <v>2</v>
      </c>
      <c r="B47" s="34" t="inlineStr">
        <is>
          <t xml:space="preserve">FBC2-D16</t>
        </is>
      </c>
      <c r="C47" s="34" t="inlineStr">
        <is>
          <t xml:space="preserve">Scramble-Stableford</t>
        </is>
      </c>
      <c r="D47" s="34" t="inlineStr">
        <is>
          <t xml:space="preserve">Scramble</t>
        </is>
      </c>
      <c r="E47" s="43">
        <v>9</v>
      </c>
      <c r="F47" s="45">
        <v>1</v>
      </c>
      <c r="G47" s="34" t="inlineStr">
        <is>
          <t xml:space="preserve">Connolly</t>
        </is>
      </c>
      <c r="H47" s="34" t="inlineStr">
        <is>
          <t xml:space="preserve">Connors</t>
        </is>
      </c>
      <c r="I47" s="34" t="inlineStr">
        <is>
          <t xml:space="preserve">Grise</t>
        </is>
      </c>
      <c r="J47" s="34" t="inlineStr">
        <is>
          <t xml:space="preserve">Mangold</t>
        </is>
      </c>
      <c r="K47" s="34" t="inlineStr">
        <is>
          <t xml:space="preserve">Shively</t>
        </is>
      </c>
      <c r="L47" s="45">
        <v>0</v>
      </c>
      <c r="M47" s="45">
        <v>0</v>
      </c>
      <c r="N47" s="34" t="inlineStr">
        <is>
          <t xml:space="preserve">Even</t>
        </is>
      </c>
      <c r="O47" s="45">
        <v>1</v>
      </c>
      <c r="P47" s="45">
        <v>0.5</v>
      </c>
      <c r="Q47" s="45">
        <v>0.5</v>
      </c>
      <c r="R47" s="34" t="inlineStr">
        <is>
          <t xml:space="preserve">Index x slope (Handicaps tab)</t>
        </is>
      </c>
    </row>
    <row r="48" spans="1:18">
      <c r="A48" s="40">
        <v>2</v>
      </c>
      <c r="B48" s="31" t="inlineStr">
        <is>
          <t xml:space="preserve">FBC2-S-Cole-Grise</t>
        </is>
      </c>
      <c r="C48" s="31" t="inlineStr">
        <is>
          <t xml:space="preserve">Match Play</t>
        </is>
      </c>
      <c r="D48" s="31" t="inlineStr">
        <is>
          <t xml:space="preserve">Singles</t>
        </is>
      </c>
      <c r="E48" s="40">
        <v>18</v>
      </c>
      <c r="F48" s="42">
        <v>2</v>
      </c>
      <c r="G48" s="31" t="inlineStr">
        <is>
          <t xml:space="preserve">Connolly</t>
        </is>
      </c>
      <c r="H48" s="31" t="inlineStr">
        <is>
          <t xml:space="preserve">Grise</t>
        </is>
      </c>
      <c r="I48" s="31"/>
      <c r="J48" s="31" t="inlineStr">
        <is>
          <t xml:space="preserve">Cole</t>
        </is>
      </c>
      <c r="K48" s="31"/>
      <c r="L48" s="42">
        <v>-21.38</v>
      </c>
      <c r="M48" s="42">
        <v>-21.38</v>
      </c>
      <c r="N48" s="31" t="inlineStr">
        <is>
          <t xml:space="preserve">Giving</t>
        </is>
      </c>
      <c r="O48" s="42">
        <v>2</v>
      </c>
      <c r="P48" s="42">
        <v>0.749</v>
      </c>
      <c r="Q48" s="42">
        <v>1.251</v>
      </c>
      <c r="R48" s="31" t="inlineStr">
        <is>
          <t xml:space="preserve">Index x slope (Handicaps tab)</t>
        </is>
      </c>
    </row>
    <row r="49" spans="1:18">
      <c r="A49" s="43">
        <v>2</v>
      </c>
      <c r="B49" s="34" t="inlineStr">
        <is>
          <t xml:space="preserve">FBC2-S-Cole-Grise</t>
        </is>
      </c>
      <c r="C49" s="34" t="inlineStr">
        <is>
          <t xml:space="preserve">Match Play</t>
        </is>
      </c>
      <c r="D49" s="34" t="inlineStr">
        <is>
          <t xml:space="preserve">Singles</t>
        </is>
      </c>
      <c r="E49" s="43">
        <v>18</v>
      </c>
      <c r="F49" s="45">
        <v>2</v>
      </c>
      <c r="G49" s="34" t="inlineStr">
        <is>
          <t xml:space="preserve">Ferrin</t>
        </is>
      </c>
      <c r="H49" s="34" t="inlineStr">
        <is>
          <t xml:space="preserve">Cole</t>
        </is>
      </c>
      <c r="I49" s="34"/>
      <c r="J49" s="34" t="inlineStr">
        <is>
          <t xml:space="preserve">Grise</t>
        </is>
      </c>
      <c r="K49" s="34"/>
      <c r="L49" s="45">
        <v>21.38</v>
      </c>
      <c r="M49" s="45">
        <v>21.38</v>
      </c>
      <c r="N49" s="34" t="inlineStr">
        <is>
          <t xml:space="preserve">Getting</t>
        </is>
      </c>
      <c r="O49" s="45">
        <v>0</v>
      </c>
      <c r="P49" s="45">
        <v>1.251</v>
      </c>
      <c r="Q49" s="45">
        <v>-1.251</v>
      </c>
      <c r="R49" s="34" t="inlineStr">
        <is>
          <t xml:space="preserve">Index x slope (Handicaps tab)</t>
        </is>
      </c>
    </row>
    <row r="50" spans="1:18">
      <c r="A50" s="40">
        <v>2</v>
      </c>
      <c r="B50" s="31" t="inlineStr">
        <is>
          <t xml:space="preserve">FBC2-S-Connolly-Shively</t>
        </is>
      </c>
      <c r="C50" s="31" t="inlineStr">
        <is>
          <t xml:space="preserve">Match Play</t>
        </is>
      </c>
      <c r="D50" s="31" t="inlineStr">
        <is>
          <t xml:space="preserve">Singles</t>
        </is>
      </c>
      <c r="E50" s="40">
        <v>18</v>
      </c>
      <c r="F50" s="42">
        <v>2</v>
      </c>
      <c r="G50" s="31" t="inlineStr">
        <is>
          <t xml:space="preserve">Connolly</t>
        </is>
      </c>
      <c r="H50" s="31" t="inlineStr">
        <is>
          <t xml:space="preserve">Connolly</t>
        </is>
      </c>
      <c r="I50" s="31"/>
      <c r="J50" s="31" t="inlineStr">
        <is>
          <t xml:space="preserve">Shively</t>
        </is>
      </c>
      <c r="K50" s="31"/>
      <c r="L50" s="42">
        <v>-10.98</v>
      </c>
      <c r="M50" s="42">
        <v>-10.98</v>
      </c>
      <c r="N50" s="31" t="inlineStr">
        <is>
          <t xml:space="preserve">Giving</t>
        </is>
      </c>
      <c r="O50" s="42">
        <v>0</v>
      </c>
      <c r="P50" s="42">
        <v>0.947</v>
      </c>
      <c r="Q50" s="42">
        <v>-0.947</v>
      </c>
      <c r="R50" s="31" t="inlineStr">
        <is>
          <t xml:space="preserve">Index x slope (Handicaps tab)</t>
        </is>
      </c>
    </row>
    <row r="51" spans="1:18">
      <c r="A51" s="43">
        <v>2</v>
      </c>
      <c r="B51" s="34" t="inlineStr">
        <is>
          <t xml:space="preserve">FBC2-S-Connolly-Shively</t>
        </is>
      </c>
      <c r="C51" s="34" t="inlineStr">
        <is>
          <t xml:space="preserve">Match Play</t>
        </is>
      </c>
      <c r="D51" s="34" t="inlineStr">
        <is>
          <t xml:space="preserve">Singles</t>
        </is>
      </c>
      <c r="E51" s="43">
        <v>18</v>
      </c>
      <c r="F51" s="45">
        <v>2</v>
      </c>
      <c r="G51" s="34" t="inlineStr">
        <is>
          <t xml:space="preserve">Ferrin</t>
        </is>
      </c>
      <c r="H51" s="34" t="inlineStr">
        <is>
          <t xml:space="preserve">Shively</t>
        </is>
      </c>
      <c r="I51" s="34"/>
      <c r="J51" s="34" t="inlineStr">
        <is>
          <t xml:space="preserve">Connolly</t>
        </is>
      </c>
      <c r="K51" s="34"/>
      <c r="L51" s="45">
        <v>10.98</v>
      </c>
      <c r="M51" s="45">
        <v>10.98</v>
      </c>
      <c r="N51" s="34" t="inlineStr">
        <is>
          <t xml:space="preserve">Getting</t>
        </is>
      </c>
      <c r="O51" s="45">
        <v>2</v>
      </c>
      <c r="P51" s="45">
        <v>1.053</v>
      </c>
      <c r="Q51" s="45">
        <v>0.947</v>
      </c>
      <c r="R51" s="34" t="inlineStr">
        <is>
          <t xml:space="preserve">Index x slope (Handicaps tab)</t>
        </is>
      </c>
    </row>
    <row r="52" spans="1:18">
      <c r="A52" s="40">
        <v>2</v>
      </c>
      <c r="B52" s="31" t="inlineStr">
        <is>
          <t xml:space="preserve">FBC2-S-Connors-Fogan</t>
        </is>
      </c>
      <c r="C52" s="31" t="inlineStr">
        <is>
          <t xml:space="preserve">Match Play</t>
        </is>
      </c>
      <c r="D52" s="31" t="inlineStr">
        <is>
          <t xml:space="preserve">Singles</t>
        </is>
      </c>
      <c r="E52" s="40">
        <v>18</v>
      </c>
      <c r="F52" s="42">
        <v>2</v>
      </c>
      <c r="G52" s="31" t="inlineStr">
        <is>
          <t xml:space="preserve">Connolly</t>
        </is>
      </c>
      <c r="H52" s="31" t="inlineStr">
        <is>
          <t xml:space="preserve">Connors</t>
        </is>
      </c>
      <c r="I52" s="31"/>
      <c r="J52" s="31" t="inlineStr">
        <is>
          <t xml:space="preserve">Fogan</t>
        </is>
      </c>
      <c r="K52" s="31"/>
      <c r="L52" s="42">
        <v>-14.72</v>
      </c>
      <c r="M52" s="42">
        <v>-14.72</v>
      </c>
      <c r="N52" s="31" t="inlineStr">
        <is>
          <t xml:space="preserve">Giving</t>
        </is>
      </c>
      <c r="O52" s="42">
        <v>0</v>
      </c>
      <c r="P52" s="42">
        <v>0.874</v>
      </c>
      <c r="Q52" s="42">
        <v>-0.874</v>
      </c>
      <c r="R52" s="31" t="inlineStr">
        <is>
          <t xml:space="preserve">Index x slope (Handicaps tab)</t>
        </is>
      </c>
    </row>
    <row r="53" spans="1:18">
      <c r="A53" s="43">
        <v>2</v>
      </c>
      <c r="B53" s="34" t="inlineStr">
        <is>
          <t xml:space="preserve">FBC2-S-Connors-Fogan</t>
        </is>
      </c>
      <c r="C53" s="34" t="inlineStr">
        <is>
          <t xml:space="preserve">Match Play</t>
        </is>
      </c>
      <c r="D53" s="34" t="inlineStr">
        <is>
          <t xml:space="preserve">Singles</t>
        </is>
      </c>
      <c r="E53" s="43">
        <v>18</v>
      </c>
      <c r="F53" s="45">
        <v>2</v>
      </c>
      <c r="G53" s="34" t="inlineStr">
        <is>
          <t xml:space="preserve">Ferrin</t>
        </is>
      </c>
      <c r="H53" s="34" t="inlineStr">
        <is>
          <t xml:space="preserve">Fogan</t>
        </is>
      </c>
      <c r="I53" s="34"/>
      <c r="J53" s="34" t="inlineStr">
        <is>
          <t xml:space="preserve">Connors</t>
        </is>
      </c>
      <c r="K53" s="34"/>
      <c r="L53" s="45">
        <v>14.72</v>
      </c>
      <c r="M53" s="45">
        <v>14.72</v>
      </c>
      <c r="N53" s="34" t="inlineStr">
        <is>
          <t xml:space="preserve">Getting</t>
        </is>
      </c>
      <c r="O53" s="45">
        <v>2</v>
      </c>
      <c r="P53" s="45">
        <v>1.126</v>
      </c>
      <c r="Q53" s="45">
        <v>0.874</v>
      </c>
      <c r="R53" s="34" t="inlineStr">
        <is>
          <t xml:space="preserve">Index x slope (Handicaps tab)</t>
        </is>
      </c>
    </row>
    <row r="54" spans="1:18">
      <c r="A54" s="40">
        <v>2</v>
      </c>
      <c r="B54" s="31" t="inlineStr">
        <is>
          <t xml:space="preserve">FBC2-S-Ferrin-Flanders</t>
        </is>
      </c>
      <c r="C54" s="31" t="inlineStr">
        <is>
          <t xml:space="preserve">Match Play</t>
        </is>
      </c>
      <c r="D54" s="31" t="inlineStr">
        <is>
          <t xml:space="preserve">Singles</t>
        </is>
      </c>
      <c r="E54" s="40">
        <v>18</v>
      </c>
      <c r="F54" s="42">
        <v>2</v>
      </c>
      <c r="G54" s="31" t="inlineStr">
        <is>
          <t xml:space="preserve">Connolly</t>
        </is>
      </c>
      <c r="H54" s="31" t="inlineStr">
        <is>
          <t xml:space="preserve">Flanders</t>
        </is>
      </c>
      <c r="I54" s="31"/>
      <c r="J54" s="31" t="inlineStr">
        <is>
          <t xml:space="preserve">Ferrin</t>
        </is>
      </c>
      <c r="K54" s="31"/>
      <c r="L54" s="42">
        <v>-6.42</v>
      </c>
      <c r="M54" s="42">
        <v>-6.42</v>
      </c>
      <c r="N54" s="31" t="inlineStr">
        <is>
          <t xml:space="preserve">Giving</t>
        </is>
      </c>
      <c r="O54" s="42">
        <v>0</v>
      </c>
      <c r="P54" s="42">
        <v>1.036</v>
      </c>
      <c r="Q54" s="42">
        <v>-1.036</v>
      </c>
      <c r="R54" s="31" t="inlineStr">
        <is>
          <t xml:space="preserve">Index x slope (Handicaps tab)</t>
        </is>
      </c>
    </row>
    <row r="55" spans="1:18">
      <c r="A55" s="43">
        <v>2</v>
      </c>
      <c r="B55" s="34" t="inlineStr">
        <is>
          <t xml:space="preserve">FBC2-S-Ferrin-Flanders</t>
        </is>
      </c>
      <c r="C55" s="34" t="inlineStr">
        <is>
          <t xml:space="preserve">Match Play</t>
        </is>
      </c>
      <c r="D55" s="34" t="inlineStr">
        <is>
          <t xml:space="preserve">Singles</t>
        </is>
      </c>
      <c r="E55" s="43">
        <v>18</v>
      </c>
      <c r="F55" s="45">
        <v>2</v>
      </c>
      <c r="G55" s="34" t="inlineStr">
        <is>
          <t xml:space="preserve">Ferrin</t>
        </is>
      </c>
      <c r="H55" s="34" t="inlineStr">
        <is>
          <t xml:space="preserve">Ferrin</t>
        </is>
      </c>
      <c r="I55" s="34"/>
      <c r="J55" s="34" t="inlineStr">
        <is>
          <t xml:space="preserve">Flanders</t>
        </is>
      </c>
      <c r="K55" s="34"/>
      <c r="L55" s="45">
        <v>6.42</v>
      </c>
      <c r="M55" s="45">
        <v>6.42</v>
      </c>
      <c r="N55" s="34" t="inlineStr">
        <is>
          <t xml:space="preserve">Getting</t>
        </is>
      </c>
      <c r="O55" s="45">
        <v>2</v>
      </c>
      <c r="P55" s="45">
        <v>0.964</v>
      </c>
      <c r="Q55" s="45">
        <v>1.036</v>
      </c>
      <c r="R55" s="34" t="inlineStr">
        <is>
          <t xml:space="preserve">Index x slope (Handicaps tab)</t>
        </is>
      </c>
    </row>
    <row r="56" spans="1:18">
      <c r="A56" s="40">
        <v>2</v>
      </c>
      <c r="B56" s="31" t="inlineStr">
        <is>
          <t xml:space="preserve">FBC2-S-Hilts-Mangold</t>
        </is>
      </c>
      <c r="C56" s="31" t="inlineStr">
        <is>
          <t xml:space="preserve">Match Play</t>
        </is>
      </c>
      <c r="D56" s="31" t="inlineStr">
        <is>
          <t xml:space="preserve">Singles</t>
        </is>
      </c>
      <c r="E56" s="40">
        <v>18</v>
      </c>
      <c r="F56" s="42">
        <v>2</v>
      </c>
      <c r="G56" s="31" t="inlineStr">
        <is>
          <t xml:space="preserve">Connolly</t>
        </is>
      </c>
      <c r="H56" s="31" t="inlineStr">
        <is>
          <t xml:space="preserve">Hilts</t>
        </is>
      </c>
      <c r="I56" s="31"/>
      <c r="J56" s="31" t="inlineStr">
        <is>
          <t xml:space="preserve">Mangold</t>
        </is>
      </c>
      <c r="K56" s="31"/>
      <c r="L56" s="42">
        <v>3.15</v>
      </c>
      <c r="M56" s="42">
        <v>3.15</v>
      </c>
      <c r="N56" s="31" t="inlineStr">
        <is>
          <t xml:space="preserve">Getting</t>
        </is>
      </c>
      <c r="O56" s="42">
        <v>0</v>
      </c>
      <c r="P56" s="42">
        <v>0.9</v>
      </c>
      <c r="Q56" s="42">
        <v>-0.9</v>
      </c>
      <c r="R56" s="31" t="inlineStr">
        <is>
          <t xml:space="preserve">Index x slope (Handicaps tab)</t>
        </is>
      </c>
    </row>
    <row r="57" spans="1:18">
      <c r="A57" s="43">
        <v>2</v>
      </c>
      <c r="B57" s="34" t="inlineStr">
        <is>
          <t xml:space="preserve">FBC2-S-Hilts-Mangold</t>
        </is>
      </c>
      <c r="C57" s="34" t="inlineStr">
        <is>
          <t xml:space="preserve">Match Play</t>
        </is>
      </c>
      <c r="D57" s="34" t="inlineStr">
        <is>
          <t xml:space="preserve">Singles</t>
        </is>
      </c>
      <c r="E57" s="43">
        <v>18</v>
      </c>
      <c r="F57" s="45">
        <v>2</v>
      </c>
      <c r="G57" s="34" t="inlineStr">
        <is>
          <t xml:space="preserve">Ferrin</t>
        </is>
      </c>
      <c r="H57" s="34" t="inlineStr">
        <is>
          <t xml:space="preserve">Mangold</t>
        </is>
      </c>
      <c r="I57" s="34"/>
      <c r="J57" s="34" t="inlineStr">
        <is>
          <t xml:space="preserve">Hilts</t>
        </is>
      </c>
      <c r="K57" s="34"/>
      <c r="L57" s="45">
        <v>-3.15</v>
      </c>
      <c r="M57" s="45">
        <v>-3.15</v>
      </c>
      <c r="N57" s="34" t="inlineStr">
        <is>
          <t xml:space="preserve">Giving</t>
        </is>
      </c>
      <c r="O57" s="45">
        <v>2</v>
      </c>
      <c r="P57" s="45">
        <v>1.1</v>
      </c>
      <c r="Q57" s="45">
        <v>0.9</v>
      </c>
      <c r="R57" s="34" t="inlineStr">
        <is>
          <t xml:space="preserve">Index x slope (Handicaps tab)</t>
        </is>
      </c>
    </row>
    <row r="58" spans="1:18">
      <c r="A58" s="40">
        <v>3</v>
      </c>
      <c r="B58" s="31" t="inlineStr">
        <is>
          <t xml:space="preserve">FBC3-D1</t>
        </is>
      </c>
      <c r="C58" s="31" t="inlineStr">
        <is>
          <t xml:space="preserve">Best Ball</t>
        </is>
      </c>
      <c r="D58" s="31" t="inlineStr">
        <is>
          <t xml:space="preserve">Four-ball</t>
        </is>
      </c>
      <c r="E58" s="40">
        <v>9</v>
      </c>
      <c r="F58" s="42">
        <v>1</v>
      </c>
      <c r="G58" s="31" t="inlineStr">
        <is>
          <t xml:space="preserve">Shively</t>
        </is>
      </c>
      <c r="H58" s="31" t="inlineStr">
        <is>
          <t xml:space="preserve">Ferrin</t>
        </is>
      </c>
      <c r="I58" s="31" t="inlineStr">
        <is>
          <t xml:space="preserve">Shively</t>
        </is>
      </c>
      <c r="J58" s="31" t="inlineStr">
        <is>
          <t xml:space="preserve">Connolly</t>
        </is>
      </c>
      <c r="K58" s="31" t="inlineStr">
        <is>
          <t xml:space="preserve">Hilts</t>
        </is>
      </c>
      <c r="L58" s="42">
        <v>6.5</v>
      </c>
      <c r="M58" s="42">
        <v>3.25</v>
      </c>
      <c r="N58" s="31" t="inlineStr">
        <is>
          <t xml:space="preserve">Getting</t>
        </is>
      </c>
      <c r="O58" s="42">
        <v>1</v>
      </c>
      <c r="P58" s="42">
        <v>0.441</v>
      </c>
      <c r="Q58" s="42">
        <v>0.559</v>
      </c>
      <c r="R58" s="31" t="inlineStr">
        <is>
          <t xml:space="preserve">FBC 8/Handicaps (FBC 8) (Final).xlsx [3 Results]</t>
        </is>
      </c>
    </row>
    <row r="59" spans="1:18">
      <c r="A59" s="43">
        <v>3</v>
      </c>
      <c r="B59" s="34" t="inlineStr">
        <is>
          <t xml:space="preserve">FBC3-D1</t>
        </is>
      </c>
      <c r="C59" s="34" t="inlineStr">
        <is>
          <t xml:space="preserve">Best Ball</t>
        </is>
      </c>
      <c r="D59" s="34" t="inlineStr">
        <is>
          <t xml:space="preserve">Four-ball</t>
        </is>
      </c>
      <c r="E59" s="43">
        <v>9</v>
      </c>
      <c r="F59" s="45">
        <v>1</v>
      </c>
      <c r="G59" s="34" t="inlineStr">
        <is>
          <t xml:space="preserve">Lynch</t>
        </is>
      </c>
      <c r="H59" s="34" t="inlineStr">
        <is>
          <t xml:space="preserve">Connolly</t>
        </is>
      </c>
      <c r="I59" s="34" t="inlineStr">
        <is>
          <t xml:space="preserve">Hilts</t>
        </is>
      </c>
      <c r="J59" s="34" t="inlineStr">
        <is>
          <t xml:space="preserve">Ferrin</t>
        </is>
      </c>
      <c r="K59" s="34" t="inlineStr">
        <is>
          <t xml:space="preserve">Shively</t>
        </is>
      </c>
      <c r="L59" s="45">
        <v>-6.5</v>
      </c>
      <c r="M59" s="45">
        <v>-3.25</v>
      </c>
      <c r="N59" s="34" t="inlineStr">
        <is>
          <t xml:space="preserve">Giving</t>
        </is>
      </c>
      <c r="O59" s="45">
        <v>0</v>
      </c>
      <c r="P59" s="45">
        <v>0.559</v>
      </c>
      <c r="Q59" s="45">
        <v>-0.559</v>
      </c>
      <c r="R59" s="34" t="inlineStr">
        <is>
          <t xml:space="preserve">FBC 8/Handicaps (FBC 8) (Final).xlsx [3 Results]</t>
        </is>
      </c>
    </row>
    <row r="60" spans="1:18">
      <c r="A60" s="40">
        <v>3</v>
      </c>
      <c r="B60" s="31" t="inlineStr">
        <is>
          <t xml:space="preserve">FBC3-D2</t>
        </is>
      </c>
      <c r="C60" s="31" t="inlineStr">
        <is>
          <t xml:space="preserve">Best Ball</t>
        </is>
      </c>
      <c r="D60" s="31" t="inlineStr">
        <is>
          <t xml:space="preserve">Four-ball</t>
        </is>
      </c>
      <c r="E60" s="40">
        <v>9</v>
      </c>
      <c r="F60" s="42">
        <v>1</v>
      </c>
      <c r="G60" s="31" t="inlineStr">
        <is>
          <t xml:space="preserve">Lynch</t>
        </is>
      </c>
      <c r="H60" s="31" t="inlineStr">
        <is>
          <t xml:space="preserve">Fogan</t>
        </is>
      </c>
      <c r="I60" s="31" t="inlineStr">
        <is>
          <t xml:space="preserve">Weisberger</t>
        </is>
      </c>
      <c r="J60" s="31" t="inlineStr">
        <is>
          <t xml:space="preserve">Grise</t>
        </is>
      </c>
      <c r="K60" s="31" t="inlineStr">
        <is>
          <t xml:space="preserve">Jackson</t>
        </is>
      </c>
      <c r="L60" s="42">
        <v>8.5</v>
      </c>
      <c r="M60" s="42">
        <v>4.25</v>
      </c>
      <c r="N60" s="31" t="inlineStr">
        <is>
          <t xml:space="preserve">Getting</t>
        </is>
      </c>
      <c r="O60" s="42">
        <v>1</v>
      </c>
      <c r="P60" s="42">
        <v>0.447</v>
      </c>
      <c r="Q60" s="42">
        <v>0.553</v>
      </c>
      <c r="R60" s="31" t="inlineStr">
        <is>
          <t xml:space="preserve">FBC 8/Handicaps (FBC 8) (Final).xlsx [3 Results]</t>
        </is>
      </c>
    </row>
    <row r="61" spans="1:18">
      <c r="A61" s="43">
        <v>3</v>
      </c>
      <c r="B61" s="34" t="inlineStr">
        <is>
          <t xml:space="preserve">FBC3-D2</t>
        </is>
      </c>
      <c r="C61" s="34" t="inlineStr">
        <is>
          <t xml:space="preserve">Best Ball</t>
        </is>
      </c>
      <c r="D61" s="34" t="inlineStr">
        <is>
          <t xml:space="preserve">Four-ball</t>
        </is>
      </c>
      <c r="E61" s="43">
        <v>9</v>
      </c>
      <c r="F61" s="45">
        <v>1</v>
      </c>
      <c r="G61" s="34" t="inlineStr">
        <is>
          <t xml:space="preserve">Shively</t>
        </is>
      </c>
      <c r="H61" s="34" t="inlineStr">
        <is>
          <t xml:space="preserve">Grise</t>
        </is>
      </c>
      <c r="I61" s="34" t="inlineStr">
        <is>
          <t xml:space="preserve">Jackson</t>
        </is>
      </c>
      <c r="J61" s="34" t="inlineStr">
        <is>
          <t xml:space="preserve">Fogan</t>
        </is>
      </c>
      <c r="K61" s="34" t="inlineStr">
        <is>
          <t xml:space="preserve">Weisberger</t>
        </is>
      </c>
      <c r="L61" s="45">
        <v>-8.5</v>
      </c>
      <c r="M61" s="45">
        <v>-4.25</v>
      </c>
      <c r="N61" s="34" t="inlineStr">
        <is>
          <t xml:space="preserve">Giving</t>
        </is>
      </c>
      <c r="O61" s="45">
        <v>0</v>
      </c>
      <c r="P61" s="45">
        <v>0.553</v>
      </c>
      <c r="Q61" s="45">
        <v>-0.553</v>
      </c>
      <c r="R61" s="34" t="inlineStr">
        <is>
          <t xml:space="preserve">FBC 8/Handicaps (FBC 8) (Final).xlsx [3 Results]</t>
        </is>
      </c>
    </row>
    <row r="62" spans="1:18">
      <c r="A62" s="40">
        <v>3</v>
      </c>
      <c r="B62" s="31" t="inlineStr">
        <is>
          <t xml:space="preserve">FBC3-D3</t>
        </is>
      </c>
      <c r="C62" s="31" t="inlineStr">
        <is>
          <t xml:space="preserve">Best Ball</t>
        </is>
      </c>
      <c r="D62" s="31" t="inlineStr">
        <is>
          <t xml:space="preserve">Four-ball</t>
        </is>
      </c>
      <c r="E62" s="40">
        <v>9</v>
      </c>
      <c r="F62" s="42">
        <v>1</v>
      </c>
      <c r="G62" s="31" t="inlineStr">
        <is>
          <t xml:space="preserve">Shively</t>
        </is>
      </c>
      <c r="H62" s="31" t="inlineStr">
        <is>
          <t xml:space="preserve">Flanders</t>
        </is>
      </c>
      <c r="I62" s="31" t="inlineStr">
        <is>
          <t xml:space="preserve">Forster</t>
        </is>
      </c>
      <c r="J62" s="31" t="inlineStr">
        <is>
          <t xml:space="preserve">Gray</t>
        </is>
      </c>
      <c r="K62" s="31" t="inlineStr">
        <is>
          <t xml:space="preserve">Zimmer</t>
        </is>
      </c>
      <c r="L62" s="42">
        <v>8</v>
      </c>
      <c r="M62" s="42">
        <v>4</v>
      </c>
      <c r="N62" s="31" t="inlineStr">
        <is>
          <t xml:space="preserve">Getting</t>
        </is>
      </c>
      <c r="O62" s="42">
        <v>0</v>
      </c>
      <c r="P62" s="42">
        <v>0.445</v>
      </c>
      <c r="Q62" s="42">
        <v>-0.445</v>
      </c>
      <c r="R62" s="31" t="inlineStr">
        <is>
          <t xml:space="preserve">FBC 8/Handicaps (FBC 8) (Final).xlsx [3 Results]</t>
        </is>
      </c>
    </row>
    <row r="63" spans="1:18">
      <c r="A63" s="43">
        <v>3</v>
      </c>
      <c r="B63" s="34" t="inlineStr">
        <is>
          <t xml:space="preserve">FBC3-D3</t>
        </is>
      </c>
      <c r="C63" s="34" t="inlineStr">
        <is>
          <t xml:space="preserve">Best Ball</t>
        </is>
      </c>
      <c r="D63" s="34" t="inlineStr">
        <is>
          <t xml:space="preserve">Four-ball</t>
        </is>
      </c>
      <c r="E63" s="43">
        <v>9</v>
      </c>
      <c r="F63" s="45">
        <v>1</v>
      </c>
      <c r="G63" s="34" t="inlineStr">
        <is>
          <t xml:space="preserve">Lynch</t>
        </is>
      </c>
      <c r="H63" s="34" t="inlineStr">
        <is>
          <t xml:space="preserve">Gray</t>
        </is>
      </c>
      <c r="I63" s="34" t="inlineStr">
        <is>
          <t xml:space="preserve">Zimmer</t>
        </is>
      </c>
      <c r="J63" s="34" t="inlineStr">
        <is>
          <t xml:space="preserve">Flanders</t>
        </is>
      </c>
      <c r="K63" s="34" t="inlineStr">
        <is>
          <t xml:space="preserve">Forster</t>
        </is>
      </c>
      <c r="L63" s="45">
        <v>-8</v>
      </c>
      <c r="M63" s="45">
        <v>-4</v>
      </c>
      <c r="N63" s="34" t="inlineStr">
        <is>
          <t xml:space="preserve">Giving</t>
        </is>
      </c>
      <c r="O63" s="45">
        <v>1</v>
      </c>
      <c r="P63" s="45">
        <v>0.555</v>
      </c>
      <c r="Q63" s="45">
        <v>0.445</v>
      </c>
      <c r="R63" s="34" t="inlineStr">
        <is>
          <t xml:space="preserve">FBC 8/Handicaps (FBC 8) (Final).xlsx [3 Results]</t>
        </is>
      </c>
    </row>
    <row r="64" spans="1:18">
      <c r="A64" s="40">
        <v>3</v>
      </c>
      <c r="B64" s="31" t="inlineStr">
        <is>
          <t xml:space="preserve">FBC3-D4</t>
        </is>
      </c>
      <c r="C64" s="31" t="inlineStr">
        <is>
          <t xml:space="preserve">Best Ball</t>
        </is>
      </c>
      <c r="D64" s="31" t="inlineStr">
        <is>
          <t xml:space="preserve">Four-ball</t>
        </is>
      </c>
      <c r="E64" s="40">
        <v>9</v>
      </c>
      <c r="F64" s="42">
        <v>1</v>
      </c>
      <c r="G64" s="31" t="inlineStr">
        <is>
          <t xml:space="preserve">Lynch</t>
        </is>
      </c>
      <c r="H64" s="31" t="inlineStr">
        <is>
          <t xml:space="preserve">Hickerson</t>
        </is>
      </c>
      <c r="I64" s="31" t="inlineStr">
        <is>
          <t xml:space="preserve">Lynch</t>
        </is>
      </c>
      <c r="J64" s="31" t="inlineStr">
        <is>
          <t xml:space="preserve">Bussiculo</t>
        </is>
      </c>
      <c r="K64" s="31" t="inlineStr">
        <is>
          <t xml:space="preserve">Mangold</t>
        </is>
      </c>
      <c r="L64" s="42">
        <v>3</v>
      </c>
      <c r="M64" s="42">
        <v>1.5</v>
      </c>
      <c r="N64" s="31" t="inlineStr">
        <is>
          <t xml:space="preserve">Getting</t>
        </is>
      </c>
      <c r="O64" s="42">
        <v>1</v>
      </c>
      <c r="P64" s="42">
        <v>0.429</v>
      </c>
      <c r="Q64" s="42">
        <v>0.571</v>
      </c>
      <c r="R64" s="31" t="inlineStr">
        <is>
          <t xml:space="preserve">FBC 8/Handicaps (FBC 8) (Final).xlsx [3 Results]</t>
        </is>
      </c>
    </row>
    <row r="65" spans="1:18">
      <c r="A65" s="43">
        <v>3</v>
      </c>
      <c r="B65" s="34" t="inlineStr">
        <is>
          <t xml:space="preserve">FBC3-D4</t>
        </is>
      </c>
      <c r="C65" s="34" t="inlineStr">
        <is>
          <t xml:space="preserve">Best Ball</t>
        </is>
      </c>
      <c r="D65" s="34" t="inlineStr">
        <is>
          <t xml:space="preserve">Four-ball</t>
        </is>
      </c>
      <c r="E65" s="43">
        <v>9</v>
      </c>
      <c r="F65" s="45">
        <v>1</v>
      </c>
      <c r="G65" s="34" t="inlineStr">
        <is>
          <t xml:space="preserve">Shively</t>
        </is>
      </c>
      <c r="H65" s="34" t="inlineStr">
        <is>
          <t xml:space="preserve">Bussiculo</t>
        </is>
      </c>
      <c r="I65" s="34" t="inlineStr">
        <is>
          <t xml:space="preserve">Mangold</t>
        </is>
      </c>
      <c r="J65" s="34" t="inlineStr">
        <is>
          <t xml:space="preserve">Hickerson</t>
        </is>
      </c>
      <c r="K65" s="34" t="inlineStr">
        <is>
          <t xml:space="preserve">Lynch</t>
        </is>
      </c>
      <c r="L65" s="45">
        <v>-3</v>
      </c>
      <c r="M65" s="45">
        <v>-1.5</v>
      </c>
      <c r="N65" s="34" t="inlineStr">
        <is>
          <t xml:space="preserve">Giving</t>
        </is>
      </c>
      <c r="O65" s="45">
        <v>0</v>
      </c>
      <c r="P65" s="45">
        <v>0.571</v>
      </c>
      <c r="Q65" s="45">
        <v>-0.571</v>
      </c>
      <c r="R65" s="34" t="inlineStr">
        <is>
          <t xml:space="preserve">FBC 8/Handicaps (FBC 8) (Final).xlsx [3 Results]</t>
        </is>
      </c>
    </row>
    <row r="66" spans="1:18">
      <c r="A66" s="40">
        <v>3</v>
      </c>
      <c r="B66" s="31" t="inlineStr">
        <is>
          <t xml:space="preserve">FBC3-D5</t>
        </is>
      </c>
      <c r="C66" s="31" t="inlineStr">
        <is>
          <t xml:space="preserve">Best Ball</t>
        </is>
      </c>
      <c r="D66" s="31" t="inlineStr">
        <is>
          <t xml:space="preserve">Four-ball</t>
        </is>
      </c>
      <c r="E66" s="40">
        <v>9</v>
      </c>
      <c r="F66" s="42">
        <v>1</v>
      </c>
      <c r="G66" s="31" t="inlineStr">
        <is>
          <t xml:space="preserve">Shively</t>
        </is>
      </c>
      <c r="H66" s="31" t="inlineStr">
        <is>
          <t xml:space="preserve">Connors</t>
        </is>
      </c>
      <c r="I66" s="31" t="inlineStr">
        <is>
          <t xml:space="preserve">Norat</t>
        </is>
      </c>
      <c r="J66" s="31" t="inlineStr">
        <is>
          <t xml:space="preserve">Cole</t>
        </is>
      </c>
      <c r="K66" s="31" t="inlineStr">
        <is>
          <t xml:space="preserve">McInerney</t>
        </is>
      </c>
      <c r="L66" s="42">
        <v>1</v>
      </c>
      <c r="M66" s="42">
        <v>0.5</v>
      </c>
      <c r="N66" s="31" t="inlineStr">
        <is>
          <t xml:space="preserve">Getting</t>
        </is>
      </c>
      <c r="O66" s="42">
        <v>0</v>
      </c>
      <c r="P66" s="42">
        <v>0.423</v>
      </c>
      <c r="Q66" s="42">
        <v>-0.423</v>
      </c>
      <c r="R66" s="31" t="inlineStr">
        <is>
          <t xml:space="preserve">FBC 8/Handicaps (FBC 8) (Final).xlsx [3 Results]</t>
        </is>
      </c>
    </row>
    <row r="67" spans="1:18">
      <c r="A67" s="43">
        <v>3</v>
      </c>
      <c r="B67" s="34" t="inlineStr">
        <is>
          <t xml:space="preserve">FBC3-D5</t>
        </is>
      </c>
      <c r="C67" s="34" t="inlineStr">
        <is>
          <t xml:space="preserve">Best Ball</t>
        </is>
      </c>
      <c r="D67" s="34" t="inlineStr">
        <is>
          <t xml:space="preserve">Four-ball</t>
        </is>
      </c>
      <c r="E67" s="43">
        <v>9</v>
      </c>
      <c r="F67" s="45">
        <v>1</v>
      </c>
      <c r="G67" s="34" t="inlineStr">
        <is>
          <t xml:space="preserve">Lynch</t>
        </is>
      </c>
      <c r="H67" s="34" t="inlineStr">
        <is>
          <t xml:space="preserve">Cole</t>
        </is>
      </c>
      <c r="I67" s="34" t="inlineStr">
        <is>
          <t xml:space="preserve">McInerney</t>
        </is>
      </c>
      <c r="J67" s="34" t="inlineStr">
        <is>
          <t xml:space="preserve">Connors</t>
        </is>
      </c>
      <c r="K67" s="34" t="inlineStr">
        <is>
          <t xml:space="preserve">Norat</t>
        </is>
      </c>
      <c r="L67" s="45">
        <v>-1</v>
      </c>
      <c r="M67" s="45">
        <v>-0.5</v>
      </c>
      <c r="N67" s="34" t="inlineStr">
        <is>
          <t xml:space="preserve">Giving</t>
        </is>
      </c>
      <c r="O67" s="45">
        <v>1</v>
      </c>
      <c r="P67" s="45">
        <v>0.577</v>
      </c>
      <c r="Q67" s="45">
        <v>0.423</v>
      </c>
      <c r="R67" s="34" t="inlineStr">
        <is>
          <t xml:space="preserve">FBC 8/Handicaps (FBC 8) (Final).xlsx [3 Results]</t>
        </is>
      </c>
    </row>
    <row r="68" spans="1:18">
      <c r="A68" s="40">
        <v>3</v>
      </c>
      <c r="B68" s="31" t="inlineStr">
        <is>
          <t xml:space="preserve">FBC3-D6</t>
        </is>
      </c>
      <c r="C68" s="31" t="inlineStr">
        <is>
          <t xml:space="preserve">Hi-Lo</t>
        </is>
      </c>
      <c r="D68" s="31" t="inlineStr">
        <is>
          <t xml:space="preserve">Four-ball</t>
        </is>
      </c>
      <c r="E68" s="40">
        <v>9</v>
      </c>
      <c r="F68" s="42">
        <v>1</v>
      </c>
      <c r="G68" s="31" t="inlineStr">
        <is>
          <t xml:space="preserve">Shively</t>
        </is>
      </c>
      <c r="H68" s="31" t="inlineStr">
        <is>
          <t xml:space="preserve">Ferrin</t>
        </is>
      </c>
      <c r="I68" s="31" t="inlineStr">
        <is>
          <t xml:space="preserve">Shively</t>
        </is>
      </c>
      <c r="J68" s="31" t="inlineStr">
        <is>
          <t xml:space="preserve">Connolly</t>
        </is>
      </c>
      <c r="K68" s="31" t="inlineStr">
        <is>
          <t xml:space="preserve">Hilts</t>
        </is>
      </c>
      <c r="L68" s="42">
        <v>6.5</v>
      </c>
      <c r="M68" s="42">
        <v>3.25</v>
      </c>
      <c r="N68" s="31" t="inlineStr">
        <is>
          <t xml:space="preserve">Getting</t>
        </is>
      </c>
      <c r="O68" s="42">
        <v>0</v>
      </c>
      <c r="P68" s="42">
        <v>0.441</v>
      </c>
      <c r="Q68" s="42">
        <v>-0.441</v>
      </c>
      <c r="R68" s="31" t="inlineStr">
        <is>
          <t xml:space="preserve">FBC 8/Handicaps (FBC 8) (Final).xlsx [3 Results]</t>
        </is>
      </c>
    </row>
    <row r="69" spans="1:18">
      <c r="A69" s="43">
        <v>3</v>
      </c>
      <c r="B69" s="34" t="inlineStr">
        <is>
          <t xml:space="preserve">FBC3-D6</t>
        </is>
      </c>
      <c r="C69" s="34" t="inlineStr">
        <is>
          <t xml:space="preserve">Hi-Lo</t>
        </is>
      </c>
      <c r="D69" s="34" t="inlineStr">
        <is>
          <t xml:space="preserve">Four-ball</t>
        </is>
      </c>
      <c r="E69" s="43">
        <v>9</v>
      </c>
      <c r="F69" s="45">
        <v>1</v>
      </c>
      <c r="G69" s="34" t="inlineStr">
        <is>
          <t xml:space="preserve">Lynch</t>
        </is>
      </c>
      <c r="H69" s="34" t="inlineStr">
        <is>
          <t xml:space="preserve">Connolly</t>
        </is>
      </c>
      <c r="I69" s="34" t="inlineStr">
        <is>
          <t xml:space="preserve">Hilts</t>
        </is>
      </c>
      <c r="J69" s="34" t="inlineStr">
        <is>
          <t xml:space="preserve">Ferrin</t>
        </is>
      </c>
      <c r="K69" s="34" t="inlineStr">
        <is>
          <t xml:space="preserve">Shively</t>
        </is>
      </c>
      <c r="L69" s="45">
        <v>-6.5</v>
      </c>
      <c r="M69" s="45">
        <v>-3.25</v>
      </c>
      <c r="N69" s="34" t="inlineStr">
        <is>
          <t xml:space="preserve">Giving</t>
        </is>
      </c>
      <c r="O69" s="45">
        <v>1</v>
      </c>
      <c r="P69" s="45">
        <v>0.559</v>
      </c>
      <c r="Q69" s="45">
        <v>0.441</v>
      </c>
      <c r="R69" s="34" t="inlineStr">
        <is>
          <t xml:space="preserve">FBC 8/Handicaps (FBC 8) (Final).xlsx [3 Results]</t>
        </is>
      </c>
    </row>
    <row r="70" spans="1:18">
      <c r="A70" s="40">
        <v>3</v>
      </c>
      <c r="B70" s="31" t="inlineStr">
        <is>
          <t xml:space="preserve">FBC3-D7</t>
        </is>
      </c>
      <c r="C70" s="31" t="inlineStr">
        <is>
          <t xml:space="preserve">Hi-Lo</t>
        </is>
      </c>
      <c r="D70" s="31" t="inlineStr">
        <is>
          <t xml:space="preserve">Four-ball</t>
        </is>
      </c>
      <c r="E70" s="40">
        <v>9</v>
      </c>
      <c r="F70" s="42">
        <v>1</v>
      </c>
      <c r="G70" s="31" t="inlineStr">
        <is>
          <t xml:space="preserve">Lynch</t>
        </is>
      </c>
      <c r="H70" s="31" t="inlineStr">
        <is>
          <t xml:space="preserve">Fogan</t>
        </is>
      </c>
      <c r="I70" s="31" t="inlineStr">
        <is>
          <t xml:space="preserve">Weisberger</t>
        </is>
      </c>
      <c r="J70" s="31" t="inlineStr">
        <is>
          <t xml:space="preserve">Grise</t>
        </is>
      </c>
      <c r="K70" s="31" t="inlineStr">
        <is>
          <t xml:space="preserve">Jackson</t>
        </is>
      </c>
      <c r="L70" s="42">
        <v>8.5</v>
      </c>
      <c r="M70" s="42">
        <v>4.25</v>
      </c>
      <c r="N70" s="31" t="inlineStr">
        <is>
          <t xml:space="preserve">Getting</t>
        </is>
      </c>
      <c r="O70" s="42">
        <v>0</v>
      </c>
      <c r="P70" s="42">
        <v>0.447</v>
      </c>
      <c r="Q70" s="42">
        <v>-0.447</v>
      </c>
      <c r="R70" s="31" t="inlineStr">
        <is>
          <t xml:space="preserve">FBC 8/Handicaps (FBC 8) (Final).xlsx [3 Results]</t>
        </is>
      </c>
    </row>
    <row r="71" spans="1:18">
      <c r="A71" s="43">
        <v>3</v>
      </c>
      <c r="B71" s="34" t="inlineStr">
        <is>
          <t xml:space="preserve">FBC3-D7</t>
        </is>
      </c>
      <c r="C71" s="34" t="inlineStr">
        <is>
          <t xml:space="preserve">Hi-Lo</t>
        </is>
      </c>
      <c r="D71" s="34" t="inlineStr">
        <is>
          <t xml:space="preserve">Four-ball</t>
        </is>
      </c>
      <c r="E71" s="43">
        <v>9</v>
      </c>
      <c r="F71" s="45">
        <v>1</v>
      </c>
      <c r="G71" s="34" t="inlineStr">
        <is>
          <t xml:space="preserve">Shively</t>
        </is>
      </c>
      <c r="H71" s="34" t="inlineStr">
        <is>
          <t xml:space="preserve">Grise</t>
        </is>
      </c>
      <c r="I71" s="34" t="inlineStr">
        <is>
          <t xml:space="preserve">Jackson</t>
        </is>
      </c>
      <c r="J71" s="34" t="inlineStr">
        <is>
          <t xml:space="preserve">Fogan</t>
        </is>
      </c>
      <c r="K71" s="34" t="inlineStr">
        <is>
          <t xml:space="preserve">Weisberger</t>
        </is>
      </c>
      <c r="L71" s="45">
        <v>-8.5</v>
      </c>
      <c r="M71" s="45">
        <v>-4.25</v>
      </c>
      <c r="N71" s="34" t="inlineStr">
        <is>
          <t xml:space="preserve">Giving</t>
        </is>
      </c>
      <c r="O71" s="45">
        <v>1</v>
      </c>
      <c r="P71" s="45">
        <v>0.553</v>
      </c>
      <c r="Q71" s="45">
        <v>0.447</v>
      </c>
      <c r="R71" s="34" t="inlineStr">
        <is>
          <t xml:space="preserve">FBC 8/Handicaps (FBC 8) (Final).xlsx [3 Results]</t>
        </is>
      </c>
    </row>
    <row r="72" spans="1:18">
      <c r="A72" s="40">
        <v>3</v>
      </c>
      <c r="B72" s="31" t="inlineStr">
        <is>
          <t xml:space="preserve">FBC3-D8</t>
        </is>
      </c>
      <c r="C72" s="31" t="inlineStr">
        <is>
          <t xml:space="preserve">Hi-Lo</t>
        </is>
      </c>
      <c r="D72" s="31" t="inlineStr">
        <is>
          <t xml:space="preserve">Four-ball</t>
        </is>
      </c>
      <c r="E72" s="40">
        <v>9</v>
      </c>
      <c r="F72" s="42">
        <v>1</v>
      </c>
      <c r="G72" s="31" t="inlineStr">
        <is>
          <t xml:space="preserve">Shively</t>
        </is>
      </c>
      <c r="H72" s="31" t="inlineStr">
        <is>
          <t xml:space="preserve">Flanders</t>
        </is>
      </c>
      <c r="I72" s="31" t="inlineStr">
        <is>
          <t xml:space="preserve">Forster</t>
        </is>
      </c>
      <c r="J72" s="31" t="inlineStr">
        <is>
          <t xml:space="preserve">Gray</t>
        </is>
      </c>
      <c r="K72" s="31" t="inlineStr">
        <is>
          <t xml:space="preserve">Zimmer</t>
        </is>
      </c>
      <c r="L72" s="42">
        <v>8</v>
      </c>
      <c r="M72" s="42">
        <v>4</v>
      </c>
      <c r="N72" s="31" t="inlineStr">
        <is>
          <t xml:space="preserve">Getting</t>
        </is>
      </c>
      <c r="O72" s="42">
        <v>0</v>
      </c>
      <c r="P72" s="42">
        <v>0.445</v>
      </c>
      <c r="Q72" s="42">
        <v>-0.445</v>
      </c>
      <c r="R72" s="31" t="inlineStr">
        <is>
          <t xml:space="preserve">FBC 8/Handicaps (FBC 8) (Final).xlsx [3 Results]</t>
        </is>
      </c>
    </row>
    <row r="73" spans="1:18">
      <c r="A73" s="43">
        <v>3</v>
      </c>
      <c r="B73" s="34" t="inlineStr">
        <is>
          <t xml:space="preserve">FBC3-D8</t>
        </is>
      </c>
      <c r="C73" s="34" t="inlineStr">
        <is>
          <t xml:space="preserve">Hi-Lo</t>
        </is>
      </c>
      <c r="D73" s="34" t="inlineStr">
        <is>
          <t xml:space="preserve">Four-ball</t>
        </is>
      </c>
      <c r="E73" s="43">
        <v>9</v>
      </c>
      <c r="F73" s="45">
        <v>1</v>
      </c>
      <c r="G73" s="34" t="inlineStr">
        <is>
          <t xml:space="preserve">Lynch</t>
        </is>
      </c>
      <c r="H73" s="34" t="inlineStr">
        <is>
          <t xml:space="preserve">Gray</t>
        </is>
      </c>
      <c r="I73" s="34" t="inlineStr">
        <is>
          <t xml:space="preserve">Zimmer</t>
        </is>
      </c>
      <c r="J73" s="34" t="inlineStr">
        <is>
          <t xml:space="preserve">Flanders</t>
        </is>
      </c>
      <c r="K73" s="34" t="inlineStr">
        <is>
          <t xml:space="preserve">Forster</t>
        </is>
      </c>
      <c r="L73" s="45">
        <v>-8</v>
      </c>
      <c r="M73" s="45">
        <v>-4</v>
      </c>
      <c r="N73" s="34" t="inlineStr">
        <is>
          <t xml:space="preserve">Giving</t>
        </is>
      </c>
      <c r="O73" s="45">
        <v>1</v>
      </c>
      <c r="P73" s="45">
        <v>0.555</v>
      </c>
      <c r="Q73" s="45">
        <v>0.445</v>
      </c>
      <c r="R73" s="34" t="inlineStr">
        <is>
          <t xml:space="preserve">FBC 8/Handicaps (FBC 8) (Final).xlsx [3 Results]</t>
        </is>
      </c>
    </row>
    <row r="74" spans="1:18">
      <c r="A74" s="40">
        <v>3</v>
      </c>
      <c r="B74" s="31" t="inlineStr">
        <is>
          <t xml:space="preserve">FBC3-D9</t>
        </is>
      </c>
      <c r="C74" s="31" t="inlineStr">
        <is>
          <t xml:space="preserve">Hi-Lo</t>
        </is>
      </c>
      <c r="D74" s="31" t="inlineStr">
        <is>
          <t xml:space="preserve">Four-ball</t>
        </is>
      </c>
      <c r="E74" s="40">
        <v>9</v>
      </c>
      <c r="F74" s="42">
        <v>1</v>
      </c>
      <c r="G74" s="31" t="inlineStr">
        <is>
          <t xml:space="preserve">Lynch</t>
        </is>
      </c>
      <c r="H74" s="31" t="inlineStr">
        <is>
          <t xml:space="preserve">Hickerson</t>
        </is>
      </c>
      <c r="I74" s="31" t="inlineStr">
        <is>
          <t xml:space="preserve">Lynch</t>
        </is>
      </c>
      <c r="J74" s="31" t="inlineStr">
        <is>
          <t xml:space="preserve">Bussiculo</t>
        </is>
      </c>
      <c r="K74" s="31" t="inlineStr">
        <is>
          <t xml:space="preserve">Mangold</t>
        </is>
      </c>
      <c r="L74" s="42">
        <v>3</v>
      </c>
      <c r="M74" s="42">
        <v>1.5</v>
      </c>
      <c r="N74" s="31" t="inlineStr">
        <is>
          <t xml:space="preserve">Getting</t>
        </is>
      </c>
      <c r="O74" s="42">
        <v>0</v>
      </c>
      <c r="P74" s="42">
        <v>0.429</v>
      </c>
      <c r="Q74" s="42">
        <v>-0.429</v>
      </c>
      <c r="R74" s="31" t="inlineStr">
        <is>
          <t xml:space="preserve">FBC 8/Handicaps (FBC 8) (Final).xlsx [3 Results]</t>
        </is>
      </c>
    </row>
    <row r="75" spans="1:18">
      <c r="A75" s="43">
        <v>3</v>
      </c>
      <c r="B75" s="34" t="inlineStr">
        <is>
          <t xml:space="preserve">FBC3-D9</t>
        </is>
      </c>
      <c r="C75" s="34" t="inlineStr">
        <is>
          <t xml:space="preserve">Hi-Lo</t>
        </is>
      </c>
      <c r="D75" s="34" t="inlineStr">
        <is>
          <t xml:space="preserve">Four-ball</t>
        </is>
      </c>
      <c r="E75" s="43">
        <v>9</v>
      </c>
      <c r="F75" s="45">
        <v>1</v>
      </c>
      <c r="G75" s="34" t="inlineStr">
        <is>
          <t xml:space="preserve">Shively</t>
        </is>
      </c>
      <c r="H75" s="34" t="inlineStr">
        <is>
          <t xml:space="preserve">Bussiculo</t>
        </is>
      </c>
      <c r="I75" s="34" t="inlineStr">
        <is>
          <t xml:space="preserve">Mangold</t>
        </is>
      </c>
      <c r="J75" s="34" t="inlineStr">
        <is>
          <t xml:space="preserve">Hickerson</t>
        </is>
      </c>
      <c r="K75" s="34" t="inlineStr">
        <is>
          <t xml:space="preserve">Lynch</t>
        </is>
      </c>
      <c r="L75" s="45">
        <v>-3</v>
      </c>
      <c r="M75" s="45">
        <v>-1.5</v>
      </c>
      <c r="N75" s="34" t="inlineStr">
        <is>
          <t xml:space="preserve">Giving</t>
        </is>
      </c>
      <c r="O75" s="45">
        <v>1</v>
      </c>
      <c r="P75" s="45">
        <v>0.571</v>
      </c>
      <c r="Q75" s="45">
        <v>0.429</v>
      </c>
      <c r="R75" s="34" t="inlineStr">
        <is>
          <t xml:space="preserve">FBC 8/Handicaps (FBC 8) (Final).xlsx [3 Results]</t>
        </is>
      </c>
    </row>
    <row r="76" spans="1:18">
      <c r="A76" s="40">
        <v>3</v>
      </c>
      <c r="B76" s="31" t="inlineStr">
        <is>
          <t xml:space="preserve">FBC3-D10</t>
        </is>
      </c>
      <c r="C76" s="31" t="inlineStr">
        <is>
          <t xml:space="preserve">Hi-Lo</t>
        </is>
      </c>
      <c r="D76" s="31" t="inlineStr">
        <is>
          <t xml:space="preserve">Four-ball</t>
        </is>
      </c>
      <c r="E76" s="40">
        <v>9</v>
      </c>
      <c r="F76" s="42">
        <v>1</v>
      </c>
      <c r="G76" s="31" t="inlineStr">
        <is>
          <t xml:space="preserve">Shively</t>
        </is>
      </c>
      <c r="H76" s="31" t="inlineStr">
        <is>
          <t xml:space="preserve">Connors</t>
        </is>
      </c>
      <c r="I76" s="31" t="inlineStr">
        <is>
          <t xml:space="preserve">Norat</t>
        </is>
      </c>
      <c r="J76" s="31" t="inlineStr">
        <is>
          <t xml:space="preserve">Cole</t>
        </is>
      </c>
      <c r="K76" s="31" t="inlineStr">
        <is>
          <t xml:space="preserve">McInerney</t>
        </is>
      </c>
      <c r="L76" s="42">
        <v>1</v>
      </c>
      <c r="M76" s="42">
        <v>0.5</v>
      </c>
      <c r="N76" s="31" t="inlineStr">
        <is>
          <t xml:space="preserve">Getting</t>
        </is>
      </c>
      <c r="O76" s="42">
        <v>0</v>
      </c>
      <c r="P76" s="42">
        <v>0.423</v>
      </c>
      <c r="Q76" s="42">
        <v>-0.423</v>
      </c>
      <c r="R76" s="31" t="inlineStr">
        <is>
          <t xml:space="preserve">FBC 8/Handicaps (FBC 8) (Final).xlsx [3 Results]</t>
        </is>
      </c>
    </row>
    <row r="77" spans="1:18">
      <c r="A77" s="43">
        <v>3</v>
      </c>
      <c r="B77" s="34" t="inlineStr">
        <is>
          <t xml:space="preserve">FBC3-D10</t>
        </is>
      </c>
      <c r="C77" s="34" t="inlineStr">
        <is>
          <t xml:space="preserve">Hi-Lo</t>
        </is>
      </c>
      <c r="D77" s="34" t="inlineStr">
        <is>
          <t xml:space="preserve">Four-ball</t>
        </is>
      </c>
      <c r="E77" s="43">
        <v>9</v>
      </c>
      <c r="F77" s="45">
        <v>1</v>
      </c>
      <c r="G77" s="34" t="inlineStr">
        <is>
          <t xml:space="preserve">Lynch</t>
        </is>
      </c>
      <c r="H77" s="34" t="inlineStr">
        <is>
          <t xml:space="preserve">Cole</t>
        </is>
      </c>
      <c r="I77" s="34" t="inlineStr">
        <is>
          <t xml:space="preserve">McInerney</t>
        </is>
      </c>
      <c r="J77" s="34" t="inlineStr">
        <is>
          <t xml:space="preserve">Connors</t>
        </is>
      </c>
      <c r="K77" s="34" t="inlineStr">
        <is>
          <t xml:space="preserve">Norat</t>
        </is>
      </c>
      <c r="L77" s="45">
        <v>-1</v>
      </c>
      <c r="M77" s="45">
        <v>-0.5</v>
      </c>
      <c r="N77" s="34" t="inlineStr">
        <is>
          <t xml:space="preserve">Giving</t>
        </is>
      </c>
      <c r="O77" s="45">
        <v>1</v>
      </c>
      <c r="P77" s="45">
        <v>0.577</v>
      </c>
      <c r="Q77" s="45">
        <v>0.423</v>
      </c>
      <c r="R77" s="34" t="inlineStr">
        <is>
          <t xml:space="preserve">FBC 8/Handicaps (FBC 8) (Final).xlsx [3 Results]</t>
        </is>
      </c>
    </row>
    <row r="78" spans="1:18">
      <c r="A78" s="40">
        <v>3</v>
      </c>
      <c r="B78" s="31" t="inlineStr">
        <is>
          <t xml:space="preserve">FBC3-D11</t>
        </is>
      </c>
      <c r="C78" s="31" t="inlineStr">
        <is>
          <t xml:space="preserve">Pinehurst</t>
        </is>
      </c>
      <c r="D78" s="31" t="inlineStr">
        <is>
          <t xml:space="preserve">Pinehurst</t>
        </is>
      </c>
      <c r="E78" s="40">
        <v>9</v>
      </c>
      <c r="F78" s="42">
        <v>1</v>
      </c>
      <c r="G78" s="31" t="inlineStr">
        <is>
          <t xml:space="preserve">Shively</t>
        </is>
      </c>
      <c r="H78" s="31" t="inlineStr">
        <is>
          <t xml:space="preserve">Ferrin</t>
        </is>
      </c>
      <c r="I78" s="31" t="inlineStr">
        <is>
          <t xml:space="preserve">Jackson</t>
        </is>
      </c>
      <c r="J78" s="31" t="inlineStr">
        <is>
          <t xml:space="preserve">Gray</t>
        </is>
      </c>
      <c r="K78" s="31" t="inlineStr">
        <is>
          <t xml:space="preserve">Zimmer</t>
        </is>
      </c>
      <c r="L78" s="42">
        <v>4</v>
      </c>
      <c r="M78" s="42">
        <v>2</v>
      </c>
      <c r="N78" s="31" t="inlineStr">
        <is>
          <t xml:space="preserve">Getting</t>
        </is>
      </c>
      <c r="O78" s="42">
        <v>1</v>
      </c>
      <c r="P78" s="42">
        <v>0.454</v>
      </c>
      <c r="Q78" s="42">
        <v>0.546</v>
      </c>
      <c r="R78" s="31" t="inlineStr">
        <is>
          <t xml:space="preserve">FBC 8/Handicaps (FBC 8) (Final).xlsx [3 Results]</t>
        </is>
      </c>
    </row>
    <row r="79" spans="1:18">
      <c r="A79" s="43">
        <v>3</v>
      </c>
      <c r="B79" s="34" t="inlineStr">
        <is>
          <t xml:space="preserve">FBC3-D11</t>
        </is>
      </c>
      <c r="C79" s="34" t="inlineStr">
        <is>
          <t xml:space="preserve">Pinehurst</t>
        </is>
      </c>
      <c r="D79" s="34" t="inlineStr">
        <is>
          <t xml:space="preserve">Pinehurst</t>
        </is>
      </c>
      <c r="E79" s="43">
        <v>9</v>
      </c>
      <c r="F79" s="45">
        <v>1</v>
      </c>
      <c r="G79" s="34" t="inlineStr">
        <is>
          <t xml:space="preserve">Lynch</t>
        </is>
      </c>
      <c r="H79" s="34" t="inlineStr">
        <is>
          <t xml:space="preserve">Gray</t>
        </is>
      </c>
      <c r="I79" s="34" t="inlineStr">
        <is>
          <t xml:space="preserve">Zimmer</t>
        </is>
      </c>
      <c r="J79" s="34" t="inlineStr">
        <is>
          <t xml:space="preserve">Ferrin</t>
        </is>
      </c>
      <c r="K79" s="34" t="inlineStr">
        <is>
          <t xml:space="preserve">Jackson</t>
        </is>
      </c>
      <c r="L79" s="45">
        <v>-4</v>
      </c>
      <c r="M79" s="45">
        <v>-2</v>
      </c>
      <c r="N79" s="34" t="inlineStr">
        <is>
          <t xml:space="preserve">Giving</t>
        </is>
      </c>
      <c r="O79" s="45">
        <v>0</v>
      </c>
      <c r="P79" s="45">
        <v>0.546</v>
      </c>
      <c r="Q79" s="45">
        <v>-0.546</v>
      </c>
      <c r="R79" s="34" t="inlineStr">
        <is>
          <t xml:space="preserve">FBC 8/Handicaps (FBC 8) (Final).xlsx [3 Results]</t>
        </is>
      </c>
    </row>
    <row r="80" spans="1:18">
      <c r="A80" s="40">
        <v>3</v>
      </c>
      <c r="B80" s="31" t="inlineStr">
        <is>
          <t xml:space="preserve">FBC3-D12</t>
        </is>
      </c>
      <c r="C80" s="31" t="inlineStr">
        <is>
          <t xml:space="preserve">Pinehurst</t>
        </is>
      </c>
      <c r="D80" s="31" t="inlineStr">
        <is>
          <t xml:space="preserve">Pinehurst</t>
        </is>
      </c>
      <c r="E80" s="40">
        <v>9</v>
      </c>
      <c r="F80" s="42">
        <v>1</v>
      </c>
      <c r="G80" s="31" t="inlineStr">
        <is>
          <t xml:space="preserve">Lynch</t>
        </is>
      </c>
      <c r="H80" s="31" t="inlineStr">
        <is>
          <t xml:space="preserve">Connolly</t>
        </is>
      </c>
      <c r="I80" s="31" t="inlineStr">
        <is>
          <t xml:space="preserve">Hilts</t>
        </is>
      </c>
      <c r="J80" s="31" t="inlineStr">
        <is>
          <t xml:space="preserve">Flanders</t>
        </is>
      </c>
      <c r="K80" s="31" t="inlineStr">
        <is>
          <t xml:space="preserve">Shively</t>
        </is>
      </c>
      <c r="L80" s="42">
        <v>-3</v>
      </c>
      <c r="M80" s="42">
        <v>-1.5</v>
      </c>
      <c r="N80" s="31" t="inlineStr">
        <is>
          <t xml:space="preserve">Giving</t>
        </is>
      </c>
      <c r="O80" s="42">
        <v>0.5</v>
      </c>
      <c r="P80" s="42">
        <v>0.555</v>
      </c>
      <c r="Q80" s="42">
        <v>-0.055</v>
      </c>
      <c r="R80" s="31" t="inlineStr">
        <is>
          <t xml:space="preserve">FBC 8/Handicaps (FBC 8) (Final).xlsx [3 Results]</t>
        </is>
      </c>
    </row>
    <row r="81" spans="1:18">
      <c r="A81" s="43">
        <v>3</v>
      </c>
      <c r="B81" s="34" t="inlineStr">
        <is>
          <t xml:space="preserve">FBC3-D12</t>
        </is>
      </c>
      <c r="C81" s="34" t="inlineStr">
        <is>
          <t xml:space="preserve">Pinehurst</t>
        </is>
      </c>
      <c r="D81" s="34" t="inlineStr">
        <is>
          <t xml:space="preserve">Pinehurst</t>
        </is>
      </c>
      <c r="E81" s="43">
        <v>9</v>
      </c>
      <c r="F81" s="45">
        <v>1</v>
      </c>
      <c r="G81" s="34" t="inlineStr">
        <is>
          <t xml:space="preserve">Shively</t>
        </is>
      </c>
      <c r="H81" s="34" t="inlineStr">
        <is>
          <t xml:space="preserve">Flanders</t>
        </is>
      </c>
      <c r="I81" s="34" t="inlineStr">
        <is>
          <t xml:space="preserve">Shively</t>
        </is>
      </c>
      <c r="J81" s="34" t="inlineStr">
        <is>
          <t xml:space="preserve">Connolly</t>
        </is>
      </c>
      <c r="K81" s="34" t="inlineStr">
        <is>
          <t xml:space="preserve">Hilts</t>
        </is>
      </c>
      <c r="L81" s="45">
        <v>3</v>
      </c>
      <c r="M81" s="45">
        <v>1.5</v>
      </c>
      <c r="N81" s="34" t="inlineStr">
        <is>
          <t xml:space="preserve">Getting</t>
        </is>
      </c>
      <c r="O81" s="45">
        <v>0.5</v>
      </c>
      <c r="P81" s="45">
        <v>0.445</v>
      </c>
      <c r="Q81" s="45">
        <v>0.055</v>
      </c>
      <c r="R81" s="34" t="inlineStr">
        <is>
          <t xml:space="preserve">FBC 8/Handicaps (FBC 8) (Final).xlsx [3 Results]</t>
        </is>
      </c>
    </row>
    <row r="82" spans="1:18">
      <c r="A82" s="40">
        <v>3</v>
      </c>
      <c r="B82" s="31" t="inlineStr">
        <is>
          <t xml:space="preserve">FBC3-D13</t>
        </is>
      </c>
      <c r="C82" s="31" t="inlineStr">
        <is>
          <t xml:space="preserve">Pinehurst</t>
        </is>
      </c>
      <c r="D82" s="31" t="inlineStr">
        <is>
          <t xml:space="preserve">Pinehurst</t>
        </is>
      </c>
      <c r="E82" s="40">
        <v>9</v>
      </c>
      <c r="F82" s="42">
        <v>1</v>
      </c>
      <c r="G82" s="31" t="inlineStr">
        <is>
          <t xml:space="preserve">Shively</t>
        </is>
      </c>
      <c r="H82" s="31" t="inlineStr">
        <is>
          <t xml:space="preserve">Connors</t>
        </is>
      </c>
      <c r="I82" s="31" t="inlineStr">
        <is>
          <t xml:space="preserve">Grise</t>
        </is>
      </c>
      <c r="J82" s="31" t="inlineStr">
        <is>
          <t xml:space="preserve">Fogan</t>
        </is>
      </c>
      <c r="K82" s="31" t="inlineStr">
        <is>
          <t xml:space="preserve">Weisberger</t>
        </is>
      </c>
      <c r="L82" s="42">
        <v>-8</v>
      </c>
      <c r="M82" s="42">
        <v>-4</v>
      </c>
      <c r="N82" s="31" t="inlineStr">
        <is>
          <t xml:space="preserve">Giving</t>
        </is>
      </c>
      <c r="O82" s="42">
        <v>0</v>
      </c>
      <c r="P82" s="42">
        <v>0.512</v>
      </c>
      <c r="Q82" s="42">
        <v>-0.512</v>
      </c>
      <c r="R82" s="31" t="inlineStr">
        <is>
          <t xml:space="preserve">FBC 8/Handicaps (FBC 8) (Final).xlsx [3 Results]</t>
        </is>
      </c>
    </row>
    <row r="83" spans="1:18">
      <c r="A83" s="43">
        <v>3</v>
      </c>
      <c r="B83" s="34" t="inlineStr">
        <is>
          <t xml:space="preserve">FBC3-D13</t>
        </is>
      </c>
      <c r="C83" s="34" t="inlineStr">
        <is>
          <t xml:space="preserve">Pinehurst</t>
        </is>
      </c>
      <c r="D83" s="34" t="inlineStr">
        <is>
          <t xml:space="preserve">Pinehurst</t>
        </is>
      </c>
      <c r="E83" s="43">
        <v>9</v>
      </c>
      <c r="F83" s="45">
        <v>1</v>
      </c>
      <c r="G83" s="34" t="inlineStr">
        <is>
          <t xml:space="preserve">Lynch</t>
        </is>
      </c>
      <c r="H83" s="34" t="inlineStr">
        <is>
          <t xml:space="preserve">Fogan</t>
        </is>
      </c>
      <c r="I83" s="34" t="inlineStr">
        <is>
          <t xml:space="preserve">Weisberger</t>
        </is>
      </c>
      <c r="J83" s="34" t="inlineStr">
        <is>
          <t xml:space="preserve">Connors</t>
        </is>
      </c>
      <c r="K83" s="34" t="inlineStr">
        <is>
          <t xml:space="preserve">Grise</t>
        </is>
      </c>
      <c r="L83" s="45">
        <v>8</v>
      </c>
      <c r="M83" s="45">
        <v>4</v>
      </c>
      <c r="N83" s="34" t="inlineStr">
        <is>
          <t xml:space="preserve">Getting</t>
        </is>
      </c>
      <c r="O83" s="45">
        <v>1</v>
      </c>
      <c r="P83" s="45">
        <v>0.488</v>
      </c>
      <c r="Q83" s="45">
        <v>0.512</v>
      </c>
      <c r="R83" s="34" t="inlineStr">
        <is>
          <t xml:space="preserve">FBC 8/Handicaps (FBC 8) (Final).xlsx [3 Results]</t>
        </is>
      </c>
    </row>
    <row r="84" spans="1:18">
      <c r="A84" s="40">
        <v>3</v>
      </c>
      <c r="B84" s="31" t="inlineStr">
        <is>
          <t xml:space="preserve">FBC3-D14</t>
        </is>
      </c>
      <c r="C84" s="31" t="inlineStr">
        <is>
          <t xml:space="preserve">Pinehurst</t>
        </is>
      </c>
      <c r="D84" s="31" t="inlineStr">
        <is>
          <t xml:space="preserve">Pinehurst</t>
        </is>
      </c>
      <c r="E84" s="40">
        <v>9</v>
      </c>
      <c r="F84" s="42">
        <v>1</v>
      </c>
      <c r="G84" s="31" t="inlineStr">
        <is>
          <t xml:space="preserve">Lynch</t>
        </is>
      </c>
      <c r="H84" s="31" t="inlineStr">
        <is>
          <t xml:space="preserve">Hickerson</t>
        </is>
      </c>
      <c r="I84" s="31" t="inlineStr">
        <is>
          <t xml:space="preserve">Lynch</t>
        </is>
      </c>
      <c r="J84" s="31" t="inlineStr">
        <is>
          <t xml:space="preserve">Bussiculo</t>
        </is>
      </c>
      <c r="K84" s="31" t="inlineStr">
        <is>
          <t xml:space="preserve">Mangold</t>
        </is>
      </c>
      <c r="L84" s="42">
        <v>4</v>
      </c>
      <c r="M84" s="42">
        <v>2</v>
      </c>
      <c r="N84" s="31" t="inlineStr">
        <is>
          <t xml:space="preserve">Getting</t>
        </is>
      </c>
      <c r="O84" s="42">
        <v>0</v>
      </c>
      <c r="P84" s="42">
        <v>0.454</v>
      </c>
      <c r="Q84" s="42">
        <v>-0.454</v>
      </c>
      <c r="R84" s="31" t="inlineStr">
        <is>
          <t xml:space="preserve">FBC 8/Handicaps (FBC 8) (Final).xlsx [3 Results]</t>
        </is>
      </c>
    </row>
    <row r="85" spans="1:18">
      <c r="A85" s="43">
        <v>3</v>
      </c>
      <c r="B85" s="34" t="inlineStr">
        <is>
          <t xml:space="preserve">FBC3-D14</t>
        </is>
      </c>
      <c r="C85" s="34" t="inlineStr">
        <is>
          <t xml:space="preserve">Pinehurst</t>
        </is>
      </c>
      <c r="D85" s="34" t="inlineStr">
        <is>
          <t xml:space="preserve">Pinehurst</t>
        </is>
      </c>
      <c r="E85" s="43">
        <v>9</v>
      </c>
      <c r="F85" s="45">
        <v>1</v>
      </c>
      <c r="G85" s="34" t="inlineStr">
        <is>
          <t xml:space="preserve">Shively</t>
        </is>
      </c>
      <c r="H85" s="34" t="inlineStr">
        <is>
          <t xml:space="preserve">Bussiculo</t>
        </is>
      </c>
      <c r="I85" s="34" t="inlineStr">
        <is>
          <t xml:space="preserve">Mangold</t>
        </is>
      </c>
      <c r="J85" s="34" t="inlineStr">
        <is>
          <t xml:space="preserve">Hickerson</t>
        </is>
      </c>
      <c r="K85" s="34" t="inlineStr">
        <is>
          <t xml:space="preserve">Lynch</t>
        </is>
      </c>
      <c r="L85" s="45">
        <v>-4</v>
      </c>
      <c r="M85" s="45">
        <v>-2</v>
      </c>
      <c r="N85" s="34" t="inlineStr">
        <is>
          <t xml:space="preserve">Giving</t>
        </is>
      </c>
      <c r="O85" s="45">
        <v>1</v>
      </c>
      <c r="P85" s="45">
        <v>0.546</v>
      </c>
      <c r="Q85" s="45">
        <v>0.454</v>
      </c>
      <c r="R85" s="34" t="inlineStr">
        <is>
          <t xml:space="preserve">FBC 8/Handicaps (FBC 8) (Final).xlsx [3 Results]</t>
        </is>
      </c>
    </row>
    <row r="86" spans="1:18">
      <c r="A86" s="40">
        <v>3</v>
      </c>
      <c r="B86" s="31" t="inlineStr">
        <is>
          <t xml:space="preserve">FBC3-D15</t>
        </is>
      </c>
      <c r="C86" s="31" t="inlineStr">
        <is>
          <t xml:space="preserve">Pinehurst</t>
        </is>
      </c>
      <c r="D86" s="31" t="inlineStr">
        <is>
          <t xml:space="preserve">Pinehurst</t>
        </is>
      </c>
      <c r="E86" s="40">
        <v>9</v>
      </c>
      <c r="F86" s="42">
        <v>1</v>
      </c>
      <c r="G86" s="31" t="inlineStr">
        <is>
          <t xml:space="preserve">Shively</t>
        </is>
      </c>
      <c r="H86" s="31" t="inlineStr">
        <is>
          <t xml:space="preserve">Forster</t>
        </is>
      </c>
      <c r="I86" s="31" t="inlineStr">
        <is>
          <t xml:space="preserve">Norat</t>
        </is>
      </c>
      <c r="J86" s="31" t="inlineStr">
        <is>
          <t xml:space="preserve">Cole</t>
        </is>
      </c>
      <c r="K86" s="31" t="inlineStr">
        <is>
          <t xml:space="preserve">McInerney</t>
        </is>
      </c>
      <c r="L86" s="42">
        <v>-1</v>
      </c>
      <c r="M86" s="42">
        <v>-0.5</v>
      </c>
      <c r="N86" s="31" t="inlineStr">
        <is>
          <t xml:space="preserve">Giving</t>
        </is>
      </c>
      <c r="O86" s="42">
        <v>1</v>
      </c>
      <c r="P86" s="42">
        <v>0.572</v>
      </c>
      <c r="Q86" s="42">
        <v>0.428</v>
      </c>
      <c r="R86" s="31" t="inlineStr">
        <is>
          <t xml:space="preserve">FBC 8/Handicaps (FBC 8) (Final).xlsx [3 Results]</t>
        </is>
      </c>
    </row>
    <row r="87" spans="1:18">
      <c r="A87" s="43">
        <v>3</v>
      </c>
      <c r="B87" s="34" t="inlineStr">
        <is>
          <t xml:space="preserve">FBC3-D15</t>
        </is>
      </c>
      <c r="C87" s="34" t="inlineStr">
        <is>
          <t xml:space="preserve">Pinehurst</t>
        </is>
      </c>
      <c r="D87" s="34" t="inlineStr">
        <is>
          <t xml:space="preserve">Pinehurst</t>
        </is>
      </c>
      <c r="E87" s="43">
        <v>9</v>
      </c>
      <c r="F87" s="45">
        <v>1</v>
      </c>
      <c r="G87" s="34" t="inlineStr">
        <is>
          <t xml:space="preserve">Lynch</t>
        </is>
      </c>
      <c r="H87" s="34" t="inlineStr">
        <is>
          <t xml:space="preserve">Cole</t>
        </is>
      </c>
      <c r="I87" s="34" t="inlineStr">
        <is>
          <t xml:space="preserve">McInerney</t>
        </is>
      </c>
      <c r="J87" s="34" t="inlineStr">
        <is>
          <t xml:space="preserve">Forster</t>
        </is>
      </c>
      <c r="K87" s="34" t="inlineStr">
        <is>
          <t xml:space="preserve">Norat</t>
        </is>
      </c>
      <c r="L87" s="45">
        <v>1</v>
      </c>
      <c r="M87" s="45">
        <v>0.5</v>
      </c>
      <c r="N87" s="34" t="inlineStr">
        <is>
          <t xml:space="preserve">Getting</t>
        </is>
      </c>
      <c r="O87" s="45">
        <v>0</v>
      </c>
      <c r="P87" s="45">
        <v>0.428</v>
      </c>
      <c r="Q87" s="45">
        <v>-0.428</v>
      </c>
      <c r="R87" s="34" t="inlineStr">
        <is>
          <t xml:space="preserve">FBC 8/Handicaps (FBC 8) (Final).xlsx [3 Results]</t>
        </is>
      </c>
    </row>
    <row r="88" spans="1:18">
      <c r="A88" s="40">
        <v>3</v>
      </c>
      <c r="B88" s="31" t="inlineStr">
        <is>
          <t xml:space="preserve">FBC3-D16</t>
        </is>
      </c>
      <c r="C88" s="31" t="inlineStr">
        <is>
          <t xml:space="preserve">Scramble-Stableford</t>
        </is>
      </c>
      <c r="D88" s="31" t="inlineStr">
        <is>
          <t xml:space="preserve">Scramble</t>
        </is>
      </c>
      <c r="E88" s="40">
        <v>9</v>
      </c>
      <c r="F88" s="42">
        <v>1</v>
      </c>
      <c r="G88" s="31" t="inlineStr">
        <is>
          <t xml:space="preserve">Shively</t>
        </is>
      </c>
      <c r="H88" s="31" t="inlineStr">
        <is>
          <t xml:space="preserve">Ferrin</t>
        </is>
      </c>
      <c r="I88" s="31" t="inlineStr">
        <is>
          <t xml:space="preserve">Jackson</t>
        </is>
      </c>
      <c r="J88" s="31" t="inlineStr">
        <is>
          <t xml:space="preserve">Gray</t>
        </is>
      </c>
      <c r="K88" s="31" t="inlineStr">
        <is>
          <t xml:space="preserve">Zimmer</t>
        </is>
      </c>
      <c r="L88" s="42">
        <v>0</v>
      </c>
      <c r="M88" s="42">
        <v>0</v>
      </c>
      <c r="N88" s="31" t="inlineStr">
        <is>
          <t xml:space="preserve">Even</t>
        </is>
      </c>
      <c r="O88" s="42">
        <v>1</v>
      </c>
      <c r="P88" s="42">
        <v>0.5</v>
      </c>
      <c r="Q88" s="42">
        <v>0.5</v>
      </c>
      <c r="R88" s="31" t="inlineStr">
        <is>
          <t xml:space="preserve">FBC 8/Handicaps (FBC 8) (Final).xlsx [3 Results]</t>
        </is>
      </c>
    </row>
    <row r="89" spans="1:18">
      <c r="A89" s="43">
        <v>3</v>
      </c>
      <c r="B89" s="34" t="inlineStr">
        <is>
          <t xml:space="preserve">FBC3-D16</t>
        </is>
      </c>
      <c r="C89" s="34" t="inlineStr">
        <is>
          <t xml:space="preserve">Scramble-Stableford</t>
        </is>
      </c>
      <c r="D89" s="34" t="inlineStr">
        <is>
          <t xml:space="preserve">Scramble</t>
        </is>
      </c>
      <c r="E89" s="43">
        <v>9</v>
      </c>
      <c r="F89" s="45">
        <v>1</v>
      </c>
      <c r="G89" s="34" t="inlineStr">
        <is>
          <t xml:space="preserve">Lynch</t>
        </is>
      </c>
      <c r="H89" s="34" t="inlineStr">
        <is>
          <t xml:space="preserve">Gray</t>
        </is>
      </c>
      <c r="I89" s="34" t="inlineStr">
        <is>
          <t xml:space="preserve">Zimmer</t>
        </is>
      </c>
      <c r="J89" s="34" t="inlineStr">
        <is>
          <t xml:space="preserve">Ferrin</t>
        </is>
      </c>
      <c r="K89" s="34" t="inlineStr">
        <is>
          <t xml:space="preserve">Jackson</t>
        </is>
      </c>
      <c r="L89" s="45">
        <v>0</v>
      </c>
      <c r="M89" s="45">
        <v>0</v>
      </c>
      <c r="N89" s="34" t="inlineStr">
        <is>
          <t xml:space="preserve">Even</t>
        </is>
      </c>
      <c r="O89" s="45">
        <v>0</v>
      </c>
      <c r="P89" s="45">
        <v>0.5</v>
      </c>
      <c r="Q89" s="45">
        <v>-0.5</v>
      </c>
      <c r="R89" s="34" t="inlineStr">
        <is>
          <t xml:space="preserve">FBC 8/Handicaps (FBC 8) (Final).xlsx [3 Results]</t>
        </is>
      </c>
    </row>
    <row r="90" spans="1:18">
      <c r="A90" s="40">
        <v>3</v>
      </c>
      <c r="B90" s="31" t="inlineStr">
        <is>
          <t xml:space="preserve">FBC3-D17</t>
        </is>
      </c>
      <c r="C90" s="31" t="inlineStr">
        <is>
          <t xml:space="preserve">Scramble-Stableford</t>
        </is>
      </c>
      <c r="D90" s="31" t="inlineStr">
        <is>
          <t xml:space="preserve">Scramble</t>
        </is>
      </c>
      <c r="E90" s="40">
        <v>9</v>
      </c>
      <c r="F90" s="42">
        <v>1</v>
      </c>
      <c r="G90" s="31" t="inlineStr">
        <is>
          <t xml:space="preserve">Lynch</t>
        </is>
      </c>
      <c r="H90" s="31" t="inlineStr">
        <is>
          <t xml:space="preserve">Connolly</t>
        </is>
      </c>
      <c r="I90" s="31" t="inlineStr">
        <is>
          <t xml:space="preserve">Hilts</t>
        </is>
      </c>
      <c r="J90" s="31" t="inlineStr">
        <is>
          <t xml:space="preserve">Flanders</t>
        </is>
      </c>
      <c r="K90" s="31" t="inlineStr">
        <is>
          <t xml:space="preserve">Shively</t>
        </is>
      </c>
      <c r="L90" s="42">
        <v>0</v>
      </c>
      <c r="M90" s="42">
        <v>0</v>
      </c>
      <c r="N90" s="31" t="inlineStr">
        <is>
          <t xml:space="preserve">Even</t>
        </is>
      </c>
      <c r="O90" s="42">
        <v>1</v>
      </c>
      <c r="P90" s="42">
        <v>0.5</v>
      </c>
      <c r="Q90" s="42">
        <v>0.5</v>
      </c>
      <c r="R90" s="31" t="inlineStr">
        <is>
          <t xml:space="preserve">FBC 8/Handicaps (FBC 8) (Final).xlsx [3 Results]</t>
        </is>
      </c>
    </row>
    <row r="91" spans="1:18">
      <c r="A91" s="43">
        <v>3</v>
      </c>
      <c r="B91" s="34" t="inlineStr">
        <is>
          <t xml:space="preserve">FBC3-D17</t>
        </is>
      </c>
      <c r="C91" s="34" t="inlineStr">
        <is>
          <t xml:space="preserve">Scramble-Stableford</t>
        </is>
      </c>
      <c r="D91" s="34" t="inlineStr">
        <is>
          <t xml:space="preserve">Scramble</t>
        </is>
      </c>
      <c r="E91" s="43">
        <v>9</v>
      </c>
      <c r="F91" s="45">
        <v>1</v>
      </c>
      <c r="G91" s="34" t="inlineStr">
        <is>
          <t xml:space="preserve">Shively</t>
        </is>
      </c>
      <c r="H91" s="34" t="inlineStr">
        <is>
          <t xml:space="preserve">Flanders</t>
        </is>
      </c>
      <c r="I91" s="34" t="inlineStr">
        <is>
          <t xml:space="preserve">Shively</t>
        </is>
      </c>
      <c r="J91" s="34" t="inlineStr">
        <is>
          <t xml:space="preserve">Connolly</t>
        </is>
      </c>
      <c r="K91" s="34" t="inlineStr">
        <is>
          <t xml:space="preserve">Hilts</t>
        </is>
      </c>
      <c r="L91" s="45">
        <v>0</v>
      </c>
      <c r="M91" s="45">
        <v>0</v>
      </c>
      <c r="N91" s="34" t="inlineStr">
        <is>
          <t xml:space="preserve">Even</t>
        </is>
      </c>
      <c r="O91" s="45">
        <v>0</v>
      </c>
      <c r="P91" s="45">
        <v>0.5</v>
      </c>
      <c r="Q91" s="45">
        <v>-0.5</v>
      </c>
      <c r="R91" s="34" t="inlineStr">
        <is>
          <t xml:space="preserve">FBC 8/Handicaps (FBC 8) (Final).xlsx [3 Results]</t>
        </is>
      </c>
    </row>
    <row r="92" spans="1:18">
      <c r="A92" s="40">
        <v>3</v>
      </c>
      <c r="B92" s="31" t="inlineStr">
        <is>
          <t xml:space="preserve">FBC3-D18</t>
        </is>
      </c>
      <c r="C92" s="31" t="inlineStr">
        <is>
          <t xml:space="preserve">Scramble-Stableford</t>
        </is>
      </c>
      <c r="D92" s="31" t="inlineStr">
        <is>
          <t xml:space="preserve">Scramble</t>
        </is>
      </c>
      <c r="E92" s="40">
        <v>9</v>
      </c>
      <c r="F92" s="42">
        <v>1</v>
      </c>
      <c r="G92" s="31" t="inlineStr">
        <is>
          <t xml:space="preserve">Shively</t>
        </is>
      </c>
      <c r="H92" s="31" t="inlineStr">
        <is>
          <t xml:space="preserve">Connors</t>
        </is>
      </c>
      <c r="I92" s="31" t="inlineStr">
        <is>
          <t xml:space="preserve">Grise</t>
        </is>
      </c>
      <c r="J92" s="31" t="inlineStr">
        <is>
          <t xml:space="preserve">Fogan</t>
        </is>
      </c>
      <c r="K92" s="31" t="inlineStr">
        <is>
          <t xml:space="preserve">Weisberger</t>
        </is>
      </c>
      <c r="L92" s="42">
        <v>0</v>
      </c>
      <c r="M92" s="42">
        <v>0</v>
      </c>
      <c r="N92" s="31" t="inlineStr">
        <is>
          <t xml:space="preserve">Even</t>
        </is>
      </c>
      <c r="O92" s="42">
        <v>0</v>
      </c>
      <c r="P92" s="42">
        <v>0.5</v>
      </c>
      <c r="Q92" s="42">
        <v>-0.5</v>
      </c>
      <c r="R92" s="31" t="inlineStr">
        <is>
          <t xml:space="preserve">FBC 8/Handicaps (FBC 8) (Final).xlsx [3 Results]</t>
        </is>
      </c>
    </row>
    <row r="93" spans="1:18">
      <c r="A93" s="43">
        <v>3</v>
      </c>
      <c r="B93" s="34" t="inlineStr">
        <is>
          <t xml:space="preserve">FBC3-D18</t>
        </is>
      </c>
      <c r="C93" s="34" t="inlineStr">
        <is>
          <t xml:space="preserve">Scramble-Stableford</t>
        </is>
      </c>
      <c r="D93" s="34" t="inlineStr">
        <is>
          <t xml:space="preserve">Scramble</t>
        </is>
      </c>
      <c r="E93" s="43">
        <v>9</v>
      </c>
      <c r="F93" s="45">
        <v>1</v>
      </c>
      <c r="G93" s="34" t="inlineStr">
        <is>
          <t xml:space="preserve">Lynch</t>
        </is>
      </c>
      <c r="H93" s="34" t="inlineStr">
        <is>
          <t xml:space="preserve">Fogan</t>
        </is>
      </c>
      <c r="I93" s="34" t="inlineStr">
        <is>
          <t xml:space="preserve">Weisberger</t>
        </is>
      </c>
      <c r="J93" s="34" t="inlineStr">
        <is>
          <t xml:space="preserve">Connors</t>
        </is>
      </c>
      <c r="K93" s="34" t="inlineStr">
        <is>
          <t xml:space="preserve">Grise</t>
        </is>
      </c>
      <c r="L93" s="45">
        <v>0</v>
      </c>
      <c r="M93" s="45">
        <v>0</v>
      </c>
      <c r="N93" s="34" t="inlineStr">
        <is>
          <t xml:space="preserve">Even</t>
        </is>
      </c>
      <c r="O93" s="45">
        <v>1</v>
      </c>
      <c r="P93" s="45">
        <v>0.5</v>
      </c>
      <c r="Q93" s="45">
        <v>0.5</v>
      </c>
      <c r="R93" s="34" t="inlineStr">
        <is>
          <t xml:space="preserve">FBC 8/Handicaps (FBC 8) (Final).xlsx [3 Results]</t>
        </is>
      </c>
    </row>
    <row r="94" spans="1:18">
      <c r="A94" s="40">
        <v>3</v>
      </c>
      <c r="B94" s="31" t="inlineStr">
        <is>
          <t xml:space="preserve">FBC3-D19</t>
        </is>
      </c>
      <c r="C94" s="31" t="inlineStr">
        <is>
          <t xml:space="preserve">Scramble-Stableford</t>
        </is>
      </c>
      <c r="D94" s="31" t="inlineStr">
        <is>
          <t xml:space="preserve">Scramble</t>
        </is>
      </c>
      <c r="E94" s="40">
        <v>9</v>
      </c>
      <c r="F94" s="42">
        <v>1</v>
      </c>
      <c r="G94" s="31" t="inlineStr">
        <is>
          <t xml:space="preserve">Lynch</t>
        </is>
      </c>
      <c r="H94" s="31" t="inlineStr">
        <is>
          <t xml:space="preserve">Hickerson</t>
        </is>
      </c>
      <c r="I94" s="31" t="inlineStr">
        <is>
          <t xml:space="preserve">Lynch</t>
        </is>
      </c>
      <c r="J94" s="31" t="inlineStr">
        <is>
          <t xml:space="preserve">Bussiculo</t>
        </is>
      </c>
      <c r="K94" s="31" t="inlineStr">
        <is>
          <t xml:space="preserve">Mangold</t>
        </is>
      </c>
      <c r="L94" s="42">
        <v>0</v>
      </c>
      <c r="M94" s="42">
        <v>0</v>
      </c>
      <c r="N94" s="31" t="inlineStr">
        <is>
          <t xml:space="preserve">Even</t>
        </is>
      </c>
      <c r="O94" s="42">
        <v>1</v>
      </c>
      <c r="P94" s="42">
        <v>0.5</v>
      </c>
      <c r="Q94" s="42">
        <v>0.5</v>
      </c>
      <c r="R94" s="31" t="inlineStr">
        <is>
          <t xml:space="preserve">FBC 8/Handicaps (FBC 8) (Final).xlsx [3 Results]</t>
        </is>
      </c>
    </row>
    <row r="95" spans="1:18">
      <c r="A95" s="43">
        <v>3</v>
      </c>
      <c r="B95" s="34" t="inlineStr">
        <is>
          <t xml:space="preserve">FBC3-D19</t>
        </is>
      </c>
      <c r="C95" s="34" t="inlineStr">
        <is>
          <t xml:space="preserve">Scramble-Stableford</t>
        </is>
      </c>
      <c r="D95" s="34" t="inlineStr">
        <is>
          <t xml:space="preserve">Scramble</t>
        </is>
      </c>
      <c r="E95" s="43">
        <v>9</v>
      </c>
      <c r="F95" s="45">
        <v>1</v>
      </c>
      <c r="G95" s="34" t="inlineStr">
        <is>
          <t xml:space="preserve">Shively</t>
        </is>
      </c>
      <c r="H95" s="34" t="inlineStr">
        <is>
          <t xml:space="preserve">Bussiculo</t>
        </is>
      </c>
      <c r="I95" s="34" t="inlineStr">
        <is>
          <t xml:space="preserve">Mangold</t>
        </is>
      </c>
      <c r="J95" s="34" t="inlineStr">
        <is>
          <t xml:space="preserve">Hickerson</t>
        </is>
      </c>
      <c r="K95" s="34" t="inlineStr">
        <is>
          <t xml:space="preserve">Lynch</t>
        </is>
      </c>
      <c r="L95" s="45">
        <v>0</v>
      </c>
      <c r="M95" s="45">
        <v>0</v>
      </c>
      <c r="N95" s="34" t="inlineStr">
        <is>
          <t xml:space="preserve">Even</t>
        </is>
      </c>
      <c r="O95" s="45">
        <v>0</v>
      </c>
      <c r="P95" s="45">
        <v>0.5</v>
      </c>
      <c r="Q95" s="45">
        <v>-0.5</v>
      </c>
      <c r="R95" s="34" t="inlineStr">
        <is>
          <t xml:space="preserve">FBC 8/Handicaps (FBC 8) (Final).xlsx [3 Results]</t>
        </is>
      </c>
    </row>
    <row r="96" spans="1:18">
      <c r="A96" s="40">
        <v>3</v>
      </c>
      <c r="B96" s="31" t="inlineStr">
        <is>
          <t xml:space="preserve">FBC3-D20</t>
        </is>
      </c>
      <c r="C96" s="31" t="inlineStr">
        <is>
          <t xml:space="preserve">Scramble-Stableford</t>
        </is>
      </c>
      <c r="D96" s="31" t="inlineStr">
        <is>
          <t xml:space="preserve">Scramble</t>
        </is>
      </c>
      <c r="E96" s="40">
        <v>9</v>
      </c>
      <c r="F96" s="42">
        <v>1</v>
      </c>
      <c r="G96" s="31" t="inlineStr">
        <is>
          <t xml:space="preserve">Shively</t>
        </is>
      </c>
      <c r="H96" s="31" t="inlineStr">
        <is>
          <t xml:space="preserve">Forster</t>
        </is>
      </c>
      <c r="I96" s="31" t="inlineStr">
        <is>
          <t xml:space="preserve">Norat</t>
        </is>
      </c>
      <c r="J96" s="31" t="inlineStr">
        <is>
          <t xml:space="preserve">Cole</t>
        </is>
      </c>
      <c r="K96" s="31" t="inlineStr">
        <is>
          <t xml:space="preserve">McInerney</t>
        </is>
      </c>
      <c r="L96" s="42">
        <v>0</v>
      </c>
      <c r="M96" s="42">
        <v>0</v>
      </c>
      <c r="N96" s="31" t="inlineStr">
        <is>
          <t xml:space="preserve">Even</t>
        </is>
      </c>
      <c r="O96" s="42">
        <v>0.5</v>
      </c>
      <c r="P96" s="42">
        <v>0.5</v>
      </c>
      <c r="Q96" s="42">
        <v>0</v>
      </c>
      <c r="R96" s="31" t="inlineStr">
        <is>
          <t xml:space="preserve">FBC 8/Handicaps (FBC 8) (Final).xlsx [3 Results]</t>
        </is>
      </c>
    </row>
    <row r="97" spans="1:18">
      <c r="A97" s="43">
        <v>3</v>
      </c>
      <c r="B97" s="34" t="inlineStr">
        <is>
          <t xml:space="preserve">FBC3-D20</t>
        </is>
      </c>
      <c r="C97" s="34" t="inlineStr">
        <is>
          <t xml:space="preserve">Scramble-Stableford</t>
        </is>
      </c>
      <c r="D97" s="34" t="inlineStr">
        <is>
          <t xml:space="preserve">Scramble</t>
        </is>
      </c>
      <c r="E97" s="43">
        <v>9</v>
      </c>
      <c r="F97" s="45">
        <v>1</v>
      </c>
      <c r="G97" s="34" t="inlineStr">
        <is>
          <t xml:space="preserve">Lynch</t>
        </is>
      </c>
      <c r="H97" s="34" t="inlineStr">
        <is>
          <t xml:space="preserve">Cole</t>
        </is>
      </c>
      <c r="I97" s="34" t="inlineStr">
        <is>
          <t xml:space="preserve">McInerney</t>
        </is>
      </c>
      <c r="J97" s="34" t="inlineStr">
        <is>
          <t xml:space="preserve">Forster</t>
        </is>
      </c>
      <c r="K97" s="34" t="inlineStr">
        <is>
          <t xml:space="preserve">Norat</t>
        </is>
      </c>
      <c r="L97" s="45">
        <v>0</v>
      </c>
      <c r="M97" s="45">
        <v>0</v>
      </c>
      <c r="N97" s="34" t="inlineStr">
        <is>
          <t xml:space="preserve">Even</t>
        </is>
      </c>
      <c r="O97" s="45">
        <v>0.5</v>
      </c>
      <c r="P97" s="45">
        <v>0.5</v>
      </c>
      <c r="Q97" s="45">
        <v>0</v>
      </c>
      <c r="R97" s="34" t="inlineStr">
        <is>
          <t xml:space="preserve">FBC 8/Handicaps (FBC 8) (Final).xlsx [3 Results]</t>
        </is>
      </c>
    </row>
    <row r="98" spans="1:18">
      <c r="A98" s="40">
        <v>3</v>
      </c>
      <c r="B98" s="31" t="inlineStr">
        <is>
          <t xml:space="preserve">FBC3-S-Bussiculo-Zimmer</t>
        </is>
      </c>
      <c r="C98" s="31" t="inlineStr">
        <is>
          <t xml:space="preserve">Match Play</t>
        </is>
      </c>
      <c r="D98" s="31" t="inlineStr">
        <is>
          <t xml:space="preserve">Singles</t>
        </is>
      </c>
      <c r="E98" s="40">
        <v>18</v>
      </c>
      <c r="F98" s="42">
        <v>2</v>
      </c>
      <c r="G98" s="31" t="inlineStr">
        <is>
          <t xml:space="preserve">Shively</t>
        </is>
      </c>
      <c r="H98" s="31" t="inlineStr">
        <is>
          <t xml:space="preserve">Bussiculo</t>
        </is>
      </c>
      <c r="I98" s="31"/>
      <c r="J98" s="31" t="inlineStr">
        <is>
          <t xml:space="preserve">Zimmer</t>
        </is>
      </c>
      <c r="K98" s="31"/>
      <c r="L98" s="42">
        <v>-1</v>
      </c>
      <c r="M98" s="42">
        <v>-1</v>
      </c>
      <c r="N98" s="31" t="inlineStr">
        <is>
          <t xml:space="preserve">Giving</t>
        </is>
      </c>
      <c r="O98" s="42">
        <v>0</v>
      </c>
      <c r="P98" s="42">
        <v>1.141</v>
      </c>
      <c r="Q98" s="42">
        <v>-1.141</v>
      </c>
      <c r="R98" s="31" t="inlineStr">
        <is>
          <t xml:space="preserve">FBC 8/Handicaps (FBC 8) (Final).xlsx [3 Results]</t>
        </is>
      </c>
    </row>
    <row r="99" spans="1:18">
      <c r="A99" s="43">
        <v>3</v>
      </c>
      <c r="B99" s="34" t="inlineStr">
        <is>
          <t xml:space="preserve">FBC3-S-Bussiculo-Zimmer</t>
        </is>
      </c>
      <c r="C99" s="34" t="inlineStr">
        <is>
          <t xml:space="preserve">Match Play</t>
        </is>
      </c>
      <c r="D99" s="34" t="inlineStr">
        <is>
          <t xml:space="preserve">Singles</t>
        </is>
      </c>
      <c r="E99" s="43">
        <v>18</v>
      </c>
      <c r="F99" s="45">
        <v>2</v>
      </c>
      <c r="G99" s="34" t="inlineStr">
        <is>
          <t xml:space="preserve">Lynch</t>
        </is>
      </c>
      <c r="H99" s="34" t="inlineStr">
        <is>
          <t xml:space="preserve">Zimmer</t>
        </is>
      </c>
      <c r="I99" s="34"/>
      <c r="J99" s="34" t="inlineStr">
        <is>
          <t xml:space="preserve">Bussiculo</t>
        </is>
      </c>
      <c r="K99" s="34"/>
      <c r="L99" s="45">
        <v>1</v>
      </c>
      <c r="M99" s="45">
        <v>1</v>
      </c>
      <c r="N99" s="34" t="inlineStr">
        <is>
          <t xml:space="preserve">Getting</t>
        </is>
      </c>
      <c r="O99" s="45">
        <v>2</v>
      </c>
      <c r="P99" s="45">
        <v>0.859</v>
      </c>
      <c r="Q99" s="45">
        <v>1.141</v>
      </c>
      <c r="R99" s="34" t="inlineStr">
        <is>
          <t xml:space="preserve">FBC 8/Handicaps (FBC 8) (Final).xlsx [3 Results]</t>
        </is>
      </c>
    </row>
    <row r="100" spans="1:18">
      <c r="A100" s="40">
        <v>3</v>
      </c>
      <c r="B100" s="31" t="inlineStr">
        <is>
          <t xml:space="preserve">FBC3-S-Cole-Mangold</t>
        </is>
      </c>
      <c r="C100" s="31" t="inlineStr">
        <is>
          <t xml:space="preserve">Match Play</t>
        </is>
      </c>
      <c r="D100" s="31" t="inlineStr">
        <is>
          <t xml:space="preserve">Singles</t>
        </is>
      </c>
      <c r="E100" s="40">
        <v>18</v>
      </c>
      <c r="F100" s="42">
        <v>2</v>
      </c>
      <c r="G100" s="31" t="inlineStr">
        <is>
          <t xml:space="preserve">Shively</t>
        </is>
      </c>
      <c r="H100" s="31" t="inlineStr">
        <is>
          <t xml:space="preserve">Mangold</t>
        </is>
      </c>
      <c r="I100" s="31"/>
      <c r="J100" s="31" t="inlineStr">
        <is>
          <t xml:space="preserve">Cole</t>
        </is>
      </c>
      <c r="K100" s="31"/>
      <c r="L100" s="42">
        <v>-10</v>
      </c>
      <c r="M100" s="42">
        <v>-10</v>
      </c>
      <c r="N100" s="31" t="inlineStr">
        <is>
          <t xml:space="preserve">Giving</t>
        </is>
      </c>
      <c r="O100" s="42">
        <v>1</v>
      </c>
      <c r="P100" s="42">
        <v>0.966</v>
      </c>
      <c r="Q100" s="42">
        <v>0.034</v>
      </c>
      <c r="R100" s="31" t="inlineStr">
        <is>
          <t xml:space="preserve">FBC 8/Handicaps (FBC 8) (Final).xlsx [3 Results]</t>
        </is>
      </c>
    </row>
    <row r="101" spans="1:18">
      <c r="A101" s="43">
        <v>3</v>
      </c>
      <c r="B101" s="34" t="inlineStr">
        <is>
          <t xml:space="preserve">FBC3-S-Cole-Mangold</t>
        </is>
      </c>
      <c r="C101" s="34" t="inlineStr">
        <is>
          <t xml:space="preserve">Match Play</t>
        </is>
      </c>
      <c r="D101" s="34" t="inlineStr">
        <is>
          <t xml:space="preserve">Singles</t>
        </is>
      </c>
      <c r="E101" s="43">
        <v>18</v>
      </c>
      <c r="F101" s="45">
        <v>2</v>
      </c>
      <c r="G101" s="34" t="inlineStr">
        <is>
          <t xml:space="preserve">Lynch</t>
        </is>
      </c>
      <c r="H101" s="34" t="inlineStr">
        <is>
          <t xml:space="preserve">Cole</t>
        </is>
      </c>
      <c r="I101" s="34"/>
      <c r="J101" s="34" t="inlineStr">
        <is>
          <t xml:space="preserve">Mangold</t>
        </is>
      </c>
      <c r="K101" s="34"/>
      <c r="L101" s="45">
        <v>10</v>
      </c>
      <c r="M101" s="45">
        <v>10</v>
      </c>
      <c r="N101" s="34" t="inlineStr">
        <is>
          <t xml:space="preserve">Getting</t>
        </is>
      </c>
      <c r="O101" s="45">
        <v>1</v>
      </c>
      <c r="P101" s="45">
        <v>1.034</v>
      </c>
      <c r="Q101" s="45">
        <v>-0.034</v>
      </c>
      <c r="R101" s="34" t="inlineStr">
        <is>
          <t xml:space="preserve">FBC 8/Handicaps (FBC 8) (Final).xlsx [3 Results]</t>
        </is>
      </c>
    </row>
    <row r="102" spans="1:18">
      <c r="A102" s="40">
        <v>3</v>
      </c>
      <c r="B102" s="31" t="inlineStr">
        <is>
          <t xml:space="preserve">FBC3-S-Connolly-Grise</t>
        </is>
      </c>
      <c r="C102" s="31" t="inlineStr">
        <is>
          <t xml:space="preserve">Match Play</t>
        </is>
      </c>
      <c r="D102" s="31" t="inlineStr">
        <is>
          <t xml:space="preserve">Singles</t>
        </is>
      </c>
      <c r="E102" s="40">
        <v>18</v>
      </c>
      <c r="F102" s="42">
        <v>2</v>
      </c>
      <c r="G102" s="31" t="inlineStr">
        <is>
          <t xml:space="preserve">Shively</t>
        </is>
      </c>
      <c r="H102" s="31" t="inlineStr">
        <is>
          <t xml:space="preserve">Grise</t>
        </is>
      </c>
      <c r="I102" s="31"/>
      <c r="J102" s="31" t="inlineStr">
        <is>
          <t xml:space="preserve">Connolly</t>
        </is>
      </c>
      <c r="K102" s="31"/>
      <c r="L102" s="42">
        <v>6</v>
      </c>
      <c r="M102" s="42">
        <v>6</v>
      </c>
      <c r="N102" s="31" t="inlineStr">
        <is>
          <t xml:space="preserve">Getting</t>
        </is>
      </c>
      <c r="O102" s="42">
        <v>0</v>
      </c>
      <c r="P102" s="42">
        <v>0.956</v>
      </c>
      <c r="Q102" s="42">
        <v>-0.956</v>
      </c>
      <c r="R102" s="31" t="inlineStr">
        <is>
          <t xml:space="preserve">FBC 8/Handicaps (FBC 8) (Final).xlsx [3 Results]</t>
        </is>
      </c>
    </row>
    <row r="103" spans="1:18">
      <c r="A103" s="43">
        <v>3</v>
      </c>
      <c r="B103" s="34" t="inlineStr">
        <is>
          <t xml:space="preserve">FBC3-S-Connolly-Grise</t>
        </is>
      </c>
      <c r="C103" s="34" t="inlineStr">
        <is>
          <t xml:space="preserve">Match Play</t>
        </is>
      </c>
      <c r="D103" s="34" t="inlineStr">
        <is>
          <t xml:space="preserve">Singles</t>
        </is>
      </c>
      <c r="E103" s="43">
        <v>18</v>
      </c>
      <c r="F103" s="45">
        <v>2</v>
      </c>
      <c r="G103" s="34" t="inlineStr">
        <is>
          <t xml:space="preserve">Lynch</t>
        </is>
      </c>
      <c r="H103" s="34" t="inlineStr">
        <is>
          <t xml:space="preserve">Connolly</t>
        </is>
      </c>
      <c r="I103" s="34"/>
      <c r="J103" s="34" t="inlineStr">
        <is>
          <t xml:space="preserve">Grise</t>
        </is>
      </c>
      <c r="K103" s="34"/>
      <c r="L103" s="45">
        <v>-6</v>
      </c>
      <c r="M103" s="45">
        <v>-6</v>
      </c>
      <c r="N103" s="34" t="inlineStr">
        <is>
          <t xml:space="preserve">Giving</t>
        </is>
      </c>
      <c r="O103" s="45">
        <v>2</v>
      </c>
      <c r="P103" s="45">
        <v>1.044</v>
      </c>
      <c r="Q103" s="45">
        <v>0.956</v>
      </c>
      <c r="R103" s="34" t="inlineStr">
        <is>
          <t xml:space="preserve">FBC 8/Handicaps (FBC 8) (Final).xlsx [3 Results]</t>
        </is>
      </c>
    </row>
    <row r="104" spans="1:18">
      <c r="A104" s="40">
        <v>3</v>
      </c>
      <c r="B104" s="31" t="inlineStr">
        <is>
          <t xml:space="preserve">FBC3-S-Connors-Fogan</t>
        </is>
      </c>
      <c r="C104" s="31" t="inlineStr">
        <is>
          <t xml:space="preserve">Match Play</t>
        </is>
      </c>
      <c r="D104" s="31" t="inlineStr">
        <is>
          <t xml:space="preserve">Singles</t>
        </is>
      </c>
      <c r="E104" s="40">
        <v>18</v>
      </c>
      <c r="F104" s="42">
        <v>2</v>
      </c>
      <c r="G104" s="31" t="inlineStr">
        <is>
          <t xml:space="preserve">Shively</t>
        </is>
      </c>
      <c r="H104" s="31" t="inlineStr">
        <is>
          <t xml:space="preserve">Connors</t>
        </is>
      </c>
      <c r="I104" s="31"/>
      <c r="J104" s="31" t="inlineStr">
        <is>
          <t xml:space="preserve">Fogan</t>
        </is>
      </c>
      <c r="K104" s="31"/>
      <c r="L104" s="42">
        <v>-10</v>
      </c>
      <c r="M104" s="42">
        <v>-10</v>
      </c>
      <c r="N104" s="31" t="inlineStr">
        <is>
          <t xml:space="preserve">Giving</t>
        </is>
      </c>
      <c r="O104" s="42">
        <v>2</v>
      </c>
      <c r="P104" s="42">
        <v>0.966</v>
      </c>
      <c r="Q104" s="42">
        <v>1.034</v>
      </c>
      <c r="R104" s="31" t="inlineStr">
        <is>
          <t xml:space="preserve">FBC 8/Handicaps (FBC 8) (Final).xlsx [3 Results]</t>
        </is>
      </c>
    </row>
    <row r="105" spans="1:18">
      <c r="A105" s="43">
        <v>3</v>
      </c>
      <c r="B105" s="34" t="inlineStr">
        <is>
          <t xml:space="preserve">FBC3-S-Connors-Fogan</t>
        </is>
      </c>
      <c r="C105" s="34" t="inlineStr">
        <is>
          <t xml:space="preserve">Match Play</t>
        </is>
      </c>
      <c r="D105" s="34" t="inlineStr">
        <is>
          <t xml:space="preserve">Singles</t>
        </is>
      </c>
      <c r="E105" s="43">
        <v>18</v>
      </c>
      <c r="F105" s="45">
        <v>2</v>
      </c>
      <c r="G105" s="34" t="inlineStr">
        <is>
          <t xml:space="preserve">Lynch</t>
        </is>
      </c>
      <c r="H105" s="34" t="inlineStr">
        <is>
          <t xml:space="preserve">Fogan</t>
        </is>
      </c>
      <c r="I105" s="34"/>
      <c r="J105" s="34" t="inlineStr">
        <is>
          <t xml:space="preserve">Connors</t>
        </is>
      </c>
      <c r="K105" s="34"/>
      <c r="L105" s="45">
        <v>10</v>
      </c>
      <c r="M105" s="45">
        <v>10</v>
      </c>
      <c r="N105" s="34" t="inlineStr">
        <is>
          <t xml:space="preserve">Getting</t>
        </is>
      </c>
      <c r="O105" s="45">
        <v>0</v>
      </c>
      <c r="P105" s="45">
        <v>1.034</v>
      </c>
      <c r="Q105" s="45">
        <v>-1.034</v>
      </c>
      <c r="R105" s="34" t="inlineStr">
        <is>
          <t xml:space="preserve">FBC 8/Handicaps (FBC 8) (Final).xlsx [3 Results]</t>
        </is>
      </c>
    </row>
    <row r="106" spans="1:18">
      <c r="A106" s="40">
        <v>3</v>
      </c>
      <c r="B106" s="31" t="inlineStr">
        <is>
          <t xml:space="preserve">FBC3-S-Ferrin-Weisberger</t>
        </is>
      </c>
      <c r="C106" s="31" t="inlineStr">
        <is>
          <t xml:space="preserve">Match Play</t>
        </is>
      </c>
      <c r="D106" s="31" t="inlineStr">
        <is>
          <t xml:space="preserve">Singles</t>
        </is>
      </c>
      <c r="E106" s="40">
        <v>18</v>
      </c>
      <c r="F106" s="42">
        <v>2</v>
      </c>
      <c r="G106" s="31" t="inlineStr">
        <is>
          <t xml:space="preserve">Shively</t>
        </is>
      </c>
      <c r="H106" s="31" t="inlineStr">
        <is>
          <t xml:space="preserve">Ferrin</t>
        </is>
      </c>
      <c r="I106" s="31"/>
      <c r="J106" s="31" t="inlineStr">
        <is>
          <t xml:space="preserve">Weisberger</t>
        </is>
      </c>
      <c r="K106" s="31"/>
      <c r="L106" s="42">
        <v>5</v>
      </c>
      <c r="M106" s="42">
        <v>5</v>
      </c>
      <c r="N106" s="31" t="inlineStr">
        <is>
          <t xml:space="preserve">Getting</t>
        </is>
      </c>
      <c r="O106" s="42">
        <v>2</v>
      </c>
      <c r="P106" s="42">
        <v>0.936</v>
      </c>
      <c r="Q106" s="42">
        <v>1.064</v>
      </c>
      <c r="R106" s="31" t="inlineStr">
        <is>
          <t xml:space="preserve">FBC 8/Handicaps (FBC 8) (Final).xlsx [3 Results]</t>
        </is>
      </c>
    </row>
    <row r="107" spans="1:18">
      <c r="A107" s="43">
        <v>3</v>
      </c>
      <c r="B107" s="34" t="inlineStr">
        <is>
          <t xml:space="preserve">FBC3-S-Ferrin-Weisberger</t>
        </is>
      </c>
      <c r="C107" s="34" t="inlineStr">
        <is>
          <t xml:space="preserve">Match Play</t>
        </is>
      </c>
      <c r="D107" s="34" t="inlineStr">
        <is>
          <t xml:space="preserve">Singles</t>
        </is>
      </c>
      <c r="E107" s="43">
        <v>18</v>
      </c>
      <c r="F107" s="45">
        <v>2</v>
      </c>
      <c r="G107" s="34" t="inlineStr">
        <is>
          <t xml:space="preserve">Lynch</t>
        </is>
      </c>
      <c r="H107" s="34" t="inlineStr">
        <is>
          <t xml:space="preserve">Weisberger</t>
        </is>
      </c>
      <c r="I107" s="34"/>
      <c r="J107" s="34" t="inlineStr">
        <is>
          <t xml:space="preserve">Ferrin</t>
        </is>
      </c>
      <c r="K107" s="34"/>
      <c r="L107" s="45">
        <v>-5</v>
      </c>
      <c r="M107" s="45">
        <v>-5</v>
      </c>
      <c r="N107" s="34" t="inlineStr">
        <is>
          <t xml:space="preserve">Giving</t>
        </is>
      </c>
      <c r="O107" s="45">
        <v>0</v>
      </c>
      <c r="P107" s="45">
        <v>1.064</v>
      </c>
      <c r="Q107" s="45">
        <v>-1.064</v>
      </c>
      <c r="R107" s="34" t="inlineStr">
        <is>
          <t xml:space="preserve">FBC 8/Handicaps (FBC 8) (Final).xlsx [3 Results]</t>
        </is>
      </c>
    </row>
    <row r="108" spans="1:18">
      <c r="A108" s="40">
        <v>3</v>
      </c>
      <c r="B108" s="31" t="inlineStr">
        <is>
          <t xml:space="preserve">FBC3-S-Flanders-Gray</t>
        </is>
      </c>
      <c r="C108" s="31" t="inlineStr">
        <is>
          <t xml:space="preserve">Match Play</t>
        </is>
      </c>
      <c r="D108" s="31" t="inlineStr">
        <is>
          <t xml:space="preserve">Singles</t>
        </is>
      </c>
      <c r="E108" s="40">
        <v>18</v>
      </c>
      <c r="F108" s="42">
        <v>2</v>
      </c>
      <c r="G108" s="31" t="inlineStr">
        <is>
          <t xml:space="preserve">Shively</t>
        </is>
      </c>
      <c r="H108" s="31" t="inlineStr">
        <is>
          <t xml:space="preserve">Flanders</t>
        </is>
      </c>
      <c r="I108" s="31"/>
      <c r="J108" s="31" t="inlineStr">
        <is>
          <t xml:space="preserve">Gray</t>
        </is>
      </c>
      <c r="K108" s="31"/>
      <c r="L108" s="42">
        <v>3</v>
      </c>
      <c r="M108" s="42">
        <v>3</v>
      </c>
      <c r="N108" s="31" t="inlineStr">
        <is>
          <t xml:space="preserve">Getting</t>
        </is>
      </c>
      <c r="O108" s="42">
        <v>0</v>
      </c>
      <c r="P108" s="42">
        <v>0.897</v>
      </c>
      <c r="Q108" s="42">
        <v>-0.897</v>
      </c>
      <c r="R108" s="31" t="inlineStr">
        <is>
          <t xml:space="preserve">FBC 8/Handicaps (FBC 8) (Final).xlsx [3 Results]</t>
        </is>
      </c>
    </row>
    <row r="109" spans="1:18">
      <c r="A109" s="43">
        <v>3</v>
      </c>
      <c r="B109" s="34" t="inlineStr">
        <is>
          <t xml:space="preserve">FBC3-S-Flanders-Gray</t>
        </is>
      </c>
      <c r="C109" s="34" t="inlineStr">
        <is>
          <t xml:space="preserve">Match Play</t>
        </is>
      </c>
      <c r="D109" s="34" t="inlineStr">
        <is>
          <t xml:space="preserve">Singles</t>
        </is>
      </c>
      <c r="E109" s="43">
        <v>18</v>
      </c>
      <c r="F109" s="45">
        <v>2</v>
      </c>
      <c r="G109" s="34" t="inlineStr">
        <is>
          <t xml:space="preserve">Lynch</t>
        </is>
      </c>
      <c r="H109" s="34" t="inlineStr">
        <is>
          <t xml:space="preserve">Gray</t>
        </is>
      </c>
      <c r="I109" s="34"/>
      <c r="J109" s="34" t="inlineStr">
        <is>
          <t xml:space="preserve">Flanders</t>
        </is>
      </c>
      <c r="K109" s="34"/>
      <c r="L109" s="45">
        <v>-3</v>
      </c>
      <c r="M109" s="45">
        <v>-3</v>
      </c>
      <c r="N109" s="34" t="inlineStr">
        <is>
          <t xml:space="preserve">Giving</t>
        </is>
      </c>
      <c r="O109" s="45">
        <v>2</v>
      </c>
      <c r="P109" s="45">
        <v>1.103</v>
      </c>
      <c r="Q109" s="45">
        <v>0.897</v>
      </c>
      <c r="R109" s="34" t="inlineStr">
        <is>
          <t xml:space="preserve">FBC 8/Handicaps (FBC 8) (Final).xlsx [3 Results]</t>
        </is>
      </c>
    </row>
    <row r="110" spans="1:18">
      <c r="A110" s="40">
        <v>3</v>
      </c>
      <c r="B110" s="31" t="inlineStr">
        <is>
          <t xml:space="preserve">FBC3-S-Forster-Hilts</t>
        </is>
      </c>
      <c r="C110" s="31" t="inlineStr">
        <is>
          <t xml:space="preserve">Match Play</t>
        </is>
      </c>
      <c r="D110" s="31" t="inlineStr">
        <is>
          <t xml:space="preserve">Singles</t>
        </is>
      </c>
      <c r="E110" s="40">
        <v>18</v>
      </c>
      <c r="F110" s="42">
        <v>2</v>
      </c>
      <c r="G110" s="31" t="inlineStr">
        <is>
          <t xml:space="preserve">Shively</t>
        </is>
      </c>
      <c r="H110" s="31" t="inlineStr">
        <is>
          <t xml:space="preserve">Forster</t>
        </is>
      </c>
      <c r="I110" s="31"/>
      <c r="J110" s="31" t="inlineStr">
        <is>
          <t xml:space="preserve">Hilts</t>
        </is>
      </c>
      <c r="K110" s="31"/>
      <c r="L110" s="42">
        <v>8</v>
      </c>
      <c r="M110" s="42">
        <v>8</v>
      </c>
      <c r="N110" s="31" t="inlineStr">
        <is>
          <t xml:space="preserve">Getting</t>
        </is>
      </c>
      <c r="O110" s="42">
        <v>2</v>
      </c>
      <c r="P110" s="42">
        <v>0.995</v>
      </c>
      <c r="Q110" s="42">
        <v>1.005</v>
      </c>
      <c r="R110" s="31" t="inlineStr">
        <is>
          <t xml:space="preserve">FBC 8/Handicaps (FBC 8) (Final).xlsx [3 Results]</t>
        </is>
      </c>
    </row>
    <row r="111" spans="1:18">
      <c r="A111" s="43">
        <v>3</v>
      </c>
      <c r="B111" s="34" t="inlineStr">
        <is>
          <t xml:space="preserve">FBC3-S-Forster-Hilts</t>
        </is>
      </c>
      <c r="C111" s="34" t="inlineStr">
        <is>
          <t xml:space="preserve">Match Play</t>
        </is>
      </c>
      <c r="D111" s="34" t="inlineStr">
        <is>
          <t xml:space="preserve">Singles</t>
        </is>
      </c>
      <c r="E111" s="43">
        <v>18</v>
      </c>
      <c r="F111" s="45">
        <v>2</v>
      </c>
      <c r="G111" s="34" t="inlineStr">
        <is>
          <t xml:space="preserve">Lynch</t>
        </is>
      </c>
      <c r="H111" s="34" t="inlineStr">
        <is>
          <t xml:space="preserve">Hilts</t>
        </is>
      </c>
      <c r="I111" s="34"/>
      <c r="J111" s="34" t="inlineStr">
        <is>
          <t xml:space="preserve">Forster</t>
        </is>
      </c>
      <c r="K111" s="34"/>
      <c r="L111" s="45">
        <v>-8</v>
      </c>
      <c r="M111" s="45">
        <v>-8</v>
      </c>
      <c r="N111" s="34" t="inlineStr">
        <is>
          <t xml:space="preserve">Giving</t>
        </is>
      </c>
      <c r="O111" s="45">
        <v>0</v>
      </c>
      <c r="P111" s="45">
        <v>1.005</v>
      </c>
      <c r="Q111" s="45">
        <v>-1.005</v>
      </c>
      <c r="R111" s="34" t="inlineStr">
        <is>
          <t xml:space="preserve">FBC 8/Handicaps (FBC 8) (Final).xlsx [3 Results]</t>
        </is>
      </c>
    </row>
    <row r="112" spans="1:18">
      <c r="A112" s="40">
        <v>3</v>
      </c>
      <c r="B112" s="31" t="inlineStr">
        <is>
          <t xml:space="preserve">FBC3-S-Hickerson-Norat</t>
        </is>
      </c>
      <c r="C112" s="31" t="inlineStr">
        <is>
          <t xml:space="preserve">Match Play</t>
        </is>
      </c>
      <c r="D112" s="31" t="inlineStr">
        <is>
          <t xml:space="preserve">Singles</t>
        </is>
      </c>
      <c r="E112" s="40">
        <v>18</v>
      </c>
      <c r="F112" s="42">
        <v>2</v>
      </c>
      <c r="G112" s="31" t="inlineStr">
        <is>
          <t xml:space="preserve">Shively</t>
        </is>
      </c>
      <c r="H112" s="31" t="inlineStr">
        <is>
          <t xml:space="preserve">Norat</t>
        </is>
      </c>
      <c r="I112" s="31"/>
      <c r="J112" s="31" t="inlineStr">
        <is>
          <t xml:space="preserve">Hickerson</t>
        </is>
      </c>
      <c r="K112" s="31"/>
      <c r="L112" s="42">
        <v>0</v>
      </c>
      <c r="M112" s="42">
        <v>0</v>
      </c>
      <c r="N112" s="31" t="inlineStr">
        <is>
          <t xml:space="preserve">Even</t>
        </is>
      </c>
      <c r="O112" s="42">
        <v>1</v>
      </c>
      <c r="P112" s="42">
        <v>1</v>
      </c>
      <c r="Q112" s="42">
        <v>0</v>
      </c>
      <c r="R112" s="31" t="inlineStr">
        <is>
          <t xml:space="preserve">FBC 8/Handicaps (FBC 8) (Final).xlsx [3 Results]</t>
        </is>
      </c>
    </row>
    <row r="113" spans="1:18">
      <c r="A113" s="43">
        <v>3</v>
      </c>
      <c r="B113" s="34" t="inlineStr">
        <is>
          <t xml:space="preserve">FBC3-S-Hickerson-Norat</t>
        </is>
      </c>
      <c r="C113" s="34" t="inlineStr">
        <is>
          <t xml:space="preserve">Match Play</t>
        </is>
      </c>
      <c r="D113" s="34" t="inlineStr">
        <is>
          <t xml:space="preserve">Singles</t>
        </is>
      </c>
      <c r="E113" s="43">
        <v>18</v>
      </c>
      <c r="F113" s="45">
        <v>2</v>
      </c>
      <c r="G113" s="34" t="inlineStr">
        <is>
          <t xml:space="preserve">Lynch</t>
        </is>
      </c>
      <c r="H113" s="34" t="inlineStr">
        <is>
          <t xml:space="preserve">Hickerson</t>
        </is>
      </c>
      <c r="I113" s="34"/>
      <c r="J113" s="34" t="inlineStr">
        <is>
          <t xml:space="preserve">Norat</t>
        </is>
      </c>
      <c r="K113" s="34"/>
      <c r="L113" s="45">
        <v>0</v>
      </c>
      <c r="M113" s="45">
        <v>0</v>
      </c>
      <c r="N113" s="34" t="inlineStr">
        <is>
          <t xml:space="preserve">Even</t>
        </is>
      </c>
      <c r="O113" s="45">
        <v>1</v>
      </c>
      <c r="P113" s="45">
        <v>1</v>
      </c>
      <c r="Q113" s="45">
        <v>0</v>
      </c>
      <c r="R113" s="34" t="inlineStr">
        <is>
          <t xml:space="preserve">FBC 8/Handicaps (FBC 8) (Final).xlsx [3 Results]</t>
        </is>
      </c>
    </row>
    <row r="114" spans="1:18">
      <c r="A114" s="40">
        <v>3</v>
      </c>
      <c r="B114" s="31" t="inlineStr">
        <is>
          <t xml:space="preserve">FBC3-S-Jackson-McInerney</t>
        </is>
      </c>
      <c r="C114" s="31" t="inlineStr">
        <is>
          <t xml:space="preserve">Match Play</t>
        </is>
      </c>
      <c r="D114" s="31" t="inlineStr">
        <is>
          <t xml:space="preserve">Singles</t>
        </is>
      </c>
      <c r="E114" s="40">
        <v>18</v>
      </c>
      <c r="F114" s="42">
        <v>2</v>
      </c>
      <c r="G114" s="31" t="inlineStr">
        <is>
          <t xml:space="preserve">Shively</t>
        </is>
      </c>
      <c r="H114" s="31" t="inlineStr">
        <is>
          <t xml:space="preserve">Jackson</t>
        </is>
      </c>
      <c r="I114" s="31"/>
      <c r="J114" s="31" t="inlineStr">
        <is>
          <t xml:space="preserve">McInerney</t>
        </is>
      </c>
      <c r="K114" s="31"/>
      <c r="L114" s="42">
        <v>3</v>
      </c>
      <c r="M114" s="42">
        <v>3</v>
      </c>
      <c r="N114" s="31" t="inlineStr">
        <is>
          <t xml:space="preserve">Getting</t>
        </is>
      </c>
      <c r="O114" s="42">
        <v>2</v>
      </c>
      <c r="P114" s="42">
        <v>0.897</v>
      </c>
      <c r="Q114" s="42">
        <v>1.103</v>
      </c>
      <c r="R114" s="31" t="inlineStr">
        <is>
          <t xml:space="preserve">FBC 8/Handicaps (FBC 8) (Final).xlsx [3 Results]</t>
        </is>
      </c>
    </row>
    <row r="115" spans="1:18">
      <c r="A115" s="43">
        <v>3</v>
      </c>
      <c r="B115" s="34" t="inlineStr">
        <is>
          <t xml:space="preserve">FBC3-S-Jackson-McInerney</t>
        </is>
      </c>
      <c r="C115" s="34" t="inlineStr">
        <is>
          <t xml:space="preserve">Match Play</t>
        </is>
      </c>
      <c r="D115" s="34" t="inlineStr">
        <is>
          <t xml:space="preserve">Singles</t>
        </is>
      </c>
      <c r="E115" s="43">
        <v>18</v>
      </c>
      <c r="F115" s="45">
        <v>2</v>
      </c>
      <c r="G115" s="34" t="inlineStr">
        <is>
          <t xml:space="preserve">Lynch</t>
        </is>
      </c>
      <c r="H115" s="34" t="inlineStr">
        <is>
          <t xml:space="preserve">McInerney</t>
        </is>
      </c>
      <c r="I115" s="34"/>
      <c r="J115" s="34" t="inlineStr">
        <is>
          <t xml:space="preserve">Jackson</t>
        </is>
      </c>
      <c r="K115" s="34"/>
      <c r="L115" s="45">
        <v>-3</v>
      </c>
      <c r="M115" s="45">
        <v>-3</v>
      </c>
      <c r="N115" s="34" t="inlineStr">
        <is>
          <t xml:space="preserve">Giving</t>
        </is>
      </c>
      <c r="O115" s="45">
        <v>0</v>
      </c>
      <c r="P115" s="45">
        <v>1.103</v>
      </c>
      <c r="Q115" s="45">
        <v>-1.103</v>
      </c>
      <c r="R115" s="34" t="inlineStr">
        <is>
          <t xml:space="preserve">FBC 8/Handicaps (FBC 8) (Final).xlsx [3 Results]</t>
        </is>
      </c>
    </row>
    <row r="116" spans="1:18">
      <c r="A116" s="40">
        <v>3</v>
      </c>
      <c r="B116" s="31" t="inlineStr">
        <is>
          <t xml:space="preserve">FBC3-S-Lynch-Shively</t>
        </is>
      </c>
      <c r="C116" s="31" t="inlineStr">
        <is>
          <t xml:space="preserve">Match Play</t>
        </is>
      </c>
      <c r="D116" s="31" t="inlineStr">
        <is>
          <t xml:space="preserve">Singles</t>
        </is>
      </c>
      <c r="E116" s="40">
        <v>18</v>
      </c>
      <c r="F116" s="42">
        <v>2</v>
      </c>
      <c r="G116" s="31" t="inlineStr">
        <is>
          <t xml:space="preserve">Shively</t>
        </is>
      </c>
      <c r="H116" s="31" t="inlineStr">
        <is>
          <t xml:space="preserve">Shively</t>
        </is>
      </c>
      <c r="I116" s="31"/>
      <c r="J116" s="31" t="inlineStr">
        <is>
          <t xml:space="preserve">Lynch</t>
        </is>
      </c>
      <c r="K116" s="31"/>
      <c r="L116" s="42">
        <v>2</v>
      </c>
      <c r="M116" s="42">
        <v>2</v>
      </c>
      <c r="N116" s="31" t="inlineStr">
        <is>
          <t xml:space="preserve">Getting</t>
        </is>
      </c>
      <c r="O116" s="42">
        <v>0</v>
      </c>
      <c r="P116" s="42">
        <v>0.878</v>
      </c>
      <c r="Q116" s="42">
        <v>-0.878</v>
      </c>
      <c r="R116" s="31" t="inlineStr">
        <is>
          <t xml:space="preserve">FBC 8/Handicaps (FBC 8) (Final).xlsx [3 Results]</t>
        </is>
      </c>
    </row>
    <row r="117" spans="1:18">
      <c r="A117" s="43">
        <v>3</v>
      </c>
      <c r="B117" s="34" t="inlineStr">
        <is>
          <t xml:space="preserve">FBC3-S-Lynch-Shively</t>
        </is>
      </c>
      <c r="C117" s="34" t="inlineStr">
        <is>
          <t xml:space="preserve">Match Play</t>
        </is>
      </c>
      <c r="D117" s="34" t="inlineStr">
        <is>
          <t xml:space="preserve">Singles</t>
        </is>
      </c>
      <c r="E117" s="43">
        <v>18</v>
      </c>
      <c r="F117" s="45">
        <v>2</v>
      </c>
      <c r="G117" s="34" t="inlineStr">
        <is>
          <t xml:space="preserve">Lynch</t>
        </is>
      </c>
      <c r="H117" s="34" t="inlineStr">
        <is>
          <t xml:space="preserve">Lynch</t>
        </is>
      </c>
      <c r="I117" s="34"/>
      <c r="J117" s="34" t="inlineStr">
        <is>
          <t xml:space="preserve">Shively</t>
        </is>
      </c>
      <c r="K117" s="34"/>
      <c r="L117" s="45">
        <v>-2</v>
      </c>
      <c r="M117" s="45">
        <v>-2</v>
      </c>
      <c r="N117" s="34" t="inlineStr">
        <is>
          <t xml:space="preserve">Giving</t>
        </is>
      </c>
      <c r="O117" s="45">
        <v>2</v>
      </c>
      <c r="P117" s="45">
        <v>1.122</v>
      </c>
      <c r="Q117" s="45">
        <v>0.878</v>
      </c>
      <c r="R117" s="34" t="inlineStr">
        <is>
          <t xml:space="preserve">FBC 8/Handicaps (FBC 8) (Final).xlsx [3 Results]</t>
        </is>
      </c>
    </row>
    <row r="118" spans="1:18">
      <c r="A118" s="40">
        <v>4</v>
      </c>
      <c r="B118" s="31" t="inlineStr">
        <is>
          <t xml:space="preserve">FBC4-D1</t>
        </is>
      </c>
      <c r="C118" s="31" t="inlineStr">
        <is>
          <t xml:space="preserve">Best Ball</t>
        </is>
      </c>
      <c r="D118" s="31" t="inlineStr">
        <is>
          <t xml:space="preserve">Four-ball</t>
        </is>
      </c>
      <c r="E118" s="40">
        <v>9</v>
      </c>
      <c r="F118" s="42">
        <v>1</v>
      </c>
      <c r="G118" s="31" t="inlineStr">
        <is>
          <t xml:space="preserve">Mangold</t>
        </is>
      </c>
      <c r="H118" s="31" t="inlineStr">
        <is>
          <t xml:space="preserve">Ferrin</t>
        </is>
      </c>
      <c r="I118" s="31" t="inlineStr">
        <is>
          <t xml:space="preserve">Jackson</t>
        </is>
      </c>
      <c r="J118" s="31" t="inlineStr">
        <is>
          <t xml:space="preserve">Grise</t>
        </is>
      </c>
      <c r="K118" s="31" t="inlineStr">
        <is>
          <t xml:space="preserve">Welker</t>
        </is>
      </c>
      <c r="L118" s="42">
        <v>2</v>
      </c>
      <c r="M118" s="42">
        <v>1</v>
      </c>
      <c r="N118" s="31" t="inlineStr">
        <is>
          <t xml:space="preserve">Getting</t>
        </is>
      </c>
      <c r="O118" s="42">
        <v>0</v>
      </c>
      <c r="P118" s="42">
        <v>0.426</v>
      </c>
      <c r="Q118" s="42">
        <v>-0.426</v>
      </c>
      <c r="R118" s="31" t="inlineStr">
        <is>
          <t xml:space="preserve">FBC 8/Handicaps (FBC 8) (Final).xlsx [4 Results]</t>
        </is>
      </c>
    </row>
    <row r="119" spans="1:18">
      <c r="A119" s="43">
        <v>4</v>
      </c>
      <c r="B119" s="34" t="inlineStr">
        <is>
          <t xml:space="preserve">FBC4-D1</t>
        </is>
      </c>
      <c r="C119" s="34" t="inlineStr">
        <is>
          <t xml:space="preserve">Best Ball</t>
        </is>
      </c>
      <c r="D119" s="34" t="inlineStr">
        <is>
          <t xml:space="preserve">Four-ball</t>
        </is>
      </c>
      <c r="E119" s="43">
        <v>9</v>
      </c>
      <c r="F119" s="45">
        <v>1</v>
      </c>
      <c r="G119" s="34" t="inlineStr">
        <is>
          <t xml:space="preserve">Grise</t>
        </is>
      </c>
      <c r="H119" s="34" t="inlineStr">
        <is>
          <t xml:space="preserve">Grise</t>
        </is>
      </c>
      <c r="I119" s="34" t="inlineStr">
        <is>
          <t xml:space="preserve">Welker</t>
        </is>
      </c>
      <c r="J119" s="34" t="inlineStr">
        <is>
          <t xml:space="preserve">Ferrin</t>
        </is>
      </c>
      <c r="K119" s="34" t="inlineStr">
        <is>
          <t xml:space="preserve">Jackson</t>
        </is>
      </c>
      <c r="L119" s="45">
        <v>-2</v>
      </c>
      <c r="M119" s="45">
        <v>-1</v>
      </c>
      <c r="N119" s="34" t="inlineStr">
        <is>
          <t xml:space="preserve">Giving</t>
        </is>
      </c>
      <c r="O119" s="45">
        <v>1</v>
      </c>
      <c r="P119" s="45">
        <v>0.574</v>
      </c>
      <c r="Q119" s="45">
        <v>0.426</v>
      </c>
      <c r="R119" s="34" t="inlineStr">
        <is>
          <t xml:space="preserve">FBC 8/Handicaps (FBC 8) (Final).xlsx [4 Results]</t>
        </is>
      </c>
    </row>
    <row r="120" spans="1:18">
      <c r="A120" s="40">
        <v>4</v>
      </c>
      <c r="B120" s="31" t="inlineStr">
        <is>
          <t xml:space="preserve">FBC4-D2</t>
        </is>
      </c>
      <c r="C120" s="31" t="inlineStr">
        <is>
          <t xml:space="preserve">Best Ball</t>
        </is>
      </c>
      <c r="D120" s="31" t="inlineStr">
        <is>
          <t xml:space="preserve">Four-ball</t>
        </is>
      </c>
      <c r="E120" s="40">
        <v>9</v>
      </c>
      <c r="F120" s="42">
        <v>1</v>
      </c>
      <c r="G120" s="31" t="inlineStr">
        <is>
          <t xml:space="preserve">Grise</t>
        </is>
      </c>
      <c r="H120" s="31" t="inlineStr">
        <is>
          <t xml:space="preserve">Bussiculo</t>
        </is>
      </c>
      <c r="I120" s="31" t="inlineStr">
        <is>
          <t xml:space="preserve">Shively</t>
        </is>
      </c>
      <c r="J120" s="31" t="inlineStr">
        <is>
          <t xml:space="preserve">Mangold</t>
        </is>
      </c>
      <c r="K120" s="31" t="inlineStr">
        <is>
          <t xml:space="preserve">Weisberger</t>
        </is>
      </c>
      <c r="L120" s="42">
        <v>0.5</v>
      </c>
      <c r="M120" s="42">
        <v>0.25</v>
      </c>
      <c r="N120" s="31" t="inlineStr">
        <is>
          <t xml:space="preserve">Even</t>
        </is>
      </c>
      <c r="O120" s="42">
        <v>1</v>
      </c>
      <c r="P120" s="42">
        <v>0.502</v>
      </c>
      <c r="Q120" s="42">
        <v>0.498</v>
      </c>
      <c r="R120" s="31" t="inlineStr">
        <is>
          <t xml:space="preserve">FBC 8/Handicaps (FBC 8) (Final).xlsx [4 Results]</t>
        </is>
      </c>
    </row>
    <row r="121" spans="1:18">
      <c r="A121" s="43">
        <v>4</v>
      </c>
      <c r="B121" s="34" t="inlineStr">
        <is>
          <t xml:space="preserve">FBC4-D2</t>
        </is>
      </c>
      <c r="C121" s="34" t="inlineStr">
        <is>
          <t xml:space="preserve">Best Ball</t>
        </is>
      </c>
      <c r="D121" s="34" t="inlineStr">
        <is>
          <t xml:space="preserve">Four-ball</t>
        </is>
      </c>
      <c r="E121" s="43">
        <v>9</v>
      </c>
      <c r="F121" s="45">
        <v>1</v>
      </c>
      <c r="G121" s="34" t="inlineStr">
        <is>
          <t xml:space="preserve">Mangold</t>
        </is>
      </c>
      <c r="H121" s="34" t="inlineStr">
        <is>
          <t xml:space="preserve">Mangold</t>
        </is>
      </c>
      <c r="I121" s="34" t="inlineStr">
        <is>
          <t xml:space="preserve">Weisberger</t>
        </is>
      </c>
      <c r="J121" s="34" t="inlineStr">
        <is>
          <t xml:space="preserve">Bussiculo</t>
        </is>
      </c>
      <c r="K121" s="34" t="inlineStr">
        <is>
          <t xml:space="preserve">Shively</t>
        </is>
      </c>
      <c r="L121" s="45">
        <v>-0.5</v>
      </c>
      <c r="M121" s="45">
        <v>-0.25</v>
      </c>
      <c r="N121" s="34" t="inlineStr">
        <is>
          <t xml:space="preserve">Even</t>
        </is>
      </c>
      <c r="O121" s="45">
        <v>0</v>
      </c>
      <c r="P121" s="45">
        <v>0.498</v>
      </c>
      <c r="Q121" s="45">
        <v>-0.498</v>
      </c>
      <c r="R121" s="34" t="inlineStr">
        <is>
          <t xml:space="preserve">FBC 8/Handicaps (FBC 8) (Final).xlsx [4 Results]</t>
        </is>
      </c>
    </row>
    <row r="122" spans="1:18">
      <c r="A122" s="40">
        <v>4</v>
      </c>
      <c r="B122" s="31" t="inlineStr">
        <is>
          <t xml:space="preserve">FBC4-D3</t>
        </is>
      </c>
      <c r="C122" s="31" t="inlineStr">
        <is>
          <t xml:space="preserve">Best Ball</t>
        </is>
      </c>
      <c r="D122" s="31" t="inlineStr">
        <is>
          <t xml:space="preserve">Four-ball</t>
        </is>
      </c>
      <c r="E122" s="40">
        <v>9</v>
      </c>
      <c r="F122" s="42">
        <v>1</v>
      </c>
      <c r="G122" s="31" t="inlineStr">
        <is>
          <t xml:space="preserve">Mangold</t>
        </is>
      </c>
      <c r="H122" s="31" t="inlineStr">
        <is>
          <t xml:space="preserve">Flanders</t>
        </is>
      </c>
      <c r="I122" s="31" t="inlineStr">
        <is>
          <t xml:space="preserve">Forster</t>
        </is>
      </c>
      <c r="J122" s="31" t="inlineStr">
        <is>
          <t xml:space="preserve">Hickerson</t>
        </is>
      </c>
      <c r="K122" s="31" t="inlineStr">
        <is>
          <t xml:space="preserve">McInerney</t>
        </is>
      </c>
      <c r="L122" s="42">
        <v>0.5</v>
      </c>
      <c r="M122" s="42">
        <v>0.25</v>
      </c>
      <c r="N122" s="31" t="inlineStr">
        <is>
          <t xml:space="preserve">Even</t>
        </is>
      </c>
      <c r="O122" s="42">
        <v>1</v>
      </c>
      <c r="P122" s="42">
        <v>0.502</v>
      </c>
      <c r="Q122" s="42">
        <v>0.498</v>
      </c>
      <c r="R122" s="31" t="inlineStr">
        <is>
          <t xml:space="preserve">FBC 8/Handicaps (FBC 8) (Final).xlsx [4 Results]</t>
        </is>
      </c>
    </row>
    <row r="123" spans="1:18">
      <c r="A123" s="43">
        <v>4</v>
      </c>
      <c r="B123" s="34" t="inlineStr">
        <is>
          <t xml:space="preserve">FBC4-D3</t>
        </is>
      </c>
      <c r="C123" s="34" t="inlineStr">
        <is>
          <t xml:space="preserve">Best Ball</t>
        </is>
      </c>
      <c r="D123" s="34" t="inlineStr">
        <is>
          <t xml:space="preserve">Four-ball</t>
        </is>
      </c>
      <c r="E123" s="43">
        <v>9</v>
      </c>
      <c r="F123" s="45">
        <v>1</v>
      </c>
      <c r="G123" s="34" t="inlineStr">
        <is>
          <t xml:space="preserve">Grise</t>
        </is>
      </c>
      <c r="H123" s="34" t="inlineStr">
        <is>
          <t xml:space="preserve">Hickerson</t>
        </is>
      </c>
      <c r="I123" s="34" t="inlineStr">
        <is>
          <t xml:space="preserve">McInerney</t>
        </is>
      </c>
      <c r="J123" s="34" t="inlineStr">
        <is>
          <t xml:space="preserve">Flanders</t>
        </is>
      </c>
      <c r="K123" s="34" t="inlineStr">
        <is>
          <t xml:space="preserve">Forster</t>
        </is>
      </c>
      <c r="L123" s="45">
        <v>-0.5</v>
      </c>
      <c r="M123" s="45">
        <v>-0.25</v>
      </c>
      <c r="N123" s="34" t="inlineStr">
        <is>
          <t xml:space="preserve">Even</t>
        </is>
      </c>
      <c r="O123" s="45">
        <v>0</v>
      </c>
      <c r="P123" s="45">
        <v>0.498</v>
      </c>
      <c r="Q123" s="45">
        <v>-0.498</v>
      </c>
      <c r="R123" s="34" t="inlineStr">
        <is>
          <t xml:space="preserve">FBC 8/Handicaps (FBC 8) (Final).xlsx [4 Results]</t>
        </is>
      </c>
    </row>
    <row r="124" spans="1:18">
      <c r="A124" s="40">
        <v>4</v>
      </c>
      <c r="B124" s="31" t="inlineStr">
        <is>
          <t xml:space="preserve">FBC4-D4</t>
        </is>
      </c>
      <c r="C124" s="31" t="inlineStr">
        <is>
          <t xml:space="preserve">Best Ball</t>
        </is>
      </c>
      <c r="D124" s="31" t="inlineStr">
        <is>
          <t xml:space="preserve">Four-ball</t>
        </is>
      </c>
      <c r="E124" s="40">
        <v>9</v>
      </c>
      <c r="F124" s="42">
        <v>1</v>
      </c>
      <c r="G124" s="31" t="inlineStr">
        <is>
          <t xml:space="preserve">Grise</t>
        </is>
      </c>
      <c r="H124" s="31" t="inlineStr">
        <is>
          <t xml:space="preserve">Connolly</t>
        </is>
      </c>
      <c r="I124" s="31" t="inlineStr">
        <is>
          <t xml:space="preserve">Zimmer</t>
        </is>
      </c>
      <c r="J124" s="31" t="inlineStr">
        <is>
          <t xml:space="preserve">Cole</t>
        </is>
      </c>
      <c r="K124" s="31" t="inlineStr">
        <is>
          <t xml:space="preserve">Connors</t>
        </is>
      </c>
      <c r="L124" s="42">
        <v>-9.5</v>
      </c>
      <c r="M124" s="42">
        <v>-4.75</v>
      </c>
      <c r="N124" s="31" t="inlineStr">
        <is>
          <t xml:space="preserve">Giving</t>
        </is>
      </c>
      <c r="O124" s="42">
        <v>1</v>
      </c>
      <c r="P124" s="42">
        <v>0.55</v>
      </c>
      <c r="Q124" s="42">
        <v>0.45</v>
      </c>
      <c r="R124" s="31" t="inlineStr">
        <is>
          <t xml:space="preserve">FBC 8/Handicaps (FBC 8) (Final).xlsx [4 Results]</t>
        </is>
      </c>
    </row>
    <row r="125" spans="1:18">
      <c r="A125" s="43">
        <v>4</v>
      </c>
      <c r="B125" s="34" t="inlineStr">
        <is>
          <t xml:space="preserve">FBC4-D4</t>
        </is>
      </c>
      <c r="C125" s="34" t="inlineStr">
        <is>
          <t xml:space="preserve">Best Ball</t>
        </is>
      </c>
      <c r="D125" s="34" t="inlineStr">
        <is>
          <t xml:space="preserve">Four-ball</t>
        </is>
      </c>
      <c r="E125" s="43">
        <v>9</v>
      </c>
      <c r="F125" s="45">
        <v>1</v>
      </c>
      <c r="G125" s="34" t="inlineStr">
        <is>
          <t xml:space="preserve">Mangold</t>
        </is>
      </c>
      <c r="H125" s="34" t="inlineStr">
        <is>
          <t xml:space="preserve">Cole</t>
        </is>
      </c>
      <c r="I125" s="34" t="inlineStr">
        <is>
          <t xml:space="preserve">Connors</t>
        </is>
      </c>
      <c r="J125" s="34" t="inlineStr">
        <is>
          <t xml:space="preserve">Connolly</t>
        </is>
      </c>
      <c r="K125" s="34" t="inlineStr">
        <is>
          <t xml:space="preserve">Zimmer</t>
        </is>
      </c>
      <c r="L125" s="45">
        <v>9.5</v>
      </c>
      <c r="M125" s="45">
        <v>4.75</v>
      </c>
      <c r="N125" s="34" t="inlineStr">
        <is>
          <t xml:space="preserve">Getting</t>
        </is>
      </c>
      <c r="O125" s="45">
        <v>0</v>
      </c>
      <c r="P125" s="45">
        <v>0.45</v>
      </c>
      <c r="Q125" s="45">
        <v>-0.45</v>
      </c>
      <c r="R125" s="34" t="inlineStr">
        <is>
          <t xml:space="preserve">FBC 8/Handicaps (FBC 8) (Final).xlsx [4 Results]</t>
        </is>
      </c>
    </row>
    <row r="126" spans="1:18">
      <c r="A126" s="40">
        <v>4</v>
      </c>
      <c r="B126" s="31" t="inlineStr">
        <is>
          <t xml:space="preserve">FBC4-D5</t>
        </is>
      </c>
      <c r="C126" s="31" t="inlineStr">
        <is>
          <t xml:space="preserve">Best Ball</t>
        </is>
      </c>
      <c r="D126" s="31" t="inlineStr">
        <is>
          <t xml:space="preserve">Four-ball</t>
        </is>
      </c>
      <c r="E126" s="40">
        <v>9</v>
      </c>
      <c r="F126" s="42">
        <v>1</v>
      </c>
      <c r="G126" s="31" t="inlineStr">
        <is>
          <t xml:space="preserve">Mangold</t>
        </is>
      </c>
      <c r="H126" s="31" t="inlineStr">
        <is>
          <t xml:space="preserve">Gray</t>
        </is>
      </c>
      <c r="I126" s="31" t="inlineStr">
        <is>
          <t xml:space="preserve">Norat</t>
        </is>
      </c>
      <c r="J126" s="31" t="inlineStr">
        <is>
          <t xml:space="preserve">Fogan</t>
        </is>
      </c>
      <c r="K126" s="31" t="inlineStr">
        <is>
          <t xml:space="preserve">Lynch</t>
        </is>
      </c>
      <c r="L126" s="42">
        <v>-7.5</v>
      </c>
      <c r="M126" s="42">
        <v>-3.75</v>
      </c>
      <c r="N126" s="31" t="inlineStr">
        <is>
          <t xml:space="preserve">Giving</t>
        </is>
      </c>
      <c r="O126" s="42">
        <v>0</v>
      </c>
      <c r="P126" s="42">
        <v>0.556</v>
      </c>
      <c r="Q126" s="42">
        <v>-0.556</v>
      </c>
      <c r="R126" s="31" t="inlineStr">
        <is>
          <t xml:space="preserve">FBC 8/Handicaps (FBC 8) (Final).xlsx [4 Results]</t>
        </is>
      </c>
    </row>
    <row r="127" spans="1:18">
      <c r="A127" s="43">
        <v>4</v>
      </c>
      <c r="B127" s="34" t="inlineStr">
        <is>
          <t xml:space="preserve">FBC4-D5</t>
        </is>
      </c>
      <c r="C127" s="34" t="inlineStr">
        <is>
          <t xml:space="preserve">Best Ball</t>
        </is>
      </c>
      <c r="D127" s="34" t="inlineStr">
        <is>
          <t xml:space="preserve">Four-ball</t>
        </is>
      </c>
      <c r="E127" s="43">
        <v>9</v>
      </c>
      <c r="F127" s="45">
        <v>1</v>
      </c>
      <c r="G127" s="34" t="inlineStr">
        <is>
          <t xml:space="preserve">Grise</t>
        </is>
      </c>
      <c r="H127" s="34" t="inlineStr">
        <is>
          <t xml:space="preserve">Fogan</t>
        </is>
      </c>
      <c r="I127" s="34" t="inlineStr">
        <is>
          <t xml:space="preserve">Lynch</t>
        </is>
      </c>
      <c r="J127" s="34" t="inlineStr">
        <is>
          <t xml:space="preserve">Gray</t>
        </is>
      </c>
      <c r="K127" s="34" t="inlineStr">
        <is>
          <t xml:space="preserve">Norat</t>
        </is>
      </c>
      <c r="L127" s="45">
        <v>7.5</v>
      </c>
      <c r="M127" s="45">
        <v>3.75</v>
      </c>
      <c r="N127" s="34" t="inlineStr">
        <is>
          <t xml:space="preserve">Getting</t>
        </is>
      </c>
      <c r="O127" s="45">
        <v>1</v>
      </c>
      <c r="P127" s="45">
        <v>0.444</v>
      </c>
      <c r="Q127" s="45">
        <v>0.556</v>
      </c>
      <c r="R127" s="34" t="inlineStr">
        <is>
          <t xml:space="preserve">FBC 8/Handicaps (FBC 8) (Final).xlsx [4 Results]</t>
        </is>
      </c>
    </row>
    <row r="128" spans="1:18">
      <c r="A128" s="40">
        <v>4</v>
      </c>
      <c r="B128" s="31" t="inlineStr">
        <is>
          <t xml:space="preserve">FBC4-D6</t>
        </is>
      </c>
      <c r="C128" s="31" t="inlineStr">
        <is>
          <t xml:space="preserve">Hi-Lo</t>
        </is>
      </c>
      <c r="D128" s="31" t="inlineStr">
        <is>
          <t xml:space="preserve">Four-ball</t>
        </is>
      </c>
      <c r="E128" s="40">
        <v>9</v>
      </c>
      <c r="F128" s="42">
        <v>1</v>
      </c>
      <c r="G128" s="31" t="inlineStr">
        <is>
          <t xml:space="preserve">Mangold</t>
        </is>
      </c>
      <c r="H128" s="31" t="inlineStr">
        <is>
          <t xml:space="preserve">Ferrin</t>
        </is>
      </c>
      <c r="I128" s="31" t="inlineStr">
        <is>
          <t xml:space="preserve">Jackson</t>
        </is>
      </c>
      <c r="J128" s="31" t="inlineStr">
        <is>
          <t xml:space="preserve">Grise</t>
        </is>
      </c>
      <c r="K128" s="31" t="inlineStr">
        <is>
          <t xml:space="preserve">Welker</t>
        </is>
      </c>
      <c r="L128" s="42">
        <v>2</v>
      </c>
      <c r="M128" s="42">
        <v>1</v>
      </c>
      <c r="N128" s="31" t="inlineStr">
        <is>
          <t xml:space="preserve">Getting</t>
        </is>
      </c>
      <c r="O128" s="42">
        <v>0</v>
      </c>
      <c r="P128" s="42">
        <v>0.426</v>
      </c>
      <c r="Q128" s="42">
        <v>-0.426</v>
      </c>
      <c r="R128" s="31" t="inlineStr">
        <is>
          <t xml:space="preserve">FBC 8/Handicaps (FBC 8) (Final).xlsx [4 Results]</t>
        </is>
      </c>
    </row>
    <row r="129" spans="1:18">
      <c r="A129" s="43">
        <v>4</v>
      </c>
      <c r="B129" s="34" t="inlineStr">
        <is>
          <t xml:space="preserve">FBC4-D6</t>
        </is>
      </c>
      <c r="C129" s="34" t="inlineStr">
        <is>
          <t xml:space="preserve">Hi-Lo</t>
        </is>
      </c>
      <c r="D129" s="34" t="inlineStr">
        <is>
          <t xml:space="preserve">Four-ball</t>
        </is>
      </c>
      <c r="E129" s="43">
        <v>9</v>
      </c>
      <c r="F129" s="45">
        <v>1</v>
      </c>
      <c r="G129" s="34" t="inlineStr">
        <is>
          <t xml:space="preserve">Grise</t>
        </is>
      </c>
      <c r="H129" s="34" t="inlineStr">
        <is>
          <t xml:space="preserve">Grise</t>
        </is>
      </c>
      <c r="I129" s="34" t="inlineStr">
        <is>
          <t xml:space="preserve">Welker</t>
        </is>
      </c>
      <c r="J129" s="34" t="inlineStr">
        <is>
          <t xml:space="preserve">Ferrin</t>
        </is>
      </c>
      <c r="K129" s="34" t="inlineStr">
        <is>
          <t xml:space="preserve">Jackson</t>
        </is>
      </c>
      <c r="L129" s="45">
        <v>-2</v>
      </c>
      <c r="M129" s="45">
        <v>-1</v>
      </c>
      <c r="N129" s="34" t="inlineStr">
        <is>
          <t xml:space="preserve">Giving</t>
        </is>
      </c>
      <c r="O129" s="45">
        <v>1</v>
      </c>
      <c r="P129" s="45">
        <v>0.574</v>
      </c>
      <c r="Q129" s="45">
        <v>0.426</v>
      </c>
      <c r="R129" s="34" t="inlineStr">
        <is>
          <t xml:space="preserve">FBC 8/Handicaps (FBC 8) (Final).xlsx [4 Results]</t>
        </is>
      </c>
    </row>
    <row r="130" spans="1:18">
      <c r="A130" s="40">
        <v>4</v>
      </c>
      <c r="B130" s="31" t="inlineStr">
        <is>
          <t xml:space="preserve">FBC4-D7</t>
        </is>
      </c>
      <c r="C130" s="31" t="inlineStr">
        <is>
          <t xml:space="preserve">Hi-Lo</t>
        </is>
      </c>
      <c r="D130" s="31" t="inlineStr">
        <is>
          <t xml:space="preserve">Four-ball</t>
        </is>
      </c>
      <c r="E130" s="40">
        <v>9</v>
      </c>
      <c r="F130" s="42">
        <v>1</v>
      </c>
      <c r="G130" s="31" t="inlineStr">
        <is>
          <t xml:space="preserve">Grise</t>
        </is>
      </c>
      <c r="H130" s="31" t="inlineStr">
        <is>
          <t xml:space="preserve">Bussiculo</t>
        </is>
      </c>
      <c r="I130" s="31" t="inlineStr">
        <is>
          <t xml:space="preserve">Shively</t>
        </is>
      </c>
      <c r="J130" s="31" t="inlineStr">
        <is>
          <t xml:space="preserve">Mangold</t>
        </is>
      </c>
      <c r="K130" s="31" t="inlineStr">
        <is>
          <t xml:space="preserve">Weisberger</t>
        </is>
      </c>
      <c r="L130" s="42">
        <v>0.5</v>
      </c>
      <c r="M130" s="42">
        <v>0.25</v>
      </c>
      <c r="N130" s="31" t="inlineStr">
        <is>
          <t xml:space="preserve">Even</t>
        </is>
      </c>
      <c r="O130" s="42">
        <v>0.5</v>
      </c>
      <c r="P130" s="42">
        <v>0.502</v>
      </c>
      <c r="Q130" s="42">
        <v>-0.002</v>
      </c>
      <c r="R130" s="31" t="inlineStr">
        <is>
          <t xml:space="preserve">FBC 8/Handicaps (FBC 8) (Final).xlsx [4 Results]</t>
        </is>
      </c>
    </row>
    <row r="131" spans="1:18">
      <c r="A131" s="43">
        <v>4</v>
      </c>
      <c r="B131" s="34" t="inlineStr">
        <is>
          <t xml:space="preserve">FBC4-D7</t>
        </is>
      </c>
      <c r="C131" s="34" t="inlineStr">
        <is>
          <t xml:space="preserve">Hi-Lo</t>
        </is>
      </c>
      <c r="D131" s="34" t="inlineStr">
        <is>
          <t xml:space="preserve">Four-ball</t>
        </is>
      </c>
      <c r="E131" s="43">
        <v>9</v>
      </c>
      <c r="F131" s="45">
        <v>1</v>
      </c>
      <c r="G131" s="34" t="inlineStr">
        <is>
          <t xml:space="preserve">Mangold</t>
        </is>
      </c>
      <c r="H131" s="34" t="inlineStr">
        <is>
          <t xml:space="preserve">Mangold</t>
        </is>
      </c>
      <c r="I131" s="34" t="inlineStr">
        <is>
          <t xml:space="preserve">Weisberger</t>
        </is>
      </c>
      <c r="J131" s="34" t="inlineStr">
        <is>
          <t xml:space="preserve">Bussiculo</t>
        </is>
      </c>
      <c r="K131" s="34" t="inlineStr">
        <is>
          <t xml:space="preserve">Shively</t>
        </is>
      </c>
      <c r="L131" s="45">
        <v>-0.5</v>
      </c>
      <c r="M131" s="45">
        <v>-0.25</v>
      </c>
      <c r="N131" s="34" t="inlineStr">
        <is>
          <t xml:space="preserve">Even</t>
        </is>
      </c>
      <c r="O131" s="45">
        <v>0.5</v>
      </c>
      <c r="P131" s="45">
        <v>0.498</v>
      </c>
      <c r="Q131" s="45">
        <v>0.002</v>
      </c>
      <c r="R131" s="34" t="inlineStr">
        <is>
          <t xml:space="preserve">FBC 8/Handicaps (FBC 8) (Final).xlsx [4 Results]</t>
        </is>
      </c>
    </row>
    <row r="132" spans="1:18">
      <c r="A132" s="40">
        <v>4</v>
      </c>
      <c r="B132" s="31" t="inlineStr">
        <is>
          <t xml:space="preserve">FBC4-D8</t>
        </is>
      </c>
      <c r="C132" s="31" t="inlineStr">
        <is>
          <t xml:space="preserve">Hi-Lo</t>
        </is>
      </c>
      <c r="D132" s="31" t="inlineStr">
        <is>
          <t xml:space="preserve">Four-ball</t>
        </is>
      </c>
      <c r="E132" s="40">
        <v>9</v>
      </c>
      <c r="F132" s="42">
        <v>1</v>
      </c>
      <c r="G132" s="31" t="inlineStr">
        <is>
          <t xml:space="preserve">Mangold</t>
        </is>
      </c>
      <c r="H132" s="31" t="inlineStr">
        <is>
          <t xml:space="preserve">Flanders</t>
        </is>
      </c>
      <c r="I132" s="31" t="inlineStr">
        <is>
          <t xml:space="preserve">Forster</t>
        </is>
      </c>
      <c r="J132" s="31" t="inlineStr">
        <is>
          <t xml:space="preserve">Hickerson</t>
        </is>
      </c>
      <c r="K132" s="31" t="inlineStr">
        <is>
          <t xml:space="preserve">McInerney</t>
        </is>
      </c>
      <c r="L132" s="42">
        <v>0.5</v>
      </c>
      <c r="M132" s="42">
        <v>0.25</v>
      </c>
      <c r="N132" s="31" t="inlineStr">
        <is>
          <t xml:space="preserve">Even</t>
        </is>
      </c>
      <c r="O132" s="42">
        <v>1</v>
      </c>
      <c r="P132" s="42">
        <v>0.502</v>
      </c>
      <c r="Q132" s="42">
        <v>0.498</v>
      </c>
      <c r="R132" s="31" t="inlineStr">
        <is>
          <t xml:space="preserve">FBC 8/Handicaps (FBC 8) (Final).xlsx [4 Results]</t>
        </is>
      </c>
    </row>
    <row r="133" spans="1:18">
      <c r="A133" s="43">
        <v>4</v>
      </c>
      <c r="B133" s="34" t="inlineStr">
        <is>
          <t xml:space="preserve">FBC4-D8</t>
        </is>
      </c>
      <c r="C133" s="34" t="inlineStr">
        <is>
          <t xml:space="preserve">Hi-Lo</t>
        </is>
      </c>
      <c r="D133" s="34" t="inlineStr">
        <is>
          <t xml:space="preserve">Four-ball</t>
        </is>
      </c>
      <c r="E133" s="43">
        <v>9</v>
      </c>
      <c r="F133" s="45">
        <v>1</v>
      </c>
      <c r="G133" s="34" t="inlineStr">
        <is>
          <t xml:space="preserve">Grise</t>
        </is>
      </c>
      <c r="H133" s="34" t="inlineStr">
        <is>
          <t xml:space="preserve">Hickerson</t>
        </is>
      </c>
      <c r="I133" s="34" t="inlineStr">
        <is>
          <t xml:space="preserve">McInerney</t>
        </is>
      </c>
      <c r="J133" s="34" t="inlineStr">
        <is>
          <t xml:space="preserve">Flanders</t>
        </is>
      </c>
      <c r="K133" s="34" t="inlineStr">
        <is>
          <t xml:space="preserve">Forster</t>
        </is>
      </c>
      <c r="L133" s="45">
        <v>-0.5</v>
      </c>
      <c r="M133" s="45">
        <v>-0.25</v>
      </c>
      <c r="N133" s="34" t="inlineStr">
        <is>
          <t xml:space="preserve">Even</t>
        </is>
      </c>
      <c r="O133" s="45">
        <v>0</v>
      </c>
      <c r="P133" s="45">
        <v>0.498</v>
      </c>
      <c r="Q133" s="45">
        <v>-0.498</v>
      </c>
      <c r="R133" s="34" t="inlineStr">
        <is>
          <t xml:space="preserve">FBC 8/Handicaps (FBC 8) (Final).xlsx [4 Results]</t>
        </is>
      </c>
    </row>
    <row r="134" spans="1:18">
      <c r="A134" s="40">
        <v>4</v>
      </c>
      <c r="B134" s="31" t="inlineStr">
        <is>
          <t xml:space="preserve">FBC4-D9</t>
        </is>
      </c>
      <c r="C134" s="31" t="inlineStr">
        <is>
          <t xml:space="preserve">Hi-Lo</t>
        </is>
      </c>
      <c r="D134" s="31" t="inlineStr">
        <is>
          <t xml:space="preserve">Four-ball</t>
        </is>
      </c>
      <c r="E134" s="40">
        <v>9</v>
      </c>
      <c r="F134" s="42">
        <v>1</v>
      </c>
      <c r="G134" s="31" t="inlineStr">
        <is>
          <t xml:space="preserve">Grise</t>
        </is>
      </c>
      <c r="H134" s="31" t="inlineStr">
        <is>
          <t xml:space="preserve">Connolly</t>
        </is>
      </c>
      <c r="I134" s="31" t="inlineStr">
        <is>
          <t xml:space="preserve">Zimmer</t>
        </is>
      </c>
      <c r="J134" s="31" t="inlineStr">
        <is>
          <t xml:space="preserve">Cole</t>
        </is>
      </c>
      <c r="K134" s="31" t="inlineStr">
        <is>
          <t xml:space="preserve">Connors</t>
        </is>
      </c>
      <c r="L134" s="42">
        <v>-9.5</v>
      </c>
      <c r="M134" s="42">
        <v>-4.75</v>
      </c>
      <c r="N134" s="31" t="inlineStr">
        <is>
          <t xml:space="preserve">Giving</t>
        </is>
      </c>
      <c r="O134" s="42">
        <v>1</v>
      </c>
      <c r="P134" s="42">
        <v>0.55</v>
      </c>
      <c r="Q134" s="42">
        <v>0.45</v>
      </c>
      <c r="R134" s="31" t="inlineStr">
        <is>
          <t xml:space="preserve">FBC 8/Handicaps (FBC 8) (Final).xlsx [4 Results]</t>
        </is>
      </c>
    </row>
    <row r="135" spans="1:18">
      <c r="A135" s="43">
        <v>4</v>
      </c>
      <c r="B135" s="34" t="inlineStr">
        <is>
          <t xml:space="preserve">FBC4-D9</t>
        </is>
      </c>
      <c r="C135" s="34" t="inlineStr">
        <is>
          <t xml:space="preserve">Hi-Lo</t>
        </is>
      </c>
      <c r="D135" s="34" t="inlineStr">
        <is>
          <t xml:space="preserve">Four-ball</t>
        </is>
      </c>
      <c r="E135" s="43">
        <v>9</v>
      </c>
      <c r="F135" s="45">
        <v>1</v>
      </c>
      <c r="G135" s="34" t="inlineStr">
        <is>
          <t xml:space="preserve">Mangold</t>
        </is>
      </c>
      <c r="H135" s="34" t="inlineStr">
        <is>
          <t xml:space="preserve">Cole</t>
        </is>
      </c>
      <c r="I135" s="34" t="inlineStr">
        <is>
          <t xml:space="preserve">Connors</t>
        </is>
      </c>
      <c r="J135" s="34" t="inlineStr">
        <is>
          <t xml:space="preserve">Connolly</t>
        </is>
      </c>
      <c r="K135" s="34" t="inlineStr">
        <is>
          <t xml:space="preserve">Zimmer</t>
        </is>
      </c>
      <c r="L135" s="45">
        <v>9.5</v>
      </c>
      <c r="M135" s="45">
        <v>4.75</v>
      </c>
      <c r="N135" s="34" t="inlineStr">
        <is>
          <t xml:space="preserve">Getting</t>
        </is>
      </c>
      <c r="O135" s="45">
        <v>0</v>
      </c>
      <c r="P135" s="45">
        <v>0.45</v>
      </c>
      <c r="Q135" s="45">
        <v>-0.45</v>
      </c>
      <c r="R135" s="34" t="inlineStr">
        <is>
          <t xml:space="preserve">FBC 8/Handicaps (FBC 8) (Final).xlsx [4 Results]</t>
        </is>
      </c>
    </row>
    <row r="136" spans="1:18">
      <c r="A136" s="40">
        <v>4</v>
      </c>
      <c r="B136" s="31" t="inlineStr">
        <is>
          <t xml:space="preserve">FBC4-D10</t>
        </is>
      </c>
      <c r="C136" s="31" t="inlineStr">
        <is>
          <t xml:space="preserve">Hi-Lo</t>
        </is>
      </c>
      <c r="D136" s="31" t="inlineStr">
        <is>
          <t xml:space="preserve">Four-ball</t>
        </is>
      </c>
      <c r="E136" s="40">
        <v>9</v>
      </c>
      <c r="F136" s="42">
        <v>1</v>
      </c>
      <c r="G136" s="31" t="inlineStr">
        <is>
          <t xml:space="preserve">Mangold</t>
        </is>
      </c>
      <c r="H136" s="31" t="inlineStr">
        <is>
          <t xml:space="preserve">Gray</t>
        </is>
      </c>
      <c r="I136" s="31" t="inlineStr">
        <is>
          <t xml:space="preserve">Norat</t>
        </is>
      </c>
      <c r="J136" s="31" t="inlineStr">
        <is>
          <t xml:space="preserve">Fogan</t>
        </is>
      </c>
      <c r="K136" s="31" t="inlineStr">
        <is>
          <t xml:space="preserve">Lynch</t>
        </is>
      </c>
      <c r="L136" s="42">
        <v>-7.5</v>
      </c>
      <c r="M136" s="42">
        <v>-3.75</v>
      </c>
      <c r="N136" s="31" t="inlineStr">
        <is>
          <t xml:space="preserve">Giving</t>
        </is>
      </c>
      <c r="O136" s="42">
        <v>1</v>
      </c>
      <c r="P136" s="42">
        <v>0.556</v>
      </c>
      <c r="Q136" s="42">
        <v>0.444</v>
      </c>
      <c r="R136" s="31" t="inlineStr">
        <is>
          <t xml:space="preserve">FBC 8/Handicaps (FBC 8) (Final).xlsx [4 Results]</t>
        </is>
      </c>
    </row>
    <row r="137" spans="1:18">
      <c r="A137" s="43">
        <v>4</v>
      </c>
      <c r="B137" s="34" t="inlineStr">
        <is>
          <t xml:space="preserve">FBC4-D10</t>
        </is>
      </c>
      <c r="C137" s="34" t="inlineStr">
        <is>
          <t xml:space="preserve">Hi-Lo</t>
        </is>
      </c>
      <c r="D137" s="34" t="inlineStr">
        <is>
          <t xml:space="preserve">Four-ball</t>
        </is>
      </c>
      <c r="E137" s="43">
        <v>9</v>
      </c>
      <c r="F137" s="45">
        <v>1</v>
      </c>
      <c r="G137" s="34" t="inlineStr">
        <is>
          <t xml:space="preserve">Grise</t>
        </is>
      </c>
      <c r="H137" s="34" t="inlineStr">
        <is>
          <t xml:space="preserve">Fogan</t>
        </is>
      </c>
      <c r="I137" s="34" t="inlineStr">
        <is>
          <t xml:space="preserve">Lynch</t>
        </is>
      </c>
      <c r="J137" s="34" t="inlineStr">
        <is>
          <t xml:space="preserve">Gray</t>
        </is>
      </c>
      <c r="K137" s="34" t="inlineStr">
        <is>
          <t xml:space="preserve">Norat</t>
        </is>
      </c>
      <c r="L137" s="45">
        <v>7.5</v>
      </c>
      <c r="M137" s="45">
        <v>3.75</v>
      </c>
      <c r="N137" s="34" t="inlineStr">
        <is>
          <t xml:space="preserve">Getting</t>
        </is>
      </c>
      <c r="O137" s="45">
        <v>0</v>
      </c>
      <c r="P137" s="45">
        <v>0.444</v>
      </c>
      <c r="Q137" s="45">
        <v>-0.444</v>
      </c>
      <c r="R137" s="34" t="inlineStr">
        <is>
          <t xml:space="preserve">FBC 8/Handicaps (FBC 8) (Final).xlsx [4 Results]</t>
        </is>
      </c>
    </row>
    <row r="138" spans="1:18">
      <c r="A138" s="40">
        <v>4</v>
      </c>
      <c r="B138" s="31" t="inlineStr">
        <is>
          <t xml:space="preserve">FBC4-D11</t>
        </is>
      </c>
      <c r="C138" s="31" t="inlineStr">
        <is>
          <t xml:space="preserve">Pinehurst</t>
        </is>
      </c>
      <c r="D138" s="31" t="inlineStr">
        <is>
          <t xml:space="preserve">Pinehurst</t>
        </is>
      </c>
      <c r="E138" s="40">
        <v>9</v>
      </c>
      <c r="F138" s="42">
        <v>1</v>
      </c>
      <c r="G138" s="31" t="inlineStr">
        <is>
          <t xml:space="preserve">Mangold</t>
        </is>
      </c>
      <c r="H138" s="31" t="inlineStr">
        <is>
          <t xml:space="preserve">Connors</t>
        </is>
      </c>
      <c r="I138" s="31" t="inlineStr">
        <is>
          <t xml:space="preserve">Mangold</t>
        </is>
      </c>
      <c r="J138" s="31" t="inlineStr">
        <is>
          <t xml:space="preserve">Grise</t>
        </is>
      </c>
      <c r="K138" s="31" t="inlineStr">
        <is>
          <t xml:space="preserve">Shively</t>
        </is>
      </c>
      <c r="L138" s="42">
        <v>1</v>
      </c>
      <c r="M138" s="42">
        <v>0.5</v>
      </c>
      <c r="N138" s="31" t="inlineStr">
        <is>
          <t xml:space="preserve">Getting</t>
        </is>
      </c>
      <c r="O138" s="42">
        <v>1</v>
      </c>
      <c r="P138" s="42">
        <v>0.428</v>
      </c>
      <c r="Q138" s="42">
        <v>0.572</v>
      </c>
      <c r="R138" s="31" t="inlineStr">
        <is>
          <t xml:space="preserve">FBC 8/Handicaps (FBC 8) (Final).xlsx [4 Results]</t>
        </is>
      </c>
    </row>
    <row r="139" spans="1:18">
      <c r="A139" s="43">
        <v>4</v>
      </c>
      <c r="B139" s="34" t="inlineStr">
        <is>
          <t xml:space="preserve">FBC4-D11</t>
        </is>
      </c>
      <c r="C139" s="34" t="inlineStr">
        <is>
          <t xml:space="preserve">Pinehurst</t>
        </is>
      </c>
      <c r="D139" s="34" t="inlineStr">
        <is>
          <t xml:space="preserve">Pinehurst</t>
        </is>
      </c>
      <c r="E139" s="43">
        <v>9</v>
      </c>
      <c r="F139" s="45">
        <v>1</v>
      </c>
      <c r="G139" s="34" t="inlineStr">
        <is>
          <t xml:space="preserve">Grise</t>
        </is>
      </c>
      <c r="H139" s="34" t="inlineStr">
        <is>
          <t xml:space="preserve">Grise</t>
        </is>
      </c>
      <c r="I139" s="34" t="inlineStr">
        <is>
          <t xml:space="preserve">Shively</t>
        </is>
      </c>
      <c r="J139" s="34" t="inlineStr">
        <is>
          <t xml:space="preserve">Connors</t>
        </is>
      </c>
      <c r="K139" s="34" t="inlineStr">
        <is>
          <t xml:space="preserve">Mangold</t>
        </is>
      </c>
      <c r="L139" s="45">
        <v>-1</v>
      </c>
      <c r="M139" s="45">
        <v>-0.5</v>
      </c>
      <c r="N139" s="34" t="inlineStr">
        <is>
          <t xml:space="preserve">Giving</t>
        </is>
      </c>
      <c r="O139" s="45">
        <v>0</v>
      </c>
      <c r="P139" s="45">
        <v>0.572</v>
      </c>
      <c r="Q139" s="45">
        <v>-0.572</v>
      </c>
      <c r="R139" s="34" t="inlineStr">
        <is>
          <t xml:space="preserve">FBC 8/Handicaps (FBC 8) (Final).xlsx [4 Results]</t>
        </is>
      </c>
    </row>
    <row r="140" spans="1:18">
      <c r="A140" s="40">
        <v>4</v>
      </c>
      <c r="B140" s="31" t="inlineStr">
        <is>
          <t xml:space="preserve">FBC4-D12</t>
        </is>
      </c>
      <c r="C140" s="31" t="inlineStr">
        <is>
          <t xml:space="preserve">Pinehurst</t>
        </is>
      </c>
      <c r="D140" s="31" t="inlineStr">
        <is>
          <t xml:space="preserve">Pinehurst</t>
        </is>
      </c>
      <c r="E140" s="40">
        <v>9</v>
      </c>
      <c r="F140" s="42">
        <v>1</v>
      </c>
      <c r="G140" s="31" t="inlineStr">
        <is>
          <t xml:space="preserve">Grise</t>
        </is>
      </c>
      <c r="H140" s="31" t="inlineStr">
        <is>
          <t xml:space="preserve">Bussiculo</t>
        </is>
      </c>
      <c r="I140" s="31" t="inlineStr">
        <is>
          <t xml:space="preserve">Lynch</t>
        </is>
      </c>
      <c r="J140" s="31" t="inlineStr">
        <is>
          <t xml:space="preserve">Flanders</t>
        </is>
      </c>
      <c r="K140" s="31" t="inlineStr">
        <is>
          <t xml:space="preserve">Forster</t>
        </is>
      </c>
      <c r="L140" s="42">
        <v>-1</v>
      </c>
      <c r="M140" s="42">
        <v>-0.5</v>
      </c>
      <c r="N140" s="31" t="inlineStr">
        <is>
          <t xml:space="preserve">Giving</t>
        </is>
      </c>
      <c r="O140" s="42">
        <v>0</v>
      </c>
      <c r="P140" s="42">
        <v>0.572</v>
      </c>
      <c r="Q140" s="42">
        <v>-0.572</v>
      </c>
      <c r="R140" s="31" t="inlineStr">
        <is>
          <t xml:space="preserve">FBC 8/Handicaps (FBC 8) (Final).xlsx [4 Results]</t>
        </is>
      </c>
    </row>
    <row r="141" spans="1:18">
      <c r="A141" s="43">
        <v>4</v>
      </c>
      <c r="B141" s="34" t="inlineStr">
        <is>
          <t xml:space="preserve">FBC4-D12</t>
        </is>
      </c>
      <c r="C141" s="34" t="inlineStr">
        <is>
          <t xml:space="preserve">Pinehurst</t>
        </is>
      </c>
      <c r="D141" s="34" t="inlineStr">
        <is>
          <t xml:space="preserve">Pinehurst</t>
        </is>
      </c>
      <c r="E141" s="43">
        <v>9</v>
      </c>
      <c r="F141" s="45">
        <v>1</v>
      </c>
      <c r="G141" s="34" t="inlineStr">
        <is>
          <t xml:space="preserve">Mangold</t>
        </is>
      </c>
      <c r="H141" s="34" t="inlineStr">
        <is>
          <t xml:space="preserve">Flanders</t>
        </is>
      </c>
      <c r="I141" s="34" t="inlineStr">
        <is>
          <t xml:space="preserve">Forster</t>
        </is>
      </c>
      <c r="J141" s="34" t="inlineStr">
        <is>
          <t xml:space="preserve">Bussiculo</t>
        </is>
      </c>
      <c r="K141" s="34" t="inlineStr">
        <is>
          <t xml:space="preserve">Lynch</t>
        </is>
      </c>
      <c r="L141" s="45">
        <v>1</v>
      </c>
      <c r="M141" s="45">
        <v>0.5</v>
      </c>
      <c r="N141" s="34" t="inlineStr">
        <is>
          <t xml:space="preserve">Getting</t>
        </is>
      </c>
      <c r="O141" s="45">
        <v>1</v>
      </c>
      <c r="P141" s="45">
        <v>0.428</v>
      </c>
      <c r="Q141" s="45">
        <v>0.572</v>
      </c>
      <c r="R141" s="34" t="inlineStr">
        <is>
          <t xml:space="preserve">FBC 8/Handicaps (FBC 8) (Final).xlsx [4 Results]</t>
        </is>
      </c>
    </row>
    <row r="142" spans="1:18">
      <c r="A142" s="40">
        <v>4</v>
      </c>
      <c r="B142" s="31" t="inlineStr">
        <is>
          <t xml:space="preserve">FBC4-D13</t>
        </is>
      </c>
      <c r="C142" s="31" t="inlineStr">
        <is>
          <t xml:space="preserve">Pinehurst</t>
        </is>
      </c>
      <c r="D142" s="31" t="inlineStr">
        <is>
          <t xml:space="preserve">Pinehurst</t>
        </is>
      </c>
      <c r="E142" s="40">
        <v>9</v>
      </c>
      <c r="F142" s="42">
        <v>1</v>
      </c>
      <c r="G142" s="31" t="inlineStr">
        <is>
          <t xml:space="preserve">Mangold</t>
        </is>
      </c>
      <c r="H142" s="31" t="inlineStr">
        <is>
          <t xml:space="preserve">Gray</t>
        </is>
      </c>
      <c r="I142" s="31" t="inlineStr">
        <is>
          <t xml:space="preserve">Norat</t>
        </is>
      </c>
      <c r="J142" s="31" t="inlineStr">
        <is>
          <t xml:space="preserve">Connolly</t>
        </is>
      </c>
      <c r="K142" s="31" t="inlineStr">
        <is>
          <t xml:space="preserve">McInerney</t>
        </is>
      </c>
      <c r="L142" s="42">
        <v>4</v>
      </c>
      <c r="M142" s="42">
        <v>2</v>
      </c>
      <c r="N142" s="31" t="inlineStr">
        <is>
          <t xml:space="preserve">Getting</t>
        </is>
      </c>
      <c r="O142" s="42">
        <v>0.5</v>
      </c>
      <c r="P142" s="42">
        <v>0.454</v>
      </c>
      <c r="Q142" s="42">
        <v>0.046</v>
      </c>
      <c r="R142" s="31" t="inlineStr">
        <is>
          <t xml:space="preserve">FBC 8/Handicaps (FBC 8) (Final).xlsx [4 Results]</t>
        </is>
      </c>
    </row>
    <row r="143" spans="1:18">
      <c r="A143" s="43">
        <v>4</v>
      </c>
      <c r="B143" s="34" t="inlineStr">
        <is>
          <t xml:space="preserve">FBC4-D13</t>
        </is>
      </c>
      <c r="C143" s="34" t="inlineStr">
        <is>
          <t xml:space="preserve">Pinehurst</t>
        </is>
      </c>
      <c r="D143" s="34" t="inlineStr">
        <is>
          <t xml:space="preserve">Pinehurst</t>
        </is>
      </c>
      <c r="E143" s="43">
        <v>9</v>
      </c>
      <c r="F143" s="45">
        <v>1</v>
      </c>
      <c r="G143" s="34" t="inlineStr">
        <is>
          <t xml:space="preserve">Grise</t>
        </is>
      </c>
      <c r="H143" s="34" t="inlineStr">
        <is>
          <t xml:space="preserve">Connolly</t>
        </is>
      </c>
      <c r="I143" s="34" t="inlineStr">
        <is>
          <t xml:space="preserve">McInerney</t>
        </is>
      </c>
      <c r="J143" s="34" t="inlineStr">
        <is>
          <t xml:space="preserve">Gray</t>
        </is>
      </c>
      <c r="K143" s="34" t="inlineStr">
        <is>
          <t xml:space="preserve">Norat</t>
        </is>
      </c>
      <c r="L143" s="45">
        <v>-4</v>
      </c>
      <c r="M143" s="45">
        <v>-2</v>
      </c>
      <c r="N143" s="34" t="inlineStr">
        <is>
          <t xml:space="preserve">Giving</t>
        </is>
      </c>
      <c r="O143" s="45">
        <v>0.5</v>
      </c>
      <c r="P143" s="45">
        <v>0.546</v>
      </c>
      <c r="Q143" s="45">
        <v>-0.046</v>
      </c>
      <c r="R143" s="34" t="inlineStr">
        <is>
          <t xml:space="preserve">FBC 8/Handicaps (FBC 8) (Final).xlsx [4 Results]</t>
        </is>
      </c>
    </row>
    <row r="144" spans="1:18">
      <c r="A144" s="40">
        <v>4</v>
      </c>
      <c r="B144" s="31" t="inlineStr">
        <is>
          <t xml:space="preserve">FBC4-D14</t>
        </is>
      </c>
      <c r="C144" s="31" t="inlineStr">
        <is>
          <t xml:space="preserve">Pinehurst</t>
        </is>
      </c>
      <c r="D144" s="31" t="inlineStr">
        <is>
          <t xml:space="preserve">Pinehurst</t>
        </is>
      </c>
      <c r="E144" s="40">
        <v>9</v>
      </c>
      <c r="F144" s="42">
        <v>1</v>
      </c>
      <c r="G144" s="31" t="inlineStr">
        <is>
          <t xml:space="preserve">Grise</t>
        </is>
      </c>
      <c r="H144" s="31" t="inlineStr">
        <is>
          <t xml:space="preserve">Zimmer</t>
        </is>
      </c>
      <c r="I144" s="31" t="inlineStr">
        <is>
          <t xml:space="preserve">Welker</t>
        </is>
      </c>
      <c r="J144" s="31" t="inlineStr">
        <is>
          <t xml:space="preserve">Ferrin</t>
        </is>
      </c>
      <c r="K144" s="31" t="inlineStr">
        <is>
          <t xml:space="preserve">Jackson</t>
        </is>
      </c>
      <c r="L144" s="42">
        <v>-3</v>
      </c>
      <c r="M144" s="42">
        <v>-1.5</v>
      </c>
      <c r="N144" s="31" t="inlineStr">
        <is>
          <t xml:space="preserve">Giving</t>
        </is>
      </c>
      <c r="O144" s="42">
        <v>0</v>
      </c>
      <c r="P144" s="42">
        <v>0.555</v>
      </c>
      <c r="Q144" s="42">
        <v>-0.555</v>
      </c>
      <c r="R144" s="31" t="inlineStr">
        <is>
          <t xml:space="preserve">FBC 8/Handicaps (FBC 8) (Final).xlsx [4 Results]</t>
        </is>
      </c>
    </row>
    <row r="145" spans="1:18">
      <c r="A145" s="43">
        <v>4</v>
      </c>
      <c r="B145" s="34" t="inlineStr">
        <is>
          <t xml:space="preserve">FBC4-D14</t>
        </is>
      </c>
      <c r="C145" s="34" t="inlineStr">
        <is>
          <t xml:space="preserve">Pinehurst</t>
        </is>
      </c>
      <c r="D145" s="34" t="inlineStr">
        <is>
          <t xml:space="preserve">Pinehurst</t>
        </is>
      </c>
      <c r="E145" s="43">
        <v>9</v>
      </c>
      <c r="F145" s="45">
        <v>1</v>
      </c>
      <c r="G145" s="34" t="inlineStr">
        <is>
          <t xml:space="preserve">Mangold</t>
        </is>
      </c>
      <c r="H145" s="34" t="inlineStr">
        <is>
          <t xml:space="preserve">Ferrin</t>
        </is>
      </c>
      <c r="I145" s="34" t="inlineStr">
        <is>
          <t xml:space="preserve">Jackson</t>
        </is>
      </c>
      <c r="J145" s="34" t="inlineStr">
        <is>
          <t xml:space="preserve">Zimmer</t>
        </is>
      </c>
      <c r="K145" s="34" t="inlineStr">
        <is>
          <t xml:space="preserve">Welker</t>
        </is>
      </c>
      <c r="L145" s="45">
        <v>3</v>
      </c>
      <c r="M145" s="45">
        <v>1.5</v>
      </c>
      <c r="N145" s="34" t="inlineStr">
        <is>
          <t xml:space="preserve">Getting</t>
        </is>
      </c>
      <c r="O145" s="45">
        <v>1</v>
      </c>
      <c r="P145" s="45">
        <v>0.445</v>
      </c>
      <c r="Q145" s="45">
        <v>0.555</v>
      </c>
      <c r="R145" s="34" t="inlineStr">
        <is>
          <t xml:space="preserve">FBC 8/Handicaps (FBC 8) (Final).xlsx [4 Results]</t>
        </is>
      </c>
    </row>
    <row r="146" spans="1:18">
      <c r="A146" s="40">
        <v>4</v>
      </c>
      <c r="B146" s="31" t="inlineStr">
        <is>
          <t xml:space="preserve">FBC4-D15</t>
        </is>
      </c>
      <c r="C146" s="31" t="inlineStr">
        <is>
          <t xml:space="preserve">Pinehurst</t>
        </is>
      </c>
      <c r="D146" s="31" t="inlineStr">
        <is>
          <t xml:space="preserve">Pinehurst</t>
        </is>
      </c>
      <c r="E146" s="40">
        <v>9</v>
      </c>
      <c r="F146" s="42">
        <v>1</v>
      </c>
      <c r="G146" s="31" t="inlineStr">
        <is>
          <t xml:space="preserve">Mangold</t>
        </is>
      </c>
      <c r="H146" s="31" t="inlineStr">
        <is>
          <t xml:space="preserve">Cole</t>
        </is>
      </c>
      <c r="I146" s="31" t="inlineStr">
        <is>
          <t xml:space="preserve">Weisberger</t>
        </is>
      </c>
      <c r="J146" s="31" t="inlineStr">
        <is>
          <t xml:space="preserve">Fogan</t>
        </is>
      </c>
      <c r="K146" s="31" t="inlineStr">
        <is>
          <t xml:space="preserve">Hickerson</t>
        </is>
      </c>
      <c r="L146" s="42">
        <v>-8</v>
      </c>
      <c r="M146" s="42">
        <v>-4</v>
      </c>
      <c r="N146" s="31" t="inlineStr">
        <is>
          <t xml:space="preserve">Giving</t>
        </is>
      </c>
      <c r="O146" s="42">
        <v>1</v>
      </c>
      <c r="P146" s="42">
        <v>0.512</v>
      </c>
      <c r="Q146" s="42">
        <v>0.488</v>
      </c>
      <c r="R146" s="31" t="inlineStr">
        <is>
          <t xml:space="preserve">FBC 8/Handicaps (FBC 8) (Final).xlsx [4 Results]</t>
        </is>
      </c>
    </row>
    <row r="147" spans="1:18">
      <c r="A147" s="43">
        <v>4</v>
      </c>
      <c r="B147" s="34" t="inlineStr">
        <is>
          <t xml:space="preserve">FBC4-D15</t>
        </is>
      </c>
      <c r="C147" s="34" t="inlineStr">
        <is>
          <t xml:space="preserve">Pinehurst</t>
        </is>
      </c>
      <c r="D147" s="34" t="inlineStr">
        <is>
          <t xml:space="preserve">Pinehurst</t>
        </is>
      </c>
      <c r="E147" s="43">
        <v>9</v>
      </c>
      <c r="F147" s="45">
        <v>1</v>
      </c>
      <c r="G147" s="34" t="inlineStr">
        <is>
          <t xml:space="preserve">Grise</t>
        </is>
      </c>
      <c r="H147" s="34" t="inlineStr">
        <is>
          <t xml:space="preserve">Fogan</t>
        </is>
      </c>
      <c r="I147" s="34" t="inlineStr">
        <is>
          <t xml:space="preserve">Hickerson</t>
        </is>
      </c>
      <c r="J147" s="34" t="inlineStr">
        <is>
          <t xml:space="preserve">Cole</t>
        </is>
      </c>
      <c r="K147" s="34" t="inlineStr">
        <is>
          <t xml:space="preserve">Weisberger</t>
        </is>
      </c>
      <c r="L147" s="45">
        <v>8</v>
      </c>
      <c r="M147" s="45">
        <v>4</v>
      </c>
      <c r="N147" s="34" t="inlineStr">
        <is>
          <t xml:space="preserve">Getting</t>
        </is>
      </c>
      <c r="O147" s="45">
        <v>0</v>
      </c>
      <c r="P147" s="45">
        <v>0.488</v>
      </c>
      <c r="Q147" s="45">
        <v>-0.488</v>
      </c>
      <c r="R147" s="34" t="inlineStr">
        <is>
          <t xml:space="preserve">FBC 8/Handicaps (FBC 8) (Final).xlsx [4 Results]</t>
        </is>
      </c>
    </row>
    <row r="148" spans="1:18">
      <c r="A148" s="40">
        <v>4</v>
      </c>
      <c r="B148" s="31" t="inlineStr">
        <is>
          <t xml:space="preserve">FBC4-D16</t>
        </is>
      </c>
      <c r="C148" s="31" t="inlineStr">
        <is>
          <t xml:space="preserve">Scramble-Stableford</t>
        </is>
      </c>
      <c r="D148" s="31" t="inlineStr">
        <is>
          <t xml:space="preserve">Scramble</t>
        </is>
      </c>
      <c r="E148" s="40">
        <v>9</v>
      </c>
      <c r="F148" s="42">
        <v>1</v>
      </c>
      <c r="G148" s="31" t="inlineStr">
        <is>
          <t xml:space="preserve">Mangold</t>
        </is>
      </c>
      <c r="H148" s="31" t="inlineStr">
        <is>
          <t xml:space="preserve">Connors</t>
        </is>
      </c>
      <c r="I148" s="31" t="inlineStr">
        <is>
          <t xml:space="preserve">Mangold</t>
        </is>
      </c>
      <c r="J148" s="31" t="inlineStr">
        <is>
          <t xml:space="preserve">Grise</t>
        </is>
      </c>
      <c r="K148" s="31" t="inlineStr">
        <is>
          <t xml:space="preserve">Shively</t>
        </is>
      </c>
      <c r="L148" s="42">
        <v>0</v>
      </c>
      <c r="M148" s="42">
        <v>0</v>
      </c>
      <c r="N148" s="31" t="inlineStr">
        <is>
          <t xml:space="preserve">Even</t>
        </is>
      </c>
      <c r="O148" s="42">
        <v>0</v>
      </c>
      <c r="P148" s="42">
        <v>0.5</v>
      </c>
      <c r="Q148" s="42">
        <v>-0.5</v>
      </c>
      <c r="R148" s="31" t="inlineStr">
        <is>
          <t xml:space="preserve">FBC 8/Handicaps (FBC 8) (Final).xlsx [4 Results]</t>
        </is>
      </c>
    </row>
    <row r="149" spans="1:18">
      <c r="A149" s="43">
        <v>4</v>
      </c>
      <c r="B149" s="34" t="inlineStr">
        <is>
          <t xml:space="preserve">FBC4-D16</t>
        </is>
      </c>
      <c r="C149" s="34" t="inlineStr">
        <is>
          <t xml:space="preserve">Scramble-Stableford</t>
        </is>
      </c>
      <c r="D149" s="34" t="inlineStr">
        <is>
          <t xml:space="preserve">Scramble</t>
        </is>
      </c>
      <c r="E149" s="43">
        <v>9</v>
      </c>
      <c r="F149" s="45">
        <v>1</v>
      </c>
      <c r="G149" s="34" t="inlineStr">
        <is>
          <t xml:space="preserve">Grise</t>
        </is>
      </c>
      <c r="H149" s="34" t="inlineStr">
        <is>
          <t xml:space="preserve">Grise</t>
        </is>
      </c>
      <c r="I149" s="34" t="inlineStr">
        <is>
          <t xml:space="preserve">Shively</t>
        </is>
      </c>
      <c r="J149" s="34" t="inlineStr">
        <is>
          <t xml:space="preserve">Connors</t>
        </is>
      </c>
      <c r="K149" s="34" t="inlineStr">
        <is>
          <t xml:space="preserve">Mangold</t>
        </is>
      </c>
      <c r="L149" s="45">
        <v>0</v>
      </c>
      <c r="M149" s="45">
        <v>0</v>
      </c>
      <c r="N149" s="34" t="inlineStr">
        <is>
          <t xml:space="preserve">Even</t>
        </is>
      </c>
      <c r="O149" s="45">
        <v>1</v>
      </c>
      <c r="P149" s="45">
        <v>0.5</v>
      </c>
      <c r="Q149" s="45">
        <v>0.5</v>
      </c>
      <c r="R149" s="34" t="inlineStr">
        <is>
          <t xml:space="preserve">FBC 8/Handicaps (FBC 8) (Final).xlsx [4 Results]</t>
        </is>
      </c>
    </row>
    <row r="150" spans="1:18">
      <c r="A150" s="40">
        <v>4</v>
      </c>
      <c r="B150" s="31" t="inlineStr">
        <is>
          <t xml:space="preserve">FBC4-D17</t>
        </is>
      </c>
      <c r="C150" s="31" t="inlineStr">
        <is>
          <t xml:space="preserve">Scramble-Stableford</t>
        </is>
      </c>
      <c r="D150" s="31" t="inlineStr">
        <is>
          <t xml:space="preserve">Scramble</t>
        </is>
      </c>
      <c r="E150" s="40">
        <v>9</v>
      </c>
      <c r="F150" s="42">
        <v>1</v>
      </c>
      <c r="G150" s="31" t="inlineStr">
        <is>
          <t xml:space="preserve">Grise</t>
        </is>
      </c>
      <c r="H150" s="31" t="inlineStr">
        <is>
          <t xml:space="preserve">Bussiculo</t>
        </is>
      </c>
      <c r="I150" s="31" t="inlineStr">
        <is>
          <t xml:space="preserve">Lynch</t>
        </is>
      </c>
      <c r="J150" s="31" t="inlineStr">
        <is>
          <t xml:space="preserve">Flanders</t>
        </is>
      </c>
      <c r="K150" s="31" t="inlineStr">
        <is>
          <t xml:space="preserve">Forster</t>
        </is>
      </c>
      <c r="L150" s="42">
        <v>0</v>
      </c>
      <c r="M150" s="42">
        <v>0</v>
      </c>
      <c r="N150" s="31" t="inlineStr">
        <is>
          <t xml:space="preserve">Even</t>
        </is>
      </c>
      <c r="O150" s="42">
        <v>1</v>
      </c>
      <c r="P150" s="42">
        <v>0.5</v>
      </c>
      <c r="Q150" s="42">
        <v>0.5</v>
      </c>
      <c r="R150" s="31" t="inlineStr">
        <is>
          <t xml:space="preserve">FBC 8/Handicaps (FBC 8) (Final).xlsx [4 Results]</t>
        </is>
      </c>
    </row>
    <row r="151" spans="1:18">
      <c r="A151" s="43">
        <v>4</v>
      </c>
      <c r="B151" s="34" t="inlineStr">
        <is>
          <t xml:space="preserve">FBC4-D17</t>
        </is>
      </c>
      <c r="C151" s="34" t="inlineStr">
        <is>
          <t xml:space="preserve">Scramble-Stableford</t>
        </is>
      </c>
      <c r="D151" s="34" t="inlineStr">
        <is>
          <t xml:space="preserve">Scramble</t>
        </is>
      </c>
      <c r="E151" s="43">
        <v>9</v>
      </c>
      <c r="F151" s="45">
        <v>1</v>
      </c>
      <c r="G151" s="34" t="inlineStr">
        <is>
          <t xml:space="preserve">Mangold</t>
        </is>
      </c>
      <c r="H151" s="34" t="inlineStr">
        <is>
          <t xml:space="preserve">Flanders</t>
        </is>
      </c>
      <c r="I151" s="34" t="inlineStr">
        <is>
          <t xml:space="preserve">Forster</t>
        </is>
      </c>
      <c r="J151" s="34" t="inlineStr">
        <is>
          <t xml:space="preserve">Bussiculo</t>
        </is>
      </c>
      <c r="K151" s="34" t="inlineStr">
        <is>
          <t xml:space="preserve">Lynch</t>
        </is>
      </c>
      <c r="L151" s="45">
        <v>0</v>
      </c>
      <c r="M151" s="45">
        <v>0</v>
      </c>
      <c r="N151" s="34" t="inlineStr">
        <is>
          <t xml:space="preserve">Even</t>
        </is>
      </c>
      <c r="O151" s="45">
        <v>0</v>
      </c>
      <c r="P151" s="45">
        <v>0.5</v>
      </c>
      <c r="Q151" s="45">
        <v>-0.5</v>
      </c>
      <c r="R151" s="34" t="inlineStr">
        <is>
          <t xml:space="preserve">FBC 8/Handicaps (FBC 8) (Final).xlsx [4 Results]</t>
        </is>
      </c>
    </row>
    <row r="152" spans="1:18">
      <c r="A152" s="40">
        <v>4</v>
      </c>
      <c r="B152" s="31" t="inlineStr">
        <is>
          <t xml:space="preserve">FBC4-D18</t>
        </is>
      </c>
      <c r="C152" s="31" t="inlineStr">
        <is>
          <t xml:space="preserve">Scramble-Stableford</t>
        </is>
      </c>
      <c r="D152" s="31" t="inlineStr">
        <is>
          <t xml:space="preserve">Scramble</t>
        </is>
      </c>
      <c r="E152" s="40">
        <v>9</v>
      </c>
      <c r="F152" s="42">
        <v>1</v>
      </c>
      <c r="G152" s="31" t="inlineStr">
        <is>
          <t xml:space="preserve">Mangold</t>
        </is>
      </c>
      <c r="H152" s="31" t="inlineStr">
        <is>
          <t xml:space="preserve">Gray</t>
        </is>
      </c>
      <c r="I152" s="31" t="inlineStr">
        <is>
          <t xml:space="preserve">Norat</t>
        </is>
      </c>
      <c r="J152" s="31" t="inlineStr">
        <is>
          <t xml:space="preserve">Connolly</t>
        </is>
      </c>
      <c r="K152" s="31" t="inlineStr">
        <is>
          <t xml:space="preserve">McInerney</t>
        </is>
      </c>
      <c r="L152" s="42">
        <v>0</v>
      </c>
      <c r="M152" s="42">
        <v>0</v>
      </c>
      <c r="N152" s="31" t="inlineStr">
        <is>
          <t xml:space="preserve">Even</t>
        </is>
      </c>
      <c r="O152" s="42">
        <v>0</v>
      </c>
      <c r="P152" s="42">
        <v>0.5</v>
      </c>
      <c r="Q152" s="42">
        <v>-0.5</v>
      </c>
      <c r="R152" s="31" t="inlineStr">
        <is>
          <t xml:space="preserve">FBC 8/Handicaps (FBC 8) (Final).xlsx [4 Results]</t>
        </is>
      </c>
    </row>
    <row r="153" spans="1:18">
      <c r="A153" s="43">
        <v>4</v>
      </c>
      <c r="B153" s="34" t="inlineStr">
        <is>
          <t xml:space="preserve">FBC4-D18</t>
        </is>
      </c>
      <c r="C153" s="34" t="inlineStr">
        <is>
          <t xml:space="preserve">Scramble-Stableford</t>
        </is>
      </c>
      <c r="D153" s="34" t="inlineStr">
        <is>
          <t xml:space="preserve">Scramble</t>
        </is>
      </c>
      <c r="E153" s="43">
        <v>9</v>
      </c>
      <c r="F153" s="45">
        <v>1</v>
      </c>
      <c r="G153" s="34" t="inlineStr">
        <is>
          <t xml:space="preserve">Grise</t>
        </is>
      </c>
      <c r="H153" s="34" t="inlineStr">
        <is>
          <t xml:space="preserve">Connolly</t>
        </is>
      </c>
      <c r="I153" s="34" t="inlineStr">
        <is>
          <t xml:space="preserve">McInerney</t>
        </is>
      </c>
      <c r="J153" s="34" t="inlineStr">
        <is>
          <t xml:space="preserve">Gray</t>
        </is>
      </c>
      <c r="K153" s="34" t="inlineStr">
        <is>
          <t xml:space="preserve">Norat</t>
        </is>
      </c>
      <c r="L153" s="45">
        <v>0</v>
      </c>
      <c r="M153" s="45">
        <v>0</v>
      </c>
      <c r="N153" s="34" t="inlineStr">
        <is>
          <t xml:space="preserve">Even</t>
        </is>
      </c>
      <c r="O153" s="45">
        <v>1</v>
      </c>
      <c r="P153" s="45">
        <v>0.5</v>
      </c>
      <c r="Q153" s="45">
        <v>0.5</v>
      </c>
      <c r="R153" s="34" t="inlineStr">
        <is>
          <t xml:space="preserve">FBC 8/Handicaps (FBC 8) (Final).xlsx [4 Results]</t>
        </is>
      </c>
    </row>
    <row r="154" spans="1:18">
      <c r="A154" s="40">
        <v>4</v>
      </c>
      <c r="B154" s="31" t="inlineStr">
        <is>
          <t xml:space="preserve">FBC4-D19</t>
        </is>
      </c>
      <c r="C154" s="31" t="inlineStr">
        <is>
          <t xml:space="preserve">Scramble-Stableford</t>
        </is>
      </c>
      <c r="D154" s="31" t="inlineStr">
        <is>
          <t xml:space="preserve">Scramble</t>
        </is>
      </c>
      <c r="E154" s="40">
        <v>9</v>
      </c>
      <c r="F154" s="42">
        <v>1</v>
      </c>
      <c r="G154" s="31" t="inlineStr">
        <is>
          <t xml:space="preserve">Grise</t>
        </is>
      </c>
      <c r="H154" s="31" t="inlineStr">
        <is>
          <t xml:space="preserve">Zimmer</t>
        </is>
      </c>
      <c r="I154" s="31" t="inlineStr">
        <is>
          <t xml:space="preserve">Welker</t>
        </is>
      </c>
      <c r="J154" s="31" t="inlineStr">
        <is>
          <t xml:space="preserve">Ferrin</t>
        </is>
      </c>
      <c r="K154" s="31" t="inlineStr">
        <is>
          <t xml:space="preserve">Jackson</t>
        </is>
      </c>
      <c r="L154" s="42">
        <v>0</v>
      </c>
      <c r="M154" s="42">
        <v>0</v>
      </c>
      <c r="N154" s="31" t="inlineStr">
        <is>
          <t xml:space="preserve">Even</t>
        </is>
      </c>
      <c r="O154" s="42">
        <v>0</v>
      </c>
      <c r="P154" s="42">
        <v>0.5</v>
      </c>
      <c r="Q154" s="42">
        <v>-0.5</v>
      </c>
      <c r="R154" s="31" t="inlineStr">
        <is>
          <t xml:space="preserve">FBC 8/Handicaps (FBC 8) (Final).xlsx [4 Results]</t>
        </is>
      </c>
    </row>
    <row r="155" spans="1:18">
      <c r="A155" s="43">
        <v>4</v>
      </c>
      <c r="B155" s="34" t="inlineStr">
        <is>
          <t xml:space="preserve">FBC4-D19</t>
        </is>
      </c>
      <c r="C155" s="34" t="inlineStr">
        <is>
          <t xml:space="preserve">Scramble-Stableford</t>
        </is>
      </c>
      <c r="D155" s="34" t="inlineStr">
        <is>
          <t xml:space="preserve">Scramble</t>
        </is>
      </c>
      <c r="E155" s="43">
        <v>9</v>
      </c>
      <c r="F155" s="45">
        <v>1</v>
      </c>
      <c r="G155" s="34" t="inlineStr">
        <is>
          <t xml:space="preserve">Mangold</t>
        </is>
      </c>
      <c r="H155" s="34" t="inlineStr">
        <is>
          <t xml:space="preserve">Ferrin</t>
        </is>
      </c>
      <c r="I155" s="34" t="inlineStr">
        <is>
          <t xml:space="preserve">Jackson</t>
        </is>
      </c>
      <c r="J155" s="34" t="inlineStr">
        <is>
          <t xml:space="preserve">Zimmer</t>
        </is>
      </c>
      <c r="K155" s="34" t="inlineStr">
        <is>
          <t xml:space="preserve">Welker</t>
        </is>
      </c>
      <c r="L155" s="45">
        <v>0</v>
      </c>
      <c r="M155" s="45">
        <v>0</v>
      </c>
      <c r="N155" s="34" t="inlineStr">
        <is>
          <t xml:space="preserve">Even</t>
        </is>
      </c>
      <c r="O155" s="45">
        <v>1</v>
      </c>
      <c r="P155" s="45">
        <v>0.5</v>
      </c>
      <c r="Q155" s="45">
        <v>0.5</v>
      </c>
      <c r="R155" s="34" t="inlineStr">
        <is>
          <t xml:space="preserve">FBC 8/Handicaps (FBC 8) (Final).xlsx [4 Results]</t>
        </is>
      </c>
    </row>
    <row r="156" spans="1:18">
      <c r="A156" s="40">
        <v>4</v>
      </c>
      <c r="B156" s="31" t="inlineStr">
        <is>
          <t xml:space="preserve">FBC4-D20</t>
        </is>
      </c>
      <c r="C156" s="31" t="inlineStr">
        <is>
          <t xml:space="preserve">Scramble-Stableford</t>
        </is>
      </c>
      <c r="D156" s="31" t="inlineStr">
        <is>
          <t xml:space="preserve">Scramble</t>
        </is>
      </c>
      <c r="E156" s="40">
        <v>9</v>
      </c>
      <c r="F156" s="42">
        <v>1</v>
      </c>
      <c r="G156" s="31" t="inlineStr">
        <is>
          <t xml:space="preserve">Mangold</t>
        </is>
      </c>
      <c r="H156" s="31" t="inlineStr">
        <is>
          <t xml:space="preserve">Cole</t>
        </is>
      </c>
      <c r="I156" s="31" t="inlineStr">
        <is>
          <t xml:space="preserve">Weisberger</t>
        </is>
      </c>
      <c r="J156" s="31" t="inlineStr">
        <is>
          <t xml:space="preserve">Fogan</t>
        </is>
      </c>
      <c r="K156" s="31" t="inlineStr">
        <is>
          <t xml:space="preserve">Hickerson</t>
        </is>
      </c>
      <c r="L156" s="42">
        <v>0</v>
      </c>
      <c r="M156" s="42">
        <v>0</v>
      </c>
      <c r="N156" s="31" t="inlineStr">
        <is>
          <t xml:space="preserve">Even</t>
        </is>
      </c>
      <c r="O156" s="42">
        <v>1</v>
      </c>
      <c r="P156" s="42">
        <v>0.5</v>
      </c>
      <c r="Q156" s="42">
        <v>0.5</v>
      </c>
      <c r="R156" s="31" t="inlineStr">
        <is>
          <t xml:space="preserve">FBC 8/Handicaps (FBC 8) (Final).xlsx [4 Results]</t>
        </is>
      </c>
    </row>
    <row r="157" spans="1:18">
      <c r="A157" s="43">
        <v>4</v>
      </c>
      <c r="B157" s="34" t="inlineStr">
        <is>
          <t xml:space="preserve">FBC4-D20</t>
        </is>
      </c>
      <c r="C157" s="34" t="inlineStr">
        <is>
          <t xml:space="preserve">Scramble-Stableford</t>
        </is>
      </c>
      <c r="D157" s="34" t="inlineStr">
        <is>
          <t xml:space="preserve">Scramble</t>
        </is>
      </c>
      <c r="E157" s="43">
        <v>9</v>
      </c>
      <c r="F157" s="45">
        <v>1</v>
      </c>
      <c r="G157" s="34" t="inlineStr">
        <is>
          <t xml:space="preserve">Grise</t>
        </is>
      </c>
      <c r="H157" s="34" t="inlineStr">
        <is>
          <t xml:space="preserve">Fogan</t>
        </is>
      </c>
      <c r="I157" s="34" t="inlineStr">
        <is>
          <t xml:space="preserve">Hickerson</t>
        </is>
      </c>
      <c r="J157" s="34" t="inlineStr">
        <is>
          <t xml:space="preserve">Cole</t>
        </is>
      </c>
      <c r="K157" s="34" t="inlineStr">
        <is>
          <t xml:space="preserve">Weisberger</t>
        </is>
      </c>
      <c r="L157" s="45">
        <v>0</v>
      </c>
      <c r="M157" s="45">
        <v>0</v>
      </c>
      <c r="N157" s="34" t="inlineStr">
        <is>
          <t xml:space="preserve">Even</t>
        </is>
      </c>
      <c r="O157" s="45">
        <v>0</v>
      </c>
      <c r="P157" s="45">
        <v>0.5</v>
      </c>
      <c r="Q157" s="45">
        <v>-0.5</v>
      </c>
      <c r="R157" s="34" t="inlineStr">
        <is>
          <t xml:space="preserve">FBC 8/Handicaps (FBC 8) (Final).xlsx [4 Results]</t>
        </is>
      </c>
    </row>
    <row r="158" spans="1:18">
      <c r="A158" s="40">
        <v>4</v>
      </c>
      <c r="B158" s="31" t="inlineStr">
        <is>
          <t xml:space="preserve">FBC4-S-Bussiculo-Jackson</t>
        </is>
      </c>
      <c r="C158" s="31" t="inlineStr">
        <is>
          <t xml:space="preserve">Match Play</t>
        </is>
      </c>
      <c r="D158" s="31" t="inlineStr">
        <is>
          <t xml:space="preserve">Singles</t>
        </is>
      </c>
      <c r="E158" s="40">
        <v>18</v>
      </c>
      <c r="F158" s="42">
        <v>2</v>
      </c>
      <c r="G158" s="31" t="inlineStr">
        <is>
          <t xml:space="preserve">Mangold</t>
        </is>
      </c>
      <c r="H158" s="31" t="inlineStr">
        <is>
          <t xml:space="preserve">Jackson</t>
        </is>
      </c>
      <c r="I158" s="31"/>
      <c r="J158" s="31" t="inlineStr">
        <is>
          <t xml:space="preserve">Bussiculo</t>
        </is>
      </c>
      <c r="K158" s="31"/>
      <c r="L158" s="42">
        <v>1</v>
      </c>
      <c r="M158" s="42">
        <v>1</v>
      </c>
      <c r="N158" s="31" t="inlineStr">
        <is>
          <t xml:space="preserve">Getting</t>
        </is>
      </c>
      <c r="O158" s="42">
        <v>0</v>
      </c>
      <c r="P158" s="42">
        <v>0.859</v>
      </c>
      <c r="Q158" s="42">
        <v>-0.859</v>
      </c>
      <c r="R158" s="31" t="inlineStr">
        <is>
          <t xml:space="preserve">FBC 8/Handicaps (FBC 8) (Final).xlsx [4 Results]</t>
        </is>
      </c>
    </row>
    <row r="159" spans="1:18">
      <c r="A159" s="43">
        <v>4</v>
      </c>
      <c r="B159" s="34" t="inlineStr">
        <is>
          <t xml:space="preserve">FBC4-S-Bussiculo-Jackson</t>
        </is>
      </c>
      <c r="C159" s="34" t="inlineStr">
        <is>
          <t xml:space="preserve">Match Play</t>
        </is>
      </c>
      <c r="D159" s="34" t="inlineStr">
        <is>
          <t xml:space="preserve">Singles</t>
        </is>
      </c>
      <c r="E159" s="43">
        <v>18</v>
      </c>
      <c r="F159" s="45">
        <v>2</v>
      </c>
      <c r="G159" s="34" t="inlineStr">
        <is>
          <t xml:space="preserve">Grise</t>
        </is>
      </c>
      <c r="H159" s="34" t="inlineStr">
        <is>
          <t xml:space="preserve">Bussiculo</t>
        </is>
      </c>
      <c r="I159" s="34"/>
      <c r="J159" s="34" t="inlineStr">
        <is>
          <t xml:space="preserve">Jackson</t>
        </is>
      </c>
      <c r="K159" s="34"/>
      <c r="L159" s="45">
        <v>-1</v>
      </c>
      <c r="M159" s="45">
        <v>-1</v>
      </c>
      <c r="N159" s="34" t="inlineStr">
        <is>
          <t xml:space="preserve">Giving</t>
        </is>
      </c>
      <c r="O159" s="45">
        <v>2</v>
      </c>
      <c r="P159" s="45">
        <v>1.141</v>
      </c>
      <c r="Q159" s="45">
        <v>0.859</v>
      </c>
      <c r="R159" s="34" t="inlineStr">
        <is>
          <t xml:space="preserve">FBC 8/Handicaps (FBC 8) (Final).xlsx [4 Results]</t>
        </is>
      </c>
    </row>
    <row r="160" spans="1:18">
      <c r="A160" s="40">
        <v>4</v>
      </c>
      <c r="B160" s="31" t="inlineStr">
        <is>
          <t xml:space="preserve">FBC4-S-Cole-Lynch</t>
        </is>
      </c>
      <c r="C160" s="31" t="inlineStr">
        <is>
          <t xml:space="preserve">Match Play</t>
        </is>
      </c>
      <c r="D160" s="31" t="inlineStr">
        <is>
          <t xml:space="preserve">Singles</t>
        </is>
      </c>
      <c r="E160" s="40">
        <v>18</v>
      </c>
      <c r="F160" s="42">
        <v>2</v>
      </c>
      <c r="G160" s="31" t="inlineStr">
        <is>
          <t xml:space="preserve">Mangold</t>
        </is>
      </c>
      <c r="H160" s="31" t="inlineStr">
        <is>
          <t xml:space="preserve">Cole</t>
        </is>
      </c>
      <c r="I160" s="31"/>
      <c r="J160" s="31" t="inlineStr">
        <is>
          <t xml:space="preserve">Lynch</t>
        </is>
      </c>
      <c r="K160" s="31"/>
      <c r="L160" s="42">
        <v>10</v>
      </c>
      <c r="M160" s="42">
        <v>10</v>
      </c>
      <c r="N160" s="31" t="inlineStr">
        <is>
          <t xml:space="preserve">Getting</t>
        </is>
      </c>
      <c r="O160" s="42">
        <v>0</v>
      </c>
      <c r="P160" s="42">
        <v>1.034</v>
      </c>
      <c r="Q160" s="42">
        <v>-1.034</v>
      </c>
      <c r="R160" s="31" t="inlineStr">
        <is>
          <t xml:space="preserve">FBC 8/Handicaps (FBC 8) (Final).xlsx [4 Results]</t>
        </is>
      </c>
    </row>
    <row r="161" spans="1:18">
      <c r="A161" s="43">
        <v>4</v>
      </c>
      <c r="B161" s="34" t="inlineStr">
        <is>
          <t xml:space="preserve">FBC4-S-Cole-Lynch</t>
        </is>
      </c>
      <c r="C161" s="34" t="inlineStr">
        <is>
          <t xml:space="preserve">Match Play</t>
        </is>
      </c>
      <c r="D161" s="34" t="inlineStr">
        <is>
          <t xml:space="preserve">Singles</t>
        </is>
      </c>
      <c r="E161" s="43">
        <v>18</v>
      </c>
      <c r="F161" s="45">
        <v>2</v>
      </c>
      <c r="G161" s="34" t="inlineStr">
        <is>
          <t xml:space="preserve">Grise</t>
        </is>
      </c>
      <c r="H161" s="34" t="inlineStr">
        <is>
          <t xml:space="preserve">Lynch</t>
        </is>
      </c>
      <c r="I161" s="34"/>
      <c r="J161" s="34" t="inlineStr">
        <is>
          <t xml:space="preserve">Cole</t>
        </is>
      </c>
      <c r="K161" s="34"/>
      <c r="L161" s="45">
        <v>-10</v>
      </c>
      <c r="M161" s="45">
        <v>-10</v>
      </c>
      <c r="N161" s="34" t="inlineStr">
        <is>
          <t xml:space="preserve">Giving</t>
        </is>
      </c>
      <c r="O161" s="45">
        <v>2</v>
      </c>
      <c r="P161" s="45">
        <v>0.966</v>
      </c>
      <c r="Q161" s="45">
        <v>1.034</v>
      </c>
      <c r="R161" s="34" t="inlineStr">
        <is>
          <t xml:space="preserve">FBC 8/Handicaps (FBC 8) (Final).xlsx [4 Results]</t>
        </is>
      </c>
    </row>
    <row r="162" spans="1:18">
      <c r="A162" s="40">
        <v>4</v>
      </c>
      <c r="B162" s="31" t="inlineStr">
        <is>
          <t xml:space="preserve">FBC4-S-Connolly-Gray</t>
        </is>
      </c>
      <c r="C162" s="31" t="inlineStr">
        <is>
          <t xml:space="preserve">Match Play</t>
        </is>
      </c>
      <c r="D162" s="31" t="inlineStr">
        <is>
          <t xml:space="preserve">Singles</t>
        </is>
      </c>
      <c r="E162" s="40">
        <v>18</v>
      </c>
      <c r="F162" s="42">
        <v>2</v>
      </c>
      <c r="G162" s="31" t="inlineStr">
        <is>
          <t xml:space="preserve">Mangold</t>
        </is>
      </c>
      <c r="H162" s="31" t="inlineStr">
        <is>
          <t xml:space="preserve">Gray</t>
        </is>
      </c>
      <c r="I162" s="31"/>
      <c r="J162" s="31" t="inlineStr">
        <is>
          <t xml:space="preserve">Connolly</t>
        </is>
      </c>
      <c r="K162" s="31"/>
      <c r="L162" s="42">
        <v>-1</v>
      </c>
      <c r="M162" s="42">
        <v>-1</v>
      </c>
      <c r="N162" s="31" t="inlineStr">
        <is>
          <t xml:space="preserve">Giving</t>
        </is>
      </c>
      <c r="O162" s="42">
        <v>2</v>
      </c>
      <c r="P162" s="42">
        <v>1.141</v>
      </c>
      <c r="Q162" s="42">
        <v>0.859</v>
      </c>
      <c r="R162" s="31" t="inlineStr">
        <is>
          <t xml:space="preserve">FBC 8/Handicaps (FBC 8) (Final).xlsx [4 Results]</t>
        </is>
      </c>
    </row>
    <row r="163" spans="1:18">
      <c r="A163" s="43">
        <v>4</v>
      </c>
      <c r="B163" s="34" t="inlineStr">
        <is>
          <t xml:space="preserve">FBC4-S-Connolly-Gray</t>
        </is>
      </c>
      <c r="C163" s="34" t="inlineStr">
        <is>
          <t xml:space="preserve">Match Play</t>
        </is>
      </c>
      <c r="D163" s="34" t="inlineStr">
        <is>
          <t xml:space="preserve">Singles</t>
        </is>
      </c>
      <c r="E163" s="43">
        <v>18</v>
      </c>
      <c r="F163" s="45">
        <v>2</v>
      </c>
      <c r="G163" s="34" t="inlineStr">
        <is>
          <t xml:space="preserve">Grise</t>
        </is>
      </c>
      <c r="H163" s="34" t="inlineStr">
        <is>
          <t xml:space="preserve">Connolly</t>
        </is>
      </c>
      <c r="I163" s="34"/>
      <c r="J163" s="34" t="inlineStr">
        <is>
          <t xml:space="preserve">Gray</t>
        </is>
      </c>
      <c r="K163" s="34"/>
      <c r="L163" s="45">
        <v>1</v>
      </c>
      <c r="M163" s="45">
        <v>1</v>
      </c>
      <c r="N163" s="34" t="inlineStr">
        <is>
          <t xml:space="preserve">Getting</t>
        </is>
      </c>
      <c r="O163" s="45">
        <v>0</v>
      </c>
      <c r="P163" s="45">
        <v>0.859</v>
      </c>
      <c r="Q163" s="45">
        <v>-0.859</v>
      </c>
      <c r="R163" s="34" t="inlineStr">
        <is>
          <t xml:space="preserve">FBC 8/Handicaps (FBC 8) (Final).xlsx [4 Results]</t>
        </is>
      </c>
    </row>
    <row r="164" spans="1:18">
      <c r="A164" s="40">
        <v>4</v>
      </c>
      <c r="B164" s="31" t="inlineStr">
        <is>
          <t xml:space="preserve">FBC4-S-Connors-Hickerson</t>
        </is>
      </c>
      <c r="C164" s="31" t="inlineStr">
        <is>
          <t xml:space="preserve">Match Play</t>
        </is>
      </c>
      <c r="D164" s="31" t="inlineStr">
        <is>
          <t xml:space="preserve">Singles</t>
        </is>
      </c>
      <c r="E164" s="40">
        <v>18</v>
      </c>
      <c r="F164" s="42">
        <v>2</v>
      </c>
      <c r="G164" s="31" t="inlineStr">
        <is>
          <t xml:space="preserve">Mangold</t>
        </is>
      </c>
      <c r="H164" s="31" t="inlineStr">
        <is>
          <t xml:space="preserve">Connors</t>
        </is>
      </c>
      <c r="I164" s="31"/>
      <c r="J164" s="31" t="inlineStr">
        <is>
          <t xml:space="preserve">Hickerson</t>
        </is>
      </c>
      <c r="K164" s="31"/>
      <c r="L164" s="42">
        <v>-5</v>
      </c>
      <c r="M164" s="42">
        <v>-5</v>
      </c>
      <c r="N164" s="31" t="inlineStr">
        <is>
          <t xml:space="preserve">Giving</t>
        </is>
      </c>
      <c r="O164" s="42">
        <v>2</v>
      </c>
      <c r="P164" s="42">
        <v>1.064</v>
      </c>
      <c r="Q164" s="42">
        <v>0.936</v>
      </c>
      <c r="R164" s="31" t="inlineStr">
        <is>
          <t xml:space="preserve">FBC 8/Handicaps (FBC 8) (Final).xlsx [4 Results]</t>
        </is>
      </c>
    </row>
    <row r="165" spans="1:18">
      <c r="A165" s="43">
        <v>4</v>
      </c>
      <c r="B165" s="34" t="inlineStr">
        <is>
          <t xml:space="preserve">FBC4-S-Connors-Hickerson</t>
        </is>
      </c>
      <c r="C165" s="34" t="inlineStr">
        <is>
          <t xml:space="preserve">Match Play</t>
        </is>
      </c>
      <c r="D165" s="34" t="inlineStr">
        <is>
          <t xml:space="preserve">Singles</t>
        </is>
      </c>
      <c r="E165" s="43">
        <v>18</v>
      </c>
      <c r="F165" s="45">
        <v>2</v>
      </c>
      <c r="G165" s="34" t="inlineStr">
        <is>
          <t xml:space="preserve">Grise</t>
        </is>
      </c>
      <c r="H165" s="34" t="inlineStr">
        <is>
          <t xml:space="preserve">Hickerson</t>
        </is>
      </c>
      <c r="I165" s="34"/>
      <c r="J165" s="34" t="inlineStr">
        <is>
          <t xml:space="preserve">Connors</t>
        </is>
      </c>
      <c r="K165" s="34"/>
      <c r="L165" s="45">
        <v>5</v>
      </c>
      <c r="M165" s="45">
        <v>5</v>
      </c>
      <c r="N165" s="34" t="inlineStr">
        <is>
          <t xml:space="preserve">Getting</t>
        </is>
      </c>
      <c r="O165" s="45">
        <v>0</v>
      </c>
      <c r="P165" s="45">
        <v>0.936</v>
      </c>
      <c r="Q165" s="45">
        <v>-0.936</v>
      </c>
      <c r="R165" s="34" t="inlineStr">
        <is>
          <t xml:space="preserve">FBC 8/Handicaps (FBC 8) (Final).xlsx [4 Results]</t>
        </is>
      </c>
    </row>
    <row r="166" spans="1:18">
      <c r="A166" s="40">
        <v>4</v>
      </c>
      <c r="B166" s="31" t="inlineStr">
        <is>
          <t xml:space="preserve">FBC4-S-Ferrin-McInerney</t>
        </is>
      </c>
      <c r="C166" s="31" t="inlineStr">
        <is>
          <t xml:space="preserve">Match Play</t>
        </is>
      </c>
      <c r="D166" s="31" t="inlineStr">
        <is>
          <t xml:space="preserve">Singles</t>
        </is>
      </c>
      <c r="E166" s="40">
        <v>18</v>
      </c>
      <c r="F166" s="42">
        <v>2</v>
      </c>
      <c r="G166" s="31" t="inlineStr">
        <is>
          <t xml:space="preserve">Mangold</t>
        </is>
      </c>
      <c r="H166" s="31" t="inlineStr">
        <is>
          <t xml:space="preserve">Ferrin</t>
        </is>
      </c>
      <c r="I166" s="31"/>
      <c r="J166" s="31" t="inlineStr">
        <is>
          <t xml:space="preserve">McInerney</t>
        </is>
      </c>
      <c r="K166" s="31"/>
      <c r="L166" s="42">
        <v>10</v>
      </c>
      <c r="M166" s="42">
        <v>10</v>
      </c>
      <c r="N166" s="31" t="inlineStr">
        <is>
          <t xml:space="preserve">Getting</t>
        </is>
      </c>
      <c r="O166" s="42">
        <v>0</v>
      </c>
      <c r="P166" s="42">
        <v>1.034</v>
      </c>
      <c r="Q166" s="42">
        <v>-1.034</v>
      </c>
      <c r="R166" s="31" t="inlineStr">
        <is>
          <t xml:space="preserve">FBC 8/Handicaps (FBC 8) (Final).xlsx [4 Results]</t>
        </is>
      </c>
    </row>
    <row r="167" spans="1:18">
      <c r="A167" s="43">
        <v>4</v>
      </c>
      <c r="B167" s="34" t="inlineStr">
        <is>
          <t xml:space="preserve">FBC4-S-Ferrin-McInerney</t>
        </is>
      </c>
      <c r="C167" s="34" t="inlineStr">
        <is>
          <t xml:space="preserve">Match Play</t>
        </is>
      </c>
      <c r="D167" s="34" t="inlineStr">
        <is>
          <t xml:space="preserve">Singles</t>
        </is>
      </c>
      <c r="E167" s="43">
        <v>18</v>
      </c>
      <c r="F167" s="45">
        <v>2</v>
      </c>
      <c r="G167" s="34" t="inlineStr">
        <is>
          <t xml:space="preserve">Grise</t>
        </is>
      </c>
      <c r="H167" s="34" t="inlineStr">
        <is>
          <t xml:space="preserve">McInerney</t>
        </is>
      </c>
      <c r="I167" s="34"/>
      <c r="J167" s="34" t="inlineStr">
        <is>
          <t xml:space="preserve">Ferrin</t>
        </is>
      </c>
      <c r="K167" s="34"/>
      <c r="L167" s="45">
        <v>-10</v>
      </c>
      <c r="M167" s="45">
        <v>-10</v>
      </c>
      <c r="N167" s="34" t="inlineStr">
        <is>
          <t xml:space="preserve">Giving</t>
        </is>
      </c>
      <c r="O167" s="45">
        <v>2</v>
      </c>
      <c r="P167" s="45">
        <v>0.966</v>
      </c>
      <c r="Q167" s="45">
        <v>1.034</v>
      </c>
      <c r="R167" s="34" t="inlineStr">
        <is>
          <t xml:space="preserve">FBC 8/Handicaps (FBC 8) (Final).xlsx [4 Results]</t>
        </is>
      </c>
    </row>
    <row r="168" spans="1:18">
      <c r="A168" s="40">
        <v>4</v>
      </c>
      <c r="B168" s="31" t="inlineStr">
        <is>
          <t xml:space="preserve">FBC4-S-Flanders-Welker</t>
        </is>
      </c>
      <c r="C168" s="31" t="inlineStr">
        <is>
          <t xml:space="preserve">Match Play</t>
        </is>
      </c>
      <c r="D168" s="31" t="inlineStr">
        <is>
          <t xml:space="preserve">Singles</t>
        </is>
      </c>
      <c r="E168" s="40">
        <v>18</v>
      </c>
      <c r="F168" s="42">
        <v>2</v>
      </c>
      <c r="G168" s="31" t="inlineStr">
        <is>
          <t xml:space="preserve">Mangold</t>
        </is>
      </c>
      <c r="H168" s="31" t="inlineStr">
        <is>
          <t xml:space="preserve">Flanders</t>
        </is>
      </c>
      <c r="I168" s="31"/>
      <c r="J168" s="31" t="inlineStr">
        <is>
          <t xml:space="preserve">Welker</t>
        </is>
      </c>
      <c r="K168" s="31"/>
      <c r="L168" s="42">
        <v>-6</v>
      </c>
      <c r="M168" s="42">
        <v>-6</v>
      </c>
      <c r="N168" s="31" t="inlineStr">
        <is>
          <t xml:space="preserve">Giving</t>
        </is>
      </c>
      <c r="O168" s="42">
        <v>2</v>
      </c>
      <c r="P168" s="42">
        <v>1.044</v>
      </c>
      <c r="Q168" s="42">
        <v>0.956</v>
      </c>
      <c r="R168" s="31" t="inlineStr">
        <is>
          <t xml:space="preserve">FBC 8/Handicaps (FBC 8) (Final).xlsx [4 Results]</t>
        </is>
      </c>
    </row>
    <row r="169" spans="1:18">
      <c r="A169" s="43">
        <v>4</v>
      </c>
      <c r="B169" s="34" t="inlineStr">
        <is>
          <t xml:space="preserve">FBC4-S-Flanders-Welker</t>
        </is>
      </c>
      <c r="C169" s="34" t="inlineStr">
        <is>
          <t xml:space="preserve">Match Play</t>
        </is>
      </c>
      <c r="D169" s="34" t="inlineStr">
        <is>
          <t xml:space="preserve">Singles</t>
        </is>
      </c>
      <c r="E169" s="43">
        <v>18</v>
      </c>
      <c r="F169" s="45">
        <v>2</v>
      </c>
      <c r="G169" s="34" t="inlineStr">
        <is>
          <t xml:space="preserve">Grise</t>
        </is>
      </c>
      <c r="H169" s="34" t="inlineStr">
        <is>
          <t xml:space="preserve">Welker</t>
        </is>
      </c>
      <c r="I169" s="34"/>
      <c r="J169" s="34" t="inlineStr">
        <is>
          <t xml:space="preserve">Flanders</t>
        </is>
      </c>
      <c r="K169" s="34"/>
      <c r="L169" s="45">
        <v>6</v>
      </c>
      <c r="M169" s="45">
        <v>6</v>
      </c>
      <c r="N169" s="34" t="inlineStr">
        <is>
          <t xml:space="preserve">Getting</t>
        </is>
      </c>
      <c r="O169" s="45">
        <v>0</v>
      </c>
      <c r="P169" s="45">
        <v>0.956</v>
      </c>
      <c r="Q169" s="45">
        <v>-0.956</v>
      </c>
      <c r="R169" s="34" t="inlineStr">
        <is>
          <t xml:space="preserve">FBC 8/Handicaps (FBC 8) (Final).xlsx [4 Results]</t>
        </is>
      </c>
    </row>
    <row r="170" spans="1:18">
      <c r="A170" s="40">
        <v>4</v>
      </c>
      <c r="B170" s="31" t="inlineStr">
        <is>
          <t xml:space="preserve">FBC4-S-Fogan-Norat</t>
        </is>
      </c>
      <c r="C170" s="31" t="inlineStr">
        <is>
          <t xml:space="preserve">Match Play</t>
        </is>
      </c>
      <c r="D170" s="31" t="inlineStr">
        <is>
          <t xml:space="preserve">Singles</t>
        </is>
      </c>
      <c r="E170" s="40">
        <v>18</v>
      </c>
      <c r="F170" s="42">
        <v>2</v>
      </c>
      <c r="G170" s="31" t="inlineStr">
        <is>
          <t xml:space="preserve">Mangold</t>
        </is>
      </c>
      <c r="H170" s="31" t="inlineStr">
        <is>
          <t xml:space="preserve">Norat</t>
        </is>
      </c>
      <c r="I170" s="31"/>
      <c r="J170" s="31" t="inlineStr">
        <is>
          <t xml:space="preserve">Fogan</t>
        </is>
      </c>
      <c r="K170" s="31"/>
      <c r="L170" s="42">
        <v>-11</v>
      </c>
      <c r="M170" s="42">
        <v>-11</v>
      </c>
      <c r="N170" s="31" t="inlineStr">
        <is>
          <t xml:space="preserve">Giving</t>
        </is>
      </c>
      <c r="O170" s="42">
        <v>0</v>
      </c>
      <c r="P170" s="42">
        <v>0.946</v>
      </c>
      <c r="Q170" s="42">
        <v>-0.946</v>
      </c>
      <c r="R170" s="31" t="inlineStr">
        <is>
          <t xml:space="preserve">FBC 8/Handicaps (FBC 8) (Final).xlsx [4 Results]</t>
        </is>
      </c>
    </row>
    <row r="171" spans="1:18">
      <c r="A171" s="43">
        <v>4</v>
      </c>
      <c r="B171" s="34" t="inlineStr">
        <is>
          <t xml:space="preserve">FBC4-S-Fogan-Norat</t>
        </is>
      </c>
      <c r="C171" s="34" t="inlineStr">
        <is>
          <t xml:space="preserve">Match Play</t>
        </is>
      </c>
      <c r="D171" s="34" t="inlineStr">
        <is>
          <t xml:space="preserve">Singles</t>
        </is>
      </c>
      <c r="E171" s="43">
        <v>18</v>
      </c>
      <c r="F171" s="45">
        <v>2</v>
      </c>
      <c r="G171" s="34" t="inlineStr">
        <is>
          <t xml:space="preserve">Grise</t>
        </is>
      </c>
      <c r="H171" s="34" t="inlineStr">
        <is>
          <t xml:space="preserve">Fogan</t>
        </is>
      </c>
      <c r="I171" s="34"/>
      <c r="J171" s="34" t="inlineStr">
        <is>
          <t xml:space="preserve">Norat</t>
        </is>
      </c>
      <c r="K171" s="34"/>
      <c r="L171" s="45">
        <v>11</v>
      </c>
      <c r="M171" s="45">
        <v>11</v>
      </c>
      <c r="N171" s="34" t="inlineStr">
        <is>
          <t xml:space="preserve">Getting</t>
        </is>
      </c>
      <c r="O171" s="45">
        <v>2</v>
      </c>
      <c r="P171" s="45">
        <v>1.054</v>
      </c>
      <c r="Q171" s="45">
        <v>0.946</v>
      </c>
      <c r="R171" s="34" t="inlineStr">
        <is>
          <t xml:space="preserve">FBC 8/Handicaps (FBC 8) (Final).xlsx [4 Results]</t>
        </is>
      </c>
    </row>
    <row r="172" spans="1:18">
      <c r="A172" s="40">
        <v>4</v>
      </c>
      <c r="B172" s="31" t="inlineStr">
        <is>
          <t xml:space="preserve">FBC4-S-Forster-Shively</t>
        </is>
      </c>
      <c r="C172" s="31" t="inlineStr">
        <is>
          <t xml:space="preserve">Match Play</t>
        </is>
      </c>
      <c r="D172" s="31" t="inlineStr">
        <is>
          <t xml:space="preserve">Singles</t>
        </is>
      </c>
      <c r="E172" s="40">
        <v>18</v>
      </c>
      <c r="F172" s="42">
        <v>2</v>
      </c>
      <c r="G172" s="31" t="inlineStr">
        <is>
          <t xml:space="preserve">Mangold</t>
        </is>
      </c>
      <c r="H172" s="31" t="inlineStr">
        <is>
          <t xml:space="preserve">Forster</t>
        </is>
      </c>
      <c r="I172" s="31"/>
      <c r="J172" s="31" t="inlineStr">
        <is>
          <t xml:space="preserve">Shively</t>
        </is>
      </c>
      <c r="K172" s="31"/>
      <c r="L172" s="42">
        <v>6</v>
      </c>
      <c r="M172" s="42">
        <v>6</v>
      </c>
      <c r="N172" s="31" t="inlineStr">
        <is>
          <t xml:space="preserve">Getting</t>
        </is>
      </c>
      <c r="O172" s="42">
        <v>2</v>
      </c>
      <c r="P172" s="42">
        <v>0.956</v>
      </c>
      <c r="Q172" s="42">
        <v>1.044</v>
      </c>
      <c r="R172" s="31" t="inlineStr">
        <is>
          <t xml:space="preserve">FBC 8/Handicaps (FBC 8) (Final).xlsx [4 Results]</t>
        </is>
      </c>
    </row>
    <row r="173" spans="1:18">
      <c r="A173" s="43">
        <v>4</v>
      </c>
      <c r="B173" s="34" t="inlineStr">
        <is>
          <t xml:space="preserve">FBC4-S-Forster-Shively</t>
        </is>
      </c>
      <c r="C173" s="34" t="inlineStr">
        <is>
          <t xml:space="preserve">Match Play</t>
        </is>
      </c>
      <c r="D173" s="34" t="inlineStr">
        <is>
          <t xml:space="preserve">Singles</t>
        </is>
      </c>
      <c r="E173" s="43">
        <v>18</v>
      </c>
      <c r="F173" s="45">
        <v>2</v>
      </c>
      <c r="G173" s="34" t="inlineStr">
        <is>
          <t xml:space="preserve">Grise</t>
        </is>
      </c>
      <c r="H173" s="34" t="inlineStr">
        <is>
          <t xml:space="preserve">Shively</t>
        </is>
      </c>
      <c r="I173" s="34"/>
      <c r="J173" s="34" t="inlineStr">
        <is>
          <t xml:space="preserve">Forster</t>
        </is>
      </c>
      <c r="K173" s="34"/>
      <c r="L173" s="45">
        <v>-6</v>
      </c>
      <c r="M173" s="45">
        <v>-6</v>
      </c>
      <c r="N173" s="34" t="inlineStr">
        <is>
          <t xml:space="preserve">Giving</t>
        </is>
      </c>
      <c r="O173" s="45">
        <v>0</v>
      </c>
      <c r="P173" s="45">
        <v>1.044</v>
      </c>
      <c r="Q173" s="45">
        <v>-1.044</v>
      </c>
      <c r="R173" s="34" t="inlineStr">
        <is>
          <t xml:space="preserve">FBC 8/Handicaps (FBC 8) (Final).xlsx [4 Results]</t>
        </is>
      </c>
    </row>
    <row r="174" spans="1:18">
      <c r="A174" s="40">
        <v>4</v>
      </c>
      <c r="B174" s="31" t="inlineStr">
        <is>
          <t xml:space="preserve">FBC4-S-Grise-Weisberger</t>
        </is>
      </c>
      <c r="C174" s="31" t="inlineStr">
        <is>
          <t xml:space="preserve">Match Play</t>
        </is>
      </c>
      <c r="D174" s="31" t="inlineStr">
        <is>
          <t xml:space="preserve">Singles</t>
        </is>
      </c>
      <c r="E174" s="40">
        <v>18</v>
      </c>
      <c r="F174" s="42">
        <v>2</v>
      </c>
      <c r="G174" s="31" t="inlineStr">
        <is>
          <t xml:space="preserve">Mangold</t>
        </is>
      </c>
      <c r="H174" s="31" t="inlineStr">
        <is>
          <t xml:space="preserve">Weisberger</t>
        </is>
      </c>
      <c r="I174" s="31"/>
      <c r="J174" s="31" t="inlineStr">
        <is>
          <t xml:space="preserve">Grise</t>
        </is>
      </c>
      <c r="K174" s="31"/>
      <c r="L174" s="42">
        <v>0</v>
      </c>
      <c r="M174" s="42">
        <v>0</v>
      </c>
      <c r="N174" s="31" t="inlineStr">
        <is>
          <t xml:space="preserve">Even</t>
        </is>
      </c>
      <c r="O174" s="42">
        <v>0</v>
      </c>
      <c r="P174" s="42">
        <v>1</v>
      </c>
      <c r="Q174" s="42">
        <v>-1</v>
      </c>
      <c r="R174" s="31" t="inlineStr">
        <is>
          <t xml:space="preserve">FBC 8/Handicaps (FBC 8) (Final).xlsx [4 Results]</t>
        </is>
      </c>
    </row>
    <row r="175" spans="1:18">
      <c r="A175" s="43">
        <v>4</v>
      </c>
      <c r="B175" s="34" t="inlineStr">
        <is>
          <t xml:space="preserve">FBC4-S-Grise-Weisberger</t>
        </is>
      </c>
      <c r="C175" s="34" t="inlineStr">
        <is>
          <t xml:space="preserve">Match Play</t>
        </is>
      </c>
      <c r="D175" s="34" t="inlineStr">
        <is>
          <t xml:space="preserve">Singles</t>
        </is>
      </c>
      <c r="E175" s="43">
        <v>18</v>
      </c>
      <c r="F175" s="45">
        <v>2</v>
      </c>
      <c r="G175" s="34" t="inlineStr">
        <is>
          <t xml:space="preserve">Grise</t>
        </is>
      </c>
      <c r="H175" s="34" t="inlineStr">
        <is>
          <t xml:space="preserve">Grise</t>
        </is>
      </c>
      <c r="I175" s="34"/>
      <c r="J175" s="34" t="inlineStr">
        <is>
          <t xml:space="preserve">Weisberger</t>
        </is>
      </c>
      <c r="K175" s="34"/>
      <c r="L175" s="45">
        <v>0</v>
      </c>
      <c r="M175" s="45">
        <v>0</v>
      </c>
      <c r="N175" s="34" t="inlineStr">
        <is>
          <t xml:space="preserve">Even</t>
        </is>
      </c>
      <c r="O175" s="45">
        <v>2</v>
      </c>
      <c r="P175" s="45">
        <v>1</v>
      </c>
      <c r="Q175" s="45">
        <v>1</v>
      </c>
      <c r="R175" s="34" t="inlineStr">
        <is>
          <t xml:space="preserve">FBC 8/Handicaps (FBC 8) (Final).xlsx [4 Results]</t>
        </is>
      </c>
    </row>
    <row r="176" spans="1:18">
      <c r="A176" s="40">
        <v>4</v>
      </c>
      <c r="B176" s="31" t="inlineStr">
        <is>
          <t xml:space="preserve">FBC4-S-Mangold-Zimmer</t>
        </is>
      </c>
      <c r="C176" s="31" t="inlineStr">
        <is>
          <t xml:space="preserve">Match Play</t>
        </is>
      </c>
      <c r="D176" s="31" t="inlineStr">
        <is>
          <t xml:space="preserve">Singles</t>
        </is>
      </c>
      <c r="E176" s="40">
        <v>18</v>
      </c>
      <c r="F176" s="42">
        <v>2</v>
      </c>
      <c r="G176" s="31" t="inlineStr">
        <is>
          <t xml:space="preserve">Mangold</t>
        </is>
      </c>
      <c r="H176" s="31" t="inlineStr">
        <is>
          <t xml:space="preserve">Mangold</t>
        </is>
      </c>
      <c r="I176" s="31"/>
      <c r="J176" s="31" t="inlineStr">
        <is>
          <t xml:space="preserve">Zimmer</t>
        </is>
      </c>
      <c r="K176" s="31"/>
      <c r="L176" s="42">
        <v>5</v>
      </c>
      <c r="M176" s="42">
        <v>5</v>
      </c>
      <c r="N176" s="31" t="inlineStr">
        <is>
          <t xml:space="preserve">Getting</t>
        </is>
      </c>
      <c r="O176" s="42">
        <v>0</v>
      </c>
      <c r="P176" s="42">
        <v>0.936</v>
      </c>
      <c r="Q176" s="42">
        <v>-0.936</v>
      </c>
      <c r="R176" s="31" t="inlineStr">
        <is>
          <t xml:space="preserve">FBC 8/Handicaps (FBC 8) (Final).xlsx [4 Results]</t>
        </is>
      </c>
    </row>
    <row r="177" spans="1:18">
      <c r="A177" s="43">
        <v>4</v>
      </c>
      <c r="B177" s="34" t="inlineStr">
        <is>
          <t xml:space="preserve">FBC4-S-Mangold-Zimmer</t>
        </is>
      </c>
      <c r="C177" s="34" t="inlineStr">
        <is>
          <t xml:space="preserve">Match Play</t>
        </is>
      </c>
      <c r="D177" s="34" t="inlineStr">
        <is>
          <t xml:space="preserve">Singles</t>
        </is>
      </c>
      <c r="E177" s="43">
        <v>18</v>
      </c>
      <c r="F177" s="45">
        <v>2</v>
      </c>
      <c r="G177" s="34" t="inlineStr">
        <is>
          <t xml:space="preserve">Grise</t>
        </is>
      </c>
      <c r="H177" s="34" t="inlineStr">
        <is>
          <t xml:space="preserve">Zimmer</t>
        </is>
      </c>
      <c r="I177" s="34"/>
      <c r="J177" s="34" t="inlineStr">
        <is>
          <t xml:space="preserve">Mangold</t>
        </is>
      </c>
      <c r="K177" s="34"/>
      <c r="L177" s="45">
        <v>-5</v>
      </c>
      <c r="M177" s="45">
        <v>-5</v>
      </c>
      <c r="N177" s="34" t="inlineStr">
        <is>
          <t xml:space="preserve">Giving</t>
        </is>
      </c>
      <c r="O177" s="45">
        <v>2</v>
      </c>
      <c r="P177" s="45">
        <v>1.064</v>
      </c>
      <c r="Q177" s="45">
        <v>0.936</v>
      </c>
      <c r="R177" s="34" t="inlineStr">
        <is>
          <t xml:space="preserve">FBC 8/Handicaps (FBC 8) (Final).xlsx [4 Results]</t>
        </is>
      </c>
    </row>
    <row r="178" spans="1:18">
      <c r="A178" s="40">
        <v>5</v>
      </c>
      <c r="B178" s="31" t="inlineStr">
        <is>
          <t xml:space="preserve">FBC5-D1</t>
        </is>
      </c>
      <c r="C178" s="31" t="inlineStr">
        <is>
          <t xml:space="preserve">Best Ball</t>
        </is>
      </c>
      <c r="D178" s="31" t="inlineStr">
        <is>
          <t xml:space="preserve">Four-ball</t>
        </is>
      </c>
      <c r="E178" s="40">
        <v>9</v>
      </c>
      <c r="F178" s="42">
        <v>1</v>
      </c>
      <c r="G178" s="31" t="inlineStr">
        <is>
          <t xml:space="preserve">Poirier</t>
        </is>
      </c>
      <c r="H178" s="31" t="inlineStr">
        <is>
          <t xml:space="preserve">Gray</t>
        </is>
      </c>
      <c r="I178" s="31" t="inlineStr">
        <is>
          <t xml:space="preserve">Poirier</t>
        </is>
      </c>
      <c r="J178" s="31" t="inlineStr">
        <is>
          <t xml:space="preserve">Delaney</t>
        </is>
      </c>
      <c r="K178" s="31" t="inlineStr">
        <is>
          <t xml:space="preserve">Mangold</t>
        </is>
      </c>
      <c r="L178" s="42">
        <v>-7</v>
      </c>
      <c r="M178" s="42">
        <v>-3.5</v>
      </c>
      <c r="N178" s="31" t="inlineStr">
        <is>
          <t xml:space="preserve">Giving</t>
        </is>
      </c>
      <c r="O178" s="42">
        <v>0</v>
      </c>
      <c r="P178" s="42">
        <v>0.558</v>
      </c>
      <c r="Q178" s="42">
        <v>-0.558</v>
      </c>
      <c r="R178" s="31" t="inlineStr">
        <is>
          <t xml:space="preserve">FBC 8/Handicaps (FBC 8) (Final).xlsx [5 Results]</t>
        </is>
      </c>
    </row>
    <row r="179" spans="1:18">
      <c r="A179" s="43">
        <v>5</v>
      </c>
      <c r="B179" s="34" t="inlineStr">
        <is>
          <t xml:space="preserve">FBC5-D1</t>
        </is>
      </c>
      <c r="C179" s="34" t="inlineStr">
        <is>
          <t xml:space="preserve">Best Ball</t>
        </is>
      </c>
      <c r="D179" s="34" t="inlineStr">
        <is>
          <t xml:space="preserve">Four-ball</t>
        </is>
      </c>
      <c r="E179" s="43">
        <v>9</v>
      </c>
      <c r="F179" s="45">
        <v>1</v>
      </c>
      <c r="G179" s="34" t="inlineStr">
        <is>
          <t xml:space="preserve">Forster</t>
        </is>
      </c>
      <c r="H179" s="34" t="inlineStr">
        <is>
          <t xml:space="preserve">Delaney</t>
        </is>
      </c>
      <c r="I179" s="34" t="inlineStr">
        <is>
          <t xml:space="preserve">Mangold</t>
        </is>
      </c>
      <c r="J179" s="34" t="inlineStr">
        <is>
          <t xml:space="preserve">Gray</t>
        </is>
      </c>
      <c r="K179" s="34" t="inlineStr">
        <is>
          <t xml:space="preserve">Poirier</t>
        </is>
      </c>
      <c r="L179" s="45">
        <v>7</v>
      </c>
      <c r="M179" s="45">
        <v>3.5</v>
      </c>
      <c r="N179" s="34" t="inlineStr">
        <is>
          <t xml:space="preserve">Getting</t>
        </is>
      </c>
      <c r="O179" s="45">
        <v>1</v>
      </c>
      <c r="P179" s="45">
        <v>0.442</v>
      </c>
      <c r="Q179" s="45">
        <v>0.558</v>
      </c>
      <c r="R179" s="34" t="inlineStr">
        <is>
          <t xml:space="preserve">FBC 8/Handicaps (FBC 8) (Final).xlsx [5 Results]</t>
        </is>
      </c>
    </row>
    <row r="180" spans="1:18">
      <c r="A180" s="40">
        <v>5</v>
      </c>
      <c r="B180" s="31" t="inlineStr">
        <is>
          <t xml:space="preserve">FBC5-D2</t>
        </is>
      </c>
      <c r="C180" s="31" t="inlineStr">
        <is>
          <t xml:space="preserve">Best Ball</t>
        </is>
      </c>
      <c r="D180" s="31" t="inlineStr">
        <is>
          <t xml:space="preserve">Four-ball</t>
        </is>
      </c>
      <c r="E180" s="40">
        <v>9</v>
      </c>
      <c r="F180" s="42">
        <v>1</v>
      </c>
      <c r="G180" s="31" t="inlineStr">
        <is>
          <t xml:space="preserve">Forster</t>
        </is>
      </c>
      <c r="H180" s="31" t="inlineStr">
        <is>
          <t xml:space="preserve">Grise</t>
        </is>
      </c>
      <c r="I180" s="31" t="inlineStr">
        <is>
          <t xml:space="preserve">Lynch</t>
        </is>
      </c>
      <c r="J180" s="31" t="inlineStr">
        <is>
          <t xml:space="preserve">Cole</t>
        </is>
      </c>
      <c r="K180" s="31" t="inlineStr">
        <is>
          <t xml:space="preserve">Jackson</t>
        </is>
      </c>
      <c r="L180" s="42">
        <v>-5</v>
      </c>
      <c r="M180" s="42">
        <v>-2.5</v>
      </c>
      <c r="N180" s="31" t="inlineStr">
        <is>
          <t xml:space="preserve">Giving</t>
        </is>
      </c>
      <c r="O180" s="42">
        <v>0</v>
      </c>
      <c r="P180" s="42">
        <v>0.564</v>
      </c>
      <c r="Q180" s="42">
        <v>-0.564</v>
      </c>
      <c r="R180" s="31" t="inlineStr">
        <is>
          <t xml:space="preserve">FBC 8/Handicaps (FBC 8) (Final).xlsx [5 Results]</t>
        </is>
      </c>
    </row>
    <row r="181" spans="1:18">
      <c r="A181" s="43">
        <v>5</v>
      </c>
      <c r="B181" s="34" t="inlineStr">
        <is>
          <t xml:space="preserve">FBC5-D2</t>
        </is>
      </c>
      <c r="C181" s="34" t="inlineStr">
        <is>
          <t xml:space="preserve">Best Ball</t>
        </is>
      </c>
      <c r="D181" s="34" t="inlineStr">
        <is>
          <t xml:space="preserve">Four-ball</t>
        </is>
      </c>
      <c r="E181" s="43">
        <v>9</v>
      </c>
      <c r="F181" s="45">
        <v>1</v>
      </c>
      <c r="G181" s="34" t="inlineStr">
        <is>
          <t xml:space="preserve">Poirier</t>
        </is>
      </c>
      <c r="H181" s="34" t="inlineStr">
        <is>
          <t xml:space="preserve">Cole</t>
        </is>
      </c>
      <c r="I181" s="34" t="inlineStr">
        <is>
          <t xml:space="preserve">Jackson</t>
        </is>
      </c>
      <c r="J181" s="34" t="inlineStr">
        <is>
          <t xml:space="preserve">Grise</t>
        </is>
      </c>
      <c r="K181" s="34" t="inlineStr">
        <is>
          <t xml:space="preserve">Lynch</t>
        </is>
      </c>
      <c r="L181" s="45">
        <v>5</v>
      </c>
      <c r="M181" s="45">
        <v>2.5</v>
      </c>
      <c r="N181" s="34" t="inlineStr">
        <is>
          <t xml:space="preserve">Getting</t>
        </is>
      </c>
      <c r="O181" s="45">
        <v>1</v>
      </c>
      <c r="P181" s="45">
        <v>0.436</v>
      </c>
      <c r="Q181" s="45">
        <v>0.564</v>
      </c>
      <c r="R181" s="34" t="inlineStr">
        <is>
          <t xml:space="preserve">FBC 8/Handicaps (FBC 8) (Final).xlsx [5 Results]</t>
        </is>
      </c>
    </row>
    <row r="182" spans="1:18">
      <c r="A182" s="40">
        <v>5</v>
      </c>
      <c r="B182" s="31" t="inlineStr">
        <is>
          <t xml:space="preserve">FBC5-D3</t>
        </is>
      </c>
      <c r="C182" s="31" t="inlineStr">
        <is>
          <t xml:space="preserve">Best Ball</t>
        </is>
      </c>
      <c r="D182" s="31" t="inlineStr">
        <is>
          <t xml:space="preserve">Four-ball</t>
        </is>
      </c>
      <c r="E182" s="40">
        <v>9</v>
      </c>
      <c r="F182" s="42">
        <v>1</v>
      </c>
      <c r="G182" s="31" t="inlineStr">
        <is>
          <t xml:space="preserve">Poirier</t>
        </is>
      </c>
      <c r="H182" s="31" t="inlineStr">
        <is>
          <t xml:space="preserve">Ferrin</t>
        </is>
      </c>
      <c r="I182" s="31" t="inlineStr">
        <is>
          <t xml:space="preserve">Flanders</t>
        </is>
      </c>
      <c r="J182" s="31" t="inlineStr">
        <is>
          <t xml:space="preserve">Connolly</t>
        </is>
      </c>
      <c r="K182" s="31" t="inlineStr">
        <is>
          <t xml:space="preserve">Shively</t>
        </is>
      </c>
      <c r="L182" s="42">
        <v>-4.5</v>
      </c>
      <c r="M182" s="42">
        <v>-2.25</v>
      </c>
      <c r="N182" s="31" t="inlineStr">
        <is>
          <t xml:space="preserve">Giving</t>
        </is>
      </c>
      <c r="O182" s="42">
        <v>1</v>
      </c>
      <c r="P182" s="42">
        <v>0.566</v>
      </c>
      <c r="Q182" s="42">
        <v>0.434</v>
      </c>
      <c r="R182" s="31" t="inlineStr">
        <is>
          <t xml:space="preserve">FBC 8/Handicaps (FBC 8) (Final).xlsx [5 Results]</t>
        </is>
      </c>
    </row>
    <row r="183" spans="1:18">
      <c r="A183" s="43">
        <v>5</v>
      </c>
      <c r="B183" s="34" t="inlineStr">
        <is>
          <t xml:space="preserve">FBC5-D3</t>
        </is>
      </c>
      <c r="C183" s="34" t="inlineStr">
        <is>
          <t xml:space="preserve">Best Ball</t>
        </is>
      </c>
      <c r="D183" s="34" t="inlineStr">
        <is>
          <t xml:space="preserve">Four-ball</t>
        </is>
      </c>
      <c r="E183" s="43">
        <v>9</v>
      </c>
      <c r="F183" s="45">
        <v>1</v>
      </c>
      <c r="G183" s="34" t="inlineStr">
        <is>
          <t xml:space="preserve">Forster</t>
        </is>
      </c>
      <c r="H183" s="34" t="inlineStr">
        <is>
          <t xml:space="preserve">Connolly</t>
        </is>
      </c>
      <c r="I183" s="34" t="inlineStr">
        <is>
          <t xml:space="preserve">Shively</t>
        </is>
      </c>
      <c r="J183" s="34" t="inlineStr">
        <is>
          <t xml:space="preserve">Ferrin</t>
        </is>
      </c>
      <c r="K183" s="34" t="inlineStr">
        <is>
          <t xml:space="preserve">Flanders</t>
        </is>
      </c>
      <c r="L183" s="45">
        <v>4.5</v>
      </c>
      <c r="M183" s="45">
        <v>2.25</v>
      </c>
      <c r="N183" s="34" t="inlineStr">
        <is>
          <t xml:space="preserve">Getting</t>
        </is>
      </c>
      <c r="O183" s="45">
        <v>0</v>
      </c>
      <c r="P183" s="45">
        <v>0.434</v>
      </c>
      <c r="Q183" s="45">
        <v>-0.434</v>
      </c>
      <c r="R183" s="34" t="inlineStr">
        <is>
          <t xml:space="preserve">FBC 8/Handicaps (FBC 8) (Final).xlsx [5 Results]</t>
        </is>
      </c>
    </row>
    <row r="184" spans="1:18">
      <c r="A184" s="40">
        <v>5</v>
      </c>
      <c r="B184" s="31" t="inlineStr">
        <is>
          <t xml:space="preserve">FBC5-D4</t>
        </is>
      </c>
      <c r="C184" s="31" t="inlineStr">
        <is>
          <t xml:space="preserve">Best Ball</t>
        </is>
      </c>
      <c r="D184" s="31" t="inlineStr">
        <is>
          <t xml:space="preserve">Four-ball</t>
        </is>
      </c>
      <c r="E184" s="40">
        <v>9</v>
      </c>
      <c r="F184" s="42">
        <v>1</v>
      </c>
      <c r="G184" s="31" t="inlineStr">
        <is>
          <t xml:space="preserve">Forster</t>
        </is>
      </c>
      <c r="H184" s="31" t="inlineStr">
        <is>
          <t xml:space="preserve">Forster</t>
        </is>
      </c>
      <c r="I184" s="31" t="inlineStr">
        <is>
          <t xml:space="preserve">McInerney</t>
        </is>
      </c>
      <c r="J184" s="31" t="inlineStr">
        <is>
          <t xml:space="preserve">Fogan</t>
        </is>
      </c>
      <c r="K184" s="31" t="inlineStr">
        <is>
          <t xml:space="preserve">Hilts</t>
        </is>
      </c>
      <c r="L184" s="42">
        <v>-11</v>
      </c>
      <c r="M184" s="42">
        <v>-5.5</v>
      </c>
      <c r="N184" s="31" t="inlineStr">
        <is>
          <t xml:space="preserve">Giving</t>
        </is>
      </c>
      <c r="O184" s="42">
        <v>0</v>
      </c>
      <c r="P184" s="42">
        <v>0.545</v>
      </c>
      <c r="Q184" s="42">
        <v>-0.545</v>
      </c>
      <c r="R184" s="31" t="inlineStr">
        <is>
          <t xml:space="preserve">FBC 8/Handicaps (FBC 8) (Final).xlsx [5 Results]</t>
        </is>
      </c>
    </row>
    <row r="185" spans="1:18">
      <c r="A185" s="43">
        <v>5</v>
      </c>
      <c r="B185" s="34" t="inlineStr">
        <is>
          <t xml:space="preserve">FBC5-D4</t>
        </is>
      </c>
      <c r="C185" s="34" t="inlineStr">
        <is>
          <t xml:space="preserve">Best Ball</t>
        </is>
      </c>
      <c r="D185" s="34" t="inlineStr">
        <is>
          <t xml:space="preserve">Four-ball</t>
        </is>
      </c>
      <c r="E185" s="43">
        <v>9</v>
      </c>
      <c r="F185" s="45">
        <v>1</v>
      </c>
      <c r="G185" s="34" t="inlineStr">
        <is>
          <t xml:space="preserve">Poirier</t>
        </is>
      </c>
      <c r="H185" s="34" t="inlineStr">
        <is>
          <t xml:space="preserve">Fogan</t>
        </is>
      </c>
      <c r="I185" s="34" t="inlineStr">
        <is>
          <t xml:space="preserve">Hilts</t>
        </is>
      </c>
      <c r="J185" s="34" t="inlineStr">
        <is>
          <t xml:space="preserve">Forster</t>
        </is>
      </c>
      <c r="K185" s="34" t="inlineStr">
        <is>
          <t xml:space="preserve">McInerney</t>
        </is>
      </c>
      <c r="L185" s="45">
        <v>11</v>
      </c>
      <c r="M185" s="45">
        <v>5.5</v>
      </c>
      <c r="N185" s="34" t="inlineStr">
        <is>
          <t xml:space="preserve">Getting</t>
        </is>
      </c>
      <c r="O185" s="45">
        <v>1</v>
      </c>
      <c r="P185" s="45">
        <v>0.455</v>
      </c>
      <c r="Q185" s="45">
        <v>0.545</v>
      </c>
      <c r="R185" s="34" t="inlineStr">
        <is>
          <t xml:space="preserve">FBC 8/Handicaps (FBC 8) (Final).xlsx [5 Results]</t>
        </is>
      </c>
    </row>
    <row r="186" spans="1:18">
      <c r="A186" s="40">
        <v>5</v>
      </c>
      <c r="B186" s="31" t="inlineStr">
        <is>
          <t xml:space="preserve">FBC5-D5</t>
        </is>
      </c>
      <c r="C186" s="31" t="inlineStr">
        <is>
          <t xml:space="preserve">Best Ball</t>
        </is>
      </c>
      <c r="D186" s="31" t="inlineStr">
        <is>
          <t xml:space="preserve">Four-ball</t>
        </is>
      </c>
      <c r="E186" s="40">
        <v>9</v>
      </c>
      <c r="F186" s="42">
        <v>1</v>
      </c>
      <c r="G186" s="31" t="inlineStr">
        <is>
          <t xml:space="preserve">Poirier</t>
        </is>
      </c>
      <c r="H186" s="31" t="inlineStr">
        <is>
          <t xml:space="preserve">Connors</t>
        </is>
      </c>
      <c r="I186" s="31" t="inlineStr">
        <is>
          <t xml:space="preserve">Welker</t>
        </is>
      </c>
      <c r="J186" s="31" t="inlineStr">
        <is>
          <t xml:space="preserve">Norat</t>
        </is>
      </c>
      <c r="K186" s="31" t="inlineStr">
        <is>
          <t xml:space="preserve">Zimmer</t>
        </is>
      </c>
      <c r="L186" s="42">
        <v>-0.5</v>
      </c>
      <c r="M186" s="42">
        <v>-0.25</v>
      </c>
      <c r="N186" s="31" t="inlineStr">
        <is>
          <t xml:space="preserve">Even</t>
        </is>
      </c>
      <c r="O186" s="42">
        <v>1</v>
      </c>
      <c r="P186" s="42">
        <v>0.498</v>
      </c>
      <c r="Q186" s="42">
        <v>0.502</v>
      </c>
      <c r="R186" s="31" t="inlineStr">
        <is>
          <t xml:space="preserve">FBC 8/Handicaps (FBC 8) (Final).xlsx [5 Results]</t>
        </is>
      </c>
    </row>
    <row r="187" spans="1:18">
      <c r="A187" s="43">
        <v>5</v>
      </c>
      <c r="B187" s="34" t="inlineStr">
        <is>
          <t xml:space="preserve">FBC5-D5</t>
        </is>
      </c>
      <c r="C187" s="34" t="inlineStr">
        <is>
          <t xml:space="preserve">Best Ball</t>
        </is>
      </c>
      <c r="D187" s="34" t="inlineStr">
        <is>
          <t xml:space="preserve">Four-ball</t>
        </is>
      </c>
      <c r="E187" s="43">
        <v>9</v>
      </c>
      <c r="F187" s="45">
        <v>1</v>
      </c>
      <c r="G187" s="34" t="inlineStr">
        <is>
          <t xml:space="preserve">Forster</t>
        </is>
      </c>
      <c r="H187" s="34" t="inlineStr">
        <is>
          <t xml:space="preserve">Norat</t>
        </is>
      </c>
      <c r="I187" s="34" t="inlineStr">
        <is>
          <t xml:space="preserve">Zimmer</t>
        </is>
      </c>
      <c r="J187" s="34" t="inlineStr">
        <is>
          <t xml:space="preserve">Connors</t>
        </is>
      </c>
      <c r="K187" s="34" t="inlineStr">
        <is>
          <t xml:space="preserve">Welker</t>
        </is>
      </c>
      <c r="L187" s="45">
        <v>0.5</v>
      </c>
      <c r="M187" s="45">
        <v>0.25</v>
      </c>
      <c r="N187" s="34" t="inlineStr">
        <is>
          <t xml:space="preserve">Even</t>
        </is>
      </c>
      <c r="O187" s="45">
        <v>0</v>
      </c>
      <c r="P187" s="45">
        <v>0.502</v>
      </c>
      <c r="Q187" s="45">
        <v>-0.502</v>
      </c>
      <c r="R187" s="34" t="inlineStr">
        <is>
          <t xml:space="preserve">FBC 8/Handicaps (FBC 8) (Final).xlsx [5 Results]</t>
        </is>
      </c>
    </row>
    <row r="188" spans="1:18">
      <c r="A188" s="40">
        <v>5</v>
      </c>
      <c r="B188" s="31" t="inlineStr">
        <is>
          <t xml:space="preserve">FBC5-D6</t>
        </is>
      </c>
      <c r="C188" s="31" t="inlineStr">
        <is>
          <t xml:space="preserve">Hi-Lo</t>
        </is>
      </c>
      <c r="D188" s="31" t="inlineStr">
        <is>
          <t xml:space="preserve">Four-ball</t>
        </is>
      </c>
      <c r="E188" s="40">
        <v>9</v>
      </c>
      <c r="F188" s="42">
        <v>1</v>
      </c>
      <c r="G188" s="31" t="inlineStr">
        <is>
          <t xml:space="preserve">Poirier</t>
        </is>
      </c>
      <c r="H188" s="31" t="inlineStr">
        <is>
          <t xml:space="preserve">Gray</t>
        </is>
      </c>
      <c r="I188" s="31" t="inlineStr">
        <is>
          <t xml:space="preserve">Poirier</t>
        </is>
      </c>
      <c r="J188" s="31" t="inlineStr">
        <is>
          <t xml:space="preserve">Delaney</t>
        </is>
      </c>
      <c r="K188" s="31" t="inlineStr">
        <is>
          <t xml:space="preserve">Mangold</t>
        </is>
      </c>
      <c r="L188" s="42">
        <v>-7</v>
      </c>
      <c r="M188" s="42">
        <v>-3.5</v>
      </c>
      <c r="N188" s="31" t="inlineStr">
        <is>
          <t xml:space="preserve">Giving</t>
        </is>
      </c>
      <c r="O188" s="42">
        <v>0.5</v>
      </c>
      <c r="P188" s="42">
        <v>0.558</v>
      </c>
      <c r="Q188" s="42">
        <v>-0.058</v>
      </c>
      <c r="R188" s="31" t="inlineStr">
        <is>
          <t xml:space="preserve">FBC 8/Handicaps (FBC 8) (Final).xlsx [5 Results]</t>
        </is>
      </c>
    </row>
    <row r="189" spans="1:18">
      <c r="A189" s="43">
        <v>5</v>
      </c>
      <c r="B189" s="34" t="inlineStr">
        <is>
          <t xml:space="preserve">FBC5-D6</t>
        </is>
      </c>
      <c r="C189" s="34" t="inlineStr">
        <is>
          <t xml:space="preserve">Hi-Lo</t>
        </is>
      </c>
      <c r="D189" s="34" t="inlineStr">
        <is>
          <t xml:space="preserve">Four-ball</t>
        </is>
      </c>
      <c r="E189" s="43">
        <v>9</v>
      </c>
      <c r="F189" s="45">
        <v>1</v>
      </c>
      <c r="G189" s="34" t="inlineStr">
        <is>
          <t xml:space="preserve">Forster</t>
        </is>
      </c>
      <c r="H189" s="34" t="inlineStr">
        <is>
          <t xml:space="preserve">Delaney</t>
        </is>
      </c>
      <c r="I189" s="34" t="inlineStr">
        <is>
          <t xml:space="preserve">Mangold</t>
        </is>
      </c>
      <c r="J189" s="34" t="inlineStr">
        <is>
          <t xml:space="preserve">Gray</t>
        </is>
      </c>
      <c r="K189" s="34" t="inlineStr">
        <is>
          <t xml:space="preserve">Poirier</t>
        </is>
      </c>
      <c r="L189" s="45">
        <v>7</v>
      </c>
      <c r="M189" s="45">
        <v>3.5</v>
      </c>
      <c r="N189" s="34" t="inlineStr">
        <is>
          <t xml:space="preserve">Getting</t>
        </is>
      </c>
      <c r="O189" s="45">
        <v>0.5</v>
      </c>
      <c r="P189" s="45">
        <v>0.442</v>
      </c>
      <c r="Q189" s="45">
        <v>0.058</v>
      </c>
      <c r="R189" s="34" t="inlineStr">
        <is>
          <t xml:space="preserve">FBC 8/Handicaps (FBC 8) (Final).xlsx [5 Results]</t>
        </is>
      </c>
    </row>
    <row r="190" spans="1:18">
      <c r="A190" s="40">
        <v>5</v>
      </c>
      <c r="B190" s="31" t="inlineStr">
        <is>
          <t xml:space="preserve">FBC5-D7</t>
        </is>
      </c>
      <c r="C190" s="31" t="inlineStr">
        <is>
          <t xml:space="preserve">Hi-Lo</t>
        </is>
      </c>
      <c r="D190" s="31" t="inlineStr">
        <is>
          <t xml:space="preserve">Four-ball</t>
        </is>
      </c>
      <c r="E190" s="40">
        <v>9</v>
      </c>
      <c r="F190" s="42">
        <v>1</v>
      </c>
      <c r="G190" s="31" t="inlineStr">
        <is>
          <t xml:space="preserve">Forster</t>
        </is>
      </c>
      <c r="H190" s="31" t="inlineStr">
        <is>
          <t xml:space="preserve">Grise</t>
        </is>
      </c>
      <c r="I190" s="31" t="inlineStr">
        <is>
          <t xml:space="preserve">Lynch</t>
        </is>
      </c>
      <c r="J190" s="31" t="inlineStr">
        <is>
          <t xml:space="preserve">Cole</t>
        </is>
      </c>
      <c r="K190" s="31" t="inlineStr">
        <is>
          <t xml:space="preserve">Jackson</t>
        </is>
      </c>
      <c r="L190" s="42">
        <v>-5</v>
      </c>
      <c r="M190" s="42">
        <v>-2.5</v>
      </c>
      <c r="N190" s="31" t="inlineStr">
        <is>
          <t xml:space="preserve">Giving</t>
        </is>
      </c>
      <c r="O190" s="42">
        <v>1</v>
      </c>
      <c r="P190" s="42">
        <v>0.564</v>
      </c>
      <c r="Q190" s="42">
        <v>0.436</v>
      </c>
      <c r="R190" s="31" t="inlineStr">
        <is>
          <t xml:space="preserve">FBC 8/Handicaps (FBC 8) (Final).xlsx [5 Results]</t>
        </is>
      </c>
    </row>
    <row r="191" spans="1:18">
      <c r="A191" s="43">
        <v>5</v>
      </c>
      <c r="B191" s="34" t="inlineStr">
        <is>
          <t xml:space="preserve">FBC5-D7</t>
        </is>
      </c>
      <c r="C191" s="34" t="inlineStr">
        <is>
          <t xml:space="preserve">Hi-Lo</t>
        </is>
      </c>
      <c r="D191" s="34" t="inlineStr">
        <is>
          <t xml:space="preserve">Four-ball</t>
        </is>
      </c>
      <c r="E191" s="43">
        <v>9</v>
      </c>
      <c r="F191" s="45">
        <v>1</v>
      </c>
      <c r="G191" s="34" t="inlineStr">
        <is>
          <t xml:space="preserve">Poirier</t>
        </is>
      </c>
      <c r="H191" s="34" t="inlineStr">
        <is>
          <t xml:space="preserve">Cole</t>
        </is>
      </c>
      <c r="I191" s="34" t="inlineStr">
        <is>
          <t xml:space="preserve">Jackson</t>
        </is>
      </c>
      <c r="J191" s="34" t="inlineStr">
        <is>
          <t xml:space="preserve">Grise</t>
        </is>
      </c>
      <c r="K191" s="34" t="inlineStr">
        <is>
          <t xml:space="preserve">Lynch</t>
        </is>
      </c>
      <c r="L191" s="45">
        <v>5</v>
      </c>
      <c r="M191" s="45">
        <v>2.5</v>
      </c>
      <c r="N191" s="34" t="inlineStr">
        <is>
          <t xml:space="preserve">Getting</t>
        </is>
      </c>
      <c r="O191" s="45">
        <v>0</v>
      </c>
      <c r="P191" s="45">
        <v>0.436</v>
      </c>
      <c r="Q191" s="45">
        <v>-0.436</v>
      </c>
      <c r="R191" s="34" t="inlineStr">
        <is>
          <t xml:space="preserve">FBC 8/Handicaps (FBC 8) (Final).xlsx [5 Results]</t>
        </is>
      </c>
    </row>
    <row r="192" spans="1:18">
      <c r="A192" s="40">
        <v>5</v>
      </c>
      <c r="B192" s="31" t="inlineStr">
        <is>
          <t xml:space="preserve">FBC5-D8</t>
        </is>
      </c>
      <c r="C192" s="31" t="inlineStr">
        <is>
          <t xml:space="preserve">Hi-Lo</t>
        </is>
      </c>
      <c r="D192" s="31" t="inlineStr">
        <is>
          <t xml:space="preserve">Four-ball</t>
        </is>
      </c>
      <c r="E192" s="40">
        <v>9</v>
      </c>
      <c r="F192" s="42">
        <v>1</v>
      </c>
      <c r="G192" s="31" t="inlineStr">
        <is>
          <t xml:space="preserve">Poirier</t>
        </is>
      </c>
      <c r="H192" s="31" t="inlineStr">
        <is>
          <t xml:space="preserve">Ferrin</t>
        </is>
      </c>
      <c r="I192" s="31" t="inlineStr">
        <is>
          <t xml:space="preserve">Flanders</t>
        </is>
      </c>
      <c r="J192" s="31" t="inlineStr">
        <is>
          <t xml:space="preserve">Connolly</t>
        </is>
      </c>
      <c r="K192" s="31" t="inlineStr">
        <is>
          <t xml:space="preserve">Shively</t>
        </is>
      </c>
      <c r="L192" s="42">
        <v>-4.5</v>
      </c>
      <c r="M192" s="42">
        <v>-2.25</v>
      </c>
      <c r="N192" s="31" t="inlineStr">
        <is>
          <t xml:space="preserve">Giving</t>
        </is>
      </c>
      <c r="O192" s="42">
        <v>1</v>
      </c>
      <c r="P192" s="42">
        <v>0.566</v>
      </c>
      <c r="Q192" s="42">
        <v>0.434</v>
      </c>
      <c r="R192" s="31" t="inlineStr">
        <is>
          <t xml:space="preserve">FBC 8/Handicaps (FBC 8) (Final).xlsx [5 Results]</t>
        </is>
      </c>
    </row>
    <row r="193" spans="1:18">
      <c r="A193" s="43">
        <v>5</v>
      </c>
      <c r="B193" s="34" t="inlineStr">
        <is>
          <t xml:space="preserve">FBC5-D8</t>
        </is>
      </c>
      <c r="C193" s="34" t="inlineStr">
        <is>
          <t xml:space="preserve">Hi-Lo</t>
        </is>
      </c>
      <c r="D193" s="34" t="inlineStr">
        <is>
          <t xml:space="preserve">Four-ball</t>
        </is>
      </c>
      <c r="E193" s="43">
        <v>9</v>
      </c>
      <c r="F193" s="45">
        <v>1</v>
      </c>
      <c r="G193" s="34" t="inlineStr">
        <is>
          <t xml:space="preserve">Forster</t>
        </is>
      </c>
      <c r="H193" s="34" t="inlineStr">
        <is>
          <t xml:space="preserve">Connolly</t>
        </is>
      </c>
      <c r="I193" s="34" t="inlineStr">
        <is>
          <t xml:space="preserve">Shively</t>
        </is>
      </c>
      <c r="J193" s="34" t="inlineStr">
        <is>
          <t xml:space="preserve">Ferrin</t>
        </is>
      </c>
      <c r="K193" s="34" t="inlineStr">
        <is>
          <t xml:space="preserve">Flanders</t>
        </is>
      </c>
      <c r="L193" s="45">
        <v>4.5</v>
      </c>
      <c r="M193" s="45">
        <v>2.25</v>
      </c>
      <c r="N193" s="34" t="inlineStr">
        <is>
          <t xml:space="preserve">Getting</t>
        </is>
      </c>
      <c r="O193" s="45">
        <v>0</v>
      </c>
      <c r="P193" s="45">
        <v>0.434</v>
      </c>
      <c r="Q193" s="45">
        <v>-0.434</v>
      </c>
      <c r="R193" s="34" t="inlineStr">
        <is>
          <t xml:space="preserve">FBC 8/Handicaps (FBC 8) (Final).xlsx [5 Results]</t>
        </is>
      </c>
    </row>
    <row r="194" spans="1:18">
      <c r="A194" s="40">
        <v>5</v>
      </c>
      <c r="B194" s="31" t="inlineStr">
        <is>
          <t xml:space="preserve">FBC5-D9</t>
        </is>
      </c>
      <c r="C194" s="31" t="inlineStr">
        <is>
          <t xml:space="preserve">Hi-Lo</t>
        </is>
      </c>
      <c r="D194" s="31" t="inlineStr">
        <is>
          <t xml:space="preserve">Four-ball</t>
        </is>
      </c>
      <c r="E194" s="40">
        <v>9</v>
      </c>
      <c r="F194" s="42">
        <v>1</v>
      </c>
      <c r="G194" s="31" t="inlineStr">
        <is>
          <t xml:space="preserve">Forster</t>
        </is>
      </c>
      <c r="H194" s="31" t="inlineStr">
        <is>
          <t xml:space="preserve">Forster</t>
        </is>
      </c>
      <c r="I194" s="31" t="inlineStr">
        <is>
          <t xml:space="preserve">McInerney</t>
        </is>
      </c>
      <c r="J194" s="31" t="inlineStr">
        <is>
          <t xml:space="preserve">Fogan</t>
        </is>
      </c>
      <c r="K194" s="31" t="inlineStr">
        <is>
          <t xml:space="preserve">Hilts</t>
        </is>
      </c>
      <c r="L194" s="42">
        <v>-11</v>
      </c>
      <c r="M194" s="42">
        <v>-5.5</v>
      </c>
      <c r="N194" s="31" t="inlineStr">
        <is>
          <t xml:space="preserve">Giving</t>
        </is>
      </c>
      <c r="O194" s="42">
        <v>1</v>
      </c>
      <c r="P194" s="42">
        <v>0.545</v>
      </c>
      <c r="Q194" s="42">
        <v>0.455</v>
      </c>
      <c r="R194" s="31" t="inlineStr">
        <is>
          <t xml:space="preserve">FBC 8/Handicaps (FBC 8) (Final).xlsx [5 Results]</t>
        </is>
      </c>
    </row>
    <row r="195" spans="1:18">
      <c r="A195" s="43">
        <v>5</v>
      </c>
      <c r="B195" s="34" t="inlineStr">
        <is>
          <t xml:space="preserve">FBC5-D9</t>
        </is>
      </c>
      <c r="C195" s="34" t="inlineStr">
        <is>
          <t xml:space="preserve">Hi-Lo</t>
        </is>
      </c>
      <c r="D195" s="34" t="inlineStr">
        <is>
          <t xml:space="preserve">Four-ball</t>
        </is>
      </c>
      <c r="E195" s="43">
        <v>9</v>
      </c>
      <c r="F195" s="45">
        <v>1</v>
      </c>
      <c r="G195" s="34" t="inlineStr">
        <is>
          <t xml:space="preserve">Poirier</t>
        </is>
      </c>
      <c r="H195" s="34" t="inlineStr">
        <is>
          <t xml:space="preserve">Fogan</t>
        </is>
      </c>
      <c r="I195" s="34" t="inlineStr">
        <is>
          <t xml:space="preserve">Hilts</t>
        </is>
      </c>
      <c r="J195" s="34" t="inlineStr">
        <is>
          <t xml:space="preserve">Forster</t>
        </is>
      </c>
      <c r="K195" s="34" t="inlineStr">
        <is>
          <t xml:space="preserve">McInerney</t>
        </is>
      </c>
      <c r="L195" s="45">
        <v>11</v>
      </c>
      <c r="M195" s="45">
        <v>5.5</v>
      </c>
      <c r="N195" s="34" t="inlineStr">
        <is>
          <t xml:space="preserve">Getting</t>
        </is>
      </c>
      <c r="O195" s="45">
        <v>0</v>
      </c>
      <c r="P195" s="45">
        <v>0.455</v>
      </c>
      <c r="Q195" s="45">
        <v>-0.455</v>
      </c>
      <c r="R195" s="34" t="inlineStr">
        <is>
          <t xml:space="preserve">FBC 8/Handicaps (FBC 8) (Final).xlsx [5 Results]</t>
        </is>
      </c>
    </row>
    <row r="196" spans="1:18">
      <c r="A196" s="40">
        <v>5</v>
      </c>
      <c r="B196" s="31" t="inlineStr">
        <is>
          <t xml:space="preserve">FBC5-D10</t>
        </is>
      </c>
      <c r="C196" s="31" t="inlineStr">
        <is>
          <t xml:space="preserve">Hi-Lo</t>
        </is>
      </c>
      <c r="D196" s="31" t="inlineStr">
        <is>
          <t xml:space="preserve">Four-ball</t>
        </is>
      </c>
      <c r="E196" s="40">
        <v>9</v>
      </c>
      <c r="F196" s="42">
        <v>1</v>
      </c>
      <c r="G196" s="31" t="inlineStr">
        <is>
          <t xml:space="preserve">Poirier</t>
        </is>
      </c>
      <c r="H196" s="31" t="inlineStr">
        <is>
          <t xml:space="preserve">Connors</t>
        </is>
      </c>
      <c r="I196" s="31" t="inlineStr">
        <is>
          <t xml:space="preserve">Welker</t>
        </is>
      </c>
      <c r="J196" s="31" t="inlineStr">
        <is>
          <t xml:space="preserve">Norat</t>
        </is>
      </c>
      <c r="K196" s="31" t="inlineStr">
        <is>
          <t xml:space="preserve">Zimmer</t>
        </is>
      </c>
      <c r="L196" s="42">
        <v>-0.5</v>
      </c>
      <c r="M196" s="42">
        <v>-0.25</v>
      </c>
      <c r="N196" s="31" t="inlineStr">
        <is>
          <t xml:space="preserve">Even</t>
        </is>
      </c>
      <c r="O196" s="42">
        <v>0</v>
      </c>
      <c r="P196" s="42">
        <v>0.498</v>
      </c>
      <c r="Q196" s="42">
        <v>-0.498</v>
      </c>
      <c r="R196" s="31" t="inlineStr">
        <is>
          <t xml:space="preserve">FBC 8/Handicaps (FBC 8) (Final).xlsx [5 Results]</t>
        </is>
      </c>
    </row>
    <row r="197" spans="1:18">
      <c r="A197" s="43">
        <v>5</v>
      </c>
      <c r="B197" s="34" t="inlineStr">
        <is>
          <t xml:space="preserve">FBC5-D10</t>
        </is>
      </c>
      <c r="C197" s="34" t="inlineStr">
        <is>
          <t xml:space="preserve">Hi-Lo</t>
        </is>
      </c>
      <c r="D197" s="34" t="inlineStr">
        <is>
          <t xml:space="preserve">Four-ball</t>
        </is>
      </c>
      <c r="E197" s="43">
        <v>9</v>
      </c>
      <c r="F197" s="45">
        <v>1</v>
      </c>
      <c r="G197" s="34" t="inlineStr">
        <is>
          <t xml:space="preserve">Forster</t>
        </is>
      </c>
      <c r="H197" s="34" t="inlineStr">
        <is>
          <t xml:space="preserve">Norat</t>
        </is>
      </c>
      <c r="I197" s="34" t="inlineStr">
        <is>
          <t xml:space="preserve">Zimmer</t>
        </is>
      </c>
      <c r="J197" s="34" t="inlineStr">
        <is>
          <t xml:space="preserve">Connors</t>
        </is>
      </c>
      <c r="K197" s="34" t="inlineStr">
        <is>
          <t xml:space="preserve">Welker</t>
        </is>
      </c>
      <c r="L197" s="45">
        <v>0.5</v>
      </c>
      <c r="M197" s="45">
        <v>0.25</v>
      </c>
      <c r="N197" s="34" t="inlineStr">
        <is>
          <t xml:space="preserve">Even</t>
        </is>
      </c>
      <c r="O197" s="45">
        <v>1</v>
      </c>
      <c r="P197" s="45">
        <v>0.502</v>
      </c>
      <c r="Q197" s="45">
        <v>0.498</v>
      </c>
      <c r="R197" s="34" t="inlineStr">
        <is>
          <t xml:space="preserve">FBC 8/Handicaps (FBC 8) (Final).xlsx [5 Results]</t>
        </is>
      </c>
    </row>
    <row r="198" spans="1:18">
      <c r="A198" s="40">
        <v>5</v>
      </c>
      <c r="B198" s="31" t="inlineStr">
        <is>
          <t xml:space="preserve">FBC5-D11</t>
        </is>
      </c>
      <c r="C198" s="31" t="inlineStr">
        <is>
          <t xml:space="preserve">Pinehurst</t>
        </is>
      </c>
      <c r="D198" s="31" t="inlineStr">
        <is>
          <t xml:space="preserve">Pinehurst</t>
        </is>
      </c>
      <c r="E198" s="40">
        <v>9</v>
      </c>
      <c r="F198" s="42">
        <v>1</v>
      </c>
      <c r="G198" s="31" t="inlineStr">
        <is>
          <t xml:space="preserve">Poirier</t>
        </is>
      </c>
      <c r="H198" s="31" t="inlineStr">
        <is>
          <t xml:space="preserve">Flanders</t>
        </is>
      </c>
      <c r="I198" s="31" t="inlineStr">
        <is>
          <t xml:space="preserve">Poirier</t>
        </is>
      </c>
      <c r="J198" s="31" t="inlineStr">
        <is>
          <t xml:space="preserve">Grise</t>
        </is>
      </c>
      <c r="K198" s="31" t="inlineStr">
        <is>
          <t xml:space="preserve">Mangold</t>
        </is>
      </c>
      <c r="L198" s="42">
        <v>-7</v>
      </c>
      <c r="M198" s="42">
        <v>-3.5</v>
      </c>
      <c r="N198" s="31" t="inlineStr">
        <is>
          <t xml:space="preserve">Giving</t>
        </is>
      </c>
      <c r="O198" s="42">
        <v>1</v>
      </c>
      <c r="P198" s="42">
        <v>0.521</v>
      </c>
      <c r="Q198" s="42">
        <v>0.479</v>
      </c>
      <c r="R198" s="31" t="inlineStr">
        <is>
          <t xml:space="preserve">FBC 8/Handicaps (FBC 8) (Final).xlsx [5 Results]</t>
        </is>
      </c>
    </row>
    <row r="199" spans="1:18">
      <c r="A199" s="43">
        <v>5</v>
      </c>
      <c r="B199" s="34" t="inlineStr">
        <is>
          <t xml:space="preserve">FBC5-D11</t>
        </is>
      </c>
      <c r="C199" s="34" t="inlineStr">
        <is>
          <t xml:space="preserve">Pinehurst</t>
        </is>
      </c>
      <c r="D199" s="34" t="inlineStr">
        <is>
          <t xml:space="preserve">Pinehurst</t>
        </is>
      </c>
      <c r="E199" s="43">
        <v>9</v>
      </c>
      <c r="F199" s="45">
        <v>1</v>
      </c>
      <c r="G199" s="34" t="inlineStr">
        <is>
          <t xml:space="preserve">Forster</t>
        </is>
      </c>
      <c r="H199" s="34" t="inlineStr">
        <is>
          <t xml:space="preserve">Grise</t>
        </is>
      </c>
      <c r="I199" s="34" t="inlineStr">
        <is>
          <t xml:space="preserve">Mangold</t>
        </is>
      </c>
      <c r="J199" s="34" t="inlineStr">
        <is>
          <t xml:space="preserve">Flanders</t>
        </is>
      </c>
      <c r="K199" s="34" t="inlineStr">
        <is>
          <t xml:space="preserve">Poirier</t>
        </is>
      </c>
      <c r="L199" s="45">
        <v>7</v>
      </c>
      <c r="M199" s="45">
        <v>3.5</v>
      </c>
      <c r="N199" s="34" t="inlineStr">
        <is>
          <t xml:space="preserve">Getting</t>
        </is>
      </c>
      <c r="O199" s="45">
        <v>0</v>
      </c>
      <c r="P199" s="45">
        <v>0.479</v>
      </c>
      <c r="Q199" s="45">
        <v>-0.479</v>
      </c>
      <c r="R199" s="34" t="inlineStr">
        <is>
          <t xml:space="preserve">FBC 8/Handicaps (FBC 8) (Final).xlsx [5 Results]</t>
        </is>
      </c>
    </row>
    <row r="200" spans="1:18">
      <c r="A200" s="40">
        <v>5</v>
      </c>
      <c r="B200" s="31" t="inlineStr">
        <is>
          <t xml:space="preserve">FBC5-D12</t>
        </is>
      </c>
      <c r="C200" s="31" t="inlineStr">
        <is>
          <t xml:space="preserve">Pinehurst</t>
        </is>
      </c>
      <c r="D200" s="31" t="inlineStr">
        <is>
          <t xml:space="preserve">Pinehurst</t>
        </is>
      </c>
      <c r="E200" s="40">
        <v>9</v>
      </c>
      <c r="F200" s="42">
        <v>1</v>
      </c>
      <c r="G200" s="31" t="inlineStr">
        <is>
          <t xml:space="preserve">Forster</t>
        </is>
      </c>
      <c r="H200" s="31" t="inlineStr">
        <is>
          <t xml:space="preserve">Connolly</t>
        </is>
      </c>
      <c r="I200" s="31" t="inlineStr">
        <is>
          <t xml:space="preserve">Forster</t>
        </is>
      </c>
      <c r="J200" s="31" t="inlineStr">
        <is>
          <t xml:space="preserve">Ferrin</t>
        </is>
      </c>
      <c r="K200" s="31" t="inlineStr">
        <is>
          <t xml:space="preserve">Jackson</t>
        </is>
      </c>
      <c r="L200" s="42">
        <v>1</v>
      </c>
      <c r="M200" s="42">
        <v>0.5</v>
      </c>
      <c r="N200" s="31" t="inlineStr">
        <is>
          <t xml:space="preserve">Getting</t>
        </is>
      </c>
      <c r="O200" s="42">
        <v>1</v>
      </c>
      <c r="P200" s="42">
        <v>0.428</v>
      </c>
      <c r="Q200" s="42">
        <v>0.572</v>
      </c>
      <c r="R200" s="31" t="inlineStr">
        <is>
          <t xml:space="preserve">FBC 8/Handicaps (FBC 8) (Final).xlsx [5 Results]</t>
        </is>
      </c>
    </row>
    <row r="201" spans="1:18">
      <c r="A201" s="43">
        <v>5</v>
      </c>
      <c r="B201" s="34" t="inlineStr">
        <is>
          <t xml:space="preserve">FBC5-D12</t>
        </is>
      </c>
      <c r="C201" s="34" t="inlineStr">
        <is>
          <t xml:space="preserve">Pinehurst</t>
        </is>
      </c>
      <c r="D201" s="34" t="inlineStr">
        <is>
          <t xml:space="preserve">Pinehurst</t>
        </is>
      </c>
      <c r="E201" s="43">
        <v>9</v>
      </c>
      <c r="F201" s="45">
        <v>1</v>
      </c>
      <c r="G201" s="34" t="inlineStr">
        <is>
          <t xml:space="preserve">Poirier</t>
        </is>
      </c>
      <c r="H201" s="34" t="inlineStr">
        <is>
          <t xml:space="preserve">Ferrin</t>
        </is>
      </c>
      <c r="I201" s="34" t="inlineStr">
        <is>
          <t xml:space="preserve">Jackson</t>
        </is>
      </c>
      <c r="J201" s="34" t="inlineStr">
        <is>
          <t xml:space="preserve">Connolly</t>
        </is>
      </c>
      <c r="K201" s="34" t="inlineStr">
        <is>
          <t xml:space="preserve">Forster</t>
        </is>
      </c>
      <c r="L201" s="45">
        <v>-1</v>
      </c>
      <c r="M201" s="45">
        <v>-0.5</v>
      </c>
      <c r="N201" s="34" t="inlineStr">
        <is>
          <t xml:space="preserve">Giving</t>
        </is>
      </c>
      <c r="O201" s="45">
        <v>0</v>
      </c>
      <c r="P201" s="45">
        <v>0.572</v>
      </c>
      <c r="Q201" s="45">
        <v>-0.572</v>
      </c>
      <c r="R201" s="34" t="inlineStr">
        <is>
          <t xml:space="preserve">FBC 8/Handicaps (FBC 8) (Final).xlsx [5 Results]</t>
        </is>
      </c>
    </row>
    <row r="202" spans="1:18">
      <c r="A202" s="40">
        <v>5</v>
      </c>
      <c r="B202" s="31" t="inlineStr">
        <is>
          <t xml:space="preserve">FBC5-D13</t>
        </is>
      </c>
      <c r="C202" s="31" t="inlineStr">
        <is>
          <t xml:space="preserve">Pinehurst</t>
        </is>
      </c>
      <c r="D202" s="31" t="inlineStr">
        <is>
          <t xml:space="preserve">Pinehurst</t>
        </is>
      </c>
      <c r="E202" s="40">
        <v>9</v>
      </c>
      <c r="F202" s="42">
        <v>1</v>
      </c>
      <c r="G202" s="31" t="inlineStr">
        <is>
          <t xml:space="preserve">Poirier</t>
        </is>
      </c>
      <c r="H202" s="31" t="inlineStr">
        <is>
          <t xml:space="preserve">Gray</t>
        </is>
      </c>
      <c r="I202" s="31" t="inlineStr">
        <is>
          <t xml:space="preserve">Welker</t>
        </is>
      </c>
      <c r="J202" s="31" t="inlineStr">
        <is>
          <t xml:space="preserve">McInerney</t>
        </is>
      </c>
      <c r="K202" s="31" t="inlineStr">
        <is>
          <t xml:space="preserve">Shively</t>
        </is>
      </c>
      <c r="L202" s="42">
        <v>-2</v>
      </c>
      <c r="M202" s="42">
        <v>-1</v>
      </c>
      <c r="N202" s="31" t="inlineStr">
        <is>
          <t xml:space="preserve">Giving</t>
        </is>
      </c>
      <c r="O202" s="42">
        <v>1</v>
      </c>
      <c r="P202" s="42">
        <v>0.563</v>
      </c>
      <c r="Q202" s="42">
        <v>0.437</v>
      </c>
      <c r="R202" s="31" t="inlineStr">
        <is>
          <t xml:space="preserve">FBC 8/Handicaps (FBC 8) (Final).xlsx [5 Results]</t>
        </is>
      </c>
    </row>
    <row r="203" spans="1:18">
      <c r="A203" s="43">
        <v>5</v>
      </c>
      <c r="B203" s="34" t="inlineStr">
        <is>
          <t xml:space="preserve">FBC5-D13</t>
        </is>
      </c>
      <c r="C203" s="34" t="inlineStr">
        <is>
          <t xml:space="preserve">Pinehurst</t>
        </is>
      </c>
      <c r="D203" s="34" t="inlineStr">
        <is>
          <t xml:space="preserve">Pinehurst</t>
        </is>
      </c>
      <c r="E203" s="43">
        <v>9</v>
      </c>
      <c r="F203" s="45">
        <v>1</v>
      </c>
      <c r="G203" s="34" t="inlineStr">
        <is>
          <t xml:space="preserve">Forster</t>
        </is>
      </c>
      <c r="H203" s="34" t="inlineStr">
        <is>
          <t xml:space="preserve">McInerney</t>
        </is>
      </c>
      <c r="I203" s="34" t="inlineStr">
        <is>
          <t xml:space="preserve">Shively</t>
        </is>
      </c>
      <c r="J203" s="34" t="inlineStr">
        <is>
          <t xml:space="preserve">Gray</t>
        </is>
      </c>
      <c r="K203" s="34" t="inlineStr">
        <is>
          <t xml:space="preserve">Welker</t>
        </is>
      </c>
      <c r="L203" s="45">
        <v>2</v>
      </c>
      <c r="M203" s="45">
        <v>1</v>
      </c>
      <c r="N203" s="34" t="inlineStr">
        <is>
          <t xml:space="preserve">Getting</t>
        </is>
      </c>
      <c r="O203" s="45">
        <v>0</v>
      </c>
      <c r="P203" s="45">
        <v>0.437</v>
      </c>
      <c r="Q203" s="45">
        <v>-0.437</v>
      </c>
      <c r="R203" s="34" t="inlineStr">
        <is>
          <t xml:space="preserve">FBC 8/Handicaps (FBC 8) (Final).xlsx [5 Results]</t>
        </is>
      </c>
    </row>
    <row r="204" spans="1:18">
      <c r="A204" s="40">
        <v>5</v>
      </c>
      <c r="B204" s="31" t="inlineStr">
        <is>
          <t xml:space="preserve">FBC5-D14</t>
        </is>
      </c>
      <c r="C204" s="31" t="inlineStr">
        <is>
          <t xml:space="preserve">Pinehurst</t>
        </is>
      </c>
      <c r="D204" s="31" t="inlineStr">
        <is>
          <t xml:space="preserve">Pinehurst</t>
        </is>
      </c>
      <c r="E204" s="40">
        <v>9</v>
      </c>
      <c r="F204" s="42">
        <v>1</v>
      </c>
      <c r="G204" s="31" t="inlineStr">
        <is>
          <t xml:space="preserve">Forster</t>
        </is>
      </c>
      <c r="H204" s="31" t="inlineStr">
        <is>
          <t xml:space="preserve">Delaney</t>
        </is>
      </c>
      <c r="I204" s="31" t="inlineStr">
        <is>
          <t xml:space="preserve">Lynch</t>
        </is>
      </c>
      <c r="J204" s="31" t="inlineStr">
        <is>
          <t xml:space="preserve">Fogan</t>
        </is>
      </c>
      <c r="K204" s="31" t="inlineStr">
        <is>
          <t xml:space="preserve">Hilts</t>
        </is>
      </c>
      <c r="L204" s="42">
        <v>-11</v>
      </c>
      <c r="M204" s="42">
        <v>-5.5</v>
      </c>
      <c r="N204" s="31" t="inlineStr">
        <is>
          <t xml:space="preserve">Giving</t>
        </is>
      </c>
      <c r="O204" s="42">
        <v>1</v>
      </c>
      <c r="P204" s="42">
        <v>0.486</v>
      </c>
      <c r="Q204" s="42">
        <v>0.514</v>
      </c>
      <c r="R204" s="31" t="inlineStr">
        <is>
          <t xml:space="preserve">FBC 8/Handicaps (FBC 8) (Final).xlsx [5 Results]</t>
        </is>
      </c>
    </row>
    <row r="205" spans="1:18">
      <c r="A205" s="43">
        <v>5</v>
      </c>
      <c r="B205" s="34" t="inlineStr">
        <is>
          <t xml:space="preserve">FBC5-D14</t>
        </is>
      </c>
      <c r="C205" s="34" t="inlineStr">
        <is>
          <t xml:space="preserve">Pinehurst</t>
        </is>
      </c>
      <c r="D205" s="34" t="inlineStr">
        <is>
          <t xml:space="preserve">Pinehurst</t>
        </is>
      </c>
      <c r="E205" s="43">
        <v>9</v>
      </c>
      <c r="F205" s="45">
        <v>1</v>
      </c>
      <c r="G205" s="34" t="inlineStr">
        <is>
          <t xml:space="preserve">Poirier</t>
        </is>
      </c>
      <c r="H205" s="34" t="inlineStr">
        <is>
          <t xml:space="preserve">Fogan</t>
        </is>
      </c>
      <c r="I205" s="34" t="inlineStr">
        <is>
          <t xml:space="preserve">Hilts</t>
        </is>
      </c>
      <c r="J205" s="34" t="inlineStr">
        <is>
          <t xml:space="preserve">Delaney</t>
        </is>
      </c>
      <c r="K205" s="34" t="inlineStr">
        <is>
          <t xml:space="preserve">Lynch</t>
        </is>
      </c>
      <c r="L205" s="45">
        <v>11</v>
      </c>
      <c r="M205" s="45">
        <v>5.5</v>
      </c>
      <c r="N205" s="34" t="inlineStr">
        <is>
          <t xml:space="preserve">Getting</t>
        </is>
      </c>
      <c r="O205" s="45">
        <v>0</v>
      </c>
      <c r="P205" s="45">
        <v>0.514</v>
      </c>
      <c r="Q205" s="45">
        <v>-0.514</v>
      </c>
      <c r="R205" s="34" t="inlineStr">
        <is>
          <t xml:space="preserve">FBC 8/Handicaps (FBC 8) (Final).xlsx [5 Results]</t>
        </is>
      </c>
    </row>
    <row r="206" spans="1:18">
      <c r="A206" s="40">
        <v>5</v>
      </c>
      <c r="B206" s="31" t="inlineStr">
        <is>
          <t xml:space="preserve">FBC5-D15</t>
        </is>
      </c>
      <c r="C206" s="31" t="inlineStr">
        <is>
          <t xml:space="preserve">Pinehurst</t>
        </is>
      </c>
      <c r="D206" s="31" t="inlineStr">
        <is>
          <t xml:space="preserve">Pinehurst</t>
        </is>
      </c>
      <c r="E206" s="40">
        <v>9</v>
      </c>
      <c r="F206" s="42">
        <v>1</v>
      </c>
      <c r="G206" s="31" t="inlineStr">
        <is>
          <t xml:space="preserve">Forster</t>
        </is>
      </c>
      <c r="H206" s="31" t="inlineStr">
        <is>
          <t xml:space="preserve">Norat</t>
        </is>
      </c>
      <c r="I206" s="31" t="inlineStr">
        <is>
          <t xml:space="preserve">Zimmer</t>
        </is>
      </c>
      <c r="J206" s="31" t="inlineStr">
        <is>
          <t xml:space="preserve">Cole</t>
        </is>
      </c>
      <c r="K206" s="31" t="inlineStr">
        <is>
          <t xml:space="preserve">Connors</t>
        </is>
      </c>
      <c r="L206" s="42">
        <v>-4</v>
      </c>
      <c r="M206" s="42">
        <v>-2</v>
      </c>
      <c r="N206" s="31" t="inlineStr">
        <is>
          <t xml:space="preserve">Giving</t>
        </is>
      </c>
      <c r="O206" s="42">
        <v>1</v>
      </c>
      <c r="P206" s="42">
        <v>0.546</v>
      </c>
      <c r="Q206" s="42">
        <v>0.454</v>
      </c>
      <c r="R206" s="31" t="inlineStr">
        <is>
          <t xml:space="preserve">FBC 8/Handicaps (FBC 8) (Final).xlsx [5 Results]</t>
        </is>
      </c>
    </row>
    <row r="207" spans="1:18">
      <c r="A207" s="43">
        <v>5</v>
      </c>
      <c r="B207" s="34" t="inlineStr">
        <is>
          <t xml:space="preserve">FBC5-D15</t>
        </is>
      </c>
      <c r="C207" s="34" t="inlineStr">
        <is>
          <t xml:space="preserve">Pinehurst</t>
        </is>
      </c>
      <c r="D207" s="34" t="inlineStr">
        <is>
          <t xml:space="preserve">Pinehurst</t>
        </is>
      </c>
      <c r="E207" s="43">
        <v>9</v>
      </c>
      <c r="F207" s="45">
        <v>1</v>
      </c>
      <c r="G207" s="34" t="inlineStr">
        <is>
          <t xml:space="preserve">Poirier</t>
        </is>
      </c>
      <c r="H207" s="34" t="inlineStr">
        <is>
          <t xml:space="preserve">Cole</t>
        </is>
      </c>
      <c r="I207" s="34" t="inlineStr">
        <is>
          <t xml:space="preserve">Connors</t>
        </is>
      </c>
      <c r="J207" s="34" t="inlineStr">
        <is>
          <t xml:space="preserve">Norat</t>
        </is>
      </c>
      <c r="K207" s="34" t="inlineStr">
        <is>
          <t xml:space="preserve">Zimmer</t>
        </is>
      </c>
      <c r="L207" s="45">
        <v>4</v>
      </c>
      <c r="M207" s="45">
        <v>2</v>
      </c>
      <c r="N207" s="34" t="inlineStr">
        <is>
          <t xml:space="preserve">Getting</t>
        </is>
      </c>
      <c r="O207" s="45">
        <v>0</v>
      </c>
      <c r="P207" s="45">
        <v>0.454</v>
      </c>
      <c r="Q207" s="45">
        <v>-0.454</v>
      </c>
      <c r="R207" s="34" t="inlineStr">
        <is>
          <t xml:space="preserve">FBC 8/Handicaps (FBC 8) (Final).xlsx [5 Results]</t>
        </is>
      </c>
    </row>
    <row r="208" spans="1:18">
      <c r="A208" s="40">
        <v>5</v>
      </c>
      <c r="B208" s="31" t="inlineStr">
        <is>
          <t xml:space="preserve">FBC5-D16</t>
        </is>
      </c>
      <c r="C208" s="31" t="inlineStr">
        <is>
          <t xml:space="preserve">Scramble-Stableford</t>
        </is>
      </c>
      <c r="D208" s="31" t="inlineStr">
        <is>
          <t xml:space="preserve">Scramble</t>
        </is>
      </c>
      <c r="E208" s="40">
        <v>9</v>
      </c>
      <c r="F208" s="42">
        <v>1</v>
      </c>
      <c r="G208" s="31" t="inlineStr">
        <is>
          <t xml:space="preserve">Poirier</t>
        </is>
      </c>
      <c r="H208" s="31" t="inlineStr">
        <is>
          <t xml:space="preserve">Flanders</t>
        </is>
      </c>
      <c r="I208" s="31" t="inlineStr">
        <is>
          <t xml:space="preserve">Poirier</t>
        </is>
      </c>
      <c r="J208" s="31" t="inlineStr">
        <is>
          <t xml:space="preserve">Grise</t>
        </is>
      </c>
      <c r="K208" s="31" t="inlineStr">
        <is>
          <t xml:space="preserve">Mangold</t>
        </is>
      </c>
      <c r="L208" s="42">
        <v>0</v>
      </c>
      <c r="M208" s="42">
        <v>0</v>
      </c>
      <c r="N208" s="31" t="inlineStr">
        <is>
          <t xml:space="preserve">Even</t>
        </is>
      </c>
      <c r="O208" s="42">
        <v>0</v>
      </c>
      <c r="P208" s="42">
        <v>0.5</v>
      </c>
      <c r="Q208" s="42">
        <v>-0.5</v>
      </c>
      <c r="R208" s="31" t="inlineStr">
        <is>
          <t xml:space="preserve">FBC 8/Handicaps (FBC 8) (Final).xlsx [5 Results]</t>
        </is>
      </c>
    </row>
    <row r="209" spans="1:18">
      <c r="A209" s="43">
        <v>5</v>
      </c>
      <c r="B209" s="34" t="inlineStr">
        <is>
          <t xml:space="preserve">FBC5-D16</t>
        </is>
      </c>
      <c r="C209" s="34" t="inlineStr">
        <is>
          <t xml:space="preserve">Scramble-Stableford</t>
        </is>
      </c>
      <c r="D209" s="34" t="inlineStr">
        <is>
          <t xml:space="preserve">Scramble</t>
        </is>
      </c>
      <c r="E209" s="43">
        <v>9</v>
      </c>
      <c r="F209" s="45">
        <v>1</v>
      </c>
      <c r="G209" s="34" t="inlineStr">
        <is>
          <t xml:space="preserve">Forster</t>
        </is>
      </c>
      <c r="H209" s="34" t="inlineStr">
        <is>
          <t xml:space="preserve">Grise</t>
        </is>
      </c>
      <c r="I209" s="34" t="inlineStr">
        <is>
          <t xml:space="preserve">Mangold</t>
        </is>
      </c>
      <c r="J209" s="34" t="inlineStr">
        <is>
          <t xml:space="preserve">Flanders</t>
        </is>
      </c>
      <c r="K209" s="34" t="inlineStr">
        <is>
          <t xml:space="preserve">Poirier</t>
        </is>
      </c>
      <c r="L209" s="45">
        <v>0</v>
      </c>
      <c r="M209" s="45">
        <v>0</v>
      </c>
      <c r="N209" s="34" t="inlineStr">
        <is>
          <t xml:space="preserve">Even</t>
        </is>
      </c>
      <c r="O209" s="45">
        <v>1</v>
      </c>
      <c r="P209" s="45">
        <v>0.5</v>
      </c>
      <c r="Q209" s="45">
        <v>0.5</v>
      </c>
      <c r="R209" s="34" t="inlineStr">
        <is>
          <t xml:space="preserve">FBC 8/Handicaps (FBC 8) (Final).xlsx [5 Results]</t>
        </is>
      </c>
    </row>
    <row r="210" spans="1:18">
      <c r="A210" s="40">
        <v>5</v>
      </c>
      <c r="B210" s="31" t="inlineStr">
        <is>
          <t xml:space="preserve">FBC5-D17</t>
        </is>
      </c>
      <c r="C210" s="31" t="inlineStr">
        <is>
          <t xml:space="preserve">Scramble-Stableford</t>
        </is>
      </c>
      <c r="D210" s="31" t="inlineStr">
        <is>
          <t xml:space="preserve">Scramble</t>
        </is>
      </c>
      <c r="E210" s="40">
        <v>9</v>
      </c>
      <c r="F210" s="42">
        <v>1</v>
      </c>
      <c r="G210" s="31" t="inlineStr">
        <is>
          <t xml:space="preserve">Forster</t>
        </is>
      </c>
      <c r="H210" s="31" t="inlineStr">
        <is>
          <t xml:space="preserve">Connolly</t>
        </is>
      </c>
      <c r="I210" s="31" t="inlineStr">
        <is>
          <t xml:space="preserve">Forster</t>
        </is>
      </c>
      <c r="J210" s="31" t="inlineStr">
        <is>
          <t xml:space="preserve">Ferrin</t>
        </is>
      </c>
      <c r="K210" s="31" t="inlineStr">
        <is>
          <t xml:space="preserve">Jackson</t>
        </is>
      </c>
      <c r="L210" s="42">
        <v>0</v>
      </c>
      <c r="M210" s="42">
        <v>0</v>
      </c>
      <c r="N210" s="31" t="inlineStr">
        <is>
          <t xml:space="preserve">Even</t>
        </is>
      </c>
      <c r="O210" s="42">
        <v>0.5</v>
      </c>
      <c r="P210" s="42">
        <v>0.5</v>
      </c>
      <c r="Q210" s="42">
        <v>0</v>
      </c>
      <c r="R210" s="31" t="inlineStr">
        <is>
          <t xml:space="preserve">FBC 8/Handicaps (FBC 8) (Final).xlsx [5 Results]</t>
        </is>
      </c>
    </row>
    <row r="211" spans="1:18">
      <c r="A211" s="43">
        <v>5</v>
      </c>
      <c r="B211" s="34" t="inlineStr">
        <is>
          <t xml:space="preserve">FBC5-D17</t>
        </is>
      </c>
      <c r="C211" s="34" t="inlineStr">
        <is>
          <t xml:space="preserve">Scramble-Stableford</t>
        </is>
      </c>
      <c r="D211" s="34" t="inlineStr">
        <is>
          <t xml:space="preserve">Scramble</t>
        </is>
      </c>
      <c r="E211" s="43">
        <v>9</v>
      </c>
      <c r="F211" s="45">
        <v>1</v>
      </c>
      <c r="G211" s="34" t="inlineStr">
        <is>
          <t xml:space="preserve">Poirier</t>
        </is>
      </c>
      <c r="H211" s="34" t="inlineStr">
        <is>
          <t xml:space="preserve">Ferrin</t>
        </is>
      </c>
      <c r="I211" s="34" t="inlineStr">
        <is>
          <t xml:space="preserve">Jackson</t>
        </is>
      </c>
      <c r="J211" s="34" t="inlineStr">
        <is>
          <t xml:space="preserve">Connolly</t>
        </is>
      </c>
      <c r="K211" s="34" t="inlineStr">
        <is>
          <t xml:space="preserve">Forster</t>
        </is>
      </c>
      <c r="L211" s="45">
        <v>0</v>
      </c>
      <c r="M211" s="45">
        <v>0</v>
      </c>
      <c r="N211" s="34" t="inlineStr">
        <is>
          <t xml:space="preserve">Even</t>
        </is>
      </c>
      <c r="O211" s="45">
        <v>0.5</v>
      </c>
      <c r="P211" s="45">
        <v>0.5</v>
      </c>
      <c r="Q211" s="45">
        <v>0</v>
      </c>
      <c r="R211" s="34" t="inlineStr">
        <is>
          <t xml:space="preserve">FBC 8/Handicaps (FBC 8) (Final).xlsx [5 Results]</t>
        </is>
      </c>
    </row>
    <row r="212" spans="1:18">
      <c r="A212" s="40">
        <v>5</v>
      </c>
      <c r="B212" s="31" t="inlineStr">
        <is>
          <t xml:space="preserve">FBC5-D18</t>
        </is>
      </c>
      <c r="C212" s="31" t="inlineStr">
        <is>
          <t xml:space="preserve">Scramble-Stableford</t>
        </is>
      </c>
      <c r="D212" s="31" t="inlineStr">
        <is>
          <t xml:space="preserve">Scramble</t>
        </is>
      </c>
      <c r="E212" s="40">
        <v>9</v>
      </c>
      <c r="F212" s="42">
        <v>1</v>
      </c>
      <c r="G212" s="31" t="inlineStr">
        <is>
          <t xml:space="preserve">Poirier</t>
        </is>
      </c>
      <c r="H212" s="31" t="inlineStr">
        <is>
          <t xml:space="preserve">Gray</t>
        </is>
      </c>
      <c r="I212" s="31" t="inlineStr">
        <is>
          <t xml:space="preserve">Welker</t>
        </is>
      </c>
      <c r="J212" s="31" t="inlineStr">
        <is>
          <t xml:space="preserve">McInerney</t>
        </is>
      </c>
      <c r="K212" s="31" t="inlineStr">
        <is>
          <t xml:space="preserve">Shively</t>
        </is>
      </c>
      <c r="L212" s="42">
        <v>0</v>
      </c>
      <c r="M212" s="42">
        <v>0</v>
      </c>
      <c r="N212" s="31" t="inlineStr">
        <is>
          <t xml:space="preserve">Even</t>
        </is>
      </c>
      <c r="O212" s="42">
        <v>1</v>
      </c>
      <c r="P212" s="42">
        <v>0.5</v>
      </c>
      <c r="Q212" s="42">
        <v>0.5</v>
      </c>
      <c r="R212" s="31" t="inlineStr">
        <is>
          <t xml:space="preserve">FBC 8/Handicaps (FBC 8) (Final).xlsx [5 Results]</t>
        </is>
      </c>
    </row>
    <row r="213" spans="1:18">
      <c r="A213" s="43">
        <v>5</v>
      </c>
      <c r="B213" s="34" t="inlineStr">
        <is>
          <t xml:space="preserve">FBC5-D18</t>
        </is>
      </c>
      <c r="C213" s="34" t="inlineStr">
        <is>
          <t xml:space="preserve">Scramble-Stableford</t>
        </is>
      </c>
      <c r="D213" s="34" t="inlineStr">
        <is>
          <t xml:space="preserve">Scramble</t>
        </is>
      </c>
      <c r="E213" s="43">
        <v>9</v>
      </c>
      <c r="F213" s="45">
        <v>1</v>
      </c>
      <c r="G213" s="34" t="inlineStr">
        <is>
          <t xml:space="preserve">Forster</t>
        </is>
      </c>
      <c r="H213" s="34" t="inlineStr">
        <is>
          <t xml:space="preserve">McInerney</t>
        </is>
      </c>
      <c r="I213" s="34" t="inlineStr">
        <is>
          <t xml:space="preserve">Shively</t>
        </is>
      </c>
      <c r="J213" s="34" t="inlineStr">
        <is>
          <t xml:space="preserve">Gray</t>
        </is>
      </c>
      <c r="K213" s="34" t="inlineStr">
        <is>
          <t xml:space="preserve">Welker</t>
        </is>
      </c>
      <c r="L213" s="45">
        <v>0</v>
      </c>
      <c r="M213" s="45">
        <v>0</v>
      </c>
      <c r="N213" s="34" t="inlineStr">
        <is>
          <t xml:space="preserve">Even</t>
        </is>
      </c>
      <c r="O213" s="45">
        <v>0</v>
      </c>
      <c r="P213" s="45">
        <v>0.5</v>
      </c>
      <c r="Q213" s="45">
        <v>-0.5</v>
      </c>
      <c r="R213" s="34" t="inlineStr">
        <is>
          <t xml:space="preserve">FBC 8/Handicaps (FBC 8) (Final).xlsx [5 Results]</t>
        </is>
      </c>
    </row>
    <row r="214" spans="1:18">
      <c r="A214" s="40">
        <v>5</v>
      </c>
      <c r="B214" s="31" t="inlineStr">
        <is>
          <t xml:space="preserve">FBC5-D19</t>
        </is>
      </c>
      <c r="C214" s="31" t="inlineStr">
        <is>
          <t xml:space="preserve">Scramble-Stableford</t>
        </is>
      </c>
      <c r="D214" s="31" t="inlineStr">
        <is>
          <t xml:space="preserve">Scramble</t>
        </is>
      </c>
      <c r="E214" s="40">
        <v>9</v>
      </c>
      <c r="F214" s="42">
        <v>1</v>
      </c>
      <c r="G214" s="31" t="inlineStr">
        <is>
          <t xml:space="preserve">Forster</t>
        </is>
      </c>
      <c r="H214" s="31" t="inlineStr">
        <is>
          <t xml:space="preserve">Delaney</t>
        </is>
      </c>
      <c r="I214" s="31" t="inlineStr">
        <is>
          <t xml:space="preserve">Lynch</t>
        </is>
      </c>
      <c r="J214" s="31" t="inlineStr">
        <is>
          <t xml:space="preserve">Fogan</t>
        </is>
      </c>
      <c r="K214" s="31" t="inlineStr">
        <is>
          <t xml:space="preserve">Hilts</t>
        </is>
      </c>
      <c r="L214" s="42">
        <v>0</v>
      </c>
      <c r="M214" s="42">
        <v>0</v>
      </c>
      <c r="N214" s="31" t="inlineStr">
        <is>
          <t xml:space="preserve">Even</t>
        </is>
      </c>
      <c r="O214" s="42">
        <v>1</v>
      </c>
      <c r="P214" s="42">
        <v>0.5</v>
      </c>
      <c r="Q214" s="42">
        <v>0.5</v>
      </c>
      <c r="R214" s="31" t="inlineStr">
        <is>
          <t xml:space="preserve">FBC 8/Handicaps (FBC 8) (Final).xlsx [5 Results]</t>
        </is>
      </c>
    </row>
    <row r="215" spans="1:18">
      <c r="A215" s="43">
        <v>5</v>
      </c>
      <c r="B215" s="34" t="inlineStr">
        <is>
          <t xml:space="preserve">FBC5-D19</t>
        </is>
      </c>
      <c r="C215" s="34" t="inlineStr">
        <is>
          <t xml:space="preserve">Scramble-Stableford</t>
        </is>
      </c>
      <c r="D215" s="34" t="inlineStr">
        <is>
          <t xml:space="preserve">Scramble</t>
        </is>
      </c>
      <c r="E215" s="43">
        <v>9</v>
      </c>
      <c r="F215" s="45">
        <v>1</v>
      </c>
      <c r="G215" s="34" t="inlineStr">
        <is>
          <t xml:space="preserve">Poirier</t>
        </is>
      </c>
      <c r="H215" s="34" t="inlineStr">
        <is>
          <t xml:space="preserve">Fogan</t>
        </is>
      </c>
      <c r="I215" s="34" t="inlineStr">
        <is>
          <t xml:space="preserve">Hilts</t>
        </is>
      </c>
      <c r="J215" s="34" t="inlineStr">
        <is>
          <t xml:space="preserve">Delaney</t>
        </is>
      </c>
      <c r="K215" s="34" t="inlineStr">
        <is>
          <t xml:space="preserve">Lynch</t>
        </is>
      </c>
      <c r="L215" s="45">
        <v>0</v>
      </c>
      <c r="M215" s="45">
        <v>0</v>
      </c>
      <c r="N215" s="34" t="inlineStr">
        <is>
          <t xml:space="preserve">Even</t>
        </is>
      </c>
      <c r="O215" s="45">
        <v>0</v>
      </c>
      <c r="P215" s="45">
        <v>0.5</v>
      </c>
      <c r="Q215" s="45">
        <v>-0.5</v>
      </c>
      <c r="R215" s="34" t="inlineStr">
        <is>
          <t xml:space="preserve">FBC 8/Handicaps (FBC 8) (Final).xlsx [5 Results]</t>
        </is>
      </c>
    </row>
    <row r="216" spans="1:18">
      <c r="A216" s="40">
        <v>5</v>
      </c>
      <c r="B216" s="31" t="inlineStr">
        <is>
          <t xml:space="preserve">FBC5-D20</t>
        </is>
      </c>
      <c r="C216" s="31" t="inlineStr">
        <is>
          <t xml:space="preserve">Scramble-Stableford</t>
        </is>
      </c>
      <c r="D216" s="31" t="inlineStr">
        <is>
          <t xml:space="preserve">Scramble</t>
        </is>
      </c>
      <c r="E216" s="40">
        <v>9</v>
      </c>
      <c r="F216" s="42">
        <v>1</v>
      </c>
      <c r="G216" s="31" t="inlineStr">
        <is>
          <t xml:space="preserve">Forster</t>
        </is>
      </c>
      <c r="H216" s="31" t="inlineStr">
        <is>
          <t xml:space="preserve">Norat</t>
        </is>
      </c>
      <c r="I216" s="31" t="inlineStr">
        <is>
          <t xml:space="preserve">Zimmer</t>
        </is>
      </c>
      <c r="J216" s="31" t="inlineStr">
        <is>
          <t xml:space="preserve">Cole</t>
        </is>
      </c>
      <c r="K216" s="31" t="inlineStr">
        <is>
          <t xml:space="preserve">Connors</t>
        </is>
      </c>
      <c r="L216" s="42">
        <v>0</v>
      </c>
      <c r="M216" s="42">
        <v>0</v>
      </c>
      <c r="N216" s="31" t="inlineStr">
        <is>
          <t xml:space="preserve">Even</t>
        </is>
      </c>
      <c r="O216" s="42">
        <v>1</v>
      </c>
      <c r="P216" s="42">
        <v>0.5</v>
      </c>
      <c r="Q216" s="42">
        <v>0.5</v>
      </c>
      <c r="R216" s="31" t="inlineStr">
        <is>
          <t xml:space="preserve">FBC 8/Handicaps (FBC 8) (Final).xlsx [5 Results]</t>
        </is>
      </c>
    </row>
    <row r="217" spans="1:18">
      <c r="A217" s="43">
        <v>5</v>
      </c>
      <c r="B217" s="34" t="inlineStr">
        <is>
          <t xml:space="preserve">FBC5-D20</t>
        </is>
      </c>
      <c r="C217" s="34" t="inlineStr">
        <is>
          <t xml:space="preserve">Scramble-Stableford</t>
        </is>
      </c>
      <c r="D217" s="34" t="inlineStr">
        <is>
          <t xml:space="preserve">Scramble</t>
        </is>
      </c>
      <c r="E217" s="43">
        <v>9</v>
      </c>
      <c r="F217" s="45">
        <v>1</v>
      </c>
      <c r="G217" s="34" t="inlineStr">
        <is>
          <t xml:space="preserve">Poirier</t>
        </is>
      </c>
      <c r="H217" s="34" t="inlineStr">
        <is>
          <t xml:space="preserve">Cole</t>
        </is>
      </c>
      <c r="I217" s="34" t="inlineStr">
        <is>
          <t xml:space="preserve">Connors</t>
        </is>
      </c>
      <c r="J217" s="34" t="inlineStr">
        <is>
          <t xml:space="preserve">Norat</t>
        </is>
      </c>
      <c r="K217" s="34" t="inlineStr">
        <is>
          <t xml:space="preserve">Zimmer</t>
        </is>
      </c>
      <c r="L217" s="45">
        <v>0</v>
      </c>
      <c r="M217" s="45">
        <v>0</v>
      </c>
      <c r="N217" s="34" t="inlineStr">
        <is>
          <t xml:space="preserve">Even</t>
        </is>
      </c>
      <c r="O217" s="45">
        <v>0</v>
      </c>
      <c r="P217" s="45">
        <v>0.5</v>
      </c>
      <c r="Q217" s="45">
        <v>-0.5</v>
      </c>
      <c r="R217" s="34" t="inlineStr">
        <is>
          <t xml:space="preserve">FBC 8/Handicaps (FBC 8) (Final).xlsx [5 Results]</t>
        </is>
      </c>
    </row>
    <row r="218" spans="1:18">
      <c r="A218" s="40">
        <v>5</v>
      </c>
      <c r="B218" s="31" t="inlineStr">
        <is>
          <t xml:space="preserve">FBC5-S-Cole-Forster</t>
        </is>
      </c>
      <c r="C218" s="31" t="inlineStr">
        <is>
          <t xml:space="preserve">Match Play</t>
        </is>
      </c>
      <c r="D218" s="31" t="inlineStr">
        <is>
          <t xml:space="preserve">Singles</t>
        </is>
      </c>
      <c r="E218" s="40">
        <v>18</v>
      </c>
      <c r="F218" s="42">
        <v>2</v>
      </c>
      <c r="G218" s="31" t="inlineStr">
        <is>
          <t xml:space="preserve">Poirier</t>
        </is>
      </c>
      <c r="H218" s="31" t="inlineStr">
        <is>
          <t xml:space="preserve">Cole</t>
        </is>
      </c>
      <c r="I218" s="31"/>
      <c r="J218" s="31" t="inlineStr">
        <is>
          <t xml:space="preserve">Forster</t>
        </is>
      </c>
      <c r="K218" s="31"/>
      <c r="L218" s="42">
        <v>0</v>
      </c>
      <c r="M218" s="42">
        <v>0</v>
      </c>
      <c r="N218" s="31" t="inlineStr">
        <is>
          <t xml:space="preserve">Even</t>
        </is>
      </c>
      <c r="O218" s="42">
        <v>0</v>
      </c>
      <c r="P218" s="42">
        <v>1</v>
      </c>
      <c r="Q218" s="42">
        <v>-1</v>
      </c>
      <c r="R218" s="31" t="inlineStr">
        <is>
          <t xml:space="preserve">FBC 8/Handicaps (FBC 8) (Final).xlsx [5 Results]</t>
        </is>
      </c>
    </row>
    <row r="219" spans="1:18">
      <c r="A219" s="43">
        <v>5</v>
      </c>
      <c r="B219" s="34" t="inlineStr">
        <is>
          <t xml:space="preserve">FBC5-S-Cole-Forster</t>
        </is>
      </c>
      <c r="C219" s="34" t="inlineStr">
        <is>
          <t xml:space="preserve">Match Play</t>
        </is>
      </c>
      <c r="D219" s="34" t="inlineStr">
        <is>
          <t xml:space="preserve">Singles</t>
        </is>
      </c>
      <c r="E219" s="43">
        <v>18</v>
      </c>
      <c r="F219" s="45">
        <v>2</v>
      </c>
      <c r="G219" s="34" t="inlineStr">
        <is>
          <t xml:space="preserve">Forster</t>
        </is>
      </c>
      <c r="H219" s="34" t="inlineStr">
        <is>
          <t xml:space="preserve">Forster</t>
        </is>
      </c>
      <c r="I219" s="34"/>
      <c r="J219" s="34" t="inlineStr">
        <is>
          <t xml:space="preserve">Cole</t>
        </is>
      </c>
      <c r="K219" s="34"/>
      <c r="L219" s="45">
        <v>0</v>
      </c>
      <c r="M219" s="45">
        <v>0</v>
      </c>
      <c r="N219" s="34" t="inlineStr">
        <is>
          <t xml:space="preserve">Even</t>
        </is>
      </c>
      <c r="O219" s="45">
        <v>2</v>
      </c>
      <c r="P219" s="45">
        <v>1</v>
      </c>
      <c r="Q219" s="45">
        <v>1</v>
      </c>
      <c r="R219" s="34" t="inlineStr">
        <is>
          <t xml:space="preserve">FBC 8/Handicaps (FBC 8) (Final).xlsx [5 Results]</t>
        </is>
      </c>
    </row>
    <row r="220" spans="1:18">
      <c r="A220" s="40">
        <v>5</v>
      </c>
      <c r="B220" s="31" t="inlineStr">
        <is>
          <t xml:space="preserve">FBC5-S-Connolly-Welker</t>
        </is>
      </c>
      <c r="C220" s="31" t="inlineStr">
        <is>
          <t xml:space="preserve">Match Play</t>
        </is>
      </c>
      <c r="D220" s="31" t="inlineStr">
        <is>
          <t xml:space="preserve">Singles</t>
        </is>
      </c>
      <c r="E220" s="40">
        <v>18</v>
      </c>
      <c r="F220" s="42">
        <v>2</v>
      </c>
      <c r="G220" s="31" t="inlineStr">
        <is>
          <t xml:space="preserve">Poirier</t>
        </is>
      </c>
      <c r="H220" s="31" t="inlineStr">
        <is>
          <t xml:space="preserve">Welker</t>
        </is>
      </c>
      <c r="I220" s="31"/>
      <c r="J220" s="31" t="inlineStr">
        <is>
          <t xml:space="preserve">Connolly</t>
        </is>
      </c>
      <c r="K220" s="31"/>
      <c r="L220" s="42">
        <v>3</v>
      </c>
      <c r="M220" s="42">
        <v>3</v>
      </c>
      <c r="N220" s="31" t="inlineStr">
        <is>
          <t xml:space="preserve">Getting</t>
        </is>
      </c>
      <c r="O220" s="42">
        <v>0</v>
      </c>
      <c r="P220" s="42">
        <v>0.897</v>
      </c>
      <c r="Q220" s="42">
        <v>-0.897</v>
      </c>
      <c r="R220" s="31" t="inlineStr">
        <is>
          <t xml:space="preserve">FBC 8/Handicaps (FBC 8) (Final).xlsx [5 Results]</t>
        </is>
      </c>
    </row>
    <row r="221" spans="1:18">
      <c r="A221" s="43">
        <v>5</v>
      </c>
      <c r="B221" s="34" t="inlineStr">
        <is>
          <t xml:space="preserve">FBC5-S-Connolly-Welker</t>
        </is>
      </c>
      <c r="C221" s="34" t="inlineStr">
        <is>
          <t xml:space="preserve">Match Play</t>
        </is>
      </c>
      <c r="D221" s="34" t="inlineStr">
        <is>
          <t xml:space="preserve">Singles</t>
        </is>
      </c>
      <c r="E221" s="43">
        <v>18</v>
      </c>
      <c r="F221" s="45">
        <v>2</v>
      </c>
      <c r="G221" s="34" t="inlineStr">
        <is>
          <t xml:space="preserve">Forster</t>
        </is>
      </c>
      <c r="H221" s="34" t="inlineStr">
        <is>
          <t xml:space="preserve">Connolly</t>
        </is>
      </c>
      <c r="I221" s="34"/>
      <c r="J221" s="34" t="inlineStr">
        <is>
          <t xml:space="preserve">Welker</t>
        </is>
      </c>
      <c r="K221" s="34"/>
      <c r="L221" s="45">
        <v>-3</v>
      </c>
      <c r="M221" s="45">
        <v>-3</v>
      </c>
      <c r="N221" s="34" t="inlineStr">
        <is>
          <t xml:space="preserve">Giving</t>
        </is>
      </c>
      <c r="O221" s="45">
        <v>2</v>
      </c>
      <c r="P221" s="45">
        <v>1.103</v>
      </c>
      <c r="Q221" s="45">
        <v>0.897</v>
      </c>
      <c r="R221" s="34" t="inlineStr">
        <is>
          <t xml:space="preserve">FBC 8/Handicaps (FBC 8) (Final).xlsx [5 Results]</t>
        </is>
      </c>
    </row>
    <row r="222" spans="1:18">
      <c r="A222" s="40">
        <v>5</v>
      </c>
      <c r="B222" s="31" t="inlineStr">
        <is>
          <t xml:space="preserve">FBC5-S-Connors-Mangold</t>
        </is>
      </c>
      <c r="C222" s="31" t="inlineStr">
        <is>
          <t xml:space="preserve">Match Play</t>
        </is>
      </c>
      <c r="D222" s="31" t="inlineStr">
        <is>
          <t xml:space="preserve">Singles</t>
        </is>
      </c>
      <c r="E222" s="40">
        <v>18</v>
      </c>
      <c r="F222" s="42">
        <v>2</v>
      </c>
      <c r="G222" s="31" t="inlineStr">
        <is>
          <t xml:space="preserve">Poirier</t>
        </is>
      </c>
      <c r="H222" s="31" t="inlineStr">
        <is>
          <t xml:space="preserve">Connors</t>
        </is>
      </c>
      <c r="I222" s="31"/>
      <c r="J222" s="31" t="inlineStr">
        <is>
          <t xml:space="preserve">Mangold</t>
        </is>
      </c>
      <c r="K222" s="31"/>
      <c r="L222" s="42">
        <v>2</v>
      </c>
      <c r="M222" s="42">
        <v>2</v>
      </c>
      <c r="N222" s="31" t="inlineStr">
        <is>
          <t xml:space="preserve">Getting</t>
        </is>
      </c>
      <c r="O222" s="42">
        <v>0</v>
      </c>
      <c r="P222" s="42">
        <v>0.878</v>
      </c>
      <c r="Q222" s="42">
        <v>-0.878</v>
      </c>
      <c r="R222" s="31" t="inlineStr">
        <is>
          <t xml:space="preserve">FBC 8/Handicaps (FBC 8) (Final).xlsx [5 Results]</t>
        </is>
      </c>
    </row>
    <row r="223" spans="1:18">
      <c r="A223" s="43">
        <v>5</v>
      </c>
      <c r="B223" s="34" t="inlineStr">
        <is>
          <t xml:space="preserve">FBC5-S-Connors-Mangold</t>
        </is>
      </c>
      <c r="C223" s="34" t="inlineStr">
        <is>
          <t xml:space="preserve">Match Play</t>
        </is>
      </c>
      <c r="D223" s="34" t="inlineStr">
        <is>
          <t xml:space="preserve">Singles</t>
        </is>
      </c>
      <c r="E223" s="43">
        <v>18</v>
      </c>
      <c r="F223" s="45">
        <v>2</v>
      </c>
      <c r="G223" s="34" t="inlineStr">
        <is>
          <t xml:space="preserve">Forster</t>
        </is>
      </c>
      <c r="H223" s="34" t="inlineStr">
        <is>
          <t xml:space="preserve">Mangold</t>
        </is>
      </c>
      <c r="I223" s="34"/>
      <c r="J223" s="34" t="inlineStr">
        <is>
          <t xml:space="preserve">Connors</t>
        </is>
      </c>
      <c r="K223" s="34"/>
      <c r="L223" s="45">
        <v>-2</v>
      </c>
      <c r="M223" s="45">
        <v>-2</v>
      </c>
      <c r="N223" s="34" t="inlineStr">
        <is>
          <t xml:space="preserve">Giving</t>
        </is>
      </c>
      <c r="O223" s="45">
        <v>2</v>
      </c>
      <c r="P223" s="45">
        <v>1.122</v>
      </c>
      <c r="Q223" s="45">
        <v>0.878</v>
      </c>
      <c r="R223" s="34" t="inlineStr">
        <is>
          <t xml:space="preserve">FBC 8/Handicaps (FBC 8) (Final).xlsx [5 Results]</t>
        </is>
      </c>
    </row>
    <row r="224" spans="1:18">
      <c r="A224" s="40">
        <v>5</v>
      </c>
      <c r="B224" s="31" t="inlineStr">
        <is>
          <t xml:space="preserve">FBC5-S-Delaney-Hilts</t>
        </is>
      </c>
      <c r="C224" s="31" t="inlineStr">
        <is>
          <t xml:space="preserve">Match Play</t>
        </is>
      </c>
      <c r="D224" s="31" t="inlineStr">
        <is>
          <t xml:space="preserve">Singles</t>
        </is>
      </c>
      <c r="E224" s="40">
        <v>18</v>
      </c>
      <c r="F224" s="42">
        <v>2</v>
      </c>
      <c r="G224" s="31" t="inlineStr">
        <is>
          <t xml:space="preserve">Poirier</t>
        </is>
      </c>
      <c r="H224" s="31" t="inlineStr">
        <is>
          <t xml:space="preserve">Hilts</t>
        </is>
      </c>
      <c r="I224" s="31"/>
      <c r="J224" s="31" t="inlineStr">
        <is>
          <t xml:space="preserve">Delaney</t>
        </is>
      </c>
      <c r="K224" s="31"/>
      <c r="L224" s="42">
        <v>6</v>
      </c>
      <c r="M224" s="42">
        <v>6</v>
      </c>
      <c r="N224" s="31" t="inlineStr">
        <is>
          <t xml:space="preserve">Getting</t>
        </is>
      </c>
      <c r="O224" s="42">
        <v>2</v>
      </c>
      <c r="P224" s="42">
        <v>0.956</v>
      </c>
      <c r="Q224" s="42">
        <v>1.044</v>
      </c>
      <c r="R224" s="31" t="inlineStr">
        <is>
          <t xml:space="preserve">FBC 8/Handicaps (FBC 8) (Final).xlsx [5 Results]</t>
        </is>
      </c>
    </row>
    <row r="225" spans="1:18">
      <c r="A225" s="43">
        <v>5</v>
      </c>
      <c r="B225" s="34" t="inlineStr">
        <is>
          <t xml:space="preserve">FBC5-S-Delaney-Hilts</t>
        </is>
      </c>
      <c r="C225" s="34" t="inlineStr">
        <is>
          <t xml:space="preserve">Match Play</t>
        </is>
      </c>
      <c r="D225" s="34" t="inlineStr">
        <is>
          <t xml:space="preserve">Singles</t>
        </is>
      </c>
      <c r="E225" s="43">
        <v>18</v>
      </c>
      <c r="F225" s="45">
        <v>2</v>
      </c>
      <c r="G225" s="34" t="inlineStr">
        <is>
          <t xml:space="preserve">Forster</t>
        </is>
      </c>
      <c r="H225" s="34" t="inlineStr">
        <is>
          <t xml:space="preserve">Delaney</t>
        </is>
      </c>
      <c r="I225" s="34"/>
      <c r="J225" s="34" t="inlineStr">
        <is>
          <t xml:space="preserve">Hilts</t>
        </is>
      </c>
      <c r="K225" s="34"/>
      <c r="L225" s="45">
        <v>-6</v>
      </c>
      <c r="M225" s="45">
        <v>-6</v>
      </c>
      <c r="N225" s="34" t="inlineStr">
        <is>
          <t xml:space="preserve">Giving</t>
        </is>
      </c>
      <c r="O225" s="45">
        <v>0</v>
      </c>
      <c r="P225" s="45">
        <v>1.044</v>
      </c>
      <c r="Q225" s="45">
        <v>-1.044</v>
      </c>
      <c r="R225" s="34" t="inlineStr">
        <is>
          <t xml:space="preserve">FBC 8/Handicaps (FBC 8) (Final).xlsx [5 Results]</t>
        </is>
      </c>
    </row>
    <row r="226" spans="1:18">
      <c r="A226" s="40">
        <v>5</v>
      </c>
      <c r="B226" s="31" t="inlineStr">
        <is>
          <t xml:space="preserve">FBC5-S-Ferrin-Shively</t>
        </is>
      </c>
      <c r="C226" s="31" t="inlineStr">
        <is>
          <t xml:space="preserve">Match Play</t>
        </is>
      </c>
      <c r="D226" s="31" t="inlineStr">
        <is>
          <t xml:space="preserve">Singles</t>
        </is>
      </c>
      <c r="E226" s="40">
        <v>18</v>
      </c>
      <c r="F226" s="42">
        <v>2</v>
      </c>
      <c r="G226" s="31" t="inlineStr">
        <is>
          <t xml:space="preserve">Poirier</t>
        </is>
      </c>
      <c r="H226" s="31" t="inlineStr">
        <is>
          <t xml:space="preserve">Ferrin</t>
        </is>
      </c>
      <c r="I226" s="31"/>
      <c r="J226" s="31" t="inlineStr">
        <is>
          <t xml:space="preserve">Shively</t>
        </is>
      </c>
      <c r="K226" s="31"/>
      <c r="L226" s="42">
        <v>-2</v>
      </c>
      <c r="M226" s="42">
        <v>-2</v>
      </c>
      <c r="N226" s="31" t="inlineStr">
        <is>
          <t xml:space="preserve">Giving</t>
        </is>
      </c>
      <c r="O226" s="42">
        <v>2</v>
      </c>
      <c r="P226" s="42">
        <v>1.122</v>
      </c>
      <c r="Q226" s="42">
        <v>0.878</v>
      </c>
      <c r="R226" s="31" t="inlineStr">
        <is>
          <t xml:space="preserve">FBC 8/Handicaps (FBC 8) (Final).xlsx [5 Results]</t>
        </is>
      </c>
    </row>
    <row r="227" spans="1:18">
      <c r="A227" s="43">
        <v>5</v>
      </c>
      <c r="B227" s="34" t="inlineStr">
        <is>
          <t xml:space="preserve">FBC5-S-Ferrin-Shively</t>
        </is>
      </c>
      <c r="C227" s="34" t="inlineStr">
        <is>
          <t xml:space="preserve">Match Play</t>
        </is>
      </c>
      <c r="D227" s="34" t="inlineStr">
        <is>
          <t xml:space="preserve">Singles</t>
        </is>
      </c>
      <c r="E227" s="43">
        <v>18</v>
      </c>
      <c r="F227" s="45">
        <v>2</v>
      </c>
      <c r="G227" s="34" t="inlineStr">
        <is>
          <t xml:space="preserve">Forster</t>
        </is>
      </c>
      <c r="H227" s="34" t="inlineStr">
        <is>
          <t xml:space="preserve">Shively</t>
        </is>
      </c>
      <c r="I227" s="34"/>
      <c r="J227" s="34" t="inlineStr">
        <is>
          <t xml:space="preserve">Ferrin</t>
        </is>
      </c>
      <c r="K227" s="34"/>
      <c r="L227" s="45">
        <v>2</v>
      </c>
      <c r="M227" s="45">
        <v>2</v>
      </c>
      <c r="N227" s="34" t="inlineStr">
        <is>
          <t xml:space="preserve">Getting</t>
        </is>
      </c>
      <c r="O227" s="45">
        <v>0</v>
      </c>
      <c r="P227" s="45">
        <v>0.878</v>
      </c>
      <c r="Q227" s="45">
        <v>-0.878</v>
      </c>
      <c r="R227" s="34" t="inlineStr">
        <is>
          <t xml:space="preserve">FBC 8/Handicaps (FBC 8) (Final).xlsx [5 Results]</t>
        </is>
      </c>
    </row>
    <row r="228" spans="1:18">
      <c r="A228" s="40">
        <v>5</v>
      </c>
      <c r="B228" s="31" t="inlineStr">
        <is>
          <t xml:space="preserve">FBC5-S-Flanders-McInerney</t>
        </is>
      </c>
      <c r="C228" s="31" t="inlineStr">
        <is>
          <t xml:space="preserve">Match Play</t>
        </is>
      </c>
      <c r="D228" s="31" t="inlineStr">
        <is>
          <t xml:space="preserve">Singles</t>
        </is>
      </c>
      <c r="E228" s="40">
        <v>18</v>
      </c>
      <c r="F228" s="42">
        <v>2</v>
      </c>
      <c r="G228" s="31" t="inlineStr">
        <is>
          <t xml:space="preserve">Poirier</t>
        </is>
      </c>
      <c r="H228" s="31" t="inlineStr">
        <is>
          <t xml:space="preserve">Flanders</t>
        </is>
      </c>
      <c r="I228" s="31"/>
      <c r="J228" s="31" t="inlineStr">
        <is>
          <t xml:space="preserve">McInerney</t>
        </is>
      </c>
      <c r="K228" s="31"/>
      <c r="L228" s="42">
        <v>-3</v>
      </c>
      <c r="M228" s="42">
        <v>-3</v>
      </c>
      <c r="N228" s="31" t="inlineStr">
        <is>
          <t xml:space="preserve">Giving</t>
        </is>
      </c>
      <c r="O228" s="42">
        <v>0</v>
      </c>
      <c r="P228" s="42">
        <v>1.103</v>
      </c>
      <c r="Q228" s="42">
        <v>-1.103</v>
      </c>
      <c r="R228" s="31" t="inlineStr">
        <is>
          <t xml:space="preserve">FBC 8/Handicaps (FBC 8) (Final).xlsx [5 Results]</t>
        </is>
      </c>
    </row>
    <row r="229" spans="1:18">
      <c r="A229" s="43">
        <v>5</v>
      </c>
      <c r="B229" s="34" t="inlineStr">
        <is>
          <t xml:space="preserve">FBC5-S-Flanders-McInerney</t>
        </is>
      </c>
      <c r="C229" s="34" t="inlineStr">
        <is>
          <t xml:space="preserve">Match Play</t>
        </is>
      </c>
      <c r="D229" s="34" t="inlineStr">
        <is>
          <t xml:space="preserve">Singles</t>
        </is>
      </c>
      <c r="E229" s="43">
        <v>18</v>
      </c>
      <c r="F229" s="45">
        <v>2</v>
      </c>
      <c r="G229" s="34" t="inlineStr">
        <is>
          <t xml:space="preserve">Forster</t>
        </is>
      </c>
      <c r="H229" s="34" t="inlineStr">
        <is>
          <t xml:space="preserve">McInerney</t>
        </is>
      </c>
      <c r="I229" s="34"/>
      <c r="J229" s="34" t="inlineStr">
        <is>
          <t xml:space="preserve">Flanders</t>
        </is>
      </c>
      <c r="K229" s="34"/>
      <c r="L229" s="45">
        <v>3</v>
      </c>
      <c r="M229" s="45">
        <v>3</v>
      </c>
      <c r="N229" s="34" t="inlineStr">
        <is>
          <t xml:space="preserve">Getting</t>
        </is>
      </c>
      <c r="O229" s="45">
        <v>2</v>
      </c>
      <c r="P229" s="45">
        <v>0.897</v>
      </c>
      <c r="Q229" s="45">
        <v>1.103</v>
      </c>
      <c r="R229" s="34" t="inlineStr">
        <is>
          <t xml:space="preserve">FBC 8/Handicaps (FBC 8) (Final).xlsx [5 Results]</t>
        </is>
      </c>
    </row>
    <row r="230" spans="1:18">
      <c r="A230" s="40">
        <v>5</v>
      </c>
      <c r="B230" s="31" t="inlineStr">
        <is>
          <t xml:space="preserve">FBC5-S-Fogan-Norat</t>
        </is>
      </c>
      <c r="C230" s="31" t="inlineStr">
        <is>
          <t xml:space="preserve">Match Play</t>
        </is>
      </c>
      <c r="D230" s="31" t="inlineStr">
        <is>
          <t xml:space="preserve">Singles</t>
        </is>
      </c>
      <c r="E230" s="40">
        <v>18</v>
      </c>
      <c r="F230" s="42">
        <v>2</v>
      </c>
      <c r="G230" s="31" t="inlineStr">
        <is>
          <t xml:space="preserve">Poirier</t>
        </is>
      </c>
      <c r="H230" s="31" t="inlineStr">
        <is>
          <t xml:space="preserve">Fogan</t>
        </is>
      </c>
      <c r="I230" s="31"/>
      <c r="J230" s="31" t="inlineStr">
        <is>
          <t xml:space="preserve">Norat</t>
        </is>
      </c>
      <c r="K230" s="31"/>
      <c r="L230" s="42">
        <v>9</v>
      </c>
      <c r="M230" s="42">
        <v>9</v>
      </c>
      <c r="N230" s="31" t="inlineStr">
        <is>
          <t xml:space="preserve">Getting</t>
        </is>
      </c>
      <c r="O230" s="42">
        <v>0</v>
      </c>
      <c r="P230" s="42">
        <v>1.014</v>
      </c>
      <c r="Q230" s="42">
        <v>-1.014</v>
      </c>
      <c r="R230" s="31" t="inlineStr">
        <is>
          <t xml:space="preserve">FBC 8/Handicaps (FBC 8) (Final).xlsx [5 Results]</t>
        </is>
      </c>
    </row>
    <row r="231" spans="1:18">
      <c r="A231" s="43">
        <v>5</v>
      </c>
      <c r="B231" s="34" t="inlineStr">
        <is>
          <t xml:space="preserve">FBC5-S-Fogan-Norat</t>
        </is>
      </c>
      <c r="C231" s="34" t="inlineStr">
        <is>
          <t xml:space="preserve">Match Play</t>
        </is>
      </c>
      <c r="D231" s="34" t="inlineStr">
        <is>
          <t xml:space="preserve">Singles</t>
        </is>
      </c>
      <c r="E231" s="43">
        <v>18</v>
      </c>
      <c r="F231" s="45">
        <v>2</v>
      </c>
      <c r="G231" s="34" t="inlineStr">
        <is>
          <t xml:space="preserve">Forster</t>
        </is>
      </c>
      <c r="H231" s="34" t="inlineStr">
        <is>
          <t xml:space="preserve">Norat</t>
        </is>
      </c>
      <c r="I231" s="34"/>
      <c r="J231" s="34" t="inlineStr">
        <is>
          <t xml:space="preserve">Fogan</t>
        </is>
      </c>
      <c r="K231" s="34"/>
      <c r="L231" s="45">
        <v>-9</v>
      </c>
      <c r="M231" s="45">
        <v>-9</v>
      </c>
      <c r="N231" s="34" t="inlineStr">
        <is>
          <t xml:space="preserve">Giving</t>
        </is>
      </c>
      <c r="O231" s="45">
        <v>2</v>
      </c>
      <c r="P231" s="45">
        <v>0.986</v>
      </c>
      <c r="Q231" s="45">
        <v>1.014</v>
      </c>
      <c r="R231" s="34" t="inlineStr">
        <is>
          <t xml:space="preserve">FBC 8/Handicaps (FBC 8) (Final).xlsx [5 Results]</t>
        </is>
      </c>
    </row>
    <row r="232" spans="1:18">
      <c r="A232" s="40">
        <v>5</v>
      </c>
      <c r="B232" s="31" t="inlineStr">
        <is>
          <t xml:space="preserve">FBC5-S-Gray-Zimmer</t>
        </is>
      </c>
      <c r="C232" s="31" t="inlineStr">
        <is>
          <t xml:space="preserve">Match Play</t>
        </is>
      </c>
      <c r="D232" s="31" t="inlineStr">
        <is>
          <t xml:space="preserve">Singles</t>
        </is>
      </c>
      <c r="E232" s="40">
        <v>18</v>
      </c>
      <c r="F232" s="42">
        <v>2</v>
      </c>
      <c r="G232" s="31" t="inlineStr">
        <is>
          <t xml:space="preserve">Poirier</t>
        </is>
      </c>
      <c r="H232" s="31" t="inlineStr">
        <is>
          <t xml:space="preserve">Gray</t>
        </is>
      </c>
      <c r="I232" s="31"/>
      <c r="J232" s="31" t="inlineStr">
        <is>
          <t xml:space="preserve">Zimmer</t>
        </is>
      </c>
      <c r="K232" s="31"/>
      <c r="L232" s="42">
        <v>-7</v>
      </c>
      <c r="M232" s="42">
        <v>-7</v>
      </c>
      <c r="N232" s="31" t="inlineStr">
        <is>
          <t xml:space="preserve">Giving</t>
        </is>
      </c>
      <c r="O232" s="42">
        <v>1</v>
      </c>
      <c r="P232" s="42">
        <v>1.025</v>
      </c>
      <c r="Q232" s="42">
        <v>-0.025</v>
      </c>
      <c r="R232" s="31" t="inlineStr">
        <is>
          <t xml:space="preserve">FBC 8/Handicaps (FBC 8) (Final).xlsx [5 Results]</t>
        </is>
      </c>
    </row>
    <row r="233" spans="1:18">
      <c r="A233" s="43">
        <v>5</v>
      </c>
      <c r="B233" s="34" t="inlineStr">
        <is>
          <t xml:space="preserve">FBC5-S-Gray-Zimmer</t>
        </is>
      </c>
      <c r="C233" s="34" t="inlineStr">
        <is>
          <t xml:space="preserve">Match Play</t>
        </is>
      </c>
      <c r="D233" s="34" t="inlineStr">
        <is>
          <t xml:space="preserve">Singles</t>
        </is>
      </c>
      <c r="E233" s="43">
        <v>18</v>
      </c>
      <c r="F233" s="45">
        <v>2</v>
      </c>
      <c r="G233" s="34" t="inlineStr">
        <is>
          <t xml:space="preserve">Forster</t>
        </is>
      </c>
      <c r="H233" s="34" t="inlineStr">
        <is>
          <t xml:space="preserve">Zimmer</t>
        </is>
      </c>
      <c r="I233" s="34"/>
      <c r="J233" s="34" t="inlineStr">
        <is>
          <t xml:space="preserve">Gray</t>
        </is>
      </c>
      <c r="K233" s="34"/>
      <c r="L233" s="45">
        <v>7</v>
      </c>
      <c r="M233" s="45">
        <v>7</v>
      </c>
      <c r="N233" s="34" t="inlineStr">
        <is>
          <t xml:space="preserve">Getting</t>
        </is>
      </c>
      <c r="O233" s="45">
        <v>1</v>
      </c>
      <c r="P233" s="45">
        <v>0.975</v>
      </c>
      <c r="Q233" s="45">
        <v>0.025</v>
      </c>
      <c r="R233" s="34" t="inlineStr">
        <is>
          <t xml:space="preserve">FBC 8/Handicaps (FBC 8) (Final).xlsx [5 Results]</t>
        </is>
      </c>
    </row>
    <row r="234" spans="1:18">
      <c r="A234" s="40">
        <v>5</v>
      </c>
      <c r="B234" s="31" t="inlineStr">
        <is>
          <t xml:space="preserve">FBC5-S-Grise-Poirier</t>
        </is>
      </c>
      <c r="C234" s="31" t="inlineStr">
        <is>
          <t xml:space="preserve">Match Play</t>
        </is>
      </c>
      <c r="D234" s="31" t="inlineStr">
        <is>
          <t xml:space="preserve">Singles</t>
        </is>
      </c>
      <c r="E234" s="40">
        <v>18</v>
      </c>
      <c r="F234" s="42">
        <v>2</v>
      </c>
      <c r="G234" s="31" t="inlineStr">
        <is>
          <t xml:space="preserve">Poirier</t>
        </is>
      </c>
      <c r="H234" s="31" t="inlineStr">
        <is>
          <t xml:space="preserve">Poirier</t>
        </is>
      </c>
      <c r="I234" s="31"/>
      <c r="J234" s="31" t="inlineStr">
        <is>
          <t xml:space="preserve">Grise</t>
        </is>
      </c>
      <c r="K234" s="31"/>
      <c r="L234" s="42">
        <v>-2</v>
      </c>
      <c r="M234" s="42">
        <v>-2</v>
      </c>
      <c r="N234" s="31" t="inlineStr">
        <is>
          <t xml:space="preserve">Giving</t>
        </is>
      </c>
      <c r="O234" s="42">
        <v>2</v>
      </c>
      <c r="P234" s="42">
        <v>1.122</v>
      </c>
      <c r="Q234" s="42">
        <v>0.878</v>
      </c>
      <c r="R234" s="31" t="inlineStr">
        <is>
          <t xml:space="preserve">FBC 8/Handicaps (FBC 8) (Final).xlsx [5 Results]</t>
        </is>
      </c>
    </row>
    <row r="235" spans="1:18">
      <c r="A235" s="43">
        <v>5</v>
      </c>
      <c r="B235" s="34" t="inlineStr">
        <is>
          <t xml:space="preserve">FBC5-S-Grise-Poirier</t>
        </is>
      </c>
      <c r="C235" s="34" t="inlineStr">
        <is>
          <t xml:space="preserve">Match Play</t>
        </is>
      </c>
      <c r="D235" s="34" t="inlineStr">
        <is>
          <t xml:space="preserve">Singles</t>
        </is>
      </c>
      <c r="E235" s="43">
        <v>18</v>
      </c>
      <c r="F235" s="45">
        <v>2</v>
      </c>
      <c r="G235" s="34" t="inlineStr">
        <is>
          <t xml:space="preserve">Forster</t>
        </is>
      </c>
      <c r="H235" s="34" t="inlineStr">
        <is>
          <t xml:space="preserve">Grise</t>
        </is>
      </c>
      <c r="I235" s="34"/>
      <c r="J235" s="34" t="inlineStr">
        <is>
          <t xml:space="preserve">Poirier</t>
        </is>
      </c>
      <c r="K235" s="34"/>
      <c r="L235" s="45">
        <v>2</v>
      </c>
      <c r="M235" s="45">
        <v>2</v>
      </c>
      <c r="N235" s="34" t="inlineStr">
        <is>
          <t xml:space="preserve">Getting</t>
        </is>
      </c>
      <c r="O235" s="45">
        <v>0</v>
      </c>
      <c r="P235" s="45">
        <v>0.878</v>
      </c>
      <c r="Q235" s="45">
        <v>-0.878</v>
      </c>
      <c r="R235" s="34" t="inlineStr">
        <is>
          <t xml:space="preserve">FBC 8/Handicaps (FBC 8) (Final).xlsx [5 Results]</t>
        </is>
      </c>
    </row>
    <row r="236" spans="1:18">
      <c r="A236" s="40">
        <v>5</v>
      </c>
      <c r="B236" s="31" t="inlineStr">
        <is>
          <t xml:space="preserve">FBC5-S-Jackson-Lynch</t>
        </is>
      </c>
      <c r="C236" s="31" t="inlineStr">
        <is>
          <t xml:space="preserve">Match Play</t>
        </is>
      </c>
      <c r="D236" s="31" t="inlineStr">
        <is>
          <t xml:space="preserve">Singles</t>
        </is>
      </c>
      <c r="E236" s="40">
        <v>18</v>
      </c>
      <c r="F236" s="42">
        <v>2</v>
      </c>
      <c r="G236" s="31" t="inlineStr">
        <is>
          <t xml:space="preserve">Poirier</t>
        </is>
      </c>
      <c r="H236" s="31" t="inlineStr">
        <is>
          <t xml:space="preserve">Jackson</t>
        </is>
      </c>
      <c r="I236" s="31"/>
      <c r="J236" s="31" t="inlineStr">
        <is>
          <t xml:space="preserve">Lynch</t>
        </is>
      </c>
      <c r="K236" s="31"/>
      <c r="L236" s="42">
        <v>2</v>
      </c>
      <c r="M236" s="42">
        <v>2</v>
      </c>
      <c r="N236" s="31" t="inlineStr">
        <is>
          <t xml:space="preserve">Getting</t>
        </is>
      </c>
      <c r="O236" s="42">
        <v>2</v>
      </c>
      <c r="P236" s="42">
        <v>0.878</v>
      </c>
      <c r="Q236" s="42">
        <v>1.122</v>
      </c>
      <c r="R236" s="31" t="inlineStr">
        <is>
          <t xml:space="preserve">FBC 8/Handicaps (FBC 8) (Final).xlsx [5 Results]</t>
        </is>
      </c>
    </row>
    <row r="237" spans="1:18">
      <c r="A237" s="43">
        <v>5</v>
      </c>
      <c r="B237" s="34" t="inlineStr">
        <is>
          <t xml:space="preserve">FBC5-S-Jackson-Lynch</t>
        </is>
      </c>
      <c r="C237" s="34" t="inlineStr">
        <is>
          <t xml:space="preserve">Match Play</t>
        </is>
      </c>
      <c r="D237" s="34" t="inlineStr">
        <is>
          <t xml:space="preserve">Singles</t>
        </is>
      </c>
      <c r="E237" s="43">
        <v>18</v>
      </c>
      <c r="F237" s="45">
        <v>2</v>
      </c>
      <c r="G237" s="34" t="inlineStr">
        <is>
          <t xml:space="preserve">Forster</t>
        </is>
      </c>
      <c r="H237" s="34" t="inlineStr">
        <is>
          <t xml:space="preserve">Lynch</t>
        </is>
      </c>
      <c r="I237" s="34"/>
      <c r="J237" s="34" t="inlineStr">
        <is>
          <t xml:space="preserve">Jackson</t>
        </is>
      </c>
      <c r="K237" s="34"/>
      <c r="L237" s="45">
        <v>-2</v>
      </c>
      <c r="M237" s="45">
        <v>-2</v>
      </c>
      <c r="N237" s="34" t="inlineStr">
        <is>
          <t xml:space="preserve">Giving</t>
        </is>
      </c>
      <c r="O237" s="45">
        <v>0</v>
      </c>
      <c r="P237" s="45">
        <v>1.122</v>
      </c>
      <c r="Q237" s="45">
        <v>-1.122</v>
      </c>
      <c r="R237" s="34" t="inlineStr">
        <is>
          <t xml:space="preserve">FBC 8/Handicaps (FBC 8) (Final).xlsx [5 Results]</t>
        </is>
      </c>
    </row>
    <row r="238" spans="1:18">
      <c r="A238" s="40">
        <v>6</v>
      </c>
      <c r="B238" s="31" t="inlineStr">
        <is>
          <t xml:space="preserve">FBC6-D1</t>
        </is>
      </c>
      <c r="C238" s="31" t="inlineStr">
        <is>
          <t xml:space="preserve">Best Ball</t>
        </is>
      </c>
      <c r="D238" s="31" t="inlineStr">
        <is>
          <t xml:space="preserve">Four-ball</t>
        </is>
      </c>
      <c r="E238" s="40">
        <v>9</v>
      </c>
      <c r="F238" s="42">
        <v>1</v>
      </c>
      <c r="G238" s="31" t="inlineStr">
        <is>
          <t xml:space="preserve">Fogan</t>
        </is>
      </c>
      <c r="H238" s="31" t="inlineStr">
        <is>
          <t xml:space="preserve">Gray</t>
        </is>
      </c>
      <c r="I238" s="31" t="inlineStr">
        <is>
          <t xml:space="preserve">Hilts</t>
        </is>
      </c>
      <c r="J238" s="31" t="inlineStr">
        <is>
          <t xml:space="preserve">Flanders</t>
        </is>
      </c>
      <c r="K238" s="31" t="inlineStr">
        <is>
          <t xml:space="preserve">Forster</t>
        </is>
      </c>
      <c r="L238" s="42">
        <v>3.5</v>
      </c>
      <c r="M238" s="42">
        <v>1.75</v>
      </c>
      <c r="N238" s="31" t="inlineStr">
        <is>
          <t xml:space="preserve">Getting</t>
        </is>
      </c>
      <c r="O238" s="42">
        <v>1</v>
      </c>
      <c r="P238" s="42">
        <v>0.431</v>
      </c>
      <c r="Q238" s="42">
        <v>0.569</v>
      </c>
      <c r="R238" s="31" t="inlineStr">
        <is>
          <t xml:space="preserve">FBC 8/Handicaps (FBC 8) (Final).xlsx [6 Results]</t>
        </is>
      </c>
    </row>
    <row r="239" spans="1:18">
      <c r="A239" s="43">
        <v>6</v>
      </c>
      <c r="B239" s="34" t="inlineStr">
        <is>
          <t xml:space="preserve">FBC6-D1</t>
        </is>
      </c>
      <c r="C239" s="34" t="inlineStr">
        <is>
          <t xml:space="preserve">Best Ball</t>
        </is>
      </c>
      <c r="D239" s="34" t="inlineStr">
        <is>
          <t xml:space="preserve">Four-ball</t>
        </is>
      </c>
      <c r="E239" s="43">
        <v>9</v>
      </c>
      <c r="F239" s="45">
        <v>1</v>
      </c>
      <c r="G239" s="34" t="inlineStr">
        <is>
          <t xml:space="preserve">Norat</t>
        </is>
      </c>
      <c r="H239" s="34" t="inlineStr">
        <is>
          <t xml:space="preserve">Flanders</t>
        </is>
      </c>
      <c r="I239" s="34" t="inlineStr">
        <is>
          <t xml:space="preserve">Forster</t>
        </is>
      </c>
      <c r="J239" s="34" t="inlineStr">
        <is>
          <t xml:space="preserve">Gray</t>
        </is>
      </c>
      <c r="K239" s="34" t="inlineStr">
        <is>
          <t xml:space="preserve">Hilts</t>
        </is>
      </c>
      <c r="L239" s="45">
        <v>-3.5</v>
      </c>
      <c r="M239" s="45">
        <v>-1.75</v>
      </c>
      <c r="N239" s="34" t="inlineStr">
        <is>
          <t xml:space="preserve">Giving</t>
        </is>
      </c>
      <c r="O239" s="45">
        <v>0</v>
      </c>
      <c r="P239" s="45">
        <v>0.569</v>
      </c>
      <c r="Q239" s="45">
        <v>-0.569</v>
      </c>
      <c r="R239" s="34" t="inlineStr">
        <is>
          <t xml:space="preserve">FBC 8/Handicaps (FBC 8) (Final).xlsx [6 Results]</t>
        </is>
      </c>
    </row>
    <row r="240" spans="1:18">
      <c r="A240" s="40">
        <v>6</v>
      </c>
      <c r="B240" s="31" t="inlineStr">
        <is>
          <t xml:space="preserve">FBC6-D2</t>
        </is>
      </c>
      <c r="C240" s="31" t="inlineStr">
        <is>
          <t xml:space="preserve">Best Ball</t>
        </is>
      </c>
      <c r="D240" s="31" t="inlineStr">
        <is>
          <t xml:space="preserve">Four-ball</t>
        </is>
      </c>
      <c r="E240" s="40">
        <v>9</v>
      </c>
      <c r="F240" s="42">
        <v>1</v>
      </c>
      <c r="G240" s="31" t="inlineStr">
        <is>
          <t xml:space="preserve">Norat</t>
        </is>
      </c>
      <c r="H240" s="31" t="inlineStr">
        <is>
          <t xml:space="preserve">Cole</t>
        </is>
      </c>
      <c r="I240" s="31" t="inlineStr">
        <is>
          <t xml:space="preserve">Ferrin</t>
        </is>
      </c>
      <c r="J240" s="31" t="inlineStr">
        <is>
          <t xml:space="preserve">Fogan</t>
        </is>
      </c>
      <c r="K240" s="31" t="inlineStr">
        <is>
          <t xml:space="preserve">Lynch</t>
        </is>
      </c>
      <c r="L240" s="42">
        <v>-3</v>
      </c>
      <c r="M240" s="42">
        <v>-1.5</v>
      </c>
      <c r="N240" s="31" t="inlineStr">
        <is>
          <t xml:space="preserve">Giving</t>
        </is>
      </c>
      <c r="O240" s="42">
        <v>1</v>
      </c>
      <c r="P240" s="42">
        <v>0.571</v>
      </c>
      <c r="Q240" s="42">
        <v>0.429</v>
      </c>
      <c r="R240" s="31" t="inlineStr">
        <is>
          <t xml:space="preserve">FBC 8/Handicaps (FBC 8) (Final).xlsx [6 Results]</t>
        </is>
      </c>
    </row>
    <row r="241" spans="1:18">
      <c r="A241" s="43">
        <v>6</v>
      </c>
      <c r="B241" s="34" t="inlineStr">
        <is>
          <t xml:space="preserve">FBC6-D2</t>
        </is>
      </c>
      <c r="C241" s="34" t="inlineStr">
        <is>
          <t xml:space="preserve">Best Ball</t>
        </is>
      </c>
      <c r="D241" s="34" t="inlineStr">
        <is>
          <t xml:space="preserve">Four-ball</t>
        </is>
      </c>
      <c r="E241" s="43">
        <v>9</v>
      </c>
      <c r="F241" s="45">
        <v>1</v>
      </c>
      <c r="G241" s="34" t="inlineStr">
        <is>
          <t xml:space="preserve">Fogan</t>
        </is>
      </c>
      <c r="H241" s="34" t="inlineStr">
        <is>
          <t xml:space="preserve">Fogan</t>
        </is>
      </c>
      <c r="I241" s="34" t="inlineStr">
        <is>
          <t xml:space="preserve">Lynch</t>
        </is>
      </c>
      <c r="J241" s="34" t="inlineStr">
        <is>
          <t xml:space="preserve">Cole</t>
        </is>
      </c>
      <c r="K241" s="34" t="inlineStr">
        <is>
          <t xml:space="preserve">Ferrin</t>
        </is>
      </c>
      <c r="L241" s="45">
        <v>3</v>
      </c>
      <c r="M241" s="45">
        <v>1.5</v>
      </c>
      <c r="N241" s="34" t="inlineStr">
        <is>
          <t xml:space="preserve">Getting</t>
        </is>
      </c>
      <c r="O241" s="45">
        <v>0</v>
      </c>
      <c r="P241" s="45">
        <v>0.429</v>
      </c>
      <c r="Q241" s="45">
        <v>-0.429</v>
      </c>
      <c r="R241" s="34" t="inlineStr">
        <is>
          <t xml:space="preserve">FBC 8/Handicaps (FBC 8) (Final).xlsx [6 Results]</t>
        </is>
      </c>
    </row>
    <row r="242" spans="1:18">
      <c r="A242" s="40">
        <v>6</v>
      </c>
      <c r="B242" s="31" t="inlineStr">
        <is>
          <t xml:space="preserve">FBC6-D3</t>
        </is>
      </c>
      <c r="C242" s="31" t="inlineStr">
        <is>
          <t xml:space="preserve">Best Ball</t>
        </is>
      </c>
      <c r="D242" s="31" t="inlineStr">
        <is>
          <t xml:space="preserve">Four-ball</t>
        </is>
      </c>
      <c r="E242" s="40">
        <v>9</v>
      </c>
      <c r="F242" s="42">
        <v>1</v>
      </c>
      <c r="G242" s="31" t="inlineStr">
        <is>
          <t xml:space="preserve">Fogan</t>
        </is>
      </c>
      <c r="H242" s="31" t="inlineStr">
        <is>
          <t xml:space="preserve">Grise</t>
        </is>
      </c>
      <c r="I242" s="31" t="inlineStr">
        <is>
          <t xml:space="preserve">Jackson</t>
        </is>
      </c>
      <c r="J242" s="31" t="inlineStr">
        <is>
          <t xml:space="preserve">Connolly</t>
        </is>
      </c>
      <c r="K242" s="31" t="inlineStr">
        <is>
          <t xml:space="preserve">Zimmer</t>
        </is>
      </c>
      <c r="L242" s="42">
        <v>2.5</v>
      </c>
      <c r="M242" s="42">
        <v>1.25</v>
      </c>
      <c r="N242" s="31" t="inlineStr">
        <is>
          <t xml:space="preserve">Getting</t>
        </is>
      </c>
      <c r="O242" s="42">
        <v>1</v>
      </c>
      <c r="P242" s="42">
        <v>0.428</v>
      </c>
      <c r="Q242" s="42">
        <v>0.572</v>
      </c>
      <c r="R242" s="31" t="inlineStr">
        <is>
          <t xml:space="preserve">FBC 8/Handicaps (FBC 8) (Final).xlsx [6 Results]</t>
        </is>
      </c>
    </row>
    <row r="243" spans="1:18">
      <c r="A243" s="43">
        <v>6</v>
      </c>
      <c r="B243" s="34" t="inlineStr">
        <is>
          <t xml:space="preserve">FBC6-D3</t>
        </is>
      </c>
      <c r="C243" s="34" t="inlineStr">
        <is>
          <t xml:space="preserve">Best Ball</t>
        </is>
      </c>
      <c r="D243" s="34" t="inlineStr">
        <is>
          <t xml:space="preserve">Four-ball</t>
        </is>
      </c>
      <c r="E243" s="43">
        <v>9</v>
      </c>
      <c r="F243" s="45">
        <v>1</v>
      </c>
      <c r="G243" s="34" t="inlineStr">
        <is>
          <t xml:space="preserve">Norat</t>
        </is>
      </c>
      <c r="H243" s="34" t="inlineStr">
        <is>
          <t xml:space="preserve">Connolly</t>
        </is>
      </c>
      <c r="I243" s="34" t="inlineStr">
        <is>
          <t xml:space="preserve">Zimmer</t>
        </is>
      </c>
      <c r="J243" s="34" t="inlineStr">
        <is>
          <t xml:space="preserve">Grise</t>
        </is>
      </c>
      <c r="K243" s="34" t="inlineStr">
        <is>
          <t xml:space="preserve">Jackson</t>
        </is>
      </c>
      <c r="L243" s="45">
        <v>-2.5</v>
      </c>
      <c r="M243" s="45">
        <v>-1.25</v>
      </c>
      <c r="N243" s="34" t="inlineStr">
        <is>
          <t xml:space="preserve">Giving</t>
        </is>
      </c>
      <c r="O243" s="45">
        <v>0</v>
      </c>
      <c r="P243" s="45">
        <v>0.572</v>
      </c>
      <c r="Q243" s="45">
        <v>-0.572</v>
      </c>
      <c r="R243" s="34" t="inlineStr">
        <is>
          <t xml:space="preserve">FBC 8/Handicaps (FBC 8) (Final).xlsx [6 Results]</t>
        </is>
      </c>
    </row>
    <row r="244" spans="1:18">
      <c r="A244" s="40">
        <v>6</v>
      </c>
      <c r="B244" s="31" t="inlineStr">
        <is>
          <t xml:space="preserve">FBC6-D4</t>
        </is>
      </c>
      <c r="C244" s="31" t="inlineStr">
        <is>
          <t xml:space="preserve">Best Ball</t>
        </is>
      </c>
      <c r="D244" s="31" t="inlineStr">
        <is>
          <t xml:space="preserve">Four-ball</t>
        </is>
      </c>
      <c r="E244" s="40">
        <v>9</v>
      </c>
      <c r="F244" s="42">
        <v>1</v>
      </c>
      <c r="G244" s="31" t="inlineStr">
        <is>
          <t xml:space="preserve">Norat</t>
        </is>
      </c>
      <c r="H244" s="31" t="inlineStr">
        <is>
          <t xml:space="preserve">Norat</t>
        </is>
      </c>
      <c r="I244" s="31" t="inlineStr">
        <is>
          <t xml:space="preserve">Poirier</t>
        </is>
      </c>
      <c r="J244" s="31" t="inlineStr">
        <is>
          <t xml:space="preserve">McInerney</t>
        </is>
      </c>
      <c r="K244" s="31" t="inlineStr">
        <is>
          <t xml:space="preserve">Shively</t>
        </is>
      </c>
      <c r="L244" s="42">
        <v>1</v>
      </c>
      <c r="M244" s="42">
        <v>0.5</v>
      </c>
      <c r="N244" s="31" t="inlineStr">
        <is>
          <t xml:space="preserve">Getting</t>
        </is>
      </c>
      <c r="O244" s="42">
        <v>0</v>
      </c>
      <c r="P244" s="42">
        <v>0.423</v>
      </c>
      <c r="Q244" s="42">
        <v>-0.423</v>
      </c>
      <c r="R244" s="31" t="inlineStr">
        <is>
          <t xml:space="preserve">FBC 8/Handicaps (FBC 8) (Final).xlsx [6 Results]</t>
        </is>
      </c>
    </row>
    <row r="245" spans="1:18">
      <c r="A245" s="43">
        <v>6</v>
      </c>
      <c r="B245" s="34" t="inlineStr">
        <is>
          <t xml:space="preserve">FBC6-D4</t>
        </is>
      </c>
      <c r="C245" s="34" t="inlineStr">
        <is>
          <t xml:space="preserve">Best Ball</t>
        </is>
      </c>
      <c r="D245" s="34" t="inlineStr">
        <is>
          <t xml:space="preserve">Four-ball</t>
        </is>
      </c>
      <c r="E245" s="43">
        <v>9</v>
      </c>
      <c r="F245" s="45">
        <v>1</v>
      </c>
      <c r="G245" s="34" t="inlineStr">
        <is>
          <t xml:space="preserve">Fogan</t>
        </is>
      </c>
      <c r="H245" s="34" t="inlineStr">
        <is>
          <t xml:space="preserve">McInerney</t>
        </is>
      </c>
      <c r="I245" s="34" t="inlineStr">
        <is>
          <t xml:space="preserve">Shively</t>
        </is>
      </c>
      <c r="J245" s="34" t="inlineStr">
        <is>
          <t xml:space="preserve">Norat</t>
        </is>
      </c>
      <c r="K245" s="34" t="inlineStr">
        <is>
          <t xml:space="preserve">Poirier</t>
        </is>
      </c>
      <c r="L245" s="45">
        <v>-1</v>
      </c>
      <c r="M245" s="45">
        <v>-0.5</v>
      </c>
      <c r="N245" s="34" t="inlineStr">
        <is>
          <t xml:space="preserve">Giving</t>
        </is>
      </c>
      <c r="O245" s="45">
        <v>1</v>
      </c>
      <c r="P245" s="45">
        <v>0.577</v>
      </c>
      <c r="Q245" s="45">
        <v>0.423</v>
      </c>
      <c r="R245" s="34" t="inlineStr">
        <is>
          <t xml:space="preserve">FBC 8/Handicaps (FBC 8) (Final).xlsx [6 Results]</t>
        </is>
      </c>
    </row>
    <row r="246" spans="1:18">
      <c r="A246" s="40">
        <v>6</v>
      </c>
      <c r="B246" s="31" t="inlineStr">
        <is>
          <t xml:space="preserve">FBC6-D5</t>
        </is>
      </c>
      <c r="C246" s="31" t="inlineStr">
        <is>
          <t xml:space="preserve">Best Ball</t>
        </is>
      </c>
      <c r="D246" s="31" t="inlineStr">
        <is>
          <t xml:space="preserve">Four-ball</t>
        </is>
      </c>
      <c r="E246" s="40">
        <v>9</v>
      </c>
      <c r="F246" s="42">
        <v>1</v>
      </c>
      <c r="G246" s="31" t="inlineStr">
        <is>
          <t xml:space="preserve">Fogan</t>
        </is>
      </c>
      <c r="H246" s="31" t="inlineStr">
        <is>
          <t xml:space="preserve">Bussiculo</t>
        </is>
      </c>
      <c r="I246" s="31" t="inlineStr">
        <is>
          <t xml:space="preserve">Mangold</t>
        </is>
      </c>
      <c r="J246" s="31" t="inlineStr">
        <is>
          <t xml:space="preserve">Connors</t>
        </is>
      </c>
      <c r="K246" s="31" t="inlineStr">
        <is>
          <t xml:space="preserve">Welker</t>
        </is>
      </c>
      <c r="L246" s="42">
        <v>-2.5</v>
      </c>
      <c r="M246" s="42">
        <v>-1.25</v>
      </c>
      <c r="N246" s="31" t="inlineStr">
        <is>
          <t xml:space="preserve">Giving</t>
        </is>
      </c>
      <c r="O246" s="42">
        <v>0.5</v>
      </c>
      <c r="P246" s="42">
        <v>0.572</v>
      </c>
      <c r="Q246" s="42">
        <v>-0.072</v>
      </c>
      <c r="R246" s="31" t="inlineStr">
        <is>
          <t xml:space="preserve">FBC 8/Handicaps (FBC 8) (Final).xlsx [6 Results]</t>
        </is>
      </c>
    </row>
    <row r="247" spans="1:18">
      <c r="A247" s="43">
        <v>6</v>
      </c>
      <c r="B247" s="34" t="inlineStr">
        <is>
          <t xml:space="preserve">FBC6-D5</t>
        </is>
      </c>
      <c r="C247" s="34" t="inlineStr">
        <is>
          <t xml:space="preserve">Best Ball</t>
        </is>
      </c>
      <c r="D247" s="34" t="inlineStr">
        <is>
          <t xml:space="preserve">Four-ball</t>
        </is>
      </c>
      <c r="E247" s="43">
        <v>9</v>
      </c>
      <c r="F247" s="45">
        <v>1</v>
      </c>
      <c r="G247" s="34" t="inlineStr">
        <is>
          <t xml:space="preserve">Norat</t>
        </is>
      </c>
      <c r="H247" s="34" t="inlineStr">
        <is>
          <t xml:space="preserve">Connors</t>
        </is>
      </c>
      <c r="I247" s="34" t="inlineStr">
        <is>
          <t xml:space="preserve">Welker</t>
        </is>
      </c>
      <c r="J247" s="34" t="inlineStr">
        <is>
          <t xml:space="preserve">Bussiculo</t>
        </is>
      </c>
      <c r="K247" s="34" t="inlineStr">
        <is>
          <t xml:space="preserve">Mangold</t>
        </is>
      </c>
      <c r="L247" s="45">
        <v>2.5</v>
      </c>
      <c r="M247" s="45">
        <v>1.25</v>
      </c>
      <c r="N247" s="34" t="inlineStr">
        <is>
          <t xml:space="preserve">Getting</t>
        </is>
      </c>
      <c r="O247" s="45">
        <v>0.5</v>
      </c>
      <c r="P247" s="45">
        <v>0.428</v>
      </c>
      <c r="Q247" s="45">
        <v>0.072</v>
      </c>
      <c r="R247" s="34" t="inlineStr">
        <is>
          <t xml:space="preserve">FBC 8/Handicaps (FBC 8) (Final).xlsx [6 Results]</t>
        </is>
      </c>
    </row>
    <row r="248" spans="1:18">
      <c r="A248" s="40">
        <v>6</v>
      </c>
      <c r="B248" s="31" t="inlineStr">
        <is>
          <t xml:space="preserve">FBC6-D6</t>
        </is>
      </c>
      <c r="C248" s="31" t="inlineStr">
        <is>
          <t xml:space="preserve">Vegas</t>
        </is>
      </c>
      <c r="D248" s="31" t="inlineStr">
        <is>
          <t xml:space="preserve">Four-ball</t>
        </is>
      </c>
      <c r="E248" s="40">
        <v>9</v>
      </c>
      <c r="F248" s="42">
        <v>1</v>
      </c>
      <c r="G248" s="31" t="inlineStr">
        <is>
          <t xml:space="preserve">Fogan</t>
        </is>
      </c>
      <c r="H248" s="31" t="inlineStr">
        <is>
          <t xml:space="preserve">Gray</t>
        </is>
      </c>
      <c r="I248" s="31" t="inlineStr">
        <is>
          <t xml:space="preserve">Hilts</t>
        </is>
      </c>
      <c r="J248" s="31" t="inlineStr">
        <is>
          <t xml:space="preserve">Flanders</t>
        </is>
      </c>
      <c r="K248" s="31" t="inlineStr">
        <is>
          <t xml:space="preserve">Forster</t>
        </is>
      </c>
      <c r="L248" s="42">
        <v>3.5</v>
      </c>
      <c r="M248" s="42">
        <v>1.75</v>
      </c>
      <c r="N248" s="31" t="inlineStr">
        <is>
          <t xml:space="preserve">Getting</t>
        </is>
      </c>
      <c r="O248" s="42">
        <v>0</v>
      </c>
      <c r="P248" s="42">
        <v>0.431</v>
      </c>
      <c r="Q248" s="42">
        <v>-0.431</v>
      </c>
      <c r="R248" s="31" t="inlineStr">
        <is>
          <t xml:space="preserve">FBC 8/Handicaps (FBC 8) (Final).xlsx [6 Results]</t>
        </is>
      </c>
    </row>
    <row r="249" spans="1:18">
      <c r="A249" s="43">
        <v>6</v>
      </c>
      <c r="B249" s="34" t="inlineStr">
        <is>
          <t xml:space="preserve">FBC6-D6</t>
        </is>
      </c>
      <c r="C249" s="34" t="inlineStr">
        <is>
          <t xml:space="preserve">Vegas</t>
        </is>
      </c>
      <c r="D249" s="34" t="inlineStr">
        <is>
          <t xml:space="preserve">Four-ball</t>
        </is>
      </c>
      <c r="E249" s="43">
        <v>9</v>
      </c>
      <c r="F249" s="45">
        <v>1</v>
      </c>
      <c r="G249" s="34" t="inlineStr">
        <is>
          <t xml:space="preserve">Norat</t>
        </is>
      </c>
      <c r="H249" s="34" t="inlineStr">
        <is>
          <t xml:space="preserve">Flanders</t>
        </is>
      </c>
      <c r="I249" s="34" t="inlineStr">
        <is>
          <t xml:space="preserve">Forster</t>
        </is>
      </c>
      <c r="J249" s="34" t="inlineStr">
        <is>
          <t xml:space="preserve">Gray</t>
        </is>
      </c>
      <c r="K249" s="34" t="inlineStr">
        <is>
          <t xml:space="preserve">Hilts</t>
        </is>
      </c>
      <c r="L249" s="45">
        <v>-3.5</v>
      </c>
      <c r="M249" s="45">
        <v>-1.75</v>
      </c>
      <c r="N249" s="34" t="inlineStr">
        <is>
          <t xml:space="preserve">Giving</t>
        </is>
      </c>
      <c r="O249" s="45">
        <v>1</v>
      </c>
      <c r="P249" s="45">
        <v>0.569</v>
      </c>
      <c r="Q249" s="45">
        <v>0.431</v>
      </c>
      <c r="R249" s="34" t="inlineStr">
        <is>
          <t xml:space="preserve">FBC 8/Handicaps (FBC 8) (Final).xlsx [6 Results]</t>
        </is>
      </c>
    </row>
    <row r="250" spans="1:18">
      <c r="A250" s="40">
        <v>6</v>
      </c>
      <c r="B250" s="31" t="inlineStr">
        <is>
          <t xml:space="preserve">FBC6-D7</t>
        </is>
      </c>
      <c r="C250" s="31" t="inlineStr">
        <is>
          <t xml:space="preserve">Vegas</t>
        </is>
      </c>
      <c r="D250" s="31" t="inlineStr">
        <is>
          <t xml:space="preserve">Four-ball</t>
        </is>
      </c>
      <c r="E250" s="40">
        <v>9</v>
      </c>
      <c r="F250" s="42">
        <v>1</v>
      </c>
      <c r="G250" s="31" t="inlineStr">
        <is>
          <t xml:space="preserve">Norat</t>
        </is>
      </c>
      <c r="H250" s="31" t="inlineStr">
        <is>
          <t xml:space="preserve">Cole</t>
        </is>
      </c>
      <c r="I250" s="31" t="inlineStr">
        <is>
          <t xml:space="preserve">Ferrin</t>
        </is>
      </c>
      <c r="J250" s="31" t="inlineStr">
        <is>
          <t xml:space="preserve">Fogan</t>
        </is>
      </c>
      <c r="K250" s="31" t="inlineStr">
        <is>
          <t xml:space="preserve">Lynch</t>
        </is>
      </c>
      <c r="L250" s="42">
        <v>-3</v>
      </c>
      <c r="M250" s="42">
        <v>-1.5</v>
      </c>
      <c r="N250" s="31" t="inlineStr">
        <is>
          <t xml:space="preserve">Giving</t>
        </is>
      </c>
      <c r="O250" s="42">
        <v>1</v>
      </c>
      <c r="P250" s="42">
        <v>0.571</v>
      </c>
      <c r="Q250" s="42">
        <v>0.429</v>
      </c>
      <c r="R250" s="31" t="inlineStr">
        <is>
          <t xml:space="preserve">FBC 8/Handicaps (FBC 8) (Final).xlsx [6 Results]</t>
        </is>
      </c>
    </row>
    <row r="251" spans="1:18">
      <c r="A251" s="43">
        <v>6</v>
      </c>
      <c r="B251" s="34" t="inlineStr">
        <is>
          <t xml:space="preserve">FBC6-D7</t>
        </is>
      </c>
      <c r="C251" s="34" t="inlineStr">
        <is>
          <t xml:space="preserve">Vegas</t>
        </is>
      </c>
      <c r="D251" s="34" t="inlineStr">
        <is>
          <t xml:space="preserve">Four-ball</t>
        </is>
      </c>
      <c r="E251" s="43">
        <v>9</v>
      </c>
      <c r="F251" s="45">
        <v>1</v>
      </c>
      <c r="G251" s="34" t="inlineStr">
        <is>
          <t xml:space="preserve">Fogan</t>
        </is>
      </c>
      <c r="H251" s="34" t="inlineStr">
        <is>
          <t xml:space="preserve">Fogan</t>
        </is>
      </c>
      <c r="I251" s="34" t="inlineStr">
        <is>
          <t xml:space="preserve">Lynch</t>
        </is>
      </c>
      <c r="J251" s="34" t="inlineStr">
        <is>
          <t xml:space="preserve">Cole</t>
        </is>
      </c>
      <c r="K251" s="34" t="inlineStr">
        <is>
          <t xml:space="preserve">Ferrin</t>
        </is>
      </c>
      <c r="L251" s="45">
        <v>3</v>
      </c>
      <c r="M251" s="45">
        <v>1.5</v>
      </c>
      <c r="N251" s="34" t="inlineStr">
        <is>
          <t xml:space="preserve">Getting</t>
        </is>
      </c>
      <c r="O251" s="45">
        <v>0</v>
      </c>
      <c r="P251" s="45">
        <v>0.429</v>
      </c>
      <c r="Q251" s="45">
        <v>-0.429</v>
      </c>
      <c r="R251" s="34" t="inlineStr">
        <is>
          <t xml:space="preserve">FBC 8/Handicaps (FBC 8) (Final).xlsx [6 Results]</t>
        </is>
      </c>
    </row>
    <row r="252" spans="1:18">
      <c r="A252" s="40">
        <v>6</v>
      </c>
      <c r="B252" s="31" t="inlineStr">
        <is>
          <t xml:space="preserve">FBC6-D8</t>
        </is>
      </c>
      <c r="C252" s="31" t="inlineStr">
        <is>
          <t xml:space="preserve">Vegas</t>
        </is>
      </c>
      <c r="D252" s="31" t="inlineStr">
        <is>
          <t xml:space="preserve">Four-ball</t>
        </is>
      </c>
      <c r="E252" s="40">
        <v>9</v>
      </c>
      <c r="F252" s="42">
        <v>1</v>
      </c>
      <c r="G252" s="31" t="inlineStr">
        <is>
          <t xml:space="preserve">Fogan</t>
        </is>
      </c>
      <c r="H252" s="31" t="inlineStr">
        <is>
          <t xml:space="preserve">Grise</t>
        </is>
      </c>
      <c r="I252" s="31" t="inlineStr">
        <is>
          <t xml:space="preserve">Jackson</t>
        </is>
      </c>
      <c r="J252" s="31" t="inlineStr">
        <is>
          <t xml:space="preserve">Connolly</t>
        </is>
      </c>
      <c r="K252" s="31" t="inlineStr">
        <is>
          <t xml:space="preserve">Zimmer</t>
        </is>
      </c>
      <c r="L252" s="42">
        <v>2.5</v>
      </c>
      <c r="M252" s="42">
        <v>1.25</v>
      </c>
      <c r="N252" s="31" t="inlineStr">
        <is>
          <t xml:space="preserve">Getting</t>
        </is>
      </c>
      <c r="O252" s="42">
        <v>1</v>
      </c>
      <c r="P252" s="42">
        <v>0.428</v>
      </c>
      <c r="Q252" s="42">
        <v>0.572</v>
      </c>
      <c r="R252" s="31" t="inlineStr">
        <is>
          <t xml:space="preserve">FBC 8/Handicaps (FBC 8) (Final).xlsx [6 Results]</t>
        </is>
      </c>
    </row>
    <row r="253" spans="1:18">
      <c r="A253" s="43">
        <v>6</v>
      </c>
      <c r="B253" s="34" t="inlineStr">
        <is>
          <t xml:space="preserve">FBC6-D8</t>
        </is>
      </c>
      <c r="C253" s="34" t="inlineStr">
        <is>
          <t xml:space="preserve">Vegas</t>
        </is>
      </c>
      <c r="D253" s="34" t="inlineStr">
        <is>
          <t xml:space="preserve">Four-ball</t>
        </is>
      </c>
      <c r="E253" s="43">
        <v>9</v>
      </c>
      <c r="F253" s="45">
        <v>1</v>
      </c>
      <c r="G253" s="34" t="inlineStr">
        <is>
          <t xml:space="preserve">Norat</t>
        </is>
      </c>
      <c r="H253" s="34" t="inlineStr">
        <is>
          <t xml:space="preserve">Connolly</t>
        </is>
      </c>
      <c r="I253" s="34" t="inlineStr">
        <is>
          <t xml:space="preserve">Zimmer</t>
        </is>
      </c>
      <c r="J253" s="34" t="inlineStr">
        <is>
          <t xml:space="preserve">Grise</t>
        </is>
      </c>
      <c r="K253" s="34" t="inlineStr">
        <is>
          <t xml:space="preserve">Jackson</t>
        </is>
      </c>
      <c r="L253" s="45">
        <v>-2.5</v>
      </c>
      <c r="M253" s="45">
        <v>-1.25</v>
      </c>
      <c r="N253" s="34" t="inlineStr">
        <is>
          <t xml:space="preserve">Giving</t>
        </is>
      </c>
      <c r="O253" s="45">
        <v>0</v>
      </c>
      <c r="P253" s="45">
        <v>0.572</v>
      </c>
      <c r="Q253" s="45">
        <v>-0.572</v>
      </c>
      <c r="R253" s="34" t="inlineStr">
        <is>
          <t xml:space="preserve">FBC 8/Handicaps (FBC 8) (Final).xlsx [6 Results]</t>
        </is>
      </c>
    </row>
    <row r="254" spans="1:18">
      <c r="A254" s="40">
        <v>6</v>
      </c>
      <c r="B254" s="31" t="inlineStr">
        <is>
          <t xml:space="preserve">FBC6-D9</t>
        </is>
      </c>
      <c r="C254" s="31" t="inlineStr">
        <is>
          <t xml:space="preserve">Vegas</t>
        </is>
      </c>
      <c r="D254" s="31" t="inlineStr">
        <is>
          <t xml:space="preserve">Four-ball</t>
        </is>
      </c>
      <c r="E254" s="40">
        <v>9</v>
      </c>
      <c r="F254" s="42">
        <v>1</v>
      </c>
      <c r="G254" s="31" t="inlineStr">
        <is>
          <t xml:space="preserve">Norat</t>
        </is>
      </c>
      <c r="H254" s="31" t="inlineStr">
        <is>
          <t xml:space="preserve">Norat</t>
        </is>
      </c>
      <c r="I254" s="31" t="inlineStr">
        <is>
          <t xml:space="preserve">Poirier</t>
        </is>
      </c>
      <c r="J254" s="31" t="inlineStr">
        <is>
          <t xml:space="preserve">McInerney</t>
        </is>
      </c>
      <c r="K254" s="31" t="inlineStr">
        <is>
          <t xml:space="preserve">Shively</t>
        </is>
      </c>
      <c r="L254" s="42">
        <v>1</v>
      </c>
      <c r="M254" s="42">
        <v>0.5</v>
      </c>
      <c r="N254" s="31" t="inlineStr">
        <is>
          <t xml:space="preserve">Getting</t>
        </is>
      </c>
      <c r="O254" s="42">
        <v>0</v>
      </c>
      <c r="P254" s="42">
        <v>0.423</v>
      </c>
      <c r="Q254" s="42">
        <v>-0.423</v>
      </c>
      <c r="R254" s="31" t="inlineStr">
        <is>
          <t xml:space="preserve">FBC 8/Handicaps (FBC 8) (Final).xlsx [6 Results]</t>
        </is>
      </c>
    </row>
    <row r="255" spans="1:18">
      <c r="A255" s="43">
        <v>6</v>
      </c>
      <c r="B255" s="34" t="inlineStr">
        <is>
          <t xml:space="preserve">FBC6-D9</t>
        </is>
      </c>
      <c r="C255" s="34" t="inlineStr">
        <is>
          <t xml:space="preserve">Vegas</t>
        </is>
      </c>
      <c r="D255" s="34" t="inlineStr">
        <is>
          <t xml:space="preserve">Four-ball</t>
        </is>
      </c>
      <c r="E255" s="43">
        <v>9</v>
      </c>
      <c r="F255" s="45">
        <v>1</v>
      </c>
      <c r="G255" s="34" t="inlineStr">
        <is>
          <t xml:space="preserve">Fogan</t>
        </is>
      </c>
      <c r="H255" s="34" t="inlineStr">
        <is>
          <t xml:space="preserve">McInerney</t>
        </is>
      </c>
      <c r="I255" s="34" t="inlineStr">
        <is>
          <t xml:space="preserve">Shively</t>
        </is>
      </c>
      <c r="J255" s="34" t="inlineStr">
        <is>
          <t xml:space="preserve">Norat</t>
        </is>
      </c>
      <c r="K255" s="34" t="inlineStr">
        <is>
          <t xml:space="preserve">Poirier</t>
        </is>
      </c>
      <c r="L255" s="45">
        <v>-1</v>
      </c>
      <c r="M255" s="45">
        <v>-0.5</v>
      </c>
      <c r="N255" s="34" t="inlineStr">
        <is>
          <t xml:space="preserve">Giving</t>
        </is>
      </c>
      <c r="O255" s="45">
        <v>1</v>
      </c>
      <c r="P255" s="45">
        <v>0.577</v>
      </c>
      <c r="Q255" s="45">
        <v>0.423</v>
      </c>
      <c r="R255" s="34" t="inlineStr">
        <is>
          <t xml:space="preserve">FBC 8/Handicaps (FBC 8) (Final).xlsx [6 Results]</t>
        </is>
      </c>
    </row>
    <row r="256" spans="1:18">
      <c r="A256" s="40">
        <v>6</v>
      </c>
      <c r="B256" s="31" t="inlineStr">
        <is>
          <t xml:space="preserve">FBC6-D10</t>
        </is>
      </c>
      <c r="C256" s="31" t="inlineStr">
        <is>
          <t xml:space="preserve">Vegas</t>
        </is>
      </c>
      <c r="D256" s="31" t="inlineStr">
        <is>
          <t xml:space="preserve">Four-ball</t>
        </is>
      </c>
      <c r="E256" s="40">
        <v>9</v>
      </c>
      <c r="F256" s="42">
        <v>1</v>
      </c>
      <c r="G256" s="31" t="inlineStr">
        <is>
          <t xml:space="preserve">Fogan</t>
        </is>
      </c>
      <c r="H256" s="31" t="inlineStr">
        <is>
          <t xml:space="preserve">Bussiculo</t>
        </is>
      </c>
      <c r="I256" s="31" t="inlineStr">
        <is>
          <t xml:space="preserve">Mangold</t>
        </is>
      </c>
      <c r="J256" s="31" t="inlineStr">
        <is>
          <t xml:space="preserve">Connors</t>
        </is>
      </c>
      <c r="K256" s="31" t="inlineStr">
        <is>
          <t xml:space="preserve">Welker</t>
        </is>
      </c>
      <c r="L256" s="42">
        <v>-2.5</v>
      </c>
      <c r="M256" s="42">
        <v>-1.25</v>
      </c>
      <c r="N256" s="31" t="inlineStr">
        <is>
          <t xml:space="preserve">Giving</t>
        </is>
      </c>
      <c r="O256" s="42">
        <v>0</v>
      </c>
      <c r="P256" s="42">
        <v>0.572</v>
      </c>
      <c r="Q256" s="42">
        <v>-0.572</v>
      </c>
      <c r="R256" s="31" t="inlineStr">
        <is>
          <t xml:space="preserve">FBC 8/Handicaps (FBC 8) (Final).xlsx [6 Results]</t>
        </is>
      </c>
    </row>
    <row r="257" spans="1:18">
      <c r="A257" s="43">
        <v>6</v>
      </c>
      <c r="B257" s="34" t="inlineStr">
        <is>
          <t xml:space="preserve">FBC6-D10</t>
        </is>
      </c>
      <c r="C257" s="34" t="inlineStr">
        <is>
          <t xml:space="preserve">Vegas</t>
        </is>
      </c>
      <c r="D257" s="34" t="inlineStr">
        <is>
          <t xml:space="preserve">Four-ball</t>
        </is>
      </c>
      <c r="E257" s="43">
        <v>9</v>
      </c>
      <c r="F257" s="45">
        <v>1</v>
      </c>
      <c r="G257" s="34" t="inlineStr">
        <is>
          <t xml:space="preserve">Norat</t>
        </is>
      </c>
      <c r="H257" s="34" t="inlineStr">
        <is>
          <t xml:space="preserve">Connors</t>
        </is>
      </c>
      <c r="I257" s="34" t="inlineStr">
        <is>
          <t xml:space="preserve">Welker</t>
        </is>
      </c>
      <c r="J257" s="34" t="inlineStr">
        <is>
          <t xml:space="preserve">Bussiculo</t>
        </is>
      </c>
      <c r="K257" s="34" t="inlineStr">
        <is>
          <t xml:space="preserve">Mangold</t>
        </is>
      </c>
      <c r="L257" s="45">
        <v>2.5</v>
      </c>
      <c r="M257" s="45">
        <v>1.25</v>
      </c>
      <c r="N257" s="34" t="inlineStr">
        <is>
          <t xml:space="preserve">Getting</t>
        </is>
      </c>
      <c r="O257" s="45">
        <v>1</v>
      </c>
      <c r="P257" s="45">
        <v>0.428</v>
      </c>
      <c r="Q257" s="45">
        <v>0.572</v>
      </c>
      <c r="R257" s="34" t="inlineStr">
        <is>
          <t xml:space="preserve">FBC 8/Handicaps (FBC 8) (Final).xlsx [6 Results]</t>
        </is>
      </c>
    </row>
    <row r="258" spans="1:18">
      <c r="A258" s="40">
        <v>6</v>
      </c>
      <c r="B258" s="31" t="inlineStr">
        <is>
          <t xml:space="preserve">FBC6-D11</t>
        </is>
      </c>
      <c r="C258" s="31" t="inlineStr">
        <is>
          <t xml:space="preserve">Pinehurst</t>
        </is>
      </c>
      <c r="D258" s="31" t="inlineStr">
        <is>
          <t xml:space="preserve">Pinehurst</t>
        </is>
      </c>
      <c r="E258" s="40">
        <v>9</v>
      </c>
      <c r="F258" s="42">
        <v>1</v>
      </c>
      <c r="G258" s="31" t="inlineStr">
        <is>
          <t xml:space="preserve">Fogan</t>
        </is>
      </c>
      <c r="H258" s="31" t="inlineStr">
        <is>
          <t xml:space="preserve">Gray</t>
        </is>
      </c>
      <c r="I258" s="31" t="inlineStr">
        <is>
          <t xml:space="preserve">Lynch</t>
        </is>
      </c>
      <c r="J258" s="31" t="inlineStr">
        <is>
          <t xml:space="preserve">Ferrin</t>
        </is>
      </c>
      <c r="K258" s="31" t="inlineStr">
        <is>
          <t xml:space="preserve">Flanders</t>
        </is>
      </c>
      <c r="L258" s="42">
        <v>1</v>
      </c>
      <c r="M258" s="42">
        <v>0.5</v>
      </c>
      <c r="N258" s="31" t="inlineStr">
        <is>
          <t xml:space="preserve">Getting</t>
        </is>
      </c>
      <c r="O258" s="42">
        <v>0</v>
      </c>
      <c r="P258" s="42">
        <v>0.428</v>
      </c>
      <c r="Q258" s="42">
        <v>-0.428</v>
      </c>
      <c r="R258" s="31" t="inlineStr">
        <is>
          <t xml:space="preserve">FBC 8/Handicaps (FBC 8) (Final).xlsx [6 Results]</t>
        </is>
      </c>
    </row>
    <row r="259" spans="1:18">
      <c r="A259" s="43">
        <v>6</v>
      </c>
      <c r="B259" s="34" t="inlineStr">
        <is>
          <t xml:space="preserve">FBC6-D11</t>
        </is>
      </c>
      <c r="C259" s="34" t="inlineStr">
        <is>
          <t xml:space="preserve">Pinehurst</t>
        </is>
      </c>
      <c r="D259" s="34" t="inlineStr">
        <is>
          <t xml:space="preserve">Pinehurst</t>
        </is>
      </c>
      <c r="E259" s="43">
        <v>9</v>
      </c>
      <c r="F259" s="45">
        <v>1</v>
      </c>
      <c r="G259" s="34" t="inlineStr">
        <is>
          <t xml:space="preserve">Norat</t>
        </is>
      </c>
      <c r="H259" s="34" t="inlineStr">
        <is>
          <t xml:space="preserve">Ferrin</t>
        </is>
      </c>
      <c r="I259" s="34" t="inlineStr">
        <is>
          <t xml:space="preserve">Flanders</t>
        </is>
      </c>
      <c r="J259" s="34" t="inlineStr">
        <is>
          <t xml:space="preserve">Gray</t>
        </is>
      </c>
      <c r="K259" s="34" t="inlineStr">
        <is>
          <t xml:space="preserve">Lynch</t>
        </is>
      </c>
      <c r="L259" s="45">
        <v>-1</v>
      </c>
      <c r="M259" s="45">
        <v>-0.5</v>
      </c>
      <c r="N259" s="34" t="inlineStr">
        <is>
          <t xml:space="preserve">Giving</t>
        </is>
      </c>
      <c r="O259" s="45">
        <v>1</v>
      </c>
      <c r="P259" s="45">
        <v>0.572</v>
      </c>
      <c r="Q259" s="45">
        <v>0.428</v>
      </c>
      <c r="R259" s="34" t="inlineStr">
        <is>
          <t xml:space="preserve">FBC 8/Handicaps (FBC 8) (Final).xlsx [6 Results]</t>
        </is>
      </c>
    </row>
    <row r="260" spans="1:18">
      <c r="A260" s="40">
        <v>6</v>
      </c>
      <c r="B260" s="31" t="inlineStr">
        <is>
          <t xml:space="preserve">FBC6-D12</t>
        </is>
      </c>
      <c r="C260" s="31" t="inlineStr">
        <is>
          <t xml:space="preserve">Pinehurst</t>
        </is>
      </c>
      <c r="D260" s="31" t="inlineStr">
        <is>
          <t xml:space="preserve">Pinehurst</t>
        </is>
      </c>
      <c r="E260" s="40">
        <v>9</v>
      </c>
      <c r="F260" s="42">
        <v>1</v>
      </c>
      <c r="G260" s="31" t="inlineStr">
        <is>
          <t xml:space="preserve">Norat</t>
        </is>
      </c>
      <c r="H260" s="31" t="inlineStr">
        <is>
          <t xml:space="preserve">Connolly</t>
        </is>
      </c>
      <c r="I260" s="31" t="inlineStr">
        <is>
          <t xml:space="preserve">Forster</t>
        </is>
      </c>
      <c r="J260" s="31" t="inlineStr">
        <is>
          <t xml:space="preserve">Fogan</t>
        </is>
      </c>
      <c r="K260" s="31" t="inlineStr">
        <is>
          <t xml:space="preserve">Hilts</t>
        </is>
      </c>
      <c r="L260" s="42">
        <v>-10</v>
      </c>
      <c r="M260" s="42">
        <v>-5</v>
      </c>
      <c r="N260" s="31" t="inlineStr">
        <is>
          <t xml:space="preserve">Giving</t>
        </is>
      </c>
      <c r="O260" s="42">
        <v>1</v>
      </c>
      <c r="P260" s="42">
        <v>0.495</v>
      </c>
      <c r="Q260" s="42">
        <v>0.505</v>
      </c>
      <c r="R260" s="31" t="inlineStr">
        <is>
          <t xml:space="preserve">FBC 8/Handicaps (FBC 8) (Final).xlsx [6 Results]</t>
        </is>
      </c>
    </row>
    <row r="261" spans="1:18">
      <c r="A261" s="43">
        <v>6</v>
      </c>
      <c r="B261" s="34" t="inlineStr">
        <is>
          <t xml:space="preserve">FBC6-D12</t>
        </is>
      </c>
      <c r="C261" s="34" t="inlineStr">
        <is>
          <t xml:space="preserve">Pinehurst</t>
        </is>
      </c>
      <c r="D261" s="34" t="inlineStr">
        <is>
          <t xml:space="preserve">Pinehurst</t>
        </is>
      </c>
      <c r="E261" s="43">
        <v>9</v>
      </c>
      <c r="F261" s="45">
        <v>1</v>
      </c>
      <c r="G261" s="34" t="inlineStr">
        <is>
          <t xml:space="preserve">Fogan</t>
        </is>
      </c>
      <c r="H261" s="34" t="inlineStr">
        <is>
          <t xml:space="preserve">Fogan</t>
        </is>
      </c>
      <c r="I261" s="34" t="inlineStr">
        <is>
          <t xml:space="preserve">Hilts</t>
        </is>
      </c>
      <c r="J261" s="34" t="inlineStr">
        <is>
          <t xml:space="preserve">Connolly</t>
        </is>
      </c>
      <c r="K261" s="34" t="inlineStr">
        <is>
          <t xml:space="preserve">Forster</t>
        </is>
      </c>
      <c r="L261" s="45">
        <v>10</v>
      </c>
      <c r="M261" s="45">
        <v>5</v>
      </c>
      <c r="N261" s="34" t="inlineStr">
        <is>
          <t xml:space="preserve">Getting</t>
        </is>
      </c>
      <c r="O261" s="45">
        <v>0</v>
      </c>
      <c r="P261" s="45">
        <v>0.505</v>
      </c>
      <c r="Q261" s="45">
        <v>-0.505</v>
      </c>
      <c r="R261" s="34" t="inlineStr">
        <is>
          <t xml:space="preserve">FBC 8/Handicaps (FBC 8) (Final).xlsx [6 Results]</t>
        </is>
      </c>
    </row>
    <row r="262" spans="1:18">
      <c r="A262" s="40">
        <v>6</v>
      </c>
      <c r="B262" s="31" t="inlineStr">
        <is>
          <t xml:space="preserve">FBC6-D13</t>
        </is>
      </c>
      <c r="C262" s="31" t="inlineStr">
        <is>
          <t xml:space="preserve">Pinehurst</t>
        </is>
      </c>
      <c r="D262" s="31" t="inlineStr">
        <is>
          <t xml:space="preserve">Pinehurst</t>
        </is>
      </c>
      <c r="E262" s="40">
        <v>9</v>
      </c>
      <c r="F262" s="42">
        <v>1</v>
      </c>
      <c r="G262" s="31" t="inlineStr">
        <is>
          <t xml:space="preserve">Fogan</t>
        </is>
      </c>
      <c r="H262" s="31" t="inlineStr">
        <is>
          <t xml:space="preserve">Jackson</t>
        </is>
      </c>
      <c r="I262" s="31" t="inlineStr">
        <is>
          <t xml:space="preserve">McInerney</t>
        </is>
      </c>
      <c r="J262" s="31" t="inlineStr">
        <is>
          <t xml:space="preserve">Cole</t>
        </is>
      </c>
      <c r="K262" s="31" t="inlineStr">
        <is>
          <t xml:space="preserve">Poirier</t>
        </is>
      </c>
      <c r="L262" s="42">
        <v>-3</v>
      </c>
      <c r="M262" s="42">
        <v>-1.5</v>
      </c>
      <c r="N262" s="31" t="inlineStr">
        <is>
          <t xml:space="preserve">Giving</t>
        </is>
      </c>
      <c r="O262" s="42">
        <v>1</v>
      </c>
      <c r="P262" s="42">
        <v>0.555</v>
      </c>
      <c r="Q262" s="42">
        <v>0.445</v>
      </c>
      <c r="R262" s="31" t="inlineStr">
        <is>
          <t xml:space="preserve">FBC 8/Handicaps (FBC 8) (Final).xlsx [6 Results]</t>
        </is>
      </c>
    </row>
    <row r="263" spans="1:18">
      <c r="A263" s="43">
        <v>6</v>
      </c>
      <c r="B263" s="34" t="inlineStr">
        <is>
          <t xml:space="preserve">FBC6-D13</t>
        </is>
      </c>
      <c r="C263" s="34" t="inlineStr">
        <is>
          <t xml:space="preserve">Pinehurst</t>
        </is>
      </c>
      <c r="D263" s="34" t="inlineStr">
        <is>
          <t xml:space="preserve">Pinehurst</t>
        </is>
      </c>
      <c r="E263" s="43">
        <v>9</v>
      </c>
      <c r="F263" s="45">
        <v>1</v>
      </c>
      <c r="G263" s="34" t="inlineStr">
        <is>
          <t xml:space="preserve">Norat</t>
        </is>
      </c>
      <c r="H263" s="34" t="inlineStr">
        <is>
          <t xml:space="preserve">Cole</t>
        </is>
      </c>
      <c r="I263" s="34" t="inlineStr">
        <is>
          <t xml:space="preserve">Poirier</t>
        </is>
      </c>
      <c r="J263" s="34" t="inlineStr">
        <is>
          <t xml:space="preserve">Jackson</t>
        </is>
      </c>
      <c r="K263" s="34" t="inlineStr">
        <is>
          <t xml:space="preserve">McInerney</t>
        </is>
      </c>
      <c r="L263" s="45">
        <v>3</v>
      </c>
      <c r="M263" s="45">
        <v>1.5</v>
      </c>
      <c r="N263" s="34" t="inlineStr">
        <is>
          <t xml:space="preserve">Getting</t>
        </is>
      </c>
      <c r="O263" s="45">
        <v>0</v>
      </c>
      <c r="P263" s="45">
        <v>0.445</v>
      </c>
      <c r="Q263" s="45">
        <v>-0.445</v>
      </c>
      <c r="R263" s="34" t="inlineStr">
        <is>
          <t xml:space="preserve">FBC 8/Handicaps (FBC 8) (Final).xlsx [6 Results]</t>
        </is>
      </c>
    </row>
    <row r="264" spans="1:18">
      <c r="A264" s="40">
        <v>6</v>
      </c>
      <c r="B264" s="31" t="inlineStr">
        <is>
          <t xml:space="preserve">FBC6-D14</t>
        </is>
      </c>
      <c r="C264" s="31" t="inlineStr">
        <is>
          <t xml:space="preserve">Pinehurst</t>
        </is>
      </c>
      <c r="D264" s="31" t="inlineStr">
        <is>
          <t xml:space="preserve">Pinehurst</t>
        </is>
      </c>
      <c r="E264" s="40">
        <v>9</v>
      </c>
      <c r="F264" s="42">
        <v>1</v>
      </c>
      <c r="G264" s="31" t="inlineStr">
        <is>
          <t xml:space="preserve">Norat</t>
        </is>
      </c>
      <c r="H264" s="31" t="inlineStr">
        <is>
          <t xml:space="preserve">Norat</t>
        </is>
      </c>
      <c r="I264" s="31" t="inlineStr">
        <is>
          <t xml:space="preserve">Welker</t>
        </is>
      </c>
      <c r="J264" s="31" t="inlineStr">
        <is>
          <t xml:space="preserve">Grise</t>
        </is>
      </c>
      <c r="K264" s="31" t="inlineStr">
        <is>
          <t xml:space="preserve">Mangold</t>
        </is>
      </c>
      <c r="L264" s="42">
        <v>3</v>
      </c>
      <c r="M264" s="42">
        <v>1.5</v>
      </c>
      <c r="N264" s="31" t="inlineStr">
        <is>
          <t xml:space="preserve">Getting</t>
        </is>
      </c>
      <c r="O264" s="42">
        <v>1</v>
      </c>
      <c r="P264" s="42">
        <v>0.445</v>
      </c>
      <c r="Q264" s="42">
        <v>0.555</v>
      </c>
      <c r="R264" s="31" t="inlineStr">
        <is>
          <t xml:space="preserve">FBC 8/Handicaps (FBC 8) (Final).xlsx [6 Results]</t>
        </is>
      </c>
    </row>
    <row r="265" spans="1:18">
      <c r="A265" s="43">
        <v>6</v>
      </c>
      <c r="B265" s="34" t="inlineStr">
        <is>
          <t xml:space="preserve">FBC6-D14</t>
        </is>
      </c>
      <c r="C265" s="34" t="inlineStr">
        <is>
          <t xml:space="preserve">Pinehurst</t>
        </is>
      </c>
      <c r="D265" s="34" t="inlineStr">
        <is>
          <t xml:space="preserve">Pinehurst</t>
        </is>
      </c>
      <c r="E265" s="43">
        <v>9</v>
      </c>
      <c r="F265" s="45">
        <v>1</v>
      </c>
      <c r="G265" s="34" t="inlineStr">
        <is>
          <t xml:space="preserve">Fogan</t>
        </is>
      </c>
      <c r="H265" s="34" t="inlineStr">
        <is>
          <t xml:space="preserve">Grise</t>
        </is>
      </c>
      <c r="I265" s="34" t="inlineStr">
        <is>
          <t xml:space="preserve">Mangold</t>
        </is>
      </c>
      <c r="J265" s="34" t="inlineStr">
        <is>
          <t xml:space="preserve">Norat</t>
        </is>
      </c>
      <c r="K265" s="34" t="inlineStr">
        <is>
          <t xml:space="preserve">Welker</t>
        </is>
      </c>
      <c r="L265" s="45">
        <v>-3</v>
      </c>
      <c r="M265" s="45">
        <v>-1.5</v>
      </c>
      <c r="N265" s="34" t="inlineStr">
        <is>
          <t xml:space="preserve">Giving</t>
        </is>
      </c>
      <c r="O265" s="45">
        <v>0</v>
      </c>
      <c r="P265" s="45">
        <v>0.555</v>
      </c>
      <c r="Q265" s="45">
        <v>-0.555</v>
      </c>
      <c r="R265" s="34" t="inlineStr">
        <is>
          <t xml:space="preserve">FBC 8/Handicaps (FBC 8) (Final).xlsx [6 Results]</t>
        </is>
      </c>
    </row>
    <row r="266" spans="1:18">
      <c r="A266" s="40">
        <v>6</v>
      </c>
      <c r="B266" s="31" t="inlineStr">
        <is>
          <t xml:space="preserve">FBC6-D15</t>
        </is>
      </c>
      <c r="C266" s="31" t="inlineStr">
        <is>
          <t xml:space="preserve">Pinehurst</t>
        </is>
      </c>
      <c r="D266" s="31" t="inlineStr">
        <is>
          <t xml:space="preserve">Pinehurst</t>
        </is>
      </c>
      <c r="E266" s="40">
        <v>9</v>
      </c>
      <c r="F266" s="42">
        <v>1</v>
      </c>
      <c r="G266" s="31" t="inlineStr">
        <is>
          <t xml:space="preserve">Fogan</t>
        </is>
      </c>
      <c r="H266" s="31" t="inlineStr">
        <is>
          <t xml:space="preserve">Bussiculo</t>
        </is>
      </c>
      <c r="I266" s="31" t="inlineStr">
        <is>
          <t xml:space="preserve">Shively</t>
        </is>
      </c>
      <c r="J266" s="31" t="inlineStr">
        <is>
          <t xml:space="preserve">Connors</t>
        </is>
      </c>
      <c r="K266" s="31" t="inlineStr">
        <is>
          <t xml:space="preserve">Zimmer</t>
        </is>
      </c>
      <c r="L266" s="42">
        <v>3</v>
      </c>
      <c r="M266" s="42">
        <v>1.5</v>
      </c>
      <c r="N266" s="31" t="inlineStr">
        <is>
          <t xml:space="preserve">Getting</t>
        </is>
      </c>
      <c r="O266" s="42">
        <v>1</v>
      </c>
      <c r="P266" s="42">
        <v>0.445</v>
      </c>
      <c r="Q266" s="42">
        <v>0.555</v>
      </c>
      <c r="R266" s="31" t="inlineStr">
        <is>
          <t xml:space="preserve">FBC 8/Handicaps (FBC 8) (Final).xlsx [6 Results]</t>
        </is>
      </c>
    </row>
    <row r="267" spans="1:18">
      <c r="A267" s="43">
        <v>6</v>
      </c>
      <c r="B267" s="34" t="inlineStr">
        <is>
          <t xml:space="preserve">FBC6-D15</t>
        </is>
      </c>
      <c r="C267" s="34" t="inlineStr">
        <is>
          <t xml:space="preserve">Pinehurst</t>
        </is>
      </c>
      <c r="D267" s="34" t="inlineStr">
        <is>
          <t xml:space="preserve">Pinehurst</t>
        </is>
      </c>
      <c r="E267" s="43">
        <v>9</v>
      </c>
      <c r="F267" s="45">
        <v>1</v>
      </c>
      <c r="G267" s="34" t="inlineStr">
        <is>
          <t xml:space="preserve">Norat</t>
        </is>
      </c>
      <c r="H267" s="34" t="inlineStr">
        <is>
          <t xml:space="preserve">Connors</t>
        </is>
      </c>
      <c r="I267" s="34" t="inlineStr">
        <is>
          <t xml:space="preserve">Zimmer</t>
        </is>
      </c>
      <c r="J267" s="34" t="inlineStr">
        <is>
          <t xml:space="preserve">Bussiculo</t>
        </is>
      </c>
      <c r="K267" s="34" t="inlineStr">
        <is>
          <t xml:space="preserve">Shively</t>
        </is>
      </c>
      <c r="L267" s="45">
        <v>-3</v>
      </c>
      <c r="M267" s="45">
        <v>-1.5</v>
      </c>
      <c r="N267" s="34" t="inlineStr">
        <is>
          <t xml:space="preserve">Giving</t>
        </is>
      </c>
      <c r="O267" s="45">
        <v>0</v>
      </c>
      <c r="P267" s="45">
        <v>0.555</v>
      </c>
      <c r="Q267" s="45">
        <v>-0.555</v>
      </c>
      <c r="R267" s="34" t="inlineStr">
        <is>
          <t xml:space="preserve">FBC 8/Handicaps (FBC 8) (Final).xlsx [6 Results]</t>
        </is>
      </c>
    </row>
    <row r="268" spans="1:18">
      <c r="A268" s="40">
        <v>6</v>
      </c>
      <c r="B268" s="31" t="inlineStr">
        <is>
          <t xml:space="preserve">FBC6-D16</t>
        </is>
      </c>
      <c r="C268" s="31" t="inlineStr">
        <is>
          <t xml:space="preserve">Scramble-Stableford</t>
        </is>
      </c>
      <c r="D268" s="31" t="inlineStr">
        <is>
          <t xml:space="preserve">Scramble</t>
        </is>
      </c>
      <c r="E268" s="40">
        <v>9</v>
      </c>
      <c r="F268" s="42">
        <v>1</v>
      </c>
      <c r="G268" s="31" t="inlineStr">
        <is>
          <t xml:space="preserve">Fogan</t>
        </is>
      </c>
      <c r="H268" s="31" t="inlineStr">
        <is>
          <t xml:space="preserve">Gray</t>
        </is>
      </c>
      <c r="I268" s="31" t="inlineStr">
        <is>
          <t xml:space="preserve">Lynch</t>
        </is>
      </c>
      <c r="J268" s="31" t="inlineStr">
        <is>
          <t xml:space="preserve">Ferrin</t>
        </is>
      </c>
      <c r="K268" s="31" t="inlineStr">
        <is>
          <t xml:space="preserve">Flanders</t>
        </is>
      </c>
      <c r="L268" s="42">
        <v>0</v>
      </c>
      <c r="M268" s="42">
        <v>0</v>
      </c>
      <c r="N268" s="31" t="inlineStr">
        <is>
          <t xml:space="preserve">Even</t>
        </is>
      </c>
      <c r="O268" s="42">
        <v>1</v>
      </c>
      <c r="P268" s="42">
        <v>0.5</v>
      </c>
      <c r="Q268" s="42">
        <v>0.5</v>
      </c>
      <c r="R268" s="31" t="inlineStr">
        <is>
          <t xml:space="preserve">FBC 8/Handicaps (FBC 8) (Final).xlsx [6 Results]</t>
        </is>
      </c>
    </row>
    <row r="269" spans="1:18">
      <c r="A269" s="43">
        <v>6</v>
      </c>
      <c r="B269" s="34" t="inlineStr">
        <is>
          <t xml:space="preserve">FBC6-D16</t>
        </is>
      </c>
      <c r="C269" s="34" t="inlineStr">
        <is>
          <t xml:space="preserve">Scramble-Stableford</t>
        </is>
      </c>
      <c r="D269" s="34" t="inlineStr">
        <is>
          <t xml:space="preserve">Scramble</t>
        </is>
      </c>
      <c r="E269" s="43">
        <v>9</v>
      </c>
      <c r="F269" s="45">
        <v>1</v>
      </c>
      <c r="G269" s="34" t="inlineStr">
        <is>
          <t xml:space="preserve">Norat</t>
        </is>
      </c>
      <c r="H269" s="34" t="inlineStr">
        <is>
          <t xml:space="preserve">Ferrin</t>
        </is>
      </c>
      <c r="I269" s="34" t="inlineStr">
        <is>
          <t xml:space="preserve">Flanders</t>
        </is>
      </c>
      <c r="J269" s="34" t="inlineStr">
        <is>
          <t xml:space="preserve">Gray</t>
        </is>
      </c>
      <c r="K269" s="34" t="inlineStr">
        <is>
          <t xml:space="preserve">Lynch</t>
        </is>
      </c>
      <c r="L269" s="45">
        <v>0</v>
      </c>
      <c r="M269" s="45">
        <v>0</v>
      </c>
      <c r="N269" s="34" t="inlineStr">
        <is>
          <t xml:space="preserve">Even</t>
        </is>
      </c>
      <c r="O269" s="45">
        <v>0</v>
      </c>
      <c r="P269" s="45">
        <v>0.5</v>
      </c>
      <c r="Q269" s="45">
        <v>-0.5</v>
      </c>
      <c r="R269" s="34" t="inlineStr">
        <is>
          <t xml:space="preserve">FBC 8/Handicaps (FBC 8) (Final).xlsx [6 Results]</t>
        </is>
      </c>
    </row>
    <row r="270" spans="1:18">
      <c r="A270" s="40">
        <v>6</v>
      </c>
      <c r="B270" s="31" t="inlineStr">
        <is>
          <t xml:space="preserve">FBC6-D17</t>
        </is>
      </c>
      <c r="C270" s="31" t="inlineStr">
        <is>
          <t xml:space="preserve">Scramble-Stableford</t>
        </is>
      </c>
      <c r="D270" s="31" t="inlineStr">
        <is>
          <t xml:space="preserve">Scramble</t>
        </is>
      </c>
      <c r="E270" s="40">
        <v>9</v>
      </c>
      <c r="F270" s="42">
        <v>1</v>
      </c>
      <c r="G270" s="31" t="inlineStr">
        <is>
          <t xml:space="preserve">Norat</t>
        </is>
      </c>
      <c r="H270" s="31" t="inlineStr">
        <is>
          <t xml:space="preserve">Connolly</t>
        </is>
      </c>
      <c r="I270" s="31" t="inlineStr">
        <is>
          <t xml:space="preserve">Forster</t>
        </is>
      </c>
      <c r="J270" s="31" t="inlineStr">
        <is>
          <t xml:space="preserve">Fogan</t>
        </is>
      </c>
      <c r="K270" s="31" t="inlineStr">
        <is>
          <t xml:space="preserve">Hilts</t>
        </is>
      </c>
      <c r="L270" s="42">
        <v>0</v>
      </c>
      <c r="M270" s="42">
        <v>0</v>
      </c>
      <c r="N270" s="31" t="inlineStr">
        <is>
          <t xml:space="preserve">Even</t>
        </is>
      </c>
      <c r="O270" s="42">
        <v>1</v>
      </c>
      <c r="P270" s="42">
        <v>0.5</v>
      </c>
      <c r="Q270" s="42">
        <v>0.5</v>
      </c>
      <c r="R270" s="31" t="inlineStr">
        <is>
          <t xml:space="preserve">FBC 8/Handicaps (FBC 8) (Final).xlsx [6 Results]</t>
        </is>
      </c>
    </row>
    <row r="271" spans="1:18">
      <c r="A271" s="43">
        <v>6</v>
      </c>
      <c r="B271" s="34" t="inlineStr">
        <is>
          <t xml:space="preserve">FBC6-D17</t>
        </is>
      </c>
      <c r="C271" s="34" t="inlineStr">
        <is>
          <t xml:space="preserve">Scramble-Stableford</t>
        </is>
      </c>
      <c r="D271" s="34" t="inlineStr">
        <is>
          <t xml:space="preserve">Scramble</t>
        </is>
      </c>
      <c r="E271" s="43">
        <v>9</v>
      </c>
      <c r="F271" s="45">
        <v>1</v>
      </c>
      <c r="G271" s="34" t="inlineStr">
        <is>
          <t xml:space="preserve">Fogan</t>
        </is>
      </c>
      <c r="H271" s="34" t="inlineStr">
        <is>
          <t xml:space="preserve">Fogan</t>
        </is>
      </c>
      <c r="I271" s="34" t="inlineStr">
        <is>
          <t xml:space="preserve">Hilts</t>
        </is>
      </c>
      <c r="J271" s="34" t="inlineStr">
        <is>
          <t xml:space="preserve">Connolly</t>
        </is>
      </c>
      <c r="K271" s="34" t="inlineStr">
        <is>
          <t xml:space="preserve">Forster</t>
        </is>
      </c>
      <c r="L271" s="45">
        <v>0</v>
      </c>
      <c r="M271" s="45">
        <v>0</v>
      </c>
      <c r="N271" s="34" t="inlineStr">
        <is>
          <t xml:space="preserve">Even</t>
        </is>
      </c>
      <c r="O271" s="45">
        <v>0</v>
      </c>
      <c r="P271" s="45">
        <v>0.5</v>
      </c>
      <c r="Q271" s="45">
        <v>-0.5</v>
      </c>
      <c r="R271" s="34" t="inlineStr">
        <is>
          <t xml:space="preserve">FBC 8/Handicaps (FBC 8) (Final).xlsx [6 Results]</t>
        </is>
      </c>
    </row>
    <row r="272" spans="1:18">
      <c r="A272" s="40">
        <v>6</v>
      </c>
      <c r="B272" s="31" t="inlineStr">
        <is>
          <t xml:space="preserve">FBC6-D18</t>
        </is>
      </c>
      <c r="C272" s="31" t="inlineStr">
        <is>
          <t xml:space="preserve">Scramble-Stableford</t>
        </is>
      </c>
      <c r="D272" s="31" t="inlineStr">
        <is>
          <t xml:space="preserve">Scramble</t>
        </is>
      </c>
      <c r="E272" s="40">
        <v>9</v>
      </c>
      <c r="F272" s="42">
        <v>1</v>
      </c>
      <c r="G272" s="31" t="inlineStr">
        <is>
          <t xml:space="preserve">Fogan</t>
        </is>
      </c>
      <c r="H272" s="31" t="inlineStr">
        <is>
          <t xml:space="preserve">Jackson</t>
        </is>
      </c>
      <c r="I272" s="31" t="inlineStr">
        <is>
          <t xml:space="preserve">McInerney</t>
        </is>
      </c>
      <c r="J272" s="31" t="inlineStr">
        <is>
          <t xml:space="preserve">Cole</t>
        </is>
      </c>
      <c r="K272" s="31" t="inlineStr">
        <is>
          <t xml:space="preserve">Poirier</t>
        </is>
      </c>
      <c r="L272" s="42">
        <v>0</v>
      </c>
      <c r="M272" s="42">
        <v>0</v>
      </c>
      <c r="N272" s="31" t="inlineStr">
        <is>
          <t xml:space="preserve">Even</t>
        </is>
      </c>
      <c r="O272" s="42">
        <v>1</v>
      </c>
      <c r="P272" s="42">
        <v>0.5</v>
      </c>
      <c r="Q272" s="42">
        <v>0.5</v>
      </c>
      <c r="R272" s="31" t="inlineStr">
        <is>
          <t xml:space="preserve">FBC 8/Handicaps (FBC 8) (Final).xlsx [6 Results]</t>
        </is>
      </c>
    </row>
    <row r="273" spans="1:18">
      <c r="A273" s="43">
        <v>6</v>
      </c>
      <c r="B273" s="34" t="inlineStr">
        <is>
          <t xml:space="preserve">FBC6-D18</t>
        </is>
      </c>
      <c r="C273" s="34" t="inlineStr">
        <is>
          <t xml:space="preserve">Scramble-Stableford</t>
        </is>
      </c>
      <c r="D273" s="34" t="inlineStr">
        <is>
          <t xml:space="preserve">Scramble</t>
        </is>
      </c>
      <c r="E273" s="43">
        <v>9</v>
      </c>
      <c r="F273" s="45">
        <v>1</v>
      </c>
      <c r="G273" s="34" t="inlineStr">
        <is>
          <t xml:space="preserve">Norat</t>
        </is>
      </c>
      <c r="H273" s="34" t="inlineStr">
        <is>
          <t xml:space="preserve">Cole</t>
        </is>
      </c>
      <c r="I273" s="34" t="inlineStr">
        <is>
          <t xml:space="preserve">Poirier</t>
        </is>
      </c>
      <c r="J273" s="34" t="inlineStr">
        <is>
          <t xml:space="preserve">Jackson</t>
        </is>
      </c>
      <c r="K273" s="34" t="inlineStr">
        <is>
          <t xml:space="preserve">McInerney</t>
        </is>
      </c>
      <c r="L273" s="45">
        <v>0</v>
      </c>
      <c r="M273" s="45">
        <v>0</v>
      </c>
      <c r="N273" s="34" t="inlineStr">
        <is>
          <t xml:space="preserve">Even</t>
        </is>
      </c>
      <c r="O273" s="45">
        <v>0</v>
      </c>
      <c r="P273" s="45">
        <v>0.5</v>
      </c>
      <c r="Q273" s="45">
        <v>-0.5</v>
      </c>
      <c r="R273" s="34" t="inlineStr">
        <is>
          <t xml:space="preserve">FBC 8/Handicaps (FBC 8) (Final).xlsx [6 Results]</t>
        </is>
      </c>
    </row>
    <row r="274" spans="1:18">
      <c r="A274" s="40">
        <v>6</v>
      </c>
      <c r="B274" s="31" t="inlineStr">
        <is>
          <t xml:space="preserve">FBC6-D19</t>
        </is>
      </c>
      <c r="C274" s="31" t="inlineStr">
        <is>
          <t xml:space="preserve">Scramble-Stableford</t>
        </is>
      </c>
      <c r="D274" s="31" t="inlineStr">
        <is>
          <t xml:space="preserve">Scramble</t>
        </is>
      </c>
      <c r="E274" s="40">
        <v>9</v>
      </c>
      <c r="F274" s="42">
        <v>1</v>
      </c>
      <c r="G274" s="31" t="inlineStr">
        <is>
          <t xml:space="preserve">Norat</t>
        </is>
      </c>
      <c r="H274" s="31" t="inlineStr">
        <is>
          <t xml:space="preserve">Norat</t>
        </is>
      </c>
      <c r="I274" s="31" t="inlineStr">
        <is>
          <t xml:space="preserve">Welker</t>
        </is>
      </c>
      <c r="J274" s="31" t="inlineStr">
        <is>
          <t xml:space="preserve">Grise</t>
        </is>
      </c>
      <c r="K274" s="31" t="inlineStr">
        <is>
          <t xml:space="preserve">Mangold</t>
        </is>
      </c>
      <c r="L274" s="42">
        <v>0</v>
      </c>
      <c r="M274" s="42">
        <v>0</v>
      </c>
      <c r="N274" s="31" t="inlineStr">
        <is>
          <t xml:space="preserve">Even</t>
        </is>
      </c>
      <c r="O274" s="42">
        <v>1</v>
      </c>
      <c r="P274" s="42">
        <v>0.5</v>
      </c>
      <c r="Q274" s="42">
        <v>0.5</v>
      </c>
      <c r="R274" s="31" t="inlineStr">
        <is>
          <t xml:space="preserve">FBC 8/Handicaps (FBC 8) (Final).xlsx [6 Results]</t>
        </is>
      </c>
    </row>
    <row r="275" spans="1:18">
      <c r="A275" s="43">
        <v>6</v>
      </c>
      <c r="B275" s="34" t="inlineStr">
        <is>
          <t xml:space="preserve">FBC6-D19</t>
        </is>
      </c>
      <c r="C275" s="34" t="inlineStr">
        <is>
          <t xml:space="preserve">Scramble-Stableford</t>
        </is>
      </c>
      <c r="D275" s="34" t="inlineStr">
        <is>
          <t xml:space="preserve">Scramble</t>
        </is>
      </c>
      <c r="E275" s="43">
        <v>9</v>
      </c>
      <c r="F275" s="45">
        <v>1</v>
      </c>
      <c r="G275" s="34" t="inlineStr">
        <is>
          <t xml:space="preserve">Fogan</t>
        </is>
      </c>
      <c r="H275" s="34" t="inlineStr">
        <is>
          <t xml:space="preserve">Grise</t>
        </is>
      </c>
      <c r="I275" s="34" t="inlineStr">
        <is>
          <t xml:space="preserve">Mangold</t>
        </is>
      </c>
      <c r="J275" s="34" t="inlineStr">
        <is>
          <t xml:space="preserve">Norat</t>
        </is>
      </c>
      <c r="K275" s="34" t="inlineStr">
        <is>
          <t xml:space="preserve">Welker</t>
        </is>
      </c>
      <c r="L275" s="45">
        <v>0</v>
      </c>
      <c r="M275" s="45">
        <v>0</v>
      </c>
      <c r="N275" s="34" t="inlineStr">
        <is>
          <t xml:space="preserve">Even</t>
        </is>
      </c>
      <c r="O275" s="45">
        <v>0</v>
      </c>
      <c r="P275" s="45">
        <v>0.5</v>
      </c>
      <c r="Q275" s="45">
        <v>-0.5</v>
      </c>
      <c r="R275" s="34" t="inlineStr">
        <is>
          <t xml:space="preserve">FBC 8/Handicaps (FBC 8) (Final).xlsx [6 Results]</t>
        </is>
      </c>
    </row>
    <row r="276" spans="1:18">
      <c r="A276" s="40">
        <v>6</v>
      </c>
      <c r="B276" s="31" t="inlineStr">
        <is>
          <t xml:space="preserve">FBC6-D20</t>
        </is>
      </c>
      <c r="C276" s="31" t="inlineStr">
        <is>
          <t xml:space="preserve">Scramble-Stableford</t>
        </is>
      </c>
      <c r="D276" s="31" t="inlineStr">
        <is>
          <t xml:space="preserve">Scramble</t>
        </is>
      </c>
      <c r="E276" s="40">
        <v>9</v>
      </c>
      <c r="F276" s="42">
        <v>1</v>
      </c>
      <c r="G276" s="31" t="inlineStr">
        <is>
          <t xml:space="preserve">Fogan</t>
        </is>
      </c>
      <c r="H276" s="31" t="inlineStr">
        <is>
          <t xml:space="preserve">Bussiculo</t>
        </is>
      </c>
      <c r="I276" s="31" t="inlineStr">
        <is>
          <t xml:space="preserve">Shively</t>
        </is>
      </c>
      <c r="J276" s="31" t="inlineStr">
        <is>
          <t xml:space="preserve">Connors</t>
        </is>
      </c>
      <c r="K276" s="31" t="inlineStr">
        <is>
          <t xml:space="preserve">Zimmer</t>
        </is>
      </c>
      <c r="L276" s="42">
        <v>0</v>
      </c>
      <c r="M276" s="42">
        <v>0</v>
      </c>
      <c r="N276" s="31" t="inlineStr">
        <is>
          <t xml:space="preserve">Even</t>
        </is>
      </c>
      <c r="O276" s="42">
        <v>0</v>
      </c>
      <c r="P276" s="42">
        <v>0.5</v>
      </c>
      <c r="Q276" s="42">
        <v>-0.5</v>
      </c>
      <c r="R276" s="31" t="inlineStr">
        <is>
          <t xml:space="preserve">FBC 8/Handicaps (FBC 8) (Final).xlsx [6 Results]</t>
        </is>
      </c>
    </row>
    <row r="277" spans="1:18">
      <c r="A277" s="43">
        <v>6</v>
      </c>
      <c r="B277" s="34" t="inlineStr">
        <is>
          <t xml:space="preserve">FBC6-D20</t>
        </is>
      </c>
      <c r="C277" s="34" t="inlineStr">
        <is>
          <t xml:space="preserve">Scramble-Stableford</t>
        </is>
      </c>
      <c r="D277" s="34" t="inlineStr">
        <is>
          <t xml:space="preserve">Scramble</t>
        </is>
      </c>
      <c r="E277" s="43">
        <v>9</v>
      </c>
      <c r="F277" s="45">
        <v>1</v>
      </c>
      <c r="G277" s="34" t="inlineStr">
        <is>
          <t xml:space="preserve">Norat</t>
        </is>
      </c>
      <c r="H277" s="34" t="inlineStr">
        <is>
          <t xml:space="preserve">Connors</t>
        </is>
      </c>
      <c r="I277" s="34" t="inlineStr">
        <is>
          <t xml:space="preserve">Zimmer</t>
        </is>
      </c>
      <c r="J277" s="34" t="inlineStr">
        <is>
          <t xml:space="preserve">Bussiculo</t>
        </is>
      </c>
      <c r="K277" s="34" t="inlineStr">
        <is>
          <t xml:space="preserve">Shively</t>
        </is>
      </c>
      <c r="L277" s="45">
        <v>0</v>
      </c>
      <c r="M277" s="45">
        <v>0</v>
      </c>
      <c r="N277" s="34" t="inlineStr">
        <is>
          <t xml:space="preserve">Even</t>
        </is>
      </c>
      <c r="O277" s="45">
        <v>1</v>
      </c>
      <c r="P277" s="45">
        <v>0.5</v>
      </c>
      <c r="Q277" s="45">
        <v>0.5</v>
      </c>
      <c r="R277" s="34" t="inlineStr">
        <is>
          <t xml:space="preserve">FBC 8/Handicaps (FBC 8) (Final).xlsx [6 Results]</t>
        </is>
      </c>
    </row>
    <row r="278" spans="1:18">
      <c r="A278" s="40">
        <v>6</v>
      </c>
      <c r="B278" s="31" t="inlineStr">
        <is>
          <t xml:space="preserve">FBC6-S-Bussiculo-Welker</t>
        </is>
      </c>
      <c r="C278" s="31" t="inlineStr">
        <is>
          <t xml:space="preserve">Match Play</t>
        </is>
      </c>
      <c r="D278" s="31" t="inlineStr">
        <is>
          <t xml:space="preserve">Singles</t>
        </is>
      </c>
      <c r="E278" s="40">
        <v>18</v>
      </c>
      <c r="F278" s="42">
        <v>2</v>
      </c>
      <c r="G278" s="31" t="inlineStr">
        <is>
          <t xml:space="preserve">Fogan</t>
        </is>
      </c>
      <c r="H278" s="31" t="inlineStr">
        <is>
          <t xml:space="preserve">Bussiculo</t>
        </is>
      </c>
      <c r="I278" s="31"/>
      <c r="J278" s="31" t="inlineStr">
        <is>
          <t xml:space="preserve">Welker</t>
        </is>
      </c>
      <c r="K278" s="31"/>
      <c r="L278" s="42">
        <v>-4</v>
      </c>
      <c r="M278" s="42">
        <v>-4</v>
      </c>
      <c r="N278" s="31" t="inlineStr">
        <is>
          <t xml:space="preserve">Giving</t>
        </is>
      </c>
      <c r="O278" s="42">
        <v>0</v>
      </c>
      <c r="P278" s="42">
        <v>1.083</v>
      </c>
      <c r="Q278" s="42">
        <v>-1.083</v>
      </c>
      <c r="R278" s="31" t="inlineStr">
        <is>
          <t xml:space="preserve">FBC 8/Handicaps (FBC 8) (Final).xlsx [6 Results]</t>
        </is>
      </c>
    </row>
    <row r="279" spans="1:18">
      <c r="A279" s="43">
        <v>6</v>
      </c>
      <c r="B279" s="34" t="inlineStr">
        <is>
          <t xml:space="preserve">FBC6-S-Bussiculo-Welker</t>
        </is>
      </c>
      <c r="C279" s="34" t="inlineStr">
        <is>
          <t xml:space="preserve">Match Play</t>
        </is>
      </c>
      <c r="D279" s="34" t="inlineStr">
        <is>
          <t xml:space="preserve">Singles</t>
        </is>
      </c>
      <c r="E279" s="43">
        <v>18</v>
      </c>
      <c r="F279" s="45">
        <v>2</v>
      </c>
      <c r="G279" s="34" t="inlineStr">
        <is>
          <t xml:space="preserve">Norat</t>
        </is>
      </c>
      <c r="H279" s="34" t="inlineStr">
        <is>
          <t xml:space="preserve">Welker</t>
        </is>
      </c>
      <c r="I279" s="34"/>
      <c r="J279" s="34" t="inlineStr">
        <is>
          <t xml:space="preserve">Bussiculo</t>
        </is>
      </c>
      <c r="K279" s="34"/>
      <c r="L279" s="45">
        <v>4</v>
      </c>
      <c r="M279" s="45">
        <v>4</v>
      </c>
      <c r="N279" s="34" t="inlineStr">
        <is>
          <t xml:space="preserve">Getting</t>
        </is>
      </c>
      <c r="O279" s="45">
        <v>2</v>
      </c>
      <c r="P279" s="45">
        <v>0.917</v>
      </c>
      <c r="Q279" s="45">
        <v>1.083</v>
      </c>
      <c r="R279" s="34" t="inlineStr">
        <is>
          <t xml:space="preserve">FBC 8/Handicaps (FBC 8) (Final).xlsx [6 Results]</t>
        </is>
      </c>
    </row>
    <row r="280" spans="1:18">
      <c r="A280" s="40">
        <v>6</v>
      </c>
      <c r="B280" s="31" t="inlineStr">
        <is>
          <t xml:space="preserve">FBC6-S-Cole-Mangold</t>
        </is>
      </c>
      <c r="C280" s="31" t="inlineStr">
        <is>
          <t xml:space="preserve">Match Play</t>
        </is>
      </c>
      <c r="D280" s="31" t="inlineStr">
        <is>
          <t xml:space="preserve">Singles</t>
        </is>
      </c>
      <c r="E280" s="40">
        <v>18</v>
      </c>
      <c r="F280" s="42">
        <v>2</v>
      </c>
      <c r="G280" s="31" t="inlineStr">
        <is>
          <t xml:space="preserve">Fogan</t>
        </is>
      </c>
      <c r="H280" s="31" t="inlineStr">
        <is>
          <t xml:space="preserve">Mangold</t>
        </is>
      </c>
      <c r="I280" s="31"/>
      <c r="J280" s="31" t="inlineStr">
        <is>
          <t xml:space="preserve">Cole</t>
        </is>
      </c>
      <c r="K280" s="31"/>
      <c r="L280" s="42">
        <v>-7</v>
      </c>
      <c r="M280" s="42">
        <v>-7</v>
      </c>
      <c r="N280" s="31" t="inlineStr">
        <is>
          <t xml:space="preserve">Giving</t>
        </is>
      </c>
      <c r="O280" s="42">
        <v>0</v>
      </c>
      <c r="P280" s="42">
        <v>1.025</v>
      </c>
      <c r="Q280" s="42">
        <v>-1.025</v>
      </c>
      <c r="R280" s="31" t="inlineStr">
        <is>
          <t xml:space="preserve">FBC 8/Handicaps (FBC 8) (Final).xlsx [6 Results]</t>
        </is>
      </c>
    </row>
    <row r="281" spans="1:18">
      <c r="A281" s="43">
        <v>6</v>
      </c>
      <c r="B281" s="34" t="inlineStr">
        <is>
          <t xml:space="preserve">FBC6-S-Cole-Mangold</t>
        </is>
      </c>
      <c r="C281" s="34" t="inlineStr">
        <is>
          <t xml:space="preserve">Match Play</t>
        </is>
      </c>
      <c r="D281" s="34" t="inlineStr">
        <is>
          <t xml:space="preserve">Singles</t>
        </is>
      </c>
      <c r="E281" s="43">
        <v>18</v>
      </c>
      <c r="F281" s="45">
        <v>2</v>
      </c>
      <c r="G281" s="34" t="inlineStr">
        <is>
          <t xml:space="preserve">Norat</t>
        </is>
      </c>
      <c r="H281" s="34" t="inlineStr">
        <is>
          <t xml:space="preserve">Cole</t>
        </is>
      </c>
      <c r="I281" s="34"/>
      <c r="J281" s="34" t="inlineStr">
        <is>
          <t xml:space="preserve">Mangold</t>
        </is>
      </c>
      <c r="K281" s="34"/>
      <c r="L281" s="45">
        <v>7</v>
      </c>
      <c r="M281" s="45">
        <v>7</v>
      </c>
      <c r="N281" s="34" t="inlineStr">
        <is>
          <t xml:space="preserve">Getting</t>
        </is>
      </c>
      <c r="O281" s="45">
        <v>2</v>
      </c>
      <c r="P281" s="45">
        <v>0.975</v>
      </c>
      <c r="Q281" s="45">
        <v>1.025</v>
      </c>
      <c r="R281" s="34" t="inlineStr">
        <is>
          <t xml:space="preserve">FBC 8/Handicaps (FBC 8) (Final).xlsx [6 Results]</t>
        </is>
      </c>
    </row>
    <row r="282" spans="1:18">
      <c r="A282" s="40">
        <v>6</v>
      </c>
      <c r="B282" s="31" t="inlineStr">
        <is>
          <t xml:space="preserve">FBC6-S-Connolly-Gray</t>
        </is>
      </c>
      <c r="C282" s="31" t="inlineStr">
        <is>
          <t xml:space="preserve">Match Play</t>
        </is>
      </c>
      <c r="D282" s="31" t="inlineStr">
        <is>
          <t xml:space="preserve">Singles</t>
        </is>
      </c>
      <c r="E282" s="40">
        <v>18</v>
      </c>
      <c r="F282" s="42">
        <v>2</v>
      </c>
      <c r="G282" s="31" t="inlineStr">
        <is>
          <t xml:space="preserve">Fogan</t>
        </is>
      </c>
      <c r="H282" s="31" t="inlineStr">
        <is>
          <t xml:space="preserve">Gray</t>
        </is>
      </c>
      <c r="I282" s="31"/>
      <c r="J282" s="31" t="inlineStr">
        <is>
          <t xml:space="preserve">Connolly</t>
        </is>
      </c>
      <c r="K282" s="31"/>
      <c r="L282" s="42">
        <v>-3</v>
      </c>
      <c r="M282" s="42">
        <v>-3</v>
      </c>
      <c r="N282" s="31" t="inlineStr">
        <is>
          <t xml:space="preserve">Giving</t>
        </is>
      </c>
      <c r="O282" s="42">
        <v>2</v>
      </c>
      <c r="P282" s="42">
        <v>1.103</v>
      </c>
      <c r="Q282" s="42">
        <v>0.897</v>
      </c>
      <c r="R282" s="31" t="inlineStr">
        <is>
          <t xml:space="preserve">FBC 8/Handicaps (FBC 8) (Final).xlsx [6 Results]</t>
        </is>
      </c>
    </row>
    <row r="283" spans="1:18">
      <c r="A283" s="43">
        <v>6</v>
      </c>
      <c r="B283" s="34" t="inlineStr">
        <is>
          <t xml:space="preserve">FBC6-S-Connolly-Gray</t>
        </is>
      </c>
      <c r="C283" s="34" t="inlineStr">
        <is>
          <t xml:space="preserve">Match Play</t>
        </is>
      </c>
      <c r="D283" s="34" t="inlineStr">
        <is>
          <t xml:space="preserve">Singles</t>
        </is>
      </c>
      <c r="E283" s="43">
        <v>18</v>
      </c>
      <c r="F283" s="45">
        <v>2</v>
      </c>
      <c r="G283" s="34" t="inlineStr">
        <is>
          <t xml:space="preserve">Norat</t>
        </is>
      </c>
      <c r="H283" s="34" t="inlineStr">
        <is>
          <t xml:space="preserve">Connolly</t>
        </is>
      </c>
      <c r="I283" s="34"/>
      <c r="J283" s="34" t="inlineStr">
        <is>
          <t xml:space="preserve">Gray</t>
        </is>
      </c>
      <c r="K283" s="34"/>
      <c r="L283" s="45">
        <v>3</v>
      </c>
      <c r="M283" s="45">
        <v>3</v>
      </c>
      <c r="N283" s="34" t="inlineStr">
        <is>
          <t xml:space="preserve">Getting</t>
        </is>
      </c>
      <c r="O283" s="45">
        <v>0</v>
      </c>
      <c r="P283" s="45">
        <v>0.897</v>
      </c>
      <c r="Q283" s="45">
        <v>-0.897</v>
      </c>
      <c r="R283" s="34" t="inlineStr">
        <is>
          <t xml:space="preserve">FBC 8/Handicaps (FBC 8) (Final).xlsx [6 Results]</t>
        </is>
      </c>
    </row>
    <row r="284" spans="1:18">
      <c r="A284" s="40">
        <v>6</v>
      </c>
      <c r="B284" s="31" t="inlineStr">
        <is>
          <t xml:space="preserve">FBC6-S-Connors-Shively</t>
        </is>
      </c>
      <c r="C284" s="31" t="inlineStr">
        <is>
          <t xml:space="preserve">Match Play</t>
        </is>
      </c>
      <c r="D284" s="31" t="inlineStr">
        <is>
          <t xml:space="preserve">Singles</t>
        </is>
      </c>
      <c r="E284" s="40">
        <v>18</v>
      </c>
      <c r="F284" s="42">
        <v>2</v>
      </c>
      <c r="G284" s="31" t="inlineStr">
        <is>
          <t xml:space="preserve">Fogan</t>
        </is>
      </c>
      <c r="H284" s="31" t="inlineStr">
        <is>
          <t xml:space="preserve">Shively</t>
        </is>
      </c>
      <c r="I284" s="31"/>
      <c r="J284" s="31" t="inlineStr">
        <is>
          <t xml:space="preserve">Connors</t>
        </is>
      </c>
      <c r="K284" s="31"/>
      <c r="L284" s="42">
        <v>1</v>
      </c>
      <c r="M284" s="42">
        <v>1</v>
      </c>
      <c r="N284" s="31" t="inlineStr">
        <is>
          <t xml:space="preserve">Getting</t>
        </is>
      </c>
      <c r="O284" s="42">
        <v>2</v>
      </c>
      <c r="P284" s="42">
        <v>0.859</v>
      </c>
      <c r="Q284" s="42">
        <v>1.141</v>
      </c>
      <c r="R284" s="31" t="inlineStr">
        <is>
          <t xml:space="preserve">FBC 8/Handicaps (FBC 8) (Final).xlsx [6 Results]</t>
        </is>
      </c>
    </row>
    <row r="285" spans="1:18">
      <c r="A285" s="43">
        <v>6</v>
      </c>
      <c r="B285" s="34" t="inlineStr">
        <is>
          <t xml:space="preserve">FBC6-S-Connors-Shively</t>
        </is>
      </c>
      <c r="C285" s="34" t="inlineStr">
        <is>
          <t xml:space="preserve">Match Play</t>
        </is>
      </c>
      <c r="D285" s="34" t="inlineStr">
        <is>
          <t xml:space="preserve">Singles</t>
        </is>
      </c>
      <c r="E285" s="43">
        <v>18</v>
      </c>
      <c r="F285" s="45">
        <v>2</v>
      </c>
      <c r="G285" s="34" t="inlineStr">
        <is>
          <t xml:space="preserve">Norat</t>
        </is>
      </c>
      <c r="H285" s="34" t="inlineStr">
        <is>
          <t xml:space="preserve">Connors</t>
        </is>
      </c>
      <c r="I285" s="34"/>
      <c r="J285" s="34" t="inlineStr">
        <is>
          <t xml:space="preserve">Shively</t>
        </is>
      </c>
      <c r="K285" s="34"/>
      <c r="L285" s="45">
        <v>-1</v>
      </c>
      <c r="M285" s="45">
        <v>-1</v>
      </c>
      <c r="N285" s="34" t="inlineStr">
        <is>
          <t xml:space="preserve">Giving</t>
        </is>
      </c>
      <c r="O285" s="45">
        <v>0</v>
      </c>
      <c r="P285" s="45">
        <v>1.141</v>
      </c>
      <c r="Q285" s="45">
        <v>-1.141</v>
      </c>
      <c r="R285" s="34" t="inlineStr">
        <is>
          <t xml:space="preserve">FBC 8/Handicaps (FBC 8) (Final).xlsx [6 Results]</t>
        </is>
      </c>
    </row>
    <row r="286" spans="1:18">
      <c r="A286" s="40">
        <v>6</v>
      </c>
      <c r="B286" s="31" t="inlineStr">
        <is>
          <t xml:space="preserve">FBC6-S-Ferrin-Grise</t>
        </is>
      </c>
      <c r="C286" s="31" t="inlineStr">
        <is>
          <t xml:space="preserve">Match Play</t>
        </is>
      </c>
      <c r="D286" s="31" t="inlineStr">
        <is>
          <t xml:space="preserve">Singles</t>
        </is>
      </c>
      <c r="E286" s="40">
        <v>18</v>
      </c>
      <c r="F286" s="42">
        <v>2</v>
      </c>
      <c r="G286" s="31" t="inlineStr">
        <is>
          <t xml:space="preserve">Fogan</t>
        </is>
      </c>
      <c r="H286" s="31" t="inlineStr">
        <is>
          <t xml:space="preserve">Grise</t>
        </is>
      </c>
      <c r="I286" s="31"/>
      <c r="J286" s="31" t="inlineStr">
        <is>
          <t xml:space="preserve">Ferrin</t>
        </is>
      </c>
      <c r="K286" s="31"/>
      <c r="L286" s="42">
        <v>-2</v>
      </c>
      <c r="M286" s="42">
        <v>-2</v>
      </c>
      <c r="N286" s="31" t="inlineStr">
        <is>
          <t xml:space="preserve">Giving</t>
        </is>
      </c>
      <c r="O286" s="42">
        <v>2</v>
      </c>
      <c r="P286" s="42">
        <v>1.122</v>
      </c>
      <c r="Q286" s="42">
        <v>0.878</v>
      </c>
      <c r="R286" s="31" t="inlineStr">
        <is>
          <t xml:space="preserve">FBC 8/Handicaps (FBC 8) (Final).xlsx [6 Results]</t>
        </is>
      </c>
    </row>
    <row r="287" spans="1:18">
      <c r="A287" s="43">
        <v>6</v>
      </c>
      <c r="B287" s="34" t="inlineStr">
        <is>
          <t xml:space="preserve">FBC6-S-Ferrin-Grise</t>
        </is>
      </c>
      <c r="C287" s="34" t="inlineStr">
        <is>
          <t xml:space="preserve">Match Play</t>
        </is>
      </c>
      <c r="D287" s="34" t="inlineStr">
        <is>
          <t xml:space="preserve">Singles</t>
        </is>
      </c>
      <c r="E287" s="43">
        <v>18</v>
      </c>
      <c r="F287" s="45">
        <v>2</v>
      </c>
      <c r="G287" s="34" t="inlineStr">
        <is>
          <t xml:space="preserve">Norat</t>
        </is>
      </c>
      <c r="H287" s="34" t="inlineStr">
        <is>
          <t xml:space="preserve">Ferrin</t>
        </is>
      </c>
      <c r="I287" s="34"/>
      <c r="J287" s="34" t="inlineStr">
        <is>
          <t xml:space="preserve">Grise</t>
        </is>
      </c>
      <c r="K287" s="34"/>
      <c r="L287" s="45">
        <v>2</v>
      </c>
      <c r="M287" s="45">
        <v>2</v>
      </c>
      <c r="N287" s="34" t="inlineStr">
        <is>
          <t xml:space="preserve">Getting</t>
        </is>
      </c>
      <c r="O287" s="45">
        <v>0</v>
      </c>
      <c r="P287" s="45">
        <v>0.878</v>
      </c>
      <c r="Q287" s="45">
        <v>-0.878</v>
      </c>
      <c r="R287" s="34" t="inlineStr">
        <is>
          <t xml:space="preserve">FBC 8/Handicaps (FBC 8) (Final).xlsx [6 Results]</t>
        </is>
      </c>
    </row>
    <row r="288" spans="1:18">
      <c r="A288" s="40">
        <v>6</v>
      </c>
      <c r="B288" s="31" t="inlineStr">
        <is>
          <t xml:space="preserve">FBC6-S-Flanders-McInerney</t>
        </is>
      </c>
      <c r="C288" s="31" t="inlineStr">
        <is>
          <t xml:space="preserve">Match Play</t>
        </is>
      </c>
      <c r="D288" s="31" t="inlineStr">
        <is>
          <t xml:space="preserve">Singles</t>
        </is>
      </c>
      <c r="E288" s="40">
        <v>18</v>
      </c>
      <c r="F288" s="42">
        <v>2</v>
      </c>
      <c r="G288" s="31" t="inlineStr">
        <is>
          <t xml:space="preserve">Fogan</t>
        </is>
      </c>
      <c r="H288" s="31" t="inlineStr">
        <is>
          <t xml:space="preserve">McInerney</t>
        </is>
      </c>
      <c r="I288" s="31"/>
      <c r="J288" s="31" t="inlineStr">
        <is>
          <t xml:space="preserve">Flanders</t>
        </is>
      </c>
      <c r="K288" s="31"/>
      <c r="L288" s="42">
        <v>5</v>
      </c>
      <c r="M288" s="42">
        <v>5</v>
      </c>
      <c r="N288" s="31" t="inlineStr">
        <is>
          <t xml:space="preserve">Getting</t>
        </is>
      </c>
      <c r="O288" s="42">
        <v>1</v>
      </c>
      <c r="P288" s="42">
        <v>0.936</v>
      </c>
      <c r="Q288" s="42">
        <v>0.064</v>
      </c>
      <c r="R288" s="31" t="inlineStr">
        <is>
          <t xml:space="preserve">FBC 8/Handicaps (FBC 8) (Final).xlsx [6 Results]</t>
        </is>
      </c>
    </row>
    <row r="289" spans="1:18">
      <c r="A289" s="43">
        <v>6</v>
      </c>
      <c r="B289" s="34" t="inlineStr">
        <is>
          <t xml:space="preserve">FBC6-S-Flanders-McInerney</t>
        </is>
      </c>
      <c r="C289" s="34" t="inlineStr">
        <is>
          <t xml:space="preserve">Match Play</t>
        </is>
      </c>
      <c r="D289" s="34" t="inlineStr">
        <is>
          <t xml:space="preserve">Singles</t>
        </is>
      </c>
      <c r="E289" s="43">
        <v>18</v>
      </c>
      <c r="F289" s="45">
        <v>2</v>
      </c>
      <c r="G289" s="34" t="inlineStr">
        <is>
          <t xml:space="preserve">Norat</t>
        </is>
      </c>
      <c r="H289" s="34" t="inlineStr">
        <is>
          <t xml:space="preserve">Flanders</t>
        </is>
      </c>
      <c r="I289" s="34"/>
      <c r="J289" s="34" t="inlineStr">
        <is>
          <t xml:space="preserve">McInerney</t>
        </is>
      </c>
      <c r="K289" s="34"/>
      <c r="L289" s="45">
        <v>-5</v>
      </c>
      <c r="M289" s="45">
        <v>-5</v>
      </c>
      <c r="N289" s="34" t="inlineStr">
        <is>
          <t xml:space="preserve">Giving</t>
        </is>
      </c>
      <c r="O289" s="45">
        <v>1</v>
      </c>
      <c r="P289" s="45">
        <v>1.064</v>
      </c>
      <c r="Q289" s="45">
        <v>-0.064</v>
      </c>
      <c r="R289" s="34" t="inlineStr">
        <is>
          <t xml:space="preserve">FBC 8/Handicaps (FBC 8) (Final).xlsx [6 Results]</t>
        </is>
      </c>
    </row>
    <row r="290" spans="1:18">
      <c r="A290" s="40">
        <v>6</v>
      </c>
      <c r="B290" s="31" t="inlineStr">
        <is>
          <t xml:space="preserve">FBC6-S-Fogan-Norat</t>
        </is>
      </c>
      <c r="C290" s="31" t="inlineStr">
        <is>
          <t xml:space="preserve">Match Play</t>
        </is>
      </c>
      <c r="D290" s="31" t="inlineStr">
        <is>
          <t xml:space="preserve">Singles</t>
        </is>
      </c>
      <c r="E290" s="40">
        <v>18</v>
      </c>
      <c r="F290" s="42">
        <v>2</v>
      </c>
      <c r="G290" s="31" t="inlineStr">
        <is>
          <t xml:space="preserve">Fogan</t>
        </is>
      </c>
      <c r="H290" s="31" t="inlineStr">
        <is>
          <t xml:space="preserve">Fogan</t>
        </is>
      </c>
      <c r="I290" s="31"/>
      <c r="J290" s="31" t="inlineStr">
        <is>
          <t xml:space="preserve">Norat</t>
        </is>
      </c>
      <c r="K290" s="31"/>
      <c r="L290" s="42">
        <v>8</v>
      </c>
      <c r="M290" s="42">
        <v>8</v>
      </c>
      <c r="N290" s="31" t="inlineStr">
        <is>
          <t xml:space="preserve">Getting</t>
        </is>
      </c>
      <c r="O290" s="42">
        <v>0</v>
      </c>
      <c r="P290" s="42">
        <v>0.995</v>
      </c>
      <c r="Q290" s="42">
        <v>-0.995</v>
      </c>
      <c r="R290" s="31" t="inlineStr">
        <is>
          <t xml:space="preserve">FBC 8/Handicaps (FBC 8) (Final).xlsx [6 Results]</t>
        </is>
      </c>
    </row>
    <row r="291" spans="1:18">
      <c r="A291" s="43">
        <v>6</v>
      </c>
      <c r="B291" s="34" t="inlineStr">
        <is>
          <t xml:space="preserve">FBC6-S-Fogan-Norat</t>
        </is>
      </c>
      <c r="C291" s="34" t="inlineStr">
        <is>
          <t xml:space="preserve">Match Play</t>
        </is>
      </c>
      <c r="D291" s="34" t="inlineStr">
        <is>
          <t xml:space="preserve">Singles</t>
        </is>
      </c>
      <c r="E291" s="43">
        <v>18</v>
      </c>
      <c r="F291" s="45">
        <v>2</v>
      </c>
      <c r="G291" s="34" t="inlineStr">
        <is>
          <t xml:space="preserve">Norat</t>
        </is>
      </c>
      <c r="H291" s="34" t="inlineStr">
        <is>
          <t xml:space="preserve">Norat</t>
        </is>
      </c>
      <c r="I291" s="34"/>
      <c r="J291" s="34" t="inlineStr">
        <is>
          <t xml:space="preserve">Fogan</t>
        </is>
      </c>
      <c r="K291" s="34"/>
      <c r="L291" s="45">
        <v>-8</v>
      </c>
      <c r="M291" s="45">
        <v>-8</v>
      </c>
      <c r="N291" s="34" t="inlineStr">
        <is>
          <t xml:space="preserve">Giving</t>
        </is>
      </c>
      <c r="O291" s="45">
        <v>2</v>
      </c>
      <c r="P291" s="45">
        <v>1.005</v>
      </c>
      <c r="Q291" s="45">
        <v>0.995</v>
      </c>
      <c r="R291" s="34" t="inlineStr">
        <is>
          <t xml:space="preserve">FBC 8/Handicaps (FBC 8) (Final).xlsx [6 Results]</t>
        </is>
      </c>
    </row>
    <row r="292" spans="1:18">
      <c r="A292" s="40">
        <v>6</v>
      </c>
      <c r="B292" s="31" t="inlineStr">
        <is>
          <t xml:space="preserve">FBC6-S-Forster-Lynch</t>
        </is>
      </c>
      <c r="C292" s="31" t="inlineStr">
        <is>
          <t xml:space="preserve">Match Play</t>
        </is>
      </c>
      <c r="D292" s="31" t="inlineStr">
        <is>
          <t xml:space="preserve">Singles</t>
        </is>
      </c>
      <c r="E292" s="40">
        <v>18</v>
      </c>
      <c r="F292" s="42">
        <v>2</v>
      </c>
      <c r="G292" s="31" t="inlineStr">
        <is>
          <t xml:space="preserve">Fogan</t>
        </is>
      </c>
      <c r="H292" s="31" t="inlineStr">
        <is>
          <t xml:space="preserve">Lynch</t>
        </is>
      </c>
      <c r="I292" s="31"/>
      <c r="J292" s="31" t="inlineStr">
        <is>
          <t xml:space="preserve">Forster</t>
        </is>
      </c>
      <c r="K292" s="31"/>
      <c r="L292" s="42">
        <v>-2</v>
      </c>
      <c r="M292" s="42">
        <v>-2</v>
      </c>
      <c r="N292" s="31" t="inlineStr">
        <is>
          <t xml:space="preserve">Giving</t>
        </is>
      </c>
      <c r="O292" s="42">
        <v>0</v>
      </c>
      <c r="P292" s="42">
        <v>1.122</v>
      </c>
      <c r="Q292" s="42">
        <v>-1.122</v>
      </c>
      <c r="R292" s="31" t="inlineStr">
        <is>
          <t xml:space="preserve">FBC 8/Handicaps (FBC 8) (Final).xlsx [6 Results]</t>
        </is>
      </c>
    </row>
    <row r="293" spans="1:18">
      <c r="A293" s="43">
        <v>6</v>
      </c>
      <c r="B293" s="34" t="inlineStr">
        <is>
          <t xml:space="preserve">FBC6-S-Forster-Lynch</t>
        </is>
      </c>
      <c r="C293" s="34" t="inlineStr">
        <is>
          <t xml:space="preserve">Match Play</t>
        </is>
      </c>
      <c r="D293" s="34" t="inlineStr">
        <is>
          <t xml:space="preserve">Singles</t>
        </is>
      </c>
      <c r="E293" s="43">
        <v>18</v>
      </c>
      <c r="F293" s="45">
        <v>2</v>
      </c>
      <c r="G293" s="34" t="inlineStr">
        <is>
          <t xml:space="preserve">Norat</t>
        </is>
      </c>
      <c r="H293" s="34" t="inlineStr">
        <is>
          <t xml:space="preserve">Forster</t>
        </is>
      </c>
      <c r="I293" s="34"/>
      <c r="J293" s="34" t="inlineStr">
        <is>
          <t xml:space="preserve">Lynch</t>
        </is>
      </c>
      <c r="K293" s="34"/>
      <c r="L293" s="45">
        <v>2</v>
      </c>
      <c r="M293" s="45">
        <v>2</v>
      </c>
      <c r="N293" s="34" t="inlineStr">
        <is>
          <t xml:space="preserve">Getting</t>
        </is>
      </c>
      <c r="O293" s="45">
        <v>2</v>
      </c>
      <c r="P293" s="45">
        <v>0.878</v>
      </c>
      <c r="Q293" s="45">
        <v>1.122</v>
      </c>
      <c r="R293" s="34" t="inlineStr">
        <is>
          <t xml:space="preserve">FBC 8/Handicaps (FBC 8) (Final).xlsx [6 Results]</t>
        </is>
      </c>
    </row>
    <row r="294" spans="1:18">
      <c r="A294" s="40">
        <v>6</v>
      </c>
      <c r="B294" s="31" t="inlineStr">
        <is>
          <t xml:space="preserve">FBC6-S-Hilts-Poirier</t>
        </is>
      </c>
      <c r="C294" s="31" t="inlineStr">
        <is>
          <t xml:space="preserve">Match Play</t>
        </is>
      </c>
      <c r="D294" s="31" t="inlineStr">
        <is>
          <t xml:space="preserve">Singles</t>
        </is>
      </c>
      <c r="E294" s="40">
        <v>18</v>
      </c>
      <c r="F294" s="42">
        <v>2</v>
      </c>
      <c r="G294" s="31" t="inlineStr">
        <is>
          <t xml:space="preserve">Fogan</t>
        </is>
      </c>
      <c r="H294" s="31" t="inlineStr">
        <is>
          <t xml:space="preserve">Hilts</t>
        </is>
      </c>
      <c r="I294" s="31"/>
      <c r="J294" s="31" t="inlineStr">
        <is>
          <t xml:space="preserve">Poirier</t>
        </is>
      </c>
      <c r="K294" s="31"/>
      <c r="L294" s="42">
        <v>13</v>
      </c>
      <c r="M294" s="42">
        <v>13</v>
      </c>
      <c r="N294" s="31" t="inlineStr">
        <is>
          <t xml:space="preserve">Getting</t>
        </is>
      </c>
      <c r="O294" s="42">
        <v>2</v>
      </c>
      <c r="P294" s="42">
        <v>1.093</v>
      </c>
      <c r="Q294" s="42">
        <v>0.907</v>
      </c>
      <c r="R294" s="31" t="inlineStr">
        <is>
          <t xml:space="preserve">FBC 8/Handicaps (FBC 8) (Final).xlsx [6 Results]</t>
        </is>
      </c>
    </row>
    <row r="295" spans="1:18">
      <c r="A295" s="43">
        <v>6</v>
      </c>
      <c r="B295" s="34" t="inlineStr">
        <is>
          <t xml:space="preserve">FBC6-S-Hilts-Poirier</t>
        </is>
      </c>
      <c r="C295" s="34" t="inlineStr">
        <is>
          <t xml:space="preserve">Match Play</t>
        </is>
      </c>
      <c r="D295" s="34" t="inlineStr">
        <is>
          <t xml:space="preserve">Singles</t>
        </is>
      </c>
      <c r="E295" s="43">
        <v>18</v>
      </c>
      <c r="F295" s="45">
        <v>2</v>
      </c>
      <c r="G295" s="34" t="inlineStr">
        <is>
          <t xml:space="preserve">Norat</t>
        </is>
      </c>
      <c r="H295" s="34" t="inlineStr">
        <is>
          <t xml:space="preserve">Poirier</t>
        </is>
      </c>
      <c r="I295" s="34"/>
      <c r="J295" s="34" t="inlineStr">
        <is>
          <t xml:space="preserve">Hilts</t>
        </is>
      </c>
      <c r="K295" s="34"/>
      <c r="L295" s="45">
        <v>-13</v>
      </c>
      <c r="M295" s="45">
        <v>-13</v>
      </c>
      <c r="N295" s="34" t="inlineStr">
        <is>
          <t xml:space="preserve">Giving</t>
        </is>
      </c>
      <c r="O295" s="45">
        <v>0</v>
      </c>
      <c r="P295" s="45">
        <v>0.907</v>
      </c>
      <c r="Q295" s="45">
        <v>-0.907</v>
      </c>
      <c r="R295" s="34" t="inlineStr">
        <is>
          <t xml:space="preserve">FBC 8/Handicaps (FBC 8) (Final).xlsx [6 Results]</t>
        </is>
      </c>
    </row>
    <row r="296" spans="1:18">
      <c r="A296" s="40">
        <v>6</v>
      </c>
      <c r="B296" s="31" t="inlineStr">
        <is>
          <t xml:space="preserve">FBC6-S-Jackson-Zimmer</t>
        </is>
      </c>
      <c r="C296" s="31" t="inlineStr">
        <is>
          <t xml:space="preserve">Match Play</t>
        </is>
      </c>
      <c r="D296" s="31" t="inlineStr">
        <is>
          <t xml:space="preserve">Singles</t>
        </is>
      </c>
      <c r="E296" s="40">
        <v>18</v>
      </c>
      <c r="F296" s="42">
        <v>2</v>
      </c>
      <c r="G296" s="31" t="inlineStr">
        <is>
          <t xml:space="preserve">Fogan</t>
        </is>
      </c>
      <c r="H296" s="31" t="inlineStr">
        <is>
          <t xml:space="preserve">Jackson</t>
        </is>
      </c>
      <c r="I296" s="31"/>
      <c r="J296" s="31" t="inlineStr">
        <is>
          <t xml:space="preserve">Zimmer</t>
        </is>
      </c>
      <c r="K296" s="31"/>
      <c r="L296" s="42">
        <v>2</v>
      </c>
      <c r="M296" s="42">
        <v>2</v>
      </c>
      <c r="N296" s="31" t="inlineStr">
        <is>
          <t xml:space="preserve">Getting</t>
        </is>
      </c>
      <c r="O296" s="42">
        <v>2</v>
      </c>
      <c r="P296" s="42">
        <v>0.878</v>
      </c>
      <c r="Q296" s="42">
        <v>1.122</v>
      </c>
      <c r="R296" s="31" t="inlineStr">
        <is>
          <t xml:space="preserve">FBC 8/Handicaps (FBC 8) (Final).xlsx [6 Results]</t>
        </is>
      </c>
    </row>
    <row r="297" spans="1:18">
      <c r="A297" s="43">
        <v>6</v>
      </c>
      <c r="B297" s="34" t="inlineStr">
        <is>
          <t xml:space="preserve">FBC6-S-Jackson-Zimmer</t>
        </is>
      </c>
      <c r="C297" s="34" t="inlineStr">
        <is>
          <t xml:space="preserve">Match Play</t>
        </is>
      </c>
      <c r="D297" s="34" t="inlineStr">
        <is>
          <t xml:space="preserve">Singles</t>
        </is>
      </c>
      <c r="E297" s="43">
        <v>18</v>
      </c>
      <c r="F297" s="45">
        <v>2</v>
      </c>
      <c r="G297" s="34" t="inlineStr">
        <is>
          <t xml:space="preserve">Norat</t>
        </is>
      </c>
      <c r="H297" s="34" t="inlineStr">
        <is>
          <t xml:space="preserve">Zimmer</t>
        </is>
      </c>
      <c r="I297" s="34"/>
      <c r="J297" s="34" t="inlineStr">
        <is>
          <t xml:space="preserve">Jackson</t>
        </is>
      </c>
      <c r="K297" s="34"/>
      <c r="L297" s="45">
        <v>-2</v>
      </c>
      <c r="M297" s="45">
        <v>-2</v>
      </c>
      <c r="N297" s="34" t="inlineStr">
        <is>
          <t xml:space="preserve">Giving</t>
        </is>
      </c>
      <c r="O297" s="45">
        <v>0</v>
      </c>
      <c r="P297" s="45">
        <v>1.122</v>
      </c>
      <c r="Q297" s="45">
        <v>-1.122</v>
      </c>
      <c r="R297" s="34" t="inlineStr">
        <is>
          <t xml:space="preserve">FBC 8/Handicaps (FBC 8) (Final).xlsx [6 Results]</t>
        </is>
      </c>
    </row>
    <row r="298" spans="1:18">
      <c r="A298" s="40">
        <v>7</v>
      </c>
      <c r="B298" s="31" t="inlineStr">
        <is>
          <t xml:space="preserve">FBC7-D1</t>
        </is>
      </c>
      <c r="C298" s="31" t="inlineStr">
        <is>
          <t xml:space="preserve">Best Ball</t>
        </is>
      </c>
      <c r="D298" s="31" t="inlineStr">
        <is>
          <t xml:space="preserve">Four-ball</t>
        </is>
      </c>
      <c r="E298" s="40">
        <v>9</v>
      </c>
      <c r="F298" s="42">
        <v>1</v>
      </c>
      <c r="G298" s="31" t="inlineStr">
        <is>
          <t xml:space="preserve">Ferrin/Jax</t>
        </is>
      </c>
      <c r="H298" s="31" t="inlineStr">
        <is>
          <t xml:space="preserve">Grise</t>
        </is>
      </c>
      <c r="I298" s="31" t="inlineStr">
        <is>
          <t xml:space="preserve">Jackson</t>
        </is>
      </c>
      <c r="J298" s="31" t="inlineStr">
        <is>
          <t xml:space="preserve">Connolly</t>
        </is>
      </c>
      <c r="K298" s="31" t="inlineStr">
        <is>
          <t xml:space="preserve">Fogan</t>
        </is>
      </c>
      <c r="L298" s="42">
        <v>-6.5</v>
      </c>
      <c r="M298" s="42">
        <v>-3.25</v>
      </c>
      <c r="N298" s="31" t="inlineStr">
        <is>
          <t xml:space="preserve">Giving</t>
        </is>
      </c>
      <c r="O298" s="42">
        <v>1</v>
      </c>
      <c r="P298" s="42">
        <v>0.559</v>
      </c>
      <c r="Q298" s="42">
        <v>0.441</v>
      </c>
      <c r="R298" s="31" t="inlineStr">
        <is>
          <t xml:space="preserve">FBC 7/Handicaps &amp; Expected PPC (2019).xlsx [FBCVII]</t>
        </is>
      </c>
    </row>
    <row r="299" spans="1:18">
      <c r="A299" s="43">
        <v>7</v>
      </c>
      <c r="B299" s="34" t="inlineStr">
        <is>
          <t xml:space="preserve">FBC7-D1</t>
        </is>
      </c>
      <c r="C299" s="34" t="inlineStr">
        <is>
          <t xml:space="preserve">Best Ball</t>
        </is>
      </c>
      <c r="D299" s="34" t="inlineStr">
        <is>
          <t xml:space="preserve">Four-ball</t>
        </is>
      </c>
      <c r="E299" s="43">
        <v>9</v>
      </c>
      <c r="F299" s="45">
        <v>1</v>
      </c>
      <c r="G299" s="34" t="inlineStr">
        <is>
          <t xml:space="preserve">Connolly/Hilts</t>
        </is>
      </c>
      <c r="H299" s="34" t="inlineStr">
        <is>
          <t xml:space="preserve">Connolly</t>
        </is>
      </c>
      <c r="I299" s="34" t="inlineStr">
        <is>
          <t xml:space="preserve">Fogan</t>
        </is>
      </c>
      <c r="J299" s="34" t="inlineStr">
        <is>
          <t xml:space="preserve">Grise</t>
        </is>
      </c>
      <c r="K299" s="34" t="inlineStr">
        <is>
          <t xml:space="preserve">Jackson</t>
        </is>
      </c>
      <c r="L299" s="45">
        <v>6.5</v>
      </c>
      <c r="M299" s="45">
        <v>3.25</v>
      </c>
      <c r="N299" s="34" t="inlineStr">
        <is>
          <t xml:space="preserve">Getting</t>
        </is>
      </c>
      <c r="O299" s="45">
        <v>0</v>
      </c>
      <c r="P299" s="45">
        <v>0.441</v>
      </c>
      <c r="Q299" s="45">
        <v>-0.441</v>
      </c>
      <c r="R299" s="34" t="inlineStr">
        <is>
          <t xml:space="preserve">FBC 7/Handicaps &amp; Expected PPC (2019).xlsx [FBCVII]</t>
        </is>
      </c>
    </row>
    <row r="300" spans="1:18">
      <c r="A300" s="40">
        <v>7</v>
      </c>
      <c r="B300" s="31" t="inlineStr">
        <is>
          <t xml:space="preserve">FBC7-D2</t>
        </is>
      </c>
      <c r="C300" s="31" t="inlineStr">
        <is>
          <t xml:space="preserve">Best Ball</t>
        </is>
      </c>
      <c r="D300" s="31" t="inlineStr">
        <is>
          <t xml:space="preserve">Four-ball</t>
        </is>
      </c>
      <c r="E300" s="40">
        <v>9</v>
      </c>
      <c r="F300" s="42">
        <v>1</v>
      </c>
      <c r="G300" s="31" t="inlineStr">
        <is>
          <t xml:space="preserve">Connolly/Hilts</t>
        </is>
      </c>
      <c r="H300" s="31" t="inlineStr">
        <is>
          <t xml:space="preserve">McInerney</t>
        </is>
      </c>
      <c r="I300" s="31" t="inlineStr">
        <is>
          <t xml:space="preserve">Shively</t>
        </is>
      </c>
      <c r="J300" s="31" t="inlineStr">
        <is>
          <t xml:space="preserve">Ferrin</t>
        </is>
      </c>
      <c r="K300" s="31" t="inlineStr">
        <is>
          <t xml:space="preserve">Flanders</t>
        </is>
      </c>
      <c r="L300" s="42">
        <v>2.5</v>
      </c>
      <c r="M300" s="42">
        <v>1.25</v>
      </c>
      <c r="N300" s="31" t="inlineStr">
        <is>
          <t xml:space="preserve">Getting</t>
        </is>
      </c>
      <c r="O300" s="42">
        <v>0</v>
      </c>
      <c r="P300" s="42">
        <v>0.428</v>
      </c>
      <c r="Q300" s="42">
        <v>-0.428</v>
      </c>
      <c r="R300" s="31" t="inlineStr">
        <is>
          <t xml:space="preserve">FBC 7/Handicaps &amp; Expected PPC (2019).xlsx [FBCVII]</t>
        </is>
      </c>
    </row>
    <row r="301" spans="1:18">
      <c r="A301" s="43">
        <v>7</v>
      </c>
      <c r="B301" s="34" t="inlineStr">
        <is>
          <t xml:space="preserve">FBC7-D2</t>
        </is>
      </c>
      <c r="C301" s="34" t="inlineStr">
        <is>
          <t xml:space="preserve">Best Ball</t>
        </is>
      </c>
      <c r="D301" s="34" t="inlineStr">
        <is>
          <t xml:space="preserve">Four-ball</t>
        </is>
      </c>
      <c r="E301" s="43">
        <v>9</v>
      </c>
      <c r="F301" s="45">
        <v>1</v>
      </c>
      <c r="G301" s="34" t="inlineStr">
        <is>
          <t xml:space="preserve">Ferrin/Jax</t>
        </is>
      </c>
      <c r="H301" s="34" t="inlineStr">
        <is>
          <t xml:space="preserve">Ferrin</t>
        </is>
      </c>
      <c r="I301" s="34" t="inlineStr">
        <is>
          <t xml:space="preserve">Flanders</t>
        </is>
      </c>
      <c r="J301" s="34" t="inlineStr">
        <is>
          <t xml:space="preserve">McInerney</t>
        </is>
      </c>
      <c r="K301" s="34" t="inlineStr">
        <is>
          <t xml:space="preserve">Shively</t>
        </is>
      </c>
      <c r="L301" s="45">
        <v>-2.5</v>
      </c>
      <c r="M301" s="45">
        <v>-1.25</v>
      </c>
      <c r="N301" s="34" t="inlineStr">
        <is>
          <t xml:space="preserve">Giving</t>
        </is>
      </c>
      <c r="O301" s="45">
        <v>1</v>
      </c>
      <c r="P301" s="45">
        <v>0.572</v>
      </c>
      <c r="Q301" s="45">
        <v>0.428</v>
      </c>
      <c r="R301" s="34" t="inlineStr">
        <is>
          <t xml:space="preserve">FBC 7/Handicaps &amp; Expected PPC (2019).xlsx [FBCVII]</t>
        </is>
      </c>
    </row>
    <row r="302" spans="1:18">
      <c r="A302" s="40">
        <v>7</v>
      </c>
      <c r="B302" s="31" t="inlineStr">
        <is>
          <t xml:space="preserve">FBC7-D3</t>
        </is>
      </c>
      <c r="C302" s="31" t="inlineStr">
        <is>
          <t xml:space="preserve">Best Ball</t>
        </is>
      </c>
      <c r="D302" s="31" t="inlineStr">
        <is>
          <t xml:space="preserve">Four-ball</t>
        </is>
      </c>
      <c r="E302" s="40">
        <v>9</v>
      </c>
      <c r="F302" s="42">
        <v>1</v>
      </c>
      <c r="G302" s="31" t="inlineStr">
        <is>
          <t xml:space="preserve">Ferrin/Jax</t>
        </is>
      </c>
      <c r="H302" s="31" t="inlineStr">
        <is>
          <t xml:space="preserve">Cole</t>
        </is>
      </c>
      <c r="I302" s="31" t="inlineStr">
        <is>
          <t xml:space="preserve">Lynch</t>
        </is>
      </c>
      <c r="J302" s="31" t="inlineStr">
        <is>
          <t xml:space="preserve">Forster</t>
        </is>
      </c>
      <c r="K302" s="31" t="inlineStr">
        <is>
          <t xml:space="preserve">Hilts</t>
        </is>
      </c>
      <c r="L302" s="42">
        <v>-3.5</v>
      </c>
      <c r="M302" s="42">
        <v>-1.75</v>
      </c>
      <c r="N302" s="31" t="inlineStr">
        <is>
          <t xml:space="preserve">Giving</t>
        </is>
      </c>
      <c r="O302" s="42">
        <v>1</v>
      </c>
      <c r="P302" s="42">
        <v>0.569</v>
      </c>
      <c r="Q302" s="42">
        <v>0.431</v>
      </c>
      <c r="R302" s="31" t="inlineStr">
        <is>
          <t xml:space="preserve">FBC 7/Handicaps &amp; Expected PPC (2019).xlsx [FBCVII]</t>
        </is>
      </c>
    </row>
    <row r="303" spans="1:18">
      <c r="A303" s="43">
        <v>7</v>
      </c>
      <c r="B303" s="34" t="inlineStr">
        <is>
          <t xml:space="preserve">FBC7-D3</t>
        </is>
      </c>
      <c r="C303" s="34" t="inlineStr">
        <is>
          <t xml:space="preserve">Best Ball</t>
        </is>
      </c>
      <c r="D303" s="34" t="inlineStr">
        <is>
          <t xml:space="preserve">Four-ball</t>
        </is>
      </c>
      <c r="E303" s="43">
        <v>9</v>
      </c>
      <c r="F303" s="45">
        <v>1</v>
      </c>
      <c r="G303" s="34" t="inlineStr">
        <is>
          <t xml:space="preserve">Connolly/Hilts</t>
        </is>
      </c>
      <c r="H303" s="34" t="inlineStr">
        <is>
          <t xml:space="preserve">Forster</t>
        </is>
      </c>
      <c r="I303" s="34" t="inlineStr">
        <is>
          <t xml:space="preserve">Hilts</t>
        </is>
      </c>
      <c r="J303" s="34" t="inlineStr">
        <is>
          <t xml:space="preserve">Cole</t>
        </is>
      </c>
      <c r="K303" s="34" t="inlineStr">
        <is>
          <t xml:space="preserve">Lynch</t>
        </is>
      </c>
      <c r="L303" s="45">
        <v>3.5</v>
      </c>
      <c r="M303" s="45">
        <v>1.75</v>
      </c>
      <c r="N303" s="34" t="inlineStr">
        <is>
          <t xml:space="preserve">Getting</t>
        </is>
      </c>
      <c r="O303" s="45">
        <v>0</v>
      </c>
      <c r="P303" s="45">
        <v>0.431</v>
      </c>
      <c r="Q303" s="45">
        <v>-0.431</v>
      </c>
      <c r="R303" s="34" t="inlineStr">
        <is>
          <t xml:space="preserve">FBC 7/Handicaps &amp; Expected PPC (2019).xlsx [FBCVII]</t>
        </is>
      </c>
    </row>
    <row r="304" spans="1:18">
      <c r="A304" s="40">
        <v>7</v>
      </c>
      <c r="B304" s="31" t="inlineStr">
        <is>
          <t xml:space="preserve">FBC7-D4</t>
        </is>
      </c>
      <c r="C304" s="31" t="inlineStr">
        <is>
          <t xml:space="preserve">Best Ball</t>
        </is>
      </c>
      <c r="D304" s="31" t="inlineStr">
        <is>
          <t xml:space="preserve">Four-ball</t>
        </is>
      </c>
      <c r="E304" s="40">
        <v>9</v>
      </c>
      <c r="F304" s="42">
        <v>1</v>
      </c>
      <c r="G304" s="31" t="inlineStr">
        <is>
          <t xml:space="preserve">Connolly/Hilts</t>
        </is>
      </c>
      <c r="H304" s="31" t="inlineStr">
        <is>
          <t xml:space="preserve">Norat</t>
        </is>
      </c>
      <c r="I304" s="31" t="inlineStr">
        <is>
          <t xml:space="preserve">Welker</t>
        </is>
      </c>
      <c r="J304" s="31" t="inlineStr">
        <is>
          <t xml:space="preserve">Gray</t>
        </is>
      </c>
      <c r="K304" s="31" t="inlineStr">
        <is>
          <t xml:space="preserve">Zimmer</t>
        </is>
      </c>
      <c r="L304" s="42">
        <v>7</v>
      </c>
      <c r="M304" s="42">
        <v>3.5</v>
      </c>
      <c r="N304" s="31" t="inlineStr">
        <is>
          <t xml:space="preserve">Getting</t>
        </is>
      </c>
      <c r="O304" s="42">
        <v>0</v>
      </c>
      <c r="P304" s="42">
        <v>0.442</v>
      </c>
      <c r="Q304" s="42">
        <v>-0.442</v>
      </c>
      <c r="R304" s="31" t="inlineStr">
        <is>
          <t xml:space="preserve">FBC 7/Handicaps &amp; Expected PPC (2019).xlsx [FBCVII]</t>
        </is>
      </c>
    </row>
    <row r="305" spans="1:18">
      <c r="A305" s="43">
        <v>7</v>
      </c>
      <c r="B305" s="34" t="inlineStr">
        <is>
          <t xml:space="preserve">FBC7-D4</t>
        </is>
      </c>
      <c r="C305" s="34" t="inlineStr">
        <is>
          <t xml:space="preserve">Best Ball</t>
        </is>
      </c>
      <c r="D305" s="34" t="inlineStr">
        <is>
          <t xml:space="preserve">Four-ball</t>
        </is>
      </c>
      <c r="E305" s="43">
        <v>9</v>
      </c>
      <c r="F305" s="45">
        <v>1</v>
      </c>
      <c r="G305" s="34" t="inlineStr">
        <is>
          <t xml:space="preserve">Ferrin/Jax</t>
        </is>
      </c>
      <c r="H305" s="34" t="inlineStr">
        <is>
          <t xml:space="preserve">Gray</t>
        </is>
      </c>
      <c r="I305" s="34" t="inlineStr">
        <is>
          <t xml:space="preserve">Zimmer</t>
        </is>
      </c>
      <c r="J305" s="34" t="inlineStr">
        <is>
          <t xml:space="preserve">Norat</t>
        </is>
      </c>
      <c r="K305" s="34" t="inlineStr">
        <is>
          <t xml:space="preserve">Welker</t>
        </is>
      </c>
      <c r="L305" s="45">
        <v>-7</v>
      </c>
      <c r="M305" s="45">
        <v>-3.5</v>
      </c>
      <c r="N305" s="34" t="inlineStr">
        <is>
          <t xml:space="preserve">Giving</t>
        </is>
      </c>
      <c r="O305" s="45">
        <v>1</v>
      </c>
      <c r="P305" s="45">
        <v>0.558</v>
      </c>
      <c r="Q305" s="45">
        <v>0.442</v>
      </c>
      <c r="R305" s="34" t="inlineStr">
        <is>
          <t xml:space="preserve">FBC 7/Handicaps &amp; Expected PPC (2019).xlsx [FBCVII]</t>
        </is>
      </c>
    </row>
    <row r="306" spans="1:18">
      <c r="A306" s="40">
        <v>7</v>
      </c>
      <c r="B306" s="31" t="inlineStr">
        <is>
          <t xml:space="preserve">FBC7-D5</t>
        </is>
      </c>
      <c r="C306" s="31" t="inlineStr">
        <is>
          <t xml:space="preserve">Best Ball</t>
        </is>
      </c>
      <c r="D306" s="31" t="inlineStr">
        <is>
          <t xml:space="preserve">Four-ball</t>
        </is>
      </c>
      <c r="E306" s="40">
        <v>9</v>
      </c>
      <c r="F306" s="42">
        <v>1</v>
      </c>
      <c r="G306" s="31" t="inlineStr">
        <is>
          <t xml:space="preserve">Ferrin/Jax</t>
        </is>
      </c>
      <c r="H306" s="31" t="inlineStr">
        <is>
          <t xml:space="preserve">Bussiculo</t>
        </is>
      </c>
      <c r="I306" s="31" t="inlineStr">
        <is>
          <t xml:space="preserve">Connors</t>
        </is>
      </c>
      <c r="J306" s="31" t="inlineStr">
        <is>
          <t xml:space="preserve">Mangold</t>
        </is>
      </c>
      <c r="K306" s="31" t="inlineStr">
        <is>
          <t xml:space="preserve">Poirier</t>
        </is>
      </c>
      <c r="L306" s="42">
        <v>3.5</v>
      </c>
      <c r="M306" s="42">
        <v>1.75</v>
      </c>
      <c r="N306" s="31" t="inlineStr">
        <is>
          <t xml:space="preserve">Getting</t>
        </is>
      </c>
      <c r="O306" s="42">
        <v>0</v>
      </c>
      <c r="P306" s="42">
        <v>0.431</v>
      </c>
      <c r="Q306" s="42">
        <v>-0.431</v>
      </c>
      <c r="R306" s="31" t="inlineStr">
        <is>
          <t xml:space="preserve">FBC 7/Handicaps &amp; Expected PPC (2019).xlsx [FBCVII]</t>
        </is>
      </c>
    </row>
    <row r="307" spans="1:18">
      <c r="A307" s="43">
        <v>7</v>
      </c>
      <c r="B307" s="34" t="inlineStr">
        <is>
          <t xml:space="preserve">FBC7-D5</t>
        </is>
      </c>
      <c r="C307" s="34" t="inlineStr">
        <is>
          <t xml:space="preserve">Best Ball</t>
        </is>
      </c>
      <c r="D307" s="34" t="inlineStr">
        <is>
          <t xml:space="preserve">Four-ball</t>
        </is>
      </c>
      <c r="E307" s="43">
        <v>9</v>
      </c>
      <c r="F307" s="45">
        <v>1</v>
      </c>
      <c r="G307" s="34" t="inlineStr">
        <is>
          <t xml:space="preserve">Connolly/Hilts</t>
        </is>
      </c>
      <c r="H307" s="34" t="inlineStr">
        <is>
          <t xml:space="preserve">Mangold</t>
        </is>
      </c>
      <c r="I307" s="34" t="inlineStr">
        <is>
          <t xml:space="preserve">Poirier</t>
        </is>
      </c>
      <c r="J307" s="34" t="inlineStr">
        <is>
          <t xml:space="preserve">Bussiculo</t>
        </is>
      </c>
      <c r="K307" s="34" t="inlineStr">
        <is>
          <t xml:space="preserve">Connors</t>
        </is>
      </c>
      <c r="L307" s="45">
        <v>-3.5</v>
      </c>
      <c r="M307" s="45">
        <v>-1.75</v>
      </c>
      <c r="N307" s="34" t="inlineStr">
        <is>
          <t xml:space="preserve">Giving</t>
        </is>
      </c>
      <c r="O307" s="45">
        <v>1</v>
      </c>
      <c r="P307" s="45">
        <v>0.569</v>
      </c>
      <c r="Q307" s="45">
        <v>0.431</v>
      </c>
      <c r="R307" s="34" t="inlineStr">
        <is>
          <t xml:space="preserve">FBC 7/Handicaps &amp; Expected PPC (2019).xlsx [FBCVII]</t>
        </is>
      </c>
    </row>
    <row r="308" spans="1:18">
      <c r="A308" s="40">
        <v>7</v>
      </c>
      <c r="B308" s="31" t="inlineStr">
        <is>
          <t xml:space="preserve">FBC7-D6</t>
        </is>
      </c>
      <c r="C308" s="31" t="inlineStr">
        <is>
          <t xml:space="preserve">Vegas</t>
        </is>
      </c>
      <c r="D308" s="31" t="inlineStr">
        <is>
          <t xml:space="preserve">Four-ball</t>
        </is>
      </c>
      <c r="E308" s="40">
        <v>9</v>
      </c>
      <c r="F308" s="42">
        <v>1</v>
      </c>
      <c r="G308" s="31" t="inlineStr">
        <is>
          <t xml:space="preserve">Ferrin/Jax</t>
        </is>
      </c>
      <c r="H308" s="31" t="inlineStr">
        <is>
          <t xml:space="preserve">Grise</t>
        </is>
      </c>
      <c r="I308" s="31" t="inlineStr">
        <is>
          <t xml:space="preserve">Jackson</t>
        </is>
      </c>
      <c r="J308" s="31" t="inlineStr">
        <is>
          <t xml:space="preserve">Connolly</t>
        </is>
      </c>
      <c r="K308" s="31" t="inlineStr">
        <is>
          <t xml:space="preserve">Fogan</t>
        </is>
      </c>
      <c r="L308" s="42">
        <v>-6.5</v>
      </c>
      <c r="M308" s="42">
        <v>-3.25</v>
      </c>
      <c r="N308" s="31" t="inlineStr">
        <is>
          <t xml:space="preserve">Giving</t>
        </is>
      </c>
      <c r="O308" s="42">
        <v>1</v>
      </c>
      <c r="P308" s="42">
        <v>0.559</v>
      </c>
      <c r="Q308" s="42">
        <v>0.441</v>
      </c>
      <c r="R308" s="31" t="inlineStr">
        <is>
          <t xml:space="preserve">FBC 7/Handicaps &amp; Expected PPC (2019).xlsx [FBCVII]</t>
        </is>
      </c>
    </row>
    <row r="309" spans="1:18">
      <c r="A309" s="43">
        <v>7</v>
      </c>
      <c r="B309" s="34" t="inlineStr">
        <is>
          <t xml:space="preserve">FBC7-D6</t>
        </is>
      </c>
      <c r="C309" s="34" t="inlineStr">
        <is>
          <t xml:space="preserve">Vegas</t>
        </is>
      </c>
      <c r="D309" s="34" t="inlineStr">
        <is>
          <t xml:space="preserve">Four-ball</t>
        </is>
      </c>
      <c r="E309" s="43">
        <v>9</v>
      </c>
      <c r="F309" s="45">
        <v>1</v>
      </c>
      <c r="G309" s="34" t="inlineStr">
        <is>
          <t xml:space="preserve">Connolly/Hilts</t>
        </is>
      </c>
      <c r="H309" s="34" t="inlineStr">
        <is>
          <t xml:space="preserve">Connolly</t>
        </is>
      </c>
      <c r="I309" s="34" t="inlineStr">
        <is>
          <t xml:space="preserve">Fogan</t>
        </is>
      </c>
      <c r="J309" s="34" t="inlineStr">
        <is>
          <t xml:space="preserve">Grise</t>
        </is>
      </c>
      <c r="K309" s="34" t="inlineStr">
        <is>
          <t xml:space="preserve">Jackson</t>
        </is>
      </c>
      <c r="L309" s="45">
        <v>6.5</v>
      </c>
      <c r="M309" s="45">
        <v>3.25</v>
      </c>
      <c r="N309" s="34" t="inlineStr">
        <is>
          <t xml:space="preserve">Getting</t>
        </is>
      </c>
      <c r="O309" s="45">
        <v>0</v>
      </c>
      <c r="P309" s="45">
        <v>0.441</v>
      </c>
      <c r="Q309" s="45">
        <v>-0.441</v>
      </c>
      <c r="R309" s="34" t="inlineStr">
        <is>
          <t xml:space="preserve">FBC 7/Handicaps &amp; Expected PPC (2019).xlsx [FBCVII]</t>
        </is>
      </c>
    </row>
    <row r="310" spans="1:18">
      <c r="A310" s="40">
        <v>7</v>
      </c>
      <c r="B310" s="31" t="inlineStr">
        <is>
          <t xml:space="preserve">FBC7-D7</t>
        </is>
      </c>
      <c r="C310" s="31" t="inlineStr">
        <is>
          <t xml:space="preserve">Vegas</t>
        </is>
      </c>
      <c r="D310" s="31" t="inlineStr">
        <is>
          <t xml:space="preserve">Four-ball</t>
        </is>
      </c>
      <c r="E310" s="40">
        <v>9</v>
      </c>
      <c r="F310" s="42">
        <v>1</v>
      </c>
      <c r="G310" s="31" t="inlineStr">
        <is>
          <t xml:space="preserve">Connolly/Hilts</t>
        </is>
      </c>
      <c r="H310" s="31" t="inlineStr">
        <is>
          <t xml:space="preserve">McInerney</t>
        </is>
      </c>
      <c r="I310" s="31" t="inlineStr">
        <is>
          <t xml:space="preserve">Shively</t>
        </is>
      </c>
      <c r="J310" s="31" t="inlineStr">
        <is>
          <t xml:space="preserve">Ferrin</t>
        </is>
      </c>
      <c r="K310" s="31" t="inlineStr">
        <is>
          <t xml:space="preserve">Flanders</t>
        </is>
      </c>
      <c r="L310" s="42">
        <v>2.5</v>
      </c>
      <c r="M310" s="42">
        <v>1.25</v>
      </c>
      <c r="N310" s="31" t="inlineStr">
        <is>
          <t xml:space="preserve">Getting</t>
        </is>
      </c>
      <c r="O310" s="42">
        <v>0</v>
      </c>
      <c r="P310" s="42">
        <v>0.428</v>
      </c>
      <c r="Q310" s="42">
        <v>-0.428</v>
      </c>
      <c r="R310" s="31" t="inlineStr">
        <is>
          <t xml:space="preserve">FBC 7/Handicaps &amp; Expected PPC (2019).xlsx [FBCVII]</t>
        </is>
      </c>
    </row>
    <row r="311" spans="1:18">
      <c r="A311" s="43">
        <v>7</v>
      </c>
      <c r="B311" s="34" t="inlineStr">
        <is>
          <t xml:space="preserve">FBC7-D7</t>
        </is>
      </c>
      <c r="C311" s="34" t="inlineStr">
        <is>
          <t xml:space="preserve">Vegas</t>
        </is>
      </c>
      <c r="D311" s="34" t="inlineStr">
        <is>
          <t xml:space="preserve">Four-ball</t>
        </is>
      </c>
      <c r="E311" s="43">
        <v>9</v>
      </c>
      <c r="F311" s="45">
        <v>1</v>
      </c>
      <c r="G311" s="34" t="inlineStr">
        <is>
          <t xml:space="preserve">Ferrin/Jax</t>
        </is>
      </c>
      <c r="H311" s="34" t="inlineStr">
        <is>
          <t xml:space="preserve">Ferrin</t>
        </is>
      </c>
      <c r="I311" s="34" t="inlineStr">
        <is>
          <t xml:space="preserve">Flanders</t>
        </is>
      </c>
      <c r="J311" s="34" t="inlineStr">
        <is>
          <t xml:space="preserve">McInerney</t>
        </is>
      </c>
      <c r="K311" s="34" t="inlineStr">
        <is>
          <t xml:space="preserve">Shively</t>
        </is>
      </c>
      <c r="L311" s="45">
        <v>-2.5</v>
      </c>
      <c r="M311" s="45">
        <v>-1.25</v>
      </c>
      <c r="N311" s="34" t="inlineStr">
        <is>
          <t xml:space="preserve">Giving</t>
        </is>
      </c>
      <c r="O311" s="45">
        <v>1</v>
      </c>
      <c r="P311" s="45">
        <v>0.572</v>
      </c>
      <c r="Q311" s="45">
        <v>0.428</v>
      </c>
      <c r="R311" s="34" t="inlineStr">
        <is>
          <t xml:space="preserve">FBC 7/Handicaps &amp; Expected PPC (2019).xlsx [FBCVII]</t>
        </is>
      </c>
    </row>
    <row r="312" spans="1:18">
      <c r="A312" s="40">
        <v>7</v>
      </c>
      <c r="B312" s="31" t="inlineStr">
        <is>
          <t xml:space="preserve">FBC7-D8</t>
        </is>
      </c>
      <c r="C312" s="31" t="inlineStr">
        <is>
          <t xml:space="preserve">Vegas</t>
        </is>
      </c>
      <c r="D312" s="31" t="inlineStr">
        <is>
          <t xml:space="preserve">Four-ball</t>
        </is>
      </c>
      <c r="E312" s="40">
        <v>9</v>
      </c>
      <c r="F312" s="42">
        <v>1</v>
      </c>
      <c r="G312" s="31" t="inlineStr">
        <is>
          <t xml:space="preserve">Ferrin/Jax</t>
        </is>
      </c>
      <c r="H312" s="31" t="inlineStr">
        <is>
          <t xml:space="preserve">Cole</t>
        </is>
      </c>
      <c r="I312" s="31" t="inlineStr">
        <is>
          <t xml:space="preserve">Lynch</t>
        </is>
      </c>
      <c r="J312" s="31" t="inlineStr">
        <is>
          <t xml:space="preserve">Forster</t>
        </is>
      </c>
      <c r="K312" s="31" t="inlineStr">
        <is>
          <t xml:space="preserve">Hilts</t>
        </is>
      </c>
      <c r="L312" s="42">
        <v>-3.5</v>
      </c>
      <c r="M312" s="42">
        <v>-1.75</v>
      </c>
      <c r="N312" s="31" t="inlineStr">
        <is>
          <t xml:space="preserve">Giving</t>
        </is>
      </c>
      <c r="O312" s="42">
        <v>0</v>
      </c>
      <c r="P312" s="42">
        <v>0.569</v>
      </c>
      <c r="Q312" s="42">
        <v>-0.569</v>
      </c>
      <c r="R312" s="31" t="inlineStr">
        <is>
          <t xml:space="preserve">FBC 7/Handicaps &amp; Expected PPC (2019).xlsx [FBCVII]</t>
        </is>
      </c>
    </row>
    <row r="313" spans="1:18">
      <c r="A313" s="43">
        <v>7</v>
      </c>
      <c r="B313" s="34" t="inlineStr">
        <is>
          <t xml:space="preserve">FBC7-D8</t>
        </is>
      </c>
      <c r="C313" s="34" t="inlineStr">
        <is>
          <t xml:space="preserve">Vegas</t>
        </is>
      </c>
      <c r="D313" s="34" t="inlineStr">
        <is>
          <t xml:space="preserve">Four-ball</t>
        </is>
      </c>
      <c r="E313" s="43">
        <v>9</v>
      </c>
      <c r="F313" s="45">
        <v>1</v>
      </c>
      <c r="G313" s="34" t="inlineStr">
        <is>
          <t xml:space="preserve">Connolly/Hilts</t>
        </is>
      </c>
      <c r="H313" s="34" t="inlineStr">
        <is>
          <t xml:space="preserve">Forster</t>
        </is>
      </c>
      <c r="I313" s="34" t="inlineStr">
        <is>
          <t xml:space="preserve">Hilts</t>
        </is>
      </c>
      <c r="J313" s="34" t="inlineStr">
        <is>
          <t xml:space="preserve">Cole</t>
        </is>
      </c>
      <c r="K313" s="34" t="inlineStr">
        <is>
          <t xml:space="preserve">Lynch</t>
        </is>
      </c>
      <c r="L313" s="45">
        <v>3.5</v>
      </c>
      <c r="M313" s="45">
        <v>1.75</v>
      </c>
      <c r="N313" s="34" t="inlineStr">
        <is>
          <t xml:space="preserve">Getting</t>
        </is>
      </c>
      <c r="O313" s="45">
        <v>1</v>
      </c>
      <c r="P313" s="45">
        <v>0.431</v>
      </c>
      <c r="Q313" s="45">
        <v>0.569</v>
      </c>
      <c r="R313" s="34" t="inlineStr">
        <is>
          <t xml:space="preserve">FBC 7/Handicaps &amp; Expected PPC (2019).xlsx [FBCVII]</t>
        </is>
      </c>
    </row>
    <row r="314" spans="1:18">
      <c r="A314" s="40">
        <v>7</v>
      </c>
      <c r="B314" s="31" t="inlineStr">
        <is>
          <t xml:space="preserve">FBC7-D9</t>
        </is>
      </c>
      <c r="C314" s="31" t="inlineStr">
        <is>
          <t xml:space="preserve">Vegas</t>
        </is>
      </c>
      <c r="D314" s="31" t="inlineStr">
        <is>
          <t xml:space="preserve">Four-ball</t>
        </is>
      </c>
      <c r="E314" s="40">
        <v>9</v>
      </c>
      <c r="F314" s="42">
        <v>1</v>
      </c>
      <c r="G314" s="31" t="inlineStr">
        <is>
          <t xml:space="preserve">Connolly/Hilts</t>
        </is>
      </c>
      <c r="H314" s="31" t="inlineStr">
        <is>
          <t xml:space="preserve">Norat</t>
        </is>
      </c>
      <c r="I314" s="31" t="inlineStr">
        <is>
          <t xml:space="preserve">Welker</t>
        </is>
      </c>
      <c r="J314" s="31" t="inlineStr">
        <is>
          <t xml:space="preserve">Gray</t>
        </is>
      </c>
      <c r="K314" s="31" t="inlineStr">
        <is>
          <t xml:space="preserve">Zimmer</t>
        </is>
      </c>
      <c r="L314" s="42">
        <v>7</v>
      </c>
      <c r="M314" s="42">
        <v>3.5</v>
      </c>
      <c r="N314" s="31" t="inlineStr">
        <is>
          <t xml:space="preserve">Getting</t>
        </is>
      </c>
      <c r="O314" s="42">
        <v>0.5</v>
      </c>
      <c r="P314" s="42">
        <v>0.442</v>
      </c>
      <c r="Q314" s="42">
        <v>0.058</v>
      </c>
      <c r="R314" s="31" t="inlineStr">
        <is>
          <t xml:space="preserve">FBC 7/Handicaps &amp; Expected PPC (2019).xlsx [FBCVII]</t>
        </is>
      </c>
    </row>
    <row r="315" spans="1:18">
      <c r="A315" s="43">
        <v>7</v>
      </c>
      <c r="B315" s="34" t="inlineStr">
        <is>
          <t xml:space="preserve">FBC7-D9</t>
        </is>
      </c>
      <c r="C315" s="34" t="inlineStr">
        <is>
          <t xml:space="preserve">Vegas</t>
        </is>
      </c>
      <c r="D315" s="34" t="inlineStr">
        <is>
          <t xml:space="preserve">Four-ball</t>
        </is>
      </c>
      <c r="E315" s="43">
        <v>9</v>
      </c>
      <c r="F315" s="45">
        <v>1</v>
      </c>
      <c r="G315" s="34" t="inlineStr">
        <is>
          <t xml:space="preserve">Ferrin/Jax</t>
        </is>
      </c>
      <c r="H315" s="34" t="inlineStr">
        <is>
          <t xml:space="preserve">Gray</t>
        </is>
      </c>
      <c r="I315" s="34" t="inlineStr">
        <is>
          <t xml:space="preserve">Zimmer</t>
        </is>
      </c>
      <c r="J315" s="34" t="inlineStr">
        <is>
          <t xml:space="preserve">Norat</t>
        </is>
      </c>
      <c r="K315" s="34" t="inlineStr">
        <is>
          <t xml:space="preserve">Welker</t>
        </is>
      </c>
      <c r="L315" s="45">
        <v>-7</v>
      </c>
      <c r="M315" s="45">
        <v>-3.5</v>
      </c>
      <c r="N315" s="34" t="inlineStr">
        <is>
          <t xml:space="preserve">Giving</t>
        </is>
      </c>
      <c r="O315" s="45">
        <v>0.5</v>
      </c>
      <c r="P315" s="45">
        <v>0.558</v>
      </c>
      <c r="Q315" s="45">
        <v>-0.058</v>
      </c>
      <c r="R315" s="34" t="inlineStr">
        <is>
          <t xml:space="preserve">FBC 7/Handicaps &amp; Expected PPC (2019).xlsx [FBCVII]</t>
        </is>
      </c>
    </row>
    <row r="316" spans="1:18">
      <c r="A316" s="40">
        <v>7</v>
      </c>
      <c r="B316" s="31" t="inlineStr">
        <is>
          <t xml:space="preserve">FBC7-D10</t>
        </is>
      </c>
      <c r="C316" s="31" t="inlineStr">
        <is>
          <t xml:space="preserve">Vegas</t>
        </is>
      </c>
      <c r="D316" s="31" t="inlineStr">
        <is>
          <t xml:space="preserve">Four-ball</t>
        </is>
      </c>
      <c r="E316" s="40">
        <v>9</v>
      </c>
      <c r="F316" s="42">
        <v>1</v>
      </c>
      <c r="G316" s="31" t="inlineStr">
        <is>
          <t xml:space="preserve">Ferrin/Jax</t>
        </is>
      </c>
      <c r="H316" s="31" t="inlineStr">
        <is>
          <t xml:space="preserve">Bussiculo</t>
        </is>
      </c>
      <c r="I316" s="31" t="inlineStr">
        <is>
          <t xml:space="preserve">Connors</t>
        </is>
      </c>
      <c r="J316" s="31" t="inlineStr">
        <is>
          <t xml:space="preserve">Mangold</t>
        </is>
      </c>
      <c r="K316" s="31" t="inlineStr">
        <is>
          <t xml:space="preserve">Poirier</t>
        </is>
      </c>
      <c r="L316" s="42">
        <v>3.5</v>
      </c>
      <c r="M316" s="42">
        <v>1.75</v>
      </c>
      <c r="N316" s="31" t="inlineStr">
        <is>
          <t xml:space="preserve">Getting</t>
        </is>
      </c>
      <c r="O316" s="42">
        <v>0.5</v>
      </c>
      <c r="P316" s="42">
        <v>0.431</v>
      </c>
      <c r="Q316" s="42">
        <v>0.069</v>
      </c>
      <c r="R316" s="31" t="inlineStr">
        <is>
          <t xml:space="preserve">FBC 7/Handicaps &amp; Expected PPC (2019).xlsx [FBCVII]</t>
        </is>
      </c>
    </row>
    <row r="317" spans="1:18">
      <c r="A317" s="43">
        <v>7</v>
      </c>
      <c r="B317" s="34" t="inlineStr">
        <is>
          <t xml:space="preserve">FBC7-D10</t>
        </is>
      </c>
      <c r="C317" s="34" t="inlineStr">
        <is>
          <t xml:space="preserve">Vegas</t>
        </is>
      </c>
      <c r="D317" s="34" t="inlineStr">
        <is>
          <t xml:space="preserve">Four-ball</t>
        </is>
      </c>
      <c r="E317" s="43">
        <v>9</v>
      </c>
      <c r="F317" s="45">
        <v>1</v>
      </c>
      <c r="G317" s="34" t="inlineStr">
        <is>
          <t xml:space="preserve">Connolly/Hilts</t>
        </is>
      </c>
      <c r="H317" s="34" t="inlineStr">
        <is>
          <t xml:space="preserve">Mangold</t>
        </is>
      </c>
      <c r="I317" s="34" t="inlineStr">
        <is>
          <t xml:space="preserve">Poirier</t>
        </is>
      </c>
      <c r="J317" s="34" t="inlineStr">
        <is>
          <t xml:space="preserve">Bussiculo</t>
        </is>
      </c>
      <c r="K317" s="34" t="inlineStr">
        <is>
          <t xml:space="preserve">Connors</t>
        </is>
      </c>
      <c r="L317" s="45">
        <v>-3.5</v>
      </c>
      <c r="M317" s="45">
        <v>-1.75</v>
      </c>
      <c r="N317" s="34" t="inlineStr">
        <is>
          <t xml:space="preserve">Giving</t>
        </is>
      </c>
      <c r="O317" s="45">
        <v>0.5</v>
      </c>
      <c r="P317" s="45">
        <v>0.569</v>
      </c>
      <c r="Q317" s="45">
        <v>-0.069</v>
      </c>
      <c r="R317" s="34" t="inlineStr">
        <is>
          <t xml:space="preserve">FBC 7/Handicaps &amp; Expected PPC (2019).xlsx [FBCVII]</t>
        </is>
      </c>
    </row>
    <row r="318" spans="1:18">
      <c r="A318" s="40">
        <v>7</v>
      </c>
      <c r="B318" s="31" t="inlineStr">
        <is>
          <t xml:space="preserve">FBC7-D11</t>
        </is>
      </c>
      <c r="C318" s="31" t="inlineStr">
        <is>
          <t xml:space="preserve">Best Ball</t>
        </is>
      </c>
      <c r="D318" s="31" t="inlineStr">
        <is>
          <t xml:space="preserve">Four-ball</t>
        </is>
      </c>
      <c r="E318" s="40">
        <v>9</v>
      </c>
      <c r="F318" s="42">
        <v>1</v>
      </c>
      <c r="G318" s="31" t="inlineStr">
        <is>
          <t xml:space="preserve">Ferrin/Jax</t>
        </is>
      </c>
      <c r="H318" s="31" t="inlineStr">
        <is>
          <t xml:space="preserve">Cole</t>
        </is>
      </c>
      <c r="I318" s="31" t="inlineStr">
        <is>
          <t xml:space="preserve">Ferrin</t>
        </is>
      </c>
      <c r="J318" s="31" t="inlineStr">
        <is>
          <t xml:space="preserve">Hilts</t>
        </is>
      </c>
      <c r="K318" s="31" t="inlineStr">
        <is>
          <t xml:space="preserve">Poirier</t>
        </is>
      </c>
      <c r="L318" s="42">
        <v>3.5</v>
      </c>
      <c r="M318" s="42">
        <v>1.75</v>
      </c>
      <c r="N318" s="31" t="inlineStr">
        <is>
          <t xml:space="preserve">Getting</t>
        </is>
      </c>
      <c r="O318" s="42">
        <v>1</v>
      </c>
      <c r="P318" s="42">
        <v>0.431</v>
      </c>
      <c r="Q318" s="42">
        <v>0.569</v>
      </c>
      <c r="R318" s="31" t="inlineStr">
        <is>
          <t xml:space="preserve">FBC 7/Handicaps &amp; Expected PPC (2019).xlsx [FBCVII]</t>
        </is>
      </c>
    </row>
    <row r="319" spans="1:18">
      <c r="A319" s="43">
        <v>7</v>
      </c>
      <c r="B319" s="34" t="inlineStr">
        <is>
          <t xml:space="preserve">FBC7-D11</t>
        </is>
      </c>
      <c r="C319" s="34" t="inlineStr">
        <is>
          <t xml:space="preserve">Best Ball</t>
        </is>
      </c>
      <c r="D319" s="34" t="inlineStr">
        <is>
          <t xml:space="preserve">Four-ball</t>
        </is>
      </c>
      <c r="E319" s="43">
        <v>9</v>
      </c>
      <c r="F319" s="45">
        <v>1</v>
      </c>
      <c r="G319" s="34" t="inlineStr">
        <is>
          <t xml:space="preserve">Connolly/Hilts</t>
        </is>
      </c>
      <c r="H319" s="34" t="inlineStr">
        <is>
          <t xml:space="preserve">Hilts</t>
        </is>
      </c>
      <c r="I319" s="34" t="inlineStr">
        <is>
          <t xml:space="preserve">Poirier</t>
        </is>
      </c>
      <c r="J319" s="34" t="inlineStr">
        <is>
          <t xml:space="preserve">Cole</t>
        </is>
      </c>
      <c r="K319" s="34" t="inlineStr">
        <is>
          <t xml:space="preserve">Ferrin</t>
        </is>
      </c>
      <c r="L319" s="45">
        <v>-3.5</v>
      </c>
      <c r="M319" s="45">
        <v>-1.75</v>
      </c>
      <c r="N319" s="34" t="inlineStr">
        <is>
          <t xml:space="preserve">Giving</t>
        </is>
      </c>
      <c r="O319" s="45">
        <v>0</v>
      </c>
      <c r="P319" s="45">
        <v>0.569</v>
      </c>
      <c r="Q319" s="45">
        <v>-0.569</v>
      </c>
      <c r="R319" s="34" t="inlineStr">
        <is>
          <t xml:space="preserve">FBC 7/Handicaps &amp; Expected PPC (2019).xlsx [FBCVII]</t>
        </is>
      </c>
    </row>
    <row r="320" spans="1:18">
      <c r="A320" s="40">
        <v>7</v>
      </c>
      <c r="B320" s="31" t="inlineStr">
        <is>
          <t xml:space="preserve">FBC7-D12</t>
        </is>
      </c>
      <c r="C320" s="31" t="inlineStr">
        <is>
          <t xml:space="preserve">Best Ball</t>
        </is>
      </c>
      <c r="D320" s="31" t="inlineStr">
        <is>
          <t xml:space="preserve">Four-ball</t>
        </is>
      </c>
      <c r="E320" s="40">
        <v>9</v>
      </c>
      <c r="F320" s="42">
        <v>1</v>
      </c>
      <c r="G320" s="31" t="inlineStr">
        <is>
          <t xml:space="preserve">Connolly/Hilts</t>
        </is>
      </c>
      <c r="H320" s="31" t="inlineStr">
        <is>
          <t xml:space="preserve">Connolly</t>
        </is>
      </c>
      <c r="I320" s="31" t="inlineStr">
        <is>
          <t xml:space="preserve">Mangold</t>
        </is>
      </c>
      <c r="J320" s="31" t="inlineStr">
        <is>
          <t xml:space="preserve">Gray</t>
        </is>
      </c>
      <c r="K320" s="31" t="inlineStr">
        <is>
          <t xml:space="preserve">Grise</t>
        </is>
      </c>
      <c r="L320" s="42">
        <v>4</v>
      </c>
      <c r="M320" s="42">
        <v>2</v>
      </c>
      <c r="N320" s="31" t="inlineStr">
        <is>
          <t xml:space="preserve">Getting</t>
        </is>
      </c>
      <c r="O320" s="42">
        <v>0</v>
      </c>
      <c r="P320" s="42">
        <v>0.433</v>
      </c>
      <c r="Q320" s="42">
        <v>-0.433</v>
      </c>
      <c r="R320" s="31" t="inlineStr">
        <is>
          <t xml:space="preserve">FBC 7/Handicaps &amp; Expected PPC (2019).xlsx [FBCVII]</t>
        </is>
      </c>
    </row>
    <row r="321" spans="1:18">
      <c r="A321" s="43">
        <v>7</v>
      </c>
      <c r="B321" s="34" t="inlineStr">
        <is>
          <t xml:space="preserve">FBC7-D12</t>
        </is>
      </c>
      <c r="C321" s="34" t="inlineStr">
        <is>
          <t xml:space="preserve">Best Ball</t>
        </is>
      </c>
      <c r="D321" s="34" t="inlineStr">
        <is>
          <t xml:space="preserve">Four-ball</t>
        </is>
      </c>
      <c r="E321" s="43">
        <v>9</v>
      </c>
      <c r="F321" s="45">
        <v>1</v>
      </c>
      <c r="G321" s="34" t="inlineStr">
        <is>
          <t xml:space="preserve">Ferrin/Jax</t>
        </is>
      </c>
      <c r="H321" s="34" t="inlineStr">
        <is>
          <t xml:space="preserve">Gray</t>
        </is>
      </c>
      <c r="I321" s="34" t="inlineStr">
        <is>
          <t xml:space="preserve">Grise</t>
        </is>
      </c>
      <c r="J321" s="34" t="inlineStr">
        <is>
          <t xml:space="preserve">Connolly</t>
        </is>
      </c>
      <c r="K321" s="34" t="inlineStr">
        <is>
          <t xml:space="preserve">Mangold</t>
        </is>
      </c>
      <c r="L321" s="45">
        <v>-4</v>
      </c>
      <c r="M321" s="45">
        <v>-2</v>
      </c>
      <c r="N321" s="34" t="inlineStr">
        <is>
          <t xml:space="preserve">Giving</t>
        </is>
      </c>
      <c r="O321" s="45">
        <v>1</v>
      </c>
      <c r="P321" s="45">
        <v>0.567</v>
      </c>
      <c r="Q321" s="45">
        <v>0.433</v>
      </c>
      <c r="R321" s="34" t="inlineStr">
        <is>
          <t xml:space="preserve">FBC 7/Handicaps &amp; Expected PPC (2019).xlsx [FBCVII]</t>
        </is>
      </c>
    </row>
    <row r="322" spans="1:18">
      <c r="A322" s="40">
        <v>7</v>
      </c>
      <c r="B322" s="31" t="inlineStr">
        <is>
          <t xml:space="preserve">FBC7-D13</t>
        </is>
      </c>
      <c r="C322" s="31" t="inlineStr">
        <is>
          <t xml:space="preserve">Best Ball</t>
        </is>
      </c>
      <c r="D322" s="31" t="inlineStr">
        <is>
          <t xml:space="preserve">Four-ball</t>
        </is>
      </c>
      <c r="E322" s="40">
        <v>9</v>
      </c>
      <c r="F322" s="42">
        <v>1</v>
      </c>
      <c r="G322" s="31" t="inlineStr">
        <is>
          <t xml:space="preserve">Ferrin/Jax</t>
        </is>
      </c>
      <c r="H322" s="31" t="inlineStr">
        <is>
          <t xml:space="preserve">Bussiculo</t>
        </is>
      </c>
      <c r="I322" s="31" t="inlineStr">
        <is>
          <t xml:space="preserve">Flanders</t>
        </is>
      </c>
      <c r="J322" s="31" t="inlineStr">
        <is>
          <t xml:space="preserve">Forster</t>
        </is>
      </c>
      <c r="K322" s="31" t="inlineStr">
        <is>
          <t xml:space="preserve">Norat</t>
        </is>
      </c>
      <c r="L322" s="42">
        <v>-10</v>
      </c>
      <c r="M322" s="42">
        <v>-5</v>
      </c>
      <c r="N322" s="31" t="inlineStr">
        <is>
          <t xml:space="preserve">Giving</t>
        </is>
      </c>
      <c r="O322" s="42">
        <v>0.5</v>
      </c>
      <c r="P322" s="42">
        <v>0.548</v>
      </c>
      <c r="Q322" s="42">
        <v>-0.048</v>
      </c>
      <c r="R322" s="31" t="inlineStr">
        <is>
          <t xml:space="preserve">FBC 7/Handicaps &amp; Expected PPC (2019).xlsx [FBCVII]</t>
        </is>
      </c>
    </row>
    <row r="323" spans="1:18">
      <c r="A323" s="43">
        <v>7</v>
      </c>
      <c r="B323" s="34" t="inlineStr">
        <is>
          <t xml:space="preserve">FBC7-D13</t>
        </is>
      </c>
      <c r="C323" s="34" t="inlineStr">
        <is>
          <t xml:space="preserve">Best Ball</t>
        </is>
      </c>
      <c r="D323" s="34" t="inlineStr">
        <is>
          <t xml:space="preserve">Four-ball</t>
        </is>
      </c>
      <c r="E323" s="43">
        <v>9</v>
      </c>
      <c r="F323" s="45">
        <v>1</v>
      </c>
      <c r="G323" s="34" t="inlineStr">
        <is>
          <t xml:space="preserve">Connolly/Hilts</t>
        </is>
      </c>
      <c r="H323" s="34" t="inlineStr">
        <is>
          <t xml:space="preserve">Forster</t>
        </is>
      </c>
      <c r="I323" s="34" t="inlineStr">
        <is>
          <t xml:space="preserve">Norat</t>
        </is>
      </c>
      <c r="J323" s="34" t="inlineStr">
        <is>
          <t xml:space="preserve">Bussiculo</t>
        </is>
      </c>
      <c r="K323" s="34" t="inlineStr">
        <is>
          <t xml:space="preserve">Flanders</t>
        </is>
      </c>
      <c r="L323" s="45">
        <v>10</v>
      </c>
      <c r="M323" s="45">
        <v>5</v>
      </c>
      <c r="N323" s="34" t="inlineStr">
        <is>
          <t xml:space="preserve">Getting</t>
        </is>
      </c>
      <c r="O323" s="45">
        <v>0.5</v>
      </c>
      <c r="P323" s="45">
        <v>0.452</v>
      </c>
      <c r="Q323" s="45">
        <v>0.048</v>
      </c>
      <c r="R323" s="34" t="inlineStr">
        <is>
          <t xml:space="preserve">FBC 7/Handicaps &amp; Expected PPC (2019).xlsx [FBCVII]</t>
        </is>
      </c>
    </row>
    <row r="324" spans="1:18">
      <c r="A324" s="40">
        <v>7</v>
      </c>
      <c r="B324" s="31" t="inlineStr">
        <is>
          <t xml:space="preserve">FBC7-D14</t>
        </is>
      </c>
      <c r="C324" s="31" t="inlineStr">
        <is>
          <t xml:space="preserve">Best Ball</t>
        </is>
      </c>
      <c r="D324" s="31" t="inlineStr">
        <is>
          <t xml:space="preserve">Four-ball</t>
        </is>
      </c>
      <c r="E324" s="40">
        <v>9</v>
      </c>
      <c r="F324" s="42">
        <v>1</v>
      </c>
      <c r="G324" s="31" t="inlineStr">
        <is>
          <t xml:space="preserve">Connolly/Hilts</t>
        </is>
      </c>
      <c r="H324" s="31" t="inlineStr">
        <is>
          <t xml:space="preserve">Shively</t>
        </is>
      </c>
      <c r="I324" s="31" t="inlineStr">
        <is>
          <t xml:space="preserve">Welker</t>
        </is>
      </c>
      <c r="J324" s="31" t="inlineStr">
        <is>
          <t xml:space="preserve">Connors</t>
        </is>
      </c>
      <c r="K324" s="31" t="inlineStr">
        <is>
          <t xml:space="preserve">Jackson</t>
        </is>
      </c>
      <c r="L324" s="42">
        <v>0.29</v>
      </c>
      <c r="M324" s="42">
        <v>0.15</v>
      </c>
      <c r="N324" s="31" t="inlineStr">
        <is>
          <t xml:space="preserve">Even</t>
        </is>
      </c>
      <c r="O324" s="42">
        <v>1</v>
      </c>
      <c r="P324" s="42">
        <v>0.501</v>
      </c>
      <c r="Q324" s="42">
        <v>0.499</v>
      </c>
      <c r="R324" s="31" t="inlineStr">
        <is>
          <t xml:space="preserve">Index x slope (Handicaps tab)</t>
        </is>
      </c>
    </row>
    <row r="325" spans="1:18">
      <c r="A325" s="43">
        <v>7</v>
      </c>
      <c r="B325" s="34" t="inlineStr">
        <is>
          <t xml:space="preserve">FBC7-D14</t>
        </is>
      </c>
      <c r="C325" s="34" t="inlineStr">
        <is>
          <t xml:space="preserve">Best Ball</t>
        </is>
      </c>
      <c r="D325" s="34" t="inlineStr">
        <is>
          <t xml:space="preserve">Four-ball</t>
        </is>
      </c>
      <c r="E325" s="43">
        <v>9</v>
      </c>
      <c r="F325" s="45">
        <v>1</v>
      </c>
      <c r="G325" s="34" t="inlineStr">
        <is>
          <t xml:space="preserve">Ferrin/Jax</t>
        </is>
      </c>
      <c r="H325" s="34" t="inlineStr">
        <is>
          <t xml:space="preserve">Connors</t>
        </is>
      </c>
      <c r="I325" s="34" t="inlineStr">
        <is>
          <t xml:space="preserve">Jackson</t>
        </is>
      </c>
      <c r="J325" s="34" t="inlineStr">
        <is>
          <t xml:space="preserve">Shively</t>
        </is>
      </c>
      <c r="K325" s="34" t="inlineStr">
        <is>
          <t xml:space="preserve">Welker</t>
        </is>
      </c>
      <c r="L325" s="45">
        <v>-0.29</v>
      </c>
      <c r="M325" s="45">
        <v>-0.15</v>
      </c>
      <c r="N325" s="34" t="inlineStr">
        <is>
          <t xml:space="preserve">Even</t>
        </is>
      </c>
      <c r="O325" s="45">
        <v>0</v>
      </c>
      <c r="P325" s="45">
        <v>0.499</v>
      </c>
      <c r="Q325" s="45">
        <v>-0.499</v>
      </c>
      <c r="R325" s="34" t="inlineStr">
        <is>
          <t xml:space="preserve">Index x slope (Handicaps tab)</t>
        </is>
      </c>
    </row>
    <row r="326" spans="1:18">
      <c r="A326" s="40">
        <v>7</v>
      </c>
      <c r="B326" s="31" t="inlineStr">
        <is>
          <t xml:space="preserve">FBC7-D15</t>
        </is>
      </c>
      <c r="C326" s="31" t="inlineStr">
        <is>
          <t xml:space="preserve">Best Ball</t>
        </is>
      </c>
      <c r="D326" s="31" t="inlineStr">
        <is>
          <t xml:space="preserve">Four-ball</t>
        </is>
      </c>
      <c r="E326" s="40">
        <v>9</v>
      </c>
      <c r="F326" s="42">
        <v>1</v>
      </c>
      <c r="G326" s="31" t="inlineStr">
        <is>
          <t xml:space="preserve">Ferrin/Jax</t>
        </is>
      </c>
      <c r="H326" s="31" t="inlineStr">
        <is>
          <t xml:space="preserve">Lynch</t>
        </is>
      </c>
      <c r="I326" s="31" t="inlineStr">
        <is>
          <t xml:space="preserve">Zimmer</t>
        </is>
      </c>
      <c r="J326" s="31" t="inlineStr">
        <is>
          <t xml:space="preserve">Fogan</t>
        </is>
      </c>
      <c r="K326" s="31" t="inlineStr">
        <is>
          <t xml:space="preserve">McInerney</t>
        </is>
      </c>
      <c r="L326" s="42">
        <v>-5.5</v>
      </c>
      <c r="M326" s="42">
        <v>-2.75</v>
      </c>
      <c r="N326" s="31" t="inlineStr">
        <is>
          <t xml:space="preserve">Giving</t>
        </is>
      </c>
      <c r="O326" s="42">
        <v>1</v>
      </c>
      <c r="P326" s="42">
        <v>0.563</v>
      </c>
      <c r="Q326" s="42">
        <v>0.437</v>
      </c>
      <c r="R326" s="31" t="inlineStr">
        <is>
          <t xml:space="preserve">FBC 7/Handicaps &amp; Expected PPC (2019).xlsx [FBCVII]</t>
        </is>
      </c>
    </row>
    <row r="327" spans="1:18">
      <c r="A327" s="43">
        <v>7</v>
      </c>
      <c r="B327" s="34" t="inlineStr">
        <is>
          <t xml:space="preserve">FBC7-D15</t>
        </is>
      </c>
      <c r="C327" s="34" t="inlineStr">
        <is>
          <t xml:space="preserve">Best Ball</t>
        </is>
      </c>
      <c r="D327" s="34" t="inlineStr">
        <is>
          <t xml:space="preserve">Four-ball</t>
        </is>
      </c>
      <c r="E327" s="43">
        <v>9</v>
      </c>
      <c r="F327" s="45">
        <v>1</v>
      </c>
      <c r="G327" s="34" t="inlineStr">
        <is>
          <t xml:space="preserve">Connolly/Hilts</t>
        </is>
      </c>
      <c r="H327" s="34" t="inlineStr">
        <is>
          <t xml:space="preserve">Fogan</t>
        </is>
      </c>
      <c r="I327" s="34" t="inlineStr">
        <is>
          <t xml:space="preserve">McInerney</t>
        </is>
      </c>
      <c r="J327" s="34" t="inlineStr">
        <is>
          <t xml:space="preserve">Lynch</t>
        </is>
      </c>
      <c r="K327" s="34" t="inlineStr">
        <is>
          <t xml:space="preserve">Zimmer</t>
        </is>
      </c>
      <c r="L327" s="45">
        <v>5.5</v>
      </c>
      <c r="M327" s="45">
        <v>2.75</v>
      </c>
      <c r="N327" s="34" t="inlineStr">
        <is>
          <t xml:space="preserve">Getting</t>
        </is>
      </c>
      <c r="O327" s="45">
        <v>0</v>
      </c>
      <c r="P327" s="45">
        <v>0.437</v>
      </c>
      <c r="Q327" s="45">
        <v>-0.437</v>
      </c>
      <c r="R327" s="34" t="inlineStr">
        <is>
          <t xml:space="preserve">FBC 7/Handicaps &amp; Expected PPC (2019).xlsx [FBCVII]</t>
        </is>
      </c>
    </row>
    <row r="328" spans="1:18">
      <c r="A328" s="40">
        <v>7</v>
      </c>
      <c r="B328" s="31" t="inlineStr">
        <is>
          <t xml:space="preserve">FBC7-D16</t>
        </is>
      </c>
      <c r="C328" s="31" t="inlineStr">
        <is>
          <t xml:space="preserve">Vegas</t>
        </is>
      </c>
      <c r="D328" s="31" t="inlineStr">
        <is>
          <t xml:space="preserve">Four-ball</t>
        </is>
      </c>
      <c r="E328" s="40">
        <v>9</v>
      </c>
      <c r="F328" s="42">
        <v>1</v>
      </c>
      <c r="G328" s="31" t="inlineStr">
        <is>
          <t xml:space="preserve">Ferrin/Jax</t>
        </is>
      </c>
      <c r="H328" s="31" t="inlineStr">
        <is>
          <t xml:space="preserve">Cole</t>
        </is>
      </c>
      <c r="I328" s="31" t="inlineStr">
        <is>
          <t xml:space="preserve">Ferrin</t>
        </is>
      </c>
      <c r="J328" s="31" t="inlineStr">
        <is>
          <t xml:space="preserve">Hilts</t>
        </is>
      </c>
      <c r="K328" s="31" t="inlineStr">
        <is>
          <t xml:space="preserve">Poirier</t>
        </is>
      </c>
      <c r="L328" s="42">
        <v>3.5</v>
      </c>
      <c r="M328" s="42">
        <v>1.75</v>
      </c>
      <c r="N328" s="31" t="inlineStr">
        <is>
          <t xml:space="preserve">Getting</t>
        </is>
      </c>
      <c r="O328" s="42">
        <v>0</v>
      </c>
      <c r="P328" s="42">
        <v>0.431</v>
      </c>
      <c r="Q328" s="42">
        <v>-0.431</v>
      </c>
      <c r="R328" s="31" t="inlineStr">
        <is>
          <t xml:space="preserve">FBC 7/Handicaps &amp; Expected PPC (2019).xlsx [FBCVII]</t>
        </is>
      </c>
    </row>
    <row r="329" spans="1:18">
      <c r="A329" s="43">
        <v>7</v>
      </c>
      <c r="B329" s="34" t="inlineStr">
        <is>
          <t xml:space="preserve">FBC7-D16</t>
        </is>
      </c>
      <c r="C329" s="34" t="inlineStr">
        <is>
          <t xml:space="preserve">Vegas</t>
        </is>
      </c>
      <c r="D329" s="34" t="inlineStr">
        <is>
          <t xml:space="preserve">Four-ball</t>
        </is>
      </c>
      <c r="E329" s="43">
        <v>9</v>
      </c>
      <c r="F329" s="45">
        <v>1</v>
      </c>
      <c r="G329" s="34" t="inlineStr">
        <is>
          <t xml:space="preserve">Connolly/Hilts</t>
        </is>
      </c>
      <c r="H329" s="34" t="inlineStr">
        <is>
          <t xml:space="preserve">Hilts</t>
        </is>
      </c>
      <c r="I329" s="34" t="inlineStr">
        <is>
          <t xml:space="preserve">Poirier</t>
        </is>
      </c>
      <c r="J329" s="34" t="inlineStr">
        <is>
          <t xml:space="preserve">Cole</t>
        </is>
      </c>
      <c r="K329" s="34" t="inlineStr">
        <is>
          <t xml:space="preserve">Ferrin</t>
        </is>
      </c>
      <c r="L329" s="45">
        <v>-3.5</v>
      </c>
      <c r="M329" s="45">
        <v>-1.75</v>
      </c>
      <c r="N329" s="34" t="inlineStr">
        <is>
          <t xml:space="preserve">Giving</t>
        </is>
      </c>
      <c r="O329" s="45">
        <v>1</v>
      </c>
      <c r="P329" s="45">
        <v>0.569</v>
      </c>
      <c r="Q329" s="45">
        <v>0.431</v>
      </c>
      <c r="R329" s="34" t="inlineStr">
        <is>
          <t xml:space="preserve">FBC 7/Handicaps &amp; Expected PPC (2019).xlsx [FBCVII]</t>
        </is>
      </c>
    </row>
    <row r="330" spans="1:18">
      <c r="A330" s="40">
        <v>7</v>
      </c>
      <c r="B330" s="31" t="inlineStr">
        <is>
          <t xml:space="preserve">FBC7-D17</t>
        </is>
      </c>
      <c r="C330" s="31" t="inlineStr">
        <is>
          <t xml:space="preserve">Vegas</t>
        </is>
      </c>
      <c r="D330" s="31" t="inlineStr">
        <is>
          <t xml:space="preserve">Four-ball</t>
        </is>
      </c>
      <c r="E330" s="40">
        <v>9</v>
      </c>
      <c r="F330" s="42">
        <v>1</v>
      </c>
      <c r="G330" s="31" t="inlineStr">
        <is>
          <t xml:space="preserve">Connolly/Hilts</t>
        </is>
      </c>
      <c r="H330" s="31" t="inlineStr">
        <is>
          <t xml:space="preserve">Connolly</t>
        </is>
      </c>
      <c r="I330" s="31" t="inlineStr">
        <is>
          <t xml:space="preserve">Mangold</t>
        </is>
      </c>
      <c r="J330" s="31" t="inlineStr">
        <is>
          <t xml:space="preserve">Gray</t>
        </is>
      </c>
      <c r="K330" s="31" t="inlineStr">
        <is>
          <t xml:space="preserve">Grise</t>
        </is>
      </c>
      <c r="L330" s="42">
        <v>4</v>
      </c>
      <c r="M330" s="42">
        <v>2</v>
      </c>
      <c r="N330" s="31" t="inlineStr">
        <is>
          <t xml:space="preserve">Getting</t>
        </is>
      </c>
      <c r="O330" s="42">
        <v>0</v>
      </c>
      <c r="P330" s="42">
        <v>0.433</v>
      </c>
      <c r="Q330" s="42">
        <v>-0.433</v>
      </c>
      <c r="R330" s="31" t="inlineStr">
        <is>
          <t xml:space="preserve">FBC 7/Handicaps &amp; Expected PPC (2019).xlsx [FBCVII]</t>
        </is>
      </c>
    </row>
    <row r="331" spans="1:18">
      <c r="A331" s="43">
        <v>7</v>
      </c>
      <c r="B331" s="34" t="inlineStr">
        <is>
          <t xml:space="preserve">FBC7-D17</t>
        </is>
      </c>
      <c r="C331" s="34" t="inlineStr">
        <is>
          <t xml:space="preserve">Vegas</t>
        </is>
      </c>
      <c r="D331" s="34" t="inlineStr">
        <is>
          <t xml:space="preserve">Four-ball</t>
        </is>
      </c>
      <c r="E331" s="43">
        <v>9</v>
      </c>
      <c r="F331" s="45">
        <v>1</v>
      </c>
      <c r="G331" s="34" t="inlineStr">
        <is>
          <t xml:space="preserve">Ferrin/Jax</t>
        </is>
      </c>
      <c r="H331" s="34" t="inlineStr">
        <is>
          <t xml:space="preserve">Gray</t>
        </is>
      </c>
      <c r="I331" s="34" t="inlineStr">
        <is>
          <t xml:space="preserve">Grise</t>
        </is>
      </c>
      <c r="J331" s="34" t="inlineStr">
        <is>
          <t xml:space="preserve">Connolly</t>
        </is>
      </c>
      <c r="K331" s="34" t="inlineStr">
        <is>
          <t xml:space="preserve">Mangold</t>
        </is>
      </c>
      <c r="L331" s="45">
        <v>-4</v>
      </c>
      <c r="M331" s="45">
        <v>-2</v>
      </c>
      <c r="N331" s="34" t="inlineStr">
        <is>
          <t xml:space="preserve">Giving</t>
        </is>
      </c>
      <c r="O331" s="45">
        <v>1</v>
      </c>
      <c r="P331" s="45">
        <v>0.567</v>
      </c>
      <c r="Q331" s="45">
        <v>0.433</v>
      </c>
      <c r="R331" s="34" t="inlineStr">
        <is>
          <t xml:space="preserve">FBC 7/Handicaps &amp; Expected PPC (2019).xlsx [FBCVII]</t>
        </is>
      </c>
    </row>
    <row r="332" spans="1:18">
      <c r="A332" s="40">
        <v>7</v>
      </c>
      <c r="B332" s="31" t="inlineStr">
        <is>
          <t xml:space="preserve">FBC7-D18</t>
        </is>
      </c>
      <c r="C332" s="31" t="inlineStr">
        <is>
          <t xml:space="preserve">Vegas</t>
        </is>
      </c>
      <c r="D332" s="31" t="inlineStr">
        <is>
          <t xml:space="preserve">Four-ball</t>
        </is>
      </c>
      <c r="E332" s="40">
        <v>9</v>
      </c>
      <c r="F332" s="42">
        <v>1</v>
      </c>
      <c r="G332" s="31" t="inlineStr">
        <is>
          <t xml:space="preserve">Ferrin/Jax</t>
        </is>
      </c>
      <c r="H332" s="31" t="inlineStr">
        <is>
          <t xml:space="preserve">Bussiculo</t>
        </is>
      </c>
      <c r="I332" s="31" t="inlineStr">
        <is>
          <t xml:space="preserve">Flanders</t>
        </is>
      </c>
      <c r="J332" s="31" t="inlineStr">
        <is>
          <t xml:space="preserve">Forster</t>
        </is>
      </c>
      <c r="K332" s="31" t="inlineStr">
        <is>
          <t xml:space="preserve">Norat</t>
        </is>
      </c>
      <c r="L332" s="42">
        <v>-10</v>
      </c>
      <c r="M332" s="42">
        <v>-5</v>
      </c>
      <c r="N332" s="31" t="inlineStr">
        <is>
          <t xml:space="preserve">Giving</t>
        </is>
      </c>
      <c r="O332" s="42">
        <v>1</v>
      </c>
      <c r="P332" s="42">
        <v>0.548</v>
      </c>
      <c r="Q332" s="42">
        <v>0.452</v>
      </c>
      <c r="R332" s="31" t="inlineStr">
        <is>
          <t xml:space="preserve">FBC 7/Handicaps &amp; Expected PPC (2019).xlsx [FBCVII]</t>
        </is>
      </c>
    </row>
    <row r="333" spans="1:18">
      <c r="A333" s="43">
        <v>7</v>
      </c>
      <c r="B333" s="34" t="inlineStr">
        <is>
          <t xml:space="preserve">FBC7-D18</t>
        </is>
      </c>
      <c r="C333" s="34" t="inlineStr">
        <is>
          <t xml:space="preserve">Vegas</t>
        </is>
      </c>
      <c r="D333" s="34" t="inlineStr">
        <is>
          <t xml:space="preserve">Four-ball</t>
        </is>
      </c>
      <c r="E333" s="43">
        <v>9</v>
      </c>
      <c r="F333" s="45">
        <v>1</v>
      </c>
      <c r="G333" s="34" t="inlineStr">
        <is>
          <t xml:space="preserve">Connolly/Hilts</t>
        </is>
      </c>
      <c r="H333" s="34" t="inlineStr">
        <is>
          <t xml:space="preserve">Forster</t>
        </is>
      </c>
      <c r="I333" s="34" t="inlineStr">
        <is>
          <t xml:space="preserve">Norat</t>
        </is>
      </c>
      <c r="J333" s="34" t="inlineStr">
        <is>
          <t xml:space="preserve">Bussiculo</t>
        </is>
      </c>
      <c r="K333" s="34" t="inlineStr">
        <is>
          <t xml:space="preserve">Flanders</t>
        </is>
      </c>
      <c r="L333" s="45">
        <v>10</v>
      </c>
      <c r="M333" s="45">
        <v>5</v>
      </c>
      <c r="N333" s="34" t="inlineStr">
        <is>
          <t xml:space="preserve">Getting</t>
        </is>
      </c>
      <c r="O333" s="45">
        <v>0</v>
      </c>
      <c r="P333" s="45">
        <v>0.452</v>
      </c>
      <c r="Q333" s="45">
        <v>-0.452</v>
      </c>
      <c r="R333" s="34" t="inlineStr">
        <is>
          <t xml:space="preserve">FBC 7/Handicaps &amp; Expected PPC (2019).xlsx [FBCVII]</t>
        </is>
      </c>
    </row>
    <row r="334" spans="1:18">
      <c r="A334" s="40">
        <v>7</v>
      </c>
      <c r="B334" s="31" t="inlineStr">
        <is>
          <t xml:space="preserve">FBC7-D19</t>
        </is>
      </c>
      <c r="C334" s="31" t="inlineStr">
        <is>
          <t xml:space="preserve">Vegas</t>
        </is>
      </c>
      <c r="D334" s="31" t="inlineStr">
        <is>
          <t xml:space="preserve">Four-ball</t>
        </is>
      </c>
      <c r="E334" s="40">
        <v>9</v>
      </c>
      <c r="F334" s="42">
        <v>1</v>
      </c>
      <c r="G334" s="31" t="inlineStr">
        <is>
          <t xml:space="preserve">Connolly/Hilts</t>
        </is>
      </c>
      <c r="H334" s="31" t="inlineStr">
        <is>
          <t xml:space="preserve">Shively</t>
        </is>
      </c>
      <c r="I334" s="31" t="inlineStr">
        <is>
          <t xml:space="preserve">Welker</t>
        </is>
      </c>
      <c r="J334" s="31" t="inlineStr">
        <is>
          <t xml:space="preserve">Connors</t>
        </is>
      </c>
      <c r="K334" s="31" t="inlineStr">
        <is>
          <t xml:space="preserve">Jackson</t>
        </is>
      </c>
      <c r="L334" s="42">
        <v>0.29</v>
      </c>
      <c r="M334" s="42">
        <v>0.15</v>
      </c>
      <c r="N334" s="31" t="inlineStr">
        <is>
          <t xml:space="preserve">Even</t>
        </is>
      </c>
      <c r="O334" s="42">
        <v>0.5</v>
      </c>
      <c r="P334" s="42">
        <v>0.501</v>
      </c>
      <c r="Q334" s="42">
        <v>-0.001</v>
      </c>
      <c r="R334" s="31" t="inlineStr">
        <is>
          <t xml:space="preserve">Index x slope (Handicaps tab)</t>
        </is>
      </c>
    </row>
    <row r="335" spans="1:18">
      <c r="A335" s="43">
        <v>7</v>
      </c>
      <c r="B335" s="34" t="inlineStr">
        <is>
          <t xml:space="preserve">FBC7-D19</t>
        </is>
      </c>
      <c r="C335" s="34" t="inlineStr">
        <is>
          <t xml:space="preserve">Vegas</t>
        </is>
      </c>
      <c r="D335" s="34" t="inlineStr">
        <is>
          <t xml:space="preserve">Four-ball</t>
        </is>
      </c>
      <c r="E335" s="43">
        <v>9</v>
      </c>
      <c r="F335" s="45">
        <v>1</v>
      </c>
      <c r="G335" s="34" t="inlineStr">
        <is>
          <t xml:space="preserve">Ferrin/Jax</t>
        </is>
      </c>
      <c r="H335" s="34" t="inlineStr">
        <is>
          <t xml:space="preserve">Connors</t>
        </is>
      </c>
      <c r="I335" s="34" t="inlineStr">
        <is>
          <t xml:space="preserve">Jackson</t>
        </is>
      </c>
      <c r="J335" s="34" t="inlineStr">
        <is>
          <t xml:space="preserve">Shively</t>
        </is>
      </c>
      <c r="K335" s="34" t="inlineStr">
        <is>
          <t xml:space="preserve">Welker</t>
        </is>
      </c>
      <c r="L335" s="45">
        <v>-0.29</v>
      </c>
      <c r="M335" s="45">
        <v>-0.15</v>
      </c>
      <c r="N335" s="34" t="inlineStr">
        <is>
          <t xml:space="preserve">Even</t>
        </is>
      </c>
      <c r="O335" s="45">
        <v>0.5</v>
      </c>
      <c r="P335" s="45">
        <v>0.499</v>
      </c>
      <c r="Q335" s="45">
        <v>0.001</v>
      </c>
      <c r="R335" s="34" t="inlineStr">
        <is>
          <t xml:space="preserve">Index x slope (Handicaps tab)</t>
        </is>
      </c>
    </row>
    <row r="336" spans="1:18">
      <c r="A336" s="40">
        <v>7</v>
      </c>
      <c r="B336" s="31" t="inlineStr">
        <is>
          <t xml:space="preserve">FBC7-D20</t>
        </is>
      </c>
      <c r="C336" s="31" t="inlineStr">
        <is>
          <t xml:space="preserve">Vegas</t>
        </is>
      </c>
      <c r="D336" s="31" t="inlineStr">
        <is>
          <t xml:space="preserve">Four-ball</t>
        </is>
      </c>
      <c r="E336" s="40">
        <v>9</v>
      </c>
      <c r="F336" s="42">
        <v>1</v>
      </c>
      <c r="G336" s="31" t="inlineStr">
        <is>
          <t xml:space="preserve">Ferrin/Jax</t>
        </is>
      </c>
      <c r="H336" s="31" t="inlineStr">
        <is>
          <t xml:space="preserve">Lynch</t>
        </is>
      </c>
      <c r="I336" s="31" t="inlineStr">
        <is>
          <t xml:space="preserve">Zimmer</t>
        </is>
      </c>
      <c r="J336" s="31" t="inlineStr">
        <is>
          <t xml:space="preserve">Fogan</t>
        </is>
      </c>
      <c r="K336" s="31" t="inlineStr">
        <is>
          <t xml:space="preserve">McInerney</t>
        </is>
      </c>
      <c r="L336" s="42">
        <v>-5.5</v>
      </c>
      <c r="M336" s="42">
        <v>-2.75</v>
      </c>
      <c r="N336" s="31" t="inlineStr">
        <is>
          <t xml:space="preserve">Giving</t>
        </is>
      </c>
      <c r="O336" s="42">
        <v>1</v>
      </c>
      <c r="P336" s="42">
        <v>0.563</v>
      </c>
      <c r="Q336" s="42">
        <v>0.437</v>
      </c>
      <c r="R336" s="31" t="inlineStr">
        <is>
          <t xml:space="preserve">FBC 7/Handicaps &amp; Expected PPC (2019).xlsx [FBCVII]</t>
        </is>
      </c>
    </row>
    <row r="337" spans="1:18">
      <c r="A337" s="43">
        <v>7</v>
      </c>
      <c r="B337" s="34" t="inlineStr">
        <is>
          <t xml:space="preserve">FBC7-D20</t>
        </is>
      </c>
      <c r="C337" s="34" t="inlineStr">
        <is>
          <t xml:space="preserve">Vegas</t>
        </is>
      </c>
      <c r="D337" s="34" t="inlineStr">
        <is>
          <t xml:space="preserve">Four-ball</t>
        </is>
      </c>
      <c r="E337" s="43">
        <v>9</v>
      </c>
      <c r="F337" s="45">
        <v>1</v>
      </c>
      <c r="G337" s="34" t="inlineStr">
        <is>
          <t xml:space="preserve">Connolly/Hilts</t>
        </is>
      </c>
      <c r="H337" s="34" t="inlineStr">
        <is>
          <t xml:space="preserve">Fogan</t>
        </is>
      </c>
      <c r="I337" s="34" t="inlineStr">
        <is>
          <t xml:space="preserve">McInerney</t>
        </is>
      </c>
      <c r="J337" s="34" t="inlineStr">
        <is>
          <t xml:space="preserve">Lynch</t>
        </is>
      </c>
      <c r="K337" s="34" t="inlineStr">
        <is>
          <t xml:space="preserve">Zimmer</t>
        </is>
      </c>
      <c r="L337" s="45">
        <v>5.5</v>
      </c>
      <c r="M337" s="45">
        <v>2.75</v>
      </c>
      <c r="N337" s="34" t="inlineStr">
        <is>
          <t xml:space="preserve">Getting</t>
        </is>
      </c>
      <c r="O337" s="45">
        <v>0</v>
      </c>
      <c r="P337" s="45">
        <v>0.437</v>
      </c>
      <c r="Q337" s="45">
        <v>-0.437</v>
      </c>
      <c r="R337" s="34" t="inlineStr">
        <is>
          <t xml:space="preserve">FBC 7/Handicaps &amp; Expected PPC (2019).xlsx [FBCVII]</t>
        </is>
      </c>
    </row>
    <row r="338" spans="1:18">
      <c r="A338" s="40">
        <v>7</v>
      </c>
      <c r="B338" s="31" t="inlineStr">
        <is>
          <t xml:space="preserve">FBC7-D21</t>
        </is>
      </c>
      <c r="C338" s="31" t="inlineStr">
        <is>
          <t xml:space="preserve">Pinehurst</t>
        </is>
      </c>
      <c r="D338" s="31" t="inlineStr">
        <is>
          <t xml:space="preserve">Pinehurst</t>
        </is>
      </c>
      <c r="E338" s="40">
        <v>9</v>
      </c>
      <c r="F338" s="42">
        <v>1</v>
      </c>
      <c r="G338" s="31" t="inlineStr">
        <is>
          <t xml:space="preserve">Ferrin/Jax</t>
        </is>
      </c>
      <c r="H338" s="31" t="inlineStr">
        <is>
          <t xml:space="preserve">Ferrin</t>
        </is>
      </c>
      <c r="I338" s="31" t="inlineStr">
        <is>
          <t xml:space="preserve">Jackson</t>
        </is>
      </c>
      <c r="J338" s="31" t="inlineStr">
        <is>
          <t xml:space="preserve">Connolly</t>
        </is>
      </c>
      <c r="K338" s="31" t="inlineStr">
        <is>
          <t xml:space="preserve">Hilts</t>
        </is>
      </c>
      <c r="L338" s="42">
        <v>-4</v>
      </c>
      <c r="M338" s="42">
        <v>-2</v>
      </c>
      <c r="N338" s="31" t="inlineStr">
        <is>
          <t xml:space="preserve">Giving</t>
        </is>
      </c>
      <c r="O338" s="42">
        <v>1</v>
      </c>
      <c r="P338" s="42">
        <v>0.546</v>
      </c>
      <c r="Q338" s="42">
        <v>0.454</v>
      </c>
      <c r="R338" s="31" t="inlineStr">
        <is>
          <t xml:space="preserve">FBC 7/Handicaps &amp; Expected PPC (2019).xlsx [FBCVII]</t>
        </is>
      </c>
    </row>
    <row r="339" spans="1:18">
      <c r="A339" s="43">
        <v>7</v>
      </c>
      <c r="B339" s="34" t="inlineStr">
        <is>
          <t xml:space="preserve">FBC7-D21</t>
        </is>
      </c>
      <c r="C339" s="34" t="inlineStr">
        <is>
          <t xml:space="preserve">Pinehurst</t>
        </is>
      </c>
      <c r="D339" s="34" t="inlineStr">
        <is>
          <t xml:space="preserve">Pinehurst</t>
        </is>
      </c>
      <c r="E339" s="43">
        <v>9</v>
      </c>
      <c r="F339" s="45">
        <v>1</v>
      </c>
      <c r="G339" s="34" t="inlineStr">
        <is>
          <t xml:space="preserve">Connolly/Hilts</t>
        </is>
      </c>
      <c r="H339" s="34" t="inlineStr">
        <is>
          <t xml:space="preserve">Connolly</t>
        </is>
      </c>
      <c r="I339" s="34" t="inlineStr">
        <is>
          <t xml:space="preserve">Hilts</t>
        </is>
      </c>
      <c r="J339" s="34" t="inlineStr">
        <is>
          <t xml:space="preserve">Ferrin</t>
        </is>
      </c>
      <c r="K339" s="34" t="inlineStr">
        <is>
          <t xml:space="preserve">Jackson</t>
        </is>
      </c>
      <c r="L339" s="45">
        <v>4</v>
      </c>
      <c r="M339" s="45">
        <v>2</v>
      </c>
      <c r="N339" s="34" t="inlineStr">
        <is>
          <t xml:space="preserve">Getting</t>
        </is>
      </c>
      <c r="O339" s="45">
        <v>0</v>
      </c>
      <c r="P339" s="45">
        <v>0.454</v>
      </c>
      <c r="Q339" s="45">
        <v>-0.454</v>
      </c>
      <c r="R339" s="34" t="inlineStr">
        <is>
          <t xml:space="preserve">FBC 7/Handicaps &amp; Expected PPC (2019).xlsx [FBCVII]</t>
        </is>
      </c>
    </row>
    <row r="340" spans="1:18">
      <c r="A340" s="40">
        <v>7</v>
      </c>
      <c r="B340" s="31" t="inlineStr">
        <is>
          <t xml:space="preserve">FBC7-D22</t>
        </is>
      </c>
      <c r="C340" s="31" t="inlineStr">
        <is>
          <t xml:space="preserve">Pinehurst</t>
        </is>
      </c>
      <c r="D340" s="31" t="inlineStr">
        <is>
          <t xml:space="preserve">Pinehurst</t>
        </is>
      </c>
      <c r="E340" s="40">
        <v>9</v>
      </c>
      <c r="F340" s="42">
        <v>1</v>
      </c>
      <c r="G340" s="31" t="inlineStr">
        <is>
          <t xml:space="preserve">Connolly/Hilts</t>
        </is>
      </c>
      <c r="H340" s="31" t="inlineStr">
        <is>
          <t xml:space="preserve">Poirier</t>
        </is>
      </c>
      <c r="I340" s="31" t="inlineStr">
        <is>
          <t xml:space="preserve">Shively</t>
        </is>
      </c>
      <c r="J340" s="31" t="inlineStr">
        <is>
          <t xml:space="preserve">Gray</t>
        </is>
      </c>
      <c r="K340" s="31" t="inlineStr">
        <is>
          <t xml:space="preserve">Lynch</t>
        </is>
      </c>
      <c r="L340" s="42">
        <v>2</v>
      </c>
      <c r="M340" s="42">
        <v>1</v>
      </c>
      <c r="N340" s="31" t="inlineStr">
        <is>
          <t xml:space="preserve">Getting</t>
        </is>
      </c>
      <c r="O340" s="42">
        <v>0</v>
      </c>
      <c r="P340" s="42">
        <v>0.437</v>
      </c>
      <c r="Q340" s="42">
        <v>-0.437</v>
      </c>
      <c r="R340" s="31" t="inlineStr">
        <is>
          <t xml:space="preserve">FBC 7/Handicaps &amp; Expected PPC (2019).xlsx [FBCVII]</t>
        </is>
      </c>
    </row>
    <row r="341" spans="1:18">
      <c r="A341" s="43">
        <v>7</v>
      </c>
      <c r="B341" s="34" t="inlineStr">
        <is>
          <t xml:space="preserve">FBC7-D22</t>
        </is>
      </c>
      <c r="C341" s="34" t="inlineStr">
        <is>
          <t xml:space="preserve">Pinehurst</t>
        </is>
      </c>
      <c r="D341" s="34" t="inlineStr">
        <is>
          <t xml:space="preserve">Pinehurst</t>
        </is>
      </c>
      <c r="E341" s="43">
        <v>9</v>
      </c>
      <c r="F341" s="45">
        <v>1</v>
      </c>
      <c r="G341" s="34" t="inlineStr">
        <is>
          <t xml:space="preserve">Ferrin/Jax</t>
        </is>
      </c>
      <c r="H341" s="34" t="inlineStr">
        <is>
          <t xml:space="preserve">Gray</t>
        </is>
      </c>
      <c r="I341" s="34" t="inlineStr">
        <is>
          <t xml:space="preserve">Lynch</t>
        </is>
      </c>
      <c r="J341" s="34" t="inlineStr">
        <is>
          <t xml:space="preserve">Poirier</t>
        </is>
      </c>
      <c r="K341" s="34" t="inlineStr">
        <is>
          <t xml:space="preserve">Shively</t>
        </is>
      </c>
      <c r="L341" s="45">
        <v>-2</v>
      </c>
      <c r="M341" s="45">
        <v>-1</v>
      </c>
      <c r="N341" s="34" t="inlineStr">
        <is>
          <t xml:space="preserve">Giving</t>
        </is>
      </c>
      <c r="O341" s="45">
        <v>1</v>
      </c>
      <c r="P341" s="45">
        <v>0.563</v>
      </c>
      <c r="Q341" s="45">
        <v>0.437</v>
      </c>
      <c r="R341" s="34" t="inlineStr">
        <is>
          <t xml:space="preserve">FBC 7/Handicaps &amp; Expected PPC (2019).xlsx [FBCVII]</t>
        </is>
      </c>
    </row>
    <row r="342" spans="1:18">
      <c r="A342" s="40">
        <v>7</v>
      </c>
      <c r="B342" s="31" t="inlineStr">
        <is>
          <t xml:space="preserve">FBC7-D23</t>
        </is>
      </c>
      <c r="C342" s="31" t="inlineStr">
        <is>
          <t xml:space="preserve">Pinehurst</t>
        </is>
      </c>
      <c r="D342" s="31" t="inlineStr">
        <is>
          <t xml:space="preserve">Pinehurst</t>
        </is>
      </c>
      <c r="E342" s="40">
        <v>9</v>
      </c>
      <c r="F342" s="42">
        <v>1</v>
      </c>
      <c r="G342" s="31" t="inlineStr">
        <is>
          <t xml:space="preserve">Ferrin/Jax</t>
        </is>
      </c>
      <c r="H342" s="31" t="inlineStr">
        <is>
          <t xml:space="preserve">Flanders</t>
        </is>
      </c>
      <c r="I342" s="31" t="inlineStr">
        <is>
          <t xml:space="preserve">Zimmer</t>
        </is>
      </c>
      <c r="J342" s="31" t="inlineStr">
        <is>
          <t xml:space="preserve">McInerney</t>
        </is>
      </c>
      <c r="K342" s="31" t="inlineStr">
        <is>
          <t xml:space="preserve">Norat</t>
        </is>
      </c>
      <c r="L342" s="42">
        <v>-6</v>
      </c>
      <c r="M342" s="42">
        <v>-3</v>
      </c>
      <c r="N342" s="31" t="inlineStr">
        <is>
          <t xml:space="preserve">Giving</t>
        </is>
      </c>
      <c r="O342" s="42">
        <v>0</v>
      </c>
      <c r="P342" s="42">
        <v>0.529</v>
      </c>
      <c r="Q342" s="42">
        <v>-0.529</v>
      </c>
      <c r="R342" s="31" t="inlineStr">
        <is>
          <t xml:space="preserve">FBC 7/Handicaps &amp; Expected PPC (2019).xlsx [FBCVII]</t>
        </is>
      </c>
    </row>
    <row r="343" spans="1:18">
      <c r="A343" s="43">
        <v>7</v>
      </c>
      <c r="B343" s="34" t="inlineStr">
        <is>
          <t xml:space="preserve">FBC7-D23</t>
        </is>
      </c>
      <c r="C343" s="34" t="inlineStr">
        <is>
          <t xml:space="preserve">Pinehurst</t>
        </is>
      </c>
      <c r="D343" s="34" t="inlineStr">
        <is>
          <t xml:space="preserve">Pinehurst</t>
        </is>
      </c>
      <c r="E343" s="43">
        <v>9</v>
      </c>
      <c r="F343" s="45">
        <v>1</v>
      </c>
      <c r="G343" s="34" t="inlineStr">
        <is>
          <t xml:space="preserve">Connolly/Hilts</t>
        </is>
      </c>
      <c r="H343" s="34" t="inlineStr">
        <is>
          <t xml:space="preserve">McInerney</t>
        </is>
      </c>
      <c r="I343" s="34" t="inlineStr">
        <is>
          <t xml:space="preserve">Norat</t>
        </is>
      </c>
      <c r="J343" s="34" t="inlineStr">
        <is>
          <t xml:space="preserve">Flanders</t>
        </is>
      </c>
      <c r="K343" s="34" t="inlineStr">
        <is>
          <t xml:space="preserve">Zimmer</t>
        </is>
      </c>
      <c r="L343" s="45">
        <v>6</v>
      </c>
      <c r="M343" s="45">
        <v>3</v>
      </c>
      <c r="N343" s="34" t="inlineStr">
        <is>
          <t xml:space="preserve">Getting</t>
        </is>
      </c>
      <c r="O343" s="45">
        <v>1</v>
      </c>
      <c r="P343" s="45">
        <v>0.471</v>
      </c>
      <c r="Q343" s="45">
        <v>0.529</v>
      </c>
      <c r="R343" s="34" t="inlineStr">
        <is>
          <t xml:space="preserve">FBC 7/Handicaps &amp; Expected PPC (2019).xlsx [FBCVII]</t>
        </is>
      </c>
    </row>
    <row r="344" spans="1:18">
      <c r="A344" s="40">
        <v>7</v>
      </c>
      <c r="B344" s="31" t="inlineStr">
        <is>
          <t xml:space="preserve">FBC7-D24</t>
        </is>
      </c>
      <c r="C344" s="31" t="inlineStr">
        <is>
          <t xml:space="preserve">Pinehurst</t>
        </is>
      </c>
      <c r="D344" s="31" t="inlineStr">
        <is>
          <t xml:space="preserve">Pinehurst</t>
        </is>
      </c>
      <c r="E344" s="40">
        <v>9</v>
      </c>
      <c r="F344" s="42">
        <v>1</v>
      </c>
      <c r="G344" s="31" t="inlineStr">
        <is>
          <t xml:space="preserve">Connolly/Hilts</t>
        </is>
      </c>
      <c r="H344" s="31" t="inlineStr">
        <is>
          <t xml:space="preserve">Forster</t>
        </is>
      </c>
      <c r="I344" s="31" t="inlineStr">
        <is>
          <t xml:space="preserve">Welker</t>
        </is>
      </c>
      <c r="J344" s="31" t="inlineStr">
        <is>
          <t xml:space="preserve">Connors</t>
        </is>
      </c>
      <c r="K344" s="31" t="inlineStr">
        <is>
          <t xml:space="preserve">Grise</t>
        </is>
      </c>
      <c r="L344" s="42">
        <v>0</v>
      </c>
      <c r="M344" s="42">
        <v>0</v>
      </c>
      <c r="N344" s="31" t="inlineStr">
        <is>
          <t xml:space="preserve">Even</t>
        </is>
      </c>
      <c r="O344" s="42">
        <v>1</v>
      </c>
      <c r="P344" s="42">
        <v>0.5</v>
      </c>
      <c r="Q344" s="42">
        <v>0.5</v>
      </c>
      <c r="R344" s="31" t="inlineStr">
        <is>
          <t xml:space="preserve">FBC 7/Handicaps &amp; Expected PPC (2019).xlsx [FBCVII]</t>
        </is>
      </c>
    </row>
    <row r="345" spans="1:18">
      <c r="A345" s="43">
        <v>7</v>
      </c>
      <c r="B345" s="34" t="inlineStr">
        <is>
          <t xml:space="preserve">FBC7-D24</t>
        </is>
      </c>
      <c r="C345" s="34" t="inlineStr">
        <is>
          <t xml:space="preserve">Pinehurst</t>
        </is>
      </c>
      <c r="D345" s="34" t="inlineStr">
        <is>
          <t xml:space="preserve">Pinehurst</t>
        </is>
      </c>
      <c r="E345" s="43">
        <v>9</v>
      </c>
      <c r="F345" s="45">
        <v>1</v>
      </c>
      <c r="G345" s="34" t="inlineStr">
        <is>
          <t xml:space="preserve">Ferrin/Jax</t>
        </is>
      </c>
      <c r="H345" s="34" t="inlineStr">
        <is>
          <t xml:space="preserve">Connors</t>
        </is>
      </c>
      <c r="I345" s="34" t="inlineStr">
        <is>
          <t xml:space="preserve">Grise</t>
        </is>
      </c>
      <c r="J345" s="34" t="inlineStr">
        <is>
          <t xml:space="preserve">Forster</t>
        </is>
      </c>
      <c r="K345" s="34" t="inlineStr">
        <is>
          <t xml:space="preserve">Welker</t>
        </is>
      </c>
      <c r="L345" s="45">
        <v>0</v>
      </c>
      <c r="M345" s="45">
        <v>0</v>
      </c>
      <c r="N345" s="34" t="inlineStr">
        <is>
          <t xml:space="preserve">Even</t>
        </is>
      </c>
      <c r="O345" s="45">
        <v>0</v>
      </c>
      <c r="P345" s="45">
        <v>0.5</v>
      </c>
      <c r="Q345" s="45">
        <v>-0.5</v>
      </c>
      <c r="R345" s="34" t="inlineStr">
        <is>
          <t xml:space="preserve">FBC 7/Handicaps &amp; Expected PPC (2019).xlsx [FBCVII]</t>
        </is>
      </c>
    </row>
    <row r="346" spans="1:18">
      <c r="A346" s="40">
        <v>7</v>
      </c>
      <c r="B346" s="31" t="inlineStr">
        <is>
          <t xml:space="preserve">FBC7-D25</t>
        </is>
      </c>
      <c r="C346" s="31" t="inlineStr">
        <is>
          <t xml:space="preserve">Pinehurst</t>
        </is>
      </c>
      <c r="D346" s="31" t="inlineStr">
        <is>
          <t xml:space="preserve">Pinehurst</t>
        </is>
      </c>
      <c r="E346" s="40">
        <v>9</v>
      </c>
      <c r="F346" s="42">
        <v>1</v>
      </c>
      <c r="G346" s="31" t="inlineStr">
        <is>
          <t xml:space="preserve">Ferrin/Jax</t>
        </is>
      </c>
      <c r="H346" s="31" t="inlineStr">
        <is>
          <t xml:space="preserve">Bussiculo</t>
        </is>
      </c>
      <c r="I346" s="31" t="inlineStr">
        <is>
          <t xml:space="preserve">Cole</t>
        </is>
      </c>
      <c r="J346" s="31" t="inlineStr">
        <is>
          <t xml:space="preserve">Fogan</t>
        </is>
      </c>
      <c r="K346" s="31" t="inlineStr">
        <is>
          <t xml:space="preserve">Mangold</t>
        </is>
      </c>
      <c r="L346" s="42">
        <v>-5</v>
      </c>
      <c r="M346" s="42">
        <v>-2.5</v>
      </c>
      <c r="N346" s="31" t="inlineStr">
        <is>
          <t xml:space="preserve">Giving</t>
        </is>
      </c>
      <c r="O346" s="42">
        <v>0</v>
      </c>
      <c r="P346" s="42">
        <v>0.538</v>
      </c>
      <c r="Q346" s="42">
        <v>-0.538</v>
      </c>
      <c r="R346" s="31" t="inlineStr">
        <is>
          <t xml:space="preserve">FBC 7/Handicaps &amp; Expected PPC (2019).xlsx [FBCVII]</t>
        </is>
      </c>
    </row>
    <row r="347" spans="1:18">
      <c r="A347" s="43">
        <v>7</v>
      </c>
      <c r="B347" s="34" t="inlineStr">
        <is>
          <t xml:space="preserve">FBC7-D25</t>
        </is>
      </c>
      <c r="C347" s="34" t="inlineStr">
        <is>
          <t xml:space="preserve">Pinehurst</t>
        </is>
      </c>
      <c r="D347" s="34" t="inlineStr">
        <is>
          <t xml:space="preserve">Pinehurst</t>
        </is>
      </c>
      <c r="E347" s="43">
        <v>9</v>
      </c>
      <c r="F347" s="45">
        <v>1</v>
      </c>
      <c r="G347" s="34" t="inlineStr">
        <is>
          <t xml:space="preserve">Connolly/Hilts</t>
        </is>
      </c>
      <c r="H347" s="34" t="inlineStr">
        <is>
          <t xml:space="preserve">Fogan</t>
        </is>
      </c>
      <c r="I347" s="34" t="inlineStr">
        <is>
          <t xml:space="preserve">Mangold</t>
        </is>
      </c>
      <c r="J347" s="34" t="inlineStr">
        <is>
          <t xml:space="preserve">Bussiculo</t>
        </is>
      </c>
      <c r="K347" s="34" t="inlineStr">
        <is>
          <t xml:space="preserve">Cole</t>
        </is>
      </c>
      <c r="L347" s="45">
        <v>5</v>
      </c>
      <c r="M347" s="45">
        <v>2.5</v>
      </c>
      <c r="N347" s="34" t="inlineStr">
        <is>
          <t xml:space="preserve">Getting</t>
        </is>
      </c>
      <c r="O347" s="45">
        <v>1</v>
      </c>
      <c r="P347" s="45">
        <v>0.462</v>
      </c>
      <c r="Q347" s="45">
        <v>0.538</v>
      </c>
      <c r="R347" s="34" t="inlineStr">
        <is>
          <t xml:space="preserve">FBC 7/Handicaps &amp; Expected PPC (2019).xlsx [FBCVII]</t>
        </is>
      </c>
    </row>
    <row r="348" spans="1:18">
      <c r="A348" s="40">
        <v>7</v>
      </c>
      <c r="B348" s="31" t="inlineStr">
        <is>
          <t xml:space="preserve">FBC7-S-Cole-Norat</t>
        </is>
      </c>
      <c r="C348" s="31" t="inlineStr">
        <is>
          <t xml:space="preserve">Match Play</t>
        </is>
      </c>
      <c r="D348" s="31" t="inlineStr">
        <is>
          <t xml:space="preserve">Singles</t>
        </is>
      </c>
      <c r="E348" s="40">
        <v>18</v>
      </c>
      <c r="F348" s="42">
        <v>2</v>
      </c>
      <c r="G348" s="31" t="inlineStr">
        <is>
          <t xml:space="preserve">Ferrin/Jax</t>
        </is>
      </c>
      <c r="H348" s="31" t="inlineStr">
        <is>
          <t xml:space="preserve">Cole</t>
        </is>
      </c>
      <c r="I348" s="31"/>
      <c r="J348" s="31" t="inlineStr">
        <is>
          <t xml:space="preserve">Norat</t>
        </is>
      </c>
      <c r="K348" s="31"/>
      <c r="L348" s="42">
        <v>3.37</v>
      </c>
      <c r="M348" s="42">
        <v>3.37</v>
      </c>
      <c r="N348" s="31" t="inlineStr">
        <is>
          <t xml:space="preserve">Getting</t>
        </is>
      </c>
      <c r="O348" s="42">
        <v>2</v>
      </c>
      <c r="P348" s="42">
        <v>0.904</v>
      </c>
      <c r="Q348" s="42">
        <v>1.096</v>
      </c>
      <c r="R348" s="31" t="inlineStr">
        <is>
          <t xml:space="preserve">Index x slope (Handicaps tab)</t>
        </is>
      </c>
    </row>
    <row r="349" spans="1:18">
      <c r="A349" s="43">
        <v>7</v>
      </c>
      <c r="B349" s="34" t="inlineStr">
        <is>
          <t xml:space="preserve">FBC7-S-Cole-Norat</t>
        </is>
      </c>
      <c r="C349" s="34" t="inlineStr">
        <is>
          <t xml:space="preserve">Match Play</t>
        </is>
      </c>
      <c r="D349" s="34" t="inlineStr">
        <is>
          <t xml:space="preserve">Singles</t>
        </is>
      </c>
      <c r="E349" s="43">
        <v>18</v>
      </c>
      <c r="F349" s="45">
        <v>2</v>
      </c>
      <c r="G349" s="34" t="inlineStr">
        <is>
          <t xml:space="preserve">Connolly/Hilts</t>
        </is>
      </c>
      <c r="H349" s="34" t="inlineStr">
        <is>
          <t xml:space="preserve">Norat</t>
        </is>
      </c>
      <c r="I349" s="34"/>
      <c r="J349" s="34" t="inlineStr">
        <is>
          <t xml:space="preserve">Cole</t>
        </is>
      </c>
      <c r="K349" s="34"/>
      <c r="L349" s="45">
        <v>-3.37</v>
      </c>
      <c r="M349" s="45">
        <v>-3.37</v>
      </c>
      <c r="N349" s="34" t="inlineStr">
        <is>
          <t xml:space="preserve">Giving</t>
        </is>
      </c>
      <c r="O349" s="45">
        <v>0</v>
      </c>
      <c r="P349" s="45">
        <v>1.096</v>
      </c>
      <c r="Q349" s="45">
        <v>-1.096</v>
      </c>
      <c r="R349" s="34" t="inlineStr">
        <is>
          <t xml:space="preserve">Index x slope (Handicaps tab)</t>
        </is>
      </c>
    </row>
    <row r="350" spans="1:18">
      <c r="A350" s="40">
        <v>7</v>
      </c>
      <c r="B350" s="31" t="inlineStr">
        <is>
          <t xml:space="preserve">FBC7-S-Connors-Fogan</t>
        </is>
      </c>
      <c r="C350" s="31" t="inlineStr">
        <is>
          <t xml:space="preserve">Match Play</t>
        </is>
      </c>
      <c r="D350" s="31" t="inlineStr">
        <is>
          <t xml:space="preserve">Singles</t>
        </is>
      </c>
      <c r="E350" s="40">
        <v>18</v>
      </c>
      <c r="F350" s="42">
        <v>2</v>
      </c>
      <c r="G350" s="31" t="inlineStr">
        <is>
          <t xml:space="preserve">Ferrin/Jax</t>
        </is>
      </c>
      <c r="H350" s="31" t="inlineStr">
        <is>
          <t xml:space="preserve">Connors</t>
        </is>
      </c>
      <c r="I350" s="31"/>
      <c r="J350" s="31" t="inlineStr">
        <is>
          <t xml:space="preserve">Fogan</t>
        </is>
      </c>
      <c r="K350" s="31"/>
      <c r="L350" s="42">
        <v>-8.55</v>
      </c>
      <c r="M350" s="42">
        <v>-8.55</v>
      </c>
      <c r="N350" s="31" t="inlineStr">
        <is>
          <t xml:space="preserve">Giving</t>
        </is>
      </c>
      <c r="O350" s="42">
        <v>0</v>
      </c>
      <c r="P350" s="42">
        <v>0.994</v>
      </c>
      <c r="Q350" s="42">
        <v>-0.994</v>
      </c>
      <c r="R350" s="31" t="inlineStr">
        <is>
          <t xml:space="preserve">Index x slope (Handicaps tab)</t>
        </is>
      </c>
    </row>
    <row r="351" spans="1:18">
      <c r="A351" s="43">
        <v>7</v>
      </c>
      <c r="B351" s="34" t="inlineStr">
        <is>
          <t xml:space="preserve">FBC7-S-Connors-Fogan</t>
        </is>
      </c>
      <c r="C351" s="34" t="inlineStr">
        <is>
          <t xml:space="preserve">Match Play</t>
        </is>
      </c>
      <c r="D351" s="34" t="inlineStr">
        <is>
          <t xml:space="preserve">Singles</t>
        </is>
      </c>
      <c r="E351" s="43">
        <v>18</v>
      </c>
      <c r="F351" s="45">
        <v>2</v>
      </c>
      <c r="G351" s="34" t="inlineStr">
        <is>
          <t xml:space="preserve">Connolly/Hilts</t>
        </is>
      </c>
      <c r="H351" s="34" t="inlineStr">
        <is>
          <t xml:space="preserve">Fogan</t>
        </is>
      </c>
      <c r="I351" s="34"/>
      <c r="J351" s="34" t="inlineStr">
        <is>
          <t xml:space="preserve">Connors</t>
        </is>
      </c>
      <c r="K351" s="34"/>
      <c r="L351" s="45">
        <v>8.55</v>
      </c>
      <c r="M351" s="45">
        <v>8.55</v>
      </c>
      <c r="N351" s="34" t="inlineStr">
        <is>
          <t xml:space="preserve">Getting</t>
        </is>
      </c>
      <c r="O351" s="45">
        <v>2</v>
      </c>
      <c r="P351" s="45">
        <v>1.006</v>
      </c>
      <c r="Q351" s="45">
        <v>0.994</v>
      </c>
      <c r="R351" s="34" t="inlineStr">
        <is>
          <t xml:space="preserve">Index x slope (Handicaps tab)</t>
        </is>
      </c>
    </row>
    <row r="352" spans="1:18">
      <c r="A352" s="40">
        <v>7</v>
      </c>
      <c r="B352" s="31" t="inlineStr">
        <is>
          <t xml:space="preserve">FBC7-S-Ferrin-Forster</t>
        </is>
      </c>
      <c r="C352" s="31" t="inlineStr">
        <is>
          <t xml:space="preserve">Match Play</t>
        </is>
      </c>
      <c r="D352" s="31" t="inlineStr">
        <is>
          <t xml:space="preserve">Singles</t>
        </is>
      </c>
      <c r="E352" s="40">
        <v>18</v>
      </c>
      <c r="F352" s="42">
        <v>2</v>
      </c>
      <c r="G352" s="31" t="inlineStr">
        <is>
          <t xml:space="preserve">Ferrin/Jax</t>
        </is>
      </c>
      <c r="H352" s="31" t="inlineStr">
        <is>
          <t xml:space="preserve">Ferrin</t>
        </is>
      </c>
      <c r="I352" s="31"/>
      <c r="J352" s="31" t="inlineStr">
        <is>
          <t xml:space="preserve">Forster</t>
        </is>
      </c>
      <c r="K352" s="31"/>
      <c r="L352" s="42">
        <v>-2.53</v>
      </c>
      <c r="M352" s="42">
        <v>-2.53</v>
      </c>
      <c r="N352" s="31" t="inlineStr">
        <is>
          <t xml:space="preserve">Giving</t>
        </is>
      </c>
      <c r="O352" s="42">
        <v>0</v>
      </c>
      <c r="P352" s="42">
        <v>1.112</v>
      </c>
      <c r="Q352" s="42">
        <v>-1.112</v>
      </c>
      <c r="R352" s="31" t="inlineStr">
        <is>
          <t xml:space="preserve">Index x slope (Handicaps tab)</t>
        </is>
      </c>
    </row>
    <row r="353" spans="1:18">
      <c r="A353" s="43">
        <v>7</v>
      </c>
      <c r="B353" s="34" t="inlineStr">
        <is>
          <t xml:space="preserve">FBC7-S-Ferrin-Forster</t>
        </is>
      </c>
      <c r="C353" s="34" t="inlineStr">
        <is>
          <t xml:space="preserve">Match Play</t>
        </is>
      </c>
      <c r="D353" s="34" t="inlineStr">
        <is>
          <t xml:space="preserve">Singles</t>
        </is>
      </c>
      <c r="E353" s="43">
        <v>18</v>
      </c>
      <c r="F353" s="45">
        <v>2</v>
      </c>
      <c r="G353" s="34" t="inlineStr">
        <is>
          <t xml:space="preserve">Connolly/Hilts</t>
        </is>
      </c>
      <c r="H353" s="34" t="inlineStr">
        <is>
          <t xml:space="preserve">Forster</t>
        </is>
      </c>
      <c r="I353" s="34"/>
      <c r="J353" s="34" t="inlineStr">
        <is>
          <t xml:space="preserve">Ferrin</t>
        </is>
      </c>
      <c r="K353" s="34"/>
      <c r="L353" s="45">
        <v>2.53</v>
      </c>
      <c r="M353" s="45">
        <v>2.53</v>
      </c>
      <c r="N353" s="34" t="inlineStr">
        <is>
          <t xml:space="preserve">Getting</t>
        </is>
      </c>
      <c r="O353" s="45">
        <v>2</v>
      </c>
      <c r="P353" s="45">
        <v>0.888</v>
      </c>
      <c r="Q353" s="45">
        <v>1.112</v>
      </c>
      <c r="R353" s="34" t="inlineStr">
        <is>
          <t xml:space="preserve">Index x slope (Handicaps tab)</t>
        </is>
      </c>
    </row>
    <row r="354" spans="1:18">
      <c r="A354" s="40">
        <v>7</v>
      </c>
      <c r="B354" s="31" t="inlineStr">
        <is>
          <t xml:space="preserve">FBC7-S-Flanders-Poirier</t>
        </is>
      </c>
      <c r="C354" s="31" t="inlineStr">
        <is>
          <t xml:space="preserve">Match Play</t>
        </is>
      </c>
      <c r="D354" s="31" t="inlineStr">
        <is>
          <t xml:space="preserve">Singles</t>
        </is>
      </c>
      <c r="E354" s="40">
        <v>18</v>
      </c>
      <c r="F354" s="42">
        <v>2</v>
      </c>
      <c r="G354" s="31" t="inlineStr">
        <is>
          <t xml:space="preserve">Ferrin/Jax</t>
        </is>
      </c>
      <c r="H354" s="31" t="inlineStr">
        <is>
          <t xml:space="preserve">Flanders</t>
        </is>
      </c>
      <c r="I354" s="31"/>
      <c r="J354" s="31" t="inlineStr">
        <is>
          <t xml:space="preserve">Poirier</t>
        </is>
      </c>
      <c r="K354" s="31"/>
      <c r="L354" s="42">
        <v>-4.45</v>
      </c>
      <c r="M354" s="42">
        <v>-4.45</v>
      </c>
      <c r="N354" s="31" t="inlineStr">
        <is>
          <t xml:space="preserve">Giving</t>
        </is>
      </c>
      <c r="O354" s="42">
        <v>0</v>
      </c>
      <c r="P354" s="42">
        <v>1.074</v>
      </c>
      <c r="Q354" s="42">
        <v>-1.074</v>
      </c>
      <c r="R354" s="31" t="inlineStr">
        <is>
          <t xml:space="preserve">Index x slope (Handicaps tab)</t>
        </is>
      </c>
    </row>
    <row r="355" spans="1:18">
      <c r="A355" s="43">
        <v>7</v>
      </c>
      <c r="B355" s="34" t="inlineStr">
        <is>
          <t xml:space="preserve">FBC7-S-Flanders-Poirier</t>
        </is>
      </c>
      <c r="C355" s="34" t="inlineStr">
        <is>
          <t xml:space="preserve">Match Play</t>
        </is>
      </c>
      <c r="D355" s="34" t="inlineStr">
        <is>
          <t xml:space="preserve">Singles</t>
        </is>
      </c>
      <c r="E355" s="43">
        <v>18</v>
      </c>
      <c r="F355" s="45">
        <v>2</v>
      </c>
      <c r="G355" s="34" t="inlineStr">
        <is>
          <t xml:space="preserve">Connolly/Hilts</t>
        </is>
      </c>
      <c r="H355" s="34" t="inlineStr">
        <is>
          <t xml:space="preserve">Poirier</t>
        </is>
      </c>
      <c r="I355" s="34"/>
      <c r="J355" s="34" t="inlineStr">
        <is>
          <t xml:space="preserve">Flanders</t>
        </is>
      </c>
      <c r="K355" s="34"/>
      <c r="L355" s="45">
        <v>4.45</v>
      </c>
      <c r="M355" s="45">
        <v>4.45</v>
      </c>
      <c r="N355" s="34" t="inlineStr">
        <is>
          <t xml:space="preserve">Getting</t>
        </is>
      </c>
      <c r="O355" s="45">
        <v>2</v>
      </c>
      <c r="P355" s="45">
        <v>0.926</v>
      </c>
      <c r="Q355" s="45">
        <v>1.074</v>
      </c>
      <c r="R355" s="34" t="inlineStr">
        <is>
          <t xml:space="preserve">Index x slope (Handicaps tab)</t>
        </is>
      </c>
    </row>
    <row r="356" spans="1:18">
      <c r="A356" s="40">
        <v>7</v>
      </c>
      <c r="B356" s="31" t="inlineStr">
        <is>
          <t xml:space="preserve">FBC7-S-Gray-Welker</t>
        </is>
      </c>
      <c r="C356" s="31" t="inlineStr">
        <is>
          <t xml:space="preserve">Match Play</t>
        </is>
      </c>
      <c r="D356" s="31" t="inlineStr">
        <is>
          <t xml:space="preserve">Singles</t>
        </is>
      </c>
      <c r="E356" s="40">
        <v>18</v>
      </c>
      <c r="F356" s="42">
        <v>2</v>
      </c>
      <c r="G356" s="31" t="inlineStr">
        <is>
          <t xml:space="preserve">Ferrin/Jax</t>
        </is>
      </c>
      <c r="H356" s="31" t="inlineStr">
        <is>
          <t xml:space="preserve">Gray</t>
        </is>
      </c>
      <c r="I356" s="31"/>
      <c r="J356" s="31" t="inlineStr">
        <is>
          <t xml:space="preserve">Welker</t>
        </is>
      </c>
      <c r="K356" s="31"/>
      <c r="L356" s="42">
        <v>-7.58</v>
      </c>
      <c r="M356" s="42">
        <v>-7.58</v>
      </c>
      <c r="N356" s="31" t="inlineStr">
        <is>
          <t xml:space="preserve">Giving</t>
        </is>
      </c>
      <c r="O356" s="42">
        <v>2</v>
      </c>
      <c r="P356" s="42">
        <v>1.013</v>
      </c>
      <c r="Q356" s="42">
        <v>0.987</v>
      </c>
      <c r="R356" s="31" t="inlineStr">
        <is>
          <t xml:space="preserve">Index x slope (Handicaps tab)</t>
        </is>
      </c>
    </row>
    <row r="357" spans="1:18">
      <c r="A357" s="43">
        <v>7</v>
      </c>
      <c r="B357" s="34" t="inlineStr">
        <is>
          <t xml:space="preserve">FBC7-S-Gray-Welker</t>
        </is>
      </c>
      <c r="C357" s="34" t="inlineStr">
        <is>
          <t xml:space="preserve">Match Play</t>
        </is>
      </c>
      <c r="D357" s="34" t="inlineStr">
        <is>
          <t xml:space="preserve">Singles</t>
        </is>
      </c>
      <c r="E357" s="43">
        <v>18</v>
      </c>
      <c r="F357" s="45">
        <v>2</v>
      </c>
      <c r="G357" s="34" t="inlineStr">
        <is>
          <t xml:space="preserve">Connolly/Hilts</t>
        </is>
      </c>
      <c r="H357" s="34" t="inlineStr">
        <is>
          <t xml:space="preserve">Welker</t>
        </is>
      </c>
      <c r="I357" s="34"/>
      <c r="J357" s="34" t="inlineStr">
        <is>
          <t xml:space="preserve">Gray</t>
        </is>
      </c>
      <c r="K357" s="34"/>
      <c r="L357" s="45">
        <v>7.58</v>
      </c>
      <c r="M357" s="45">
        <v>7.58</v>
      </c>
      <c r="N357" s="34" t="inlineStr">
        <is>
          <t xml:space="preserve">Getting</t>
        </is>
      </c>
      <c r="O357" s="45">
        <v>0</v>
      </c>
      <c r="P357" s="45">
        <v>0.987</v>
      </c>
      <c r="Q357" s="45">
        <v>-0.987</v>
      </c>
      <c r="R357" s="34" t="inlineStr">
        <is>
          <t xml:space="preserve">Index x slope (Handicaps tab)</t>
        </is>
      </c>
    </row>
    <row r="358" spans="1:18">
      <c r="A358" s="40">
        <v>7</v>
      </c>
      <c r="B358" s="31" t="inlineStr">
        <is>
          <t xml:space="preserve">FBC7-S-Grise-Mangold</t>
        </is>
      </c>
      <c r="C358" s="31" t="inlineStr">
        <is>
          <t xml:space="preserve">Match Play</t>
        </is>
      </c>
      <c r="D358" s="31" t="inlineStr">
        <is>
          <t xml:space="preserve">Singles</t>
        </is>
      </c>
      <c r="E358" s="40">
        <v>18</v>
      </c>
      <c r="F358" s="42">
        <v>2</v>
      </c>
      <c r="G358" s="31" t="inlineStr">
        <is>
          <t xml:space="preserve">Ferrin/Jax</t>
        </is>
      </c>
      <c r="H358" s="31" t="inlineStr">
        <is>
          <t xml:space="preserve">Grise</t>
        </is>
      </c>
      <c r="I358" s="31"/>
      <c r="J358" s="31" t="inlineStr">
        <is>
          <t xml:space="preserve">Mangold</t>
        </is>
      </c>
      <c r="K358" s="31"/>
      <c r="L358" s="42">
        <v>-4.21</v>
      </c>
      <c r="M358" s="42">
        <v>-4.21</v>
      </c>
      <c r="N358" s="31" t="inlineStr">
        <is>
          <t xml:space="preserve">Giving</t>
        </is>
      </c>
      <c r="O358" s="42">
        <v>2</v>
      </c>
      <c r="P358" s="42">
        <v>1.079</v>
      </c>
      <c r="Q358" s="42">
        <v>0.921</v>
      </c>
      <c r="R358" s="31" t="inlineStr">
        <is>
          <t xml:space="preserve">Index x slope (Handicaps tab)</t>
        </is>
      </c>
    </row>
    <row r="359" spans="1:18">
      <c r="A359" s="43">
        <v>7</v>
      </c>
      <c r="B359" s="34" t="inlineStr">
        <is>
          <t xml:space="preserve">FBC7-S-Grise-Mangold</t>
        </is>
      </c>
      <c r="C359" s="34" t="inlineStr">
        <is>
          <t xml:space="preserve">Match Play</t>
        </is>
      </c>
      <c r="D359" s="34" t="inlineStr">
        <is>
          <t xml:space="preserve">Singles</t>
        </is>
      </c>
      <c r="E359" s="43">
        <v>18</v>
      </c>
      <c r="F359" s="45">
        <v>2</v>
      </c>
      <c r="G359" s="34" t="inlineStr">
        <is>
          <t xml:space="preserve">Connolly/Hilts</t>
        </is>
      </c>
      <c r="H359" s="34" t="inlineStr">
        <is>
          <t xml:space="preserve">Mangold</t>
        </is>
      </c>
      <c r="I359" s="34"/>
      <c r="J359" s="34" t="inlineStr">
        <is>
          <t xml:space="preserve">Grise</t>
        </is>
      </c>
      <c r="K359" s="34"/>
      <c r="L359" s="45">
        <v>4.21</v>
      </c>
      <c r="M359" s="45">
        <v>4.21</v>
      </c>
      <c r="N359" s="34" t="inlineStr">
        <is>
          <t xml:space="preserve">Getting</t>
        </is>
      </c>
      <c r="O359" s="45">
        <v>0</v>
      </c>
      <c r="P359" s="45">
        <v>0.921</v>
      </c>
      <c r="Q359" s="45">
        <v>-0.921</v>
      </c>
      <c r="R359" s="34" t="inlineStr">
        <is>
          <t xml:space="preserve">Index x slope (Handicaps tab)</t>
        </is>
      </c>
    </row>
    <row r="360" spans="1:18">
      <c r="A360" s="40">
        <v>7</v>
      </c>
      <c r="B360" s="31" t="inlineStr">
        <is>
          <t xml:space="preserve">FBC7-S-Hilts-Zimmer</t>
        </is>
      </c>
      <c r="C360" s="31" t="inlineStr">
        <is>
          <t xml:space="preserve">Match Play</t>
        </is>
      </c>
      <c r="D360" s="31" t="inlineStr">
        <is>
          <t xml:space="preserve">Singles</t>
        </is>
      </c>
      <c r="E360" s="40">
        <v>18</v>
      </c>
      <c r="F360" s="42">
        <v>2</v>
      </c>
      <c r="G360" s="31" t="inlineStr">
        <is>
          <t xml:space="preserve">Ferrin/Jax</t>
        </is>
      </c>
      <c r="H360" s="31" t="inlineStr">
        <is>
          <t xml:space="preserve">Zimmer</t>
        </is>
      </c>
      <c r="I360" s="31"/>
      <c r="J360" s="31" t="inlineStr">
        <is>
          <t xml:space="preserve">Hilts</t>
        </is>
      </c>
      <c r="K360" s="31"/>
      <c r="L360" s="42">
        <v>-11.67</v>
      </c>
      <c r="M360" s="42">
        <v>-11.67</v>
      </c>
      <c r="N360" s="31" t="inlineStr">
        <is>
          <t xml:space="preserve">Giving</t>
        </is>
      </c>
      <c r="O360" s="42">
        <v>2</v>
      </c>
      <c r="P360" s="42">
        <v>0.933</v>
      </c>
      <c r="Q360" s="42">
        <v>1.067</v>
      </c>
      <c r="R360" s="31" t="inlineStr">
        <is>
          <t xml:space="preserve">Index x slope (Handicaps tab)</t>
        </is>
      </c>
    </row>
    <row r="361" spans="1:18">
      <c r="A361" s="43">
        <v>7</v>
      </c>
      <c r="B361" s="34" t="inlineStr">
        <is>
          <t xml:space="preserve">FBC7-S-Hilts-Zimmer</t>
        </is>
      </c>
      <c r="C361" s="34" t="inlineStr">
        <is>
          <t xml:space="preserve">Match Play</t>
        </is>
      </c>
      <c r="D361" s="34" t="inlineStr">
        <is>
          <t xml:space="preserve">Singles</t>
        </is>
      </c>
      <c r="E361" s="43">
        <v>18</v>
      </c>
      <c r="F361" s="45">
        <v>2</v>
      </c>
      <c r="G361" s="34" t="inlineStr">
        <is>
          <t xml:space="preserve">Connolly/Hilts</t>
        </is>
      </c>
      <c r="H361" s="34" t="inlineStr">
        <is>
          <t xml:space="preserve">Hilts</t>
        </is>
      </c>
      <c r="I361" s="34"/>
      <c r="J361" s="34" t="inlineStr">
        <is>
          <t xml:space="preserve">Zimmer</t>
        </is>
      </c>
      <c r="K361" s="34"/>
      <c r="L361" s="45">
        <v>11.67</v>
      </c>
      <c r="M361" s="45">
        <v>11.67</v>
      </c>
      <c r="N361" s="34" t="inlineStr">
        <is>
          <t xml:space="preserve">Getting</t>
        </is>
      </c>
      <c r="O361" s="45">
        <v>0</v>
      </c>
      <c r="P361" s="45">
        <v>1.067</v>
      </c>
      <c r="Q361" s="45">
        <v>-1.067</v>
      </c>
      <c r="R361" s="34" t="inlineStr">
        <is>
          <t xml:space="preserve">Index x slope (Handicaps tab)</t>
        </is>
      </c>
    </row>
    <row r="362" spans="1:18">
      <c r="A362" s="40">
        <v>7</v>
      </c>
      <c r="B362" s="31" t="inlineStr">
        <is>
          <t xml:space="preserve">FBC7-S-Jackson-McInerney</t>
        </is>
      </c>
      <c r="C362" s="31" t="inlineStr">
        <is>
          <t xml:space="preserve">Match Play</t>
        </is>
      </c>
      <c r="D362" s="31" t="inlineStr">
        <is>
          <t xml:space="preserve">Singles</t>
        </is>
      </c>
      <c r="E362" s="40">
        <v>18</v>
      </c>
      <c r="F362" s="42">
        <v>2</v>
      </c>
      <c r="G362" s="31" t="inlineStr">
        <is>
          <t xml:space="preserve">Ferrin/Jax</t>
        </is>
      </c>
      <c r="H362" s="31" t="inlineStr">
        <is>
          <t xml:space="preserve">Jackson</t>
        </is>
      </c>
      <c r="I362" s="31"/>
      <c r="J362" s="31" t="inlineStr">
        <is>
          <t xml:space="preserve">McInerney</t>
        </is>
      </c>
      <c r="K362" s="31"/>
      <c r="L362" s="42">
        <v>3.61</v>
      </c>
      <c r="M362" s="42">
        <v>3.61</v>
      </c>
      <c r="N362" s="31" t="inlineStr">
        <is>
          <t xml:space="preserve">Getting</t>
        </is>
      </c>
      <c r="O362" s="42">
        <v>0</v>
      </c>
      <c r="P362" s="42">
        <v>0.909</v>
      </c>
      <c r="Q362" s="42">
        <v>-0.909</v>
      </c>
      <c r="R362" s="31" t="inlineStr">
        <is>
          <t xml:space="preserve">Index x slope (Handicaps tab)</t>
        </is>
      </c>
    </row>
    <row r="363" spans="1:18">
      <c r="A363" s="43">
        <v>7</v>
      </c>
      <c r="B363" s="34" t="inlineStr">
        <is>
          <t xml:space="preserve">FBC7-S-Jackson-McInerney</t>
        </is>
      </c>
      <c r="C363" s="34" t="inlineStr">
        <is>
          <t xml:space="preserve">Match Play</t>
        </is>
      </c>
      <c r="D363" s="34" t="inlineStr">
        <is>
          <t xml:space="preserve">Singles</t>
        </is>
      </c>
      <c r="E363" s="43">
        <v>18</v>
      </c>
      <c r="F363" s="45">
        <v>2</v>
      </c>
      <c r="G363" s="34" t="inlineStr">
        <is>
          <t xml:space="preserve">Connolly/Hilts</t>
        </is>
      </c>
      <c r="H363" s="34" t="inlineStr">
        <is>
          <t xml:space="preserve">McInerney</t>
        </is>
      </c>
      <c r="I363" s="34"/>
      <c r="J363" s="34" t="inlineStr">
        <is>
          <t xml:space="preserve">Jackson</t>
        </is>
      </c>
      <c r="K363" s="34"/>
      <c r="L363" s="45">
        <v>-3.61</v>
      </c>
      <c r="M363" s="45">
        <v>-3.61</v>
      </c>
      <c r="N363" s="34" t="inlineStr">
        <is>
          <t xml:space="preserve">Giving</t>
        </is>
      </c>
      <c r="O363" s="45">
        <v>2</v>
      </c>
      <c r="P363" s="45">
        <v>1.091</v>
      </c>
      <c r="Q363" s="45">
        <v>0.909</v>
      </c>
      <c r="R363" s="34" t="inlineStr">
        <is>
          <t xml:space="preserve">Index x slope (Handicaps tab)</t>
        </is>
      </c>
    </row>
    <row r="364" spans="1:18">
      <c r="A364" s="40">
        <v>7</v>
      </c>
      <c r="B364" s="31" t="inlineStr">
        <is>
          <t xml:space="preserve">FBC7-S-Lynch-Shively</t>
        </is>
      </c>
      <c r="C364" s="31" t="inlineStr">
        <is>
          <t xml:space="preserve">Match Play</t>
        </is>
      </c>
      <c r="D364" s="31" t="inlineStr">
        <is>
          <t xml:space="preserve">Singles</t>
        </is>
      </c>
      <c r="E364" s="40">
        <v>18</v>
      </c>
      <c r="F364" s="42">
        <v>2</v>
      </c>
      <c r="G364" s="31" t="inlineStr">
        <is>
          <t xml:space="preserve">Ferrin/Jax</t>
        </is>
      </c>
      <c r="H364" s="31" t="inlineStr">
        <is>
          <t xml:space="preserve">Lynch</t>
        </is>
      </c>
      <c r="I364" s="31"/>
      <c r="J364" s="31" t="inlineStr">
        <is>
          <t xml:space="preserve">Shively</t>
        </is>
      </c>
      <c r="K364" s="31"/>
      <c r="L364" s="42">
        <v>-1.44</v>
      </c>
      <c r="M364" s="42">
        <v>-1.44</v>
      </c>
      <c r="N364" s="31" t="inlineStr">
        <is>
          <t xml:space="preserve">Giving</t>
        </is>
      </c>
      <c r="O364" s="42">
        <v>0</v>
      </c>
      <c r="P364" s="42">
        <v>1.133</v>
      </c>
      <c r="Q364" s="42">
        <v>-1.133</v>
      </c>
      <c r="R364" s="31" t="inlineStr">
        <is>
          <t xml:space="preserve">Index x slope (Handicaps tab)</t>
        </is>
      </c>
    </row>
    <row r="365" spans="1:18">
      <c r="A365" s="43">
        <v>7</v>
      </c>
      <c r="B365" s="34" t="inlineStr">
        <is>
          <t xml:space="preserve">FBC7-S-Lynch-Shively</t>
        </is>
      </c>
      <c r="C365" s="34" t="inlineStr">
        <is>
          <t xml:space="preserve">Match Play</t>
        </is>
      </c>
      <c r="D365" s="34" t="inlineStr">
        <is>
          <t xml:space="preserve">Singles</t>
        </is>
      </c>
      <c r="E365" s="43">
        <v>18</v>
      </c>
      <c r="F365" s="45">
        <v>2</v>
      </c>
      <c r="G365" s="34" t="inlineStr">
        <is>
          <t xml:space="preserve">Connolly/Hilts</t>
        </is>
      </c>
      <c r="H365" s="34" t="inlineStr">
        <is>
          <t xml:space="preserve">Shively</t>
        </is>
      </c>
      <c r="I365" s="34"/>
      <c r="J365" s="34" t="inlineStr">
        <is>
          <t xml:space="preserve">Lynch</t>
        </is>
      </c>
      <c r="K365" s="34"/>
      <c r="L365" s="45">
        <v>1.44</v>
      </c>
      <c r="M365" s="45">
        <v>1.44</v>
      </c>
      <c r="N365" s="34" t="inlineStr">
        <is>
          <t xml:space="preserve">Getting</t>
        </is>
      </c>
      <c r="O365" s="45">
        <v>2</v>
      </c>
      <c r="P365" s="45">
        <v>0.867</v>
      </c>
      <c r="Q365" s="45">
        <v>1.133</v>
      </c>
      <c r="R365" s="34" t="inlineStr">
        <is>
          <t xml:space="preserve">Index x slope (Handicaps tab)</t>
        </is>
      </c>
    </row>
    <row r="366" spans="1:18">
      <c r="A366" s="40">
        <v>8</v>
      </c>
      <c r="B366" s="31" t="inlineStr">
        <is>
          <t xml:space="preserve">FBC8-D2</t>
        </is>
      </c>
      <c r="C366" s="31" t="inlineStr">
        <is>
          <t xml:space="preserve">Best Ball</t>
        </is>
      </c>
      <c r="D366" s="31" t="inlineStr">
        <is>
          <t xml:space="preserve">Four-ball</t>
        </is>
      </c>
      <c r="E366" s="40">
        <v>9</v>
      </c>
      <c r="F366" s="42">
        <v>1</v>
      </c>
      <c r="G366" s="31" t="inlineStr">
        <is>
          <t xml:space="preserve">Flanders</t>
        </is>
      </c>
      <c r="H366" s="31" t="inlineStr">
        <is>
          <t xml:space="preserve">Flanders</t>
        </is>
      </c>
      <c r="I366" s="31" t="inlineStr">
        <is>
          <t xml:space="preserve">Forster</t>
        </is>
      </c>
      <c r="J366" s="31" t="inlineStr">
        <is>
          <t xml:space="preserve">DeOteris</t>
        </is>
      </c>
      <c r="K366" s="31" t="inlineStr">
        <is>
          <t xml:space="preserve">Ferrin</t>
        </is>
      </c>
      <c r="L366" s="42">
        <v>-4</v>
      </c>
      <c r="M366" s="42">
        <v>-2</v>
      </c>
      <c r="N366" s="31" t="inlineStr">
        <is>
          <t xml:space="preserve">Giving</t>
        </is>
      </c>
      <c r="O366" s="42">
        <v>0</v>
      </c>
      <c r="P366" s="42">
        <v>0.567</v>
      </c>
      <c r="Q366" s="42">
        <v>-0.567</v>
      </c>
      <c r="R366" s="31" t="inlineStr">
        <is>
          <t xml:space="preserve">FBC 8/Handicaps (FBC 8) (Final).xlsx [FBC8]</t>
        </is>
      </c>
    </row>
    <row r="367" spans="1:18">
      <c r="A367" s="43">
        <v>8</v>
      </c>
      <c r="B367" s="34" t="inlineStr">
        <is>
          <t xml:space="preserve">FBC8-D2</t>
        </is>
      </c>
      <c r="C367" s="34" t="inlineStr">
        <is>
          <t xml:space="preserve">Best Ball</t>
        </is>
      </c>
      <c r="D367" s="34" t="inlineStr">
        <is>
          <t xml:space="preserve">Four-ball</t>
        </is>
      </c>
      <c r="E367" s="43">
        <v>9</v>
      </c>
      <c r="F367" s="45">
        <v>1</v>
      </c>
      <c r="G367" s="34" t="inlineStr">
        <is>
          <t xml:space="preserve">Welker</t>
        </is>
      </c>
      <c r="H367" s="34" t="inlineStr">
        <is>
          <t xml:space="preserve">DeOteris</t>
        </is>
      </c>
      <c r="I367" s="34" t="inlineStr">
        <is>
          <t xml:space="preserve">Ferrin</t>
        </is>
      </c>
      <c r="J367" s="34" t="inlineStr">
        <is>
          <t xml:space="preserve">Flanders</t>
        </is>
      </c>
      <c r="K367" s="34" t="inlineStr">
        <is>
          <t xml:space="preserve">Forster</t>
        </is>
      </c>
      <c r="L367" s="45">
        <v>4</v>
      </c>
      <c r="M367" s="45">
        <v>2</v>
      </c>
      <c r="N367" s="34" t="inlineStr">
        <is>
          <t xml:space="preserve">Getting</t>
        </is>
      </c>
      <c r="O367" s="45">
        <v>1</v>
      </c>
      <c r="P367" s="45">
        <v>0.433</v>
      </c>
      <c r="Q367" s="45">
        <v>0.567</v>
      </c>
      <c r="R367" s="34" t="inlineStr">
        <is>
          <t xml:space="preserve">FBC 8/Handicaps (FBC 8) (Final).xlsx [FBC8]</t>
        </is>
      </c>
    </row>
    <row r="368" spans="1:18">
      <c r="A368" s="40">
        <v>8</v>
      </c>
      <c r="B368" s="31" t="inlineStr">
        <is>
          <t xml:space="preserve">FBC8-D3</t>
        </is>
      </c>
      <c r="C368" s="31" t="inlineStr">
        <is>
          <t xml:space="preserve">Best Ball</t>
        </is>
      </c>
      <c r="D368" s="31" t="inlineStr">
        <is>
          <t xml:space="preserve">Four-ball</t>
        </is>
      </c>
      <c r="E368" s="40">
        <v>9</v>
      </c>
      <c r="F368" s="42">
        <v>1</v>
      </c>
      <c r="G368" s="31" t="inlineStr">
        <is>
          <t xml:space="preserve">Welker</t>
        </is>
      </c>
      <c r="H368" s="31" t="inlineStr">
        <is>
          <t xml:space="preserve">Delaney</t>
        </is>
      </c>
      <c r="I368" s="31" t="inlineStr">
        <is>
          <t xml:space="preserve">Perkins</t>
        </is>
      </c>
      <c r="J368" s="31" t="inlineStr">
        <is>
          <t xml:space="preserve">Mangold</t>
        </is>
      </c>
      <c r="K368" s="31" t="inlineStr">
        <is>
          <t xml:space="preserve">Piegari</t>
        </is>
      </c>
      <c r="L368" s="42">
        <v>-4.5</v>
      </c>
      <c r="M368" s="42">
        <v>-2.25</v>
      </c>
      <c r="N368" s="31" t="inlineStr">
        <is>
          <t xml:space="preserve">Giving</t>
        </is>
      </c>
      <c r="O368" s="42">
        <v>1</v>
      </c>
      <c r="P368" s="42">
        <v>0.566</v>
      </c>
      <c r="Q368" s="42">
        <v>0.434</v>
      </c>
      <c r="R368" s="31" t="inlineStr">
        <is>
          <t xml:space="preserve">FBC 8/Handicaps (FBC 8) (Final).xlsx [FBC8]</t>
        </is>
      </c>
    </row>
    <row r="369" spans="1:18">
      <c r="A369" s="43">
        <v>8</v>
      </c>
      <c r="B369" s="34" t="inlineStr">
        <is>
          <t xml:space="preserve">FBC8-D3</t>
        </is>
      </c>
      <c r="C369" s="34" t="inlineStr">
        <is>
          <t xml:space="preserve">Best Ball</t>
        </is>
      </c>
      <c r="D369" s="34" t="inlineStr">
        <is>
          <t xml:space="preserve">Four-ball</t>
        </is>
      </c>
      <c r="E369" s="43">
        <v>9</v>
      </c>
      <c r="F369" s="45">
        <v>1</v>
      </c>
      <c r="G369" s="34" t="inlineStr">
        <is>
          <t xml:space="preserve">Flanders</t>
        </is>
      </c>
      <c r="H369" s="34" t="inlineStr">
        <is>
          <t xml:space="preserve">Mangold</t>
        </is>
      </c>
      <c r="I369" s="34" t="inlineStr">
        <is>
          <t xml:space="preserve">Piegari</t>
        </is>
      </c>
      <c r="J369" s="34" t="inlineStr">
        <is>
          <t xml:space="preserve">Delaney</t>
        </is>
      </c>
      <c r="K369" s="34" t="inlineStr">
        <is>
          <t xml:space="preserve">Perkins</t>
        </is>
      </c>
      <c r="L369" s="45">
        <v>4.5</v>
      </c>
      <c r="M369" s="45">
        <v>2.25</v>
      </c>
      <c r="N369" s="34" t="inlineStr">
        <is>
          <t xml:space="preserve">Getting</t>
        </is>
      </c>
      <c r="O369" s="45">
        <v>0</v>
      </c>
      <c r="P369" s="45">
        <v>0.434</v>
      </c>
      <c r="Q369" s="45">
        <v>-0.434</v>
      </c>
      <c r="R369" s="34" t="inlineStr">
        <is>
          <t xml:space="preserve">FBC 8/Handicaps (FBC 8) (Final).xlsx [FBC8]</t>
        </is>
      </c>
    </row>
    <row r="370" spans="1:18">
      <c r="A370" s="40">
        <v>8</v>
      </c>
      <c r="B370" s="31" t="inlineStr">
        <is>
          <t xml:space="preserve">FBC8-D4</t>
        </is>
      </c>
      <c r="C370" s="31" t="inlineStr">
        <is>
          <t xml:space="preserve">Best Ball</t>
        </is>
      </c>
      <c r="D370" s="31" t="inlineStr">
        <is>
          <t xml:space="preserve">Four-ball</t>
        </is>
      </c>
      <c r="E370" s="40">
        <v>9</v>
      </c>
      <c r="F370" s="42">
        <v>1</v>
      </c>
      <c r="G370" s="31" t="inlineStr">
        <is>
          <t xml:space="preserve">Flanders</t>
        </is>
      </c>
      <c r="H370" s="31" t="inlineStr">
        <is>
          <t xml:space="preserve">Cole</t>
        </is>
      </c>
      <c r="I370" s="31" t="inlineStr">
        <is>
          <t xml:space="preserve">Fogan</t>
        </is>
      </c>
      <c r="J370" s="31" t="inlineStr">
        <is>
          <t xml:space="preserve">Hilts</t>
        </is>
      </c>
      <c r="K370" s="31" t="inlineStr">
        <is>
          <t xml:space="preserve">Welker</t>
        </is>
      </c>
      <c r="L370" s="42">
        <v>3</v>
      </c>
      <c r="M370" s="42">
        <v>1.5</v>
      </c>
      <c r="N370" s="31" t="inlineStr">
        <is>
          <t xml:space="preserve">Getting</t>
        </is>
      </c>
      <c r="O370" s="42">
        <v>0</v>
      </c>
      <c r="P370" s="42">
        <v>0.429</v>
      </c>
      <c r="Q370" s="42">
        <v>-0.429</v>
      </c>
      <c r="R370" s="31" t="inlineStr">
        <is>
          <t xml:space="preserve">FBC 8/Handicaps (FBC 8) (Final).xlsx [FBC8]</t>
        </is>
      </c>
    </row>
    <row r="371" spans="1:18">
      <c r="A371" s="43">
        <v>8</v>
      </c>
      <c r="B371" s="34" t="inlineStr">
        <is>
          <t xml:space="preserve">FBC8-D4</t>
        </is>
      </c>
      <c r="C371" s="34" t="inlineStr">
        <is>
          <t xml:space="preserve">Best Ball</t>
        </is>
      </c>
      <c r="D371" s="34" t="inlineStr">
        <is>
          <t xml:space="preserve">Four-ball</t>
        </is>
      </c>
      <c r="E371" s="43">
        <v>9</v>
      </c>
      <c r="F371" s="45">
        <v>1</v>
      </c>
      <c r="G371" s="34" t="inlineStr">
        <is>
          <t xml:space="preserve">Welker</t>
        </is>
      </c>
      <c r="H371" s="34" t="inlineStr">
        <is>
          <t xml:space="preserve">Hilts</t>
        </is>
      </c>
      <c r="I371" s="34" t="inlineStr">
        <is>
          <t xml:space="preserve">Welker</t>
        </is>
      </c>
      <c r="J371" s="34" t="inlineStr">
        <is>
          <t xml:space="preserve">Cole</t>
        </is>
      </c>
      <c r="K371" s="34" t="inlineStr">
        <is>
          <t xml:space="preserve">Fogan</t>
        </is>
      </c>
      <c r="L371" s="45">
        <v>-3</v>
      </c>
      <c r="M371" s="45">
        <v>-1.5</v>
      </c>
      <c r="N371" s="34" t="inlineStr">
        <is>
          <t xml:space="preserve">Giving</t>
        </is>
      </c>
      <c r="O371" s="45">
        <v>1</v>
      </c>
      <c r="P371" s="45">
        <v>0.571</v>
      </c>
      <c r="Q371" s="45">
        <v>0.429</v>
      </c>
      <c r="R371" s="34" t="inlineStr">
        <is>
          <t xml:space="preserve">FBC 8/Handicaps (FBC 8) (Final).xlsx [FBC8]</t>
        </is>
      </c>
    </row>
    <row r="372" spans="1:18">
      <c r="A372" s="40">
        <v>8</v>
      </c>
      <c r="B372" s="31" t="inlineStr">
        <is>
          <t xml:space="preserve">FBC8-D5</t>
        </is>
      </c>
      <c r="C372" s="31" t="inlineStr">
        <is>
          <t xml:space="preserve">Best Ball</t>
        </is>
      </c>
      <c r="D372" s="31" t="inlineStr">
        <is>
          <t xml:space="preserve">Four-ball</t>
        </is>
      </c>
      <c r="E372" s="40">
        <v>9</v>
      </c>
      <c r="F372" s="42">
        <v>1</v>
      </c>
      <c r="G372" s="31" t="inlineStr">
        <is>
          <t xml:space="preserve">Welker</t>
        </is>
      </c>
      <c r="H372" s="31" t="inlineStr">
        <is>
          <t xml:space="preserve">Grise</t>
        </is>
      </c>
      <c r="I372" s="31" t="inlineStr">
        <is>
          <t xml:space="preserve">Zimmer</t>
        </is>
      </c>
      <c r="J372" s="31" t="inlineStr">
        <is>
          <t xml:space="preserve">Lynch</t>
        </is>
      </c>
      <c r="K372" s="31" t="inlineStr">
        <is>
          <t xml:space="preserve">Ramsay</t>
        </is>
      </c>
      <c r="L372" s="42">
        <v>-3</v>
      </c>
      <c r="M372" s="42">
        <v>-1.5</v>
      </c>
      <c r="N372" s="31" t="inlineStr">
        <is>
          <t xml:space="preserve">Giving</t>
        </is>
      </c>
      <c r="O372" s="42">
        <v>1</v>
      </c>
      <c r="P372" s="42">
        <v>0.571</v>
      </c>
      <c r="Q372" s="42">
        <v>0.429</v>
      </c>
      <c r="R372" s="31" t="inlineStr">
        <is>
          <t xml:space="preserve">FBC 8/Handicaps (FBC 8) (Final).xlsx [FBC8]</t>
        </is>
      </c>
    </row>
    <row r="373" spans="1:18">
      <c r="A373" s="43">
        <v>8</v>
      </c>
      <c r="B373" s="34" t="inlineStr">
        <is>
          <t xml:space="preserve">FBC8-D5</t>
        </is>
      </c>
      <c r="C373" s="34" t="inlineStr">
        <is>
          <t xml:space="preserve">Best Ball</t>
        </is>
      </c>
      <c r="D373" s="34" t="inlineStr">
        <is>
          <t xml:space="preserve">Four-ball</t>
        </is>
      </c>
      <c r="E373" s="43">
        <v>9</v>
      </c>
      <c r="F373" s="45">
        <v>1</v>
      </c>
      <c r="G373" s="34" t="inlineStr">
        <is>
          <t xml:space="preserve">Flanders</t>
        </is>
      </c>
      <c r="H373" s="34" t="inlineStr">
        <is>
          <t xml:space="preserve">Lynch</t>
        </is>
      </c>
      <c r="I373" s="34" t="inlineStr">
        <is>
          <t xml:space="preserve">Ramsay</t>
        </is>
      </c>
      <c r="J373" s="34" t="inlineStr">
        <is>
          <t xml:space="preserve">Grise</t>
        </is>
      </c>
      <c r="K373" s="34" t="inlineStr">
        <is>
          <t xml:space="preserve">Zimmer</t>
        </is>
      </c>
      <c r="L373" s="45">
        <v>3</v>
      </c>
      <c r="M373" s="45">
        <v>1.5</v>
      </c>
      <c r="N373" s="34" t="inlineStr">
        <is>
          <t xml:space="preserve">Getting</t>
        </is>
      </c>
      <c r="O373" s="45">
        <v>0</v>
      </c>
      <c r="P373" s="45">
        <v>0.429</v>
      </c>
      <c r="Q373" s="45">
        <v>-0.429</v>
      </c>
      <c r="R373" s="34" t="inlineStr">
        <is>
          <t xml:space="preserve">FBC 8/Handicaps (FBC 8) (Final).xlsx [FBC8]</t>
        </is>
      </c>
    </row>
    <row r="374" spans="1:18">
      <c r="A374" s="40">
        <v>8</v>
      </c>
      <c r="B374" s="31" t="inlineStr">
        <is>
          <t xml:space="preserve">FBC8-D6</t>
        </is>
      </c>
      <c r="C374" s="31" t="inlineStr">
        <is>
          <t xml:space="preserve">Best Ball</t>
        </is>
      </c>
      <c r="D374" s="31" t="inlineStr">
        <is>
          <t xml:space="preserve">Four-ball</t>
        </is>
      </c>
      <c r="E374" s="40">
        <v>9</v>
      </c>
      <c r="F374" s="42">
        <v>1</v>
      </c>
      <c r="G374" s="31" t="inlineStr">
        <is>
          <t xml:space="preserve">Flanders</t>
        </is>
      </c>
      <c r="H374" s="31" t="inlineStr">
        <is>
          <t xml:space="preserve">Jackson</t>
        </is>
      </c>
      <c r="I374" s="31" t="inlineStr">
        <is>
          <t xml:space="preserve">Shively</t>
        </is>
      </c>
      <c r="J374" s="31" t="inlineStr">
        <is>
          <t xml:space="preserve">Connolly</t>
        </is>
      </c>
      <c r="K374" s="31" t="inlineStr">
        <is>
          <t xml:space="preserve">Connors</t>
        </is>
      </c>
      <c r="L374" s="42">
        <v>-4</v>
      </c>
      <c r="M374" s="42">
        <v>-2</v>
      </c>
      <c r="N374" s="31" t="inlineStr">
        <is>
          <t xml:space="preserve">Giving</t>
        </is>
      </c>
      <c r="O374" s="42">
        <v>0</v>
      </c>
      <c r="P374" s="42">
        <v>0.567</v>
      </c>
      <c r="Q374" s="42">
        <v>-0.567</v>
      </c>
      <c r="R374" s="31" t="inlineStr">
        <is>
          <t xml:space="preserve">FBC 8/Handicaps (FBC 8) (Final).xlsx [FBC8]</t>
        </is>
      </c>
    </row>
    <row r="375" spans="1:18">
      <c r="A375" s="43">
        <v>8</v>
      </c>
      <c r="B375" s="34" t="inlineStr">
        <is>
          <t xml:space="preserve">FBC8-D6</t>
        </is>
      </c>
      <c r="C375" s="34" t="inlineStr">
        <is>
          <t xml:space="preserve">Best Ball</t>
        </is>
      </c>
      <c r="D375" s="34" t="inlineStr">
        <is>
          <t xml:space="preserve">Four-ball</t>
        </is>
      </c>
      <c r="E375" s="43">
        <v>9</v>
      </c>
      <c r="F375" s="45">
        <v>1</v>
      </c>
      <c r="G375" s="34" t="inlineStr">
        <is>
          <t xml:space="preserve">Welker</t>
        </is>
      </c>
      <c r="H375" s="34" t="inlineStr">
        <is>
          <t xml:space="preserve">Connolly</t>
        </is>
      </c>
      <c r="I375" s="34" t="inlineStr">
        <is>
          <t xml:space="preserve">Connors</t>
        </is>
      </c>
      <c r="J375" s="34" t="inlineStr">
        <is>
          <t xml:space="preserve">Jackson</t>
        </is>
      </c>
      <c r="K375" s="34" t="inlineStr">
        <is>
          <t xml:space="preserve">Shively</t>
        </is>
      </c>
      <c r="L375" s="45">
        <v>4</v>
      </c>
      <c r="M375" s="45">
        <v>2</v>
      </c>
      <c r="N375" s="34" t="inlineStr">
        <is>
          <t xml:space="preserve">Getting</t>
        </is>
      </c>
      <c r="O375" s="45">
        <v>1</v>
      </c>
      <c r="P375" s="45">
        <v>0.433</v>
      </c>
      <c r="Q375" s="45">
        <v>0.567</v>
      </c>
      <c r="R375" s="34" t="inlineStr">
        <is>
          <t xml:space="preserve">FBC 8/Handicaps (FBC 8) (Final).xlsx [FBC8]</t>
        </is>
      </c>
    </row>
    <row r="376" spans="1:18">
      <c r="A376" s="40">
        <v>8</v>
      </c>
      <c r="B376" s="31" t="inlineStr">
        <is>
          <t xml:space="preserve">FBC8-D8</t>
        </is>
      </c>
      <c r="C376" s="31" t="inlineStr">
        <is>
          <t xml:space="preserve">Vegas</t>
        </is>
      </c>
      <c r="D376" s="31" t="inlineStr">
        <is>
          <t xml:space="preserve">Four-ball</t>
        </is>
      </c>
      <c r="E376" s="40">
        <v>9</v>
      </c>
      <c r="F376" s="42">
        <v>1</v>
      </c>
      <c r="G376" s="31" t="inlineStr">
        <is>
          <t xml:space="preserve">Flanders</t>
        </is>
      </c>
      <c r="H376" s="31" t="inlineStr">
        <is>
          <t xml:space="preserve">Flanders</t>
        </is>
      </c>
      <c r="I376" s="31" t="inlineStr">
        <is>
          <t xml:space="preserve">Forster</t>
        </is>
      </c>
      <c r="J376" s="31" t="inlineStr">
        <is>
          <t xml:space="preserve">DeOteris</t>
        </is>
      </c>
      <c r="K376" s="31" t="inlineStr">
        <is>
          <t xml:space="preserve">Ferrin</t>
        </is>
      </c>
      <c r="L376" s="42">
        <v>-4</v>
      </c>
      <c r="M376" s="42">
        <v>-2</v>
      </c>
      <c r="N376" s="31" t="inlineStr">
        <is>
          <t xml:space="preserve">Giving</t>
        </is>
      </c>
      <c r="O376" s="42">
        <v>0</v>
      </c>
      <c r="P376" s="42">
        <v>0.567</v>
      </c>
      <c r="Q376" s="42">
        <v>-0.567</v>
      </c>
      <c r="R376" s="31" t="inlineStr">
        <is>
          <t xml:space="preserve">FBC 8/Handicaps (FBC 8) (Final).xlsx [FBC8]</t>
        </is>
      </c>
    </row>
    <row r="377" spans="1:18">
      <c r="A377" s="43">
        <v>8</v>
      </c>
      <c r="B377" s="34" t="inlineStr">
        <is>
          <t xml:space="preserve">FBC8-D8</t>
        </is>
      </c>
      <c r="C377" s="34" t="inlineStr">
        <is>
          <t xml:space="preserve">Vegas</t>
        </is>
      </c>
      <c r="D377" s="34" t="inlineStr">
        <is>
          <t xml:space="preserve">Four-ball</t>
        </is>
      </c>
      <c r="E377" s="43">
        <v>9</v>
      </c>
      <c r="F377" s="45">
        <v>1</v>
      </c>
      <c r="G377" s="34" t="inlineStr">
        <is>
          <t xml:space="preserve">Welker</t>
        </is>
      </c>
      <c r="H377" s="34" t="inlineStr">
        <is>
          <t xml:space="preserve">DeOteris</t>
        </is>
      </c>
      <c r="I377" s="34" t="inlineStr">
        <is>
          <t xml:space="preserve">Ferrin</t>
        </is>
      </c>
      <c r="J377" s="34" t="inlineStr">
        <is>
          <t xml:space="preserve">Flanders</t>
        </is>
      </c>
      <c r="K377" s="34" t="inlineStr">
        <is>
          <t xml:space="preserve">Forster</t>
        </is>
      </c>
      <c r="L377" s="45">
        <v>4</v>
      </c>
      <c r="M377" s="45">
        <v>2</v>
      </c>
      <c r="N377" s="34" t="inlineStr">
        <is>
          <t xml:space="preserve">Getting</t>
        </is>
      </c>
      <c r="O377" s="45">
        <v>1</v>
      </c>
      <c r="P377" s="45">
        <v>0.433</v>
      </c>
      <c r="Q377" s="45">
        <v>0.567</v>
      </c>
      <c r="R377" s="34" t="inlineStr">
        <is>
          <t xml:space="preserve">FBC 8/Handicaps (FBC 8) (Final).xlsx [FBC8]</t>
        </is>
      </c>
    </row>
    <row r="378" spans="1:18">
      <c r="A378" s="40">
        <v>8</v>
      </c>
      <c r="B378" s="31" t="inlineStr">
        <is>
          <t xml:space="preserve">FBC8-D9</t>
        </is>
      </c>
      <c r="C378" s="31" t="inlineStr">
        <is>
          <t xml:space="preserve">Vegas</t>
        </is>
      </c>
      <c r="D378" s="31" t="inlineStr">
        <is>
          <t xml:space="preserve">Four-ball</t>
        </is>
      </c>
      <c r="E378" s="40">
        <v>9</v>
      </c>
      <c r="F378" s="42">
        <v>1</v>
      </c>
      <c r="G378" s="31" t="inlineStr">
        <is>
          <t xml:space="preserve">Welker</t>
        </is>
      </c>
      <c r="H378" s="31" t="inlineStr">
        <is>
          <t xml:space="preserve">Delaney</t>
        </is>
      </c>
      <c r="I378" s="31" t="inlineStr">
        <is>
          <t xml:space="preserve">Perkins</t>
        </is>
      </c>
      <c r="J378" s="31" t="inlineStr">
        <is>
          <t xml:space="preserve">Mangold</t>
        </is>
      </c>
      <c r="K378" s="31" t="inlineStr">
        <is>
          <t xml:space="preserve">Piegari</t>
        </is>
      </c>
      <c r="L378" s="42">
        <v>-4.5</v>
      </c>
      <c r="M378" s="42">
        <v>-2.25</v>
      </c>
      <c r="N378" s="31" t="inlineStr">
        <is>
          <t xml:space="preserve">Giving</t>
        </is>
      </c>
      <c r="O378" s="42">
        <v>1</v>
      </c>
      <c r="P378" s="42">
        <v>0.566</v>
      </c>
      <c r="Q378" s="42">
        <v>0.434</v>
      </c>
      <c r="R378" s="31" t="inlineStr">
        <is>
          <t xml:space="preserve">FBC 8/Handicaps (FBC 8) (Final).xlsx [FBC8]</t>
        </is>
      </c>
    </row>
    <row r="379" spans="1:18">
      <c r="A379" s="43">
        <v>8</v>
      </c>
      <c r="B379" s="34" t="inlineStr">
        <is>
          <t xml:space="preserve">FBC8-D9</t>
        </is>
      </c>
      <c r="C379" s="34" t="inlineStr">
        <is>
          <t xml:space="preserve">Vegas</t>
        </is>
      </c>
      <c r="D379" s="34" t="inlineStr">
        <is>
          <t xml:space="preserve">Four-ball</t>
        </is>
      </c>
      <c r="E379" s="43">
        <v>9</v>
      </c>
      <c r="F379" s="45">
        <v>1</v>
      </c>
      <c r="G379" s="34" t="inlineStr">
        <is>
          <t xml:space="preserve">Flanders</t>
        </is>
      </c>
      <c r="H379" s="34" t="inlineStr">
        <is>
          <t xml:space="preserve">Mangold</t>
        </is>
      </c>
      <c r="I379" s="34" t="inlineStr">
        <is>
          <t xml:space="preserve">Piegari</t>
        </is>
      </c>
      <c r="J379" s="34" t="inlineStr">
        <is>
          <t xml:space="preserve">Delaney</t>
        </is>
      </c>
      <c r="K379" s="34" t="inlineStr">
        <is>
          <t xml:space="preserve">Perkins</t>
        </is>
      </c>
      <c r="L379" s="45">
        <v>4.5</v>
      </c>
      <c r="M379" s="45">
        <v>2.25</v>
      </c>
      <c r="N379" s="34" t="inlineStr">
        <is>
          <t xml:space="preserve">Getting</t>
        </is>
      </c>
      <c r="O379" s="45">
        <v>0</v>
      </c>
      <c r="P379" s="45">
        <v>0.434</v>
      </c>
      <c r="Q379" s="45">
        <v>-0.434</v>
      </c>
      <c r="R379" s="34" t="inlineStr">
        <is>
          <t xml:space="preserve">FBC 8/Handicaps (FBC 8) (Final).xlsx [FBC8]</t>
        </is>
      </c>
    </row>
    <row r="380" spans="1:18">
      <c r="A380" s="40">
        <v>8</v>
      </c>
      <c r="B380" s="31" t="inlineStr">
        <is>
          <t xml:space="preserve">FBC8-D10</t>
        </is>
      </c>
      <c r="C380" s="31" t="inlineStr">
        <is>
          <t xml:space="preserve">Vegas</t>
        </is>
      </c>
      <c r="D380" s="31" t="inlineStr">
        <is>
          <t xml:space="preserve">Four-ball</t>
        </is>
      </c>
      <c r="E380" s="40">
        <v>9</v>
      </c>
      <c r="F380" s="42">
        <v>1</v>
      </c>
      <c r="G380" s="31" t="inlineStr">
        <is>
          <t xml:space="preserve">Flanders</t>
        </is>
      </c>
      <c r="H380" s="31" t="inlineStr">
        <is>
          <t xml:space="preserve">Cole</t>
        </is>
      </c>
      <c r="I380" s="31" t="inlineStr">
        <is>
          <t xml:space="preserve">Fogan</t>
        </is>
      </c>
      <c r="J380" s="31" t="inlineStr">
        <is>
          <t xml:space="preserve">Hilts</t>
        </is>
      </c>
      <c r="K380" s="31" t="inlineStr">
        <is>
          <t xml:space="preserve">Welker</t>
        </is>
      </c>
      <c r="L380" s="42">
        <v>3</v>
      </c>
      <c r="M380" s="42">
        <v>1.5</v>
      </c>
      <c r="N380" s="31" t="inlineStr">
        <is>
          <t xml:space="preserve">Getting</t>
        </is>
      </c>
      <c r="O380" s="42">
        <v>0</v>
      </c>
      <c r="P380" s="42">
        <v>0.429</v>
      </c>
      <c r="Q380" s="42">
        <v>-0.429</v>
      </c>
      <c r="R380" s="31" t="inlineStr">
        <is>
          <t xml:space="preserve">FBC 8/Handicaps (FBC 8) (Final).xlsx [FBC8]</t>
        </is>
      </c>
    </row>
    <row r="381" spans="1:18">
      <c r="A381" s="43">
        <v>8</v>
      </c>
      <c r="B381" s="34" t="inlineStr">
        <is>
          <t xml:space="preserve">FBC8-D10</t>
        </is>
      </c>
      <c r="C381" s="34" t="inlineStr">
        <is>
          <t xml:space="preserve">Vegas</t>
        </is>
      </c>
      <c r="D381" s="34" t="inlineStr">
        <is>
          <t xml:space="preserve">Four-ball</t>
        </is>
      </c>
      <c r="E381" s="43">
        <v>9</v>
      </c>
      <c r="F381" s="45">
        <v>1</v>
      </c>
      <c r="G381" s="34" t="inlineStr">
        <is>
          <t xml:space="preserve">Welker</t>
        </is>
      </c>
      <c r="H381" s="34" t="inlineStr">
        <is>
          <t xml:space="preserve">Hilts</t>
        </is>
      </c>
      <c r="I381" s="34" t="inlineStr">
        <is>
          <t xml:space="preserve">Welker</t>
        </is>
      </c>
      <c r="J381" s="34" t="inlineStr">
        <is>
          <t xml:space="preserve">Cole</t>
        </is>
      </c>
      <c r="K381" s="34" t="inlineStr">
        <is>
          <t xml:space="preserve">Fogan</t>
        </is>
      </c>
      <c r="L381" s="45">
        <v>-3</v>
      </c>
      <c r="M381" s="45">
        <v>-1.5</v>
      </c>
      <c r="N381" s="34" t="inlineStr">
        <is>
          <t xml:space="preserve">Giving</t>
        </is>
      </c>
      <c r="O381" s="45">
        <v>1</v>
      </c>
      <c r="P381" s="45">
        <v>0.571</v>
      </c>
      <c r="Q381" s="45">
        <v>0.429</v>
      </c>
      <c r="R381" s="34" t="inlineStr">
        <is>
          <t xml:space="preserve">FBC 8/Handicaps (FBC 8) (Final).xlsx [FBC8]</t>
        </is>
      </c>
    </row>
    <row r="382" spans="1:18">
      <c r="A382" s="40">
        <v>8</v>
      </c>
      <c r="B382" s="31" t="inlineStr">
        <is>
          <t xml:space="preserve">FBC8-D11</t>
        </is>
      </c>
      <c r="C382" s="31" t="inlineStr">
        <is>
          <t xml:space="preserve">Vegas</t>
        </is>
      </c>
      <c r="D382" s="31" t="inlineStr">
        <is>
          <t xml:space="preserve">Four-ball</t>
        </is>
      </c>
      <c r="E382" s="40">
        <v>9</v>
      </c>
      <c r="F382" s="42">
        <v>1</v>
      </c>
      <c r="G382" s="31" t="inlineStr">
        <is>
          <t xml:space="preserve">Welker</t>
        </is>
      </c>
      <c r="H382" s="31" t="inlineStr">
        <is>
          <t xml:space="preserve">Grise</t>
        </is>
      </c>
      <c r="I382" s="31" t="inlineStr">
        <is>
          <t xml:space="preserve">Zimmer</t>
        </is>
      </c>
      <c r="J382" s="31" t="inlineStr">
        <is>
          <t xml:space="preserve">Lynch</t>
        </is>
      </c>
      <c r="K382" s="31" t="inlineStr">
        <is>
          <t xml:space="preserve">Ramsay</t>
        </is>
      </c>
      <c r="L382" s="42">
        <v>-3</v>
      </c>
      <c r="M382" s="42">
        <v>-1.5</v>
      </c>
      <c r="N382" s="31" t="inlineStr">
        <is>
          <t xml:space="preserve">Giving</t>
        </is>
      </c>
      <c r="O382" s="42">
        <v>0</v>
      </c>
      <c r="P382" s="42">
        <v>0.571</v>
      </c>
      <c r="Q382" s="42">
        <v>-0.571</v>
      </c>
      <c r="R382" s="31" t="inlineStr">
        <is>
          <t xml:space="preserve">FBC 8/Handicaps (FBC 8) (Final).xlsx [FBC8]</t>
        </is>
      </c>
    </row>
    <row r="383" spans="1:18">
      <c r="A383" s="43">
        <v>8</v>
      </c>
      <c r="B383" s="34" t="inlineStr">
        <is>
          <t xml:space="preserve">FBC8-D11</t>
        </is>
      </c>
      <c r="C383" s="34" t="inlineStr">
        <is>
          <t xml:space="preserve">Vegas</t>
        </is>
      </c>
      <c r="D383" s="34" t="inlineStr">
        <is>
          <t xml:space="preserve">Four-ball</t>
        </is>
      </c>
      <c r="E383" s="43">
        <v>9</v>
      </c>
      <c r="F383" s="45">
        <v>1</v>
      </c>
      <c r="G383" s="34" t="inlineStr">
        <is>
          <t xml:space="preserve">Flanders</t>
        </is>
      </c>
      <c r="H383" s="34" t="inlineStr">
        <is>
          <t xml:space="preserve">Lynch</t>
        </is>
      </c>
      <c r="I383" s="34" t="inlineStr">
        <is>
          <t xml:space="preserve">Ramsay</t>
        </is>
      </c>
      <c r="J383" s="34" t="inlineStr">
        <is>
          <t xml:space="preserve">Grise</t>
        </is>
      </c>
      <c r="K383" s="34" t="inlineStr">
        <is>
          <t xml:space="preserve">Zimmer</t>
        </is>
      </c>
      <c r="L383" s="45">
        <v>3</v>
      </c>
      <c r="M383" s="45">
        <v>1.5</v>
      </c>
      <c r="N383" s="34" t="inlineStr">
        <is>
          <t xml:space="preserve">Getting</t>
        </is>
      </c>
      <c r="O383" s="45">
        <v>1</v>
      </c>
      <c r="P383" s="45">
        <v>0.429</v>
      </c>
      <c r="Q383" s="45">
        <v>0.571</v>
      </c>
      <c r="R383" s="34" t="inlineStr">
        <is>
          <t xml:space="preserve">FBC 8/Handicaps (FBC 8) (Final).xlsx [FBC8]</t>
        </is>
      </c>
    </row>
    <row r="384" spans="1:18">
      <c r="A384" s="40">
        <v>8</v>
      </c>
      <c r="B384" s="31" t="inlineStr">
        <is>
          <t xml:space="preserve">FBC8-D12</t>
        </is>
      </c>
      <c r="C384" s="31" t="inlineStr">
        <is>
          <t xml:space="preserve">Vegas</t>
        </is>
      </c>
      <c r="D384" s="31" t="inlineStr">
        <is>
          <t xml:space="preserve">Four-ball</t>
        </is>
      </c>
      <c r="E384" s="40">
        <v>9</v>
      </c>
      <c r="F384" s="42">
        <v>1</v>
      </c>
      <c r="G384" s="31" t="inlineStr">
        <is>
          <t xml:space="preserve">Flanders</t>
        </is>
      </c>
      <c r="H384" s="31" t="inlineStr">
        <is>
          <t xml:space="preserve">Jackson</t>
        </is>
      </c>
      <c r="I384" s="31" t="inlineStr">
        <is>
          <t xml:space="preserve">Shively</t>
        </is>
      </c>
      <c r="J384" s="31" t="inlineStr">
        <is>
          <t xml:space="preserve">Connolly</t>
        </is>
      </c>
      <c r="K384" s="31" t="inlineStr">
        <is>
          <t xml:space="preserve">Connors</t>
        </is>
      </c>
      <c r="L384" s="42">
        <v>-4</v>
      </c>
      <c r="M384" s="42">
        <v>-2</v>
      </c>
      <c r="N384" s="31" t="inlineStr">
        <is>
          <t xml:space="preserve">Giving</t>
        </is>
      </c>
      <c r="O384" s="42">
        <v>1</v>
      </c>
      <c r="P384" s="42">
        <v>0.567</v>
      </c>
      <c r="Q384" s="42">
        <v>0.433</v>
      </c>
      <c r="R384" s="31" t="inlineStr">
        <is>
          <t xml:space="preserve">FBC 8/Handicaps (FBC 8) (Final).xlsx [FBC8]</t>
        </is>
      </c>
    </row>
    <row r="385" spans="1:18">
      <c r="A385" s="43">
        <v>8</v>
      </c>
      <c r="B385" s="34" t="inlineStr">
        <is>
          <t xml:space="preserve">FBC8-D12</t>
        </is>
      </c>
      <c r="C385" s="34" t="inlineStr">
        <is>
          <t xml:space="preserve">Vegas</t>
        </is>
      </c>
      <c r="D385" s="34" t="inlineStr">
        <is>
          <t xml:space="preserve">Four-ball</t>
        </is>
      </c>
      <c r="E385" s="43">
        <v>9</v>
      </c>
      <c r="F385" s="45">
        <v>1</v>
      </c>
      <c r="G385" s="34" t="inlineStr">
        <is>
          <t xml:space="preserve">Welker</t>
        </is>
      </c>
      <c r="H385" s="34" t="inlineStr">
        <is>
          <t xml:space="preserve">Connolly</t>
        </is>
      </c>
      <c r="I385" s="34" t="inlineStr">
        <is>
          <t xml:space="preserve">Connors</t>
        </is>
      </c>
      <c r="J385" s="34" t="inlineStr">
        <is>
          <t xml:space="preserve">Jackson</t>
        </is>
      </c>
      <c r="K385" s="34" t="inlineStr">
        <is>
          <t xml:space="preserve">Shively</t>
        </is>
      </c>
      <c r="L385" s="45">
        <v>4</v>
      </c>
      <c r="M385" s="45">
        <v>2</v>
      </c>
      <c r="N385" s="34" t="inlineStr">
        <is>
          <t xml:space="preserve">Getting</t>
        </is>
      </c>
      <c r="O385" s="45">
        <v>0</v>
      </c>
      <c r="P385" s="45">
        <v>0.433</v>
      </c>
      <c r="Q385" s="45">
        <v>-0.433</v>
      </c>
      <c r="R385" s="34" t="inlineStr">
        <is>
          <t xml:space="preserve">FBC 8/Handicaps (FBC 8) (Final).xlsx [FBC8]</t>
        </is>
      </c>
    </row>
    <row r="386" spans="1:18">
      <c r="A386" s="40">
        <v>8</v>
      </c>
      <c r="B386" s="31" t="inlineStr">
        <is>
          <t xml:space="preserve">FBC8-D14</t>
        </is>
      </c>
      <c r="C386" s="31" t="inlineStr">
        <is>
          <t xml:space="preserve">Pinehurst</t>
        </is>
      </c>
      <c r="D386" s="31" t="inlineStr">
        <is>
          <t xml:space="preserve">Pinehurst</t>
        </is>
      </c>
      <c r="E386" s="40">
        <v>9</v>
      </c>
      <c r="F386" s="42">
        <v>1</v>
      </c>
      <c r="G386" s="31" t="inlineStr">
        <is>
          <t xml:space="preserve">Flanders</t>
        </is>
      </c>
      <c r="H386" s="31" t="inlineStr">
        <is>
          <t xml:space="preserve">McInerney</t>
        </is>
      </c>
      <c r="I386" s="31" t="inlineStr">
        <is>
          <t xml:space="preserve">Ramsay</t>
        </is>
      </c>
      <c r="J386" s="31" t="inlineStr">
        <is>
          <t xml:space="preserve">DeOteris</t>
        </is>
      </c>
      <c r="K386" s="31" t="inlineStr">
        <is>
          <t xml:space="preserve">Welker</t>
        </is>
      </c>
      <c r="L386" s="42">
        <v>-1</v>
      </c>
      <c r="M386" s="42">
        <v>-0.5</v>
      </c>
      <c r="N386" s="31" t="inlineStr">
        <is>
          <t xml:space="preserve">Giving</t>
        </is>
      </c>
      <c r="O386" s="42">
        <v>0</v>
      </c>
      <c r="P386" s="42">
        <v>0.572</v>
      </c>
      <c r="Q386" s="42">
        <v>-0.572</v>
      </c>
      <c r="R386" s="31" t="inlineStr">
        <is>
          <t xml:space="preserve">FBC 8/Handicaps (FBC 8) (Final).xlsx [FBC8]</t>
        </is>
      </c>
    </row>
    <row r="387" spans="1:18">
      <c r="A387" s="43">
        <v>8</v>
      </c>
      <c r="B387" s="34" t="inlineStr">
        <is>
          <t xml:space="preserve">FBC8-D14</t>
        </is>
      </c>
      <c r="C387" s="34" t="inlineStr">
        <is>
          <t xml:space="preserve">Pinehurst</t>
        </is>
      </c>
      <c r="D387" s="34" t="inlineStr">
        <is>
          <t xml:space="preserve">Pinehurst</t>
        </is>
      </c>
      <c r="E387" s="43">
        <v>9</v>
      </c>
      <c r="F387" s="45">
        <v>1</v>
      </c>
      <c r="G387" s="34" t="inlineStr">
        <is>
          <t xml:space="preserve">Welker</t>
        </is>
      </c>
      <c r="H387" s="34" t="inlineStr">
        <is>
          <t xml:space="preserve">DeOteris</t>
        </is>
      </c>
      <c r="I387" s="34" t="inlineStr">
        <is>
          <t xml:space="preserve">Welker</t>
        </is>
      </c>
      <c r="J387" s="34" t="inlineStr">
        <is>
          <t xml:space="preserve">McInerney</t>
        </is>
      </c>
      <c r="K387" s="34" t="inlineStr">
        <is>
          <t xml:space="preserve">Ramsay</t>
        </is>
      </c>
      <c r="L387" s="45">
        <v>1</v>
      </c>
      <c r="M387" s="45">
        <v>0.5</v>
      </c>
      <c r="N387" s="34" t="inlineStr">
        <is>
          <t xml:space="preserve">Getting</t>
        </is>
      </c>
      <c r="O387" s="45">
        <v>1</v>
      </c>
      <c r="P387" s="45">
        <v>0.428</v>
      </c>
      <c r="Q387" s="45">
        <v>0.572</v>
      </c>
      <c r="R387" s="34" t="inlineStr">
        <is>
          <t xml:space="preserve">FBC 8/Handicaps (FBC 8) (Final).xlsx [FBC8]</t>
        </is>
      </c>
    </row>
    <row r="388" spans="1:18">
      <c r="A388" s="40">
        <v>8</v>
      </c>
      <c r="B388" s="31" t="inlineStr">
        <is>
          <t xml:space="preserve">FBC8-D15</t>
        </is>
      </c>
      <c r="C388" s="31" t="inlineStr">
        <is>
          <t xml:space="preserve">Pinehurst</t>
        </is>
      </c>
      <c r="D388" s="31" t="inlineStr">
        <is>
          <t xml:space="preserve">Pinehurst</t>
        </is>
      </c>
      <c r="E388" s="40">
        <v>9</v>
      </c>
      <c r="F388" s="42">
        <v>1</v>
      </c>
      <c r="G388" s="31" t="inlineStr">
        <is>
          <t xml:space="preserve">Welker</t>
        </is>
      </c>
      <c r="H388" s="31" t="inlineStr">
        <is>
          <t xml:space="preserve">Connolly</t>
        </is>
      </c>
      <c r="I388" s="31" t="inlineStr">
        <is>
          <t xml:space="preserve">Delneky</t>
        </is>
      </c>
      <c r="J388" s="31" t="inlineStr">
        <is>
          <t xml:space="preserve">Cole</t>
        </is>
      </c>
      <c r="K388" s="31" t="inlineStr">
        <is>
          <t xml:space="preserve">Jackson</t>
        </is>
      </c>
      <c r="L388" s="42">
        <v>2</v>
      </c>
      <c r="M388" s="42">
        <v>1</v>
      </c>
      <c r="N388" s="31" t="inlineStr">
        <is>
          <t xml:space="preserve">Getting</t>
        </is>
      </c>
      <c r="O388" s="42">
        <v>0</v>
      </c>
      <c r="P388" s="42">
        <v>0.437</v>
      </c>
      <c r="Q388" s="42">
        <v>-0.437</v>
      </c>
      <c r="R388" s="31" t="inlineStr">
        <is>
          <t xml:space="preserve">FBC 8/Handicaps (FBC 8) (Final).xlsx [FBC8]</t>
        </is>
      </c>
    </row>
    <row r="389" spans="1:18">
      <c r="A389" s="43">
        <v>8</v>
      </c>
      <c r="B389" s="34" t="inlineStr">
        <is>
          <t xml:space="preserve">FBC8-D15</t>
        </is>
      </c>
      <c r="C389" s="34" t="inlineStr">
        <is>
          <t xml:space="preserve">Pinehurst</t>
        </is>
      </c>
      <c r="D389" s="34" t="inlineStr">
        <is>
          <t xml:space="preserve">Pinehurst</t>
        </is>
      </c>
      <c r="E389" s="43">
        <v>9</v>
      </c>
      <c r="F389" s="45">
        <v>1</v>
      </c>
      <c r="G389" s="34" t="inlineStr">
        <is>
          <t xml:space="preserve">Flanders</t>
        </is>
      </c>
      <c r="H389" s="34" t="inlineStr">
        <is>
          <t xml:space="preserve">Cole</t>
        </is>
      </c>
      <c r="I389" s="34" t="inlineStr">
        <is>
          <t xml:space="preserve">Jackson</t>
        </is>
      </c>
      <c r="J389" s="34" t="inlineStr">
        <is>
          <t xml:space="preserve">Connolly</t>
        </is>
      </c>
      <c r="K389" s="34" t="inlineStr">
        <is>
          <t xml:space="preserve">Delneky</t>
        </is>
      </c>
      <c r="L389" s="45">
        <v>-2</v>
      </c>
      <c r="M389" s="45">
        <v>-1</v>
      </c>
      <c r="N389" s="34" t="inlineStr">
        <is>
          <t xml:space="preserve">Giving</t>
        </is>
      </c>
      <c r="O389" s="45">
        <v>1</v>
      </c>
      <c r="P389" s="45">
        <v>0.563</v>
      </c>
      <c r="Q389" s="45">
        <v>0.437</v>
      </c>
      <c r="R389" s="34" t="inlineStr">
        <is>
          <t xml:space="preserve">FBC 8/Handicaps (FBC 8) (Final).xlsx [FBC8]</t>
        </is>
      </c>
    </row>
    <row r="390" spans="1:18">
      <c r="A390" s="40">
        <v>8</v>
      </c>
      <c r="B390" s="31" t="inlineStr">
        <is>
          <t xml:space="preserve">FBC8-D16</t>
        </is>
      </c>
      <c r="C390" s="31" t="inlineStr">
        <is>
          <t xml:space="preserve">Pinehurst</t>
        </is>
      </c>
      <c r="D390" s="31" t="inlineStr">
        <is>
          <t xml:space="preserve">Pinehurst</t>
        </is>
      </c>
      <c r="E390" s="40">
        <v>9</v>
      </c>
      <c r="F390" s="42">
        <v>1</v>
      </c>
      <c r="G390" s="31" t="inlineStr">
        <is>
          <t xml:space="preserve">Flanders</t>
        </is>
      </c>
      <c r="H390" s="31" t="inlineStr">
        <is>
          <t xml:space="preserve">Piegari</t>
        </is>
      </c>
      <c r="I390" s="31" t="inlineStr">
        <is>
          <t xml:space="preserve">Shively</t>
        </is>
      </c>
      <c r="J390" s="31" t="inlineStr">
        <is>
          <t xml:space="preserve">Delaney</t>
        </is>
      </c>
      <c r="K390" s="31" t="inlineStr">
        <is>
          <t xml:space="preserve">Hilts</t>
        </is>
      </c>
      <c r="L390" s="42">
        <v>-3</v>
      </c>
      <c r="M390" s="42">
        <v>-1.5</v>
      </c>
      <c r="N390" s="31" t="inlineStr">
        <is>
          <t xml:space="preserve">Giving</t>
        </is>
      </c>
      <c r="O390" s="42">
        <v>0</v>
      </c>
      <c r="P390" s="42">
        <v>0.555</v>
      </c>
      <c r="Q390" s="42">
        <v>-0.555</v>
      </c>
      <c r="R390" s="31" t="inlineStr">
        <is>
          <t xml:space="preserve">FBC 8/Handicaps (FBC 8) (Final).xlsx [FBC8]</t>
        </is>
      </c>
    </row>
    <row r="391" spans="1:18">
      <c r="A391" s="43">
        <v>8</v>
      </c>
      <c r="B391" s="34" t="inlineStr">
        <is>
          <t xml:space="preserve">FBC8-D16</t>
        </is>
      </c>
      <c r="C391" s="34" t="inlineStr">
        <is>
          <t xml:space="preserve">Pinehurst</t>
        </is>
      </c>
      <c r="D391" s="34" t="inlineStr">
        <is>
          <t xml:space="preserve">Pinehurst</t>
        </is>
      </c>
      <c r="E391" s="43">
        <v>9</v>
      </c>
      <c r="F391" s="45">
        <v>1</v>
      </c>
      <c r="G391" s="34" t="inlineStr">
        <is>
          <t xml:space="preserve">Welker</t>
        </is>
      </c>
      <c r="H391" s="34" t="inlineStr">
        <is>
          <t xml:space="preserve">Delaney</t>
        </is>
      </c>
      <c r="I391" s="34" t="inlineStr">
        <is>
          <t xml:space="preserve">Hilts</t>
        </is>
      </c>
      <c r="J391" s="34" t="inlineStr">
        <is>
          <t xml:space="preserve">Piegari</t>
        </is>
      </c>
      <c r="K391" s="34" t="inlineStr">
        <is>
          <t xml:space="preserve">Shively</t>
        </is>
      </c>
      <c r="L391" s="45">
        <v>3</v>
      </c>
      <c r="M391" s="45">
        <v>1.5</v>
      </c>
      <c r="N391" s="34" t="inlineStr">
        <is>
          <t xml:space="preserve">Getting</t>
        </is>
      </c>
      <c r="O391" s="45">
        <v>1</v>
      </c>
      <c r="P391" s="45">
        <v>0.445</v>
      </c>
      <c r="Q391" s="45">
        <v>0.555</v>
      </c>
      <c r="R391" s="34" t="inlineStr">
        <is>
          <t xml:space="preserve">FBC 8/Handicaps (FBC 8) (Final).xlsx [FBC8]</t>
        </is>
      </c>
    </row>
    <row r="392" spans="1:18">
      <c r="A392" s="40">
        <v>8</v>
      </c>
      <c r="B392" s="31" t="inlineStr">
        <is>
          <t xml:space="preserve">FBC8-D17</t>
        </is>
      </c>
      <c r="C392" s="31" t="inlineStr">
        <is>
          <t xml:space="preserve">Pinehurst</t>
        </is>
      </c>
      <c r="D392" s="31" t="inlineStr">
        <is>
          <t xml:space="preserve">Pinehurst</t>
        </is>
      </c>
      <c r="E392" s="40">
        <v>9</v>
      </c>
      <c r="F392" s="42">
        <v>1</v>
      </c>
      <c r="G392" s="31" t="inlineStr">
        <is>
          <t xml:space="preserve">Welker</t>
        </is>
      </c>
      <c r="H392" s="31" t="inlineStr">
        <is>
          <t xml:space="preserve">Connors</t>
        </is>
      </c>
      <c r="I392" s="31" t="inlineStr">
        <is>
          <t xml:space="preserve">Perkins</t>
        </is>
      </c>
      <c r="J392" s="31" t="inlineStr">
        <is>
          <t xml:space="preserve">Flanders</t>
        </is>
      </c>
      <c r="K392" s="31" t="inlineStr">
        <is>
          <t xml:space="preserve">Fogan</t>
        </is>
      </c>
      <c r="L392" s="42">
        <v>2</v>
      </c>
      <c r="M392" s="42">
        <v>1</v>
      </c>
      <c r="N392" s="31" t="inlineStr">
        <is>
          <t xml:space="preserve">Getting</t>
        </is>
      </c>
      <c r="O392" s="42">
        <v>1</v>
      </c>
      <c r="P392" s="42">
        <v>0.437</v>
      </c>
      <c r="Q392" s="42">
        <v>0.563</v>
      </c>
      <c r="R392" s="31" t="inlineStr">
        <is>
          <t xml:space="preserve">FBC 8/Handicaps (FBC 8) (Final).xlsx [FBC8]</t>
        </is>
      </c>
    </row>
    <row r="393" spans="1:18">
      <c r="A393" s="43">
        <v>8</v>
      </c>
      <c r="B393" s="34" t="inlineStr">
        <is>
          <t xml:space="preserve">FBC8-D17</t>
        </is>
      </c>
      <c r="C393" s="34" t="inlineStr">
        <is>
          <t xml:space="preserve">Pinehurst</t>
        </is>
      </c>
      <c r="D393" s="34" t="inlineStr">
        <is>
          <t xml:space="preserve">Pinehurst</t>
        </is>
      </c>
      <c r="E393" s="43">
        <v>9</v>
      </c>
      <c r="F393" s="45">
        <v>1</v>
      </c>
      <c r="G393" s="34" t="inlineStr">
        <is>
          <t xml:space="preserve">Flanders</t>
        </is>
      </c>
      <c r="H393" s="34" t="inlineStr">
        <is>
          <t xml:space="preserve">Flanders</t>
        </is>
      </c>
      <c r="I393" s="34" t="inlineStr">
        <is>
          <t xml:space="preserve">Fogan</t>
        </is>
      </c>
      <c r="J393" s="34" t="inlineStr">
        <is>
          <t xml:space="preserve">Connors</t>
        </is>
      </c>
      <c r="K393" s="34" t="inlineStr">
        <is>
          <t xml:space="preserve">Perkins</t>
        </is>
      </c>
      <c r="L393" s="45">
        <v>-2</v>
      </c>
      <c r="M393" s="45">
        <v>-1</v>
      </c>
      <c r="N393" s="34" t="inlineStr">
        <is>
          <t xml:space="preserve">Giving</t>
        </is>
      </c>
      <c r="O393" s="45">
        <v>0</v>
      </c>
      <c r="P393" s="45">
        <v>0.563</v>
      </c>
      <c r="Q393" s="45">
        <v>-0.563</v>
      </c>
      <c r="R393" s="34" t="inlineStr">
        <is>
          <t xml:space="preserve">FBC 8/Handicaps (FBC 8) (Final).xlsx [FBC8]</t>
        </is>
      </c>
    </row>
    <row r="394" spans="1:18">
      <c r="A394" s="40">
        <v>8</v>
      </c>
      <c r="B394" s="31" t="inlineStr">
        <is>
          <t xml:space="preserve">FBC8-D18</t>
        </is>
      </c>
      <c r="C394" s="31" t="inlineStr">
        <is>
          <t xml:space="preserve">Pinehurst</t>
        </is>
      </c>
      <c r="D394" s="31" t="inlineStr">
        <is>
          <t xml:space="preserve">Pinehurst</t>
        </is>
      </c>
      <c r="E394" s="40">
        <v>9</v>
      </c>
      <c r="F394" s="42">
        <v>1</v>
      </c>
      <c r="G394" s="31" t="inlineStr">
        <is>
          <t xml:space="preserve">Flanders</t>
        </is>
      </c>
      <c r="H394" s="31" t="inlineStr">
        <is>
          <t xml:space="preserve">Lynch</t>
        </is>
      </c>
      <c r="I394" s="31" t="inlineStr">
        <is>
          <t xml:space="preserve">Mangold</t>
        </is>
      </c>
      <c r="J394" s="31" t="inlineStr">
        <is>
          <t xml:space="preserve">Ferrin</t>
        </is>
      </c>
      <c r="K394" s="31" t="inlineStr">
        <is>
          <t xml:space="preserve">Grise</t>
        </is>
      </c>
      <c r="L394" s="42">
        <v>-1</v>
      </c>
      <c r="M394" s="42">
        <v>-0.5</v>
      </c>
      <c r="N394" s="31" t="inlineStr">
        <is>
          <t xml:space="preserve">Giving</t>
        </is>
      </c>
      <c r="O394" s="42">
        <v>0</v>
      </c>
      <c r="P394" s="42">
        <v>0.572</v>
      </c>
      <c r="Q394" s="42">
        <v>-0.572</v>
      </c>
      <c r="R394" s="31" t="inlineStr">
        <is>
          <t xml:space="preserve">FBC 8/Handicaps (FBC 8) (Final).xlsx [FBC8]</t>
        </is>
      </c>
    </row>
    <row r="395" spans="1:18">
      <c r="A395" s="43">
        <v>8</v>
      </c>
      <c r="B395" s="34" t="inlineStr">
        <is>
          <t xml:space="preserve">FBC8-D18</t>
        </is>
      </c>
      <c r="C395" s="34" t="inlineStr">
        <is>
          <t xml:space="preserve">Pinehurst</t>
        </is>
      </c>
      <c r="D395" s="34" t="inlineStr">
        <is>
          <t xml:space="preserve">Pinehurst</t>
        </is>
      </c>
      <c r="E395" s="43">
        <v>9</v>
      </c>
      <c r="F395" s="45">
        <v>1</v>
      </c>
      <c r="G395" s="34" t="inlineStr">
        <is>
          <t xml:space="preserve">Welker</t>
        </is>
      </c>
      <c r="H395" s="34" t="inlineStr">
        <is>
          <t xml:space="preserve">Ferrin</t>
        </is>
      </c>
      <c r="I395" s="34" t="inlineStr">
        <is>
          <t xml:space="preserve">Grise</t>
        </is>
      </c>
      <c r="J395" s="34" t="inlineStr">
        <is>
          <t xml:space="preserve">Lynch</t>
        </is>
      </c>
      <c r="K395" s="34" t="inlineStr">
        <is>
          <t xml:space="preserve">Mangold</t>
        </is>
      </c>
      <c r="L395" s="45">
        <v>1</v>
      </c>
      <c r="M395" s="45">
        <v>0.5</v>
      </c>
      <c r="N395" s="34" t="inlineStr">
        <is>
          <t xml:space="preserve">Getting</t>
        </is>
      </c>
      <c r="O395" s="45">
        <v>1</v>
      </c>
      <c r="P395" s="45">
        <v>0.428</v>
      </c>
      <c r="Q395" s="45">
        <v>0.572</v>
      </c>
      <c r="R395" s="34" t="inlineStr">
        <is>
          <t xml:space="preserve">FBC 8/Handicaps (FBC 8) (Final).xlsx [FBC8]</t>
        </is>
      </c>
    </row>
    <row r="396" spans="1:18">
      <c r="A396" s="40">
        <v>8</v>
      </c>
      <c r="B396" s="31" t="inlineStr">
        <is>
          <t xml:space="preserve">FBC8-D20</t>
        </is>
      </c>
      <c r="C396" s="31" t="inlineStr">
        <is>
          <t xml:space="preserve">Scramble-Stableford</t>
        </is>
      </c>
      <c r="D396" s="31" t="inlineStr">
        <is>
          <t xml:space="preserve">Scramble</t>
        </is>
      </c>
      <c r="E396" s="40">
        <v>9</v>
      </c>
      <c r="F396" s="42">
        <v>1</v>
      </c>
      <c r="G396" s="31" t="inlineStr">
        <is>
          <t xml:space="preserve">Flanders</t>
        </is>
      </c>
      <c r="H396" s="31" t="inlineStr">
        <is>
          <t xml:space="preserve">McInerney</t>
        </is>
      </c>
      <c r="I396" s="31" t="inlineStr">
        <is>
          <t xml:space="preserve">Ramsay</t>
        </is>
      </c>
      <c r="J396" s="31" t="inlineStr">
        <is>
          <t xml:space="preserve">DeOteris</t>
        </is>
      </c>
      <c r="K396" s="31" t="inlineStr">
        <is>
          <t xml:space="preserve">Welker</t>
        </is>
      </c>
      <c r="L396" s="42">
        <v>-1</v>
      </c>
      <c r="M396" s="42">
        <v>-0.5</v>
      </c>
      <c r="N396" s="31" t="inlineStr">
        <is>
          <t xml:space="preserve">Giving</t>
        </is>
      </c>
      <c r="O396" s="42">
        <v>1</v>
      </c>
      <c r="P396" s="42">
        <v>0.534</v>
      </c>
      <c r="Q396" s="42">
        <v>0.466</v>
      </c>
      <c r="R396" s="31" t="inlineStr">
        <is>
          <t xml:space="preserve">FBC 8/Handicaps (FBC 8) (Final).xlsx [FBC8]</t>
        </is>
      </c>
    </row>
    <row r="397" spans="1:18">
      <c r="A397" s="43">
        <v>8</v>
      </c>
      <c r="B397" s="34" t="inlineStr">
        <is>
          <t xml:space="preserve">FBC8-D20</t>
        </is>
      </c>
      <c r="C397" s="34" t="inlineStr">
        <is>
          <t xml:space="preserve">Scramble-Stableford</t>
        </is>
      </c>
      <c r="D397" s="34" t="inlineStr">
        <is>
          <t xml:space="preserve">Scramble</t>
        </is>
      </c>
      <c r="E397" s="43">
        <v>9</v>
      </c>
      <c r="F397" s="45">
        <v>1</v>
      </c>
      <c r="G397" s="34" t="inlineStr">
        <is>
          <t xml:space="preserve">Welker</t>
        </is>
      </c>
      <c r="H397" s="34" t="inlineStr">
        <is>
          <t xml:space="preserve">DeOteris</t>
        </is>
      </c>
      <c r="I397" s="34" t="inlineStr">
        <is>
          <t xml:space="preserve">Welker</t>
        </is>
      </c>
      <c r="J397" s="34" t="inlineStr">
        <is>
          <t xml:space="preserve">McInerney</t>
        </is>
      </c>
      <c r="K397" s="34" t="inlineStr">
        <is>
          <t xml:space="preserve">Ramsay</t>
        </is>
      </c>
      <c r="L397" s="45">
        <v>1</v>
      </c>
      <c r="M397" s="45">
        <v>0.5</v>
      </c>
      <c r="N397" s="34" t="inlineStr">
        <is>
          <t xml:space="preserve">Getting</t>
        </is>
      </c>
      <c r="O397" s="45">
        <v>0</v>
      </c>
      <c r="P397" s="45">
        <v>0.466</v>
      </c>
      <c r="Q397" s="45">
        <v>-0.466</v>
      </c>
      <c r="R397" s="34" t="inlineStr">
        <is>
          <t xml:space="preserve">FBC 8/Handicaps (FBC 8) (Final).xlsx [FBC8]</t>
        </is>
      </c>
    </row>
    <row r="398" spans="1:18">
      <c r="A398" s="40">
        <v>8</v>
      </c>
      <c r="B398" s="31" t="inlineStr">
        <is>
          <t xml:space="preserve">FBC8-D21</t>
        </is>
      </c>
      <c r="C398" s="31" t="inlineStr">
        <is>
          <t xml:space="preserve">Scramble-Stableford</t>
        </is>
      </c>
      <c r="D398" s="31" t="inlineStr">
        <is>
          <t xml:space="preserve">Scramble</t>
        </is>
      </c>
      <c r="E398" s="40">
        <v>9</v>
      </c>
      <c r="F398" s="42">
        <v>1</v>
      </c>
      <c r="G398" s="31" t="inlineStr">
        <is>
          <t xml:space="preserve">Welker</t>
        </is>
      </c>
      <c r="H398" s="31" t="inlineStr">
        <is>
          <t xml:space="preserve">Connolly</t>
        </is>
      </c>
      <c r="I398" s="31" t="inlineStr">
        <is>
          <t xml:space="preserve">Delneky</t>
        </is>
      </c>
      <c r="J398" s="31" t="inlineStr">
        <is>
          <t xml:space="preserve">Cole</t>
        </is>
      </c>
      <c r="K398" s="31" t="inlineStr">
        <is>
          <t xml:space="preserve">Jackson</t>
        </is>
      </c>
      <c r="L398" s="42">
        <v>1</v>
      </c>
      <c r="M398" s="42">
        <v>0.5</v>
      </c>
      <c r="N398" s="31" t="inlineStr">
        <is>
          <t xml:space="preserve">Getting</t>
        </is>
      </c>
      <c r="O398" s="42">
        <v>1</v>
      </c>
      <c r="P398" s="42">
        <v>0.466</v>
      </c>
      <c r="Q398" s="42">
        <v>0.534</v>
      </c>
      <c r="R398" s="31" t="inlineStr">
        <is>
          <t xml:space="preserve">FBC 8/Handicaps (FBC 8) (Final).xlsx [FBC8]</t>
        </is>
      </c>
    </row>
    <row r="399" spans="1:18">
      <c r="A399" s="43">
        <v>8</v>
      </c>
      <c r="B399" s="34" t="inlineStr">
        <is>
          <t xml:space="preserve">FBC8-D21</t>
        </is>
      </c>
      <c r="C399" s="34" t="inlineStr">
        <is>
          <t xml:space="preserve">Scramble-Stableford</t>
        </is>
      </c>
      <c r="D399" s="34" t="inlineStr">
        <is>
          <t xml:space="preserve">Scramble</t>
        </is>
      </c>
      <c r="E399" s="43">
        <v>9</v>
      </c>
      <c r="F399" s="45">
        <v>1</v>
      </c>
      <c r="G399" s="34" t="inlineStr">
        <is>
          <t xml:space="preserve">Flanders</t>
        </is>
      </c>
      <c r="H399" s="34" t="inlineStr">
        <is>
          <t xml:space="preserve">Cole</t>
        </is>
      </c>
      <c r="I399" s="34" t="inlineStr">
        <is>
          <t xml:space="preserve">Jackson</t>
        </is>
      </c>
      <c r="J399" s="34" t="inlineStr">
        <is>
          <t xml:space="preserve">Connolly</t>
        </is>
      </c>
      <c r="K399" s="34" t="inlineStr">
        <is>
          <t xml:space="preserve">Delneky</t>
        </is>
      </c>
      <c r="L399" s="45">
        <v>-1</v>
      </c>
      <c r="M399" s="45">
        <v>-0.5</v>
      </c>
      <c r="N399" s="34" t="inlineStr">
        <is>
          <t xml:space="preserve">Giving</t>
        </is>
      </c>
      <c r="O399" s="45">
        <v>0</v>
      </c>
      <c r="P399" s="45">
        <v>0.534</v>
      </c>
      <c r="Q399" s="45">
        <v>-0.534</v>
      </c>
      <c r="R399" s="34" t="inlineStr">
        <is>
          <t xml:space="preserve">FBC 8/Handicaps (FBC 8) (Final).xlsx [FBC8]</t>
        </is>
      </c>
    </row>
    <row r="400" spans="1:18">
      <c r="A400" s="40">
        <v>8</v>
      </c>
      <c r="B400" s="31" t="inlineStr">
        <is>
          <t xml:space="preserve">FBC8-D22</t>
        </is>
      </c>
      <c r="C400" s="31" t="inlineStr">
        <is>
          <t xml:space="preserve">Scramble-Stableford</t>
        </is>
      </c>
      <c r="D400" s="31" t="inlineStr">
        <is>
          <t xml:space="preserve">Scramble</t>
        </is>
      </c>
      <c r="E400" s="40">
        <v>9</v>
      </c>
      <c r="F400" s="42">
        <v>1</v>
      </c>
      <c r="G400" s="31" t="inlineStr">
        <is>
          <t xml:space="preserve">Flanders</t>
        </is>
      </c>
      <c r="H400" s="31" t="inlineStr">
        <is>
          <t xml:space="preserve">Piegari</t>
        </is>
      </c>
      <c r="I400" s="31" t="inlineStr">
        <is>
          <t xml:space="preserve">Shively</t>
        </is>
      </c>
      <c r="J400" s="31" t="inlineStr">
        <is>
          <t xml:space="preserve">Delaney</t>
        </is>
      </c>
      <c r="K400" s="31" t="inlineStr">
        <is>
          <t xml:space="preserve">Hilts</t>
        </is>
      </c>
      <c r="L400" s="42">
        <v>-1</v>
      </c>
      <c r="M400" s="42">
        <v>-0.5</v>
      </c>
      <c r="N400" s="31" t="inlineStr">
        <is>
          <t xml:space="preserve">Giving</t>
        </is>
      </c>
      <c r="O400" s="42">
        <v>1</v>
      </c>
      <c r="P400" s="42">
        <v>0.534</v>
      </c>
      <c r="Q400" s="42">
        <v>0.466</v>
      </c>
      <c r="R400" s="31" t="inlineStr">
        <is>
          <t xml:space="preserve">FBC 8/Handicaps (FBC 8) (Final).xlsx [FBC8]</t>
        </is>
      </c>
    </row>
    <row r="401" spans="1:18">
      <c r="A401" s="43">
        <v>8</v>
      </c>
      <c r="B401" s="34" t="inlineStr">
        <is>
          <t xml:space="preserve">FBC8-D22</t>
        </is>
      </c>
      <c r="C401" s="34" t="inlineStr">
        <is>
          <t xml:space="preserve">Scramble-Stableford</t>
        </is>
      </c>
      <c r="D401" s="34" t="inlineStr">
        <is>
          <t xml:space="preserve">Scramble</t>
        </is>
      </c>
      <c r="E401" s="43">
        <v>9</v>
      </c>
      <c r="F401" s="45">
        <v>1</v>
      </c>
      <c r="G401" s="34" t="inlineStr">
        <is>
          <t xml:space="preserve">Welker</t>
        </is>
      </c>
      <c r="H401" s="34" t="inlineStr">
        <is>
          <t xml:space="preserve">Delaney</t>
        </is>
      </c>
      <c r="I401" s="34" t="inlineStr">
        <is>
          <t xml:space="preserve">Hilts</t>
        </is>
      </c>
      <c r="J401" s="34" t="inlineStr">
        <is>
          <t xml:space="preserve">Piegari</t>
        </is>
      </c>
      <c r="K401" s="34" t="inlineStr">
        <is>
          <t xml:space="preserve">Shively</t>
        </is>
      </c>
      <c r="L401" s="45">
        <v>1</v>
      </c>
      <c r="M401" s="45">
        <v>0.5</v>
      </c>
      <c r="N401" s="34" t="inlineStr">
        <is>
          <t xml:space="preserve">Getting</t>
        </is>
      </c>
      <c r="O401" s="45">
        <v>0</v>
      </c>
      <c r="P401" s="45">
        <v>0.466</v>
      </c>
      <c r="Q401" s="45">
        <v>-0.466</v>
      </c>
      <c r="R401" s="34" t="inlineStr">
        <is>
          <t xml:space="preserve">FBC 8/Handicaps (FBC 8) (Final).xlsx [FBC8]</t>
        </is>
      </c>
    </row>
    <row r="402" spans="1:18">
      <c r="A402" s="40">
        <v>8</v>
      </c>
      <c r="B402" s="31" t="inlineStr">
        <is>
          <t xml:space="preserve">FBC8-D23</t>
        </is>
      </c>
      <c r="C402" s="31" t="inlineStr">
        <is>
          <t xml:space="preserve">Scramble-Stableford</t>
        </is>
      </c>
      <c r="D402" s="31" t="inlineStr">
        <is>
          <t xml:space="preserve">Scramble</t>
        </is>
      </c>
      <c r="E402" s="40">
        <v>9</v>
      </c>
      <c r="F402" s="42">
        <v>1</v>
      </c>
      <c r="G402" s="31" t="inlineStr">
        <is>
          <t xml:space="preserve">Welker</t>
        </is>
      </c>
      <c r="H402" s="31" t="inlineStr">
        <is>
          <t xml:space="preserve">Connors</t>
        </is>
      </c>
      <c r="I402" s="31" t="inlineStr">
        <is>
          <t xml:space="preserve">Perkins</t>
        </is>
      </c>
      <c r="J402" s="31" t="inlineStr">
        <is>
          <t xml:space="preserve">Flanders</t>
        </is>
      </c>
      <c r="K402" s="31" t="inlineStr">
        <is>
          <t xml:space="preserve">Fogan</t>
        </is>
      </c>
      <c r="L402" s="42">
        <v>1</v>
      </c>
      <c r="M402" s="42">
        <v>0.5</v>
      </c>
      <c r="N402" s="31" t="inlineStr">
        <is>
          <t xml:space="preserve">Getting</t>
        </is>
      </c>
      <c r="O402" s="42">
        <v>0.5</v>
      </c>
      <c r="P402" s="42">
        <v>0.466</v>
      </c>
      <c r="Q402" s="42">
        <v>0.034</v>
      </c>
      <c r="R402" s="31" t="inlineStr">
        <is>
          <t xml:space="preserve">FBC 8/Handicaps (FBC 8) (Final).xlsx [FBC8]</t>
        </is>
      </c>
    </row>
    <row r="403" spans="1:18">
      <c r="A403" s="43">
        <v>8</v>
      </c>
      <c r="B403" s="34" t="inlineStr">
        <is>
          <t xml:space="preserve">FBC8-D23</t>
        </is>
      </c>
      <c r="C403" s="34" t="inlineStr">
        <is>
          <t xml:space="preserve">Scramble-Stableford</t>
        </is>
      </c>
      <c r="D403" s="34" t="inlineStr">
        <is>
          <t xml:space="preserve">Scramble</t>
        </is>
      </c>
      <c r="E403" s="43">
        <v>9</v>
      </c>
      <c r="F403" s="45">
        <v>1</v>
      </c>
      <c r="G403" s="34" t="inlineStr">
        <is>
          <t xml:space="preserve">Flanders</t>
        </is>
      </c>
      <c r="H403" s="34" t="inlineStr">
        <is>
          <t xml:space="preserve">Flanders</t>
        </is>
      </c>
      <c r="I403" s="34" t="inlineStr">
        <is>
          <t xml:space="preserve">Fogan</t>
        </is>
      </c>
      <c r="J403" s="34" t="inlineStr">
        <is>
          <t xml:space="preserve">Connors</t>
        </is>
      </c>
      <c r="K403" s="34" t="inlineStr">
        <is>
          <t xml:space="preserve">Perkins</t>
        </is>
      </c>
      <c r="L403" s="45">
        <v>-1</v>
      </c>
      <c r="M403" s="45">
        <v>-0.5</v>
      </c>
      <c r="N403" s="34" t="inlineStr">
        <is>
          <t xml:space="preserve">Giving</t>
        </is>
      </c>
      <c r="O403" s="45">
        <v>0.5</v>
      </c>
      <c r="P403" s="45">
        <v>0.534</v>
      </c>
      <c r="Q403" s="45">
        <v>-0.034</v>
      </c>
      <c r="R403" s="34" t="inlineStr">
        <is>
          <t xml:space="preserve">FBC 8/Handicaps (FBC 8) (Final).xlsx [FBC8]</t>
        </is>
      </c>
    </row>
    <row r="404" spans="1:18">
      <c r="A404" s="40">
        <v>8</v>
      </c>
      <c r="B404" s="31" t="inlineStr">
        <is>
          <t xml:space="preserve">FBC8-D24</t>
        </is>
      </c>
      <c r="C404" s="31" t="inlineStr">
        <is>
          <t xml:space="preserve">Scramble-Stableford</t>
        </is>
      </c>
      <c r="D404" s="31" t="inlineStr">
        <is>
          <t xml:space="preserve">Scramble</t>
        </is>
      </c>
      <c r="E404" s="40">
        <v>9</v>
      </c>
      <c r="F404" s="42">
        <v>1</v>
      </c>
      <c r="G404" s="31" t="inlineStr">
        <is>
          <t xml:space="preserve">Flanders</t>
        </is>
      </c>
      <c r="H404" s="31" t="inlineStr">
        <is>
          <t xml:space="preserve">Lynch</t>
        </is>
      </c>
      <c r="I404" s="31" t="inlineStr">
        <is>
          <t xml:space="preserve">Mangold</t>
        </is>
      </c>
      <c r="J404" s="31" t="inlineStr">
        <is>
          <t xml:space="preserve">Ferrin</t>
        </is>
      </c>
      <c r="K404" s="31" t="inlineStr">
        <is>
          <t xml:space="preserve">Grise</t>
        </is>
      </c>
      <c r="L404" s="42">
        <v>0</v>
      </c>
      <c r="M404" s="42">
        <v>0</v>
      </c>
      <c r="N404" s="31" t="inlineStr">
        <is>
          <t xml:space="preserve">Even</t>
        </is>
      </c>
      <c r="O404" s="42">
        <v>0.5</v>
      </c>
      <c r="P404" s="42">
        <v>0.5</v>
      </c>
      <c r="Q404" s="42">
        <v>0</v>
      </c>
      <c r="R404" s="31" t="inlineStr">
        <is>
          <t xml:space="preserve">FBC 8/Handicaps (FBC 8) (Final).xlsx [FBC8]</t>
        </is>
      </c>
    </row>
    <row r="405" spans="1:18">
      <c r="A405" s="43">
        <v>8</v>
      </c>
      <c r="B405" s="34" t="inlineStr">
        <is>
          <t xml:space="preserve">FBC8-D24</t>
        </is>
      </c>
      <c r="C405" s="34" t="inlineStr">
        <is>
          <t xml:space="preserve">Scramble-Stableford</t>
        </is>
      </c>
      <c r="D405" s="34" t="inlineStr">
        <is>
          <t xml:space="preserve">Scramble</t>
        </is>
      </c>
      <c r="E405" s="43">
        <v>9</v>
      </c>
      <c r="F405" s="45">
        <v>1</v>
      </c>
      <c r="G405" s="34" t="inlineStr">
        <is>
          <t xml:space="preserve">Welker</t>
        </is>
      </c>
      <c r="H405" s="34" t="inlineStr">
        <is>
          <t xml:space="preserve">Ferrin</t>
        </is>
      </c>
      <c r="I405" s="34" t="inlineStr">
        <is>
          <t xml:space="preserve">Grise</t>
        </is>
      </c>
      <c r="J405" s="34" t="inlineStr">
        <is>
          <t xml:space="preserve">Lynch</t>
        </is>
      </c>
      <c r="K405" s="34" t="inlineStr">
        <is>
          <t xml:space="preserve">Mangold</t>
        </is>
      </c>
      <c r="L405" s="45">
        <v>0</v>
      </c>
      <c r="M405" s="45">
        <v>0</v>
      </c>
      <c r="N405" s="34" t="inlineStr">
        <is>
          <t xml:space="preserve">Even</t>
        </is>
      </c>
      <c r="O405" s="45">
        <v>0.5</v>
      </c>
      <c r="P405" s="45">
        <v>0.5</v>
      </c>
      <c r="Q405" s="45">
        <v>0</v>
      </c>
      <c r="R405" s="34" t="inlineStr">
        <is>
          <t xml:space="preserve">FBC 8/Handicaps (FBC 8) (Final).xlsx [FBC8]</t>
        </is>
      </c>
    </row>
    <row r="406" spans="1:18">
      <c r="A406" s="40">
        <v>8</v>
      </c>
      <c r="B406" s="31" t="inlineStr">
        <is>
          <t xml:space="preserve">FBC8-S-Cole-Connors</t>
        </is>
      </c>
      <c r="C406" s="31" t="inlineStr">
        <is>
          <t xml:space="preserve">Match Play</t>
        </is>
      </c>
      <c r="D406" s="31" t="inlineStr">
        <is>
          <t xml:space="preserve">Singles</t>
        </is>
      </c>
      <c r="E406" s="40">
        <v>18</v>
      </c>
      <c r="F406" s="42">
        <v>2</v>
      </c>
      <c r="G406" s="31" t="inlineStr">
        <is>
          <t xml:space="preserve">Flanders</t>
        </is>
      </c>
      <c r="H406" s="31" t="inlineStr">
        <is>
          <t xml:space="preserve">Cole</t>
        </is>
      </c>
      <c r="I406" s="31"/>
      <c r="J406" s="31" t="inlineStr">
        <is>
          <t xml:space="preserve">Connors</t>
        </is>
      </c>
      <c r="K406" s="31"/>
      <c r="L406" s="42">
        <v>-1.84</v>
      </c>
      <c r="M406" s="42">
        <v>-1.84</v>
      </c>
      <c r="N406" s="31" t="inlineStr">
        <is>
          <t xml:space="preserve">Giving</t>
        </is>
      </c>
      <c r="O406" s="42">
        <v>2</v>
      </c>
      <c r="P406" s="42">
        <v>1.125</v>
      </c>
      <c r="Q406" s="42">
        <v>0.875</v>
      </c>
      <c r="R406" s="31" t="inlineStr">
        <is>
          <t xml:space="preserve">Index x slope (Handicaps tab)</t>
        </is>
      </c>
    </row>
    <row r="407" spans="1:18">
      <c r="A407" s="43">
        <v>8</v>
      </c>
      <c r="B407" s="34" t="inlineStr">
        <is>
          <t xml:space="preserve">FBC8-S-Cole-Connors</t>
        </is>
      </c>
      <c r="C407" s="34" t="inlineStr">
        <is>
          <t xml:space="preserve">Match Play</t>
        </is>
      </c>
      <c r="D407" s="34" t="inlineStr">
        <is>
          <t xml:space="preserve">Singles</t>
        </is>
      </c>
      <c r="E407" s="43">
        <v>18</v>
      </c>
      <c r="F407" s="45">
        <v>2</v>
      </c>
      <c r="G407" s="34" t="inlineStr">
        <is>
          <t xml:space="preserve">Welker</t>
        </is>
      </c>
      <c r="H407" s="34" t="inlineStr">
        <is>
          <t xml:space="preserve">Connors</t>
        </is>
      </c>
      <c r="I407" s="34"/>
      <c r="J407" s="34" t="inlineStr">
        <is>
          <t xml:space="preserve">Cole</t>
        </is>
      </c>
      <c r="K407" s="34"/>
      <c r="L407" s="45">
        <v>1.84</v>
      </c>
      <c r="M407" s="45">
        <v>1.84</v>
      </c>
      <c r="N407" s="34" t="inlineStr">
        <is>
          <t xml:space="preserve">Getting</t>
        </is>
      </c>
      <c r="O407" s="45">
        <v>0</v>
      </c>
      <c r="P407" s="45">
        <v>0.875</v>
      </c>
      <c r="Q407" s="45">
        <v>-0.875</v>
      </c>
      <c r="R407" s="34" t="inlineStr">
        <is>
          <t xml:space="preserve">Index x slope (Handicaps tab)</t>
        </is>
      </c>
    </row>
    <row r="408" spans="1:18">
      <c r="A408" s="40">
        <v>8</v>
      </c>
      <c r="B408" s="31" t="inlineStr">
        <is>
          <t xml:space="preserve">FBC8-S-Connolly-McInerney</t>
        </is>
      </c>
      <c r="C408" s="31" t="inlineStr">
        <is>
          <t xml:space="preserve">Match Play</t>
        </is>
      </c>
      <c r="D408" s="31" t="inlineStr">
        <is>
          <t xml:space="preserve">Singles</t>
        </is>
      </c>
      <c r="E408" s="40">
        <v>18</v>
      </c>
      <c r="F408" s="42">
        <v>2</v>
      </c>
      <c r="G408" s="31" t="inlineStr">
        <is>
          <t xml:space="preserve">Flanders</t>
        </is>
      </c>
      <c r="H408" s="31" t="inlineStr">
        <is>
          <t xml:space="preserve">McInerney</t>
        </is>
      </c>
      <c r="I408" s="31"/>
      <c r="J408" s="31" t="inlineStr">
        <is>
          <t xml:space="preserve">Connolly</t>
        </is>
      </c>
      <c r="K408" s="31"/>
      <c r="L408" s="42">
        <v>-7.59</v>
      </c>
      <c r="M408" s="42">
        <v>-7.59</v>
      </c>
      <c r="N408" s="31" t="inlineStr">
        <is>
          <t xml:space="preserve">Giving</t>
        </is>
      </c>
      <c r="O408" s="42">
        <v>0</v>
      </c>
      <c r="P408" s="42">
        <v>1.013</v>
      </c>
      <c r="Q408" s="42">
        <v>-1.013</v>
      </c>
      <c r="R408" s="31" t="inlineStr">
        <is>
          <t xml:space="preserve">Index x slope (Handicaps tab)</t>
        </is>
      </c>
    </row>
    <row r="409" spans="1:18">
      <c r="A409" s="43">
        <v>8</v>
      </c>
      <c r="B409" s="34" t="inlineStr">
        <is>
          <t xml:space="preserve">FBC8-S-Connolly-McInerney</t>
        </is>
      </c>
      <c r="C409" s="34" t="inlineStr">
        <is>
          <t xml:space="preserve">Match Play</t>
        </is>
      </c>
      <c r="D409" s="34" t="inlineStr">
        <is>
          <t xml:space="preserve">Singles</t>
        </is>
      </c>
      <c r="E409" s="43">
        <v>18</v>
      </c>
      <c r="F409" s="45">
        <v>2</v>
      </c>
      <c r="G409" s="34" t="inlineStr">
        <is>
          <t xml:space="preserve">Welker</t>
        </is>
      </c>
      <c r="H409" s="34" t="inlineStr">
        <is>
          <t xml:space="preserve">Connolly</t>
        </is>
      </c>
      <c r="I409" s="34"/>
      <c r="J409" s="34" t="inlineStr">
        <is>
          <t xml:space="preserve">McInerney</t>
        </is>
      </c>
      <c r="K409" s="34"/>
      <c r="L409" s="45">
        <v>7.59</v>
      </c>
      <c r="M409" s="45">
        <v>7.59</v>
      </c>
      <c r="N409" s="34" t="inlineStr">
        <is>
          <t xml:space="preserve">Getting</t>
        </is>
      </c>
      <c r="O409" s="45">
        <v>2</v>
      </c>
      <c r="P409" s="45">
        <v>0.987</v>
      </c>
      <c r="Q409" s="45">
        <v>1.013</v>
      </c>
      <c r="R409" s="34" t="inlineStr">
        <is>
          <t xml:space="preserve">Index x slope (Handicaps tab)</t>
        </is>
      </c>
    </row>
    <row r="410" spans="1:18">
      <c r="A410" s="40">
        <v>8</v>
      </c>
      <c r="B410" s="31" t="inlineStr">
        <is>
          <t xml:space="preserve">FBC8-S-Delaney-Fogan</t>
        </is>
      </c>
      <c r="C410" s="31" t="inlineStr">
        <is>
          <t xml:space="preserve">Match Play</t>
        </is>
      </c>
      <c r="D410" s="31" t="inlineStr">
        <is>
          <t xml:space="preserve">Singles</t>
        </is>
      </c>
      <c r="E410" s="40">
        <v>18</v>
      </c>
      <c r="F410" s="42">
        <v>2</v>
      </c>
      <c r="G410" s="31" t="inlineStr">
        <is>
          <t xml:space="preserve">Flanders</t>
        </is>
      </c>
      <c r="H410" s="31" t="inlineStr">
        <is>
          <t xml:space="preserve">Fogan</t>
        </is>
      </c>
      <c r="I410" s="31"/>
      <c r="J410" s="31" t="inlineStr">
        <is>
          <t xml:space="preserve">Delaney</t>
        </is>
      </c>
      <c r="K410" s="31"/>
      <c r="L410" s="42">
        <v>8.28</v>
      </c>
      <c r="M410" s="42">
        <v>8.28</v>
      </c>
      <c r="N410" s="31" t="inlineStr">
        <is>
          <t xml:space="preserve">Getting</t>
        </is>
      </c>
      <c r="O410" s="42">
        <v>2</v>
      </c>
      <c r="P410" s="42">
        <v>1</v>
      </c>
      <c r="Q410" s="42">
        <v>1</v>
      </c>
      <c r="R410" s="31" t="inlineStr">
        <is>
          <t xml:space="preserve">Index x slope (Handicaps tab)</t>
        </is>
      </c>
    </row>
    <row r="411" spans="1:18">
      <c r="A411" s="43">
        <v>8</v>
      </c>
      <c r="B411" s="34" t="inlineStr">
        <is>
          <t xml:space="preserve">FBC8-S-Delaney-Fogan</t>
        </is>
      </c>
      <c r="C411" s="34" t="inlineStr">
        <is>
          <t xml:space="preserve">Match Play</t>
        </is>
      </c>
      <c r="D411" s="34" t="inlineStr">
        <is>
          <t xml:space="preserve">Singles</t>
        </is>
      </c>
      <c r="E411" s="43">
        <v>18</v>
      </c>
      <c r="F411" s="45">
        <v>2</v>
      </c>
      <c r="G411" s="34" t="inlineStr">
        <is>
          <t xml:space="preserve">Welker</t>
        </is>
      </c>
      <c r="H411" s="34" t="inlineStr">
        <is>
          <t xml:space="preserve">Delaney</t>
        </is>
      </c>
      <c r="I411" s="34"/>
      <c r="J411" s="34" t="inlineStr">
        <is>
          <t xml:space="preserve">Fogan</t>
        </is>
      </c>
      <c r="K411" s="34"/>
      <c r="L411" s="45">
        <v>-8.28</v>
      </c>
      <c r="M411" s="45">
        <v>-8.28</v>
      </c>
      <c r="N411" s="34" t="inlineStr">
        <is>
          <t xml:space="preserve">Giving</t>
        </is>
      </c>
      <c r="O411" s="45">
        <v>0</v>
      </c>
      <c r="P411" s="45">
        <v>1</v>
      </c>
      <c r="Q411" s="45">
        <v>-1</v>
      </c>
      <c r="R411" s="34" t="inlineStr">
        <is>
          <t xml:space="preserve">Index x slope (Handicaps tab)</t>
        </is>
      </c>
    </row>
    <row r="412" spans="1:18">
      <c r="A412" s="40">
        <v>8</v>
      </c>
      <c r="B412" s="31" t="inlineStr">
        <is>
          <t xml:space="preserve">FBC8-S-Delneky-McInerney-1</t>
        </is>
      </c>
      <c r="C412" s="31" t="inlineStr">
        <is>
          <t xml:space="preserve">Singles</t>
        </is>
      </c>
      <c r="D412" s="31" t="inlineStr">
        <is>
          <t xml:space="preserve">Singles</t>
        </is>
      </c>
      <c r="E412" s="40">
        <v>9</v>
      </c>
      <c r="F412" s="42">
        <v>1</v>
      </c>
      <c r="G412" s="31" t="inlineStr">
        <is>
          <t xml:space="preserve">Flanders</t>
        </is>
      </c>
      <c r="H412" s="31" t="inlineStr">
        <is>
          <t xml:space="preserve">McInerney</t>
        </is>
      </c>
      <c r="I412" s="31"/>
      <c r="J412" s="31" t="inlineStr">
        <is>
          <t xml:space="preserve">Delneky</t>
        </is>
      </c>
      <c r="K412" s="31"/>
      <c r="L412" s="42">
        <v>-14.96</v>
      </c>
      <c r="M412" s="42">
        <v>-7.48</v>
      </c>
      <c r="N412" s="31" t="inlineStr">
        <is>
          <t xml:space="preserve">Giving</t>
        </is>
      </c>
      <c r="O412" s="42">
        <v>0.5</v>
      </c>
      <c r="P412" s="42">
        <v>0.508</v>
      </c>
      <c r="Q412" s="42">
        <v>-0.008</v>
      </c>
      <c r="R412" s="31" t="inlineStr">
        <is>
          <t xml:space="preserve">Index x slope (Handicaps tab)</t>
        </is>
      </c>
    </row>
    <row r="413" spans="1:18">
      <c r="A413" s="43">
        <v>8</v>
      </c>
      <c r="B413" s="34" t="inlineStr">
        <is>
          <t xml:space="preserve">FBC8-S-Delneky-McInerney-1</t>
        </is>
      </c>
      <c r="C413" s="34" t="inlineStr">
        <is>
          <t xml:space="preserve">Singles</t>
        </is>
      </c>
      <c r="D413" s="34" t="inlineStr">
        <is>
          <t xml:space="preserve">Singles</t>
        </is>
      </c>
      <c r="E413" s="43">
        <v>9</v>
      </c>
      <c r="F413" s="45">
        <v>1</v>
      </c>
      <c r="G413" s="34" t="inlineStr">
        <is>
          <t xml:space="preserve">Welker</t>
        </is>
      </c>
      <c r="H413" s="34" t="inlineStr">
        <is>
          <t xml:space="preserve">Delneky</t>
        </is>
      </c>
      <c r="I413" s="34"/>
      <c r="J413" s="34" t="inlineStr">
        <is>
          <t xml:space="preserve">McInerney</t>
        </is>
      </c>
      <c r="K413" s="34"/>
      <c r="L413" s="45">
        <v>14.96</v>
      </c>
      <c r="M413" s="45">
        <v>7.48</v>
      </c>
      <c r="N413" s="34" t="inlineStr">
        <is>
          <t xml:space="preserve">Getting</t>
        </is>
      </c>
      <c r="O413" s="45">
        <v>0.5</v>
      </c>
      <c r="P413" s="45">
        <v>0.492</v>
      </c>
      <c r="Q413" s="45">
        <v>0.008</v>
      </c>
      <c r="R413" s="34" t="inlineStr">
        <is>
          <t xml:space="preserve">Index x slope (Handicaps tab)</t>
        </is>
      </c>
    </row>
    <row r="414" spans="1:18">
      <c r="A414" s="40">
        <v>8</v>
      </c>
      <c r="B414" s="31" t="inlineStr">
        <is>
          <t xml:space="preserve">FBC8-S-Delneky-McInerney-2</t>
        </is>
      </c>
      <c r="C414" s="31" t="inlineStr">
        <is>
          <t xml:space="preserve">Singles</t>
        </is>
      </c>
      <c r="D414" s="31" t="inlineStr">
        <is>
          <t xml:space="preserve">Singles</t>
        </is>
      </c>
      <c r="E414" s="40">
        <v>9</v>
      </c>
      <c r="F414" s="42">
        <v>1</v>
      </c>
      <c r="G414" s="31" t="inlineStr">
        <is>
          <t xml:space="preserve">Flanders</t>
        </is>
      </c>
      <c r="H414" s="31" t="inlineStr">
        <is>
          <t xml:space="preserve">McInerney</t>
        </is>
      </c>
      <c r="I414" s="31"/>
      <c r="J414" s="31" t="inlineStr">
        <is>
          <t xml:space="preserve">Delneky</t>
        </is>
      </c>
      <c r="K414" s="31"/>
      <c r="L414" s="42">
        <v>-14.96</v>
      </c>
      <c r="M414" s="42">
        <v>-7.48</v>
      </c>
      <c r="N414" s="31" t="inlineStr">
        <is>
          <t xml:space="preserve">Giving</t>
        </is>
      </c>
      <c r="O414" s="42">
        <v>1</v>
      </c>
      <c r="P414" s="42">
        <v>0.508</v>
      </c>
      <c r="Q414" s="42">
        <v>0.492</v>
      </c>
      <c r="R414" s="31" t="inlineStr">
        <is>
          <t xml:space="preserve">Index x slope (Handicaps tab)</t>
        </is>
      </c>
    </row>
    <row r="415" spans="1:18">
      <c r="A415" s="43">
        <v>8</v>
      </c>
      <c r="B415" s="34" t="inlineStr">
        <is>
          <t xml:space="preserve">FBC8-S-Delneky-McInerney-2</t>
        </is>
      </c>
      <c r="C415" s="34" t="inlineStr">
        <is>
          <t xml:space="preserve">Singles</t>
        </is>
      </c>
      <c r="D415" s="34" t="inlineStr">
        <is>
          <t xml:space="preserve">Singles</t>
        </is>
      </c>
      <c r="E415" s="43">
        <v>9</v>
      </c>
      <c r="F415" s="45">
        <v>1</v>
      </c>
      <c r="G415" s="34" t="inlineStr">
        <is>
          <t xml:space="preserve">Welker</t>
        </is>
      </c>
      <c r="H415" s="34" t="inlineStr">
        <is>
          <t xml:space="preserve">Delneky</t>
        </is>
      </c>
      <c r="I415" s="34"/>
      <c r="J415" s="34" t="inlineStr">
        <is>
          <t xml:space="preserve">McInerney</t>
        </is>
      </c>
      <c r="K415" s="34"/>
      <c r="L415" s="45">
        <v>14.96</v>
      </c>
      <c r="M415" s="45">
        <v>7.48</v>
      </c>
      <c r="N415" s="34" t="inlineStr">
        <is>
          <t xml:space="preserve">Getting</t>
        </is>
      </c>
      <c r="O415" s="45">
        <v>0</v>
      </c>
      <c r="P415" s="45">
        <v>0.492</v>
      </c>
      <c r="Q415" s="45">
        <v>-0.492</v>
      </c>
      <c r="R415" s="34" t="inlineStr">
        <is>
          <t xml:space="preserve">Index x slope (Handicaps tab)</t>
        </is>
      </c>
    </row>
    <row r="416" spans="1:18">
      <c r="A416" s="40">
        <v>8</v>
      </c>
      <c r="B416" s="31" t="inlineStr">
        <is>
          <t xml:space="preserve">FBC8-S-Ferrin-Lynch</t>
        </is>
      </c>
      <c r="C416" s="31" t="inlineStr">
        <is>
          <t xml:space="preserve">Match Play</t>
        </is>
      </c>
      <c r="D416" s="31" t="inlineStr">
        <is>
          <t xml:space="preserve">Singles</t>
        </is>
      </c>
      <c r="E416" s="40">
        <v>18</v>
      </c>
      <c r="F416" s="42">
        <v>2</v>
      </c>
      <c r="G416" s="31" t="inlineStr">
        <is>
          <t xml:space="preserve">Flanders</t>
        </is>
      </c>
      <c r="H416" s="31" t="inlineStr">
        <is>
          <t xml:space="preserve">Lynch</t>
        </is>
      </c>
      <c r="I416" s="31"/>
      <c r="J416" s="31" t="inlineStr">
        <is>
          <t xml:space="preserve">Ferrin</t>
        </is>
      </c>
      <c r="K416" s="31"/>
      <c r="L416" s="42">
        <v>-4.03</v>
      </c>
      <c r="M416" s="42">
        <v>-4.03</v>
      </c>
      <c r="N416" s="31" t="inlineStr">
        <is>
          <t xml:space="preserve">Giving</t>
        </is>
      </c>
      <c r="O416" s="42">
        <v>2</v>
      </c>
      <c r="P416" s="42">
        <v>1.083</v>
      </c>
      <c r="Q416" s="42">
        <v>0.917</v>
      </c>
      <c r="R416" s="31" t="inlineStr">
        <is>
          <t xml:space="preserve">Index x slope (Handicaps tab)</t>
        </is>
      </c>
    </row>
    <row r="417" spans="1:18">
      <c r="A417" s="43">
        <v>8</v>
      </c>
      <c r="B417" s="34" t="inlineStr">
        <is>
          <t xml:space="preserve">FBC8-S-Ferrin-Lynch</t>
        </is>
      </c>
      <c r="C417" s="34" t="inlineStr">
        <is>
          <t xml:space="preserve">Match Play</t>
        </is>
      </c>
      <c r="D417" s="34" t="inlineStr">
        <is>
          <t xml:space="preserve">Singles</t>
        </is>
      </c>
      <c r="E417" s="43">
        <v>18</v>
      </c>
      <c r="F417" s="45">
        <v>2</v>
      </c>
      <c r="G417" s="34" t="inlineStr">
        <is>
          <t xml:space="preserve">Welker</t>
        </is>
      </c>
      <c r="H417" s="34" t="inlineStr">
        <is>
          <t xml:space="preserve">Ferrin</t>
        </is>
      </c>
      <c r="I417" s="34"/>
      <c r="J417" s="34" t="inlineStr">
        <is>
          <t xml:space="preserve">Lynch</t>
        </is>
      </c>
      <c r="K417" s="34"/>
      <c r="L417" s="45">
        <v>4.03</v>
      </c>
      <c r="M417" s="45">
        <v>4.03</v>
      </c>
      <c r="N417" s="34" t="inlineStr">
        <is>
          <t xml:space="preserve">Getting</t>
        </is>
      </c>
      <c r="O417" s="45">
        <v>0</v>
      </c>
      <c r="P417" s="45">
        <v>0.917</v>
      </c>
      <c r="Q417" s="45">
        <v>-0.917</v>
      </c>
      <c r="R417" s="34" t="inlineStr">
        <is>
          <t xml:space="preserve">Index x slope (Handicaps tab)</t>
        </is>
      </c>
    </row>
    <row r="418" spans="1:18">
      <c r="A418" s="40">
        <v>8</v>
      </c>
      <c r="B418" s="31" t="inlineStr">
        <is>
          <t xml:space="preserve">FBC8-S-Flanders-Welker</t>
        </is>
      </c>
      <c r="C418" s="31" t="inlineStr">
        <is>
          <t xml:space="preserve">Match Play</t>
        </is>
      </c>
      <c r="D418" s="31" t="inlineStr">
        <is>
          <t xml:space="preserve">Singles</t>
        </is>
      </c>
      <c r="E418" s="40">
        <v>18</v>
      </c>
      <c r="F418" s="42">
        <v>2</v>
      </c>
      <c r="G418" s="31" t="inlineStr">
        <is>
          <t xml:space="preserve">Flanders</t>
        </is>
      </c>
      <c r="H418" s="31" t="inlineStr">
        <is>
          <t xml:space="preserve">Flanders</t>
        </is>
      </c>
      <c r="I418" s="31"/>
      <c r="J418" s="31" t="inlineStr">
        <is>
          <t xml:space="preserve">Welker</t>
        </is>
      </c>
      <c r="K418" s="31"/>
      <c r="L418" s="42">
        <v>-6.56</v>
      </c>
      <c r="M418" s="42">
        <v>-6.56</v>
      </c>
      <c r="N418" s="31" t="inlineStr">
        <is>
          <t xml:space="preserve">Giving</t>
        </is>
      </c>
      <c r="O418" s="42">
        <v>2</v>
      </c>
      <c r="P418" s="42">
        <v>1.033</v>
      </c>
      <c r="Q418" s="42">
        <v>0.967</v>
      </c>
      <c r="R418" s="31" t="inlineStr">
        <is>
          <t xml:space="preserve">Index x slope (Handicaps tab)</t>
        </is>
      </c>
    </row>
    <row r="419" spans="1:18">
      <c r="A419" s="43">
        <v>8</v>
      </c>
      <c r="B419" s="34" t="inlineStr">
        <is>
          <t xml:space="preserve">FBC8-S-Flanders-Welker</t>
        </is>
      </c>
      <c r="C419" s="34" t="inlineStr">
        <is>
          <t xml:space="preserve">Match Play</t>
        </is>
      </c>
      <c r="D419" s="34" t="inlineStr">
        <is>
          <t xml:space="preserve">Singles</t>
        </is>
      </c>
      <c r="E419" s="43">
        <v>18</v>
      </c>
      <c r="F419" s="45">
        <v>2</v>
      </c>
      <c r="G419" s="34" t="inlineStr">
        <is>
          <t xml:space="preserve">Welker</t>
        </is>
      </c>
      <c r="H419" s="34" t="inlineStr">
        <is>
          <t xml:space="preserve">Welker</t>
        </is>
      </c>
      <c r="I419" s="34"/>
      <c r="J419" s="34" t="inlineStr">
        <is>
          <t xml:space="preserve">Flanders</t>
        </is>
      </c>
      <c r="K419" s="34"/>
      <c r="L419" s="45">
        <v>6.56</v>
      </c>
      <c r="M419" s="45">
        <v>6.56</v>
      </c>
      <c r="N419" s="34" t="inlineStr">
        <is>
          <t xml:space="preserve">Getting</t>
        </is>
      </c>
      <c r="O419" s="45">
        <v>0</v>
      </c>
      <c r="P419" s="45">
        <v>0.967</v>
      </c>
      <c r="Q419" s="45">
        <v>-0.967</v>
      </c>
      <c r="R419" s="34" t="inlineStr">
        <is>
          <t xml:space="preserve">Index x slope (Handicaps tab)</t>
        </is>
      </c>
    </row>
    <row r="420" spans="1:18">
      <c r="A420" s="40">
        <v>8</v>
      </c>
      <c r="B420" s="31" t="inlineStr">
        <is>
          <t xml:space="preserve">FBC8-S-Forster-Zimmer-1</t>
        </is>
      </c>
      <c r="C420" s="31" t="inlineStr">
        <is>
          <t xml:space="preserve">Singles</t>
        </is>
      </c>
      <c r="D420" s="31" t="inlineStr">
        <is>
          <t xml:space="preserve">Singles</t>
        </is>
      </c>
      <c r="E420" s="40">
        <v>9</v>
      </c>
      <c r="F420" s="42">
        <v>1</v>
      </c>
      <c r="G420" s="31" t="inlineStr">
        <is>
          <t xml:space="preserve">Flanders</t>
        </is>
      </c>
      <c r="H420" s="31" t="inlineStr">
        <is>
          <t xml:space="preserve">Forster</t>
        </is>
      </c>
      <c r="I420" s="31"/>
      <c r="J420" s="31" t="inlineStr">
        <is>
          <t xml:space="preserve">Zimmer</t>
        </is>
      </c>
      <c r="K420" s="31"/>
      <c r="L420" s="42">
        <v>5.38</v>
      </c>
      <c r="M420" s="42">
        <v>2.69</v>
      </c>
      <c r="N420" s="31" t="inlineStr">
        <is>
          <t xml:space="preserve">Getting</t>
        </is>
      </c>
      <c r="O420" s="42">
        <v>0.5</v>
      </c>
      <c r="P420" s="42">
        <v>0.446</v>
      </c>
      <c r="Q420" s="42">
        <v>0.054</v>
      </c>
      <c r="R420" s="31" t="inlineStr">
        <is>
          <t xml:space="preserve">Index x slope (Handicaps tab)</t>
        </is>
      </c>
    </row>
    <row r="421" spans="1:18">
      <c r="A421" s="43">
        <v>8</v>
      </c>
      <c r="B421" s="34" t="inlineStr">
        <is>
          <t xml:space="preserve">FBC8-S-Forster-Zimmer-1</t>
        </is>
      </c>
      <c r="C421" s="34" t="inlineStr">
        <is>
          <t xml:space="preserve">Singles</t>
        </is>
      </c>
      <c r="D421" s="34" t="inlineStr">
        <is>
          <t xml:space="preserve">Singles</t>
        </is>
      </c>
      <c r="E421" s="43">
        <v>9</v>
      </c>
      <c r="F421" s="45">
        <v>1</v>
      </c>
      <c r="G421" s="34" t="inlineStr">
        <is>
          <t xml:space="preserve">Welker</t>
        </is>
      </c>
      <c r="H421" s="34" t="inlineStr">
        <is>
          <t xml:space="preserve">Zimmer</t>
        </is>
      </c>
      <c r="I421" s="34"/>
      <c r="J421" s="34" t="inlineStr">
        <is>
          <t xml:space="preserve">Forster</t>
        </is>
      </c>
      <c r="K421" s="34"/>
      <c r="L421" s="45">
        <v>-5.38</v>
      </c>
      <c r="M421" s="45">
        <v>-2.69</v>
      </c>
      <c r="N421" s="34" t="inlineStr">
        <is>
          <t xml:space="preserve">Giving</t>
        </is>
      </c>
      <c r="O421" s="45">
        <v>0.5</v>
      </c>
      <c r="P421" s="45">
        <v>0.554</v>
      </c>
      <c r="Q421" s="45">
        <v>-0.054</v>
      </c>
      <c r="R421" s="34" t="inlineStr">
        <is>
          <t xml:space="preserve">Index x slope (Handicaps tab)</t>
        </is>
      </c>
    </row>
    <row r="422" spans="1:18">
      <c r="A422" s="40">
        <v>8</v>
      </c>
      <c r="B422" s="31" t="inlineStr">
        <is>
          <t xml:space="preserve">FBC8-S-Forster-Zimmer-2</t>
        </is>
      </c>
      <c r="C422" s="31" t="inlineStr">
        <is>
          <t xml:space="preserve">Singles</t>
        </is>
      </c>
      <c r="D422" s="31" t="inlineStr">
        <is>
          <t xml:space="preserve">Singles</t>
        </is>
      </c>
      <c r="E422" s="40">
        <v>9</v>
      </c>
      <c r="F422" s="42">
        <v>1</v>
      </c>
      <c r="G422" s="31" t="inlineStr">
        <is>
          <t xml:space="preserve">Flanders</t>
        </is>
      </c>
      <c r="H422" s="31" t="inlineStr">
        <is>
          <t xml:space="preserve">Forster</t>
        </is>
      </c>
      <c r="I422" s="31"/>
      <c r="J422" s="31" t="inlineStr">
        <is>
          <t xml:space="preserve">Zimmer</t>
        </is>
      </c>
      <c r="K422" s="31"/>
      <c r="L422" s="42">
        <v>5.38</v>
      </c>
      <c r="M422" s="42">
        <v>2.69</v>
      </c>
      <c r="N422" s="31" t="inlineStr">
        <is>
          <t xml:space="preserve">Getting</t>
        </is>
      </c>
      <c r="O422" s="42">
        <v>0</v>
      </c>
      <c r="P422" s="42">
        <v>0.446</v>
      </c>
      <c r="Q422" s="42">
        <v>-0.446</v>
      </c>
      <c r="R422" s="31" t="inlineStr">
        <is>
          <t xml:space="preserve">Index x slope (Handicaps tab)</t>
        </is>
      </c>
    </row>
    <row r="423" spans="1:18">
      <c r="A423" s="43">
        <v>8</v>
      </c>
      <c r="B423" s="34" t="inlineStr">
        <is>
          <t xml:space="preserve">FBC8-S-Forster-Zimmer-2</t>
        </is>
      </c>
      <c r="C423" s="34" t="inlineStr">
        <is>
          <t xml:space="preserve">Singles</t>
        </is>
      </c>
      <c r="D423" s="34" t="inlineStr">
        <is>
          <t xml:space="preserve">Singles</t>
        </is>
      </c>
      <c r="E423" s="43">
        <v>9</v>
      </c>
      <c r="F423" s="45">
        <v>1</v>
      </c>
      <c r="G423" s="34" t="inlineStr">
        <is>
          <t xml:space="preserve">Welker</t>
        </is>
      </c>
      <c r="H423" s="34" t="inlineStr">
        <is>
          <t xml:space="preserve">Zimmer</t>
        </is>
      </c>
      <c r="I423" s="34"/>
      <c r="J423" s="34" t="inlineStr">
        <is>
          <t xml:space="preserve">Forster</t>
        </is>
      </c>
      <c r="K423" s="34"/>
      <c r="L423" s="45">
        <v>-5.38</v>
      </c>
      <c r="M423" s="45">
        <v>-2.69</v>
      </c>
      <c r="N423" s="34" t="inlineStr">
        <is>
          <t xml:space="preserve">Giving</t>
        </is>
      </c>
      <c r="O423" s="45">
        <v>1</v>
      </c>
      <c r="P423" s="45">
        <v>0.554</v>
      </c>
      <c r="Q423" s="45">
        <v>0.446</v>
      </c>
      <c r="R423" s="34" t="inlineStr">
        <is>
          <t xml:space="preserve">Index x slope (Handicaps tab)</t>
        </is>
      </c>
    </row>
    <row r="424" spans="1:18">
      <c r="A424" s="40">
        <v>8</v>
      </c>
      <c r="B424" s="31" t="inlineStr">
        <is>
          <t xml:space="preserve">FBC8-S-Grise-Shively</t>
        </is>
      </c>
      <c r="C424" s="31" t="inlineStr">
        <is>
          <t xml:space="preserve">Match Play</t>
        </is>
      </c>
      <c r="D424" s="31" t="inlineStr">
        <is>
          <t xml:space="preserve">Singles</t>
        </is>
      </c>
      <c r="E424" s="40">
        <v>18</v>
      </c>
      <c r="F424" s="42">
        <v>2</v>
      </c>
      <c r="G424" s="31" t="inlineStr">
        <is>
          <t xml:space="preserve">Flanders</t>
        </is>
      </c>
      <c r="H424" s="31" t="inlineStr">
        <is>
          <t xml:space="preserve">Shively</t>
        </is>
      </c>
      <c r="I424" s="31"/>
      <c r="J424" s="31" t="inlineStr">
        <is>
          <t xml:space="preserve">Grise</t>
        </is>
      </c>
      <c r="K424" s="31"/>
      <c r="L424" s="42">
        <v>2.99</v>
      </c>
      <c r="M424" s="42">
        <v>2.99</v>
      </c>
      <c r="N424" s="31" t="inlineStr">
        <is>
          <t xml:space="preserve">Getting</t>
        </is>
      </c>
      <c r="O424" s="42">
        <v>0</v>
      </c>
      <c r="P424" s="42">
        <v>0.897</v>
      </c>
      <c r="Q424" s="42">
        <v>-0.897</v>
      </c>
      <c r="R424" s="31" t="inlineStr">
        <is>
          <t xml:space="preserve">Index x slope (Handicaps tab)</t>
        </is>
      </c>
    </row>
    <row r="425" spans="1:18">
      <c r="A425" s="43">
        <v>8</v>
      </c>
      <c r="B425" s="34" t="inlineStr">
        <is>
          <t xml:space="preserve">FBC8-S-Grise-Shively</t>
        </is>
      </c>
      <c r="C425" s="34" t="inlineStr">
        <is>
          <t xml:space="preserve">Match Play</t>
        </is>
      </c>
      <c r="D425" s="34" t="inlineStr">
        <is>
          <t xml:space="preserve">Singles</t>
        </is>
      </c>
      <c r="E425" s="43">
        <v>18</v>
      </c>
      <c r="F425" s="45">
        <v>2</v>
      </c>
      <c r="G425" s="34" t="inlineStr">
        <is>
          <t xml:space="preserve">Welker</t>
        </is>
      </c>
      <c r="H425" s="34" t="inlineStr">
        <is>
          <t xml:space="preserve">Grise</t>
        </is>
      </c>
      <c r="I425" s="34"/>
      <c r="J425" s="34" t="inlineStr">
        <is>
          <t xml:space="preserve">Shively</t>
        </is>
      </c>
      <c r="K425" s="34"/>
      <c r="L425" s="45">
        <v>-2.99</v>
      </c>
      <c r="M425" s="45">
        <v>-2.99</v>
      </c>
      <c r="N425" s="34" t="inlineStr">
        <is>
          <t xml:space="preserve">Giving</t>
        </is>
      </c>
      <c r="O425" s="45">
        <v>2</v>
      </c>
      <c r="P425" s="45">
        <v>1.103</v>
      </c>
      <c r="Q425" s="45">
        <v>0.897</v>
      </c>
      <c r="R425" s="34" t="inlineStr">
        <is>
          <t xml:space="preserve">Index x slope (Handicaps tab)</t>
        </is>
      </c>
    </row>
    <row r="426" spans="1:18">
      <c r="A426" s="40">
        <v>8</v>
      </c>
      <c r="B426" s="31" t="inlineStr">
        <is>
          <t xml:space="preserve">FBC8-S-Hilts-Mangold</t>
        </is>
      </c>
      <c r="C426" s="31" t="inlineStr">
        <is>
          <t xml:space="preserve">Match Play</t>
        </is>
      </c>
      <c r="D426" s="31" t="inlineStr">
        <is>
          <t xml:space="preserve">Singles</t>
        </is>
      </c>
      <c r="E426" s="40">
        <v>18</v>
      </c>
      <c r="F426" s="42">
        <v>2</v>
      </c>
      <c r="G426" s="31" t="inlineStr">
        <is>
          <t xml:space="preserve">Welker</t>
        </is>
      </c>
      <c r="H426" s="31" t="inlineStr">
        <is>
          <t xml:space="preserve">Hilts</t>
        </is>
      </c>
      <c r="I426" s="31"/>
      <c r="J426" s="31" t="inlineStr">
        <is>
          <t xml:space="preserve">Mangold</t>
        </is>
      </c>
      <c r="K426" s="31"/>
      <c r="L426" s="42">
        <v>5.87</v>
      </c>
      <c r="M426" s="42">
        <v>5.87</v>
      </c>
      <c r="N426" s="31" t="inlineStr">
        <is>
          <t xml:space="preserve">Getting</t>
        </is>
      </c>
      <c r="O426" s="42">
        <v>2</v>
      </c>
      <c r="P426" s="42">
        <v>0.953</v>
      </c>
      <c r="Q426" s="42">
        <v>1.047</v>
      </c>
      <c r="R426" s="31" t="inlineStr">
        <is>
          <t xml:space="preserve">Index x slope (Handicaps tab)</t>
        </is>
      </c>
    </row>
    <row r="427" spans="1:18">
      <c r="A427" s="43">
        <v>8</v>
      </c>
      <c r="B427" s="34" t="inlineStr">
        <is>
          <t xml:space="preserve">FBC8-S-Hilts-Mangold</t>
        </is>
      </c>
      <c r="C427" s="34" t="inlineStr">
        <is>
          <t xml:space="preserve">Match Play</t>
        </is>
      </c>
      <c r="D427" s="34" t="inlineStr">
        <is>
          <t xml:space="preserve">Singles</t>
        </is>
      </c>
      <c r="E427" s="43">
        <v>18</v>
      </c>
      <c r="F427" s="45">
        <v>2</v>
      </c>
      <c r="G427" s="34" t="inlineStr">
        <is>
          <t xml:space="preserve">Flanders</t>
        </is>
      </c>
      <c r="H427" s="34" t="inlineStr">
        <is>
          <t xml:space="preserve">Mangold</t>
        </is>
      </c>
      <c r="I427" s="34"/>
      <c r="J427" s="34" t="inlineStr">
        <is>
          <t xml:space="preserve">Hilts</t>
        </is>
      </c>
      <c r="K427" s="34"/>
      <c r="L427" s="45">
        <v>-5.87</v>
      </c>
      <c r="M427" s="45">
        <v>-5.87</v>
      </c>
      <c r="N427" s="34" t="inlineStr">
        <is>
          <t xml:space="preserve">Giving</t>
        </is>
      </c>
      <c r="O427" s="45">
        <v>0</v>
      </c>
      <c r="P427" s="45">
        <v>1.047</v>
      </c>
      <c r="Q427" s="45">
        <v>-1.047</v>
      </c>
      <c r="R427" s="34" t="inlineStr">
        <is>
          <t xml:space="preserve">Index x slope (Handicaps tab)</t>
        </is>
      </c>
    </row>
    <row r="428" spans="1:18">
      <c r="A428" s="40">
        <v>8</v>
      </c>
      <c r="B428" s="31" t="inlineStr">
        <is>
          <t xml:space="preserve">FBC8-S-Jackson-Zimmer</t>
        </is>
      </c>
      <c r="C428" s="31" t="inlineStr">
        <is>
          <t xml:space="preserve">Match Play</t>
        </is>
      </c>
      <c r="D428" s="31" t="inlineStr">
        <is>
          <t xml:space="preserve">Singles</t>
        </is>
      </c>
      <c r="E428" s="40">
        <v>18</v>
      </c>
      <c r="F428" s="42">
        <v>2</v>
      </c>
      <c r="G428" s="31" t="inlineStr">
        <is>
          <t xml:space="preserve">Flanders</t>
        </is>
      </c>
      <c r="H428" s="31" t="inlineStr">
        <is>
          <t xml:space="preserve">Jackson</t>
        </is>
      </c>
      <c r="I428" s="31"/>
      <c r="J428" s="31" t="inlineStr">
        <is>
          <t xml:space="preserve">Zimmer</t>
        </is>
      </c>
      <c r="K428" s="31"/>
      <c r="L428" s="42">
        <v>-1.27</v>
      </c>
      <c r="M428" s="42">
        <v>-1.27</v>
      </c>
      <c r="N428" s="31" t="inlineStr">
        <is>
          <t xml:space="preserve">Giving</t>
        </is>
      </c>
      <c r="O428" s="42">
        <v>0</v>
      </c>
      <c r="P428" s="42">
        <v>1.136</v>
      </c>
      <c r="Q428" s="42">
        <v>-1.136</v>
      </c>
      <c r="R428" s="31" t="inlineStr">
        <is>
          <t xml:space="preserve">Index x slope (Handicaps tab)</t>
        </is>
      </c>
    </row>
    <row r="429" spans="1:18">
      <c r="A429" s="43">
        <v>8</v>
      </c>
      <c r="B429" s="34" t="inlineStr">
        <is>
          <t xml:space="preserve">FBC8-S-Jackson-Zimmer</t>
        </is>
      </c>
      <c r="C429" s="34" t="inlineStr">
        <is>
          <t xml:space="preserve">Match Play</t>
        </is>
      </c>
      <c r="D429" s="34" t="inlineStr">
        <is>
          <t xml:space="preserve">Singles</t>
        </is>
      </c>
      <c r="E429" s="43">
        <v>18</v>
      </c>
      <c r="F429" s="45">
        <v>2</v>
      </c>
      <c r="G429" s="34" t="inlineStr">
        <is>
          <t xml:space="preserve">Welker</t>
        </is>
      </c>
      <c r="H429" s="34" t="inlineStr">
        <is>
          <t xml:space="preserve">Zimmer</t>
        </is>
      </c>
      <c r="I429" s="34"/>
      <c r="J429" s="34" t="inlineStr">
        <is>
          <t xml:space="preserve">Jackson</t>
        </is>
      </c>
      <c r="K429" s="34"/>
      <c r="L429" s="45">
        <v>1.27</v>
      </c>
      <c r="M429" s="45">
        <v>1.27</v>
      </c>
      <c r="N429" s="34" t="inlineStr">
        <is>
          <t xml:space="preserve">Getting</t>
        </is>
      </c>
      <c r="O429" s="45">
        <v>2</v>
      </c>
      <c r="P429" s="45">
        <v>0.864</v>
      </c>
      <c r="Q429" s="45">
        <v>1.136</v>
      </c>
      <c r="R429" s="34" t="inlineStr">
        <is>
          <t xml:space="preserve">Index x slope (Handicaps tab)</t>
        </is>
      </c>
    </row>
    <row r="430" spans="1:18">
      <c r="A430" s="40">
        <v>8</v>
      </c>
      <c r="B430" s="31" t="inlineStr">
        <is>
          <t xml:space="preserve">FBC8-S-Perkins-Piegari</t>
        </is>
      </c>
      <c r="C430" s="31" t="inlineStr">
        <is>
          <t xml:space="preserve">Match Play</t>
        </is>
      </c>
      <c r="D430" s="31" t="inlineStr">
        <is>
          <t xml:space="preserve">Singles</t>
        </is>
      </c>
      <c r="E430" s="40">
        <v>18</v>
      </c>
      <c r="F430" s="42">
        <v>2</v>
      </c>
      <c r="G430" s="31" t="inlineStr">
        <is>
          <t xml:space="preserve">Flanders</t>
        </is>
      </c>
      <c r="H430" s="31" t="inlineStr">
        <is>
          <t xml:space="preserve">Piegari</t>
        </is>
      </c>
      <c r="I430" s="31"/>
      <c r="J430" s="31" t="inlineStr">
        <is>
          <t xml:space="preserve">Perkins</t>
        </is>
      </c>
      <c r="K430" s="31"/>
      <c r="L430" s="42">
        <v>5.06</v>
      </c>
      <c r="M430" s="42">
        <v>5.06</v>
      </c>
      <c r="N430" s="31" t="inlineStr">
        <is>
          <t xml:space="preserve">Getting</t>
        </is>
      </c>
      <c r="O430" s="42">
        <v>0</v>
      </c>
      <c r="P430" s="42">
        <v>0.937</v>
      </c>
      <c r="Q430" s="42">
        <v>-0.937</v>
      </c>
      <c r="R430" s="31" t="inlineStr">
        <is>
          <t xml:space="preserve">Index x slope (Handicaps tab)</t>
        </is>
      </c>
    </row>
    <row r="431" spans="1:18">
      <c r="A431" s="43">
        <v>8</v>
      </c>
      <c r="B431" s="34" t="inlineStr">
        <is>
          <t xml:space="preserve">FBC8-S-Perkins-Piegari</t>
        </is>
      </c>
      <c r="C431" s="34" t="inlineStr">
        <is>
          <t xml:space="preserve">Match Play</t>
        </is>
      </c>
      <c r="D431" s="34" t="inlineStr">
        <is>
          <t xml:space="preserve">Singles</t>
        </is>
      </c>
      <c r="E431" s="43">
        <v>18</v>
      </c>
      <c r="F431" s="45">
        <v>2</v>
      </c>
      <c r="G431" s="34" t="inlineStr">
        <is>
          <t xml:space="preserve">Welker</t>
        </is>
      </c>
      <c r="H431" s="34" t="inlineStr">
        <is>
          <t xml:space="preserve">Perkins</t>
        </is>
      </c>
      <c r="I431" s="34"/>
      <c r="J431" s="34" t="inlineStr">
        <is>
          <t xml:space="preserve">Piegari</t>
        </is>
      </c>
      <c r="K431" s="34"/>
      <c r="L431" s="45">
        <v>-5.06</v>
      </c>
      <c r="M431" s="45">
        <v>-5.06</v>
      </c>
      <c r="N431" s="34" t="inlineStr">
        <is>
          <t xml:space="preserve">Giving</t>
        </is>
      </c>
      <c r="O431" s="45">
        <v>2</v>
      </c>
      <c r="P431" s="45">
        <v>1.063</v>
      </c>
      <c r="Q431" s="45">
        <v>0.937</v>
      </c>
      <c r="R431" s="34" t="inlineStr">
        <is>
          <t xml:space="preserve">Index x slope (Handicaps tab)</t>
        </is>
      </c>
    </row>
    <row r="432" spans="1:18">
      <c r="A432" s="40">
        <v>9</v>
      </c>
      <c r="B432" s="31" t="inlineStr">
        <is>
          <t xml:space="preserve">FBC9-D1</t>
        </is>
      </c>
      <c r="C432" s="31" t="inlineStr">
        <is>
          <t xml:space="preserve">Best Ball</t>
        </is>
      </c>
      <c r="D432" s="31" t="inlineStr">
        <is>
          <t xml:space="preserve">Four-ball</t>
        </is>
      </c>
      <c r="E432" s="40">
        <v>9</v>
      </c>
      <c r="F432" s="42">
        <v>1</v>
      </c>
      <c r="G432" s="31" t="inlineStr">
        <is>
          <t xml:space="preserve">Gray</t>
        </is>
      </c>
      <c r="H432" s="31" t="inlineStr">
        <is>
          <t xml:space="preserve">Connolly</t>
        </is>
      </c>
      <c r="I432" s="31" t="inlineStr">
        <is>
          <t xml:space="preserve">Perkins</t>
        </is>
      </c>
      <c r="J432" s="31" t="inlineStr">
        <is>
          <t xml:space="preserve">Ferrin</t>
        </is>
      </c>
      <c r="K432" s="31" t="inlineStr">
        <is>
          <t xml:space="preserve">Jackson</t>
        </is>
      </c>
      <c r="L432" s="42">
        <v>-3</v>
      </c>
      <c r="M432" s="42">
        <v>-1.5</v>
      </c>
      <c r="N432" s="31" t="inlineStr">
        <is>
          <t xml:space="preserve">Giving</t>
        </is>
      </c>
      <c r="O432" s="42">
        <v>1</v>
      </c>
      <c r="P432" s="42">
        <v>0.571</v>
      </c>
      <c r="Q432" s="42">
        <v>0.429</v>
      </c>
      <c r="R432" s="31" t="inlineStr">
        <is>
          <t xml:space="preserve">FBC 9/Handicaps (FBC 9) (Final).xlsx</t>
        </is>
      </c>
    </row>
    <row r="433" spans="1:18">
      <c r="A433" s="43">
        <v>9</v>
      </c>
      <c r="B433" s="34" t="inlineStr">
        <is>
          <t xml:space="preserve">FBC9-D1</t>
        </is>
      </c>
      <c r="C433" s="34" t="inlineStr">
        <is>
          <t xml:space="preserve">Best Ball</t>
        </is>
      </c>
      <c r="D433" s="34" t="inlineStr">
        <is>
          <t xml:space="preserve">Four-ball</t>
        </is>
      </c>
      <c r="E433" s="43">
        <v>9</v>
      </c>
      <c r="F433" s="45">
        <v>1</v>
      </c>
      <c r="G433" s="34" t="inlineStr">
        <is>
          <t xml:space="preserve">Zimmer</t>
        </is>
      </c>
      <c r="H433" s="34" t="inlineStr">
        <is>
          <t xml:space="preserve">Ferrin</t>
        </is>
      </c>
      <c r="I433" s="34" t="inlineStr">
        <is>
          <t xml:space="preserve">Jackson</t>
        </is>
      </c>
      <c r="J433" s="34" t="inlineStr">
        <is>
          <t xml:space="preserve">Connolly</t>
        </is>
      </c>
      <c r="K433" s="34" t="inlineStr">
        <is>
          <t xml:space="preserve">Perkins</t>
        </is>
      </c>
      <c r="L433" s="45">
        <v>3</v>
      </c>
      <c r="M433" s="45">
        <v>1.5</v>
      </c>
      <c r="N433" s="34" t="inlineStr">
        <is>
          <t xml:space="preserve">Getting</t>
        </is>
      </c>
      <c r="O433" s="45">
        <v>0</v>
      </c>
      <c r="P433" s="45">
        <v>0.429</v>
      </c>
      <c r="Q433" s="45">
        <v>-0.429</v>
      </c>
      <c r="R433" s="34" t="inlineStr">
        <is>
          <t xml:space="preserve">FBC 9/Handicaps (FBC 9) (Final).xlsx</t>
        </is>
      </c>
    </row>
    <row r="434" spans="1:18">
      <c r="A434" s="40">
        <v>9</v>
      </c>
      <c r="B434" s="31" t="inlineStr">
        <is>
          <t xml:space="preserve">FBC9-D2</t>
        </is>
      </c>
      <c r="C434" s="31" t="inlineStr">
        <is>
          <t xml:space="preserve">Best Ball</t>
        </is>
      </c>
      <c r="D434" s="31" t="inlineStr">
        <is>
          <t xml:space="preserve">Four-ball</t>
        </is>
      </c>
      <c r="E434" s="40">
        <v>9</v>
      </c>
      <c r="F434" s="42">
        <v>1</v>
      </c>
      <c r="G434" s="31" t="inlineStr">
        <is>
          <t xml:space="preserve">Zimmer</t>
        </is>
      </c>
      <c r="H434" s="31" t="inlineStr">
        <is>
          <t xml:space="preserve">DeOteris</t>
        </is>
      </c>
      <c r="I434" s="31" t="inlineStr">
        <is>
          <t xml:space="preserve">Zimmer</t>
        </is>
      </c>
      <c r="J434" s="31" t="inlineStr">
        <is>
          <t xml:space="preserve">Delaney</t>
        </is>
      </c>
      <c r="K434" s="31" t="inlineStr">
        <is>
          <t xml:space="preserve">Shively</t>
        </is>
      </c>
      <c r="L434" s="42">
        <v>-1</v>
      </c>
      <c r="M434" s="42">
        <v>-0.5</v>
      </c>
      <c r="N434" s="31" t="inlineStr">
        <is>
          <t xml:space="preserve">Giving</t>
        </is>
      </c>
      <c r="O434" s="42">
        <v>0</v>
      </c>
      <c r="P434" s="42">
        <v>0.577</v>
      </c>
      <c r="Q434" s="42">
        <v>-0.577</v>
      </c>
      <c r="R434" s="31" t="inlineStr">
        <is>
          <t xml:space="preserve">FBC 9/Handicaps (FBC 9) (Final).xlsx</t>
        </is>
      </c>
    </row>
    <row r="435" spans="1:18">
      <c r="A435" s="43">
        <v>9</v>
      </c>
      <c r="B435" s="34" t="inlineStr">
        <is>
          <t xml:space="preserve">FBC9-D2</t>
        </is>
      </c>
      <c r="C435" s="34" t="inlineStr">
        <is>
          <t xml:space="preserve">Best Ball</t>
        </is>
      </c>
      <c r="D435" s="34" t="inlineStr">
        <is>
          <t xml:space="preserve">Four-ball</t>
        </is>
      </c>
      <c r="E435" s="43">
        <v>9</v>
      </c>
      <c r="F435" s="45">
        <v>1</v>
      </c>
      <c r="G435" s="34" t="inlineStr">
        <is>
          <t xml:space="preserve">Gray</t>
        </is>
      </c>
      <c r="H435" s="34" t="inlineStr">
        <is>
          <t xml:space="preserve">Delaney</t>
        </is>
      </c>
      <c r="I435" s="34" t="inlineStr">
        <is>
          <t xml:space="preserve">Shively</t>
        </is>
      </c>
      <c r="J435" s="34" t="inlineStr">
        <is>
          <t xml:space="preserve">DeOteris</t>
        </is>
      </c>
      <c r="K435" s="34" t="inlineStr">
        <is>
          <t xml:space="preserve">Zimmer</t>
        </is>
      </c>
      <c r="L435" s="45">
        <v>1</v>
      </c>
      <c r="M435" s="45">
        <v>0.5</v>
      </c>
      <c r="N435" s="34" t="inlineStr">
        <is>
          <t xml:space="preserve">Getting</t>
        </is>
      </c>
      <c r="O435" s="45">
        <v>1</v>
      </c>
      <c r="P435" s="45">
        <v>0.423</v>
      </c>
      <c r="Q435" s="45">
        <v>0.577</v>
      </c>
      <c r="R435" s="34" t="inlineStr">
        <is>
          <t xml:space="preserve">FBC 9/Handicaps (FBC 9) (Final).xlsx</t>
        </is>
      </c>
    </row>
    <row r="436" spans="1:18">
      <c r="A436" s="40">
        <v>9</v>
      </c>
      <c r="B436" s="31" t="inlineStr">
        <is>
          <t xml:space="preserve">FBC9-D3</t>
        </is>
      </c>
      <c r="C436" s="31" t="inlineStr">
        <is>
          <t xml:space="preserve">Best Ball</t>
        </is>
      </c>
      <c r="D436" s="31" t="inlineStr">
        <is>
          <t xml:space="preserve">Four-ball</t>
        </is>
      </c>
      <c r="E436" s="40">
        <v>9</v>
      </c>
      <c r="F436" s="42">
        <v>1</v>
      </c>
      <c r="G436" s="31" t="inlineStr">
        <is>
          <t xml:space="preserve">Gray</t>
        </is>
      </c>
      <c r="H436" s="31" t="inlineStr">
        <is>
          <t xml:space="preserve">Connors</t>
        </is>
      </c>
      <c r="I436" s="31" t="inlineStr">
        <is>
          <t xml:space="preserve">McInerney</t>
        </is>
      </c>
      <c r="J436" s="31" t="inlineStr">
        <is>
          <t xml:space="preserve">Delneky</t>
        </is>
      </c>
      <c r="K436" s="31" t="inlineStr">
        <is>
          <t xml:space="preserve">Forster</t>
        </is>
      </c>
      <c r="L436" s="42">
        <v>-3</v>
      </c>
      <c r="M436" s="42">
        <v>-1.5</v>
      </c>
      <c r="N436" s="31" t="inlineStr">
        <is>
          <t xml:space="preserve">Giving</t>
        </is>
      </c>
      <c r="O436" s="42">
        <v>0</v>
      </c>
      <c r="P436" s="42">
        <v>0.571</v>
      </c>
      <c r="Q436" s="42">
        <v>-0.571</v>
      </c>
      <c r="R436" s="31" t="inlineStr">
        <is>
          <t xml:space="preserve">FBC 9/Handicaps (FBC 9) (Final).xlsx</t>
        </is>
      </c>
    </row>
    <row r="437" spans="1:18">
      <c r="A437" s="43">
        <v>9</v>
      </c>
      <c r="B437" s="34" t="inlineStr">
        <is>
          <t xml:space="preserve">FBC9-D3</t>
        </is>
      </c>
      <c r="C437" s="34" t="inlineStr">
        <is>
          <t xml:space="preserve">Best Ball</t>
        </is>
      </c>
      <c r="D437" s="34" t="inlineStr">
        <is>
          <t xml:space="preserve">Four-ball</t>
        </is>
      </c>
      <c r="E437" s="43">
        <v>9</v>
      </c>
      <c r="F437" s="45">
        <v>1</v>
      </c>
      <c r="G437" s="34" t="inlineStr">
        <is>
          <t xml:space="preserve">Zimmer</t>
        </is>
      </c>
      <c r="H437" s="34" t="inlineStr">
        <is>
          <t xml:space="preserve">Delneky</t>
        </is>
      </c>
      <c r="I437" s="34" t="inlineStr">
        <is>
          <t xml:space="preserve">Forster</t>
        </is>
      </c>
      <c r="J437" s="34" t="inlineStr">
        <is>
          <t xml:space="preserve">Connors</t>
        </is>
      </c>
      <c r="K437" s="34" t="inlineStr">
        <is>
          <t xml:space="preserve">McInerney</t>
        </is>
      </c>
      <c r="L437" s="45">
        <v>3</v>
      </c>
      <c r="M437" s="45">
        <v>1.5</v>
      </c>
      <c r="N437" s="34" t="inlineStr">
        <is>
          <t xml:space="preserve">Getting</t>
        </is>
      </c>
      <c r="O437" s="45">
        <v>1</v>
      </c>
      <c r="P437" s="45">
        <v>0.429</v>
      </c>
      <c r="Q437" s="45">
        <v>0.571</v>
      </c>
      <c r="R437" s="34" t="inlineStr">
        <is>
          <t xml:space="preserve">FBC 9/Handicaps (FBC 9) (Final).xlsx</t>
        </is>
      </c>
    </row>
    <row r="438" spans="1:18">
      <c r="A438" s="40">
        <v>9</v>
      </c>
      <c r="B438" s="31" t="inlineStr">
        <is>
          <t xml:space="preserve">FBC9-D4</t>
        </is>
      </c>
      <c r="C438" s="31" t="inlineStr">
        <is>
          <t xml:space="preserve">Best Ball</t>
        </is>
      </c>
      <c r="D438" s="31" t="inlineStr">
        <is>
          <t xml:space="preserve">Four-ball</t>
        </is>
      </c>
      <c r="E438" s="40">
        <v>9</v>
      </c>
      <c r="F438" s="42">
        <v>1</v>
      </c>
      <c r="G438" s="31" t="inlineStr">
        <is>
          <t xml:space="preserve">Zimmer</t>
        </is>
      </c>
      <c r="H438" s="31" t="inlineStr">
        <is>
          <t xml:space="preserve">Fogan</t>
        </is>
      </c>
      <c r="I438" s="31" t="inlineStr">
        <is>
          <t xml:space="preserve">Welker</t>
        </is>
      </c>
      <c r="J438" s="31" t="inlineStr">
        <is>
          <t xml:space="preserve">Hilts</t>
        </is>
      </c>
      <c r="K438" s="31" t="inlineStr">
        <is>
          <t xml:space="preserve">Lynch</t>
        </is>
      </c>
      <c r="L438" s="42">
        <v>0</v>
      </c>
      <c r="M438" s="42">
        <v>0</v>
      </c>
      <c r="N438" s="31" t="inlineStr">
        <is>
          <t xml:space="preserve">Even</t>
        </is>
      </c>
      <c r="O438" s="42">
        <v>0</v>
      </c>
      <c r="P438" s="42">
        <v>0.5</v>
      </c>
      <c r="Q438" s="42">
        <v>-0.5</v>
      </c>
      <c r="R438" s="31" t="inlineStr">
        <is>
          <t xml:space="preserve">FBC 9/Handicaps (FBC 9) (Final).xlsx</t>
        </is>
      </c>
    </row>
    <row r="439" spans="1:18">
      <c r="A439" s="43">
        <v>9</v>
      </c>
      <c r="B439" s="34" t="inlineStr">
        <is>
          <t xml:space="preserve">FBC9-D4</t>
        </is>
      </c>
      <c r="C439" s="34" t="inlineStr">
        <is>
          <t xml:space="preserve">Best Ball</t>
        </is>
      </c>
      <c r="D439" s="34" t="inlineStr">
        <is>
          <t xml:space="preserve">Four-ball</t>
        </is>
      </c>
      <c r="E439" s="43">
        <v>9</v>
      </c>
      <c r="F439" s="45">
        <v>1</v>
      </c>
      <c r="G439" s="34" t="inlineStr">
        <is>
          <t xml:space="preserve">Gray</t>
        </is>
      </c>
      <c r="H439" s="34" t="inlineStr">
        <is>
          <t xml:space="preserve">Hilts</t>
        </is>
      </c>
      <c r="I439" s="34" t="inlineStr">
        <is>
          <t xml:space="preserve">Lynch</t>
        </is>
      </c>
      <c r="J439" s="34" t="inlineStr">
        <is>
          <t xml:space="preserve">Fogan</t>
        </is>
      </c>
      <c r="K439" s="34" t="inlineStr">
        <is>
          <t xml:space="preserve">Welker</t>
        </is>
      </c>
      <c r="L439" s="45">
        <v>0</v>
      </c>
      <c r="M439" s="45">
        <v>0</v>
      </c>
      <c r="N439" s="34" t="inlineStr">
        <is>
          <t xml:space="preserve">Even</t>
        </is>
      </c>
      <c r="O439" s="45">
        <v>1</v>
      </c>
      <c r="P439" s="45">
        <v>0.5</v>
      </c>
      <c r="Q439" s="45">
        <v>0.5</v>
      </c>
      <c r="R439" s="34" t="inlineStr">
        <is>
          <t xml:space="preserve">FBC 9/Handicaps (FBC 9) (Final).xlsx</t>
        </is>
      </c>
    </row>
    <row r="440" spans="1:18">
      <c r="A440" s="40">
        <v>9</v>
      </c>
      <c r="B440" s="31" t="inlineStr">
        <is>
          <t xml:space="preserve">FBC9-D5</t>
        </is>
      </c>
      <c r="C440" s="31" t="inlineStr">
        <is>
          <t xml:space="preserve">Best Ball</t>
        </is>
      </c>
      <c r="D440" s="31" t="inlineStr">
        <is>
          <t xml:space="preserve">Four-ball</t>
        </is>
      </c>
      <c r="E440" s="40">
        <v>9</v>
      </c>
      <c r="F440" s="42">
        <v>1</v>
      </c>
      <c r="G440" s="31" t="inlineStr">
        <is>
          <t xml:space="preserve">Gray</t>
        </is>
      </c>
      <c r="H440" s="31" t="inlineStr">
        <is>
          <t xml:space="preserve">Flanders</t>
        </is>
      </c>
      <c r="I440" s="31" t="inlineStr">
        <is>
          <t xml:space="preserve">Cole</t>
        </is>
      </c>
      <c r="J440" s="31" t="inlineStr">
        <is>
          <t xml:space="preserve">Grise</t>
        </is>
      </c>
      <c r="K440" s="31" t="inlineStr">
        <is>
          <t xml:space="preserve">Poirier</t>
        </is>
      </c>
      <c r="L440" s="42">
        <v>3.5</v>
      </c>
      <c r="M440" s="42">
        <v>1.75</v>
      </c>
      <c r="N440" s="31" t="inlineStr">
        <is>
          <t xml:space="preserve">Getting</t>
        </is>
      </c>
      <c r="O440" s="42">
        <v>0</v>
      </c>
      <c r="P440" s="42">
        <v>0.431</v>
      </c>
      <c r="Q440" s="42">
        <v>-0.431</v>
      </c>
      <c r="R440" s="31" t="inlineStr">
        <is>
          <t xml:space="preserve">FBC 9/Handicaps (FBC 9) (Final).xlsx</t>
        </is>
      </c>
    </row>
    <row r="441" spans="1:18">
      <c r="A441" s="43">
        <v>9</v>
      </c>
      <c r="B441" s="34" t="inlineStr">
        <is>
          <t xml:space="preserve">FBC9-D5</t>
        </is>
      </c>
      <c r="C441" s="34" t="inlineStr">
        <is>
          <t xml:space="preserve">Best Ball</t>
        </is>
      </c>
      <c r="D441" s="34" t="inlineStr">
        <is>
          <t xml:space="preserve">Four-ball</t>
        </is>
      </c>
      <c r="E441" s="43">
        <v>9</v>
      </c>
      <c r="F441" s="45">
        <v>1</v>
      </c>
      <c r="G441" s="34" t="inlineStr">
        <is>
          <t xml:space="preserve">Zimmer</t>
        </is>
      </c>
      <c r="H441" s="34" t="inlineStr">
        <is>
          <t xml:space="preserve">Grise</t>
        </is>
      </c>
      <c r="I441" s="34" t="inlineStr">
        <is>
          <t xml:space="preserve">Poirier</t>
        </is>
      </c>
      <c r="J441" s="34" t="inlineStr">
        <is>
          <t xml:space="preserve">Flanders</t>
        </is>
      </c>
      <c r="K441" s="34" t="inlineStr">
        <is>
          <t xml:space="preserve">Cole</t>
        </is>
      </c>
      <c r="L441" s="45">
        <v>-3.5</v>
      </c>
      <c r="M441" s="45">
        <v>-1.75</v>
      </c>
      <c r="N441" s="34" t="inlineStr">
        <is>
          <t xml:space="preserve">Giving</t>
        </is>
      </c>
      <c r="O441" s="45">
        <v>1</v>
      </c>
      <c r="P441" s="45">
        <v>0.569</v>
      </c>
      <c r="Q441" s="45">
        <v>0.431</v>
      </c>
      <c r="R441" s="34" t="inlineStr">
        <is>
          <t xml:space="preserve">FBC 9/Handicaps (FBC 9) (Final).xlsx</t>
        </is>
      </c>
    </row>
    <row r="442" spans="1:18">
      <c r="A442" s="40">
        <v>9</v>
      </c>
      <c r="B442" s="31" t="inlineStr">
        <is>
          <t xml:space="preserve">FBC9-D6</t>
        </is>
      </c>
      <c r="C442" s="31" t="inlineStr">
        <is>
          <t xml:space="preserve">Vegas</t>
        </is>
      </c>
      <c r="D442" s="31" t="inlineStr">
        <is>
          <t xml:space="preserve">Four-ball</t>
        </is>
      </c>
      <c r="E442" s="40">
        <v>9</v>
      </c>
      <c r="F442" s="42">
        <v>1</v>
      </c>
      <c r="G442" s="31" t="inlineStr">
        <is>
          <t xml:space="preserve">Gray</t>
        </is>
      </c>
      <c r="H442" s="31" t="inlineStr">
        <is>
          <t xml:space="preserve">Connolly</t>
        </is>
      </c>
      <c r="I442" s="31" t="inlineStr">
        <is>
          <t xml:space="preserve">Perkins</t>
        </is>
      </c>
      <c r="J442" s="31" t="inlineStr">
        <is>
          <t xml:space="preserve">Ferrin</t>
        </is>
      </c>
      <c r="K442" s="31" t="inlineStr">
        <is>
          <t xml:space="preserve">Jackson</t>
        </is>
      </c>
      <c r="L442" s="42">
        <v>-3</v>
      </c>
      <c r="M442" s="42">
        <v>-1.5</v>
      </c>
      <c r="N442" s="31" t="inlineStr">
        <is>
          <t xml:space="preserve">Giving</t>
        </is>
      </c>
      <c r="O442" s="42">
        <v>1</v>
      </c>
      <c r="P442" s="42">
        <v>0.571</v>
      </c>
      <c r="Q442" s="42">
        <v>0.429</v>
      </c>
      <c r="R442" s="31" t="inlineStr">
        <is>
          <t xml:space="preserve">FBC 9/Handicaps (FBC 9) (Final).xlsx</t>
        </is>
      </c>
    </row>
    <row r="443" spans="1:18">
      <c r="A443" s="43">
        <v>9</v>
      </c>
      <c r="B443" s="34" t="inlineStr">
        <is>
          <t xml:space="preserve">FBC9-D6</t>
        </is>
      </c>
      <c r="C443" s="34" t="inlineStr">
        <is>
          <t xml:space="preserve">Vegas</t>
        </is>
      </c>
      <c r="D443" s="34" t="inlineStr">
        <is>
          <t xml:space="preserve">Four-ball</t>
        </is>
      </c>
      <c r="E443" s="43">
        <v>9</v>
      </c>
      <c r="F443" s="45">
        <v>1</v>
      </c>
      <c r="G443" s="34" t="inlineStr">
        <is>
          <t xml:space="preserve">Zimmer</t>
        </is>
      </c>
      <c r="H443" s="34" t="inlineStr">
        <is>
          <t xml:space="preserve">Ferrin</t>
        </is>
      </c>
      <c r="I443" s="34" t="inlineStr">
        <is>
          <t xml:space="preserve">Jackson</t>
        </is>
      </c>
      <c r="J443" s="34" t="inlineStr">
        <is>
          <t xml:space="preserve">Connolly</t>
        </is>
      </c>
      <c r="K443" s="34" t="inlineStr">
        <is>
          <t xml:space="preserve">Perkins</t>
        </is>
      </c>
      <c r="L443" s="45">
        <v>3</v>
      </c>
      <c r="M443" s="45">
        <v>1.5</v>
      </c>
      <c r="N443" s="34" t="inlineStr">
        <is>
          <t xml:space="preserve">Getting</t>
        </is>
      </c>
      <c r="O443" s="45">
        <v>0</v>
      </c>
      <c r="P443" s="45">
        <v>0.429</v>
      </c>
      <c r="Q443" s="45">
        <v>-0.429</v>
      </c>
      <c r="R443" s="34" t="inlineStr">
        <is>
          <t xml:space="preserve">FBC 9/Handicaps (FBC 9) (Final).xlsx</t>
        </is>
      </c>
    </row>
    <row r="444" spans="1:18">
      <c r="A444" s="40">
        <v>9</v>
      </c>
      <c r="B444" s="31" t="inlineStr">
        <is>
          <t xml:space="preserve">FBC9-D7</t>
        </is>
      </c>
      <c r="C444" s="31" t="inlineStr">
        <is>
          <t xml:space="preserve">Vegas</t>
        </is>
      </c>
      <c r="D444" s="31" t="inlineStr">
        <is>
          <t xml:space="preserve">Four-ball</t>
        </is>
      </c>
      <c r="E444" s="40">
        <v>9</v>
      </c>
      <c r="F444" s="42">
        <v>1</v>
      </c>
      <c r="G444" s="31" t="inlineStr">
        <is>
          <t xml:space="preserve">Zimmer</t>
        </is>
      </c>
      <c r="H444" s="31" t="inlineStr">
        <is>
          <t xml:space="preserve">DeOteris</t>
        </is>
      </c>
      <c r="I444" s="31" t="inlineStr">
        <is>
          <t xml:space="preserve">Zimmer</t>
        </is>
      </c>
      <c r="J444" s="31" t="inlineStr">
        <is>
          <t xml:space="preserve">Delaney</t>
        </is>
      </c>
      <c r="K444" s="31" t="inlineStr">
        <is>
          <t xml:space="preserve">Shively</t>
        </is>
      </c>
      <c r="L444" s="42">
        <v>-1</v>
      </c>
      <c r="M444" s="42">
        <v>-0.5</v>
      </c>
      <c r="N444" s="31" t="inlineStr">
        <is>
          <t xml:space="preserve">Giving</t>
        </is>
      </c>
      <c r="O444" s="42">
        <v>1</v>
      </c>
      <c r="P444" s="42">
        <v>0.577</v>
      </c>
      <c r="Q444" s="42">
        <v>0.423</v>
      </c>
      <c r="R444" s="31" t="inlineStr">
        <is>
          <t xml:space="preserve">FBC 9/Handicaps (FBC 9) (Final).xlsx</t>
        </is>
      </c>
    </row>
    <row r="445" spans="1:18">
      <c r="A445" s="43">
        <v>9</v>
      </c>
      <c r="B445" s="34" t="inlineStr">
        <is>
          <t xml:space="preserve">FBC9-D7</t>
        </is>
      </c>
      <c r="C445" s="34" t="inlineStr">
        <is>
          <t xml:space="preserve">Vegas</t>
        </is>
      </c>
      <c r="D445" s="34" t="inlineStr">
        <is>
          <t xml:space="preserve">Four-ball</t>
        </is>
      </c>
      <c r="E445" s="43">
        <v>9</v>
      </c>
      <c r="F445" s="45">
        <v>1</v>
      </c>
      <c r="G445" s="34" t="inlineStr">
        <is>
          <t xml:space="preserve">Gray</t>
        </is>
      </c>
      <c r="H445" s="34" t="inlineStr">
        <is>
          <t xml:space="preserve">Delaney</t>
        </is>
      </c>
      <c r="I445" s="34" t="inlineStr">
        <is>
          <t xml:space="preserve">Shively</t>
        </is>
      </c>
      <c r="J445" s="34" t="inlineStr">
        <is>
          <t xml:space="preserve">DeOteris</t>
        </is>
      </c>
      <c r="K445" s="34" t="inlineStr">
        <is>
          <t xml:space="preserve">Zimmer</t>
        </is>
      </c>
      <c r="L445" s="45">
        <v>1</v>
      </c>
      <c r="M445" s="45">
        <v>0.5</v>
      </c>
      <c r="N445" s="34" t="inlineStr">
        <is>
          <t xml:space="preserve">Getting</t>
        </is>
      </c>
      <c r="O445" s="45">
        <v>0</v>
      </c>
      <c r="P445" s="45">
        <v>0.423</v>
      </c>
      <c r="Q445" s="45">
        <v>-0.423</v>
      </c>
      <c r="R445" s="34" t="inlineStr">
        <is>
          <t xml:space="preserve">FBC 9/Handicaps (FBC 9) (Final).xlsx</t>
        </is>
      </c>
    </row>
    <row r="446" spans="1:18">
      <c r="A446" s="40">
        <v>9</v>
      </c>
      <c r="B446" s="31" t="inlineStr">
        <is>
          <t xml:space="preserve">FBC9-D8</t>
        </is>
      </c>
      <c r="C446" s="31" t="inlineStr">
        <is>
          <t xml:space="preserve">Vegas</t>
        </is>
      </c>
      <c r="D446" s="31" t="inlineStr">
        <is>
          <t xml:space="preserve">Four-ball</t>
        </is>
      </c>
      <c r="E446" s="40">
        <v>9</v>
      </c>
      <c r="F446" s="42">
        <v>1</v>
      </c>
      <c r="G446" s="31" t="inlineStr">
        <is>
          <t xml:space="preserve">Gray</t>
        </is>
      </c>
      <c r="H446" s="31" t="inlineStr">
        <is>
          <t xml:space="preserve">Connors</t>
        </is>
      </c>
      <c r="I446" s="31" t="inlineStr">
        <is>
          <t xml:space="preserve">McInerney</t>
        </is>
      </c>
      <c r="J446" s="31" t="inlineStr">
        <is>
          <t xml:space="preserve">Delneky</t>
        </is>
      </c>
      <c r="K446" s="31" t="inlineStr">
        <is>
          <t xml:space="preserve">Forster</t>
        </is>
      </c>
      <c r="L446" s="42">
        <v>-3</v>
      </c>
      <c r="M446" s="42">
        <v>-1.5</v>
      </c>
      <c r="N446" s="31" t="inlineStr">
        <is>
          <t xml:space="preserve">Giving</t>
        </is>
      </c>
      <c r="O446" s="42">
        <v>0</v>
      </c>
      <c r="P446" s="42">
        <v>0.571</v>
      </c>
      <c r="Q446" s="42">
        <v>-0.571</v>
      </c>
      <c r="R446" s="31" t="inlineStr">
        <is>
          <t xml:space="preserve">FBC 9/Handicaps (FBC 9) (Final).xlsx</t>
        </is>
      </c>
    </row>
    <row r="447" spans="1:18">
      <c r="A447" s="43">
        <v>9</v>
      </c>
      <c r="B447" s="34" t="inlineStr">
        <is>
          <t xml:space="preserve">FBC9-D8</t>
        </is>
      </c>
      <c r="C447" s="34" t="inlineStr">
        <is>
          <t xml:space="preserve">Vegas</t>
        </is>
      </c>
      <c r="D447" s="34" t="inlineStr">
        <is>
          <t xml:space="preserve">Four-ball</t>
        </is>
      </c>
      <c r="E447" s="43">
        <v>9</v>
      </c>
      <c r="F447" s="45">
        <v>1</v>
      </c>
      <c r="G447" s="34" t="inlineStr">
        <is>
          <t xml:space="preserve">Zimmer</t>
        </is>
      </c>
      <c r="H447" s="34" t="inlineStr">
        <is>
          <t xml:space="preserve">Delneky</t>
        </is>
      </c>
      <c r="I447" s="34" t="inlineStr">
        <is>
          <t xml:space="preserve">Forster</t>
        </is>
      </c>
      <c r="J447" s="34" t="inlineStr">
        <is>
          <t xml:space="preserve">Connors</t>
        </is>
      </c>
      <c r="K447" s="34" t="inlineStr">
        <is>
          <t xml:space="preserve">McInerney</t>
        </is>
      </c>
      <c r="L447" s="45">
        <v>3</v>
      </c>
      <c r="M447" s="45">
        <v>1.5</v>
      </c>
      <c r="N447" s="34" t="inlineStr">
        <is>
          <t xml:space="preserve">Getting</t>
        </is>
      </c>
      <c r="O447" s="45">
        <v>1</v>
      </c>
      <c r="P447" s="45">
        <v>0.429</v>
      </c>
      <c r="Q447" s="45">
        <v>0.571</v>
      </c>
      <c r="R447" s="34" t="inlineStr">
        <is>
          <t xml:space="preserve">FBC 9/Handicaps (FBC 9) (Final).xlsx</t>
        </is>
      </c>
    </row>
    <row r="448" spans="1:18">
      <c r="A448" s="40">
        <v>9</v>
      </c>
      <c r="B448" s="31" t="inlineStr">
        <is>
          <t xml:space="preserve">FBC9-D9</t>
        </is>
      </c>
      <c r="C448" s="31" t="inlineStr">
        <is>
          <t xml:space="preserve">Vegas</t>
        </is>
      </c>
      <c r="D448" s="31" t="inlineStr">
        <is>
          <t xml:space="preserve">Four-ball</t>
        </is>
      </c>
      <c r="E448" s="40">
        <v>9</v>
      </c>
      <c r="F448" s="42">
        <v>1</v>
      </c>
      <c r="G448" s="31" t="inlineStr">
        <is>
          <t xml:space="preserve">Zimmer</t>
        </is>
      </c>
      <c r="H448" s="31" t="inlineStr">
        <is>
          <t xml:space="preserve">Fogan</t>
        </is>
      </c>
      <c r="I448" s="31" t="inlineStr">
        <is>
          <t xml:space="preserve">Welker</t>
        </is>
      </c>
      <c r="J448" s="31" t="inlineStr">
        <is>
          <t xml:space="preserve">Hilts</t>
        </is>
      </c>
      <c r="K448" s="31" t="inlineStr">
        <is>
          <t xml:space="preserve">Lynch</t>
        </is>
      </c>
      <c r="L448" s="42">
        <v>0</v>
      </c>
      <c r="M448" s="42">
        <v>0</v>
      </c>
      <c r="N448" s="31" t="inlineStr">
        <is>
          <t xml:space="preserve">Even</t>
        </is>
      </c>
      <c r="O448" s="42">
        <v>0</v>
      </c>
      <c r="P448" s="42">
        <v>0.5</v>
      </c>
      <c r="Q448" s="42">
        <v>-0.5</v>
      </c>
      <c r="R448" s="31" t="inlineStr">
        <is>
          <t xml:space="preserve">FBC 9/Handicaps (FBC 9) (Final).xlsx</t>
        </is>
      </c>
    </row>
    <row r="449" spans="1:18">
      <c r="A449" s="43">
        <v>9</v>
      </c>
      <c r="B449" s="34" t="inlineStr">
        <is>
          <t xml:space="preserve">FBC9-D9</t>
        </is>
      </c>
      <c r="C449" s="34" t="inlineStr">
        <is>
          <t xml:space="preserve">Vegas</t>
        </is>
      </c>
      <c r="D449" s="34" t="inlineStr">
        <is>
          <t xml:space="preserve">Four-ball</t>
        </is>
      </c>
      <c r="E449" s="43">
        <v>9</v>
      </c>
      <c r="F449" s="45">
        <v>1</v>
      </c>
      <c r="G449" s="34" t="inlineStr">
        <is>
          <t xml:space="preserve">Gray</t>
        </is>
      </c>
      <c r="H449" s="34" t="inlineStr">
        <is>
          <t xml:space="preserve">Hilts</t>
        </is>
      </c>
      <c r="I449" s="34" t="inlineStr">
        <is>
          <t xml:space="preserve">Lynch</t>
        </is>
      </c>
      <c r="J449" s="34" t="inlineStr">
        <is>
          <t xml:space="preserve">Fogan</t>
        </is>
      </c>
      <c r="K449" s="34" t="inlineStr">
        <is>
          <t xml:space="preserve">Welker</t>
        </is>
      </c>
      <c r="L449" s="45">
        <v>0</v>
      </c>
      <c r="M449" s="45">
        <v>0</v>
      </c>
      <c r="N449" s="34" t="inlineStr">
        <is>
          <t xml:space="preserve">Even</t>
        </is>
      </c>
      <c r="O449" s="45">
        <v>1</v>
      </c>
      <c r="P449" s="45">
        <v>0.5</v>
      </c>
      <c r="Q449" s="45">
        <v>0.5</v>
      </c>
      <c r="R449" s="34" t="inlineStr">
        <is>
          <t xml:space="preserve">FBC 9/Handicaps (FBC 9) (Final).xlsx</t>
        </is>
      </c>
    </row>
    <row r="450" spans="1:18">
      <c r="A450" s="40">
        <v>9</v>
      </c>
      <c r="B450" s="31" t="inlineStr">
        <is>
          <t xml:space="preserve">FBC9-D10</t>
        </is>
      </c>
      <c r="C450" s="31" t="inlineStr">
        <is>
          <t xml:space="preserve">Vegas</t>
        </is>
      </c>
      <c r="D450" s="31" t="inlineStr">
        <is>
          <t xml:space="preserve">Four-ball</t>
        </is>
      </c>
      <c r="E450" s="40">
        <v>9</v>
      </c>
      <c r="F450" s="42">
        <v>1</v>
      </c>
      <c r="G450" s="31" t="inlineStr">
        <is>
          <t xml:space="preserve">Gray</t>
        </is>
      </c>
      <c r="H450" s="31" t="inlineStr">
        <is>
          <t xml:space="preserve">Flanders</t>
        </is>
      </c>
      <c r="I450" s="31" t="inlineStr">
        <is>
          <t xml:space="preserve">Cole</t>
        </is>
      </c>
      <c r="J450" s="31" t="inlineStr">
        <is>
          <t xml:space="preserve">Grise</t>
        </is>
      </c>
      <c r="K450" s="31" t="inlineStr">
        <is>
          <t xml:space="preserve">Poirier</t>
        </is>
      </c>
      <c r="L450" s="42">
        <v>3.5</v>
      </c>
      <c r="M450" s="42">
        <v>1.75</v>
      </c>
      <c r="N450" s="31" t="inlineStr">
        <is>
          <t xml:space="preserve">Getting</t>
        </is>
      </c>
      <c r="O450" s="42">
        <v>1</v>
      </c>
      <c r="P450" s="42">
        <v>0.431</v>
      </c>
      <c r="Q450" s="42">
        <v>0.569</v>
      </c>
      <c r="R450" s="31" t="inlineStr">
        <is>
          <t xml:space="preserve">FBC 9/Handicaps (FBC 9) (Final).xlsx</t>
        </is>
      </c>
    </row>
    <row r="451" spans="1:18">
      <c r="A451" s="43">
        <v>9</v>
      </c>
      <c r="B451" s="34" t="inlineStr">
        <is>
          <t xml:space="preserve">FBC9-D10</t>
        </is>
      </c>
      <c r="C451" s="34" t="inlineStr">
        <is>
          <t xml:space="preserve">Vegas</t>
        </is>
      </c>
      <c r="D451" s="34" t="inlineStr">
        <is>
          <t xml:space="preserve">Four-ball</t>
        </is>
      </c>
      <c r="E451" s="43">
        <v>9</v>
      </c>
      <c r="F451" s="45">
        <v>1</v>
      </c>
      <c r="G451" s="34" t="inlineStr">
        <is>
          <t xml:space="preserve">Zimmer</t>
        </is>
      </c>
      <c r="H451" s="34" t="inlineStr">
        <is>
          <t xml:space="preserve">Grise</t>
        </is>
      </c>
      <c r="I451" s="34" t="inlineStr">
        <is>
          <t xml:space="preserve">Poirier</t>
        </is>
      </c>
      <c r="J451" s="34" t="inlineStr">
        <is>
          <t xml:space="preserve">Flanders</t>
        </is>
      </c>
      <c r="K451" s="34" t="inlineStr">
        <is>
          <t xml:space="preserve">Cole</t>
        </is>
      </c>
      <c r="L451" s="45">
        <v>-3.5</v>
      </c>
      <c r="M451" s="45">
        <v>-1.75</v>
      </c>
      <c r="N451" s="34" t="inlineStr">
        <is>
          <t xml:space="preserve">Giving</t>
        </is>
      </c>
      <c r="O451" s="45">
        <v>0</v>
      </c>
      <c r="P451" s="45">
        <v>0.569</v>
      </c>
      <c r="Q451" s="45">
        <v>-0.569</v>
      </c>
      <c r="R451" s="34" t="inlineStr">
        <is>
          <t xml:space="preserve">FBC 9/Handicaps (FBC 9) (Final).xlsx</t>
        </is>
      </c>
    </row>
    <row r="452" spans="1:18">
      <c r="A452" s="40">
        <v>9</v>
      </c>
      <c r="B452" s="31" t="inlineStr">
        <is>
          <t xml:space="preserve">FBC9-D11</t>
        </is>
      </c>
      <c r="C452" s="31" t="inlineStr">
        <is>
          <t xml:space="preserve">Pinehurst</t>
        </is>
      </c>
      <c r="D452" s="31" t="inlineStr">
        <is>
          <t xml:space="preserve">Pinehurst</t>
        </is>
      </c>
      <c r="E452" s="40">
        <v>9</v>
      </c>
      <c r="F452" s="42">
        <v>1</v>
      </c>
      <c r="G452" s="31" t="inlineStr">
        <is>
          <t xml:space="preserve">Gray</t>
        </is>
      </c>
      <c r="H452" s="31" t="inlineStr">
        <is>
          <t xml:space="preserve">McInerney</t>
        </is>
      </c>
      <c r="I452" s="31" t="inlineStr">
        <is>
          <t xml:space="preserve">Perkins</t>
        </is>
      </c>
      <c r="J452" s="31" t="inlineStr">
        <is>
          <t xml:space="preserve">Ferrin</t>
        </is>
      </c>
      <c r="K452" s="31" t="inlineStr">
        <is>
          <t xml:space="preserve">Zimmer</t>
        </is>
      </c>
      <c r="L452" s="42">
        <v>-6</v>
      </c>
      <c r="M452" s="42">
        <v>-3</v>
      </c>
      <c r="N452" s="31" t="inlineStr">
        <is>
          <t xml:space="preserve">Giving</t>
        </is>
      </c>
      <c r="O452" s="42">
        <v>1</v>
      </c>
      <c r="P452" s="42">
        <v>0.529</v>
      </c>
      <c r="Q452" s="42">
        <v>0.471</v>
      </c>
      <c r="R452" s="31" t="inlineStr">
        <is>
          <t xml:space="preserve">FBC 9/Handicaps (FBC 9) (Final).xlsx</t>
        </is>
      </c>
    </row>
    <row r="453" spans="1:18">
      <c r="A453" s="43">
        <v>9</v>
      </c>
      <c r="B453" s="34" t="inlineStr">
        <is>
          <t xml:space="preserve">FBC9-D11</t>
        </is>
      </c>
      <c r="C453" s="34" t="inlineStr">
        <is>
          <t xml:space="preserve">Pinehurst</t>
        </is>
      </c>
      <c r="D453" s="34" t="inlineStr">
        <is>
          <t xml:space="preserve">Pinehurst</t>
        </is>
      </c>
      <c r="E453" s="43">
        <v>9</v>
      </c>
      <c r="F453" s="45">
        <v>1</v>
      </c>
      <c r="G453" s="34" t="inlineStr">
        <is>
          <t xml:space="preserve">Zimmer</t>
        </is>
      </c>
      <c r="H453" s="34" t="inlineStr">
        <is>
          <t xml:space="preserve">Ferrin</t>
        </is>
      </c>
      <c r="I453" s="34" t="inlineStr">
        <is>
          <t xml:space="preserve">Zimmer</t>
        </is>
      </c>
      <c r="J453" s="34" t="inlineStr">
        <is>
          <t xml:space="preserve">McInerney</t>
        </is>
      </c>
      <c r="K453" s="34" t="inlineStr">
        <is>
          <t xml:space="preserve">Perkins</t>
        </is>
      </c>
      <c r="L453" s="45">
        <v>6</v>
      </c>
      <c r="M453" s="45">
        <v>3</v>
      </c>
      <c r="N453" s="34" t="inlineStr">
        <is>
          <t xml:space="preserve">Getting</t>
        </is>
      </c>
      <c r="O453" s="45">
        <v>0</v>
      </c>
      <c r="P453" s="45">
        <v>0.471</v>
      </c>
      <c r="Q453" s="45">
        <v>-0.471</v>
      </c>
      <c r="R453" s="34" t="inlineStr">
        <is>
          <t xml:space="preserve">FBC 9/Handicaps (FBC 9) (Final).xlsx</t>
        </is>
      </c>
    </row>
    <row r="454" spans="1:18">
      <c r="A454" s="40">
        <v>9</v>
      </c>
      <c r="B454" s="31" t="inlineStr">
        <is>
          <t xml:space="preserve">FBC9-D12</t>
        </is>
      </c>
      <c r="C454" s="31" t="inlineStr">
        <is>
          <t xml:space="preserve">Pinehurst</t>
        </is>
      </c>
      <c r="D454" s="31" t="inlineStr">
        <is>
          <t xml:space="preserve">Pinehurst</t>
        </is>
      </c>
      <c r="E454" s="40">
        <v>9</v>
      </c>
      <c r="F454" s="42">
        <v>1</v>
      </c>
      <c r="G454" s="31" t="inlineStr">
        <is>
          <t xml:space="preserve">Zimmer</t>
        </is>
      </c>
      <c r="H454" s="31" t="inlineStr">
        <is>
          <t xml:space="preserve">Forster</t>
        </is>
      </c>
      <c r="I454" s="31" t="inlineStr">
        <is>
          <t xml:space="preserve">Poirier</t>
        </is>
      </c>
      <c r="J454" s="31" t="inlineStr">
        <is>
          <t xml:space="preserve">Delaney</t>
        </is>
      </c>
      <c r="K454" s="31" t="inlineStr">
        <is>
          <t xml:space="preserve">Flanders</t>
        </is>
      </c>
      <c r="L454" s="42">
        <v>0</v>
      </c>
      <c r="M454" s="42">
        <v>0</v>
      </c>
      <c r="N454" s="31" t="inlineStr">
        <is>
          <t xml:space="preserve">Even</t>
        </is>
      </c>
      <c r="O454" s="42">
        <v>1</v>
      </c>
      <c r="P454" s="42">
        <v>0.5</v>
      </c>
      <c r="Q454" s="42">
        <v>0.5</v>
      </c>
      <c r="R454" s="31" t="inlineStr">
        <is>
          <t xml:space="preserve">FBC 9/Handicaps (FBC 9) (Final).xlsx</t>
        </is>
      </c>
    </row>
    <row r="455" spans="1:18">
      <c r="A455" s="43">
        <v>9</v>
      </c>
      <c r="B455" s="34" t="inlineStr">
        <is>
          <t xml:space="preserve">FBC9-D12</t>
        </is>
      </c>
      <c r="C455" s="34" t="inlineStr">
        <is>
          <t xml:space="preserve">Pinehurst</t>
        </is>
      </c>
      <c r="D455" s="34" t="inlineStr">
        <is>
          <t xml:space="preserve">Pinehurst</t>
        </is>
      </c>
      <c r="E455" s="43">
        <v>9</v>
      </c>
      <c r="F455" s="45">
        <v>1</v>
      </c>
      <c r="G455" s="34" t="inlineStr">
        <is>
          <t xml:space="preserve">Gray</t>
        </is>
      </c>
      <c r="H455" s="34" t="inlineStr">
        <is>
          <t xml:space="preserve">Delaney</t>
        </is>
      </c>
      <c r="I455" s="34" t="inlineStr">
        <is>
          <t xml:space="preserve">Flanders</t>
        </is>
      </c>
      <c r="J455" s="34" t="inlineStr">
        <is>
          <t xml:space="preserve">Forster</t>
        </is>
      </c>
      <c r="K455" s="34" t="inlineStr">
        <is>
          <t xml:space="preserve">Poirier</t>
        </is>
      </c>
      <c r="L455" s="45">
        <v>0</v>
      </c>
      <c r="M455" s="45">
        <v>0</v>
      </c>
      <c r="N455" s="34" t="inlineStr">
        <is>
          <t xml:space="preserve">Even</t>
        </is>
      </c>
      <c r="O455" s="45">
        <v>0</v>
      </c>
      <c r="P455" s="45">
        <v>0.5</v>
      </c>
      <c r="Q455" s="45">
        <v>-0.5</v>
      </c>
      <c r="R455" s="34" t="inlineStr">
        <is>
          <t xml:space="preserve">FBC 9/Handicaps (FBC 9) (Final).xlsx</t>
        </is>
      </c>
    </row>
    <row r="456" spans="1:18">
      <c r="A456" s="40">
        <v>9</v>
      </c>
      <c r="B456" s="31" t="inlineStr">
        <is>
          <t xml:space="preserve">FBC9-D13</t>
        </is>
      </c>
      <c r="C456" s="31" t="inlineStr">
        <is>
          <t xml:space="preserve">Pinehurst</t>
        </is>
      </c>
      <c r="D456" s="31" t="inlineStr">
        <is>
          <t xml:space="preserve">Pinehurst</t>
        </is>
      </c>
      <c r="E456" s="40">
        <v>9</v>
      </c>
      <c r="F456" s="42">
        <v>1</v>
      </c>
      <c r="G456" s="31" t="inlineStr">
        <is>
          <t xml:space="preserve">Gray</t>
        </is>
      </c>
      <c r="H456" s="31" t="inlineStr">
        <is>
          <t xml:space="preserve">Cole</t>
        </is>
      </c>
      <c r="I456" s="31" t="inlineStr">
        <is>
          <t xml:space="preserve">Lynch</t>
        </is>
      </c>
      <c r="J456" s="31" t="inlineStr">
        <is>
          <t xml:space="preserve">Jackson</t>
        </is>
      </c>
      <c r="K456" s="31" t="inlineStr">
        <is>
          <t xml:space="preserve">Welker</t>
        </is>
      </c>
      <c r="L456" s="42">
        <v>4</v>
      </c>
      <c r="M456" s="42">
        <v>2</v>
      </c>
      <c r="N456" s="31" t="inlineStr">
        <is>
          <t xml:space="preserve">Getting</t>
        </is>
      </c>
      <c r="O456" s="42">
        <v>0.5</v>
      </c>
      <c r="P456" s="42">
        <v>0.454</v>
      </c>
      <c r="Q456" s="42">
        <v>0.046</v>
      </c>
      <c r="R456" s="31" t="inlineStr">
        <is>
          <t xml:space="preserve">FBC 9/Handicaps (FBC 9) (Final).xlsx</t>
        </is>
      </c>
    </row>
    <row r="457" spans="1:18">
      <c r="A457" s="43">
        <v>9</v>
      </c>
      <c r="B457" s="34" t="inlineStr">
        <is>
          <t xml:space="preserve">FBC9-D13</t>
        </is>
      </c>
      <c r="C457" s="34" t="inlineStr">
        <is>
          <t xml:space="preserve">Pinehurst</t>
        </is>
      </c>
      <c r="D457" s="34" t="inlineStr">
        <is>
          <t xml:space="preserve">Pinehurst</t>
        </is>
      </c>
      <c r="E457" s="43">
        <v>9</v>
      </c>
      <c r="F457" s="45">
        <v>1</v>
      </c>
      <c r="G457" s="34" t="inlineStr">
        <is>
          <t xml:space="preserve">Zimmer</t>
        </is>
      </c>
      <c r="H457" s="34" t="inlineStr">
        <is>
          <t xml:space="preserve">Jackson</t>
        </is>
      </c>
      <c r="I457" s="34" t="inlineStr">
        <is>
          <t xml:space="preserve">Welker</t>
        </is>
      </c>
      <c r="J457" s="34" t="inlineStr">
        <is>
          <t xml:space="preserve">Cole</t>
        </is>
      </c>
      <c r="K457" s="34" t="inlineStr">
        <is>
          <t xml:space="preserve">Lynch</t>
        </is>
      </c>
      <c r="L457" s="45">
        <v>-4</v>
      </c>
      <c r="M457" s="45">
        <v>-2</v>
      </c>
      <c r="N457" s="34" t="inlineStr">
        <is>
          <t xml:space="preserve">Giving</t>
        </is>
      </c>
      <c r="O457" s="45">
        <v>0.5</v>
      </c>
      <c r="P457" s="45">
        <v>0.546</v>
      </c>
      <c r="Q457" s="45">
        <v>-0.046</v>
      </c>
      <c r="R457" s="34" t="inlineStr">
        <is>
          <t xml:space="preserve">FBC 9/Handicaps (FBC 9) (Final).xlsx</t>
        </is>
      </c>
    </row>
    <row r="458" spans="1:18">
      <c r="A458" s="40">
        <v>9</v>
      </c>
      <c r="B458" s="31" t="inlineStr">
        <is>
          <t xml:space="preserve">FBC9-D14</t>
        </is>
      </c>
      <c r="C458" s="31" t="inlineStr">
        <is>
          <t xml:space="preserve">Pinehurst</t>
        </is>
      </c>
      <c r="D458" s="31" t="inlineStr">
        <is>
          <t xml:space="preserve">Pinehurst</t>
        </is>
      </c>
      <c r="E458" s="40">
        <v>9</v>
      </c>
      <c r="F458" s="42">
        <v>1</v>
      </c>
      <c r="G458" s="31" t="inlineStr">
        <is>
          <t xml:space="preserve">Zimmer</t>
        </is>
      </c>
      <c r="H458" s="31" t="inlineStr">
        <is>
          <t xml:space="preserve">DeOteris</t>
        </is>
      </c>
      <c r="I458" s="31" t="inlineStr">
        <is>
          <t xml:space="preserve">Grise</t>
        </is>
      </c>
      <c r="J458" s="31" t="inlineStr">
        <is>
          <t xml:space="preserve">Connolly</t>
        </is>
      </c>
      <c r="K458" s="31" t="inlineStr">
        <is>
          <t xml:space="preserve">Hilts</t>
        </is>
      </c>
      <c r="L458" s="42">
        <v>-1</v>
      </c>
      <c r="M458" s="42">
        <v>-0.5</v>
      </c>
      <c r="N458" s="31" t="inlineStr">
        <is>
          <t xml:space="preserve">Giving</t>
        </is>
      </c>
      <c r="O458" s="42">
        <v>0.5</v>
      </c>
      <c r="P458" s="42">
        <v>0.572</v>
      </c>
      <c r="Q458" s="42">
        <v>-0.072</v>
      </c>
      <c r="R458" s="31" t="inlineStr">
        <is>
          <t xml:space="preserve">FBC 9/Handicaps (FBC 9) (Final).xlsx</t>
        </is>
      </c>
    </row>
    <row r="459" spans="1:18">
      <c r="A459" s="43">
        <v>9</v>
      </c>
      <c r="B459" s="34" t="inlineStr">
        <is>
          <t xml:space="preserve">FBC9-D14</t>
        </is>
      </c>
      <c r="C459" s="34" t="inlineStr">
        <is>
          <t xml:space="preserve">Pinehurst</t>
        </is>
      </c>
      <c r="D459" s="34" t="inlineStr">
        <is>
          <t xml:space="preserve">Pinehurst</t>
        </is>
      </c>
      <c r="E459" s="43">
        <v>9</v>
      </c>
      <c r="F459" s="45">
        <v>1</v>
      </c>
      <c r="G459" s="34" t="inlineStr">
        <is>
          <t xml:space="preserve">Gray</t>
        </is>
      </c>
      <c r="H459" s="34" t="inlineStr">
        <is>
          <t xml:space="preserve">Connolly</t>
        </is>
      </c>
      <c r="I459" s="34" t="inlineStr">
        <is>
          <t xml:space="preserve">Hilts</t>
        </is>
      </c>
      <c r="J459" s="34" t="inlineStr">
        <is>
          <t xml:space="preserve">DeOteris</t>
        </is>
      </c>
      <c r="K459" s="34" t="inlineStr">
        <is>
          <t xml:space="preserve">Grise</t>
        </is>
      </c>
      <c r="L459" s="45">
        <v>1</v>
      </c>
      <c r="M459" s="45">
        <v>0.5</v>
      </c>
      <c r="N459" s="34" t="inlineStr">
        <is>
          <t xml:space="preserve">Getting</t>
        </is>
      </c>
      <c r="O459" s="45">
        <v>0.5</v>
      </c>
      <c r="P459" s="45">
        <v>0.428</v>
      </c>
      <c r="Q459" s="45">
        <v>0.072</v>
      </c>
      <c r="R459" s="34" t="inlineStr">
        <is>
          <t xml:space="preserve">FBC 9/Handicaps (FBC 9) (Final).xlsx</t>
        </is>
      </c>
    </row>
    <row r="460" spans="1:18">
      <c r="A460" s="40">
        <v>9</v>
      </c>
      <c r="B460" s="31" t="inlineStr">
        <is>
          <t xml:space="preserve">FBC9-D15</t>
        </is>
      </c>
      <c r="C460" s="31" t="inlineStr">
        <is>
          <t xml:space="preserve">Pinehurst</t>
        </is>
      </c>
      <c r="D460" s="31" t="inlineStr">
        <is>
          <t xml:space="preserve">Pinehurst</t>
        </is>
      </c>
      <c r="E460" s="40">
        <v>9</v>
      </c>
      <c r="F460" s="42">
        <v>1</v>
      </c>
      <c r="G460" s="31" t="inlineStr">
        <is>
          <t xml:space="preserve">Gray</t>
        </is>
      </c>
      <c r="H460" s="31" t="inlineStr">
        <is>
          <t xml:space="preserve">Connors</t>
        </is>
      </c>
      <c r="I460" s="31" t="inlineStr">
        <is>
          <t xml:space="preserve">Shively</t>
        </is>
      </c>
      <c r="J460" s="31" t="inlineStr">
        <is>
          <t xml:space="preserve">Delneky</t>
        </is>
      </c>
      <c r="K460" s="31" t="inlineStr">
        <is>
          <t xml:space="preserve">Fogan</t>
        </is>
      </c>
      <c r="L460" s="42">
        <v>-2</v>
      </c>
      <c r="M460" s="42">
        <v>-1</v>
      </c>
      <c r="N460" s="31" t="inlineStr">
        <is>
          <t xml:space="preserve">Giving</t>
        </is>
      </c>
      <c r="O460" s="42">
        <v>0</v>
      </c>
      <c r="P460" s="42">
        <v>0.563</v>
      </c>
      <c r="Q460" s="42">
        <v>-0.563</v>
      </c>
      <c r="R460" s="31" t="inlineStr">
        <is>
          <t xml:space="preserve">FBC 9/Handicaps (FBC 9) (Final).xlsx</t>
        </is>
      </c>
    </row>
    <row r="461" spans="1:18">
      <c r="A461" s="43">
        <v>9</v>
      </c>
      <c r="B461" s="34" t="inlineStr">
        <is>
          <t xml:space="preserve">FBC9-D15</t>
        </is>
      </c>
      <c r="C461" s="34" t="inlineStr">
        <is>
          <t xml:space="preserve">Pinehurst</t>
        </is>
      </c>
      <c r="D461" s="34" t="inlineStr">
        <is>
          <t xml:space="preserve">Pinehurst</t>
        </is>
      </c>
      <c r="E461" s="43">
        <v>9</v>
      </c>
      <c r="F461" s="45">
        <v>1</v>
      </c>
      <c r="G461" s="34" t="inlineStr">
        <is>
          <t xml:space="preserve">Zimmer</t>
        </is>
      </c>
      <c r="H461" s="34" t="inlineStr">
        <is>
          <t xml:space="preserve">Delneky</t>
        </is>
      </c>
      <c r="I461" s="34" t="inlineStr">
        <is>
          <t xml:space="preserve">Fogan</t>
        </is>
      </c>
      <c r="J461" s="34" t="inlineStr">
        <is>
          <t xml:space="preserve">Connors</t>
        </is>
      </c>
      <c r="K461" s="34" t="inlineStr">
        <is>
          <t xml:space="preserve">Shively</t>
        </is>
      </c>
      <c r="L461" s="45">
        <v>2</v>
      </c>
      <c r="M461" s="45">
        <v>1</v>
      </c>
      <c r="N461" s="34" t="inlineStr">
        <is>
          <t xml:space="preserve">Getting</t>
        </is>
      </c>
      <c r="O461" s="45">
        <v>1</v>
      </c>
      <c r="P461" s="45">
        <v>0.437</v>
      </c>
      <c r="Q461" s="45">
        <v>0.563</v>
      </c>
      <c r="R461" s="34" t="inlineStr">
        <is>
          <t xml:space="preserve">FBC 9/Handicaps (FBC 9) (Final).xlsx</t>
        </is>
      </c>
    </row>
    <row r="462" spans="1:18">
      <c r="A462" s="40">
        <v>9</v>
      </c>
      <c r="B462" s="31" t="inlineStr">
        <is>
          <t xml:space="preserve">FBC9-D16</t>
        </is>
      </c>
      <c r="C462" s="31" t="inlineStr">
        <is>
          <t xml:space="preserve">Scramble-Stableford</t>
        </is>
      </c>
      <c r="D462" s="31" t="inlineStr">
        <is>
          <t xml:space="preserve">Scramble</t>
        </is>
      </c>
      <c r="E462" s="40">
        <v>9</v>
      </c>
      <c r="F462" s="42">
        <v>1</v>
      </c>
      <c r="G462" s="31" t="inlineStr">
        <is>
          <t xml:space="preserve">Gray</t>
        </is>
      </c>
      <c r="H462" s="31" t="inlineStr">
        <is>
          <t xml:space="preserve">McInerney</t>
        </is>
      </c>
      <c r="I462" s="31" t="inlineStr">
        <is>
          <t xml:space="preserve">Perkins</t>
        </is>
      </c>
      <c r="J462" s="31" t="inlineStr">
        <is>
          <t xml:space="preserve">Ferrin</t>
        </is>
      </c>
      <c r="K462" s="31" t="inlineStr">
        <is>
          <t xml:space="preserve">Zimmer</t>
        </is>
      </c>
      <c r="L462" s="42">
        <v>-2</v>
      </c>
      <c r="M462" s="42">
        <v>-1</v>
      </c>
      <c r="N462" s="31" t="inlineStr">
        <is>
          <t xml:space="preserve">Giving</t>
        </is>
      </c>
      <c r="O462" s="42">
        <v>1</v>
      </c>
      <c r="P462" s="42">
        <v>0.488</v>
      </c>
      <c r="Q462" s="42">
        <v>0.512</v>
      </c>
      <c r="R462" s="31" t="inlineStr">
        <is>
          <t xml:space="preserve">FBC 9/Handicaps (FBC 9) (Final).xlsx</t>
        </is>
      </c>
    </row>
    <row r="463" spans="1:18">
      <c r="A463" s="43">
        <v>9</v>
      </c>
      <c r="B463" s="34" t="inlineStr">
        <is>
          <t xml:space="preserve">FBC9-D16</t>
        </is>
      </c>
      <c r="C463" s="34" t="inlineStr">
        <is>
          <t xml:space="preserve">Scramble-Stableford</t>
        </is>
      </c>
      <c r="D463" s="34" t="inlineStr">
        <is>
          <t xml:space="preserve">Scramble</t>
        </is>
      </c>
      <c r="E463" s="43">
        <v>9</v>
      </c>
      <c r="F463" s="45">
        <v>1</v>
      </c>
      <c r="G463" s="34" t="inlineStr">
        <is>
          <t xml:space="preserve">Zimmer</t>
        </is>
      </c>
      <c r="H463" s="34" t="inlineStr">
        <is>
          <t xml:space="preserve">Ferrin</t>
        </is>
      </c>
      <c r="I463" s="34" t="inlineStr">
        <is>
          <t xml:space="preserve">Zimmer</t>
        </is>
      </c>
      <c r="J463" s="34" t="inlineStr">
        <is>
          <t xml:space="preserve">McInerney</t>
        </is>
      </c>
      <c r="K463" s="34" t="inlineStr">
        <is>
          <t xml:space="preserve">Perkins</t>
        </is>
      </c>
      <c r="L463" s="45">
        <v>2</v>
      </c>
      <c r="M463" s="45">
        <v>1</v>
      </c>
      <c r="N463" s="34" t="inlineStr">
        <is>
          <t xml:space="preserve">Getting</t>
        </is>
      </c>
      <c r="O463" s="45">
        <v>0</v>
      </c>
      <c r="P463" s="45">
        <v>0.512</v>
      </c>
      <c r="Q463" s="45">
        <v>-0.512</v>
      </c>
      <c r="R463" s="34" t="inlineStr">
        <is>
          <t xml:space="preserve">FBC 9/Handicaps (FBC 9) (Final).xlsx</t>
        </is>
      </c>
    </row>
    <row r="464" spans="1:18">
      <c r="A464" s="40">
        <v>9</v>
      </c>
      <c r="B464" s="31" t="inlineStr">
        <is>
          <t xml:space="preserve">FBC9-D17</t>
        </is>
      </c>
      <c r="C464" s="31" t="inlineStr">
        <is>
          <t xml:space="preserve">Scramble-Stableford</t>
        </is>
      </c>
      <c r="D464" s="31" t="inlineStr">
        <is>
          <t xml:space="preserve">Scramble</t>
        </is>
      </c>
      <c r="E464" s="40">
        <v>9</v>
      </c>
      <c r="F464" s="42">
        <v>1</v>
      </c>
      <c r="G464" s="31" t="inlineStr">
        <is>
          <t xml:space="preserve">Zimmer</t>
        </is>
      </c>
      <c r="H464" s="31" t="inlineStr">
        <is>
          <t xml:space="preserve">Forster</t>
        </is>
      </c>
      <c r="I464" s="31" t="inlineStr">
        <is>
          <t xml:space="preserve">Poirier</t>
        </is>
      </c>
      <c r="J464" s="31" t="inlineStr">
        <is>
          <t xml:space="preserve">Delaney</t>
        </is>
      </c>
      <c r="K464" s="31" t="inlineStr">
        <is>
          <t xml:space="preserve">Flanders</t>
        </is>
      </c>
      <c r="L464" s="42">
        <v>-1</v>
      </c>
      <c r="M464" s="42">
        <v>-0.5</v>
      </c>
      <c r="N464" s="31" t="inlineStr">
        <is>
          <t xml:space="preserve">Giving</t>
        </is>
      </c>
      <c r="O464" s="42">
        <v>1</v>
      </c>
      <c r="P464" s="42">
        <v>0.534</v>
      </c>
      <c r="Q464" s="42">
        <v>0.466</v>
      </c>
      <c r="R464" s="31" t="inlineStr">
        <is>
          <t xml:space="preserve">FBC 9/Handicaps (FBC 9) (Final).xlsx</t>
        </is>
      </c>
    </row>
    <row r="465" spans="1:18">
      <c r="A465" s="43">
        <v>9</v>
      </c>
      <c r="B465" s="34" t="inlineStr">
        <is>
          <t xml:space="preserve">FBC9-D17</t>
        </is>
      </c>
      <c r="C465" s="34" t="inlineStr">
        <is>
          <t xml:space="preserve">Scramble-Stableford</t>
        </is>
      </c>
      <c r="D465" s="34" t="inlineStr">
        <is>
          <t xml:space="preserve">Scramble</t>
        </is>
      </c>
      <c r="E465" s="43">
        <v>9</v>
      </c>
      <c r="F465" s="45">
        <v>1</v>
      </c>
      <c r="G465" s="34" t="inlineStr">
        <is>
          <t xml:space="preserve">Gray</t>
        </is>
      </c>
      <c r="H465" s="34" t="inlineStr">
        <is>
          <t xml:space="preserve">Delaney</t>
        </is>
      </c>
      <c r="I465" s="34" t="inlineStr">
        <is>
          <t xml:space="preserve">Flanders</t>
        </is>
      </c>
      <c r="J465" s="34" t="inlineStr">
        <is>
          <t xml:space="preserve">Forster</t>
        </is>
      </c>
      <c r="K465" s="34" t="inlineStr">
        <is>
          <t xml:space="preserve">Poirier</t>
        </is>
      </c>
      <c r="L465" s="45">
        <v>1</v>
      </c>
      <c r="M465" s="45">
        <v>0.5</v>
      </c>
      <c r="N465" s="34" t="inlineStr">
        <is>
          <t xml:space="preserve">Getting</t>
        </is>
      </c>
      <c r="O465" s="45">
        <v>0</v>
      </c>
      <c r="P465" s="45">
        <v>0.466</v>
      </c>
      <c r="Q465" s="45">
        <v>-0.466</v>
      </c>
      <c r="R465" s="34" t="inlineStr">
        <is>
          <t xml:space="preserve">FBC 9/Handicaps (FBC 9) (Final).xlsx</t>
        </is>
      </c>
    </row>
    <row r="466" spans="1:18">
      <c r="A466" s="40">
        <v>9</v>
      </c>
      <c r="B466" s="31" t="inlineStr">
        <is>
          <t xml:space="preserve">FBC9-D18</t>
        </is>
      </c>
      <c r="C466" s="31" t="inlineStr">
        <is>
          <t xml:space="preserve">Scramble-Stableford</t>
        </is>
      </c>
      <c r="D466" s="31" t="inlineStr">
        <is>
          <t xml:space="preserve">Scramble</t>
        </is>
      </c>
      <c r="E466" s="40">
        <v>9</v>
      </c>
      <c r="F466" s="42">
        <v>1</v>
      </c>
      <c r="G466" s="31" t="inlineStr">
        <is>
          <t xml:space="preserve">Gray</t>
        </is>
      </c>
      <c r="H466" s="31" t="inlineStr">
        <is>
          <t xml:space="preserve">Cole</t>
        </is>
      </c>
      <c r="I466" s="31" t="inlineStr">
        <is>
          <t xml:space="preserve">Lynch</t>
        </is>
      </c>
      <c r="J466" s="31" t="inlineStr">
        <is>
          <t xml:space="preserve">Jackson</t>
        </is>
      </c>
      <c r="K466" s="31" t="inlineStr">
        <is>
          <t xml:space="preserve">Welker</t>
        </is>
      </c>
      <c r="L466" s="42">
        <v>1</v>
      </c>
      <c r="M466" s="42">
        <v>0.5</v>
      </c>
      <c r="N466" s="31" t="inlineStr">
        <is>
          <t xml:space="preserve">Getting</t>
        </is>
      </c>
      <c r="O466" s="42">
        <v>1</v>
      </c>
      <c r="P466" s="42">
        <v>0.466</v>
      </c>
      <c r="Q466" s="42">
        <v>0.534</v>
      </c>
      <c r="R466" s="31" t="inlineStr">
        <is>
          <t xml:space="preserve">FBC 9/Handicaps (FBC 9) (Final).xlsx</t>
        </is>
      </c>
    </row>
    <row r="467" spans="1:18">
      <c r="A467" s="43">
        <v>9</v>
      </c>
      <c r="B467" s="34" t="inlineStr">
        <is>
          <t xml:space="preserve">FBC9-D18</t>
        </is>
      </c>
      <c r="C467" s="34" t="inlineStr">
        <is>
          <t xml:space="preserve">Scramble-Stableford</t>
        </is>
      </c>
      <c r="D467" s="34" t="inlineStr">
        <is>
          <t xml:space="preserve">Scramble</t>
        </is>
      </c>
      <c r="E467" s="43">
        <v>9</v>
      </c>
      <c r="F467" s="45">
        <v>1</v>
      </c>
      <c r="G467" s="34" t="inlineStr">
        <is>
          <t xml:space="preserve">Zimmer</t>
        </is>
      </c>
      <c r="H467" s="34" t="inlineStr">
        <is>
          <t xml:space="preserve">Jackson</t>
        </is>
      </c>
      <c r="I467" s="34" t="inlineStr">
        <is>
          <t xml:space="preserve">Welker</t>
        </is>
      </c>
      <c r="J467" s="34" t="inlineStr">
        <is>
          <t xml:space="preserve">Cole</t>
        </is>
      </c>
      <c r="K467" s="34" t="inlineStr">
        <is>
          <t xml:space="preserve">Lynch</t>
        </is>
      </c>
      <c r="L467" s="45">
        <v>-1</v>
      </c>
      <c r="M467" s="45">
        <v>-0.5</v>
      </c>
      <c r="N467" s="34" t="inlineStr">
        <is>
          <t xml:space="preserve">Giving</t>
        </is>
      </c>
      <c r="O467" s="45">
        <v>0</v>
      </c>
      <c r="P467" s="45">
        <v>0.534</v>
      </c>
      <c r="Q467" s="45">
        <v>-0.534</v>
      </c>
      <c r="R467" s="34" t="inlineStr">
        <is>
          <t xml:space="preserve">FBC 9/Handicaps (FBC 9) (Final).xlsx</t>
        </is>
      </c>
    </row>
    <row r="468" spans="1:18">
      <c r="A468" s="40">
        <v>9</v>
      </c>
      <c r="B468" s="31" t="inlineStr">
        <is>
          <t xml:space="preserve">FBC9-D19</t>
        </is>
      </c>
      <c r="C468" s="31" t="inlineStr">
        <is>
          <t xml:space="preserve">Scramble-Stableford</t>
        </is>
      </c>
      <c r="D468" s="31" t="inlineStr">
        <is>
          <t xml:space="preserve">Scramble</t>
        </is>
      </c>
      <c r="E468" s="40">
        <v>9</v>
      </c>
      <c r="F468" s="42">
        <v>1</v>
      </c>
      <c r="G468" s="31" t="inlineStr">
        <is>
          <t xml:space="preserve">Zimmer</t>
        </is>
      </c>
      <c r="H468" s="31" t="inlineStr">
        <is>
          <t xml:space="preserve">DeOteris</t>
        </is>
      </c>
      <c r="I468" s="31" t="inlineStr">
        <is>
          <t xml:space="preserve">Grise</t>
        </is>
      </c>
      <c r="J468" s="31" t="inlineStr">
        <is>
          <t xml:space="preserve">Connolly</t>
        </is>
      </c>
      <c r="K468" s="31" t="inlineStr">
        <is>
          <t xml:space="preserve">Hilts</t>
        </is>
      </c>
      <c r="L468" s="42">
        <v>1</v>
      </c>
      <c r="M468" s="42">
        <v>0.5</v>
      </c>
      <c r="N468" s="31" t="inlineStr">
        <is>
          <t xml:space="preserve">Getting</t>
        </is>
      </c>
      <c r="O468" s="42">
        <v>0</v>
      </c>
      <c r="P468" s="42">
        <v>0.466</v>
      </c>
      <c r="Q468" s="42">
        <v>-0.466</v>
      </c>
      <c r="R468" s="31" t="inlineStr">
        <is>
          <t xml:space="preserve">FBC 9/Handicaps (FBC 9) (Final).xlsx</t>
        </is>
      </c>
    </row>
    <row r="469" spans="1:18">
      <c r="A469" s="43">
        <v>9</v>
      </c>
      <c r="B469" s="34" t="inlineStr">
        <is>
          <t xml:space="preserve">FBC9-D19</t>
        </is>
      </c>
      <c r="C469" s="34" t="inlineStr">
        <is>
          <t xml:space="preserve">Scramble-Stableford</t>
        </is>
      </c>
      <c r="D469" s="34" t="inlineStr">
        <is>
          <t xml:space="preserve">Scramble</t>
        </is>
      </c>
      <c r="E469" s="43">
        <v>9</v>
      </c>
      <c r="F469" s="45">
        <v>1</v>
      </c>
      <c r="G469" s="34" t="inlineStr">
        <is>
          <t xml:space="preserve">Gray</t>
        </is>
      </c>
      <c r="H469" s="34" t="inlineStr">
        <is>
          <t xml:space="preserve">Connolly</t>
        </is>
      </c>
      <c r="I469" s="34" t="inlineStr">
        <is>
          <t xml:space="preserve">Hilts</t>
        </is>
      </c>
      <c r="J469" s="34" t="inlineStr">
        <is>
          <t xml:space="preserve">DeOteris</t>
        </is>
      </c>
      <c r="K469" s="34" t="inlineStr">
        <is>
          <t xml:space="preserve">Grise</t>
        </is>
      </c>
      <c r="L469" s="45">
        <v>-1</v>
      </c>
      <c r="M469" s="45">
        <v>-0.5</v>
      </c>
      <c r="N469" s="34" t="inlineStr">
        <is>
          <t xml:space="preserve">Giving</t>
        </is>
      </c>
      <c r="O469" s="45">
        <v>1</v>
      </c>
      <c r="P469" s="45">
        <v>0.534</v>
      </c>
      <c r="Q469" s="45">
        <v>0.466</v>
      </c>
      <c r="R469" s="34" t="inlineStr">
        <is>
          <t xml:space="preserve">FBC 9/Handicaps (FBC 9) (Final).xlsx</t>
        </is>
      </c>
    </row>
    <row r="470" spans="1:18">
      <c r="A470" s="40">
        <v>9</v>
      </c>
      <c r="B470" s="31" t="inlineStr">
        <is>
          <t xml:space="preserve">FBC9-D20</t>
        </is>
      </c>
      <c r="C470" s="31" t="inlineStr">
        <is>
          <t xml:space="preserve">Scramble-Stableford</t>
        </is>
      </c>
      <c r="D470" s="31" t="inlineStr">
        <is>
          <t xml:space="preserve">Scramble</t>
        </is>
      </c>
      <c r="E470" s="40">
        <v>9</v>
      </c>
      <c r="F470" s="42">
        <v>1</v>
      </c>
      <c r="G470" s="31" t="inlineStr">
        <is>
          <t xml:space="preserve">Gray</t>
        </is>
      </c>
      <c r="H470" s="31" t="inlineStr">
        <is>
          <t xml:space="preserve">Connors</t>
        </is>
      </c>
      <c r="I470" s="31" t="inlineStr">
        <is>
          <t xml:space="preserve">Shively</t>
        </is>
      </c>
      <c r="J470" s="31" t="inlineStr">
        <is>
          <t xml:space="preserve">Delneky</t>
        </is>
      </c>
      <c r="K470" s="31" t="inlineStr">
        <is>
          <t xml:space="preserve">Fogan</t>
        </is>
      </c>
      <c r="L470" s="42">
        <v>-2</v>
      </c>
      <c r="M470" s="42">
        <v>-1</v>
      </c>
      <c r="N470" s="31" t="inlineStr">
        <is>
          <t xml:space="preserve">Giving</t>
        </is>
      </c>
      <c r="O470" s="42">
        <v>0</v>
      </c>
      <c r="P470" s="42">
        <v>0.488</v>
      </c>
      <c r="Q470" s="42">
        <v>-0.488</v>
      </c>
      <c r="R470" s="31" t="inlineStr">
        <is>
          <t xml:space="preserve">FBC 9/Handicaps (FBC 9) (Final).xlsx</t>
        </is>
      </c>
    </row>
    <row r="471" spans="1:18">
      <c r="A471" s="43">
        <v>9</v>
      </c>
      <c r="B471" s="34" t="inlineStr">
        <is>
          <t xml:space="preserve">FBC9-D20</t>
        </is>
      </c>
      <c r="C471" s="34" t="inlineStr">
        <is>
          <t xml:space="preserve">Scramble-Stableford</t>
        </is>
      </c>
      <c r="D471" s="34" t="inlineStr">
        <is>
          <t xml:space="preserve">Scramble</t>
        </is>
      </c>
      <c r="E471" s="43">
        <v>9</v>
      </c>
      <c r="F471" s="45">
        <v>1</v>
      </c>
      <c r="G471" s="34" t="inlineStr">
        <is>
          <t xml:space="preserve">Zimmer</t>
        </is>
      </c>
      <c r="H471" s="34" t="inlineStr">
        <is>
          <t xml:space="preserve">Delneky</t>
        </is>
      </c>
      <c r="I471" s="34" t="inlineStr">
        <is>
          <t xml:space="preserve">Fogan</t>
        </is>
      </c>
      <c r="J471" s="34" t="inlineStr">
        <is>
          <t xml:space="preserve">Connors</t>
        </is>
      </c>
      <c r="K471" s="34" t="inlineStr">
        <is>
          <t xml:space="preserve">Shively</t>
        </is>
      </c>
      <c r="L471" s="45">
        <v>2</v>
      </c>
      <c r="M471" s="45">
        <v>1</v>
      </c>
      <c r="N471" s="34" t="inlineStr">
        <is>
          <t xml:space="preserve">Getting</t>
        </is>
      </c>
      <c r="O471" s="45">
        <v>1</v>
      </c>
      <c r="P471" s="45">
        <v>0.512</v>
      </c>
      <c r="Q471" s="45">
        <v>0.488</v>
      </c>
      <c r="R471" s="34" t="inlineStr">
        <is>
          <t xml:space="preserve">FBC 9/Handicaps (FBC 9) (Final).xlsx</t>
        </is>
      </c>
    </row>
    <row r="472" spans="1:18">
      <c r="A472" s="40">
        <v>9</v>
      </c>
      <c r="B472" s="31" t="inlineStr">
        <is>
          <t xml:space="preserve">FBC9-S-Cole-Ferrin</t>
        </is>
      </c>
      <c r="C472" s="31" t="inlineStr">
        <is>
          <t xml:space="preserve">Match Play</t>
        </is>
      </c>
      <c r="D472" s="31" t="inlineStr">
        <is>
          <t xml:space="preserve">Singles</t>
        </is>
      </c>
      <c r="E472" s="40">
        <v>18</v>
      </c>
      <c r="F472" s="42">
        <v>2</v>
      </c>
      <c r="G472" s="31" t="inlineStr">
        <is>
          <t xml:space="preserve">Gray</t>
        </is>
      </c>
      <c r="H472" s="31" t="inlineStr">
        <is>
          <t xml:space="preserve">Cole</t>
        </is>
      </c>
      <c r="I472" s="31"/>
      <c r="J472" s="31" t="inlineStr">
        <is>
          <t xml:space="preserve">Ferrin</t>
        </is>
      </c>
      <c r="K472" s="31"/>
      <c r="L472" s="42">
        <v>2.02</v>
      </c>
      <c r="M472" s="42">
        <v>2.02</v>
      </c>
      <c r="N472" s="31" t="inlineStr">
        <is>
          <t xml:space="preserve">Getting</t>
        </is>
      </c>
      <c r="O472" s="42">
        <v>0</v>
      </c>
      <c r="P472" s="42">
        <v>0.878</v>
      </c>
      <c r="Q472" s="42">
        <v>-0.878</v>
      </c>
      <c r="R472" s="31" t="inlineStr">
        <is>
          <t xml:space="preserve">Index x slope (Handicaps tab)</t>
        </is>
      </c>
    </row>
    <row r="473" spans="1:18">
      <c r="A473" s="43">
        <v>9</v>
      </c>
      <c r="B473" s="34" t="inlineStr">
        <is>
          <t xml:space="preserve">FBC9-S-Cole-Ferrin</t>
        </is>
      </c>
      <c r="C473" s="34" t="inlineStr">
        <is>
          <t xml:space="preserve">Match Play</t>
        </is>
      </c>
      <c r="D473" s="34" t="inlineStr">
        <is>
          <t xml:space="preserve">Singles</t>
        </is>
      </c>
      <c r="E473" s="43">
        <v>18</v>
      </c>
      <c r="F473" s="45">
        <v>2</v>
      </c>
      <c r="G473" s="34" t="inlineStr">
        <is>
          <t xml:space="preserve">Zimmer</t>
        </is>
      </c>
      <c r="H473" s="34" t="inlineStr">
        <is>
          <t xml:space="preserve">Ferrin</t>
        </is>
      </c>
      <c r="I473" s="34"/>
      <c r="J473" s="34" t="inlineStr">
        <is>
          <t xml:space="preserve">Cole</t>
        </is>
      </c>
      <c r="K473" s="34"/>
      <c r="L473" s="45">
        <v>-2.02</v>
      </c>
      <c r="M473" s="45">
        <v>-2.02</v>
      </c>
      <c r="N473" s="34" t="inlineStr">
        <is>
          <t xml:space="preserve">Giving</t>
        </is>
      </c>
      <c r="O473" s="45">
        <v>2</v>
      </c>
      <c r="P473" s="45">
        <v>1.122</v>
      </c>
      <c r="Q473" s="45">
        <v>0.878</v>
      </c>
      <c r="R473" s="34" t="inlineStr">
        <is>
          <t xml:space="preserve">Index x slope (Handicaps tab)</t>
        </is>
      </c>
    </row>
    <row r="474" spans="1:18">
      <c r="A474" s="40">
        <v>9</v>
      </c>
      <c r="B474" s="31" t="inlineStr">
        <is>
          <t xml:space="preserve">FBC9-S-Connolly-Welker</t>
        </is>
      </c>
      <c r="C474" s="31" t="inlineStr">
        <is>
          <t xml:space="preserve">Match Play</t>
        </is>
      </c>
      <c r="D474" s="31" t="inlineStr">
        <is>
          <t xml:space="preserve">Singles</t>
        </is>
      </c>
      <c r="E474" s="40">
        <v>18</v>
      </c>
      <c r="F474" s="42">
        <v>2</v>
      </c>
      <c r="G474" s="31" t="inlineStr">
        <is>
          <t xml:space="preserve">Gray</t>
        </is>
      </c>
      <c r="H474" s="31" t="inlineStr">
        <is>
          <t xml:space="preserve">Connolly</t>
        </is>
      </c>
      <c r="I474" s="31"/>
      <c r="J474" s="31" t="inlineStr">
        <is>
          <t xml:space="preserve">Welker</t>
        </is>
      </c>
      <c r="K474" s="31"/>
      <c r="L474" s="42">
        <v>-1.19</v>
      </c>
      <c r="M474" s="42">
        <v>-1.19</v>
      </c>
      <c r="N474" s="31" t="inlineStr">
        <is>
          <t xml:space="preserve">Giving</t>
        </is>
      </c>
      <c r="O474" s="42">
        <v>0</v>
      </c>
      <c r="P474" s="42">
        <v>1.138</v>
      </c>
      <c r="Q474" s="42">
        <v>-1.138</v>
      </c>
      <c r="R474" s="31" t="inlineStr">
        <is>
          <t xml:space="preserve">Index x slope (Handicaps tab)</t>
        </is>
      </c>
    </row>
    <row r="475" spans="1:18">
      <c r="A475" s="43">
        <v>9</v>
      </c>
      <c r="B475" s="34" t="inlineStr">
        <is>
          <t xml:space="preserve">FBC9-S-Connolly-Welker</t>
        </is>
      </c>
      <c r="C475" s="34" t="inlineStr">
        <is>
          <t xml:space="preserve">Match Play</t>
        </is>
      </c>
      <c r="D475" s="34" t="inlineStr">
        <is>
          <t xml:space="preserve">Singles</t>
        </is>
      </c>
      <c r="E475" s="43">
        <v>18</v>
      </c>
      <c r="F475" s="45">
        <v>2</v>
      </c>
      <c r="G475" s="34" t="inlineStr">
        <is>
          <t xml:space="preserve">Zimmer</t>
        </is>
      </c>
      <c r="H475" s="34" t="inlineStr">
        <is>
          <t xml:space="preserve">Welker</t>
        </is>
      </c>
      <c r="I475" s="34"/>
      <c r="J475" s="34" t="inlineStr">
        <is>
          <t xml:space="preserve">Connolly</t>
        </is>
      </c>
      <c r="K475" s="34"/>
      <c r="L475" s="45">
        <v>1.19</v>
      </c>
      <c r="M475" s="45">
        <v>1.19</v>
      </c>
      <c r="N475" s="34" t="inlineStr">
        <is>
          <t xml:space="preserve">Getting</t>
        </is>
      </c>
      <c r="O475" s="45">
        <v>2</v>
      </c>
      <c r="P475" s="45">
        <v>0.862</v>
      </c>
      <c r="Q475" s="45">
        <v>1.138</v>
      </c>
      <c r="R475" s="34" t="inlineStr">
        <is>
          <t xml:space="preserve">Index x slope (Handicaps tab)</t>
        </is>
      </c>
    </row>
    <row r="476" spans="1:18">
      <c r="A476" s="40">
        <v>9</v>
      </c>
      <c r="B476" s="31" t="inlineStr">
        <is>
          <t xml:space="preserve">FBC9-S-Connors-DeOteris</t>
        </is>
      </c>
      <c r="C476" s="31" t="inlineStr">
        <is>
          <t xml:space="preserve">Match Play</t>
        </is>
      </c>
      <c r="D476" s="31" t="inlineStr">
        <is>
          <t xml:space="preserve">Singles</t>
        </is>
      </c>
      <c r="E476" s="40">
        <v>18</v>
      </c>
      <c r="F476" s="42">
        <v>2</v>
      </c>
      <c r="G476" s="31" t="inlineStr">
        <is>
          <t xml:space="preserve">Gray</t>
        </is>
      </c>
      <c r="H476" s="31" t="inlineStr">
        <is>
          <t xml:space="preserve">Connors</t>
        </is>
      </c>
      <c r="I476" s="31"/>
      <c r="J476" s="31" t="inlineStr">
        <is>
          <t xml:space="preserve">DeOteris</t>
        </is>
      </c>
      <c r="K476" s="31"/>
      <c r="L476" s="42">
        <v>6.88</v>
      </c>
      <c r="M476" s="42">
        <v>6.88</v>
      </c>
      <c r="N476" s="31" t="inlineStr">
        <is>
          <t xml:space="preserve">Getting</t>
        </is>
      </c>
      <c r="O476" s="42">
        <v>1</v>
      </c>
      <c r="P476" s="42">
        <v>0.973</v>
      </c>
      <c r="Q476" s="42">
        <v>0.027</v>
      </c>
      <c r="R476" s="31" t="inlineStr">
        <is>
          <t xml:space="preserve">Index x slope (Handicaps tab)</t>
        </is>
      </c>
    </row>
    <row r="477" spans="1:18">
      <c r="A477" s="43">
        <v>9</v>
      </c>
      <c r="B477" s="34" t="inlineStr">
        <is>
          <t xml:space="preserve">FBC9-S-Connors-DeOteris</t>
        </is>
      </c>
      <c r="C477" s="34" t="inlineStr">
        <is>
          <t xml:space="preserve">Match Play</t>
        </is>
      </c>
      <c r="D477" s="34" t="inlineStr">
        <is>
          <t xml:space="preserve">Singles</t>
        </is>
      </c>
      <c r="E477" s="43">
        <v>18</v>
      </c>
      <c r="F477" s="45">
        <v>2</v>
      </c>
      <c r="G477" s="34" t="inlineStr">
        <is>
          <t xml:space="preserve">Zimmer</t>
        </is>
      </c>
      <c r="H477" s="34" t="inlineStr">
        <is>
          <t xml:space="preserve">DeOteris</t>
        </is>
      </c>
      <c r="I477" s="34"/>
      <c r="J477" s="34" t="inlineStr">
        <is>
          <t xml:space="preserve">Connors</t>
        </is>
      </c>
      <c r="K477" s="34"/>
      <c r="L477" s="45">
        <v>-6.88</v>
      </c>
      <c r="M477" s="45">
        <v>-6.88</v>
      </c>
      <c r="N477" s="34" t="inlineStr">
        <is>
          <t xml:space="preserve">Giving</t>
        </is>
      </c>
      <c r="O477" s="45">
        <v>1</v>
      </c>
      <c r="P477" s="45">
        <v>1.027</v>
      </c>
      <c r="Q477" s="45">
        <v>-0.027</v>
      </c>
      <c r="R477" s="34" t="inlineStr">
        <is>
          <t xml:space="preserve">Index x slope (Handicaps tab)</t>
        </is>
      </c>
    </row>
    <row r="478" spans="1:18">
      <c r="A478" s="40">
        <v>9</v>
      </c>
      <c r="B478" s="31" t="inlineStr">
        <is>
          <t xml:space="preserve">FBC9-S-Delaney-Delneky</t>
        </is>
      </c>
      <c r="C478" s="31" t="inlineStr">
        <is>
          <t xml:space="preserve">Match Play</t>
        </is>
      </c>
      <c r="D478" s="31" t="inlineStr">
        <is>
          <t xml:space="preserve">Singles</t>
        </is>
      </c>
      <c r="E478" s="40">
        <v>18</v>
      </c>
      <c r="F478" s="42">
        <v>2</v>
      </c>
      <c r="G478" s="31" t="inlineStr">
        <is>
          <t xml:space="preserve">Gray</t>
        </is>
      </c>
      <c r="H478" s="31" t="inlineStr">
        <is>
          <t xml:space="preserve">Delaney</t>
        </is>
      </c>
      <c r="I478" s="31"/>
      <c r="J478" s="31" t="inlineStr">
        <is>
          <t xml:space="preserve">Delneky</t>
        </is>
      </c>
      <c r="K478" s="31"/>
      <c r="L478" s="42">
        <v>-9.25</v>
      </c>
      <c r="M478" s="42">
        <v>-9.25</v>
      </c>
      <c r="N478" s="31" t="inlineStr">
        <is>
          <t xml:space="preserve">Giving</t>
        </is>
      </c>
      <c r="O478" s="42">
        <v>2</v>
      </c>
      <c r="P478" s="42">
        <v>0.981</v>
      </c>
      <c r="Q478" s="42">
        <v>1.019</v>
      </c>
      <c r="R478" s="31" t="inlineStr">
        <is>
          <t xml:space="preserve">Index x slope (Handicaps tab)</t>
        </is>
      </c>
    </row>
    <row r="479" spans="1:18">
      <c r="A479" s="43">
        <v>9</v>
      </c>
      <c r="B479" s="34" t="inlineStr">
        <is>
          <t xml:space="preserve">FBC9-S-Delaney-Delneky</t>
        </is>
      </c>
      <c r="C479" s="34" t="inlineStr">
        <is>
          <t xml:space="preserve">Match Play</t>
        </is>
      </c>
      <c r="D479" s="34" t="inlineStr">
        <is>
          <t xml:space="preserve">Singles</t>
        </is>
      </c>
      <c r="E479" s="43">
        <v>18</v>
      </c>
      <c r="F479" s="45">
        <v>2</v>
      </c>
      <c r="G479" s="34" t="inlineStr">
        <is>
          <t xml:space="preserve">Zimmer</t>
        </is>
      </c>
      <c r="H479" s="34" t="inlineStr">
        <is>
          <t xml:space="preserve">Delneky</t>
        </is>
      </c>
      <c r="I479" s="34"/>
      <c r="J479" s="34" t="inlineStr">
        <is>
          <t xml:space="preserve">Delaney</t>
        </is>
      </c>
      <c r="K479" s="34"/>
      <c r="L479" s="45">
        <v>9.25</v>
      </c>
      <c r="M479" s="45">
        <v>9.25</v>
      </c>
      <c r="N479" s="34" t="inlineStr">
        <is>
          <t xml:space="preserve">Getting</t>
        </is>
      </c>
      <c r="O479" s="45">
        <v>0</v>
      </c>
      <c r="P479" s="45">
        <v>1.019</v>
      </c>
      <c r="Q479" s="45">
        <v>-1.019</v>
      </c>
      <c r="R479" s="34" t="inlineStr">
        <is>
          <t xml:space="preserve">Index x slope (Handicaps tab)</t>
        </is>
      </c>
    </row>
    <row r="480" spans="1:18">
      <c r="A480" s="40">
        <v>9</v>
      </c>
      <c r="B480" s="31" t="inlineStr">
        <is>
          <t xml:space="preserve">FBC9-S-Flanders-Poirier</t>
        </is>
      </c>
      <c r="C480" s="31" t="inlineStr">
        <is>
          <t xml:space="preserve">Match Play</t>
        </is>
      </c>
      <c r="D480" s="31" t="inlineStr">
        <is>
          <t xml:space="preserve">Singles</t>
        </is>
      </c>
      <c r="E480" s="40">
        <v>18</v>
      </c>
      <c r="F480" s="42">
        <v>2</v>
      </c>
      <c r="G480" s="31" t="inlineStr">
        <is>
          <t xml:space="preserve">Gray</t>
        </is>
      </c>
      <c r="H480" s="31" t="inlineStr">
        <is>
          <t xml:space="preserve">Flanders</t>
        </is>
      </c>
      <c r="I480" s="31"/>
      <c r="J480" s="31" t="inlineStr">
        <is>
          <t xml:space="preserve">Poirier</t>
        </is>
      </c>
      <c r="K480" s="31"/>
      <c r="L480" s="42">
        <v>2.13</v>
      </c>
      <c r="M480" s="42">
        <v>2.13</v>
      </c>
      <c r="N480" s="31" t="inlineStr">
        <is>
          <t xml:space="preserve">Getting</t>
        </is>
      </c>
      <c r="O480" s="42">
        <v>1</v>
      </c>
      <c r="P480" s="42">
        <v>0.881</v>
      </c>
      <c r="Q480" s="42">
        <v>0.119</v>
      </c>
      <c r="R480" s="31" t="inlineStr">
        <is>
          <t xml:space="preserve">Index x slope (Handicaps tab)</t>
        </is>
      </c>
    </row>
    <row r="481" spans="1:18">
      <c r="A481" s="43">
        <v>9</v>
      </c>
      <c r="B481" s="34" t="inlineStr">
        <is>
          <t xml:space="preserve">FBC9-S-Flanders-Poirier</t>
        </is>
      </c>
      <c r="C481" s="34" t="inlineStr">
        <is>
          <t xml:space="preserve">Match Play</t>
        </is>
      </c>
      <c r="D481" s="34" t="inlineStr">
        <is>
          <t xml:space="preserve">Singles</t>
        </is>
      </c>
      <c r="E481" s="43">
        <v>18</v>
      </c>
      <c r="F481" s="45">
        <v>2</v>
      </c>
      <c r="G481" s="34" t="inlineStr">
        <is>
          <t xml:space="preserve">Zimmer</t>
        </is>
      </c>
      <c r="H481" s="34" t="inlineStr">
        <is>
          <t xml:space="preserve">Poirier</t>
        </is>
      </c>
      <c r="I481" s="34"/>
      <c r="J481" s="34" t="inlineStr">
        <is>
          <t xml:space="preserve">Flanders</t>
        </is>
      </c>
      <c r="K481" s="34"/>
      <c r="L481" s="45">
        <v>-2.13</v>
      </c>
      <c r="M481" s="45">
        <v>-2.13</v>
      </c>
      <c r="N481" s="34" t="inlineStr">
        <is>
          <t xml:space="preserve">Giving</t>
        </is>
      </c>
      <c r="O481" s="45">
        <v>1</v>
      </c>
      <c r="P481" s="45">
        <v>1.119</v>
      </c>
      <c r="Q481" s="45">
        <v>-0.119</v>
      </c>
      <c r="R481" s="34" t="inlineStr">
        <is>
          <t xml:space="preserve">Index x slope (Handicaps tab)</t>
        </is>
      </c>
    </row>
    <row r="482" spans="1:18">
      <c r="A482" s="40">
        <v>9</v>
      </c>
      <c r="B482" s="31" t="inlineStr">
        <is>
          <t xml:space="preserve">FBC9-S-Fogan-Hilts</t>
        </is>
      </c>
      <c r="C482" s="31" t="inlineStr">
        <is>
          <t xml:space="preserve">Match Play</t>
        </is>
      </c>
      <c r="D482" s="31" t="inlineStr">
        <is>
          <t xml:space="preserve">Singles</t>
        </is>
      </c>
      <c r="E482" s="40">
        <v>18</v>
      </c>
      <c r="F482" s="42">
        <v>2</v>
      </c>
      <c r="G482" s="31" t="inlineStr">
        <is>
          <t xml:space="preserve">Gray</t>
        </is>
      </c>
      <c r="H482" s="31" t="inlineStr">
        <is>
          <t xml:space="preserve">Hilts</t>
        </is>
      </c>
      <c r="I482" s="31"/>
      <c r="J482" s="31" t="inlineStr">
        <is>
          <t xml:space="preserve">Fogan</t>
        </is>
      </c>
      <c r="K482" s="31"/>
      <c r="L482" s="42">
        <v>-0.12</v>
      </c>
      <c r="M482" s="42">
        <v>-0.12</v>
      </c>
      <c r="N482" s="31" t="inlineStr">
        <is>
          <t xml:space="preserve">Even</t>
        </is>
      </c>
      <c r="O482" s="42">
        <v>0</v>
      </c>
      <c r="P482" s="42">
        <v>0.998</v>
      </c>
      <c r="Q482" s="42">
        <v>-0.998</v>
      </c>
      <c r="R482" s="31" t="inlineStr">
        <is>
          <t xml:space="preserve">Index x slope (Handicaps tab)</t>
        </is>
      </c>
    </row>
    <row r="483" spans="1:18">
      <c r="A483" s="43">
        <v>9</v>
      </c>
      <c r="B483" s="34" t="inlineStr">
        <is>
          <t xml:space="preserve">FBC9-S-Fogan-Hilts</t>
        </is>
      </c>
      <c r="C483" s="34" t="inlineStr">
        <is>
          <t xml:space="preserve">Match Play</t>
        </is>
      </c>
      <c r="D483" s="34" t="inlineStr">
        <is>
          <t xml:space="preserve">Singles</t>
        </is>
      </c>
      <c r="E483" s="43">
        <v>18</v>
      </c>
      <c r="F483" s="45">
        <v>2</v>
      </c>
      <c r="G483" s="34" t="inlineStr">
        <is>
          <t xml:space="preserve">Zimmer</t>
        </is>
      </c>
      <c r="H483" s="34" t="inlineStr">
        <is>
          <t xml:space="preserve">Fogan</t>
        </is>
      </c>
      <c r="I483" s="34"/>
      <c r="J483" s="34" t="inlineStr">
        <is>
          <t xml:space="preserve">Hilts</t>
        </is>
      </c>
      <c r="K483" s="34"/>
      <c r="L483" s="45">
        <v>0.12</v>
      </c>
      <c r="M483" s="45">
        <v>0.12</v>
      </c>
      <c r="N483" s="34" t="inlineStr">
        <is>
          <t xml:space="preserve">Even</t>
        </is>
      </c>
      <c r="O483" s="45">
        <v>2</v>
      </c>
      <c r="P483" s="45">
        <v>1.002</v>
      </c>
      <c r="Q483" s="45">
        <v>0.998</v>
      </c>
      <c r="R483" s="34" t="inlineStr">
        <is>
          <t xml:space="preserve">Index x slope (Handicaps tab)</t>
        </is>
      </c>
    </row>
    <row r="484" spans="1:18">
      <c r="A484" s="40">
        <v>9</v>
      </c>
      <c r="B484" s="31" t="inlineStr">
        <is>
          <t xml:space="preserve">FBC9-S-Forster-Perkins</t>
        </is>
      </c>
      <c r="C484" s="31" t="inlineStr">
        <is>
          <t xml:space="preserve">Match Play</t>
        </is>
      </c>
      <c r="D484" s="31" t="inlineStr">
        <is>
          <t xml:space="preserve">Singles</t>
        </is>
      </c>
      <c r="E484" s="40">
        <v>18</v>
      </c>
      <c r="F484" s="42">
        <v>2</v>
      </c>
      <c r="G484" s="31" t="inlineStr">
        <is>
          <t xml:space="preserve">Gray</t>
        </is>
      </c>
      <c r="H484" s="31" t="inlineStr">
        <is>
          <t xml:space="preserve">Perkins</t>
        </is>
      </c>
      <c r="I484" s="31"/>
      <c r="J484" s="31" t="inlineStr">
        <is>
          <t xml:space="preserve">Forster</t>
        </is>
      </c>
      <c r="K484" s="31"/>
      <c r="L484" s="42">
        <v>-3.79</v>
      </c>
      <c r="M484" s="42">
        <v>-3.79</v>
      </c>
      <c r="N484" s="31" t="inlineStr">
        <is>
          <t xml:space="preserve">Giving</t>
        </is>
      </c>
      <c r="O484" s="42">
        <v>2</v>
      </c>
      <c r="P484" s="42">
        <v>1.087</v>
      </c>
      <c r="Q484" s="42">
        <v>0.913</v>
      </c>
      <c r="R484" s="31" t="inlineStr">
        <is>
          <t xml:space="preserve">Index x slope (Handicaps tab)</t>
        </is>
      </c>
    </row>
    <row r="485" spans="1:18">
      <c r="A485" s="43">
        <v>9</v>
      </c>
      <c r="B485" s="34" t="inlineStr">
        <is>
          <t xml:space="preserve">FBC9-S-Forster-Perkins</t>
        </is>
      </c>
      <c r="C485" s="34" t="inlineStr">
        <is>
          <t xml:space="preserve">Match Play</t>
        </is>
      </c>
      <c r="D485" s="34" t="inlineStr">
        <is>
          <t xml:space="preserve">Singles</t>
        </is>
      </c>
      <c r="E485" s="43">
        <v>18</v>
      </c>
      <c r="F485" s="45">
        <v>2</v>
      </c>
      <c r="G485" s="34" t="inlineStr">
        <is>
          <t xml:space="preserve">Zimmer</t>
        </is>
      </c>
      <c r="H485" s="34" t="inlineStr">
        <is>
          <t xml:space="preserve">Forster</t>
        </is>
      </c>
      <c r="I485" s="34"/>
      <c r="J485" s="34" t="inlineStr">
        <is>
          <t xml:space="preserve">Perkins</t>
        </is>
      </c>
      <c r="K485" s="34"/>
      <c r="L485" s="45">
        <v>3.79</v>
      </c>
      <c r="M485" s="45">
        <v>3.79</v>
      </c>
      <c r="N485" s="34" t="inlineStr">
        <is>
          <t xml:space="preserve">Getting</t>
        </is>
      </c>
      <c r="O485" s="45">
        <v>0</v>
      </c>
      <c r="P485" s="45">
        <v>0.913</v>
      </c>
      <c r="Q485" s="45">
        <v>-0.913</v>
      </c>
      <c r="R485" s="34" t="inlineStr">
        <is>
          <t xml:space="preserve">Index x slope (Handicaps tab)</t>
        </is>
      </c>
    </row>
    <row r="486" spans="1:18">
      <c r="A486" s="40">
        <v>9</v>
      </c>
      <c r="B486" s="31" t="inlineStr">
        <is>
          <t xml:space="preserve">FBC9-S-Grise-McInerney</t>
        </is>
      </c>
      <c r="C486" s="31" t="inlineStr">
        <is>
          <t xml:space="preserve">Match Play</t>
        </is>
      </c>
      <c r="D486" s="31" t="inlineStr">
        <is>
          <t xml:space="preserve">Singles</t>
        </is>
      </c>
      <c r="E486" s="40">
        <v>18</v>
      </c>
      <c r="F486" s="42">
        <v>2</v>
      </c>
      <c r="G486" s="31" t="inlineStr">
        <is>
          <t xml:space="preserve">Gray</t>
        </is>
      </c>
      <c r="H486" s="31" t="inlineStr">
        <is>
          <t xml:space="preserve">McInerney</t>
        </is>
      </c>
      <c r="I486" s="31"/>
      <c r="J486" s="31" t="inlineStr">
        <is>
          <t xml:space="preserve">Grise</t>
        </is>
      </c>
      <c r="K486" s="31"/>
      <c r="L486" s="42">
        <v>-7.59</v>
      </c>
      <c r="M486" s="42">
        <v>-7.59</v>
      </c>
      <c r="N486" s="31" t="inlineStr">
        <is>
          <t xml:space="preserve">Giving</t>
        </is>
      </c>
      <c r="O486" s="42">
        <v>2</v>
      </c>
      <c r="P486" s="42">
        <v>1.013</v>
      </c>
      <c r="Q486" s="42">
        <v>0.987</v>
      </c>
      <c r="R486" s="31" t="inlineStr">
        <is>
          <t xml:space="preserve">Index x slope (Handicaps tab)</t>
        </is>
      </c>
    </row>
    <row r="487" spans="1:18">
      <c r="A487" s="43">
        <v>9</v>
      </c>
      <c r="B487" s="34" t="inlineStr">
        <is>
          <t xml:space="preserve">FBC9-S-Grise-McInerney</t>
        </is>
      </c>
      <c r="C487" s="34" t="inlineStr">
        <is>
          <t xml:space="preserve">Match Play</t>
        </is>
      </c>
      <c r="D487" s="34" t="inlineStr">
        <is>
          <t xml:space="preserve">Singles</t>
        </is>
      </c>
      <c r="E487" s="43">
        <v>18</v>
      </c>
      <c r="F487" s="45">
        <v>2</v>
      </c>
      <c r="G487" s="34" t="inlineStr">
        <is>
          <t xml:space="preserve">Zimmer</t>
        </is>
      </c>
      <c r="H487" s="34" t="inlineStr">
        <is>
          <t xml:space="preserve">Grise</t>
        </is>
      </c>
      <c r="I487" s="34"/>
      <c r="J487" s="34" t="inlineStr">
        <is>
          <t xml:space="preserve">McInerney</t>
        </is>
      </c>
      <c r="K487" s="34"/>
      <c r="L487" s="45">
        <v>7.59</v>
      </c>
      <c r="M487" s="45">
        <v>7.59</v>
      </c>
      <c r="N487" s="34" t="inlineStr">
        <is>
          <t xml:space="preserve">Getting</t>
        </is>
      </c>
      <c r="O487" s="45">
        <v>0</v>
      </c>
      <c r="P487" s="45">
        <v>0.987</v>
      </c>
      <c r="Q487" s="45">
        <v>-0.987</v>
      </c>
      <c r="R487" s="34" t="inlineStr">
        <is>
          <t xml:space="preserve">Index x slope (Handicaps tab)</t>
        </is>
      </c>
    </row>
    <row r="488" spans="1:18">
      <c r="A488" s="40">
        <v>9</v>
      </c>
      <c r="B488" s="31" t="inlineStr">
        <is>
          <t xml:space="preserve">FBC9-S-Jackson-Lynch</t>
        </is>
      </c>
      <c r="C488" s="31" t="inlineStr">
        <is>
          <t xml:space="preserve">Match Play</t>
        </is>
      </c>
      <c r="D488" s="31" t="inlineStr">
        <is>
          <t xml:space="preserve">Singles</t>
        </is>
      </c>
      <c r="E488" s="40">
        <v>18</v>
      </c>
      <c r="F488" s="42">
        <v>2</v>
      </c>
      <c r="G488" s="31" t="inlineStr">
        <is>
          <t xml:space="preserve">Gray</t>
        </is>
      </c>
      <c r="H488" s="31" t="inlineStr">
        <is>
          <t xml:space="preserve">Lynch</t>
        </is>
      </c>
      <c r="I488" s="31"/>
      <c r="J488" s="31" t="inlineStr">
        <is>
          <t xml:space="preserve">Jackson</t>
        </is>
      </c>
      <c r="K488" s="31"/>
      <c r="L488" s="42">
        <v>0.59</v>
      </c>
      <c r="M488" s="42">
        <v>0.59</v>
      </c>
      <c r="N488" s="31" t="inlineStr">
        <is>
          <t xml:space="preserve">Getting</t>
        </is>
      </c>
      <c r="O488" s="42">
        <v>2</v>
      </c>
      <c r="P488" s="42">
        <v>0.851</v>
      </c>
      <c r="Q488" s="42">
        <v>1.149</v>
      </c>
      <c r="R488" s="31" t="inlineStr">
        <is>
          <t xml:space="preserve">Index x slope (Handicaps tab)</t>
        </is>
      </c>
    </row>
    <row r="489" spans="1:18">
      <c r="A489" s="43">
        <v>9</v>
      </c>
      <c r="B489" s="34" t="inlineStr">
        <is>
          <t xml:space="preserve">FBC9-S-Jackson-Lynch</t>
        </is>
      </c>
      <c r="C489" s="34" t="inlineStr">
        <is>
          <t xml:space="preserve">Match Play</t>
        </is>
      </c>
      <c r="D489" s="34" t="inlineStr">
        <is>
          <t xml:space="preserve">Singles</t>
        </is>
      </c>
      <c r="E489" s="43">
        <v>18</v>
      </c>
      <c r="F489" s="45">
        <v>2</v>
      </c>
      <c r="G489" s="34" t="inlineStr">
        <is>
          <t xml:space="preserve">Zimmer</t>
        </is>
      </c>
      <c r="H489" s="34" t="inlineStr">
        <is>
          <t xml:space="preserve">Jackson</t>
        </is>
      </c>
      <c r="I489" s="34"/>
      <c r="J489" s="34" t="inlineStr">
        <is>
          <t xml:space="preserve">Lynch</t>
        </is>
      </c>
      <c r="K489" s="34"/>
      <c r="L489" s="45">
        <v>-0.59</v>
      </c>
      <c r="M489" s="45">
        <v>-0.59</v>
      </c>
      <c r="N489" s="34" t="inlineStr">
        <is>
          <t xml:space="preserve">Giving</t>
        </is>
      </c>
      <c r="O489" s="45">
        <v>0</v>
      </c>
      <c r="P489" s="45">
        <v>1.149</v>
      </c>
      <c r="Q489" s="45">
        <v>-1.149</v>
      </c>
      <c r="R489" s="34" t="inlineStr">
        <is>
          <t xml:space="preserve">Index x slope (Handicaps tab)</t>
        </is>
      </c>
    </row>
    <row r="490" spans="1:18">
      <c r="A490" s="40">
        <v>9</v>
      </c>
      <c r="B490" s="31" t="inlineStr">
        <is>
          <t xml:space="preserve">FBC9-S-Shively-Zimmer</t>
        </is>
      </c>
      <c r="C490" s="31" t="inlineStr">
        <is>
          <t xml:space="preserve">Match Play</t>
        </is>
      </c>
      <c r="D490" s="31" t="inlineStr">
        <is>
          <t xml:space="preserve">Singles</t>
        </is>
      </c>
      <c r="E490" s="40">
        <v>18</v>
      </c>
      <c r="F490" s="42">
        <v>2</v>
      </c>
      <c r="G490" s="31" t="inlineStr">
        <is>
          <t xml:space="preserve">Gray</t>
        </is>
      </c>
      <c r="H490" s="31" t="inlineStr">
        <is>
          <t xml:space="preserve">Shively</t>
        </is>
      </c>
      <c r="I490" s="31"/>
      <c r="J490" s="31" t="inlineStr">
        <is>
          <t xml:space="preserve">Zimmer</t>
        </is>
      </c>
      <c r="K490" s="31"/>
      <c r="L490" s="42">
        <v>4.74</v>
      </c>
      <c r="M490" s="42">
        <v>4.74</v>
      </c>
      <c r="N490" s="31" t="inlineStr">
        <is>
          <t xml:space="preserve">Getting</t>
        </is>
      </c>
      <c r="O490" s="42">
        <v>0</v>
      </c>
      <c r="P490" s="42">
        <v>0.931</v>
      </c>
      <c r="Q490" s="42">
        <v>-0.931</v>
      </c>
      <c r="R490" s="31" t="inlineStr">
        <is>
          <t xml:space="preserve">Index x slope (Handicaps tab)</t>
        </is>
      </c>
    </row>
    <row r="491" spans="1:18">
      <c r="A491" s="43">
        <v>9</v>
      </c>
      <c r="B491" s="34" t="inlineStr">
        <is>
          <t xml:space="preserve">FBC9-S-Shively-Zimmer</t>
        </is>
      </c>
      <c r="C491" s="34" t="inlineStr">
        <is>
          <t xml:space="preserve">Match Play</t>
        </is>
      </c>
      <c r="D491" s="34" t="inlineStr">
        <is>
          <t xml:space="preserve">Singles</t>
        </is>
      </c>
      <c r="E491" s="43">
        <v>18</v>
      </c>
      <c r="F491" s="45">
        <v>2</v>
      </c>
      <c r="G491" s="34" t="inlineStr">
        <is>
          <t xml:space="preserve">Zimmer</t>
        </is>
      </c>
      <c r="H491" s="34" t="inlineStr">
        <is>
          <t xml:space="preserve">Zimmer</t>
        </is>
      </c>
      <c r="I491" s="34"/>
      <c r="J491" s="34" t="inlineStr">
        <is>
          <t xml:space="preserve">Shively</t>
        </is>
      </c>
      <c r="K491" s="34"/>
      <c r="L491" s="45">
        <v>-4.74</v>
      </c>
      <c r="M491" s="45">
        <v>-4.74</v>
      </c>
      <c r="N491" s="34" t="inlineStr">
        <is>
          <t xml:space="preserve">Giving</t>
        </is>
      </c>
      <c r="O491" s="45">
        <v>2</v>
      </c>
      <c r="P491" s="45">
        <v>1.069</v>
      </c>
      <c r="Q491" s="45">
        <v>0.931</v>
      </c>
      <c r="R491" s="34" t="inlineStr">
        <is>
          <t xml:space="preserve">Index x slope (Handicaps tab)</t>
        </is>
      </c>
    </row>
    <row r="492" spans="1:18">
      <c r="A492" s="40">
        <v>10</v>
      </c>
      <c r="B492" s="31" t="inlineStr">
        <is>
          <t xml:space="preserve">FBC10-D1</t>
        </is>
      </c>
      <c r="C492" s="31" t="inlineStr">
        <is>
          <t xml:space="preserve">Best Ball</t>
        </is>
      </c>
      <c r="D492" s="31" t="inlineStr">
        <is>
          <t xml:space="preserve">Four-ball</t>
        </is>
      </c>
      <c r="E492" s="40">
        <v>9</v>
      </c>
      <c r="F492" s="42">
        <v>1</v>
      </c>
      <c r="G492" s="31" t="inlineStr">
        <is>
          <t xml:space="preserve">McInerney</t>
        </is>
      </c>
      <c r="H492" s="31" t="inlineStr">
        <is>
          <t xml:space="preserve">Connors</t>
        </is>
      </c>
      <c r="I492" s="31" t="inlineStr">
        <is>
          <t xml:space="preserve">Mangold</t>
        </is>
      </c>
      <c r="J492" s="31" t="inlineStr">
        <is>
          <t xml:space="preserve">Cole</t>
        </is>
      </c>
      <c r="K492" s="31" t="inlineStr">
        <is>
          <t xml:space="preserve">Hilts</t>
        </is>
      </c>
      <c r="L492" s="42">
        <v>1.5</v>
      </c>
      <c r="M492" s="42">
        <v>0.75</v>
      </c>
      <c r="N492" s="31" t="inlineStr">
        <is>
          <t xml:space="preserve">Getting</t>
        </is>
      </c>
      <c r="O492" s="42">
        <v>0</v>
      </c>
      <c r="P492" s="42">
        <v>0.425</v>
      </c>
      <c r="Q492" s="42">
        <v>-0.425</v>
      </c>
      <c r="R492" s="31" t="inlineStr">
        <is>
          <t xml:space="preserve">FBC 10/Handicaps (FBC 10).xlsx</t>
        </is>
      </c>
    </row>
    <row r="493" spans="1:18">
      <c r="A493" s="43">
        <v>10</v>
      </c>
      <c r="B493" s="34" t="inlineStr">
        <is>
          <t xml:space="preserve">FBC10-D1</t>
        </is>
      </c>
      <c r="C493" s="34" t="inlineStr">
        <is>
          <t xml:space="preserve">Best Ball</t>
        </is>
      </c>
      <c r="D493" s="34" t="inlineStr">
        <is>
          <t xml:space="preserve">Four-ball</t>
        </is>
      </c>
      <c r="E493" s="43">
        <v>9</v>
      </c>
      <c r="F493" s="45">
        <v>1</v>
      </c>
      <c r="G493" s="34" t="inlineStr">
        <is>
          <t xml:space="preserve">Cole</t>
        </is>
      </c>
      <c r="H493" s="34" t="inlineStr">
        <is>
          <t xml:space="preserve">Cole</t>
        </is>
      </c>
      <c r="I493" s="34" t="inlineStr">
        <is>
          <t xml:space="preserve">Hilts</t>
        </is>
      </c>
      <c r="J493" s="34" t="inlineStr">
        <is>
          <t xml:space="preserve">Connors</t>
        </is>
      </c>
      <c r="K493" s="34" t="inlineStr">
        <is>
          <t xml:space="preserve">Mangold</t>
        </is>
      </c>
      <c r="L493" s="45">
        <v>-1.5</v>
      </c>
      <c r="M493" s="45">
        <v>-0.75</v>
      </c>
      <c r="N493" s="34" t="inlineStr">
        <is>
          <t xml:space="preserve">Giving</t>
        </is>
      </c>
      <c r="O493" s="45">
        <v>1</v>
      </c>
      <c r="P493" s="45">
        <v>0.575</v>
      </c>
      <c r="Q493" s="45">
        <v>0.425</v>
      </c>
      <c r="R493" s="34" t="inlineStr">
        <is>
          <t xml:space="preserve">FBC 10/Handicaps (FBC 10).xlsx</t>
        </is>
      </c>
    </row>
    <row r="494" spans="1:18">
      <c r="A494" s="40">
        <v>10</v>
      </c>
      <c r="B494" s="31" t="inlineStr">
        <is>
          <t xml:space="preserve">FBC10-D2</t>
        </is>
      </c>
      <c r="C494" s="31" t="inlineStr">
        <is>
          <t xml:space="preserve">Best Ball</t>
        </is>
      </c>
      <c r="D494" s="31" t="inlineStr">
        <is>
          <t xml:space="preserve">Four-ball</t>
        </is>
      </c>
      <c r="E494" s="40">
        <v>9</v>
      </c>
      <c r="F494" s="42">
        <v>1</v>
      </c>
      <c r="G494" s="31" t="inlineStr">
        <is>
          <t xml:space="preserve">Cole</t>
        </is>
      </c>
      <c r="H494" s="31" t="inlineStr">
        <is>
          <t xml:space="preserve">Ferrin</t>
        </is>
      </c>
      <c r="I494" s="31" t="inlineStr">
        <is>
          <t xml:space="preserve">Grise</t>
        </is>
      </c>
      <c r="J494" s="31" t="inlineStr">
        <is>
          <t xml:space="preserve">Jackson</t>
        </is>
      </c>
      <c r="K494" s="31" t="inlineStr">
        <is>
          <t xml:space="preserve">Zimmer</t>
        </is>
      </c>
      <c r="L494" s="42">
        <v>4</v>
      </c>
      <c r="M494" s="42">
        <v>2</v>
      </c>
      <c r="N494" s="31" t="inlineStr">
        <is>
          <t xml:space="preserve">Getting</t>
        </is>
      </c>
      <c r="O494" s="42">
        <v>0</v>
      </c>
      <c r="P494" s="42">
        <v>0.433</v>
      </c>
      <c r="Q494" s="42">
        <v>-0.433</v>
      </c>
      <c r="R494" s="31" t="inlineStr">
        <is>
          <t xml:space="preserve">FBC 10/Handicaps (FBC 10).xlsx</t>
        </is>
      </c>
    </row>
    <row r="495" spans="1:18">
      <c r="A495" s="43">
        <v>10</v>
      </c>
      <c r="B495" s="34" t="inlineStr">
        <is>
          <t xml:space="preserve">FBC10-D2</t>
        </is>
      </c>
      <c r="C495" s="34" t="inlineStr">
        <is>
          <t xml:space="preserve">Best Ball</t>
        </is>
      </c>
      <c r="D495" s="34" t="inlineStr">
        <is>
          <t xml:space="preserve">Four-ball</t>
        </is>
      </c>
      <c r="E495" s="43">
        <v>9</v>
      </c>
      <c r="F495" s="45">
        <v>1</v>
      </c>
      <c r="G495" s="34" t="inlineStr">
        <is>
          <t xml:space="preserve">McInerney</t>
        </is>
      </c>
      <c r="H495" s="34" t="inlineStr">
        <is>
          <t xml:space="preserve">Jackson</t>
        </is>
      </c>
      <c r="I495" s="34" t="inlineStr">
        <is>
          <t xml:space="preserve">Zimmer</t>
        </is>
      </c>
      <c r="J495" s="34" t="inlineStr">
        <is>
          <t xml:space="preserve">Ferrin</t>
        </is>
      </c>
      <c r="K495" s="34" t="inlineStr">
        <is>
          <t xml:space="preserve">Grise</t>
        </is>
      </c>
      <c r="L495" s="45">
        <v>-4</v>
      </c>
      <c r="M495" s="45">
        <v>-2</v>
      </c>
      <c r="N495" s="34" t="inlineStr">
        <is>
          <t xml:space="preserve">Giving</t>
        </is>
      </c>
      <c r="O495" s="45">
        <v>1</v>
      </c>
      <c r="P495" s="45">
        <v>0.567</v>
      </c>
      <c r="Q495" s="45">
        <v>0.433</v>
      </c>
      <c r="R495" s="34" t="inlineStr">
        <is>
          <t xml:space="preserve">FBC 10/Handicaps (FBC 10).xlsx</t>
        </is>
      </c>
    </row>
    <row r="496" spans="1:18">
      <c r="A496" s="40">
        <v>10</v>
      </c>
      <c r="B496" s="31" t="inlineStr">
        <is>
          <t xml:space="preserve">FBC10-D3</t>
        </is>
      </c>
      <c r="C496" s="31" t="inlineStr">
        <is>
          <t xml:space="preserve">Best Ball</t>
        </is>
      </c>
      <c r="D496" s="31" t="inlineStr">
        <is>
          <t xml:space="preserve">Four-ball</t>
        </is>
      </c>
      <c r="E496" s="40">
        <v>9</v>
      </c>
      <c r="F496" s="42">
        <v>1</v>
      </c>
      <c r="G496" s="31" t="inlineStr">
        <is>
          <t xml:space="preserve">McInerney</t>
        </is>
      </c>
      <c r="H496" s="31" t="inlineStr">
        <is>
          <t xml:space="preserve">Forster</t>
        </is>
      </c>
      <c r="I496" s="31" t="inlineStr">
        <is>
          <t xml:space="preserve">Welker</t>
        </is>
      </c>
      <c r="J496" s="31" t="inlineStr">
        <is>
          <t xml:space="preserve">Flanders</t>
        </is>
      </c>
      <c r="K496" s="31" t="inlineStr">
        <is>
          <t xml:space="preserve">Lynch</t>
        </is>
      </c>
      <c r="L496" s="42">
        <v>4.5</v>
      </c>
      <c r="M496" s="42">
        <v>2.25</v>
      </c>
      <c r="N496" s="31" t="inlineStr">
        <is>
          <t xml:space="preserve">Getting</t>
        </is>
      </c>
      <c r="O496" s="42">
        <v>0</v>
      </c>
      <c r="P496" s="42">
        <v>0.434</v>
      </c>
      <c r="Q496" s="42">
        <v>-0.434</v>
      </c>
      <c r="R496" s="31" t="inlineStr">
        <is>
          <t xml:space="preserve">FBC 10/Handicaps (FBC 10).xlsx</t>
        </is>
      </c>
    </row>
    <row r="497" spans="1:18">
      <c r="A497" s="43">
        <v>10</v>
      </c>
      <c r="B497" s="34" t="inlineStr">
        <is>
          <t xml:space="preserve">FBC10-D3</t>
        </is>
      </c>
      <c r="C497" s="34" t="inlineStr">
        <is>
          <t xml:space="preserve">Best Ball</t>
        </is>
      </c>
      <c r="D497" s="34" t="inlineStr">
        <is>
          <t xml:space="preserve">Four-ball</t>
        </is>
      </c>
      <c r="E497" s="43">
        <v>9</v>
      </c>
      <c r="F497" s="45">
        <v>1</v>
      </c>
      <c r="G497" s="34" t="inlineStr">
        <is>
          <t xml:space="preserve">Cole</t>
        </is>
      </c>
      <c r="H497" s="34" t="inlineStr">
        <is>
          <t xml:space="preserve">Flanders</t>
        </is>
      </c>
      <c r="I497" s="34" t="inlineStr">
        <is>
          <t xml:space="preserve">Lynch</t>
        </is>
      </c>
      <c r="J497" s="34" t="inlineStr">
        <is>
          <t xml:space="preserve">Forster</t>
        </is>
      </c>
      <c r="K497" s="34" t="inlineStr">
        <is>
          <t xml:space="preserve">Welker</t>
        </is>
      </c>
      <c r="L497" s="45">
        <v>-4.5</v>
      </c>
      <c r="M497" s="45">
        <v>-2.25</v>
      </c>
      <c r="N497" s="34" t="inlineStr">
        <is>
          <t xml:space="preserve">Giving</t>
        </is>
      </c>
      <c r="O497" s="45">
        <v>1</v>
      </c>
      <c r="P497" s="45">
        <v>0.566</v>
      </c>
      <c r="Q497" s="45">
        <v>0.434</v>
      </c>
      <c r="R497" s="34" t="inlineStr">
        <is>
          <t xml:space="preserve">FBC 10/Handicaps (FBC 10).xlsx</t>
        </is>
      </c>
    </row>
    <row r="498" spans="1:18">
      <c r="A498" s="40">
        <v>10</v>
      </c>
      <c r="B498" s="31" t="inlineStr">
        <is>
          <t xml:space="preserve">FBC10-D4</t>
        </is>
      </c>
      <c r="C498" s="31" t="inlineStr">
        <is>
          <t xml:space="preserve">Best Ball</t>
        </is>
      </c>
      <c r="D498" s="31" t="inlineStr">
        <is>
          <t xml:space="preserve">Four-ball</t>
        </is>
      </c>
      <c r="E498" s="40">
        <v>9</v>
      </c>
      <c r="F498" s="42">
        <v>1</v>
      </c>
      <c r="G498" s="31" t="inlineStr">
        <is>
          <t xml:space="preserve">Cole</t>
        </is>
      </c>
      <c r="H498" s="31" t="inlineStr">
        <is>
          <t xml:space="preserve">Connolly</t>
        </is>
      </c>
      <c r="I498" s="31" t="inlineStr">
        <is>
          <t xml:space="preserve">R. Connolly</t>
        </is>
      </c>
      <c r="J498" s="31" t="inlineStr">
        <is>
          <t xml:space="preserve">Gray</t>
        </is>
      </c>
      <c r="K498" s="31" t="inlineStr">
        <is>
          <t xml:space="preserve">McInerney</t>
        </is>
      </c>
      <c r="L498" s="42">
        <v>5.5</v>
      </c>
      <c r="M498" s="42">
        <v>2.75</v>
      </c>
      <c r="N498" s="31" t="inlineStr">
        <is>
          <t xml:space="preserve">Getting</t>
        </is>
      </c>
      <c r="O498" s="42">
        <v>0.5</v>
      </c>
      <c r="P498" s="42">
        <v>0.437</v>
      </c>
      <c r="Q498" s="42">
        <v>0.063</v>
      </c>
      <c r="R498" s="31" t="inlineStr">
        <is>
          <t xml:space="preserve">FBC 10/Handicaps (FBC 10).xlsx</t>
        </is>
      </c>
    </row>
    <row r="499" spans="1:18">
      <c r="A499" s="43">
        <v>10</v>
      </c>
      <c r="B499" s="34" t="inlineStr">
        <is>
          <t xml:space="preserve">FBC10-D4</t>
        </is>
      </c>
      <c r="C499" s="34" t="inlineStr">
        <is>
          <t xml:space="preserve">Best Ball</t>
        </is>
      </c>
      <c r="D499" s="34" t="inlineStr">
        <is>
          <t xml:space="preserve">Four-ball</t>
        </is>
      </c>
      <c r="E499" s="43">
        <v>9</v>
      </c>
      <c r="F499" s="45">
        <v>1</v>
      </c>
      <c r="G499" s="34" t="inlineStr">
        <is>
          <t xml:space="preserve">McInerney</t>
        </is>
      </c>
      <c r="H499" s="34" t="inlineStr">
        <is>
          <t xml:space="preserve">Gray</t>
        </is>
      </c>
      <c r="I499" s="34" t="inlineStr">
        <is>
          <t xml:space="preserve">McInerney</t>
        </is>
      </c>
      <c r="J499" s="34" t="inlineStr">
        <is>
          <t xml:space="preserve">Connolly</t>
        </is>
      </c>
      <c r="K499" s="34" t="inlineStr">
        <is>
          <t xml:space="preserve">R. Connolly</t>
        </is>
      </c>
      <c r="L499" s="45">
        <v>-5.5</v>
      </c>
      <c r="M499" s="45">
        <v>-2.75</v>
      </c>
      <c r="N499" s="34" t="inlineStr">
        <is>
          <t xml:space="preserve">Giving</t>
        </is>
      </c>
      <c r="O499" s="45">
        <v>0.5</v>
      </c>
      <c r="P499" s="45">
        <v>0.563</v>
      </c>
      <c r="Q499" s="45">
        <v>-0.063</v>
      </c>
      <c r="R499" s="34" t="inlineStr">
        <is>
          <t xml:space="preserve">FBC 10/Handicaps (FBC 10).xlsx</t>
        </is>
      </c>
    </row>
    <row r="500" spans="1:18">
      <c r="A500" s="40">
        <v>10</v>
      </c>
      <c r="B500" s="31" t="inlineStr">
        <is>
          <t xml:space="preserve">FBC10-D6</t>
        </is>
      </c>
      <c r="C500" s="31" t="inlineStr">
        <is>
          <t xml:space="preserve">Pinehurst</t>
        </is>
      </c>
      <c r="D500" s="31" t="inlineStr">
        <is>
          <t xml:space="preserve">Pinehurst</t>
        </is>
      </c>
      <c r="E500" s="40">
        <v>9</v>
      </c>
      <c r="F500" s="42">
        <v>1</v>
      </c>
      <c r="G500" s="31" t="inlineStr">
        <is>
          <t xml:space="preserve">McInerney</t>
        </is>
      </c>
      <c r="H500" s="31" t="inlineStr">
        <is>
          <t xml:space="preserve">Connors</t>
        </is>
      </c>
      <c r="I500" s="31" t="inlineStr">
        <is>
          <t xml:space="preserve">Mangold</t>
        </is>
      </c>
      <c r="J500" s="31" t="inlineStr">
        <is>
          <t xml:space="preserve">Cole</t>
        </is>
      </c>
      <c r="K500" s="31" t="inlineStr">
        <is>
          <t xml:space="preserve">Hilts</t>
        </is>
      </c>
      <c r="L500" s="42">
        <v>1</v>
      </c>
      <c r="M500" s="42">
        <v>0.5</v>
      </c>
      <c r="N500" s="31" t="inlineStr">
        <is>
          <t xml:space="preserve">Getting</t>
        </is>
      </c>
      <c r="O500" s="42">
        <v>0.5</v>
      </c>
      <c r="P500" s="42">
        <v>0.428</v>
      </c>
      <c r="Q500" s="42">
        <v>0.072</v>
      </c>
      <c r="R500" s="31" t="inlineStr">
        <is>
          <t xml:space="preserve">FBC 10/Handicaps (FBC 10).xlsx</t>
        </is>
      </c>
    </row>
    <row r="501" spans="1:18">
      <c r="A501" s="43">
        <v>10</v>
      </c>
      <c r="B501" s="34" t="inlineStr">
        <is>
          <t xml:space="preserve">FBC10-D6</t>
        </is>
      </c>
      <c r="C501" s="34" t="inlineStr">
        <is>
          <t xml:space="preserve">Pinehurst</t>
        </is>
      </c>
      <c r="D501" s="34" t="inlineStr">
        <is>
          <t xml:space="preserve">Pinehurst</t>
        </is>
      </c>
      <c r="E501" s="43">
        <v>9</v>
      </c>
      <c r="F501" s="45">
        <v>1</v>
      </c>
      <c r="G501" s="34" t="inlineStr">
        <is>
          <t xml:space="preserve">Cole</t>
        </is>
      </c>
      <c r="H501" s="34" t="inlineStr">
        <is>
          <t xml:space="preserve">Cole</t>
        </is>
      </c>
      <c r="I501" s="34" t="inlineStr">
        <is>
          <t xml:space="preserve">Hilts</t>
        </is>
      </c>
      <c r="J501" s="34" t="inlineStr">
        <is>
          <t xml:space="preserve">Connors</t>
        </is>
      </c>
      <c r="K501" s="34" t="inlineStr">
        <is>
          <t xml:space="preserve">Mangold</t>
        </is>
      </c>
      <c r="L501" s="45">
        <v>-1</v>
      </c>
      <c r="M501" s="45">
        <v>-0.5</v>
      </c>
      <c r="N501" s="34" t="inlineStr">
        <is>
          <t xml:space="preserve">Giving</t>
        </is>
      </c>
      <c r="O501" s="45">
        <v>0.5</v>
      </c>
      <c r="P501" s="45">
        <v>0.572</v>
      </c>
      <c r="Q501" s="45">
        <v>-0.072</v>
      </c>
      <c r="R501" s="34" t="inlineStr">
        <is>
          <t xml:space="preserve">FBC 10/Handicaps (FBC 10).xlsx</t>
        </is>
      </c>
    </row>
    <row r="502" spans="1:18">
      <c r="A502" s="40">
        <v>10</v>
      </c>
      <c r="B502" s="31" t="inlineStr">
        <is>
          <t xml:space="preserve">FBC10-D7</t>
        </is>
      </c>
      <c r="C502" s="31" t="inlineStr">
        <is>
          <t xml:space="preserve">Pinehurst</t>
        </is>
      </c>
      <c r="D502" s="31" t="inlineStr">
        <is>
          <t xml:space="preserve">Pinehurst</t>
        </is>
      </c>
      <c r="E502" s="40">
        <v>9</v>
      </c>
      <c r="F502" s="42">
        <v>1</v>
      </c>
      <c r="G502" s="31" t="inlineStr">
        <is>
          <t xml:space="preserve">Cole</t>
        </is>
      </c>
      <c r="H502" s="31" t="inlineStr">
        <is>
          <t xml:space="preserve">Ferrin</t>
        </is>
      </c>
      <c r="I502" s="31" t="inlineStr">
        <is>
          <t xml:space="preserve">Grise</t>
        </is>
      </c>
      <c r="J502" s="31" t="inlineStr">
        <is>
          <t xml:space="preserve">Jackson</t>
        </is>
      </c>
      <c r="K502" s="31" t="inlineStr">
        <is>
          <t xml:space="preserve">Zimmer</t>
        </is>
      </c>
      <c r="L502" s="42">
        <v>3</v>
      </c>
      <c r="M502" s="42">
        <v>1.5</v>
      </c>
      <c r="N502" s="31" t="inlineStr">
        <is>
          <t xml:space="preserve">Getting</t>
        </is>
      </c>
      <c r="O502" s="42">
        <v>1</v>
      </c>
      <c r="P502" s="42">
        <v>0.445</v>
      </c>
      <c r="Q502" s="42">
        <v>0.555</v>
      </c>
      <c r="R502" s="31" t="inlineStr">
        <is>
          <t xml:space="preserve">FBC 10/Handicaps (FBC 10).xlsx</t>
        </is>
      </c>
    </row>
    <row r="503" spans="1:18">
      <c r="A503" s="43">
        <v>10</v>
      </c>
      <c r="B503" s="34" t="inlineStr">
        <is>
          <t xml:space="preserve">FBC10-D7</t>
        </is>
      </c>
      <c r="C503" s="34" t="inlineStr">
        <is>
          <t xml:space="preserve">Pinehurst</t>
        </is>
      </c>
      <c r="D503" s="34" t="inlineStr">
        <is>
          <t xml:space="preserve">Pinehurst</t>
        </is>
      </c>
      <c r="E503" s="43">
        <v>9</v>
      </c>
      <c r="F503" s="45">
        <v>1</v>
      </c>
      <c r="G503" s="34" t="inlineStr">
        <is>
          <t xml:space="preserve">McInerney</t>
        </is>
      </c>
      <c r="H503" s="34" t="inlineStr">
        <is>
          <t xml:space="preserve">Jackson</t>
        </is>
      </c>
      <c r="I503" s="34" t="inlineStr">
        <is>
          <t xml:space="preserve">Zimmer</t>
        </is>
      </c>
      <c r="J503" s="34" t="inlineStr">
        <is>
          <t xml:space="preserve">Ferrin</t>
        </is>
      </c>
      <c r="K503" s="34" t="inlineStr">
        <is>
          <t xml:space="preserve">Grise</t>
        </is>
      </c>
      <c r="L503" s="45">
        <v>-3</v>
      </c>
      <c r="M503" s="45">
        <v>-1.5</v>
      </c>
      <c r="N503" s="34" t="inlineStr">
        <is>
          <t xml:space="preserve">Giving</t>
        </is>
      </c>
      <c r="O503" s="45">
        <v>0</v>
      </c>
      <c r="P503" s="45">
        <v>0.555</v>
      </c>
      <c r="Q503" s="45">
        <v>-0.555</v>
      </c>
      <c r="R503" s="34" t="inlineStr">
        <is>
          <t xml:space="preserve">FBC 10/Handicaps (FBC 10).xlsx</t>
        </is>
      </c>
    </row>
    <row r="504" spans="1:18">
      <c r="A504" s="40">
        <v>10</v>
      </c>
      <c r="B504" s="31" t="inlineStr">
        <is>
          <t xml:space="preserve">FBC10-D8</t>
        </is>
      </c>
      <c r="C504" s="31" t="inlineStr">
        <is>
          <t xml:space="preserve">Pinehurst</t>
        </is>
      </c>
      <c r="D504" s="31" t="inlineStr">
        <is>
          <t xml:space="preserve">Pinehurst</t>
        </is>
      </c>
      <c r="E504" s="40">
        <v>9</v>
      </c>
      <c r="F504" s="42">
        <v>1</v>
      </c>
      <c r="G504" s="31" t="inlineStr">
        <is>
          <t xml:space="preserve">McInerney</t>
        </is>
      </c>
      <c r="H504" s="31" t="inlineStr">
        <is>
          <t xml:space="preserve">Forster</t>
        </is>
      </c>
      <c r="I504" s="31" t="inlineStr">
        <is>
          <t xml:space="preserve">Welker</t>
        </is>
      </c>
      <c r="J504" s="31" t="inlineStr">
        <is>
          <t xml:space="preserve">Flanders</t>
        </is>
      </c>
      <c r="K504" s="31" t="inlineStr">
        <is>
          <t xml:space="preserve">Lynch</t>
        </is>
      </c>
      <c r="L504" s="42">
        <v>4</v>
      </c>
      <c r="M504" s="42">
        <v>2</v>
      </c>
      <c r="N504" s="31" t="inlineStr">
        <is>
          <t xml:space="preserve">Getting</t>
        </is>
      </c>
      <c r="O504" s="42">
        <v>0</v>
      </c>
      <c r="P504" s="42">
        <v>0.454</v>
      </c>
      <c r="Q504" s="42">
        <v>-0.454</v>
      </c>
      <c r="R504" s="31" t="inlineStr">
        <is>
          <t xml:space="preserve">FBC 10/Handicaps (FBC 10).xlsx</t>
        </is>
      </c>
    </row>
    <row r="505" spans="1:18">
      <c r="A505" s="43">
        <v>10</v>
      </c>
      <c r="B505" s="34" t="inlineStr">
        <is>
          <t xml:space="preserve">FBC10-D8</t>
        </is>
      </c>
      <c r="C505" s="34" t="inlineStr">
        <is>
          <t xml:space="preserve">Pinehurst</t>
        </is>
      </c>
      <c r="D505" s="34" t="inlineStr">
        <is>
          <t xml:space="preserve">Pinehurst</t>
        </is>
      </c>
      <c r="E505" s="43">
        <v>9</v>
      </c>
      <c r="F505" s="45">
        <v>1</v>
      </c>
      <c r="G505" s="34" t="inlineStr">
        <is>
          <t xml:space="preserve">Cole</t>
        </is>
      </c>
      <c r="H505" s="34" t="inlineStr">
        <is>
          <t xml:space="preserve">Flanders</t>
        </is>
      </c>
      <c r="I505" s="34" t="inlineStr">
        <is>
          <t xml:space="preserve">Lynch</t>
        </is>
      </c>
      <c r="J505" s="34" t="inlineStr">
        <is>
          <t xml:space="preserve">Forster</t>
        </is>
      </c>
      <c r="K505" s="34" t="inlineStr">
        <is>
          <t xml:space="preserve">Welker</t>
        </is>
      </c>
      <c r="L505" s="45">
        <v>-4</v>
      </c>
      <c r="M505" s="45">
        <v>-2</v>
      </c>
      <c r="N505" s="34" t="inlineStr">
        <is>
          <t xml:space="preserve">Giving</t>
        </is>
      </c>
      <c r="O505" s="45">
        <v>1</v>
      </c>
      <c r="P505" s="45">
        <v>0.546</v>
      </c>
      <c r="Q505" s="45">
        <v>0.454</v>
      </c>
      <c r="R505" s="34" t="inlineStr">
        <is>
          <t xml:space="preserve">FBC 10/Handicaps (FBC 10).xlsx</t>
        </is>
      </c>
    </row>
    <row r="506" spans="1:18">
      <c r="A506" s="40">
        <v>10</v>
      </c>
      <c r="B506" s="31" t="inlineStr">
        <is>
          <t xml:space="preserve">FBC10-D9</t>
        </is>
      </c>
      <c r="C506" s="31" t="inlineStr">
        <is>
          <t xml:space="preserve">Pinehurst</t>
        </is>
      </c>
      <c r="D506" s="31" t="inlineStr">
        <is>
          <t xml:space="preserve">Pinehurst</t>
        </is>
      </c>
      <c r="E506" s="40">
        <v>9</v>
      </c>
      <c r="F506" s="42">
        <v>1</v>
      </c>
      <c r="G506" s="31" t="inlineStr">
        <is>
          <t xml:space="preserve">Cole</t>
        </is>
      </c>
      <c r="H506" s="31" t="inlineStr">
        <is>
          <t xml:space="preserve">Connolly</t>
        </is>
      </c>
      <c r="I506" s="31" t="inlineStr">
        <is>
          <t xml:space="preserve">R. Connolly</t>
        </is>
      </c>
      <c r="J506" s="31" t="inlineStr">
        <is>
          <t xml:space="preserve">Gray</t>
        </is>
      </c>
      <c r="K506" s="31" t="inlineStr">
        <is>
          <t xml:space="preserve">McInerney</t>
        </is>
      </c>
      <c r="L506" s="42">
        <v>5</v>
      </c>
      <c r="M506" s="42">
        <v>2.5</v>
      </c>
      <c r="N506" s="31" t="inlineStr">
        <is>
          <t xml:space="preserve">Getting</t>
        </is>
      </c>
      <c r="O506" s="42">
        <v>0.5</v>
      </c>
      <c r="P506" s="42">
        <v>0.462</v>
      </c>
      <c r="Q506" s="42">
        <v>0.038</v>
      </c>
      <c r="R506" s="31" t="inlineStr">
        <is>
          <t xml:space="preserve">FBC 10/Handicaps (FBC 10).xlsx</t>
        </is>
      </c>
    </row>
    <row r="507" spans="1:18">
      <c r="A507" s="43">
        <v>10</v>
      </c>
      <c r="B507" s="34" t="inlineStr">
        <is>
          <t xml:space="preserve">FBC10-D9</t>
        </is>
      </c>
      <c r="C507" s="34" t="inlineStr">
        <is>
          <t xml:space="preserve">Pinehurst</t>
        </is>
      </c>
      <c r="D507" s="34" t="inlineStr">
        <is>
          <t xml:space="preserve">Pinehurst</t>
        </is>
      </c>
      <c r="E507" s="43">
        <v>9</v>
      </c>
      <c r="F507" s="45">
        <v>1</v>
      </c>
      <c r="G507" s="34" t="inlineStr">
        <is>
          <t xml:space="preserve">McInerney</t>
        </is>
      </c>
      <c r="H507" s="34" t="inlineStr">
        <is>
          <t xml:space="preserve">Gray</t>
        </is>
      </c>
      <c r="I507" s="34" t="inlineStr">
        <is>
          <t xml:space="preserve">McInerney</t>
        </is>
      </c>
      <c r="J507" s="34" t="inlineStr">
        <is>
          <t xml:space="preserve">Connolly</t>
        </is>
      </c>
      <c r="K507" s="34" t="inlineStr">
        <is>
          <t xml:space="preserve">R. Connolly</t>
        </is>
      </c>
      <c r="L507" s="45">
        <v>-5</v>
      </c>
      <c r="M507" s="45">
        <v>-2.5</v>
      </c>
      <c r="N507" s="34" t="inlineStr">
        <is>
          <t xml:space="preserve">Giving</t>
        </is>
      </c>
      <c r="O507" s="45">
        <v>0.5</v>
      </c>
      <c r="P507" s="45">
        <v>0.538</v>
      </c>
      <c r="Q507" s="45">
        <v>-0.038</v>
      </c>
      <c r="R507" s="34" t="inlineStr">
        <is>
          <t xml:space="preserve">FBC 10/Handicaps (FBC 10).xlsx</t>
        </is>
      </c>
    </row>
    <row r="508" spans="1:18">
      <c r="A508" s="40">
        <v>10</v>
      </c>
      <c r="B508" s="31" t="inlineStr">
        <is>
          <t xml:space="preserve">FBC10-D10</t>
        </is>
      </c>
      <c r="C508" s="31" t="inlineStr">
        <is>
          <t xml:space="preserve">Pinehurst</t>
        </is>
      </c>
      <c r="D508" s="31" t="inlineStr">
        <is>
          <t xml:space="preserve">Pinehurst</t>
        </is>
      </c>
      <c r="E508" s="40">
        <v>9</v>
      </c>
      <c r="F508" s="42">
        <v>1</v>
      </c>
      <c r="G508" s="31" t="inlineStr">
        <is>
          <t xml:space="preserve">McInerney</t>
        </is>
      </c>
      <c r="H508" s="31" t="inlineStr">
        <is>
          <t xml:space="preserve">Delneky</t>
        </is>
      </c>
      <c r="I508" s="31" t="inlineStr">
        <is>
          <t xml:space="preserve">Fogan</t>
        </is>
      </c>
      <c r="J508" s="31" t="inlineStr">
        <is>
          <t xml:space="preserve">Delaney</t>
        </is>
      </c>
      <c r="K508" s="31" t="inlineStr">
        <is>
          <t xml:space="preserve">Perkins</t>
        </is>
      </c>
      <c r="L508" s="42">
        <v>12</v>
      </c>
      <c r="M508" s="42">
        <v>6</v>
      </c>
      <c r="N508" s="31" t="inlineStr">
        <is>
          <t xml:space="preserve">Getting</t>
        </is>
      </c>
      <c r="O508" s="42">
        <v>0.5</v>
      </c>
      <c r="P508" s="42">
        <v>0.522</v>
      </c>
      <c r="Q508" s="42">
        <v>-0.022</v>
      </c>
      <c r="R508" s="31" t="inlineStr">
        <is>
          <t xml:space="preserve">FBC 10/Handicaps (FBC 10).xlsx</t>
        </is>
      </c>
    </row>
    <row r="509" spans="1:18">
      <c r="A509" s="43">
        <v>10</v>
      </c>
      <c r="B509" s="34" t="inlineStr">
        <is>
          <t xml:space="preserve">FBC10-D10</t>
        </is>
      </c>
      <c r="C509" s="34" t="inlineStr">
        <is>
          <t xml:space="preserve">Pinehurst</t>
        </is>
      </c>
      <c r="D509" s="34" t="inlineStr">
        <is>
          <t xml:space="preserve">Pinehurst</t>
        </is>
      </c>
      <c r="E509" s="43">
        <v>9</v>
      </c>
      <c r="F509" s="45">
        <v>1</v>
      </c>
      <c r="G509" s="34" t="inlineStr">
        <is>
          <t xml:space="preserve">Cole</t>
        </is>
      </c>
      <c r="H509" s="34" t="inlineStr">
        <is>
          <t xml:space="preserve">Delaney</t>
        </is>
      </c>
      <c r="I509" s="34" t="inlineStr">
        <is>
          <t xml:space="preserve">Perkins</t>
        </is>
      </c>
      <c r="J509" s="34" t="inlineStr">
        <is>
          <t xml:space="preserve">Delneky</t>
        </is>
      </c>
      <c r="K509" s="34" t="inlineStr">
        <is>
          <t xml:space="preserve">Fogan</t>
        </is>
      </c>
      <c r="L509" s="45">
        <v>-12</v>
      </c>
      <c r="M509" s="45">
        <v>-6</v>
      </c>
      <c r="N509" s="34" t="inlineStr">
        <is>
          <t xml:space="preserve">Giving</t>
        </is>
      </c>
      <c r="O509" s="45">
        <v>0.5</v>
      </c>
      <c r="P509" s="45">
        <v>0.478</v>
      </c>
      <c r="Q509" s="45">
        <v>0.022</v>
      </c>
      <c r="R509" s="34" t="inlineStr">
        <is>
          <t xml:space="preserve">FBC 10/Handicaps (FBC 10).xlsx</t>
        </is>
      </c>
    </row>
    <row r="510" spans="1:18">
      <c r="A510" s="40">
        <v>10</v>
      </c>
      <c r="B510" s="31" t="inlineStr">
        <is>
          <t xml:space="preserve">FBC10-D11</t>
        </is>
      </c>
      <c r="C510" s="31" t="inlineStr">
        <is>
          <t xml:space="preserve">Best Ball</t>
        </is>
      </c>
      <c r="D510" s="31" t="inlineStr">
        <is>
          <t xml:space="preserve">Four-ball</t>
        </is>
      </c>
      <c r="E510" s="40">
        <v>9</v>
      </c>
      <c r="F510" s="42">
        <v>1</v>
      </c>
      <c r="G510" s="31" t="inlineStr">
        <is>
          <t xml:space="preserve">McInerney</t>
        </is>
      </c>
      <c r="H510" s="31" t="inlineStr">
        <is>
          <t xml:space="preserve">Mangold</t>
        </is>
      </c>
      <c r="I510" s="31" t="inlineStr">
        <is>
          <t xml:space="preserve">Welker</t>
        </is>
      </c>
      <c r="J510" s="31" t="inlineStr">
        <is>
          <t xml:space="preserve">Cole</t>
        </is>
      </c>
      <c r="K510" s="31" t="inlineStr">
        <is>
          <t xml:space="preserve">R. Connolly</t>
        </is>
      </c>
      <c r="L510" s="42">
        <v>-2.5</v>
      </c>
      <c r="M510" s="42">
        <v>-1.25</v>
      </c>
      <c r="N510" s="31" t="inlineStr">
        <is>
          <t xml:space="preserve">Giving</t>
        </is>
      </c>
      <c r="O510" s="42">
        <v>1</v>
      </c>
      <c r="P510" s="42">
        <v>0.572</v>
      </c>
      <c r="Q510" s="42">
        <v>0.428</v>
      </c>
      <c r="R510" s="31" t="inlineStr">
        <is>
          <t xml:space="preserve">FBC 10/Handicaps (FBC 10).xlsx</t>
        </is>
      </c>
    </row>
    <row r="511" spans="1:18">
      <c r="A511" s="43">
        <v>10</v>
      </c>
      <c r="B511" s="34" t="inlineStr">
        <is>
          <t xml:space="preserve">FBC10-D11</t>
        </is>
      </c>
      <c r="C511" s="34" t="inlineStr">
        <is>
          <t xml:space="preserve">Best Ball</t>
        </is>
      </c>
      <c r="D511" s="34" t="inlineStr">
        <is>
          <t xml:space="preserve">Four-ball</t>
        </is>
      </c>
      <c r="E511" s="43">
        <v>9</v>
      </c>
      <c r="F511" s="45">
        <v>1</v>
      </c>
      <c r="G511" s="34" t="inlineStr">
        <is>
          <t xml:space="preserve">Cole</t>
        </is>
      </c>
      <c r="H511" s="34" t="inlineStr">
        <is>
          <t xml:space="preserve">Cole</t>
        </is>
      </c>
      <c r="I511" s="34" t="inlineStr">
        <is>
          <t xml:space="preserve">R. Connolly</t>
        </is>
      </c>
      <c r="J511" s="34" t="inlineStr">
        <is>
          <t xml:space="preserve">Mangold</t>
        </is>
      </c>
      <c r="K511" s="34" t="inlineStr">
        <is>
          <t xml:space="preserve">Welker</t>
        </is>
      </c>
      <c r="L511" s="45">
        <v>2.5</v>
      </c>
      <c r="M511" s="45">
        <v>1.25</v>
      </c>
      <c r="N511" s="34" t="inlineStr">
        <is>
          <t xml:space="preserve">Getting</t>
        </is>
      </c>
      <c r="O511" s="45">
        <v>0</v>
      </c>
      <c r="P511" s="45">
        <v>0.428</v>
      </c>
      <c r="Q511" s="45">
        <v>-0.428</v>
      </c>
      <c r="R511" s="34" t="inlineStr">
        <is>
          <t xml:space="preserve">FBC 10/Handicaps (FBC 10).xlsx</t>
        </is>
      </c>
    </row>
    <row r="512" spans="1:18">
      <c r="A512" s="40">
        <v>10</v>
      </c>
      <c r="B512" s="31" t="inlineStr">
        <is>
          <t xml:space="preserve">FBC10-D12</t>
        </is>
      </c>
      <c r="C512" s="31" t="inlineStr">
        <is>
          <t xml:space="preserve">Best Ball</t>
        </is>
      </c>
      <c r="D512" s="31" t="inlineStr">
        <is>
          <t xml:space="preserve">Four-ball</t>
        </is>
      </c>
      <c r="E512" s="40">
        <v>9</v>
      </c>
      <c r="F512" s="42">
        <v>1</v>
      </c>
      <c r="G512" s="31" t="inlineStr">
        <is>
          <t xml:space="preserve">Cole</t>
        </is>
      </c>
      <c r="H512" s="31" t="inlineStr">
        <is>
          <t xml:space="preserve">Delaney</t>
        </is>
      </c>
      <c r="I512" s="31" t="inlineStr">
        <is>
          <t xml:space="preserve">Hilts</t>
        </is>
      </c>
      <c r="J512" s="31" t="inlineStr">
        <is>
          <t xml:space="preserve">Connors</t>
        </is>
      </c>
      <c r="K512" s="31" t="inlineStr">
        <is>
          <t xml:space="preserve">Jackson</t>
        </is>
      </c>
      <c r="L512" s="42">
        <v>0.5</v>
      </c>
      <c r="M512" s="42">
        <v>0.25</v>
      </c>
      <c r="N512" s="31" t="inlineStr">
        <is>
          <t xml:space="preserve">Even</t>
        </is>
      </c>
      <c r="O512" s="42">
        <v>0</v>
      </c>
      <c r="P512" s="42">
        <v>0.502</v>
      </c>
      <c r="Q512" s="42">
        <v>-0.502</v>
      </c>
      <c r="R512" s="31" t="inlineStr">
        <is>
          <t xml:space="preserve">FBC 10/Handicaps (FBC 10).xlsx</t>
        </is>
      </c>
    </row>
    <row r="513" spans="1:18">
      <c r="A513" s="43">
        <v>10</v>
      </c>
      <c r="B513" s="34" t="inlineStr">
        <is>
          <t xml:space="preserve">FBC10-D12</t>
        </is>
      </c>
      <c r="C513" s="34" t="inlineStr">
        <is>
          <t xml:space="preserve">Best Ball</t>
        </is>
      </c>
      <c r="D513" s="34" t="inlineStr">
        <is>
          <t xml:space="preserve">Four-ball</t>
        </is>
      </c>
      <c r="E513" s="43">
        <v>9</v>
      </c>
      <c r="F513" s="45">
        <v>1</v>
      </c>
      <c r="G513" s="34" t="inlineStr">
        <is>
          <t xml:space="preserve">McInerney</t>
        </is>
      </c>
      <c r="H513" s="34" t="inlineStr">
        <is>
          <t xml:space="preserve">Connors</t>
        </is>
      </c>
      <c r="I513" s="34" t="inlineStr">
        <is>
          <t xml:space="preserve">Jackson</t>
        </is>
      </c>
      <c r="J513" s="34" t="inlineStr">
        <is>
          <t xml:space="preserve">Delaney</t>
        </is>
      </c>
      <c r="K513" s="34" t="inlineStr">
        <is>
          <t xml:space="preserve">Hilts</t>
        </is>
      </c>
      <c r="L513" s="45">
        <v>-0.5</v>
      </c>
      <c r="M513" s="45">
        <v>-0.25</v>
      </c>
      <c r="N513" s="34" t="inlineStr">
        <is>
          <t xml:space="preserve">Even</t>
        </is>
      </c>
      <c r="O513" s="45">
        <v>1</v>
      </c>
      <c r="P513" s="45">
        <v>0.498</v>
      </c>
      <c r="Q513" s="45">
        <v>0.502</v>
      </c>
      <c r="R513" s="34" t="inlineStr">
        <is>
          <t xml:space="preserve">FBC 10/Handicaps (FBC 10).xlsx</t>
        </is>
      </c>
    </row>
    <row r="514" spans="1:18">
      <c r="A514" s="40">
        <v>10</v>
      </c>
      <c r="B514" s="31" t="inlineStr">
        <is>
          <t xml:space="preserve">FBC10-D13</t>
        </is>
      </c>
      <c r="C514" s="31" t="inlineStr">
        <is>
          <t xml:space="preserve">Best Ball</t>
        </is>
      </c>
      <c r="D514" s="31" t="inlineStr">
        <is>
          <t xml:space="preserve">Four-ball</t>
        </is>
      </c>
      <c r="E514" s="40">
        <v>9</v>
      </c>
      <c r="F514" s="42">
        <v>1</v>
      </c>
      <c r="G514" s="31" t="inlineStr">
        <is>
          <t xml:space="preserve">McInerney</t>
        </is>
      </c>
      <c r="H514" s="31" t="inlineStr">
        <is>
          <t xml:space="preserve">Delneky</t>
        </is>
      </c>
      <c r="I514" s="31" t="inlineStr">
        <is>
          <t xml:space="preserve">Gray</t>
        </is>
      </c>
      <c r="J514" s="31" t="inlineStr">
        <is>
          <t xml:space="preserve">Lynch</t>
        </is>
      </c>
      <c r="K514" s="31" t="inlineStr">
        <is>
          <t xml:space="preserve">Perkins</t>
        </is>
      </c>
      <c r="L514" s="42">
        <v>7</v>
      </c>
      <c r="M514" s="42">
        <v>3.5</v>
      </c>
      <c r="N514" s="31" t="inlineStr">
        <is>
          <t xml:space="preserve">Getting</t>
        </is>
      </c>
      <c r="O514" s="42">
        <v>1</v>
      </c>
      <c r="P514" s="42">
        <v>0.442</v>
      </c>
      <c r="Q514" s="42">
        <v>0.558</v>
      </c>
      <c r="R514" s="31" t="inlineStr">
        <is>
          <t xml:space="preserve">FBC 10/Handicaps (FBC 10).xlsx</t>
        </is>
      </c>
    </row>
    <row r="515" spans="1:18">
      <c r="A515" s="43">
        <v>10</v>
      </c>
      <c r="B515" s="34" t="inlineStr">
        <is>
          <t xml:space="preserve">FBC10-D13</t>
        </is>
      </c>
      <c r="C515" s="34" t="inlineStr">
        <is>
          <t xml:space="preserve">Best Ball</t>
        </is>
      </c>
      <c r="D515" s="34" t="inlineStr">
        <is>
          <t xml:space="preserve">Four-ball</t>
        </is>
      </c>
      <c r="E515" s="43">
        <v>9</v>
      </c>
      <c r="F515" s="45">
        <v>1</v>
      </c>
      <c r="G515" s="34" t="inlineStr">
        <is>
          <t xml:space="preserve">Cole</t>
        </is>
      </c>
      <c r="H515" s="34" t="inlineStr">
        <is>
          <t xml:space="preserve">Lynch</t>
        </is>
      </c>
      <c r="I515" s="34" t="inlineStr">
        <is>
          <t xml:space="preserve">Perkins</t>
        </is>
      </c>
      <c r="J515" s="34" t="inlineStr">
        <is>
          <t xml:space="preserve">Delneky</t>
        </is>
      </c>
      <c r="K515" s="34" t="inlineStr">
        <is>
          <t xml:space="preserve">Gray</t>
        </is>
      </c>
      <c r="L515" s="45">
        <v>-7</v>
      </c>
      <c r="M515" s="45">
        <v>-3.5</v>
      </c>
      <c r="N515" s="34" t="inlineStr">
        <is>
          <t xml:space="preserve">Giving</t>
        </is>
      </c>
      <c r="O515" s="45">
        <v>0</v>
      </c>
      <c r="P515" s="45">
        <v>0.558</v>
      </c>
      <c r="Q515" s="45">
        <v>-0.558</v>
      </c>
      <c r="R515" s="34" t="inlineStr">
        <is>
          <t xml:space="preserve">FBC 10/Handicaps (FBC 10).xlsx</t>
        </is>
      </c>
    </row>
    <row r="516" spans="1:18">
      <c r="A516" s="40">
        <v>10</v>
      </c>
      <c r="B516" s="31" t="inlineStr">
        <is>
          <t xml:space="preserve">FBC10-D14</t>
        </is>
      </c>
      <c r="C516" s="31" t="inlineStr">
        <is>
          <t xml:space="preserve">Best Ball</t>
        </is>
      </c>
      <c r="D516" s="31" t="inlineStr">
        <is>
          <t xml:space="preserve">Four-ball</t>
        </is>
      </c>
      <c r="E516" s="40">
        <v>9</v>
      </c>
      <c r="F516" s="42">
        <v>1</v>
      </c>
      <c r="G516" s="31" t="inlineStr">
        <is>
          <t xml:space="preserve">Cole</t>
        </is>
      </c>
      <c r="H516" s="31" t="inlineStr">
        <is>
          <t xml:space="preserve">Connolly</t>
        </is>
      </c>
      <c r="I516" s="31" t="inlineStr">
        <is>
          <t xml:space="preserve">Grise</t>
        </is>
      </c>
      <c r="J516" s="31" t="inlineStr">
        <is>
          <t xml:space="preserve">McInerney</t>
        </is>
      </c>
      <c r="K516" s="31" t="inlineStr">
        <is>
          <t xml:space="preserve">Fogan</t>
        </is>
      </c>
      <c r="L516" s="42">
        <v>-1.5</v>
      </c>
      <c r="M516" s="42">
        <v>-0.75</v>
      </c>
      <c r="N516" s="31" t="inlineStr">
        <is>
          <t xml:space="preserve">Giving</t>
        </is>
      </c>
      <c r="O516" s="42">
        <v>1</v>
      </c>
      <c r="P516" s="42">
        <v>0.575</v>
      </c>
      <c r="Q516" s="42">
        <v>0.425</v>
      </c>
      <c r="R516" s="31" t="inlineStr">
        <is>
          <t xml:space="preserve">FBC 10/Handicaps (FBC 10).xlsx</t>
        </is>
      </c>
    </row>
    <row r="517" spans="1:18">
      <c r="A517" s="43">
        <v>10</v>
      </c>
      <c r="B517" s="34" t="inlineStr">
        <is>
          <t xml:space="preserve">FBC10-D14</t>
        </is>
      </c>
      <c r="C517" s="34" t="inlineStr">
        <is>
          <t xml:space="preserve">Best Ball</t>
        </is>
      </c>
      <c r="D517" s="34" t="inlineStr">
        <is>
          <t xml:space="preserve">Four-ball</t>
        </is>
      </c>
      <c r="E517" s="43">
        <v>9</v>
      </c>
      <c r="F517" s="45">
        <v>1</v>
      </c>
      <c r="G517" s="34" t="inlineStr">
        <is>
          <t xml:space="preserve">McInerney</t>
        </is>
      </c>
      <c r="H517" s="34" t="inlineStr">
        <is>
          <t xml:space="preserve">McInerney</t>
        </is>
      </c>
      <c r="I517" s="34" t="inlineStr">
        <is>
          <t xml:space="preserve">Fogan</t>
        </is>
      </c>
      <c r="J517" s="34" t="inlineStr">
        <is>
          <t xml:space="preserve">Connolly</t>
        </is>
      </c>
      <c r="K517" s="34" t="inlineStr">
        <is>
          <t xml:space="preserve">Grise</t>
        </is>
      </c>
      <c r="L517" s="45">
        <v>1.5</v>
      </c>
      <c r="M517" s="45">
        <v>0.75</v>
      </c>
      <c r="N517" s="34" t="inlineStr">
        <is>
          <t xml:space="preserve">Getting</t>
        </is>
      </c>
      <c r="O517" s="45">
        <v>0</v>
      </c>
      <c r="P517" s="45">
        <v>0.425</v>
      </c>
      <c r="Q517" s="45">
        <v>-0.425</v>
      </c>
      <c r="R517" s="34" t="inlineStr">
        <is>
          <t xml:space="preserve">FBC 10/Handicaps (FBC 10).xlsx</t>
        </is>
      </c>
    </row>
    <row r="518" spans="1:18">
      <c r="A518" s="40">
        <v>10</v>
      </c>
      <c r="B518" s="31" t="inlineStr">
        <is>
          <t xml:space="preserve">FBC10-D15</t>
        </is>
      </c>
      <c r="C518" s="31" t="inlineStr">
        <is>
          <t xml:space="preserve">Best Ball</t>
        </is>
      </c>
      <c r="D518" s="31" t="inlineStr">
        <is>
          <t xml:space="preserve">Four-ball</t>
        </is>
      </c>
      <c r="E518" s="40">
        <v>9</v>
      </c>
      <c r="F518" s="42">
        <v>1</v>
      </c>
      <c r="G518" s="31" t="inlineStr">
        <is>
          <t xml:space="preserve">McInerney</t>
        </is>
      </c>
      <c r="H518" s="31" t="inlineStr">
        <is>
          <t xml:space="preserve">Forster</t>
        </is>
      </c>
      <c r="I518" s="31" t="inlineStr">
        <is>
          <t xml:space="preserve">Zimmer</t>
        </is>
      </c>
      <c r="J518" s="31" t="inlineStr">
        <is>
          <t xml:space="preserve">Ferrin</t>
        </is>
      </c>
      <c r="K518" s="31" t="inlineStr">
        <is>
          <t xml:space="preserve">Flanders</t>
        </is>
      </c>
      <c r="L518" s="42">
        <v>1</v>
      </c>
      <c r="M518" s="42">
        <v>0.5</v>
      </c>
      <c r="N518" s="31" t="inlineStr">
        <is>
          <t xml:space="preserve">Getting</t>
        </is>
      </c>
      <c r="O518" s="42">
        <v>0</v>
      </c>
      <c r="P518" s="42">
        <v>0.423</v>
      </c>
      <c r="Q518" s="42">
        <v>-0.423</v>
      </c>
      <c r="R518" s="31" t="inlineStr">
        <is>
          <t xml:space="preserve">FBC 10/Handicaps (FBC 10).xlsx</t>
        </is>
      </c>
    </row>
    <row r="519" spans="1:18">
      <c r="A519" s="43">
        <v>10</v>
      </c>
      <c r="B519" s="34" t="inlineStr">
        <is>
          <t xml:space="preserve">FBC10-D15</t>
        </is>
      </c>
      <c r="C519" s="34" t="inlineStr">
        <is>
          <t xml:space="preserve">Best Ball</t>
        </is>
      </c>
      <c r="D519" s="34" t="inlineStr">
        <is>
          <t xml:space="preserve">Four-ball</t>
        </is>
      </c>
      <c r="E519" s="43">
        <v>9</v>
      </c>
      <c r="F519" s="45">
        <v>1</v>
      </c>
      <c r="G519" s="34" t="inlineStr">
        <is>
          <t xml:space="preserve">Cole</t>
        </is>
      </c>
      <c r="H519" s="34" t="inlineStr">
        <is>
          <t xml:space="preserve">Ferrin</t>
        </is>
      </c>
      <c r="I519" s="34" t="inlineStr">
        <is>
          <t xml:space="preserve">Flanders</t>
        </is>
      </c>
      <c r="J519" s="34" t="inlineStr">
        <is>
          <t xml:space="preserve">Forster</t>
        </is>
      </c>
      <c r="K519" s="34" t="inlineStr">
        <is>
          <t xml:space="preserve">Zimmer</t>
        </is>
      </c>
      <c r="L519" s="45">
        <v>-1</v>
      </c>
      <c r="M519" s="45">
        <v>-0.5</v>
      </c>
      <c r="N519" s="34" t="inlineStr">
        <is>
          <t xml:space="preserve">Giving</t>
        </is>
      </c>
      <c r="O519" s="45">
        <v>1</v>
      </c>
      <c r="P519" s="45">
        <v>0.577</v>
      </c>
      <c r="Q519" s="45">
        <v>0.423</v>
      </c>
      <c r="R519" s="34" t="inlineStr">
        <is>
          <t xml:space="preserve">FBC 10/Handicaps (FBC 10).xlsx</t>
        </is>
      </c>
    </row>
    <row r="520" spans="1:18">
      <c r="A520" s="40">
        <v>10</v>
      </c>
      <c r="B520" s="31" t="inlineStr">
        <is>
          <t xml:space="preserve">FBC10-D16</t>
        </is>
      </c>
      <c r="C520" s="31" t="inlineStr">
        <is>
          <t xml:space="preserve">Vegas</t>
        </is>
      </c>
      <c r="D520" s="31" t="inlineStr">
        <is>
          <t xml:space="preserve">Four-ball</t>
        </is>
      </c>
      <c r="E520" s="40">
        <v>9</v>
      </c>
      <c r="F520" s="42">
        <v>1</v>
      </c>
      <c r="G520" s="31" t="inlineStr">
        <is>
          <t xml:space="preserve">McInerney</t>
        </is>
      </c>
      <c r="H520" s="31" t="inlineStr">
        <is>
          <t xml:space="preserve">Mangold</t>
        </is>
      </c>
      <c r="I520" s="31" t="inlineStr">
        <is>
          <t xml:space="preserve">Welker</t>
        </is>
      </c>
      <c r="J520" s="31" t="inlineStr">
        <is>
          <t xml:space="preserve">Cole</t>
        </is>
      </c>
      <c r="K520" s="31" t="inlineStr">
        <is>
          <t xml:space="preserve">R. Connolly</t>
        </is>
      </c>
      <c r="L520" s="42">
        <v>-2.5</v>
      </c>
      <c r="M520" s="42">
        <v>-1.25</v>
      </c>
      <c r="N520" s="31" t="inlineStr">
        <is>
          <t xml:space="preserve">Giving</t>
        </is>
      </c>
      <c r="O520" s="42">
        <v>1</v>
      </c>
      <c r="P520" s="42">
        <v>0.572</v>
      </c>
      <c r="Q520" s="42">
        <v>0.428</v>
      </c>
      <c r="R520" s="31" t="inlineStr">
        <is>
          <t xml:space="preserve">FBC 10/Handicaps (FBC 10).xlsx</t>
        </is>
      </c>
    </row>
    <row r="521" spans="1:18">
      <c r="A521" s="43">
        <v>10</v>
      </c>
      <c r="B521" s="34" t="inlineStr">
        <is>
          <t xml:space="preserve">FBC10-D16</t>
        </is>
      </c>
      <c r="C521" s="34" t="inlineStr">
        <is>
          <t xml:space="preserve">Vegas</t>
        </is>
      </c>
      <c r="D521" s="34" t="inlineStr">
        <is>
          <t xml:space="preserve">Four-ball</t>
        </is>
      </c>
      <c r="E521" s="43">
        <v>9</v>
      </c>
      <c r="F521" s="45">
        <v>1</v>
      </c>
      <c r="G521" s="34" t="inlineStr">
        <is>
          <t xml:space="preserve">Cole</t>
        </is>
      </c>
      <c r="H521" s="34" t="inlineStr">
        <is>
          <t xml:space="preserve">Cole</t>
        </is>
      </c>
      <c r="I521" s="34" t="inlineStr">
        <is>
          <t xml:space="preserve">R. Connolly</t>
        </is>
      </c>
      <c r="J521" s="34" t="inlineStr">
        <is>
          <t xml:space="preserve">Mangold</t>
        </is>
      </c>
      <c r="K521" s="34" t="inlineStr">
        <is>
          <t xml:space="preserve">Welker</t>
        </is>
      </c>
      <c r="L521" s="45">
        <v>2.5</v>
      </c>
      <c r="M521" s="45">
        <v>1.25</v>
      </c>
      <c r="N521" s="34" t="inlineStr">
        <is>
          <t xml:space="preserve">Getting</t>
        </is>
      </c>
      <c r="O521" s="45">
        <v>0</v>
      </c>
      <c r="P521" s="45">
        <v>0.428</v>
      </c>
      <c r="Q521" s="45">
        <v>-0.428</v>
      </c>
      <c r="R521" s="34" t="inlineStr">
        <is>
          <t xml:space="preserve">FBC 10/Handicaps (FBC 10).xlsx</t>
        </is>
      </c>
    </row>
    <row r="522" spans="1:18">
      <c r="A522" s="40">
        <v>10</v>
      </c>
      <c r="B522" s="31" t="inlineStr">
        <is>
          <t xml:space="preserve">FBC10-D17</t>
        </is>
      </c>
      <c r="C522" s="31" t="inlineStr">
        <is>
          <t xml:space="preserve">Vegas</t>
        </is>
      </c>
      <c r="D522" s="31" t="inlineStr">
        <is>
          <t xml:space="preserve">Four-ball</t>
        </is>
      </c>
      <c r="E522" s="40">
        <v>9</v>
      </c>
      <c r="F522" s="42">
        <v>1</v>
      </c>
      <c r="G522" s="31" t="inlineStr">
        <is>
          <t xml:space="preserve">Cole</t>
        </is>
      </c>
      <c r="H522" s="31" t="inlineStr">
        <is>
          <t xml:space="preserve">Delaney</t>
        </is>
      </c>
      <c r="I522" s="31" t="inlineStr">
        <is>
          <t xml:space="preserve">Hilts</t>
        </is>
      </c>
      <c r="J522" s="31" t="inlineStr">
        <is>
          <t xml:space="preserve">Connors</t>
        </is>
      </c>
      <c r="K522" s="31" t="inlineStr">
        <is>
          <t xml:space="preserve">Jackson</t>
        </is>
      </c>
      <c r="L522" s="42">
        <v>0.5</v>
      </c>
      <c r="M522" s="42">
        <v>0.25</v>
      </c>
      <c r="N522" s="31" t="inlineStr">
        <is>
          <t xml:space="preserve">Even</t>
        </is>
      </c>
      <c r="O522" s="42">
        <v>0.5</v>
      </c>
      <c r="P522" s="42">
        <v>0.502</v>
      </c>
      <c r="Q522" s="42">
        <v>-0.002</v>
      </c>
      <c r="R522" s="31" t="inlineStr">
        <is>
          <t xml:space="preserve">FBC 10/Handicaps (FBC 10).xlsx</t>
        </is>
      </c>
    </row>
    <row r="523" spans="1:18">
      <c r="A523" s="43">
        <v>10</v>
      </c>
      <c r="B523" s="34" t="inlineStr">
        <is>
          <t xml:space="preserve">FBC10-D17</t>
        </is>
      </c>
      <c r="C523" s="34" t="inlineStr">
        <is>
          <t xml:space="preserve">Vegas</t>
        </is>
      </c>
      <c r="D523" s="34" t="inlineStr">
        <is>
          <t xml:space="preserve">Four-ball</t>
        </is>
      </c>
      <c r="E523" s="43">
        <v>9</v>
      </c>
      <c r="F523" s="45">
        <v>1</v>
      </c>
      <c r="G523" s="34" t="inlineStr">
        <is>
          <t xml:space="preserve">McInerney</t>
        </is>
      </c>
      <c r="H523" s="34" t="inlineStr">
        <is>
          <t xml:space="preserve">Connors</t>
        </is>
      </c>
      <c r="I523" s="34" t="inlineStr">
        <is>
          <t xml:space="preserve">Jackson</t>
        </is>
      </c>
      <c r="J523" s="34" t="inlineStr">
        <is>
          <t xml:space="preserve">Delaney</t>
        </is>
      </c>
      <c r="K523" s="34" t="inlineStr">
        <is>
          <t xml:space="preserve">Hilts</t>
        </is>
      </c>
      <c r="L523" s="45">
        <v>-0.5</v>
      </c>
      <c r="M523" s="45">
        <v>-0.25</v>
      </c>
      <c r="N523" s="34" t="inlineStr">
        <is>
          <t xml:space="preserve">Even</t>
        </is>
      </c>
      <c r="O523" s="45">
        <v>0.5</v>
      </c>
      <c r="P523" s="45">
        <v>0.498</v>
      </c>
      <c r="Q523" s="45">
        <v>0.002</v>
      </c>
      <c r="R523" s="34" t="inlineStr">
        <is>
          <t xml:space="preserve">FBC 10/Handicaps (FBC 10).xlsx</t>
        </is>
      </c>
    </row>
    <row r="524" spans="1:18">
      <c r="A524" s="40">
        <v>10</v>
      </c>
      <c r="B524" s="31" t="inlineStr">
        <is>
          <t xml:space="preserve">FBC10-D18</t>
        </is>
      </c>
      <c r="C524" s="31" t="inlineStr">
        <is>
          <t xml:space="preserve">Vegas</t>
        </is>
      </c>
      <c r="D524" s="31" t="inlineStr">
        <is>
          <t xml:space="preserve">Four-ball</t>
        </is>
      </c>
      <c r="E524" s="40">
        <v>9</v>
      </c>
      <c r="F524" s="42">
        <v>1</v>
      </c>
      <c r="G524" s="31" t="inlineStr">
        <is>
          <t xml:space="preserve">McInerney</t>
        </is>
      </c>
      <c r="H524" s="31" t="inlineStr">
        <is>
          <t xml:space="preserve">Delneky</t>
        </is>
      </c>
      <c r="I524" s="31" t="inlineStr">
        <is>
          <t xml:space="preserve">Gray</t>
        </is>
      </c>
      <c r="J524" s="31" t="inlineStr">
        <is>
          <t xml:space="preserve">Lynch</t>
        </is>
      </c>
      <c r="K524" s="31" t="inlineStr">
        <is>
          <t xml:space="preserve">Perkins</t>
        </is>
      </c>
      <c r="L524" s="42">
        <v>7</v>
      </c>
      <c r="M524" s="42">
        <v>3.5</v>
      </c>
      <c r="N524" s="31" t="inlineStr">
        <is>
          <t xml:space="preserve">Getting</t>
        </is>
      </c>
      <c r="O524" s="42">
        <v>0.5</v>
      </c>
      <c r="P524" s="42">
        <v>0.442</v>
      </c>
      <c r="Q524" s="42">
        <v>0.058</v>
      </c>
      <c r="R524" s="31" t="inlineStr">
        <is>
          <t xml:space="preserve">FBC 10/Handicaps (FBC 10).xlsx</t>
        </is>
      </c>
    </row>
    <row r="525" spans="1:18">
      <c r="A525" s="43">
        <v>10</v>
      </c>
      <c r="B525" s="34" t="inlineStr">
        <is>
          <t xml:space="preserve">FBC10-D18</t>
        </is>
      </c>
      <c r="C525" s="34" t="inlineStr">
        <is>
          <t xml:space="preserve">Vegas</t>
        </is>
      </c>
      <c r="D525" s="34" t="inlineStr">
        <is>
          <t xml:space="preserve">Four-ball</t>
        </is>
      </c>
      <c r="E525" s="43">
        <v>9</v>
      </c>
      <c r="F525" s="45">
        <v>1</v>
      </c>
      <c r="G525" s="34" t="inlineStr">
        <is>
          <t xml:space="preserve">Cole</t>
        </is>
      </c>
      <c r="H525" s="34" t="inlineStr">
        <is>
          <t xml:space="preserve">Lynch</t>
        </is>
      </c>
      <c r="I525" s="34" t="inlineStr">
        <is>
          <t xml:space="preserve">Perkins</t>
        </is>
      </c>
      <c r="J525" s="34" t="inlineStr">
        <is>
          <t xml:space="preserve">Delneky</t>
        </is>
      </c>
      <c r="K525" s="34" t="inlineStr">
        <is>
          <t xml:space="preserve">Gray</t>
        </is>
      </c>
      <c r="L525" s="45">
        <v>-7</v>
      </c>
      <c r="M525" s="45">
        <v>-3.5</v>
      </c>
      <c r="N525" s="34" t="inlineStr">
        <is>
          <t xml:space="preserve">Giving</t>
        </is>
      </c>
      <c r="O525" s="45">
        <v>0.5</v>
      </c>
      <c r="P525" s="45">
        <v>0.558</v>
      </c>
      <c r="Q525" s="45">
        <v>-0.058</v>
      </c>
      <c r="R525" s="34" t="inlineStr">
        <is>
          <t xml:space="preserve">FBC 10/Handicaps (FBC 10).xlsx</t>
        </is>
      </c>
    </row>
    <row r="526" spans="1:18">
      <c r="A526" s="40">
        <v>10</v>
      </c>
      <c r="B526" s="31" t="inlineStr">
        <is>
          <t xml:space="preserve">FBC10-D19</t>
        </is>
      </c>
      <c r="C526" s="31" t="inlineStr">
        <is>
          <t xml:space="preserve">Vegas</t>
        </is>
      </c>
      <c r="D526" s="31" t="inlineStr">
        <is>
          <t xml:space="preserve">Four-ball</t>
        </is>
      </c>
      <c r="E526" s="40">
        <v>9</v>
      </c>
      <c r="F526" s="42">
        <v>1</v>
      </c>
      <c r="G526" s="31" t="inlineStr">
        <is>
          <t xml:space="preserve">Cole</t>
        </is>
      </c>
      <c r="H526" s="31" t="inlineStr">
        <is>
          <t xml:space="preserve">Connolly</t>
        </is>
      </c>
      <c r="I526" s="31" t="inlineStr">
        <is>
          <t xml:space="preserve">Grise</t>
        </is>
      </c>
      <c r="J526" s="31" t="inlineStr">
        <is>
          <t xml:space="preserve">McInerney</t>
        </is>
      </c>
      <c r="K526" s="31" t="inlineStr">
        <is>
          <t xml:space="preserve">Fogan</t>
        </is>
      </c>
      <c r="L526" s="42">
        <v>-1.5</v>
      </c>
      <c r="M526" s="42">
        <v>-0.75</v>
      </c>
      <c r="N526" s="31" t="inlineStr">
        <is>
          <t xml:space="preserve">Giving</t>
        </is>
      </c>
      <c r="O526" s="42">
        <v>1</v>
      </c>
      <c r="P526" s="42">
        <v>0.575</v>
      </c>
      <c r="Q526" s="42">
        <v>0.425</v>
      </c>
      <c r="R526" s="31" t="inlineStr">
        <is>
          <t xml:space="preserve">FBC 10/Handicaps (FBC 10).xlsx</t>
        </is>
      </c>
    </row>
    <row r="527" spans="1:18">
      <c r="A527" s="43">
        <v>10</v>
      </c>
      <c r="B527" s="34" t="inlineStr">
        <is>
          <t xml:space="preserve">FBC10-D19</t>
        </is>
      </c>
      <c r="C527" s="34" t="inlineStr">
        <is>
          <t xml:space="preserve">Vegas</t>
        </is>
      </c>
      <c r="D527" s="34" t="inlineStr">
        <is>
          <t xml:space="preserve">Four-ball</t>
        </is>
      </c>
      <c r="E527" s="43">
        <v>9</v>
      </c>
      <c r="F527" s="45">
        <v>1</v>
      </c>
      <c r="G527" s="34" t="inlineStr">
        <is>
          <t xml:space="preserve">McInerney</t>
        </is>
      </c>
      <c r="H527" s="34" t="inlineStr">
        <is>
          <t xml:space="preserve">McInerney</t>
        </is>
      </c>
      <c r="I527" s="34" t="inlineStr">
        <is>
          <t xml:space="preserve">Fogan</t>
        </is>
      </c>
      <c r="J527" s="34" t="inlineStr">
        <is>
          <t xml:space="preserve">Connolly</t>
        </is>
      </c>
      <c r="K527" s="34" t="inlineStr">
        <is>
          <t xml:space="preserve">Grise</t>
        </is>
      </c>
      <c r="L527" s="45">
        <v>1.5</v>
      </c>
      <c r="M527" s="45">
        <v>0.75</v>
      </c>
      <c r="N527" s="34" t="inlineStr">
        <is>
          <t xml:space="preserve">Getting</t>
        </is>
      </c>
      <c r="O527" s="45">
        <v>0</v>
      </c>
      <c r="P527" s="45">
        <v>0.425</v>
      </c>
      <c r="Q527" s="45">
        <v>-0.425</v>
      </c>
      <c r="R527" s="34" t="inlineStr">
        <is>
          <t xml:space="preserve">FBC 10/Handicaps (FBC 10).xlsx</t>
        </is>
      </c>
    </row>
    <row r="528" spans="1:18">
      <c r="A528" s="40">
        <v>10</v>
      </c>
      <c r="B528" s="31" t="inlineStr">
        <is>
          <t xml:space="preserve">FBC10-D20</t>
        </is>
      </c>
      <c r="C528" s="31" t="inlineStr">
        <is>
          <t xml:space="preserve">Vegas</t>
        </is>
      </c>
      <c r="D528" s="31" t="inlineStr">
        <is>
          <t xml:space="preserve">Four-ball</t>
        </is>
      </c>
      <c r="E528" s="40">
        <v>9</v>
      </c>
      <c r="F528" s="42">
        <v>1</v>
      </c>
      <c r="G528" s="31" t="inlineStr">
        <is>
          <t xml:space="preserve">McInerney</t>
        </is>
      </c>
      <c r="H528" s="31" t="inlineStr">
        <is>
          <t xml:space="preserve">Forster</t>
        </is>
      </c>
      <c r="I528" s="31" t="inlineStr">
        <is>
          <t xml:space="preserve">Zimmer</t>
        </is>
      </c>
      <c r="J528" s="31" t="inlineStr">
        <is>
          <t xml:space="preserve">Ferrin</t>
        </is>
      </c>
      <c r="K528" s="31" t="inlineStr">
        <is>
          <t xml:space="preserve">Flanders</t>
        </is>
      </c>
      <c r="L528" s="42">
        <v>1</v>
      </c>
      <c r="M528" s="42">
        <v>0.5</v>
      </c>
      <c r="N528" s="31" t="inlineStr">
        <is>
          <t xml:space="preserve">Getting</t>
        </is>
      </c>
      <c r="O528" s="42">
        <v>0</v>
      </c>
      <c r="P528" s="42">
        <v>0.423</v>
      </c>
      <c r="Q528" s="42">
        <v>-0.423</v>
      </c>
      <c r="R528" s="31" t="inlineStr">
        <is>
          <t xml:space="preserve">FBC 10/Handicaps (FBC 10).xlsx</t>
        </is>
      </c>
    </row>
    <row r="529" spans="1:18">
      <c r="A529" s="43">
        <v>10</v>
      </c>
      <c r="B529" s="34" t="inlineStr">
        <is>
          <t xml:space="preserve">FBC10-D20</t>
        </is>
      </c>
      <c r="C529" s="34" t="inlineStr">
        <is>
          <t xml:space="preserve">Vegas</t>
        </is>
      </c>
      <c r="D529" s="34" t="inlineStr">
        <is>
          <t xml:space="preserve">Four-ball</t>
        </is>
      </c>
      <c r="E529" s="43">
        <v>9</v>
      </c>
      <c r="F529" s="45">
        <v>1</v>
      </c>
      <c r="G529" s="34" t="inlineStr">
        <is>
          <t xml:space="preserve">Cole</t>
        </is>
      </c>
      <c r="H529" s="34" t="inlineStr">
        <is>
          <t xml:space="preserve">Ferrin</t>
        </is>
      </c>
      <c r="I529" s="34" t="inlineStr">
        <is>
          <t xml:space="preserve">Flanders</t>
        </is>
      </c>
      <c r="J529" s="34" t="inlineStr">
        <is>
          <t xml:space="preserve">Forster</t>
        </is>
      </c>
      <c r="K529" s="34" t="inlineStr">
        <is>
          <t xml:space="preserve">Zimmer</t>
        </is>
      </c>
      <c r="L529" s="45">
        <v>-1</v>
      </c>
      <c r="M529" s="45">
        <v>-0.5</v>
      </c>
      <c r="N529" s="34" t="inlineStr">
        <is>
          <t xml:space="preserve">Giving</t>
        </is>
      </c>
      <c r="O529" s="45">
        <v>1</v>
      </c>
      <c r="P529" s="45">
        <v>0.577</v>
      </c>
      <c r="Q529" s="45">
        <v>0.423</v>
      </c>
      <c r="R529" s="34" t="inlineStr">
        <is>
          <t xml:space="preserve">FBC 10/Handicaps (FBC 10).xlsx</t>
        </is>
      </c>
    </row>
    <row r="530" spans="1:18">
      <c r="A530" s="40">
        <v>10</v>
      </c>
      <c r="B530" s="31" t="inlineStr">
        <is>
          <t xml:space="preserve">FBC10-D21</t>
        </is>
      </c>
      <c r="C530" s="31" t="inlineStr">
        <is>
          <t xml:space="preserve">Scramble</t>
        </is>
      </c>
      <c r="D530" s="31" t="inlineStr">
        <is>
          <t xml:space="preserve">Scramble</t>
        </is>
      </c>
      <c r="E530" s="40">
        <v>9</v>
      </c>
      <c r="F530" s="42">
        <v>1</v>
      </c>
      <c r="G530" s="31" t="inlineStr">
        <is>
          <t xml:space="preserve">McInerney</t>
        </is>
      </c>
      <c r="H530" s="31" t="inlineStr">
        <is>
          <t xml:space="preserve">Fogan</t>
        </is>
      </c>
      <c r="I530" s="31" t="inlineStr">
        <is>
          <t xml:space="preserve">Welker</t>
        </is>
      </c>
      <c r="J530" s="31" t="inlineStr">
        <is>
          <t xml:space="preserve">Delaney</t>
        </is>
      </c>
      <c r="K530" s="31" t="inlineStr">
        <is>
          <t xml:space="preserve">Ferrin</t>
        </is>
      </c>
      <c r="L530" s="42">
        <v>0</v>
      </c>
      <c r="M530" s="42">
        <v>0</v>
      </c>
      <c r="N530" s="31" t="inlineStr">
        <is>
          <t xml:space="preserve">Even</t>
        </is>
      </c>
      <c r="O530" s="42">
        <v>1</v>
      </c>
      <c r="P530" s="42">
        <v>0.5</v>
      </c>
      <c r="Q530" s="42">
        <v>0.5</v>
      </c>
      <c r="R530" s="31" t="inlineStr">
        <is>
          <t xml:space="preserve">FBC 10/Handicaps (FBC 10).xlsx</t>
        </is>
      </c>
    </row>
    <row r="531" spans="1:18">
      <c r="A531" s="43">
        <v>10</v>
      </c>
      <c r="B531" s="34" t="inlineStr">
        <is>
          <t xml:space="preserve">FBC10-D21</t>
        </is>
      </c>
      <c r="C531" s="34" t="inlineStr">
        <is>
          <t xml:space="preserve">Scramble</t>
        </is>
      </c>
      <c r="D531" s="34" t="inlineStr">
        <is>
          <t xml:space="preserve">Scramble</t>
        </is>
      </c>
      <c r="E531" s="43">
        <v>9</v>
      </c>
      <c r="F531" s="45">
        <v>1</v>
      </c>
      <c r="G531" s="34" t="inlineStr">
        <is>
          <t xml:space="preserve">Cole</t>
        </is>
      </c>
      <c r="H531" s="34" t="inlineStr">
        <is>
          <t xml:space="preserve">Delaney</t>
        </is>
      </c>
      <c r="I531" s="34" t="inlineStr">
        <is>
          <t xml:space="preserve">Ferrin</t>
        </is>
      </c>
      <c r="J531" s="34" t="inlineStr">
        <is>
          <t xml:space="preserve">Fogan</t>
        </is>
      </c>
      <c r="K531" s="34" t="inlineStr">
        <is>
          <t xml:space="preserve">Welker</t>
        </is>
      </c>
      <c r="L531" s="45">
        <v>0</v>
      </c>
      <c r="M531" s="45">
        <v>0</v>
      </c>
      <c r="N531" s="34" t="inlineStr">
        <is>
          <t xml:space="preserve">Even</t>
        </is>
      </c>
      <c r="O531" s="45">
        <v>0</v>
      </c>
      <c r="P531" s="45">
        <v>0.5</v>
      </c>
      <c r="Q531" s="45">
        <v>-0.5</v>
      </c>
      <c r="R531" s="34" t="inlineStr">
        <is>
          <t xml:space="preserve">FBC 10/Handicaps (FBC 10).xlsx</t>
        </is>
      </c>
    </row>
    <row r="532" spans="1:18">
      <c r="A532" s="40">
        <v>10</v>
      </c>
      <c r="B532" s="31" t="inlineStr">
        <is>
          <t xml:space="preserve">FBC10-D22</t>
        </is>
      </c>
      <c r="C532" s="31" t="inlineStr">
        <is>
          <t xml:space="preserve">Scramble</t>
        </is>
      </c>
      <c r="D532" s="31" t="inlineStr">
        <is>
          <t xml:space="preserve">Scramble</t>
        </is>
      </c>
      <c r="E532" s="40">
        <v>9</v>
      </c>
      <c r="F532" s="42">
        <v>1</v>
      </c>
      <c r="G532" s="31" t="inlineStr">
        <is>
          <t xml:space="preserve">Cole</t>
        </is>
      </c>
      <c r="H532" s="31" t="inlineStr">
        <is>
          <t xml:space="preserve">Hilts</t>
        </is>
      </c>
      <c r="I532" s="31" t="inlineStr">
        <is>
          <t xml:space="preserve">Lynch</t>
        </is>
      </c>
      <c r="J532" s="31" t="inlineStr">
        <is>
          <t xml:space="preserve">Forster</t>
        </is>
      </c>
      <c r="K532" s="31" t="inlineStr">
        <is>
          <t xml:space="preserve">Mangold</t>
        </is>
      </c>
      <c r="L532" s="42">
        <v>-2</v>
      </c>
      <c r="M532" s="42">
        <v>-1</v>
      </c>
      <c r="N532" s="31" t="inlineStr">
        <is>
          <t xml:space="preserve">Giving</t>
        </is>
      </c>
      <c r="O532" s="42">
        <v>1</v>
      </c>
      <c r="P532" s="42">
        <v>0.488</v>
      </c>
      <c r="Q532" s="42">
        <v>0.512</v>
      </c>
      <c r="R532" s="31" t="inlineStr">
        <is>
          <t xml:space="preserve">FBC 10/Handicaps (FBC 10).xlsx</t>
        </is>
      </c>
    </row>
    <row r="533" spans="1:18">
      <c r="A533" s="43">
        <v>10</v>
      </c>
      <c r="B533" s="34" t="inlineStr">
        <is>
          <t xml:space="preserve">FBC10-D22</t>
        </is>
      </c>
      <c r="C533" s="34" t="inlineStr">
        <is>
          <t xml:space="preserve">Scramble</t>
        </is>
      </c>
      <c r="D533" s="34" t="inlineStr">
        <is>
          <t xml:space="preserve">Scramble</t>
        </is>
      </c>
      <c r="E533" s="43">
        <v>9</v>
      </c>
      <c r="F533" s="45">
        <v>1</v>
      </c>
      <c r="G533" s="34" t="inlineStr">
        <is>
          <t xml:space="preserve">McInerney</t>
        </is>
      </c>
      <c r="H533" s="34" t="inlineStr">
        <is>
          <t xml:space="preserve">Forster</t>
        </is>
      </c>
      <c r="I533" s="34" t="inlineStr">
        <is>
          <t xml:space="preserve">Mangold</t>
        </is>
      </c>
      <c r="J533" s="34" t="inlineStr">
        <is>
          <t xml:space="preserve">Hilts</t>
        </is>
      </c>
      <c r="K533" s="34" t="inlineStr">
        <is>
          <t xml:space="preserve">Lynch</t>
        </is>
      </c>
      <c r="L533" s="45">
        <v>2</v>
      </c>
      <c r="M533" s="45">
        <v>1</v>
      </c>
      <c r="N533" s="34" t="inlineStr">
        <is>
          <t xml:space="preserve">Getting</t>
        </is>
      </c>
      <c r="O533" s="45">
        <v>0</v>
      </c>
      <c r="P533" s="45">
        <v>0.512</v>
      </c>
      <c r="Q533" s="45">
        <v>-0.512</v>
      </c>
      <c r="R533" s="34" t="inlineStr">
        <is>
          <t xml:space="preserve">FBC 10/Handicaps (FBC 10).xlsx</t>
        </is>
      </c>
    </row>
    <row r="534" spans="1:18">
      <c r="A534" s="40">
        <v>10</v>
      </c>
      <c r="B534" s="31" t="inlineStr">
        <is>
          <t xml:space="preserve">FBC10-D23</t>
        </is>
      </c>
      <c r="C534" s="31" t="inlineStr">
        <is>
          <t xml:space="preserve">Scramble</t>
        </is>
      </c>
      <c r="D534" s="31" t="inlineStr">
        <is>
          <t xml:space="preserve">Scramble</t>
        </is>
      </c>
      <c r="E534" s="40">
        <v>9</v>
      </c>
      <c r="F534" s="42">
        <v>1</v>
      </c>
      <c r="G534" s="31" t="inlineStr">
        <is>
          <t xml:space="preserve">McInerney</t>
        </is>
      </c>
      <c r="H534" s="31" t="inlineStr">
        <is>
          <t xml:space="preserve">Gray</t>
        </is>
      </c>
      <c r="I534" s="31" t="inlineStr">
        <is>
          <t xml:space="preserve">Jackson</t>
        </is>
      </c>
      <c r="J534" s="31" t="inlineStr">
        <is>
          <t xml:space="preserve">Flanders</t>
        </is>
      </c>
      <c r="K534" s="31" t="inlineStr">
        <is>
          <t xml:space="preserve">Grise</t>
        </is>
      </c>
      <c r="L534" s="42">
        <v>0</v>
      </c>
      <c r="M534" s="42">
        <v>0</v>
      </c>
      <c r="N534" s="31" t="inlineStr">
        <is>
          <t xml:space="preserve">Even</t>
        </is>
      </c>
      <c r="O534" s="42">
        <v>1</v>
      </c>
      <c r="P534" s="42">
        <v>0.5</v>
      </c>
      <c r="Q534" s="42">
        <v>0.5</v>
      </c>
      <c r="R534" s="31" t="inlineStr">
        <is>
          <t xml:space="preserve">FBC 10/Handicaps (FBC 10).xlsx</t>
        </is>
      </c>
    </row>
    <row r="535" spans="1:18">
      <c r="A535" s="43">
        <v>10</v>
      </c>
      <c r="B535" s="34" t="inlineStr">
        <is>
          <t xml:space="preserve">FBC10-D23</t>
        </is>
      </c>
      <c r="C535" s="34" t="inlineStr">
        <is>
          <t xml:space="preserve">Scramble</t>
        </is>
      </c>
      <c r="D535" s="34" t="inlineStr">
        <is>
          <t xml:space="preserve">Scramble</t>
        </is>
      </c>
      <c r="E535" s="43">
        <v>9</v>
      </c>
      <c r="F535" s="45">
        <v>1</v>
      </c>
      <c r="G535" s="34" t="inlineStr">
        <is>
          <t xml:space="preserve">Cole</t>
        </is>
      </c>
      <c r="H535" s="34" t="inlineStr">
        <is>
          <t xml:space="preserve">Flanders</t>
        </is>
      </c>
      <c r="I535" s="34" t="inlineStr">
        <is>
          <t xml:space="preserve">Grise</t>
        </is>
      </c>
      <c r="J535" s="34" t="inlineStr">
        <is>
          <t xml:space="preserve">Gray</t>
        </is>
      </c>
      <c r="K535" s="34" t="inlineStr">
        <is>
          <t xml:space="preserve">Jackson</t>
        </is>
      </c>
      <c r="L535" s="45">
        <v>0</v>
      </c>
      <c r="M535" s="45">
        <v>0</v>
      </c>
      <c r="N535" s="34" t="inlineStr">
        <is>
          <t xml:space="preserve">Even</t>
        </is>
      </c>
      <c r="O535" s="45">
        <v>0</v>
      </c>
      <c r="P535" s="45">
        <v>0.5</v>
      </c>
      <c r="Q535" s="45">
        <v>-0.5</v>
      </c>
      <c r="R535" s="34" t="inlineStr">
        <is>
          <t xml:space="preserve">FBC 10/Handicaps (FBC 10).xlsx</t>
        </is>
      </c>
    </row>
    <row r="536" spans="1:18">
      <c r="A536" s="40">
        <v>10</v>
      </c>
      <c r="B536" s="31" t="inlineStr">
        <is>
          <t xml:space="preserve">FBC10-D24</t>
        </is>
      </c>
      <c r="C536" s="31" t="inlineStr">
        <is>
          <t xml:space="preserve">Scramble</t>
        </is>
      </c>
      <c r="D536" s="31" t="inlineStr">
        <is>
          <t xml:space="preserve">Scramble</t>
        </is>
      </c>
      <c r="E536" s="40">
        <v>9</v>
      </c>
      <c r="F536" s="42">
        <v>1</v>
      </c>
      <c r="G536" s="31" t="inlineStr">
        <is>
          <t xml:space="preserve">Cole</t>
        </is>
      </c>
      <c r="H536" s="31" t="inlineStr">
        <is>
          <t xml:space="preserve">Cole</t>
        </is>
      </c>
      <c r="I536" s="31" t="inlineStr">
        <is>
          <t xml:space="preserve">Connolly</t>
        </is>
      </c>
      <c r="J536" s="31" t="inlineStr">
        <is>
          <t xml:space="preserve">McInerney</t>
        </is>
      </c>
      <c r="K536" s="31" t="inlineStr">
        <is>
          <t xml:space="preserve">Zimmer</t>
        </is>
      </c>
      <c r="L536" s="42">
        <v>3</v>
      </c>
      <c r="M536" s="42">
        <v>1.5</v>
      </c>
      <c r="N536" s="31" t="inlineStr">
        <is>
          <t xml:space="preserve">Getting</t>
        </is>
      </c>
      <c r="O536" s="42">
        <v>1</v>
      </c>
      <c r="P536" s="42">
        <v>0.558</v>
      </c>
      <c r="Q536" s="42">
        <v>0.442</v>
      </c>
      <c r="R536" s="31" t="inlineStr">
        <is>
          <t xml:space="preserve">FBC 10/Handicaps (FBC 10).xlsx</t>
        </is>
      </c>
    </row>
    <row r="537" spans="1:18">
      <c r="A537" s="43">
        <v>10</v>
      </c>
      <c r="B537" s="34" t="inlineStr">
        <is>
          <t xml:space="preserve">FBC10-D24</t>
        </is>
      </c>
      <c r="C537" s="34" t="inlineStr">
        <is>
          <t xml:space="preserve">Scramble</t>
        </is>
      </c>
      <c r="D537" s="34" t="inlineStr">
        <is>
          <t xml:space="preserve">Scramble</t>
        </is>
      </c>
      <c r="E537" s="43">
        <v>9</v>
      </c>
      <c r="F537" s="45">
        <v>1</v>
      </c>
      <c r="G537" s="34" t="inlineStr">
        <is>
          <t xml:space="preserve">McInerney</t>
        </is>
      </c>
      <c r="H537" s="34" t="inlineStr">
        <is>
          <t xml:space="preserve">McInerney</t>
        </is>
      </c>
      <c r="I537" s="34" t="inlineStr">
        <is>
          <t xml:space="preserve">Zimmer</t>
        </is>
      </c>
      <c r="J537" s="34" t="inlineStr">
        <is>
          <t xml:space="preserve">Cole</t>
        </is>
      </c>
      <c r="K537" s="34" t="inlineStr">
        <is>
          <t xml:space="preserve">Connolly</t>
        </is>
      </c>
      <c r="L537" s="45">
        <v>-3</v>
      </c>
      <c r="M537" s="45">
        <v>-1.5</v>
      </c>
      <c r="N537" s="34" t="inlineStr">
        <is>
          <t xml:space="preserve">Giving</t>
        </is>
      </c>
      <c r="O537" s="45">
        <v>0</v>
      </c>
      <c r="P537" s="45">
        <v>0.442</v>
      </c>
      <c r="Q537" s="45">
        <v>-0.442</v>
      </c>
      <c r="R537" s="34" t="inlineStr">
        <is>
          <t xml:space="preserve">FBC 10/Handicaps (FBC 10).xlsx</t>
        </is>
      </c>
    </row>
    <row r="538" spans="1:18">
      <c r="A538" s="40">
        <v>10</v>
      </c>
      <c r="B538" s="31" t="inlineStr">
        <is>
          <t xml:space="preserve">FBC10-D25</t>
        </is>
      </c>
      <c r="C538" s="31" t="inlineStr">
        <is>
          <t xml:space="preserve">Scramble</t>
        </is>
      </c>
      <c r="D538" s="31" t="inlineStr">
        <is>
          <t xml:space="preserve">Scramble</t>
        </is>
      </c>
      <c r="E538" s="40">
        <v>9</v>
      </c>
      <c r="F538" s="42">
        <v>1</v>
      </c>
      <c r="G538" s="31" t="inlineStr">
        <is>
          <t xml:space="preserve">McInerney</t>
        </is>
      </c>
      <c r="H538" s="31" t="inlineStr">
        <is>
          <t xml:space="preserve">Connors</t>
        </is>
      </c>
      <c r="I538" s="31" t="inlineStr">
        <is>
          <t xml:space="preserve">Delneky</t>
        </is>
      </c>
      <c r="J538" s="31" t="inlineStr">
        <is>
          <t xml:space="preserve">R. Connolly</t>
        </is>
      </c>
      <c r="K538" s="31" t="inlineStr">
        <is>
          <t xml:space="preserve">Perkins</t>
        </is>
      </c>
      <c r="L538" s="42">
        <v>6</v>
      </c>
      <c r="M538" s="42">
        <v>3</v>
      </c>
      <c r="N538" s="31" t="inlineStr">
        <is>
          <t xml:space="preserve">Getting</t>
        </is>
      </c>
      <c r="O538" s="42">
        <v>1</v>
      </c>
      <c r="P538" s="42">
        <v>0.688</v>
      </c>
      <c r="Q538" s="42">
        <v>0.312</v>
      </c>
      <c r="R538" s="31" t="inlineStr">
        <is>
          <t xml:space="preserve">FBC 10/Handicaps (FBC 10).xlsx</t>
        </is>
      </c>
    </row>
    <row r="539" spans="1:18">
      <c r="A539" s="43">
        <v>10</v>
      </c>
      <c r="B539" s="34" t="inlineStr">
        <is>
          <t xml:space="preserve">FBC10-D25</t>
        </is>
      </c>
      <c r="C539" s="34" t="inlineStr">
        <is>
          <t xml:space="preserve">Scramble</t>
        </is>
      </c>
      <c r="D539" s="34" t="inlineStr">
        <is>
          <t xml:space="preserve">Scramble</t>
        </is>
      </c>
      <c r="E539" s="43">
        <v>9</v>
      </c>
      <c r="F539" s="45">
        <v>1</v>
      </c>
      <c r="G539" s="34" t="inlineStr">
        <is>
          <t xml:space="preserve">Cole</t>
        </is>
      </c>
      <c r="H539" s="34" t="inlineStr">
        <is>
          <t xml:space="preserve">R. Connolly</t>
        </is>
      </c>
      <c r="I539" s="34" t="inlineStr">
        <is>
          <t xml:space="preserve">Perkins</t>
        </is>
      </c>
      <c r="J539" s="34" t="inlineStr">
        <is>
          <t xml:space="preserve">Connors</t>
        </is>
      </c>
      <c r="K539" s="34" t="inlineStr">
        <is>
          <t xml:space="preserve">Delneky</t>
        </is>
      </c>
      <c r="L539" s="45">
        <v>-6</v>
      </c>
      <c r="M539" s="45">
        <v>-3</v>
      </c>
      <c r="N539" s="34" t="inlineStr">
        <is>
          <t xml:space="preserve">Giving</t>
        </is>
      </c>
      <c r="O539" s="45">
        <v>0</v>
      </c>
      <c r="P539" s="45">
        <v>0.312</v>
      </c>
      <c r="Q539" s="45">
        <v>-0.312</v>
      </c>
      <c r="R539" s="34" t="inlineStr">
        <is>
          <t xml:space="preserve">FBC 10/Handicaps (FBC 10).xlsx</t>
        </is>
      </c>
    </row>
    <row r="540" spans="1:18">
      <c r="A540" s="40">
        <v>10</v>
      </c>
      <c r="B540" s="31" t="inlineStr">
        <is>
          <t xml:space="preserve">FBC10-S-Cole-Connors</t>
        </is>
      </c>
      <c r="C540" s="31" t="inlineStr">
        <is>
          <t xml:space="preserve">Match Play</t>
        </is>
      </c>
      <c r="D540" s="31" t="inlineStr">
        <is>
          <t xml:space="preserve">Singles</t>
        </is>
      </c>
      <c r="E540" s="40">
        <v>18</v>
      </c>
      <c r="F540" s="42">
        <v>2</v>
      </c>
      <c r="G540" s="31" t="inlineStr">
        <is>
          <t xml:space="preserve">McInerney</t>
        </is>
      </c>
      <c r="H540" s="31" t="inlineStr">
        <is>
          <t xml:space="preserve">Connors</t>
        </is>
      </c>
      <c r="I540" s="31"/>
      <c r="J540" s="31" t="inlineStr">
        <is>
          <t xml:space="preserve">Cole</t>
        </is>
      </c>
      <c r="K540" s="31"/>
      <c r="L540" s="42">
        <v>1.84</v>
      </c>
      <c r="M540" s="42">
        <v>1.84</v>
      </c>
      <c r="N540" s="31" t="inlineStr">
        <is>
          <t xml:space="preserve">Getting</t>
        </is>
      </c>
      <c r="O540" s="42">
        <v>0</v>
      </c>
      <c r="P540" s="42">
        <v>0.875</v>
      </c>
      <c r="Q540" s="42">
        <v>-0.875</v>
      </c>
      <c r="R540" s="31" t="inlineStr">
        <is>
          <t xml:space="preserve">Index x slope (Handicaps tab)</t>
        </is>
      </c>
    </row>
    <row r="541" spans="1:18">
      <c r="A541" s="43">
        <v>10</v>
      </c>
      <c r="B541" s="34" t="inlineStr">
        <is>
          <t xml:space="preserve">FBC10-S-Cole-Connors</t>
        </is>
      </c>
      <c r="C541" s="34" t="inlineStr">
        <is>
          <t xml:space="preserve">Match Play</t>
        </is>
      </c>
      <c r="D541" s="34" t="inlineStr">
        <is>
          <t xml:space="preserve">Singles</t>
        </is>
      </c>
      <c r="E541" s="43">
        <v>18</v>
      </c>
      <c r="F541" s="45">
        <v>2</v>
      </c>
      <c r="G541" s="34" t="inlineStr">
        <is>
          <t xml:space="preserve">Cole</t>
        </is>
      </c>
      <c r="H541" s="34" t="inlineStr">
        <is>
          <t xml:space="preserve">Cole</t>
        </is>
      </c>
      <c r="I541" s="34"/>
      <c r="J541" s="34" t="inlineStr">
        <is>
          <t xml:space="preserve">Connors</t>
        </is>
      </c>
      <c r="K541" s="34"/>
      <c r="L541" s="45">
        <v>-1.84</v>
      </c>
      <c r="M541" s="45">
        <v>-1.84</v>
      </c>
      <c r="N541" s="34" t="inlineStr">
        <is>
          <t xml:space="preserve">Giving</t>
        </is>
      </c>
      <c r="O541" s="45">
        <v>2</v>
      </c>
      <c r="P541" s="45">
        <v>1.125</v>
      </c>
      <c r="Q541" s="45">
        <v>0.875</v>
      </c>
      <c r="R541" s="34" t="inlineStr">
        <is>
          <t xml:space="preserve">Index x slope (Handicaps tab)</t>
        </is>
      </c>
    </row>
    <row r="542" spans="1:18">
      <c r="A542" s="40">
        <v>10</v>
      </c>
      <c r="B542" s="31" t="inlineStr">
        <is>
          <t xml:space="preserve">FBC10-S-Connolly-Zimmer</t>
        </is>
      </c>
      <c r="C542" s="31" t="inlineStr">
        <is>
          <t xml:space="preserve">Match Play</t>
        </is>
      </c>
      <c r="D542" s="31" t="inlineStr">
        <is>
          <t xml:space="preserve">Singles</t>
        </is>
      </c>
      <c r="E542" s="40">
        <v>18</v>
      </c>
      <c r="F542" s="42">
        <v>2</v>
      </c>
      <c r="G542" s="31" t="inlineStr">
        <is>
          <t xml:space="preserve">McInerney</t>
        </is>
      </c>
      <c r="H542" s="31" t="inlineStr">
        <is>
          <t xml:space="preserve">Zimmer</t>
        </is>
      </c>
      <c r="I542" s="31"/>
      <c r="J542" s="31" t="inlineStr">
        <is>
          <t xml:space="preserve">Connolly</t>
        </is>
      </c>
      <c r="K542" s="31"/>
      <c r="L542" s="42">
        <v>-1.38</v>
      </c>
      <c r="M542" s="42">
        <v>-1.38</v>
      </c>
      <c r="N542" s="31" t="inlineStr">
        <is>
          <t xml:space="preserve">Giving</t>
        </is>
      </c>
      <c r="O542" s="42">
        <v>0</v>
      </c>
      <c r="P542" s="42">
        <v>1.134</v>
      </c>
      <c r="Q542" s="42">
        <v>-1.134</v>
      </c>
      <c r="R542" s="31" t="inlineStr">
        <is>
          <t xml:space="preserve">Index x slope (Handicaps tab)</t>
        </is>
      </c>
    </row>
    <row r="543" spans="1:18">
      <c r="A543" s="43">
        <v>10</v>
      </c>
      <c r="B543" s="34" t="inlineStr">
        <is>
          <t xml:space="preserve">FBC10-S-Connolly-Zimmer</t>
        </is>
      </c>
      <c r="C543" s="34" t="inlineStr">
        <is>
          <t xml:space="preserve">Match Play</t>
        </is>
      </c>
      <c r="D543" s="34" t="inlineStr">
        <is>
          <t xml:space="preserve">Singles</t>
        </is>
      </c>
      <c r="E543" s="43">
        <v>18</v>
      </c>
      <c r="F543" s="45">
        <v>2</v>
      </c>
      <c r="G543" s="34" t="inlineStr">
        <is>
          <t xml:space="preserve">Cole</t>
        </is>
      </c>
      <c r="H543" s="34" t="inlineStr">
        <is>
          <t xml:space="preserve">Connolly</t>
        </is>
      </c>
      <c r="I543" s="34"/>
      <c r="J543" s="34" t="inlineStr">
        <is>
          <t xml:space="preserve">Zimmer</t>
        </is>
      </c>
      <c r="K543" s="34"/>
      <c r="L543" s="45">
        <v>1.38</v>
      </c>
      <c r="M543" s="45">
        <v>1.38</v>
      </c>
      <c r="N543" s="34" t="inlineStr">
        <is>
          <t xml:space="preserve">Getting</t>
        </is>
      </c>
      <c r="O543" s="45">
        <v>2</v>
      </c>
      <c r="P543" s="45">
        <v>0.866</v>
      </c>
      <c r="Q543" s="45">
        <v>1.134</v>
      </c>
      <c r="R543" s="34" t="inlineStr">
        <is>
          <t xml:space="preserve">Index x slope (Handicaps tab)</t>
        </is>
      </c>
    </row>
    <row r="544" spans="1:18">
      <c r="A544" s="40">
        <v>10</v>
      </c>
      <c r="B544" s="31" t="inlineStr">
        <is>
          <t xml:space="preserve">FBC10-S-Delaney-Jackson</t>
        </is>
      </c>
      <c r="C544" s="31" t="inlineStr">
        <is>
          <t xml:space="preserve">Match Play</t>
        </is>
      </c>
      <c r="D544" s="31" t="inlineStr">
        <is>
          <t xml:space="preserve">Singles</t>
        </is>
      </c>
      <c r="E544" s="40">
        <v>18</v>
      </c>
      <c r="F544" s="42">
        <v>2</v>
      </c>
      <c r="G544" s="31" t="inlineStr">
        <is>
          <t xml:space="preserve">McInerney</t>
        </is>
      </c>
      <c r="H544" s="31" t="inlineStr">
        <is>
          <t xml:space="preserve">Jackson</t>
        </is>
      </c>
      <c r="I544" s="31"/>
      <c r="J544" s="31" t="inlineStr">
        <is>
          <t xml:space="preserve">Delaney</t>
        </is>
      </c>
      <c r="K544" s="31"/>
      <c r="L544" s="42">
        <v>-3.45</v>
      </c>
      <c r="M544" s="42">
        <v>-3.45</v>
      </c>
      <c r="N544" s="31" t="inlineStr">
        <is>
          <t xml:space="preserve">Giving</t>
        </is>
      </c>
      <c r="O544" s="42">
        <v>2</v>
      </c>
      <c r="P544" s="42">
        <v>1.094</v>
      </c>
      <c r="Q544" s="42">
        <v>0.906</v>
      </c>
      <c r="R544" s="31" t="inlineStr">
        <is>
          <t xml:space="preserve">Index x slope (Handicaps tab)</t>
        </is>
      </c>
    </row>
    <row r="545" spans="1:18">
      <c r="A545" s="43">
        <v>10</v>
      </c>
      <c r="B545" s="34" t="inlineStr">
        <is>
          <t xml:space="preserve">FBC10-S-Delaney-Jackson</t>
        </is>
      </c>
      <c r="C545" s="34" t="inlineStr">
        <is>
          <t xml:space="preserve">Match Play</t>
        </is>
      </c>
      <c r="D545" s="34" t="inlineStr">
        <is>
          <t xml:space="preserve">Singles</t>
        </is>
      </c>
      <c r="E545" s="43">
        <v>18</v>
      </c>
      <c r="F545" s="45">
        <v>2</v>
      </c>
      <c r="G545" s="34" t="inlineStr">
        <is>
          <t xml:space="preserve">Cole</t>
        </is>
      </c>
      <c r="H545" s="34" t="inlineStr">
        <is>
          <t xml:space="preserve">Delaney</t>
        </is>
      </c>
      <c r="I545" s="34"/>
      <c r="J545" s="34" t="inlineStr">
        <is>
          <t xml:space="preserve">Jackson</t>
        </is>
      </c>
      <c r="K545" s="34"/>
      <c r="L545" s="45">
        <v>3.45</v>
      </c>
      <c r="M545" s="45">
        <v>3.45</v>
      </c>
      <c r="N545" s="34" t="inlineStr">
        <is>
          <t xml:space="preserve">Getting</t>
        </is>
      </c>
      <c r="O545" s="45">
        <v>0</v>
      </c>
      <c r="P545" s="45">
        <v>0.906</v>
      </c>
      <c r="Q545" s="45">
        <v>-0.906</v>
      </c>
      <c r="R545" s="34" t="inlineStr">
        <is>
          <t xml:space="preserve">Index x slope (Handicaps tab)</t>
        </is>
      </c>
    </row>
    <row r="546" spans="1:18">
      <c r="A546" s="40">
        <v>10</v>
      </c>
      <c r="B546" s="31" t="inlineStr">
        <is>
          <t xml:space="preserve">FBC10-S-Delneky-Hilts</t>
        </is>
      </c>
      <c r="C546" s="31" t="inlineStr">
        <is>
          <t xml:space="preserve">Match Play</t>
        </is>
      </c>
      <c r="D546" s="31" t="inlineStr">
        <is>
          <t xml:space="preserve">Singles</t>
        </is>
      </c>
      <c r="E546" s="40">
        <v>18</v>
      </c>
      <c r="F546" s="42">
        <v>2</v>
      </c>
      <c r="G546" s="31" t="inlineStr">
        <is>
          <t xml:space="preserve">McInerney</t>
        </is>
      </c>
      <c r="H546" s="31" t="inlineStr">
        <is>
          <t xml:space="preserve">Delneky</t>
        </is>
      </c>
      <c r="I546" s="31"/>
      <c r="J546" s="31" t="inlineStr">
        <is>
          <t xml:space="preserve">Hilts</t>
        </is>
      </c>
      <c r="K546" s="31"/>
      <c r="L546" s="42">
        <v>1.5</v>
      </c>
      <c r="M546" s="42">
        <v>1.5</v>
      </c>
      <c r="N546" s="31" t="inlineStr">
        <is>
          <t xml:space="preserve">Getting</t>
        </is>
      </c>
      <c r="O546" s="42">
        <v>2</v>
      </c>
      <c r="P546" s="42">
        <v>0.868</v>
      </c>
      <c r="Q546" s="42">
        <v>1.132</v>
      </c>
      <c r="R546" s="31" t="inlineStr">
        <is>
          <t xml:space="preserve">Index x slope (Handicaps tab)</t>
        </is>
      </c>
    </row>
    <row r="547" spans="1:18">
      <c r="A547" s="43">
        <v>10</v>
      </c>
      <c r="B547" s="34" t="inlineStr">
        <is>
          <t xml:space="preserve">FBC10-S-Delneky-Hilts</t>
        </is>
      </c>
      <c r="C547" s="34" t="inlineStr">
        <is>
          <t xml:space="preserve">Match Play</t>
        </is>
      </c>
      <c r="D547" s="34" t="inlineStr">
        <is>
          <t xml:space="preserve">Singles</t>
        </is>
      </c>
      <c r="E547" s="43">
        <v>18</v>
      </c>
      <c r="F547" s="45">
        <v>2</v>
      </c>
      <c r="G547" s="34" t="inlineStr">
        <is>
          <t xml:space="preserve">Cole</t>
        </is>
      </c>
      <c r="H547" s="34" t="inlineStr">
        <is>
          <t xml:space="preserve">Hilts</t>
        </is>
      </c>
      <c r="I547" s="34"/>
      <c r="J547" s="34" t="inlineStr">
        <is>
          <t xml:space="preserve">Delneky</t>
        </is>
      </c>
      <c r="K547" s="34"/>
      <c r="L547" s="45">
        <v>-1.5</v>
      </c>
      <c r="M547" s="45">
        <v>-1.5</v>
      </c>
      <c r="N547" s="34" t="inlineStr">
        <is>
          <t xml:space="preserve">Giving</t>
        </is>
      </c>
      <c r="O547" s="45">
        <v>0</v>
      </c>
      <c r="P547" s="45">
        <v>1.132</v>
      </c>
      <c r="Q547" s="45">
        <v>-1.132</v>
      </c>
      <c r="R547" s="34" t="inlineStr">
        <is>
          <t xml:space="preserve">Index x slope (Handicaps tab)</t>
        </is>
      </c>
    </row>
    <row r="548" spans="1:18">
      <c r="A548" s="40">
        <v>10</v>
      </c>
      <c r="B548" s="31" t="inlineStr">
        <is>
          <t xml:space="preserve">FBC10-S-Ferrin-Mangold</t>
        </is>
      </c>
      <c r="C548" s="31" t="inlineStr">
        <is>
          <t xml:space="preserve">Match Play</t>
        </is>
      </c>
      <c r="D548" s="31" t="inlineStr">
        <is>
          <t xml:space="preserve">Singles</t>
        </is>
      </c>
      <c r="E548" s="40">
        <v>18</v>
      </c>
      <c r="F548" s="42">
        <v>2</v>
      </c>
      <c r="G548" s="31" t="inlineStr">
        <is>
          <t xml:space="preserve">McInerney</t>
        </is>
      </c>
      <c r="H548" s="31" t="inlineStr">
        <is>
          <t xml:space="preserve">Mangold</t>
        </is>
      </c>
      <c r="I548" s="31"/>
      <c r="J548" s="31" t="inlineStr">
        <is>
          <t xml:space="preserve">Ferrin</t>
        </is>
      </c>
      <c r="K548" s="31"/>
      <c r="L548" s="42">
        <v>3.68</v>
      </c>
      <c r="M548" s="42">
        <v>3.68</v>
      </c>
      <c r="N548" s="31" t="inlineStr">
        <is>
          <t xml:space="preserve">Getting</t>
        </is>
      </c>
      <c r="O548" s="42">
        <v>1</v>
      </c>
      <c r="P548" s="42">
        <v>0.911</v>
      </c>
      <c r="Q548" s="42">
        <v>0.089</v>
      </c>
      <c r="R548" s="31" t="inlineStr">
        <is>
          <t xml:space="preserve">Index x slope (Handicaps tab)</t>
        </is>
      </c>
    </row>
    <row r="549" spans="1:18">
      <c r="A549" s="43">
        <v>10</v>
      </c>
      <c r="B549" s="34" t="inlineStr">
        <is>
          <t xml:space="preserve">FBC10-S-Ferrin-Mangold</t>
        </is>
      </c>
      <c r="C549" s="34" t="inlineStr">
        <is>
          <t xml:space="preserve">Match Play</t>
        </is>
      </c>
      <c r="D549" s="34" t="inlineStr">
        <is>
          <t xml:space="preserve">Singles</t>
        </is>
      </c>
      <c r="E549" s="43">
        <v>18</v>
      </c>
      <c r="F549" s="45">
        <v>2</v>
      </c>
      <c r="G549" s="34" t="inlineStr">
        <is>
          <t xml:space="preserve">Cole</t>
        </is>
      </c>
      <c r="H549" s="34" t="inlineStr">
        <is>
          <t xml:space="preserve">Ferrin</t>
        </is>
      </c>
      <c r="I549" s="34"/>
      <c r="J549" s="34" t="inlineStr">
        <is>
          <t xml:space="preserve">Mangold</t>
        </is>
      </c>
      <c r="K549" s="34"/>
      <c r="L549" s="45">
        <v>-3.68</v>
      </c>
      <c r="M549" s="45">
        <v>-3.68</v>
      </c>
      <c r="N549" s="34" t="inlineStr">
        <is>
          <t xml:space="preserve">Giving</t>
        </is>
      </c>
      <c r="O549" s="45">
        <v>1</v>
      </c>
      <c r="P549" s="45">
        <v>1.089</v>
      </c>
      <c r="Q549" s="45">
        <v>-0.089</v>
      </c>
      <c r="R549" s="34" t="inlineStr">
        <is>
          <t xml:space="preserve">Index x slope (Handicaps tab)</t>
        </is>
      </c>
    </row>
    <row r="550" spans="1:18">
      <c r="A550" s="40">
        <v>10</v>
      </c>
      <c r="B550" s="31" t="inlineStr">
        <is>
          <t xml:space="preserve">FBC10-S-Flanders-Gray</t>
        </is>
      </c>
      <c r="C550" s="31" t="inlineStr">
        <is>
          <t xml:space="preserve">Match Play</t>
        </is>
      </c>
      <c r="D550" s="31" t="inlineStr">
        <is>
          <t xml:space="preserve">Singles</t>
        </is>
      </c>
      <c r="E550" s="40">
        <v>18</v>
      </c>
      <c r="F550" s="42">
        <v>2</v>
      </c>
      <c r="G550" s="31" t="inlineStr">
        <is>
          <t xml:space="preserve">McInerney</t>
        </is>
      </c>
      <c r="H550" s="31" t="inlineStr">
        <is>
          <t xml:space="preserve">Gray</t>
        </is>
      </c>
      <c r="I550" s="31"/>
      <c r="J550" s="31" t="inlineStr">
        <is>
          <t xml:space="preserve">Flanders</t>
        </is>
      </c>
      <c r="K550" s="31"/>
      <c r="L550" s="42">
        <v>2.65</v>
      </c>
      <c r="M550" s="42">
        <v>2.65</v>
      </c>
      <c r="N550" s="31" t="inlineStr">
        <is>
          <t xml:space="preserve">Getting</t>
        </is>
      </c>
      <c r="O550" s="42">
        <v>2</v>
      </c>
      <c r="P550" s="42">
        <v>0.89</v>
      </c>
      <c r="Q550" s="42">
        <v>1.11</v>
      </c>
      <c r="R550" s="31" t="inlineStr">
        <is>
          <t xml:space="preserve">Index x slope (Handicaps tab)</t>
        </is>
      </c>
    </row>
    <row r="551" spans="1:18">
      <c r="A551" s="43">
        <v>10</v>
      </c>
      <c r="B551" s="34" t="inlineStr">
        <is>
          <t xml:space="preserve">FBC10-S-Flanders-Gray</t>
        </is>
      </c>
      <c r="C551" s="34" t="inlineStr">
        <is>
          <t xml:space="preserve">Match Play</t>
        </is>
      </c>
      <c r="D551" s="34" t="inlineStr">
        <is>
          <t xml:space="preserve">Singles</t>
        </is>
      </c>
      <c r="E551" s="43">
        <v>18</v>
      </c>
      <c r="F551" s="45">
        <v>2</v>
      </c>
      <c r="G551" s="34" t="inlineStr">
        <is>
          <t xml:space="preserve">Cole</t>
        </is>
      </c>
      <c r="H551" s="34" t="inlineStr">
        <is>
          <t xml:space="preserve">Flanders</t>
        </is>
      </c>
      <c r="I551" s="34"/>
      <c r="J551" s="34" t="inlineStr">
        <is>
          <t xml:space="preserve">Gray</t>
        </is>
      </c>
      <c r="K551" s="34"/>
      <c r="L551" s="45">
        <v>-2.65</v>
      </c>
      <c r="M551" s="45">
        <v>-2.65</v>
      </c>
      <c r="N551" s="34" t="inlineStr">
        <is>
          <t xml:space="preserve">Giving</t>
        </is>
      </c>
      <c r="O551" s="45">
        <v>0</v>
      </c>
      <c r="P551" s="45">
        <v>1.11</v>
      </c>
      <c r="Q551" s="45">
        <v>-1.11</v>
      </c>
      <c r="R551" s="34" t="inlineStr">
        <is>
          <t xml:space="preserve">Index x slope (Handicaps tab)</t>
        </is>
      </c>
    </row>
    <row r="552" spans="1:18">
      <c r="A552" s="40">
        <v>10</v>
      </c>
      <c r="B552" s="31" t="inlineStr">
        <is>
          <t xml:space="preserve">FBC10-S-Fogan-R. Connolly</t>
        </is>
      </c>
      <c r="C552" s="31" t="inlineStr">
        <is>
          <t xml:space="preserve">Match Play</t>
        </is>
      </c>
      <c r="D552" s="31" t="inlineStr">
        <is>
          <t xml:space="preserve">Singles</t>
        </is>
      </c>
      <c r="E552" s="40">
        <v>18</v>
      </c>
      <c r="F552" s="42">
        <v>2</v>
      </c>
      <c r="G552" s="31" t="inlineStr">
        <is>
          <t xml:space="preserve">McInerney</t>
        </is>
      </c>
      <c r="H552" s="31" t="inlineStr">
        <is>
          <t xml:space="preserve">Fogan</t>
        </is>
      </c>
      <c r="I552" s="31"/>
      <c r="J552" s="31" t="inlineStr">
        <is>
          <t xml:space="preserve">R. Connolly</t>
        </is>
      </c>
      <c r="K552" s="31"/>
      <c r="L552" s="42">
        <v>6.1</v>
      </c>
      <c r="M552" s="42">
        <v>6.1</v>
      </c>
      <c r="N552" s="31" t="inlineStr">
        <is>
          <t xml:space="preserve">Getting</t>
        </is>
      </c>
      <c r="O552" s="42">
        <v>0</v>
      </c>
      <c r="P552" s="42">
        <v>0.958</v>
      </c>
      <c r="Q552" s="42">
        <v>-0.958</v>
      </c>
      <c r="R552" s="31" t="inlineStr">
        <is>
          <t xml:space="preserve">Index x slope (Handicaps tab)</t>
        </is>
      </c>
    </row>
    <row r="553" spans="1:18">
      <c r="A553" s="43">
        <v>10</v>
      </c>
      <c r="B553" s="34" t="inlineStr">
        <is>
          <t xml:space="preserve">FBC10-S-Fogan-R. Connolly</t>
        </is>
      </c>
      <c r="C553" s="34" t="inlineStr">
        <is>
          <t xml:space="preserve">Match Play</t>
        </is>
      </c>
      <c r="D553" s="34" t="inlineStr">
        <is>
          <t xml:space="preserve">Singles</t>
        </is>
      </c>
      <c r="E553" s="43">
        <v>18</v>
      </c>
      <c r="F553" s="45">
        <v>2</v>
      </c>
      <c r="G553" s="34" t="inlineStr">
        <is>
          <t xml:space="preserve">Cole</t>
        </is>
      </c>
      <c r="H553" s="34" t="inlineStr">
        <is>
          <t xml:space="preserve">R. Connolly</t>
        </is>
      </c>
      <c r="I553" s="34"/>
      <c r="J553" s="34" t="inlineStr">
        <is>
          <t xml:space="preserve">Fogan</t>
        </is>
      </c>
      <c r="K553" s="34"/>
      <c r="L553" s="45">
        <v>-6.1</v>
      </c>
      <c r="M553" s="45">
        <v>-6.1</v>
      </c>
      <c r="N553" s="34" t="inlineStr">
        <is>
          <t xml:space="preserve">Giving</t>
        </is>
      </c>
      <c r="O553" s="45">
        <v>2</v>
      </c>
      <c r="P553" s="45">
        <v>1.042</v>
      </c>
      <c r="Q553" s="45">
        <v>0.958</v>
      </c>
      <c r="R553" s="34" t="inlineStr">
        <is>
          <t xml:space="preserve">Index x slope (Handicaps tab)</t>
        </is>
      </c>
    </row>
    <row r="554" spans="1:18">
      <c r="A554" s="40">
        <v>10</v>
      </c>
      <c r="B554" s="31" t="inlineStr">
        <is>
          <t xml:space="preserve">FBC10-S-Forster-Grise</t>
        </is>
      </c>
      <c r="C554" s="31" t="inlineStr">
        <is>
          <t xml:space="preserve">Match Play</t>
        </is>
      </c>
      <c r="D554" s="31" t="inlineStr">
        <is>
          <t xml:space="preserve">Singles</t>
        </is>
      </c>
      <c r="E554" s="40">
        <v>18</v>
      </c>
      <c r="F554" s="42">
        <v>2</v>
      </c>
      <c r="G554" s="31" t="inlineStr">
        <is>
          <t xml:space="preserve">McInerney</t>
        </is>
      </c>
      <c r="H554" s="31" t="inlineStr">
        <is>
          <t xml:space="preserve">Forster</t>
        </is>
      </c>
      <c r="I554" s="31"/>
      <c r="J554" s="31" t="inlineStr">
        <is>
          <t xml:space="preserve">Grise</t>
        </is>
      </c>
      <c r="K554" s="31"/>
      <c r="L554" s="42">
        <v>1.15</v>
      </c>
      <c r="M554" s="42">
        <v>1.15</v>
      </c>
      <c r="N554" s="31" t="inlineStr">
        <is>
          <t xml:space="preserve">Getting</t>
        </is>
      </c>
      <c r="O554" s="42">
        <v>0</v>
      </c>
      <c r="P554" s="42">
        <v>0.862</v>
      </c>
      <c r="Q554" s="42">
        <v>-0.862</v>
      </c>
      <c r="R554" s="31" t="inlineStr">
        <is>
          <t xml:space="preserve">Index x slope (Handicaps tab)</t>
        </is>
      </c>
    </row>
    <row r="555" spans="1:18">
      <c r="A555" s="43">
        <v>10</v>
      </c>
      <c r="B555" s="34" t="inlineStr">
        <is>
          <t xml:space="preserve">FBC10-S-Forster-Grise</t>
        </is>
      </c>
      <c r="C555" s="34" t="inlineStr">
        <is>
          <t xml:space="preserve">Match Play</t>
        </is>
      </c>
      <c r="D555" s="34" t="inlineStr">
        <is>
          <t xml:space="preserve">Singles</t>
        </is>
      </c>
      <c r="E555" s="43">
        <v>18</v>
      </c>
      <c r="F555" s="45">
        <v>2</v>
      </c>
      <c r="G555" s="34" t="inlineStr">
        <is>
          <t xml:space="preserve">Cole</t>
        </is>
      </c>
      <c r="H555" s="34" t="inlineStr">
        <is>
          <t xml:space="preserve">Grise</t>
        </is>
      </c>
      <c r="I555" s="34"/>
      <c r="J555" s="34" t="inlineStr">
        <is>
          <t xml:space="preserve">Forster</t>
        </is>
      </c>
      <c r="K555" s="34"/>
      <c r="L555" s="45">
        <v>-1.15</v>
      </c>
      <c r="M555" s="45">
        <v>-1.15</v>
      </c>
      <c r="N555" s="34" t="inlineStr">
        <is>
          <t xml:space="preserve">Giving</t>
        </is>
      </c>
      <c r="O555" s="45">
        <v>2</v>
      </c>
      <c r="P555" s="45">
        <v>1.138</v>
      </c>
      <c r="Q555" s="45">
        <v>0.862</v>
      </c>
      <c r="R555" s="34" t="inlineStr">
        <is>
          <t xml:space="preserve">Index x slope (Handicaps tab)</t>
        </is>
      </c>
    </row>
    <row r="556" spans="1:18">
      <c r="A556" s="40">
        <v>10</v>
      </c>
      <c r="B556" s="31" t="inlineStr">
        <is>
          <t xml:space="preserve">FBC10-S-Lynch-Welker</t>
        </is>
      </c>
      <c r="C556" s="31" t="inlineStr">
        <is>
          <t xml:space="preserve">Match Play</t>
        </is>
      </c>
      <c r="D556" s="31" t="inlineStr">
        <is>
          <t xml:space="preserve">Singles</t>
        </is>
      </c>
      <c r="E556" s="40">
        <v>18</v>
      </c>
      <c r="F556" s="42">
        <v>2</v>
      </c>
      <c r="G556" s="31" t="inlineStr">
        <is>
          <t xml:space="preserve">McInerney</t>
        </is>
      </c>
      <c r="H556" s="31" t="inlineStr">
        <is>
          <t xml:space="preserve">Welker</t>
        </is>
      </c>
      <c r="I556" s="31"/>
      <c r="J556" s="31" t="inlineStr">
        <is>
          <t xml:space="preserve">Lynch</t>
        </is>
      </c>
      <c r="K556" s="31"/>
      <c r="L556" s="42">
        <v>1.5</v>
      </c>
      <c r="M556" s="42">
        <v>1.5</v>
      </c>
      <c r="N556" s="31" t="inlineStr">
        <is>
          <t xml:space="preserve">Getting</t>
        </is>
      </c>
      <c r="O556" s="42">
        <v>2</v>
      </c>
      <c r="P556" s="42">
        <v>0.868</v>
      </c>
      <c r="Q556" s="42">
        <v>1.132</v>
      </c>
      <c r="R556" s="31" t="inlineStr">
        <is>
          <t xml:space="preserve">Index x slope (Handicaps tab)</t>
        </is>
      </c>
    </row>
    <row r="557" spans="1:18">
      <c r="A557" s="43">
        <v>10</v>
      </c>
      <c r="B557" s="34" t="inlineStr">
        <is>
          <t xml:space="preserve">FBC10-S-Lynch-Welker</t>
        </is>
      </c>
      <c r="C557" s="34" t="inlineStr">
        <is>
          <t xml:space="preserve">Match Play</t>
        </is>
      </c>
      <c r="D557" s="34" t="inlineStr">
        <is>
          <t xml:space="preserve">Singles</t>
        </is>
      </c>
      <c r="E557" s="43">
        <v>18</v>
      </c>
      <c r="F557" s="45">
        <v>2</v>
      </c>
      <c r="G557" s="34" t="inlineStr">
        <is>
          <t xml:space="preserve">Cole</t>
        </is>
      </c>
      <c r="H557" s="34" t="inlineStr">
        <is>
          <t xml:space="preserve">Lynch</t>
        </is>
      </c>
      <c r="I557" s="34"/>
      <c r="J557" s="34" t="inlineStr">
        <is>
          <t xml:space="preserve">Welker</t>
        </is>
      </c>
      <c r="K557" s="34"/>
      <c r="L557" s="45">
        <v>-1.5</v>
      </c>
      <c r="M557" s="45">
        <v>-1.5</v>
      </c>
      <c r="N557" s="34" t="inlineStr">
        <is>
          <t xml:space="preserve">Giving</t>
        </is>
      </c>
      <c r="O557" s="45">
        <v>0</v>
      </c>
      <c r="P557" s="45">
        <v>1.132</v>
      </c>
      <c r="Q557" s="45">
        <v>-1.132</v>
      </c>
      <c r="R557" s="34" t="inlineStr">
        <is>
          <t xml:space="preserve">Index x slope (Handicaps tab)</t>
        </is>
      </c>
    </row>
    <row r="558" spans="1:18">
      <c r="A558" s="40">
        <v>10</v>
      </c>
      <c r="B558" s="31" t="inlineStr">
        <is>
          <t xml:space="preserve">FBC10-S-McInerney-Perkins</t>
        </is>
      </c>
      <c r="C558" s="31" t="inlineStr">
        <is>
          <t xml:space="preserve">Match Play</t>
        </is>
      </c>
      <c r="D558" s="31" t="inlineStr">
        <is>
          <t xml:space="preserve">Singles</t>
        </is>
      </c>
      <c r="E558" s="40">
        <v>18</v>
      </c>
      <c r="F558" s="42">
        <v>2</v>
      </c>
      <c r="G558" s="31" t="inlineStr">
        <is>
          <t xml:space="preserve">McInerney</t>
        </is>
      </c>
      <c r="H558" s="31" t="inlineStr">
        <is>
          <t xml:space="preserve">McInerney</t>
        </is>
      </c>
      <c r="I558" s="31"/>
      <c r="J558" s="31" t="inlineStr">
        <is>
          <t xml:space="preserve">Perkins</t>
        </is>
      </c>
      <c r="K558" s="31"/>
      <c r="L558" s="42">
        <v>-1.27</v>
      </c>
      <c r="M558" s="42">
        <v>-1.27</v>
      </c>
      <c r="N558" s="31" t="inlineStr">
        <is>
          <t xml:space="preserve">Giving</t>
        </is>
      </c>
      <c r="O558" s="42">
        <v>2</v>
      </c>
      <c r="P558" s="42">
        <v>1.136</v>
      </c>
      <c r="Q558" s="42">
        <v>0.864</v>
      </c>
      <c r="R558" s="31" t="inlineStr">
        <is>
          <t xml:space="preserve">Index x slope (Handicaps tab)</t>
        </is>
      </c>
    </row>
    <row r="559" spans="1:18">
      <c r="A559" s="43">
        <v>10</v>
      </c>
      <c r="B559" s="34" t="inlineStr">
        <is>
          <t xml:space="preserve">FBC10-S-McInerney-Perkins</t>
        </is>
      </c>
      <c r="C559" s="34" t="inlineStr">
        <is>
          <t xml:space="preserve">Match Play</t>
        </is>
      </c>
      <c r="D559" s="34" t="inlineStr">
        <is>
          <t xml:space="preserve">Singles</t>
        </is>
      </c>
      <c r="E559" s="43">
        <v>18</v>
      </c>
      <c r="F559" s="45">
        <v>2</v>
      </c>
      <c r="G559" s="34" t="inlineStr">
        <is>
          <t xml:space="preserve">Cole</t>
        </is>
      </c>
      <c r="H559" s="34" t="inlineStr">
        <is>
          <t xml:space="preserve">Perkins</t>
        </is>
      </c>
      <c r="I559" s="34"/>
      <c r="J559" s="34" t="inlineStr">
        <is>
          <t xml:space="preserve">McInerney</t>
        </is>
      </c>
      <c r="K559" s="34"/>
      <c r="L559" s="45">
        <v>1.27</v>
      </c>
      <c r="M559" s="45">
        <v>1.27</v>
      </c>
      <c r="N559" s="34" t="inlineStr">
        <is>
          <t xml:space="preserve">Getting</t>
        </is>
      </c>
      <c r="O559" s="45">
        <v>0</v>
      </c>
      <c r="P559" s="45">
        <v>0.864</v>
      </c>
      <c r="Q559" s="45">
        <v>-0.864</v>
      </c>
      <c r="R559" s="34" t="inlineStr">
        <is>
          <t xml:space="preserve">Index x slope (Handicaps tab)</t>
        </is>
      </c>
    </row>
    <row r="560" spans="1:18">
      <c r="A560" s="40">
        <v>11</v>
      </c>
      <c r="B560" s="31" t="inlineStr">
        <is>
          <t xml:space="preserve">FBC11-D1</t>
        </is>
      </c>
      <c r="C560" s="31" t="inlineStr">
        <is>
          <t xml:space="preserve">Best Ball</t>
        </is>
      </c>
      <c r="D560" s="31" t="inlineStr">
        <is>
          <t xml:space="preserve">Four-ball</t>
        </is>
      </c>
      <c r="E560" s="40">
        <v>9</v>
      </c>
      <c r="F560" s="42">
        <v>1</v>
      </c>
      <c r="G560" s="31" t="inlineStr">
        <is>
          <t xml:space="preserve">Connors</t>
        </is>
      </c>
      <c r="H560" s="31" t="inlineStr">
        <is>
          <t xml:space="preserve">Flanders</t>
        </is>
      </c>
      <c r="I560" s="31" t="inlineStr">
        <is>
          <t xml:space="preserve">Grise</t>
        </is>
      </c>
      <c r="J560" s="31" t="inlineStr">
        <is>
          <t xml:space="preserve">Fogan</t>
        </is>
      </c>
      <c r="K560" s="31" t="inlineStr">
        <is>
          <t xml:space="preserve">Poirier</t>
        </is>
      </c>
      <c r="L560" s="42">
        <v>-3.69</v>
      </c>
      <c r="M560" s="42">
        <v>-1.85</v>
      </c>
      <c r="N560" s="31" t="inlineStr">
        <is>
          <t xml:space="preserve">Giving</t>
        </is>
      </c>
      <c r="O560" s="42">
        <v>0</v>
      </c>
      <c r="P560" s="42">
        <v>0.568</v>
      </c>
      <c r="Q560" s="42">
        <v>-0.568</v>
      </c>
      <c r="R560" s="31" t="inlineStr">
        <is>
          <t xml:space="preserve">Index x slope (Handicaps tab)</t>
        </is>
      </c>
    </row>
    <row r="561" spans="1:18">
      <c r="A561" s="43">
        <v>11</v>
      </c>
      <c r="B561" s="34" t="inlineStr">
        <is>
          <t xml:space="preserve">FBC11-D1</t>
        </is>
      </c>
      <c r="C561" s="34" t="inlineStr">
        <is>
          <t xml:space="preserve">Best Ball</t>
        </is>
      </c>
      <c r="D561" s="34" t="inlineStr">
        <is>
          <t xml:space="preserve">Four-ball</t>
        </is>
      </c>
      <c r="E561" s="43">
        <v>9</v>
      </c>
      <c r="F561" s="45">
        <v>1</v>
      </c>
      <c r="G561" s="34" t="inlineStr">
        <is>
          <t xml:space="preserve">Delneky</t>
        </is>
      </c>
      <c r="H561" s="34" t="inlineStr">
        <is>
          <t xml:space="preserve">Fogan</t>
        </is>
      </c>
      <c r="I561" s="34" t="inlineStr">
        <is>
          <t xml:space="preserve">Poirier</t>
        </is>
      </c>
      <c r="J561" s="34" t="inlineStr">
        <is>
          <t xml:space="preserve">Flanders</t>
        </is>
      </c>
      <c r="K561" s="34" t="inlineStr">
        <is>
          <t xml:space="preserve">Grise</t>
        </is>
      </c>
      <c r="L561" s="45">
        <v>3.69</v>
      </c>
      <c r="M561" s="45">
        <v>1.85</v>
      </c>
      <c r="N561" s="34" t="inlineStr">
        <is>
          <t xml:space="preserve">Getting</t>
        </is>
      </c>
      <c r="O561" s="45">
        <v>1</v>
      </c>
      <c r="P561" s="45">
        <v>0.432</v>
      </c>
      <c r="Q561" s="45">
        <v>0.568</v>
      </c>
      <c r="R561" s="34" t="inlineStr">
        <is>
          <t xml:space="preserve">Index x slope (Handicaps tab)</t>
        </is>
      </c>
    </row>
    <row r="562" spans="1:18">
      <c r="A562" s="40">
        <v>11</v>
      </c>
      <c r="B562" s="31" t="inlineStr">
        <is>
          <t xml:space="preserve">FBC11-D2</t>
        </is>
      </c>
      <c r="C562" s="31" t="inlineStr">
        <is>
          <t xml:space="preserve">Best Ball</t>
        </is>
      </c>
      <c r="D562" s="31" t="inlineStr">
        <is>
          <t xml:space="preserve">Four-ball</t>
        </is>
      </c>
      <c r="E562" s="40">
        <v>9</v>
      </c>
      <c r="F562" s="42">
        <v>1</v>
      </c>
      <c r="G562" s="31" t="inlineStr">
        <is>
          <t xml:space="preserve">Delneky</t>
        </is>
      </c>
      <c r="H562" s="31" t="inlineStr">
        <is>
          <t xml:space="preserve">Gray</t>
        </is>
      </c>
      <c r="I562" s="31" t="inlineStr">
        <is>
          <t xml:space="preserve">Norat</t>
        </is>
      </c>
      <c r="J562" s="31" t="inlineStr">
        <is>
          <t xml:space="preserve">Cole</t>
        </is>
      </c>
      <c r="K562" s="31" t="inlineStr">
        <is>
          <t xml:space="preserve">Lynch</t>
        </is>
      </c>
      <c r="L562" s="42">
        <v>0.98</v>
      </c>
      <c r="M562" s="42">
        <v>0.49</v>
      </c>
      <c r="N562" s="31" t="inlineStr">
        <is>
          <t xml:space="preserve">Even</t>
        </is>
      </c>
      <c r="O562" s="42">
        <v>1</v>
      </c>
      <c r="P562" s="42">
        <v>0.503</v>
      </c>
      <c r="Q562" s="42">
        <v>0.497</v>
      </c>
      <c r="R562" s="31" t="inlineStr">
        <is>
          <t xml:space="preserve">Index x slope (Handicaps tab)</t>
        </is>
      </c>
    </row>
    <row r="563" spans="1:18">
      <c r="A563" s="43">
        <v>11</v>
      </c>
      <c r="B563" s="34" t="inlineStr">
        <is>
          <t xml:space="preserve">FBC11-D2</t>
        </is>
      </c>
      <c r="C563" s="34" t="inlineStr">
        <is>
          <t xml:space="preserve">Best Ball</t>
        </is>
      </c>
      <c r="D563" s="34" t="inlineStr">
        <is>
          <t xml:space="preserve">Four-ball</t>
        </is>
      </c>
      <c r="E563" s="43">
        <v>9</v>
      </c>
      <c r="F563" s="45">
        <v>1</v>
      </c>
      <c r="G563" s="34" t="inlineStr">
        <is>
          <t xml:space="preserve">Connors</t>
        </is>
      </c>
      <c r="H563" s="34" t="inlineStr">
        <is>
          <t xml:space="preserve">Cole</t>
        </is>
      </c>
      <c r="I563" s="34" t="inlineStr">
        <is>
          <t xml:space="preserve">Lynch</t>
        </is>
      </c>
      <c r="J563" s="34" t="inlineStr">
        <is>
          <t xml:space="preserve">Gray</t>
        </is>
      </c>
      <c r="K563" s="34" t="inlineStr">
        <is>
          <t xml:space="preserve">Norat</t>
        </is>
      </c>
      <c r="L563" s="45">
        <v>-0.98</v>
      </c>
      <c r="M563" s="45">
        <v>-0.49</v>
      </c>
      <c r="N563" s="34" t="inlineStr">
        <is>
          <t xml:space="preserve">Even</t>
        </is>
      </c>
      <c r="O563" s="45">
        <v>0</v>
      </c>
      <c r="P563" s="45">
        <v>0.497</v>
      </c>
      <c r="Q563" s="45">
        <v>-0.497</v>
      </c>
      <c r="R563" s="34" t="inlineStr">
        <is>
          <t xml:space="preserve">Index x slope (Handicaps tab)</t>
        </is>
      </c>
    </row>
    <row r="564" spans="1:18">
      <c r="A564" s="40">
        <v>11</v>
      </c>
      <c r="B564" s="31" t="inlineStr">
        <is>
          <t xml:space="preserve">FBC11-D3</t>
        </is>
      </c>
      <c r="C564" s="31" t="inlineStr">
        <is>
          <t xml:space="preserve">Best Ball</t>
        </is>
      </c>
      <c r="D564" s="31" t="inlineStr">
        <is>
          <t xml:space="preserve">Four-ball</t>
        </is>
      </c>
      <c r="E564" s="40">
        <v>9</v>
      </c>
      <c r="F564" s="42">
        <v>1</v>
      </c>
      <c r="G564" s="31" t="inlineStr">
        <is>
          <t xml:space="preserve">Connors</t>
        </is>
      </c>
      <c r="H564" s="31" t="inlineStr">
        <is>
          <t xml:space="preserve">Connors</t>
        </is>
      </c>
      <c r="I564" s="31" t="inlineStr">
        <is>
          <t xml:space="preserve">Jackson</t>
        </is>
      </c>
      <c r="J564" s="31" t="inlineStr">
        <is>
          <t xml:space="preserve">Connolly</t>
        </is>
      </c>
      <c r="K564" s="31" t="inlineStr">
        <is>
          <t xml:space="preserve">Delneky</t>
        </is>
      </c>
      <c r="L564" s="42">
        <v>0.18</v>
      </c>
      <c r="M564" s="42">
        <v>0.09</v>
      </c>
      <c r="N564" s="31" t="inlineStr">
        <is>
          <t xml:space="preserve">Even</t>
        </is>
      </c>
      <c r="O564" s="42">
        <v>1</v>
      </c>
      <c r="P564" s="42">
        <v>0.501</v>
      </c>
      <c r="Q564" s="42">
        <v>0.499</v>
      </c>
      <c r="R564" s="31" t="inlineStr">
        <is>
          <t xml:space="preserve">Index x slope (Handicaps tab)</t>
        </is>
      </c>
    </row>
    <row r="565" spans="1:18">
      <c r="A565" s="43">
        <v>11</v>
      </c>
      <c r="B565" s="34" t="inlineStr">
        <is>
          <t xml:space="preserve">FBC11-D3</t>
        </is>
      </c>
      <c r="C565" s="34" t="inlineStr">
        <is>
          <t xml:space="preserve">Best Ball</t>
        </is>
      </c>
      <c r="D565" s="34" t="inlineStr">
        <is>
          <t xml:space="preserve">Four-ball</t>
        </is>
      </c>
      <c r="E565" s="43">
        <v>9</v>
      </c>
      <c r="F565" s="45">
        <v>1</v>
      </c>
      <c r="G565" s="34" t="inlineStr">
        <is>
          <t xml:space="preserve">Delneky</t>
        </is>
      </c>
      <c r="H565" s="34" t="inlineStr">
        <is>
          <t xml:space="preserve">Connolly</t>
        </is>
      </c>
      <c r="I565" s="34" t="inlineStr">
        <is>
          <t xml:space="preserve">Delneky</t>
        </is>
      </c>
      <c r="J565" s="34" t="inlineStr">
        <is>
          <t xml:space="preserve">Connors</t>
        </is>
      </c>
      <c r="K565" s="34" t="inlineStr">
        <is>
          <t xml:space="preserve">Jackson</t>
        </is>
      </c>
      <c r="L565" s="45">
        <v>-0.18</v>
      </c>
      <c r="M565" s="45">
        <v>-0.09</v>
      </c>
      <c r="N565" s="34" t="inlineStr">
        <is>
          <t xml:space="preserve">Even</t>
        </is>
      </c>
      <c r="O565" s="45">
        <v>0</v>
      </c>
      <c r="P565" s="45">
        <v>0.499</v>
      </c>
      <c r="Q565" s="45">
        <v>-0.499</v>
      </c>
      <c r="R565" s="34" t="inlineStr">
        <is>
          <t xml:space="preserve">Index x slope (Handicaps tab)</t>
        </is>
      </c>
    </row>
    <row r="566" spans="1:18">
      <c r="A566" s="40">
        <v>11</v>
      </c>
      <c r="B566" s="31" t="inlineStr">
        <is>
          <t xml:space="preserve">FBC11-D4</t>
        </is>
      </c>
      <c r="C566" s="31" t="inlineStr">
        <is>
          <t xml:space="preserve">Best Ball</t>
        </is>
      </c>
      <c r="D566" s="31" t="inlineStr">
        <is>
          <t xml:space="preserve">Four-ball</t>
        </is>
      </c>
      <c r="E566" s="40">
        <v>9</v>
      </c>
      <c r="F566" s="42">
        <v>1</v>
      </c>
      <c r="G566" s="31" t="inlineStr">
        <is>
          <t xml:space="preserve">Delneky</t>
        </is>
      </c>
      <c r="H566" s="31" t="inlineStr">
        <is>
          <t xml:space="preserve">Shively</t>
        </is>
      </c>
      <c r="I566" s="31" t="inlineStr">
        <is>
          <t xml:space="preserve">Zimmer</t>
        </is>
      </c>
      <c r="J566" s="31" t="inlineStr">
        <is>
          <t xml:space="preserve">Delaney</t>
        </is>
      </c>
      <c r="K566" s="31" t="inlineStr">
        <is>
          <t xml:space="preserve">Hilts</t>
        </is>
      </c>
      <c r="L566" s="42">
        <v>-1.72</v>
      </c>
      <c r="M566" s="42">
        <v>-0.86</v>
      </c>
      <c r="N566" s="31" t="inlineStr">
        <is>
          <t xml:space="preserve">Giving</t>
        </is>
      </c>
      <c r="O566" s="42">
        <v>0</v>
      </c>
      <c r="P566" s="42">
        <v>0.575</v>
      </c>
      <c r="Q566" s="42">
        <v>-0.575</v>
      </c>
      <c r="R566" s="31" t="inlineStr">
        <is>
          <t xml:space="preserve">Index x slope (Handicaps tab)</t>
        </is>
      </c>
    </row>
    <row r="567" spans="1:18">
      <c r="A567" s="43">
        <v>11</v>
      </c>
      <c r="B567" s="34" t="inlineStr">
        <is>
          <t xml:space="preserve">FBC11-D4</t>
        </is>
      </c>
      <c r="C567" s="34" t="inlineStr">
        <is>
          <t xml:space="preserve">Best Ball</t>
        </is>
      </c>
      <c r="D567" s="34" t="inlineStr">
        <is>
          <t xml:space="preserve">Four-ball</t>
        </is>
      </c>
      <c r="E567" s="43">
        <v>9</v>
      </c>
      <c r="F567" s="45">
        <v>1</v>
      </c>
      <c r="G567" s="34" t="inlineStr">
        <is>
          <t xml:space="preserve">Connors</t>
        </is>
      </c>
      <c r="H567" s="34" t="inlineStr">
        <is>
          <t xml:space="preserve">Delaney</t>
        </is>
      </c>
      <c r="I567" s="34" t="inlineStr">
        <is>
          <t xml:space="preserve">Hilts</t>
        </is>
      </c>
      <c r="J567" s="34" t="inlineStr">
        <is>
          <t xml:space="preserve">Shively</t>
        </is>
      </c>
      <c r="K567" s="34" t="inlineStr">
        <is>
          <t xml:space="preserve">Zimmer</t>
        </is>
      </c>
      <c r="L567" s="45">
        <v>1.72</v>
      </c>
      <c r="M567" s="45">
        <v>0.86</v>
      </c>
      <c r="N567" s="34" t="inlineStr">
        <is>
          <t xml:space="preserve">Getting</t>
        </is>
      </c>
      <c r="O567" s="45">
        <v>1</v>
      </c>
      <c r="P567" s="45">
        <v>0.425</v>
      </c>
      <c r="Q567" s="45">
        <v>0.575</v>
      </c>
      <c r="R567" s="34" t="inlineStr">
        <is>
          <t xml:space="preserve">Index x slope (Handicaps tab)</t>
        </is>
      </c>
    </row>
    <row r="568" spans="1:18">
      <c r="A568" s="40">
        <v>11</v>
      </c>
      <c r="B568" s="31" t="inlineStr">
        <is>
          <t xml:space="preserve">FBC11-D5</t>
        </is>
      </c>
      <c r="C568" s="31" t="inlineStr">
        <is>
          <t xml:space="preserve">Best Ball</t>
        </is>
      </c>
      <c r="D568" s="31" t="inlineStr">
        <is>
          <t xml:space="preserve">Four-ball</t>
        </is>
      </c>
      <c r="E568" s="40">
        <v>9</v>
      </c>
      <c r="F568" s="42">
        <v>1</v>
      </c>
      <c r="G568" s="31" t="inlineStr">
        <is>
          <t xml:space="preserve">Connors</t>
        </is>
      </c>
      <c r="H568" s="31" t="inlineStr">
        <is>
          <t xml:space="preserve">Mangold</t>
        </is>
      </c>
      <c r="I568" s="31" t="inlineStr">
        <is>
          <t xml:space="preserve">Welker</t>
        </is>
      </c>
      <c r="J568" s="31" t="inlineStr">
        <is>
          <t xml:space="preserve">Ferrin</t>
        </is>
      </c>
      <c r="K568" s="31" t="inlineStr">
        <is>
          <t xml:space="preserve">Forster</t>
        </is>
      </c>
      <c r="L568" s="42">
        <v>1.6</v>
      </c>
      <c r="M568" s="42">
        <v>0.8</v>
      </c>
      <c r="N568" s="31" t="inlineStr">
        <is>
          <t xml:space="preserve">Getting</t>
        </is>
      </c>
      <c r="O568" s="42">
        <v>0.5</v>
      </c>
      <c r="P568" s="42">
        <v>0.425</v>
      </c>
      <c r="Q568" s="42">
        <v>0.075</v>
      </c>
      <c r="R568" s="31" t="inlineStr">
        <is>
          <t xml:space="preserve">Index x slope (Handicaps tab)</t>
        </is>
      </c>
    </row>
    <row r="569" spans="1:18">
      <c r="A569" s="43">
        <v>11</v>
      </c>
      <c r="B569" s="34" t="inlineStr">
        <is>
          <t xml:space="preserve">FBC11-D5</t>
        </is>
      </c>
      <c r="C569" s="34" t="inlineStr">
        <is>
          <t xml:space="preserve">Best Ball</t>
        </is>
      </c>
      <c r="D569" s="34" t="inlineStr">
        <is>
          <t xml:space="preserve">Four-ball</t>
        </is>
      </c>
      <c r="E569" s="43">
        <v>9</v>
      </c>
      <c r="F569" s="45">
        <v>1</v>
      </c>
      <c r="G569" s="34" t="inlineStr">
        <is>
          <t xml:space="preserve">Delneky</t>
        </is>
      </c>
      <c r="H569" s="34" t="inlineStr">
        <is>
          <t xml:space="preserve">Ferrin</t>
        </is>
      </c>
      <c r="I569" s="34" t="inlineStr">
        <is>
          <t xml:space="preserve">Forster</t>
        </is>
      </c>
      <c r="J569" s="34" t="inlineStr">
        <is>
          <t xml:space="preserve">Mangold</t>
        </is>
      </c>
      <c r="K569" s="34" t="inlineStr">
        <is>
          <t xml:space="preserve">Welker</t>
        </is>
      </c>
      <c r="L569" s="45">
        <v>-1.6</v>
      </c>
      <c r="M569" s="45">
        <v>-0.8</v>
      </c>
      <c r="N569" s="34" t="inlineStr">
        <is>
          <t xml:space="preserve">Giving</t>
        </is>
      </c>
      <c r="O569" s="45">
        <v>0.5</v>
      </c>
      <c r="P569" s="45">
        <v>0.575</v>
      </c>
      <c r="Q569" s="45">
        <v>-0.075</v>
      </c>
      <c r="R569" s="34" t="inlineStr">
        <is>
          <t xml:space="preserve">Index x slope (Handicaps tab)</t>
        </is>
      </c>
    </row>
    <row r="570" spans="1:18">
      <c r="A570" s="40">
        <v>11</v>
      </c>
      <c r="B570" s="31" t="inlineStr">
        <is>
          <t xml:space="preserve">FBC11-D6</t>
        </is>
      </c>
      <c r="C570" s="31" t="inlineStr">
        <is>
          <t xml:space="preserve">Vegas</t>
        </is>
      </c>
      <c r="D570" s="31" t="inlineStr">
        <is>
          <t xml:space="preserve">Four-ball</t>
        </is>
      </c>
      <c r="E570" s="40">
        <v>9</v>
      </c>
      <c r="F570" s="42">
        <v>1</v>
      </c>
      <c r="G570" s="31" t="inlineStr">
        <is>
          <t xml:space="preserve">Connors</t>
        </is>
      </c>
      <c r="H570" s="31" t="inlineStr">
        <is>
          <t xml:space="preserve">Flanders</t>
        </is>
      </c>
      <c r="I570" s="31" t="inlineStr">
        <is>
          <t xml:space="preserve">Grise</t>
        </is>
      </c>
      <c r="J570" s="31" t="inlineStr">
        <is>
          <t xml:space="preserve">Fogan</t>
        </is>
      </c>
      <c r="K570" s="31" t="inlineStr">
        <is>
          <t xml:space="preserve">Poirier</t>
        </is>
      </c>
      <c r="L570" s="42">
        <v>-3.69</v>
      </c>
      <c r="M570" s="42">
        <v>-1.85</v>
      </c>
      <c r="N570" s="31" t="inlineStr">
        <is>
          <t xml:space="preserve">Giving</t>
        </is>
      </c>
      <c r="O570" s="42">
        <v>0</v>
      </c>
      <c r="P570" s="42">
        <v>0.568</v>
      </c>
      <c r="Q570" s="42">
        <v>-0.568</v>
      </c>
      <c r="R570" s="31" t="inlineStr">
        <is>
          <t xml:space="preserve">Index x slope (Handicaps tab)</t>
        </is>
      </c>
    </row>
    <row r="571" spans="1:18">
      <c r="A571" s="43">
        <v>11</v>
      </c>
      <c r="B571" s="34" t="inlineStr">
        <is>
          <t xml:space="preserve">FBC11-D6</t>
        </is>
      </c>
      <c r="C571" s="34" t="inlineStr">
        <is>
          <t xml:space="preserve">Vegas</t>
        </is>
      </c>
      <c r="D571" s="34" t="inlineStr">
        <is>
          <t xml:space="preserve">Four-ball</t>
        </is>
      </c>
      <c r="E571" s="43">
        <v>9</v>
      </c>
      <c r="F571" s="45">
        <v>1</v>
      </c>
      <c r="G571" s="34" t="inlineStr">
        <is>
          <t xml:space="preserve">Delneky</t>
        </is>
      </c>
      <c r="H571" s="34" t="inlineStr">
        <is>
          <t xml:space="preserve">Fogan</t>
        </is>
      </c>
      <c r="I571" s="34" t="inlineStr">
        <is>
          <t xml:space="preserve">Poirier</t>
        </is>
      </c>
      <c r="J571" s="34" t="inlineStr">
        <is>
          <t xml:space="preserve">Flanders</t>
        </is>
      </c>
      <c r="K571" s="34" t="inlineStr">
        <is>
          <t xml:space="preserve">Grise</t>
        </is>
      </c>
      <c r="L571" s="45">
        <v>3.69</v>
      </c>
      <c r="M571" s="45">
        <v>1.85</v>
      </c>
      <c r="N571" s="34" t="inlineStr">
        <is>
          <t xml:space="preserve">Getting</t>
        </is>
      </c>
      <c r="O571" s="45">
        <v>1</v>
      </c>
      <c r="P571" s="45">
        <v>0.432</v>
      </c>
      <c r="Q571" s="45">
        <v>0.568</v>
      </c>
      <c r="R571" s="34" t="inlineStr">
        <is>
          <t xml:space="preserve">Index x slope (Handicaps tab)</t>
        </is>
      </c>
    </row>
    <row r="572" spans="1:18">
      <c r="A572" s="40">
        <v>11</v>
      </c>
      <c r="B572" s="31" t="inlineStr">
        <is>
          <t xml:space="preserve">FBC11-D7</t>
        </is>
      </c>
      <c r="C572" s="31" t="inlineStr">
        <is>
          <t xml:space="preserve">Vegas</t>
        </is>
      </c>
      <c r="D572" s="31" t="inlineStr">
        <is>
          <t xml:space="preserve">Four-ball</t>
        </is>
      </c>
      <c r="E572" s="40">
        <v>9</v>
      </c>
      <c r="F572" s="42">
        <v>1</v>
      </c>
      <c r="G572" s="31" t="inlineStr">
        <is>
          <t xml:space="preserve">Delneky</t>
        </is>
      </c>
      <c r="H572" s="31" t="inlineStr">
        <is>
          <t xml:space="preserve">Gray</t>
        </is>
      </c>
      <c r="I572" s="31" t="inlineStr">
        <is>
          <t xml:space="preserve">Norat</t>
        </is>
      </c>
      <c r="J572" s="31" t="inlineStr">
        <is>
          <t xml:space="preserve">Cole</t>
        </is>
      </c>
      <c r="K572" s="31" t="inlineStr">
        <is>
          <t xml:space="preserve">Lynch</t>
        </is>
      </c>
      <c r="L572" s="42">
        <v>0.98</v>
      </c>
      <c r="M572" s="42">
        <v>0.49</v>
      </c>
      <c r="N572" s="31" t="inlineStr">
        <is>
          <t xml:space="preserve">Even</t>
        </is>
      </c>
      <c r="O572" s="42">
        <v>1</v>
      </c>
      <c r="P572" s="42">
        <v>0.503</v>
      </c>
      <c r="Q572" s="42">
        <v>0.497</v>
      </c>
      <c r="R572" s="31" t="inlineStr">
        <is>
          <t xml:space="preserve">Index x slope (Handicaps tab)</t>
        </is>
      </c>
    </row>
    <row r="573" spans="1:18">
      <c r="A573" s="43">
        <v>11</v>
      </c>
      <c r="B573" s="34" t="inlineStr">
        <is>
          <t xml:space="preserve">FBC11-D7</t>
        </is>
      </c>
      <c r="C573" s="34" t="inlineStr">
        <is>
          <t xml:space="preserve">Vegas</t>
        </is>
      </c>
      <c r="D573" s="34" t="inlineStr">
        <is>
          <t xml:space="preserve">Four-ball</t>
        </is>
      </c>
      <c r="E573" s="43">
        <v>9</v>
      </c>
      <c r="F573" s="45">
        <v>1</v>
      </c>
      <c r="G573" s="34" t="inlineStr">
        <is>
          <t xml:space="preserve">Connors</t>
        </is>
      </c>
      <c r="H573" s="34" t="inlineStr">
        <is>
          <t xml:space="preserve">Cole</t>
        </is>
      </c>
      <c r="I573" s="34" t="inlineStr">
        <is>
          <t xml:space="preserve">Lynch</t>
        </is>
      </c>
      <c r="J573" s="34" t="inlineStr">
        <is>
          <t xml:space="preserve">Gray</t>
        </is>
      </c>
      <c r="K573" s="34" t="inlineStr">
        <is>
          <t xml:space="preserve">Norat</t>
        </is>
      </c>
      <c r="L573" s="45">
        <v>-0.98</v>
      </c>
      <c r="M573" s="45">
        <v>-0.49</v>
      </c>
      <c r="N573" s="34" t="inlineStr">
        <is>
          <t xml:space="preserve">Even</t>
        </is>
      </c>
      <c r="O573" s="45">
        <v>0</v>
      </c>
      <c r="P573" s="45">
        <v>0.497</v>
      </c>
      <c r="Q573" s="45">
        <v>-0.497</v>
      </c>
      <c r="R573" s="34" t="inlineStr">
        <is>
          <t xml:space="preserve">Index x slope (Handicaps tab)</t>
        </is>
      </c>
    </row>
    <row r="574" spans="1:18">
      <c r="A574" s="40">
        <v>11</v>
      </c>
      <c r="B574" s="31" t="inlineStr">
        <is>
          <t xml:space="preserve">FBC11-D8</t>
        </is>
      </c>
      <c r="C574" s="31" t="inlineStr">
        <is>
          <t xml:space="preserve">Vegas</t>
        </is>
      </c>
      <c r="D574" s="31" t="inlineStr">
        <is>
          <t xml:space="preserve">Four-ball</t>
        </is>
      </c>
      <c r="E574" s="40">
        <v>9</v>
      </c>
      <c r="F574" s="42">
        <v>1</v>
      </c>
      <c r="G574" s="31" t="inlineStr">
        <is>
          <t xml:space="preserve">Connors</t>
        </is>
      </c>
      <c r="H574" s="31" t="inlineStr">
        <is>
          <t xml:space="preserve">Connors</t>
        </is>
      </c>
      <c r="I574" s="31" t="inlineStr">
        <is>
          <t xml:space="preserve">Jackson</t>
        </is>
      </c>
      <c r="J574" s="31" t="inlineStr">
        <is>
          <t xml:space="preserve">Connolly</t>
        </is>
      </c>
      <c r="K574" s="31" t="inlineStr">
        <is>
          <t xml:space="preserve">Delneky</t>
        </is>
      </c>
      <c r="L574" s="42">
        <v>0.18</v>
      </c>
      <c r="M574" s="42">
        <v>0.09</v>
      </c>
      <c r="N574" s="31" t="inlineStr">
        <is>
          <t xml:space="preserve">Even</t>
        </is>
      </c>
      <c r="O574" s="42">
        <v>0</v>
      </c>
      <c r="P574" s="42">
        <v>0.501</v>
      </c>
      <c r="Q574" s="42">
        <v>-0.501</v>
      </c>
      <c r="R574" s="31" t="inlineStr">
        <is>
          <t xml:space="preserve">Index x slope (Handicaps tab)</t>
        </is>
      </c>
    </row>
    <row r="575" spans="1:18">
      <c r="A575" s="43">
        <v>11</v>
      </c>
      <c r="B575" s="34" t="inlineStr">
        <is>
          <t xml:space="preserve">FBC11-D8</t>
        </is>
      </c>
      <c r="C575" s="34" t="inlineStr">
        <is>
          <t xml:space="preserve">Vegas</t>
        </is>
      </c>
      <c r="D575" s="34" t="inlineStr">
        <is>
          <t xml:space="preserve">Four-ball</t>
        </is>
      </c>
      <c r="E575" s="43">
        <v>9</v>
      </c>
      <c r="F575" s="45">
        <v>1</v>
      </c>
      <c r="G575" s="34" t="inlineStr">
        <is>
          <t xml:space="preserve">Delneky</t>
        </is>
      </c>
      <c r="H575" s="34" t="inlineStr">
        <is>
          <t xml:space="preserve">Connolly</t>
        </is>
      </c>
      <c r="I575" s="34" t="inlineStr">
        <is>
          <t xml:space="preserve">Delneky</t>
        </is>
      </c>
      <c r="J575" s="34" t="inlineStr">
        <is>
          <t xml:space="preserve">Connors</t>
        </is>
      </c>
      <c r="K575" s="34" t="inlineStr">
        <is>
          <t xml:space="preserve">Jackson</t>
        </is>
      </c>
      <c r="L575" s="45">
        <v>-0.18</v>
      </c>
      <c r="M575" s="45">
        <v>-0.09</v>
      </c>
      <c r="N575" s="34" t="inlineStr">
        <is>
          <t xml:space="preserve">Even</t>
        </is>
      </c>
      <c r="O575" s="45">
        <v>1</v>
      </c>
      <c r="P575" s="45">
        <v>0.499</v>
      </c>
      <c r="Q575" s="45">
        <v>0.501</v>
      </c>
      <c r="R575" s="34" t="inlineStr">
        <is>
          <t xml:space="preserve">Index x slope (Handicaps tab)</t>
        </is>
      </c>
    </row>
    <row r="576" spans="1:18">
      <c r="A576" s="40">
        <v>11</v>
      </c>
      <c r="B576" s="31" t="inlineStr">
        <is>
          <t xml:space="preserve">FBC11-D9</t>
        </is>
      </c>
      <c r="C576" s="31" t="inlineStr">
        <is>
          <t xml:space="preserve">Vegas</t>
        </is>
      </c>
      <c r="D576" s="31" t="inlineStr">
        <is>
          <t xml:space="preserve">Four-ball</t>
        </is>
      </c>
      <c r="E576" s="40">
        <v>9</v>
      </c>
      <c r="F576" s="42">
        <v>1</v>
      </c>
      <c r="G576" s="31" t="inlineStr">
        <is>
          <t xml:space="preserve">Delneky</t>
        </is>
      </c>
      <c r="H576" s="31" t="inlineStr">
        <is>
          <t xml:space="preserve">Shively</t>
        </is>
      </c>
      <c r="I576" s="31" t="inlineStr">
        <is>
          <t xml:space="preserve">Zimmer</t>
        </is>
      </c>
      <c r="J576" s="31" t="inlineStr">
        <is>
          <t xml:space="preserve">Delaney</t>
        </is>
      </c>
      <c r="K576" s="31" t="inlineStr">
        <is>
          <t xml:space="preserve">Hilts</t>
        </is>
      </c>
      <c r="L576" s="42">
        <v>-1.72</v>
      </c>
      <c r="M576" s="42">
        <v>-0.86</v>
      </c>
      <c r="N576" s="31" t="inlineStr">
        <is>
          <t xml:space="preserve">Giving</t>
        </is>
      </c>
      <c r="O576" s="42">
        <v>0.5</v>
      </c>
      <c r="P576" s="42">
        <v>0.575</v>
      </c>
      <c r="Q576" s="42">
        <v>-0.075</v>
      </c>
      <c r="R576" s="31" t="inlineStr">
        <is>
          <t xml:space="preserve">Index x slope (Handicaps tab)</t>
        </is>
      </c>
    </row>
    <row r="577" spans="1:18">
      <c r="A577" s="43">
        <v>11</v>
      </c>
      <c r="B577" s="34" t="inlineStr">
        <is>
          <t xml:space="preserve">FBC11-D9</t>
        </is>
      </c>
      <c r="C577" s="34" t="inlineStr">
        <is>
          <t xml:space="preserve">Vegas</t>
        </is>
      </c>
      <c r="D577" s="34" t="inlineStr">
        <is>
          <t xml:space="preserve">Four-ball</t>
        </is>
      </c>
      <c r="E577" s="43">
        <v>9</v>
      </c>
      <c r="F577" s="45">
        <v>1</v>
      </c>
      <c r="G577" s="34" t="inlineStr">
        <is>
          <t xml:space="preserve">Connors</t>
        </is>
      </c>
      <c r="H577" s="34" t="inlineStr">
        <is>
          <t xml:space="preserve">Delaney</t>
        </is>
      </c>
      <c r="I577" s="34" t="inlineStr">
        <is>
          <t xml:space="preserve">Hilts</t>
        </is>
      </c>
      <c r="J577" s="34" t="inlineStr">
        <is>
          <t xml:space="preserve">Shively</t>
        </is>
      </c>
      <c r="K577" s="34" t="inlineStr">
        <is>
          <t xml:space="preserve">Zimmer</t>
        </is>
      </c>
      <c r="L577" s="45">
        <v>1.72</v>
      </c>
      <c r="M577" s="45">
        <v>0.86</v>
      </c>
      <c r="N577" s="34" t="inlineStr">
        <is>
          <t xml:space="preserve">Getting</t>
        </is>
      </c>
      <c r="O577" s="45">
        <v>0.5</v>
      </c>
      <c r="P577" s="45">
        <v>0.425</v>
      </c>
      <c r="Q577" s="45">
        <v>0.075</v>
      </c>
      <c r="R577" s="34" t="inlineStr">
        <is>
          <t xml:space="preserve">Index x slope (Handicaps tab)</t>
        </is>
      </c>
    </row>
    <row r="578" spans="1:18">
      <c r="A578" s="40">
        <v>11</v>
      </c>
      <c r="B578" s="31" t="inlineStr">
        <is>
          <t xml:space="preserve">FBC11-D10</t>
        </is>
      </c>
      <c r="C578" s="31" t="inlineStr">
        <is>
          <t xml:space="preserve">Vegas</t>
        </is>
      </c>
      <c r="D578" s="31" t="inlineStr">
        <is>
          <t xml:space="preserve">Four-ball</t>
        </is>
      </c>
      <c r="E578" s="40">
        <v>9</v>
      </c>
      <c r="F578" s="42">
        <v>1</v>
      </c>
      <c r="G578" s="31" t="inlineStr">
        <is>
          <t xml:space="preserve">Connors</t>
        </is>
      </c>
      <c r="H578" s="31" t="inlineStr">
        <is>
          <t xml:space="preserve">Mangold</t>
        </is>
      </c>
      <c r="I578" s="31" t="inlineStr">
        <is>
          <t xml:space="preserve">Welker</t>
        </is>
      </c>
      <c r="J578" s="31" t="inlineStr">
        <is>
          <t xml:space="preserve">Ferrin</t>
        </is>
      </c>
      <c r="K578" s="31" t="inlineStr">
        <is>
          <t xml:space="preserve">Forster</t>
        </is>
      </c>
      <c r="L578" s="42">
        <v>1.6</v>
      </c>
      <c r="M578" s="42">
        <v>0.8</v>
      </c>
      <c r="N578" s="31" t="inlineStr">
        <is>
          <t xml:space="preserve">Getting</t>
        </is>
      </c>
      <c r="O578" s="42">
        <v>0</v>
      </c>
      <c r="P578" s="42">
        <v>0.425</v>
      </c>
      <c r="Q578" s="42">
        <v>-0.425</v>
      </c>
      <c r="R578" s="31" t="inlineStr">
        <is>
          <t xml:space="preserve">Index x slope (Handicaps tab)</t>
        </is>
      </c>
    </row>
    <row r="579" spans="1:18">
      <c r="A579" s="43">
        <v>11</v>
      </c>
      <c r="B579" s="34" t="inlineStr">
        <is>
          <t xml:space="preserve">FBC11-D10</t>
        </is>
      </c>
      <c r="C579" s="34" t="inlineStr">
        <is>
          <t xml:space="preserve">Vegas</t>
        </is>
      </c>
      <c r="D579" s="34" t="inlineStr">
        <is>
          <t xml:space="preserve">Four-ball</t>
        </is>
      </c>
      <c r="E579" s="43">
        <v>9</v>
      </c>
      <c r="F579" s="45">
        <v>1</v>
      </c>
      <c r="G579" s="34" t="inlineStr">
        <is>
          <t xml:space="preserve">Delneky</t>
        </is>
      </c>
      <c r="H579" s="34" t="inlineStr">
        <is>
          <t xml:space="preserve">Ferrin</t>
        </is>
      </c>
      <c r="I579" s="34" t="inlineStr">
        <is>
          <t xml:space="preserve">Forster</t>
        </is>
      </c>
      <c r="J579" s="34" t="inlineStr">
        <is>
          <t xml:space="preserve">Mangold</t>
        </is>
      </c>
      <c r="K579" s="34" t="inlineStr">
        <is>
          <t xml:space="preserve">Welker</t>
        </is>
      </c>
      <c r="L579" s="45">
        <v>-1.6</v>
      </c>
      <c r="M579" s="45">
        <v>-0.8</v>
      </c>
      <c r="N579" s="34" t="inlineStr">
        <is>
          <t xml:space="preserve">Giving</t>
        </is>
      </c>
      <c r="O579" s="45">
        <v>1</v>
      </c>
      <c r="P579" s="45">
        <v>0.575</v>
      </c>
      <c r="Q579" s="45">
        <v>0.425</v>
      </c>
      <c r="R579" s="34" t="inlineStr">
        <is>
          <t xml:space="preserve">Index x slope (Handicaps tab)</t>
        </is>
      </c>
    </row>
    <row r="580" spans="1:18">
      <c r="A580" s="40">
        <v>11</v>
      </c>
      <c r="B580" s="31" t="inlineStr">
        <is>
          <t xml:space="preserve">FBC11-D11</t>
        </is>
      </c>
      <c r="C580" s="31" t="inlineStr">
        <is>
          <t xml:space="preserve">Pinehurst</t>
        </is>
      </c>
      <c r="D580" s="31" t="inlineStr">
        <is>
          <t xml:space="preserve">Pinehurst</t>
        </is>
      </c>
      <c r="E580" s="40">
        <v>9</v>
      </c>
      <c r="F580" s="42">
        <v>1</v>
      </c>
      <c r="G580" s="31" t="inlineStr">
        <is>
          <t xml:space="preserve">Connors</t>
        </is>
      </c>
      <c r="H580" s="31" t="inlineStr">
        <is>
          <t xml:space="preserve">Grise</t>
        </is>
      </c>
      <c r="I580" s="31" t="inlineStr">
        <is>
          <t xml:space="preserve">Jackson</t>
        </is>
      </c>
      <c r="J580" s="31" t="inlineStr">
        <is>
          <t xml:space="preserve">Connolly</t>
        </is>
      </c>
      <c r="K580" s="31" t="inlineStr">
        <is>
          <t xml:space="preserve">Forster</t>
        </is>
      </c>
      <c r="L580" s="42">
        <v>-1.02</v>
      </c>
      <c r="M580" s="42">
        <v>-0.51</v>
      </c>
      <c r="N580" s="31" t="inlineStr">
        <is>
          <t xml:space="preserve">Giving</t>
        </is>
      </c>
      <c r="O580" s="42">
        <v>0.5</v>
      </c>
      <c r="P580" s="42">
        <v>0.572</v>
      </c>
      <c r="Q580" s="42">
        <v>-0.072</v>
      </c>
      <c r="R580" s="31" t="inlineStr">
        <is>
          <t xml:space="preserve">Index x slope (Handicaps tab)</t>
        </is>
      </c>
    </row>
    <row r="581" spans="1:18">
      <c r="A581" s="43">
        <v>11</v>
      </c>
      <c r="B581" s="34" t="inlineStr">
        <is>
          <t xml:space="preserve">FBC11-D11</t>
        </is>
      </c>
      <c r="C581" s="34" t="inlineStr">
        <is>
          <t xml:space="preserve">Pinehurst</t>
        </is>
      </c>
      <c r="D581" s="34" t="inlineStr">
        <is>
          <t xml:space="preserve">Pinehurst</t>
        </is>
      </c>
      <c r="E581" s="43">
        <v>9</v>
      </c>
      <c r="F581" s="45">
        <v>1</v>
      </c>
      <c r="G581" s="34" t="inlineStr">
        <is>
          <t xml:space="preserve">Delneky</t>
        </is>
      </c>
      <c r="H581" s="34" t="inlineStr">
        <is>
          <t xml:space="preserve">Connolly</t>
        </is>
      </c>
      <c r="I581" s="34" t="inlineStr">
        <is>
          <t xml:space="preserve">Forster</t>
        </is>
      </c>
      <c r="J581" s="34" t="inlineStr">
        <is>
          <t xml:space="preserve">Grise</t>
        </is>
      </c>
      <c r="K581" s="34" t="inlineStr">
        <is>
          <t xml:space="preserve">Jackson</t>
        </is>
      </c>
      <c r="L581" s="45">
        <v>1.02</v>
      </c>
      <c r="M581" s="45">
        <v>0.51</v>
      </c>
      <c r="N581" s="34" t="inlineStr">
        <is>
          <t xml:space="preserve">Getting</t>
        </is>
      </c>
      <c r="O581" s="45">
        <v>0.5</v>
      </c>
      <c r="P581" s="45">
        <v>0.428</v>
      </c>
      <c r="Q581" s="45">
        <v>0.072</v>
      </c>
      <c r="R581" s="34" t="inlineStr">
        <is>
          <t xml:space="preserve">Index x slope (Handicaps tab)</t>
        </is>
      </c>
    </row>
    <row r="582" spans="1:18">
      <c r="A582" s="40">
        <v>11</v>
      </c>
      <c r="B582" s="31" t="inlineStr">
        <is>
          <t xml:space="preserve">FBC11-D12</t>
        </is>
      </c>
      <c r="C582" s="31" t="inlineStr">
        <is>
          <t xml:space="preserve">Pinehurst</t>
        </is>
      </c>
      <c r="D582" s="31" t="inlineStr">
        <is>
          <t xml:space="preserve">Pinehurst</t>
        </is>
      </c>
      <c r="E582" s="40">
        <v>9</v>
      </c>
      <c r="F582" s="42">
        <v>1</v>
      </c>
      <c r="G582" s="31" t="inlineStr">
        <is>
          <t xml:space="preserve">Delneky</t>
        </is>
      </c>
      <c r="H582" s="31" t="inlineStr">
        <is>
          <t xml:space="preserve">Poirier</t>
        </is>
      </c>
      <c r="I582" s="31" t="inlineStr">
        <is>
          <t xml:space="preserve">Shively</t>
        </is>
      </c>
      <c r="J582" s="31" t="inlineStr">
        <is>
          <t xml:space="preserve">Connors</t>
        </is>
      </c>
      <c r="K582" s="31" t="inlineStr">
        <is>
          <t xml:space="preserve">Flanders</t>
        </is>
      </c>
      <c r="L582" s="42">
        <v>-2.76</v>
      </c>
      <c r="M582" s="42">
        <v>-1.38</v>
      </c>
      <c r="N582" s="31" t="inlineStr">
        <is>
          <t xml:space="preserve">Giving</t>
        </is>
      </c>
      <c r="O582" s="42">
        <v>0</v>
      </c>
      <c r="P582" s="42">
        <v>0.557</v>
      </c>
      <c r="Q582" s="42">
        <v>-0.557</v>
      </c>
      <c r="R582" s="31" t="inlineStr">
        <is>
          <t xml:space="preserve">Index x slope (Handicaps tab)</t>
        </is>
      </c>
    </row>
    <row r="583" spans="1:18">
      <c r="A583" s="43">
        <v>11</v>
      </c>
      <c r="B583" s="34" t="inlineStr">
        <is>
          <t xml:space="preserve">FBC11-D12</t>
        </is>
      </c>
      <c r="C583" s="34" t="inlineStr">
        <is>
          <t xml:space="preserve">Pinehurst</t>
        </is>
      </c>
      <c r="D583" s="34" t="inlineStr">
        <is>
          <t xml:space="preserve">Pinehurst</t>
        </is>
      </c>
      <c r="E583" s="43">
        <v>9</v>
      </c>
      <c r="F583" s="45">
        <v>1</v>
      </c>
      <c r="G583" s="34" t="inlineStr">
        <is>
          <t xml:space="preserve">Connors</t>
        </is>
      </c>
      <c r="H583" s="34" t="inlineStr">
        <is>
          <t xml:space="preserve">Connors</t>
        </is>
      </c>
      <c r="I583" s="34" t="inlineStr">
        <is>
          <t xml:space="preserve">Flanders</t>
        </is>
      </c>
      <c r="J583" s="34" t="inlineStr">
        <is>
          <t xml:space="preserve">Poirier</t>
        </is>
      </c>
      <c r="K583" s="34" t="inlineStr">
        <is>
          <t xml:space="preserve">Shively</t>
        </is>
      </c>
      <c r="L583" s="45">
        <v>2.76</v>
      </c>
      <c r="M583" s="45">
        <v>1.38</v>
      </c>
      <c r="N583" s="34" t="inlineStr">
        <is>
          <t xml:space="preserve">Getting</t>
        </is>
      </c>
      <c r="O583" s="45">
        <v>1</v>
      </c>
      <c r="P583" s="45">
        <v>0.443</v>
      </c>
      <c r="Q583" s="45">
        <v>0.557</v>
      </c>
      <c r="R583" s="34" t="inlineStr">
        <is>
          <t xml:space="preserve">Index x slope (Handicaps tab)</t>
        </is>
      </c>
    </row>
    <row r="584" spans="1:18">
      <c r="A584" s="40">
        <v>11</v>
      </c>
      <c r="B584" s="31" t="inlineStr">
        <is>
          <t xml:space="preserve">FBC11-D13</t>
        </is>
      </c>
      <c r="C584" s="31" t="inlineStr">
        <is>
          <t xml:space="preserve">Pinehurst</t>
        </is>
      </c>
      <c r="D584" s="31" t="inlineStr">
        <is>
          <t xml:space="preserve">Pinehurst</t>
        </is>
      </c>
      <c r="E584" s="40">
        <v>9</v>
      </c>
      <c r="F584" s="42">
        <v>1</v>
      </c>
      <c r="G584" s="31" t="inlineStr">
        <is>
          <t xml:space="preserve">Connors</t>
        </is>
      </c>
      <c r="H584" s="31" t="inlineStr">
        <is>
          <t xml:space="preserve">Hilts</t>
        </is>
      </c>
      <c r="I584" s="31" t="inlineStr">
        <is>
          <t xml:space="preserve">Lynch</t>
        </is>
      </c>
      <c r="J584" s="31" t="inlineStr">
        <is>
          <t xml:space="preserve">Fogan</t>
        </is>
      </c>
      <c r="K584" s="31" t="inlineStr">
        <is>
          <t xml:space="preserve">Gray</t>
        </is>
      </c>
      <c r="L584" s="42">
        <v>-0.76</v>
      </c>
      <c r="M584" s="42">
        <v>-0.38</v>
      </c>
      <c r="N584" s="31" t="inlineStr">
        <is>
          <t xml:space="preserve">Even</t>
        </is>
      </c>
      <c r="O584" s="42">
        <v>1</v>
      </c>
      <c r="P584" s="42">
        <v>0.493</v>
      </c>
      <c r="Q584" s="42">
        <v>0.507</v>
      </c>
      <c r="R584" s="31" t="inlineStr">
        <is>
          <t xml:space="preserve">Index x slope (Handicaps tab)</t>
        </is>
      </c>
    </row>
    <row r="585" spans="1:18">
      <c r="A585" s="43">
        <v>11</v>
      </c>
      <c r="B585" s="34" t="inlineStr">
        <is>
          <t xml:space="preserve">FBC11-D13</t>
        </is>
      </c>
      <c r="C585" s="34" t="inlineStr">
        <is>
          <t xml:space="preserve">Pinehurst</t>
        </is>
      </c>
      <c r="D585" s="34" t="inlineStr">
        <is>
          <t xml:space="preserve">Pinehurst</t>
        </is>
      </c>
      <c r="E585" s="43">
        <v>9</v>
      </c>
      <c r="F585" s="45">
        <v>1</v>
      </c>
      <c r="G585" s="34" t="inlineStr">
        <is>
          <t xml:space="preserve">Delneky</t>
        </is>
      </c>
      <c r="H585" s="34" t="inlineStr">
        <is>
          <t xml:space="preserve">Fogan</t>
        </is>
      </c>
      <c r="I585" s="34" t="inlineStr">
        <is>
          <t xml:space="preserve">Gray</t>
        </is>
      </c>
      <c r="J585" s="34" t="inlineStr">
        <is>
          <t xml:space="preserve">Hilts</t>
        </is>
      </c>
      <c r="K585" s="34" t="inlineStr">
        <is>
          <t xml:space="preserve">Lynch</t>
        </is>
      </c>
      <c r="L585" s="45">
        <v>0.76</v>
      </c>
      <c r="M585" s="45">
        <v>0.38</v>
      </c>
      <c r="N585" s="34" t="inlineStr">
        <is>
          <t xml:space="preserve">Even</t>
        </is>
      </c>
      <c r="O585" s="45">
        <v>0</v>
      </c>
      <c r="P585" s="45">
        <v>0.507</v>
      </c>
      <c r="Q585" s="45">
        <v>-0.507</v>
      </c>
      <c r="R585" s="34" t="inlineStr">
        <is>
          <t xml:space="preserve">Index x slope (Handicaps tab)</t>
        </is>
      </c>
    </row>
    <row r="586" spans="1:18">
      <c r="A586" s="40">
        <v>11</v>
      </c>
      <c r="B586" s="31" t="inlineStr">
        <is>
          <t xml:space="preserve">FBC11-D14</t>
        </is>
      </c>
      <c r="C586" s="31" t="inlineStr">
        <is>
          <t xml:space="preserve">Pinehurst</t>
        </is>
      </c>
      <c r="D586" s="31" t="inlineStr">
        <is>
          <t xml:space="preserve">Pinehurst</t>
        </is>
      </c>
      <c r="E586" s="40">
        <v>9</v>
      </c>
      <c r="F586" s="42">
        <v>1</v>
      </c>
      <c r="G586" s="31" t="inlineStr">
        <is>
          <t xml:space="preserve">Delneky</t>
        </is>
      </c>
      <c r="H586" s="31" t="inlineStr">
        <is>
          <t xml:space="preserve">Delneky</t>
        </is>
      </c>
      <c r="I586" s="31" t="inlineStr">
        <is>
          <t xml:space="preserve">Ferrin</t>
        </is>
      </c>
      <c r="J586" s="31" t="inlineStr">
        <is>
          <t xml:space="preserve">Delaney</t>
        </is>
      </c>
      <c r="K586" s="31" t="inlineStr">
        <is>
          <t xml:space="preserve">Mangold</t>
        </is>
      </c>
      <c r="L586" s="42">
        <v>0.76</v>
      </c>
      <c r="M586" s="42">
        <v>0.38</v>
      </c>
      <c r="N586" s="31" t="inlineStr">
        <is>
          <t xml:space="preserve">Even</t>
        </is>
      </c>
      <c r="O586" s="42">
        <v>1</v>
      </c>
      <c r="P586" s="42">
        <v>0.507</v>
      </c>
      <c r="Q586" s="42">
        <v>0.493</v>
      </c>
      <c r="R586" s="31" t="inlineStr">
        <is>
          <t xml:space="preserve">Index x slope (Handicaps tab)</t>
        </is>
      </c>
    </row>
    <row r="587" spans="1:18">
      <c r="A587" s="43">
        <v>11</v>
      </c>
      <c r="B587" s="34" t="inlineStr">
        <is>
          <t xml:space="preserve">FBC11-D14</t>
        </is>
      </c>
      <c r="C587" s="34" t="inlineStr">
        <is>
          <t xml:space="preserve">Pinehurst</t>
        </is>
      </c>
      <c r="D587" s="34" t="inlineStr">
        <is>
          <t xml:space="preserve">Pinehurst</t>
        </is>
      </c>
      <c r="E587" s="43">
        <v>9</v>
      </c>
      <c r="F587" s="45">
        <v>1</v>
      </c>
      <c r="G587" s="34" t="inlineStr">
        <is>
          <t xml:space="preserve">Connors</t>
        </is>
      </c>
      <c r="H587" s="34" t="inlineStr">
        <is>
          <t xml:space="preserve">Delaney</t>
        </is>
      </c>
      <c r="I587" s="34" t="inlineStr">
        <is>
          <t xml:space="preserve">Mangold</t>
        </is>
      </c>
      <c r="J587" s="34" t="inlineStr">
        <is>
          <t xml:space="preserve">Delneky</t>
        </is>
      </c>
      <c r="K587" s="34" t="inlineStr">
        <is>
          <t xml:space="preserve">Ferrin</t>
        </is>
      </c>
      <c r="L587" s="45">
        <v>-0.76</v>
      </c>
      <c r="M587" s="45">
        <v>-0.38</v>
      </c>
      <c r="N587" s="34" t="inlineStr">
        <is>
          <t xml:space="preserve">Even</t>
        </is>
      </c>
      <c r="O587" s="45">
        <v>0</v>
      </c>
      <c r="P587" s="45">
        <v>0.493</v>
      </c>
      <c r="Q587" s="45">
        <v>-0.493</v>
      </c>
      <c r="R587" s="34" t="inlineStr">
        <is>
          <t xml:space="preserve">Index x slope (Handicaps tab)</t>
        </is>
      </c>
    </row>
    <row r="588" spans="1:18">
      <c r="A588" s="40">
        <v>11</v>
      </c>
      <c r="B588" s="31" t="inlineStr">
        <is>
          <t xml:space="preserve">FBC11-D15</t>
        </is>
      </c>
      <c r="C588" s="31" t="inlineStr">
        <is>
          <t xml:space="preserve">Pinehurst</t>
        </is>
      </c>
      <c r="D588" s="31" t="inlineStr">
        <is>
          <t xml:space="preserve">Pinehurst</t>
        </is>
      </c>
      <c r="E588" s="40">
        <v>9</v>
      </c>
      <c r="F588" s="42">
        <v>1</v>
      </c>
      <c r="G588" s="31" t="inlineStr">
        <is>
          <t xml:space="preserve">Connors</t>
        </is>
      </c>
      <c r="H588" s="31" t="inlineStr">
        <is>
          <t xml:space="preserve">Cole</t>
        </is>
      </c>
      <c r="I588" s="31" t="inlineStr">
        <is>
          <t xml:space="preserve">Welker</t>
        </is>
      </c>
      <c r="J588" s="31" t="inlineStr">
        <is>
          <t xml:space="preserve">Norat</t>
        </is>
      </c>
      <c r="K588" s="31" t="inlineStr">
        <is>
          <t xml:space="preserve">Zimmer</t>
        </is>
      </c>
      <c r="L588" s="42">
        <v>-1.11</v>
      </c>
      <c r="M588" s="42">
        <v>-0.56</v>
      </c>
      <c r="N588" s="31" t="inlineStr">
        <is>
          <t xml:space="preserve">Giving</t>
        </is>
      </c>
      <c r="O588" s="42">
        <v>1</v>
      </c>
      <c r="P588" s="42">
        <v>0.571</v>
      </c>
      <c r="Q588" s="42">
        <v>0.429</v>
      </c>
      <c r="R588" s="31" t="inlineStr">
        <is>
          <t xml:space="preserve">Index x slope (Handicaps tab)</t>
        </is>
      </c>
    </row>
    <row r="589" spans="1:18">
      <c r="A589" s="43">
        <v>11</v>
      </c>
      <c r="B589" s="34" t="inlineStr">
        <is>
          <t xml:space="preserve">FBC11-D15</t>
        </is>
      </c>
      <c r="C589" s="34" t="inlineStr">
        <is>
          <t xml:space="preserve">Pinehurst</t>
        </is>
      </c>
      <c r="D589" s="34" t="inlineStr">
        <is>
          <t xml:space="preserve">Pinehurst</t>
        </is>
      </c>
      <c r="E589" s="43">
        <v>9</v>
      </c>
      <c r="F589" s="45">
        <v>1</v>
      </c>
      <c r="G589" s="34" t="inlineStr">
        <is>
          <t xml:space="preserve">Delneky</t>
        </is>
      </c>
      <c r="H589" s="34" t="inlineStr">
        <is>
          <t xml:space="preserve">Norat</t>
        </is>
      </c>
      <c r="I589" s="34" t="inlineStr">
        <is>
          <t xml:space="preserve">Zimmer</t>
        </is>
      </c>
      <c r="J589" s="34" t="inlineStr">
        <is>
          <t xml:space="preserve">Cole</t>
        </is>
      </c>
      <c r="K589" s="34" t="inlineStr">
        <is>
          <t xml:space="preserve">Welker</t>
        </is>
      </c>
      <c r="L589" s="45">
        <v>1.11</v>
      </c>
      <c r="M589" s="45">
        <v>0.56</v>
      </c>
      <c r="N589" s="34" t="inlineStr">
        <is>
          <t xml:space="preserve">Getting</t>
        </is>
      </c>
      <c r="O589" s="45">
        <v>0</v>
      </c>
      <c r="P589" s="45">
        <v>0.429</v>
      </c>
      <c r="Q589" s="45">
        <v>-0.429</v>
      </c>
      <c r="R589" s="34" t="inlineStr">
        <is>
          <t xml:space="preserve">Index x slope (Handicaps tab)</t>
        </is>
      </c>
    </row>
    <row r="590" spans="1:18">
      <c r="A590" s="40">
        <v>11</v>
      </c>
      <c r="B590" s="31" t="inlineStr">
        <is>
          <t xml:space="preserve">FBC11-D16</t>
        </is>
      </c>
      <c r="C590" s="31" t="inlineStr">
        <is>
          <t xml:space="preserve">Scramble</t>
        </is>
      </c>
      <c r="D590" s="31" t="inlineStr">
        <is>
          <t xml:space="preserve">Scramble</t>
        </is>
      </c>
      <c r="E590" s="40">
        <v>9</v>
      </c>
      <c r="F590" s="42">
        <v>1</v>
      </c>
      <c r="G590" s="31" t="inlineStr">
        <is>
          <t xml:space="preserve">Connors</t>
        </is>
      </c>
      <c r="H590" s="31" t="inlineStr">
        <is>
          <t xml:space="preserve">Grise</t>
        </is>
      </c>
      <c r="I590" s="31" t="inlineStr">
        <is>
          <t xml:space="preserve">Jackson</t>
        </is>
      </c>
      <c r="J590" s="31" t="inlineStr">
        <is>
          <t xml:space="preserve">Connolly</t>
        </is>
      </c>
      <c r="K590" s="31" t="inlineStr">
        <is>
          <t xml:space="preserve">Forster</t>
        </is>
      </c>
      <c r="L590" s="42">
        <v>-0.4</v>
      </c>
      <c r="M590" s="42">
        <v>-0.2</v>
      </c>
      <c r="N590" s="31" t="inlineStr">
        <is>
          <t xml:space="preserve">Even</t>
        </is>
      </c>
      <c r="O590" s="42">
        <v>0</v>
      </c>
      <c r="P590" s="42">
        <v>0.482</v>
      </c>
      <c r="Q590" s="42">
        <v>-0.482</v>
      </c>
      <c r="R590" s="31" t="inlineStr">
        <is>
          <t xml:space="preserve">Index x slope (Handicaps tab)</t>
        </is>
      </c>
    </row>
    <row r="591" spans="1:18">
      <c r="A591" s="43">
        <v>11</v>
      </c>
      <c r="B591" s="34" t="inlineStr">
        <is>
          <t xml:space="preserve">FBC11-D16</t>
        </is>
      </c>
      <c r="C591" s="34" t="inlineStr">
        <is>
          <t xml:space="preserve">Scramble</t>
        </is>
      </c>
      <c r="D591" s="34" t="inlineStr">
        <is>
          <t xml:space="preserve">Scramble</t>
        </is>
      </c>
      <c r="E591" s="43">
        <v>9</v>
      </c>
      <c r="F591" s="45">
        <v>1</v>
      </c>
      <c r="G591" s="34" t="inlineStr">
        <is>
          <t xml:space="preserve">Delneky</t>
        </is>
      </c>
      <c r="H591" s="34" t="inlineStr">
        <is>
          <t xml:space="preserve">Connolly</t>
        </is>
      </c>
      <c r="I591" s="34" t="inlineStr">
        <is>
          <t xml:space="preserve">Forster</t>
        </is>
      </c>
      <c r="J591" s="34" t="inlineStr">
        <is>
          <t xml:space="preserve">Grise</t>
        </is>
      </c>
      <c r="K591" s="34" t="inlineStr">
        <is>
          <t xml:space="preserve">Jackson</t>
        </is>
      </c>
      <c r="L591" s="45">
        <v>0.4</v>
      </c>
      <c r="M591" s="45">
        <v>0.2</v>
      </c>
      <c r="N591" s="34" t="inlineStr">
        <is>
          <t xml:space="preserve">Even</t>
        </is>
      </c>
      <c r="O591" s="45">
        <v>1</v>
      </c>
      <c r="P591" s="45">
        <v>0.518</v>
      </c>
      <c r="Q591" s="45">
        <v>0.482</v>
      </c>
      <c r="R591" s="34" t="inlineStr">
        <is>
          <t xml:space="preserve">Index x slope (Handicaps tab)</t>
        </is>
      </c>
    </row>
    <row r="592" spans="1:18">
      <c r="A592" s="40">
        <v>11</v>
      </c>
      <c r="B592" s="31" t="inlineStr">
        <is>
          <t xml:space="preserve">FBC11-D17</t>
        </is>
      </c>
      <c r="C592" s="31" t="inlineStr">
        <is>
          <t xml:space="preserve">Scramble</t>
        </is>
      </c>
      <c r="D592" s="31" t="inlineStr">
        <is>
          <t xml:space="preserve">Scramble</t>
        </is>
      </c>
      <c r="E592" s="40">
        <v>9</v>
      </c>
      <c r="F592" s="42">
        <v>1</v>
      </c>
      <c r="G592" s="31" t="inlineStr">
        <is>
          <t xml:space="preserve">Delneky</t>
        </is>
      </c>
      <c r="H592" s="31" t="inlineStr">
        <is>
          <t xml:space="preserve">Poirier</t>
        </is>
      </c>
      <c r="I592" s="31" t="inlineStr">
        <is>
          <t xml:space="preserve">Shively</t>
        </is>
      </c>
      <c r="J592" s="31" t="inlineStr">
        <is>
          <t xml:space="preserve">Connors</t>
        </is>
      </c>
      <c r="K592" s="31" t="inlineStr">
        <is>
          <t xml:space="preserve">Flanders</t>
        </is>
      </c>
      <c r="L592" s="42">
        <v>-1.19</v>
      </c>
      <c r="M592" s="42">
        <v>-0.59</v>
      </c>
      <c r="N592" s="31" t="inlineStr">
        <is>
          <t xml:space="preserve">Giving</t>
        </is>
      </c>
      <c r="O592" s="42">
        <v>0.5</v>
      </c>
      <c r="P592" s="42">
        <v>0.526</v>
      </c>
      <c r="Q592" s="42">
        <v>-0.026</v>
      </c>
      <c r="R592" s="31" t="inlineStr">
        <is>
          <t xml:space="preserve">Index x slope (Handicaps tab)</t>
        </is>
      </c>
    </row>
    <row r="593" spans="1:18">
      <c r="A593" s="43">
        <v>11</v>
      </c>
      <c r="B593" s="34" t="inlineStr">
        <is>
          <t xml:space="preserve">FBC11-D17</t>
        </is>
      </c>
      <c r="C593" s="34" t="inlineStr">
        <is>
          <t xml:space="preserve">Scramble</t>
        </is>
      </c>
      <c r="D593" s="34" t="inlineStr">
        <is>
          <t xml:space="preserve">Scramble</t>
        </is>
      </c>
      <c r="E593" s="43">
        <v>9</v>
      </c>
      <c r="F593" s="45">
        <v>1</v>
      </c>
      <c r="G593" s="34" t="inlineStr">
        <is>
          <t xml:space="preserve">Connors</t>
        </is>
      </c>
      <c r="H593" s="34" t="inlineStr">
        <is>
          <t xml:space="preserve">Connors</t>
        </is>
      </c>
      <c r="I593" s="34" t="inlineStr">
        <is>
          <t xml:space="preserve">Flanders</t>
        </is>
      </c>
      <c r="J593" s="34" t="inlineStr">
        <is>
          <t xml:space="preserve">Poirier</t>
        </is>
      </c>
      <c r="K593" s="34" t="inlineStr">
        <is>
          <t xml:space="preserve">Shively</t>
        </is>
      </c>
      <c r="L593" s="45">
        <v>1.19</v>
      </c>
      <c r="M593" s="45">
        <v>0.59</v>
      </c>
      <c r="N593" s="34" t="inlineStr">
        <is>
          <t xml:space="preserve">Getting</t>
        </is>
      </c>
      <c r="O593" s="45">
        <v>0.5</v>
      </c>
      <c r="P593" s="45">
        <v>0.474</v>
      </c>
      <c r="Q593" s="45">
        <v>0.026</v>
      </c>
      <c r="R593" s="34" t="inlineStr">
        <is>
          <t xml:space="preserve">Index x slope (Handicaps tab)</t>
        </is>
      </c>
    </row>
    <row r="594" spans="1:18">
      <c r="A594" s="40">
        <v>11</v>
      </c>
      <c r="B594" s="31" t="inlineStr">
        <is>
          <t xml:space="preserve">FBC11-D18</t>
        </is>
      </c>
      <c r="C594" s="31" t="inlineStr">
        <is>
          <t xml:space="preserve">Scramble</t>
        </is>
      </c>
      <c r="D594" s="31" t="inlineStr">
        <is>
          <t xml:space="preserve">Scramble</t>
        </is>
      </c>
      <c r="E594" s="40">
        <v>9</v>
      </c>
      <c r="F594" s="42">
        <v>1</v>
      </c>
      <c r="G594" s="31" t="inlineStr">
        <is>
          <t xml:space="preserve">Connors</t>
        </is>
      </c>
      <c r="H594" s="31" t="inlineStr">
        <is>
          <t xml:space="preserve">Hilts</t>
        </is>
      </c>
      <c r="I594" s="31" t="inlineStr">
        <is>
          <t xml:space="preserve">Lynch</t>
        </is>
      </c>
      <c r="J594" s="31" t="inlineStr">
        <is>
          <t xml:space="preserve">Fogan</t>
        </is>
      </c>
      <c r="K594" s="31" t="inlineStr">
        <is>
          <t xml:space="preserve">Gray</t>
        </is>
      </c>
      <c r="L594" s="42">
        <v>-0.3</v>
      </c>
      <c r="M594" s="42">
        <v>-0.15</v>
      </c>
      <c r="N594" s="31" t="inlineStr">
        <is>
          <t xml:space="preserve">Even</t>
        </is>
      </c>
      <c r="O594" s="42">
        <v>1</v>
      </c>
      <c r="P594" s="42">
        <v>0.486</v>
      </c>
      <c r="Q594" s="42">
        <v>0.514</v>
      </c>
      <c r="R594" s="31" t="inlineStr">
        <is>
          <t xml:space="preserve">Index x slope (Handicaps tab)</t>
        </is>
      </c>
    </row>
    <row r="595" spans="1:18">
      <c r="A595" s="43">
        <v>11</v>
      </c>
      <c r="B595" s="34" t="inlineStr">
        <is>
          <t xml:space="preserve">FBC11-D18</t>
        </is>
      </c>
      <c r="C595" s="34" t="inlineStr">
        <is>
          <t xml:space="preserve">Scramble</t>
        </is>
      </c>
      <c r="D595" s="34" t="inlineStr">
        <is>
          <t xml:space="preserve">Scramble</t>
        </is>
      </c>
      <c r="E595" s="43">
        <v>9</v>
      </c>
      <c r="F595" s="45">
        <v>1</v>
      </c>
      <c r="G595" s="34" t="inlineStr">
        <is>
          <t xml:space="preserve">Delneky</t>
        </is>
      </c>
      <c r="H595" s="34" t="inlineStr">
        <is>
          <t xml:space="preserve">Fogan</t>
        </is>
      </c>
      <c r="I595" s="34" t="inlineStr">
        <is>
          <t xml:space="preserve">Gray</t>
        </is>
      </c>
      <c r="J595" s="34" t="inlineStr">
        <is>
          <t xml:space="preserve">Hilts</t>
        </is>
      </c>
      <c r="K595" s="34" t="inlineStr">
        <is>
          <t xml:space="preserve">Lynch</t>
        </is>
      </c>
      <c r="L595" s="45">
        <v>0.3</v>
      </c>
      <c r="M595" s="45">
        <v>0.15</v>
      </c>
      <c r="N595" s="34" t="inlineStr">
        <is>
          <t xml:space="preserve">Even</t>
        </is>
      </c>
      <c r="O595" s="45">
        <v>0</v>
      </c>
      <c r="P595" s="45">
        <v>0.514</v>
      </c>
      <c r="Q595" s="45">
        <v>-0.514</v>
      </c>
      <c r="R595" s="34" t="inlineStr">
        <is>
          <t xml:space="preserve">Index x slope (Handicaps tab)</t>
        </is>
      </c>
    </row>
    <row r="596" spans="1:18">
      <c r="A596" s="40">
        <v>11</v>
      </c>
      <c r="B596" s="31" t="inlineStr">
        <is>
          <t xml:space="preserve">FBC11-D19</t>
        </is>
      </c>
      <c r="C596" s="31" t="inlineStr">
        <is>
          <t xml:space="preserve">Scramble</t>
        </is>
      </c>
      <c r="D596" s="31" t="inlineStr">
        <is>
          <t xml:space="preserve">Scramble</t>
        </is>
      </c>
      <c r="E596" s="40">
        <v>9</v>
      </c>
      <c r="F596" s="42">
        <v>1</v>
      </c>
      <c r="G596" s="31" t="inlineStr">
        <is>
          <t xml:space="preserve">Delneky</t>
        </is>
      </c>
      <c r="H596" s="31" t="inlineStr">
        <is>
          <t xml:space="preserve">Delneky</t>
        </is>
      </c>
      <c r="I596" s="31" t="inlineStr">
        <is>
          <t xml:space="preserve">Ferrin</t>
        </is>
      </c>
      <c r="J596" s="31" t="inlineStr">
        <is>
          <t xml:space="preserve">Delaney</t>
        </is>
      </c>
      <c r="K596" s="31" t="inlineStr">
        <is>
          <t xml:space="preserve">Mangold</t>
        </is>
      </c>
      <c r="L596" s="42">
        <v>0.35</v>
      </c>
      <c r="M596" s="42">
        <v>0.18</v>
      </c>
      <c r="N596" s="31" t="inlineStr">
        <is>
          <t xml:space="preserve">Even</t>
        </is>
      </c>
      <c r="O596" s="42">
        <v>0</v>
      </c>
      <c r="P596" s="42">
        <v>0.516</v>
      </c>
      <c r="Q596" s="42">
        <v>-0.516</v>
      </c>
      <c r="R596" s="31" t="inlineStr">
        <is>
          <t xml:space="preserve">Index x slope (Handicaps tab)</t>
        </is>
      </c>
    </row>
    <row r="597" spans="1:18">
      <c r="A597" s="43">
        <v>11</v>
      </c>
      <c r="B597" s="34" t="inlineStr">
        <is>
          <t xml:space="preserve">FBC11-D19</t>
        </is>
      </c>
      <c r="C597" s="34" t="inlineStr">
        <is>
          <t xml:space="preserve">Scramble</t>
        </is>
      </c>
      <c r="D597" s="34" t="inlineStr">
        <is>
          <t xml:space="preserve">Scramble</t>
        </is>
      </c>
      <c r="E597" s="43">
        <v>9</v>
      </c>
      <c r="F597" s="45">
        <v>1</v>
      </c>
      <c r="G597" s="34" t="inlineStr">
        <is>
          <t xml:space="preserve">Connors</t>
        </is>
      </c>
      <c r="H597" s="34" t="inlineStr">
        <is>
          <t xml:space="preserve">Delaney</t>
        </is>
      </c>
      <c r="I597" s="34" t="inlineStr">
        <is>
          <t xml:space="preserve">Mangold</t>
        </is>
      </c>
      <c r="J597" s="34" t="inlineStr">
        <is>
          <t xml:space="preserve">Delneky</t>
        </is>
      </c>
      <c r="K597" s="34" t="inlineStr">
        <is>
          <t xml:space="preserve">Ferrin</t>
        </is>
      </c>
      <c r="L597" s="45">
        <v>-0.35</v>
      </c>
      <c r="M597" s="45">
        <v>-0.18</v>
      </c>
      <c r="N597" s="34" t="inlineStr">
        <is>
          <t xml:space="preserve">Even</t>
        </is>
      </c>
      <c r="O597" s="45">
        <v>1</v>
      </c>
      <c r="P597" s="45">
        <v>0.484</v>
      </c>
      <c r="Q597" s="45">
        <v>0.516</v>
      </c>
      <c r="R597" s="34" t="inlineStr">
        <is>
          <t xml:space="preserve">Index x slope (Handicaps tab)</t>
        </is>
      </c>
    </row>
    <row r="598" spans="1:18">
      <c r="A598" s="40">
        <v>11</v>
      </c>
      <c r="B598" s="31" t="inlineStr">
        <is>
          <t xml:space="preserve">FBC11-D20</t>
        </is>
      </c>
      <c r="C598" s="31" t="inlineStr">
        <is>
          <t xml:space="preserve">Scramble</t>
        </is>
      </c>
      <c r="D598" s="31" t="inlineStr">
        <is>
          <t xml:space="preserve">Scramble</t>
        </is>
      </c>
      <c r="E598" s="40">
        <v>9</v>
      </c>
      <c r="F598" s="42">
        <v>1</v>
      </c>
      <c r="G598" s="31" t="inlineStr">
        <is>
          <t xml:space="preserve">Connors</t>
        </is>
      </c>
      <c r="H598" s="31" t="inlineStr">
        <is>
          <t xml:space="preserve">Cole</t>
        </is>
      </c>
      <c r="I598" s="31" t="inlineStr">
        <is>
          <t xml:space="preserve">Welker</t>
        </is>
      </c>
      <c r="J598" s="31" t="inlineStr">
        <is>
          <t xml:space="preserve">Norat</t>
        </is>
      </c>
      <c r="K598" s="31" t="inlineStr">
        <is>
          <t xml:space="preserve">Zimmer</t>
        </is>
      </c>
      <c r="L598" s="42">
        <v>-0.51</v>
      </c>
      <c r="M598" s="42">
        <v>-0.26</v>
      </c>
      <c r="N598" s="31" t="inlineStr">
        <is>
          <t xml:space="preserve">Even</t>
        </is>
      </c>
      <c r="O598" s="42">
        <v>0.5</v>
      </c>
      <c r="P598" s="42">
        <v>0.476</v>
      </c>
      <c r="Q598" s="42">
        <v>0.024</v>
      </c>
      <c r="R598" s="31" t="inlineStr">
        <is>
          <t xml:space="preserve">Index x slope (Handicaps tab)</t>
        </is>
      </c>
    </row>
    <row r="599" spans="1:18">
      <c r="A599" s="43">
        <v>11</v>
      </c>
      <c r="B599" s="34" t="inlineStr">
        <is>
          <t xml:space="preserve">FBC11-D20</t>
        </is>
      </c>
      <c r="C599" s="34" t="inlineStr">
        <is>
          <t xml:space="preserve">Scramble</t>
        </is>
      </c>
      <c r="D599" s="34" t="inlineStr">
        <is>
          <t xml:space="preserve">Scramble</t>
        </is>
      </c>
      <c r="E599" s="43">
        <v>9</v>
      </c>
      <c r="F599" s="45">
        <v>1</v>
      </c>
      <c r="G599" s="34" t="inlineStr">
        <is>
          <t xml:space="preserve">Delneky</t>
        </is>
      </c>
      <c r="H599" s="34" t="inlineStr">
        <is>
          <t xml:space="preserve">Norat</t>
        </is>
      </c>
      <c r="I599" s="34" t="inlineStr">
        <is>
          <t xml:space="preserve">Zimmer</t>
        </is>
      </c>
      <c r="J599" s="34" t="inlineStr">
        <is>
          <t xml:space="preserve">Cole</t>
        </is>
      </c>
      <c r="K599" s="34" t="inlineStr">
        <is>
          <t xml:space="preserve">Welker</t>
        </is>
      </c>
      <c r="L599" s="45">
        <v>0.51</v>
      </c>
      <c r="M599" s="45">
        <v>0.26</v>
      </c>
      <c r="N599" s="34" t="inlineStr">
        <is>
          <t xml:space="preserve">Even</t>
        </is>
      </c>
      <c r="O599" s="45">
        <v>0.5</v>
      </c>
      <c r="P599" s="45">
        <v>0.524</v>
      </c>
      <c r="Q599" s="45">
        <v>-0.024</v>
      </c>
      <c r="R599" s="34" t="inlineStr">
        <is>
          <t xml:space="preserve">Index x slope (Handicaps tab)</t>
        </is>
      </c>
    </row>
    <row r="600" spans="1:18">
      <c r="A600" s="40">
        <v>11</v>
      </c>
      <c r="B600" s="31" t="inlineStr">
        <is>
          <t xml:space="preserve">FBC11-S-Cole-Shively</t>
        </is>
      </c>
      <c r="C600" s="31" t="inlineStr">
        <is>
          <t xml:space="preserve">Match Play</t>
        </is>
      </c>
      <c r="D600" s="31" t="inlineStr">
        <is>
          <t xml:space="preserve">Singles</t>
        </is>
      </c>
      <c r="E600" s="40">
        <v>18</v>
      </c>
      <c r="F600" s="42">
        <v>2</v>
      </c>
      <c r="G600" s="31" t="inlineStr">
        <is>
          <t xml:space="preserve">Connors</t>
        </is>
      </c>
      <c r="H600" s="31" t="inlineStr">
        <is>
          <t xml:space="preserve">Cole</t>
        </is>
      </c>
      <c r="I600" s="31"/>
      <c r="J600" s="31" t="inlineStr">
        <is>
          <t xml:space="preserve">Shively</t>
        </is>
      </c>
      <c r="K600" s="31"/>
      <c r="L600" s="42">
        <v>4.36</v>
      </c>
      <c r="M600" s="42">
        <v>4.36</v>
      </c>
      <c r="N600" s="31" t="inlineStr">
        <is>
          <t xml:space="preserve">Getting</t>
        </is>
      </c>
      <c r="O600" s="42">
        <v>2</v>
      </c>
      <c r="P600" s="42">
        <v>0.924</v>
      </c>
      <c r="Q600" s="42">
        <v>1.076</v>
      </c>
      <c r="R600" s="31" t="inlineStr">
        <is>
          <t xml:space="preserve">Index x slope (Handicaps tab)</t>
        </is>
      </c>
    </row>
    <row r="601" spans="1:18">
      <c r="A601" s="43">
        <v>11</v>
      </c>
      <c r="B601" s="34" t="inlineStr">
        <is>
          <t xml:space="preserve">FBC11-S-Cole-Shively</t>
        </is>
      </c>
      <c r="C601" s="34" t="inlineStr">
        <is>
          <t xml:space="preserve">Match Play</t>
        </is>
      </c>
      <c r="D601" s="34" t="inlineStr">
        <is>
          <t xml:space="preserve">Singles</t>
        </is>
      </c>
      <c r="E601" s="43">
        <v>18</v>
      </c>
      <c r="F601" s="45">
        <v>2</v>
      </c>
      <c r="G601" s="34" t="inlineStr">
        <is>
          <t xml:space="preserve">Delneky</t>
        </is>
      </c>
      <c r="H601" s="34" t="inlineStr">
        <is>
          <t xml:space="preserve">Shively</t>
        </is>
      </c>
      <c r="I601" s="34"/>
      <c r="J601" s="34" t="inlineStr">
        <is>
          <t xml:space="preserve">Cole</t>
        </is>
      </c>
      <c r="K601" s="34"/>
      <c r="L601" s="45">
        <v>-4.36</v>
      </c>
      <c r="M601" s="45">
        <v>-4.36</v>
      </c>
      <c r="N601" s="34" t="inlineStr">
        <is>
          <t xml:space="preserve">Giving</t>
        </is>
      </c>
      <c r="O601" s="45">
        <v>0</v>
      </c>
      <c r="P601" s="45">
        <v>1.076</v>
      </c>
      <c r="Q601" s="45">
        <v>-1.076</v>
      </c>
      <c r="R601" s="34" t="inlineStr">
        <is>
          <t xml:space="preserve">Index x slope (Handicaps tab)</t>
        </is>
      </c>
    </row>
    <row r="602" spans="1:18">
      <c r="A602" s="40">
        <v>11</v>
      </c>
      <c r="B602" s="31" t="inlineStr">
        <is>
          <t xml:space="preserve">FBC11-S-Connolly-Delaney</t>
        </is>
      </c>
      <c r="C602" s="31" t="inlineStr">
        <is>
          <t xml:space="preserve">Match Play</t>
        </is>
      </c>
      <c r="D602" s="31" t="inlineStr">
        <is>
          <t xml:space="preserve">Singles</t>
        </is>
      </c>
      <c r="E602" s="40">
        <v>18</v>
      </c>
      <c r="F602" s="42">
        <v>2</v>
      </c>
      <c r="G602" s="31" t="inlineStr">
        <is>
          <t xml:space="preserve">Connors</t>
        </is>
      </c>
      <c r="H602" s="31" t="inlineStr">
        <is>
          <t xml:space="preserve">Delaney</t>
        </is>
      </c>
      <c r="I602" s="31"/>
      <c r="J602" s="31" t="inlineStr">
        <is>
          <t xml:space="preserve">Connolly</t>
        </is>
      </c>
      <c r="K602" s="31"/>
      <c r="L602" s="42">
        <v>0</v>
      </c>
      <c r="M602" s="42">
        <v>0</v>
      </c>
      <c r="N602" s="31" t="inlineStr">
        <is>
          <t xml:space="preserve">Even</t>
        </is>
      </c>
      <c r="O602" s="42">
        <v>0</v>
      </c>
      <c r="P602" s="42">
        <v>1</v>
      </c>
      <c r="Q602" s="42">
        <v>-1</v>
      </c>
      <c r="R602" s="31" t="inlineStr">
        <is>
          <t xml:space="preserve">Index x slope (Handicaps tab)</t>
        </is>
      </c>
    </row>
    <row r="603" spans="1:18">
      <c r="A603" s="43">
        <v>11</v>
      </c>
      <c r="B603" s="34" t="inlineStr">
        <is>
          <t xml:space="preserve">FBC11-S-Connolly-Delaney</t>
        </is>
      </c>
      <c r="C603" s="34" t="inlineStr">
        <is>
          <t xml:space="preserve">Match Play</t>
        </is>
      </c>
      <c r="D603" s="34" t="inlineStr">
        <is>
          <t xml:space="preserve">Singles</t>
        </is>
      </c>
      <c r="E603" s="43">
        <v>18</v>
      </c>
      <c r="F603" s="45">
        <v>2</v>
      </c>
      <c r="G603" s="34" t="inlineStr">
        <is>
          <t xml:space="preserve">Delneky</t>
        </is>
      </c>
      <c r="H603" s="34" t="inlineStr">
        <is>
          <t xml:space="preserve">Connolly</t>
        </is>
      </c>
      <c r="I603" s="34"/>
      <c r="J603" s="34" t="inlineStr">
        <is>
          <t xml:space="preserve">Delaney</t>
        </is>
      </c>
      <c r="K603" s="34"/>
      <c r="L603" s="45">
        <v>0</v>
      </c>
      <c r="M603" s="45">
        <v>0</v>
      </c>
      <c r="N603" s="34" t="inlineStr">
        <is>
          <t xml:space="preserve">Even</t>
        </is>
      </c>
      <c r="O603" s="45">
        <v>2</v>
      </c>
      <c r="P603" s="45">
        <v>1</v>
      </c>
      <c r="Q603" s="45">
        <v>1</v>
      </c>
      <c r="R603" s="34" t="inlineStr">
        <is>
          <t xml:space="preserve">Index x slope (Handicaps tab)</t>
        </is>
      </c>
    </row>
    <row r="604" spans="1:18">
      <c r="A604" s="40">
        <v>11</v>
      </c>
      <c r="B604" s="31" t="inlineStr">
        <is>
          <t xml:space="preserve">FBC11-S-Connors-Fogan</t>
        </is>
      </c>
      <c r="C604" s="31" t="inlineStr">
        <is>
          <t xml:space="preserve">Match Play</t>
        </is>
      </c>
      <c r="D604" s="31" t="inlineStr">
        <is>
          <t xml:space="preserve">Singles</t>
        </is>
      </c>
      <c r="E604" s="40">
        <v>18</v>
      </c>
      <c r="F604" s="42">
        <v>2</v>
      </c>
      <c r="G604" s="31" t="inlineStr">
        <is>
          <t xml:space="preserve">Connors</t>
        </is>
      </c>
      <c r="H604" s="31" t="inlineStr">
        <is>
          <t xml:space="preserve">Connors</t>
        </is>
      </c>
      <c r="I604" s="31"/>
      <c r="J604" s="31" t="inlineStr">
        <is>
          <t xml:space="preserve">Fogan</t>
        </is>
      </c>
      <c r="K604" s="31"/>
      <c r="L604" s="42">
        <v>-0.48</v>
      </c>
      <c r="M604" s="42">
        <v>-0.48</v>
      </c>
      <c r="N604" s="31" t="inlineStr">
        <is>
          <t xml:space="preserve">Even</t>
        </is>
      </c>
      <c r="O604" s="42">
        <v>0</v>
      </c>
      <c r="P604" s="42">
        <v>0.991</v>
      </c>
      <c r="Q604" s="42">
        <v>-0.991</v>
      </c>
      <c r="R604" s="31" t="inlineStr">
        <is>
          <t xml:space="preserve">Index x slope (Handicaps tab)</t>
        </is>
      </c>
    </row>
    <row r="605" spans="1:18">
      <c r="A605" s="43">
        <v>11</v>
      </c>
      <c r="B605" s="34" t="inlineStr">
        <is>
          <t xml:space="preserve">FBC11-S-Connors-Fogan</t>
        </is>
      </c>
      <c r="C605" s="34" t="inlineStr">
        <is>
          <t xml:space="preserve">Match Play</t>
        </is>
      </c>
      <c r="D605" s="34" t="inlineStr">
        <is>
          <t xml:space="preserve">Singles</t>
        </is>
      </c>
      <c r="E605" s="43">
        <v>18</v>
      </c>
      <c r="F605" s="45">
        <v>2</v>
      </c>
      <c r="G605" s="34" t="inlineStr">
        <is>
          <t xml:space="preserve">Delneky</t>
        </is>
      </c>
      <c r="H605" s="34" t="inlineStr">
        <is>
          <t xml:space="preserve">Fogan</t>
        </is>
      </c>
      <c r="I605" s="34"/>
      <c r="J605" s="34" t="inlineStr">
        <is>
          <t xml:space="preserve">Connors</t>
        </is>
      </c>
      <c r="K605" s="34"/>
      <c r="L605" s="45">
        <v>0.48</v>
      </c>
      <c r="M605" s="45">
        <v>0.48</v>
      </c>
      <c r="N605" s="34" t="inlineStr">
        <is>
          <t xml:space="preserve">Even</t>
        </is>
      </c>
      <c r="O605" s="45">
        <v>2</v>
      </c>
      <c r="P605" s="45">
        <v>1.009</v>
      </c>
      <c r="Q605" s="45">
        <v>0.991</v>
      </c>
      <c r="R605" s="34" t="inlineStr">
        <is>
          <t xml:space="preserve">Index x slope (Handicaps tab)</t>
        </is>
      </c>
    </row>
    <row r="606" spans="1:18">
      <c r="A606" s="40">
        <v>11</v>
      </c>
      <c r="B606" s="31" t="inlineStr">
        <is>
          <t xml:space="preserve">FBC11-S-Delneky-Mangold</t>
        </is>
      </c>
      <c r="C606" s="31" t="inlineStr">
        <is>
          <t xml:space="preserve">Match Play</t>
        </is>
      </c>
      <c r="D606" s="31" t="inlineStr">
        <is>
          <t xml:space="preserve">Singles</t>
        </is>
      </c>
      <c r="E606" s="40">
        <v>18</v>
      </c>
      <c r="F606" s="42">
        <v>2</v>
      </c>
      <c r="G606" s="31" t="inlineStr">
        <is>
          <t xml:space="preserve">Connors</t>
        </is>
      </c>
      <c r="H606" s="31" t="inlineStr">
        <is>
          <t xml:space="preserve">Mangold</t>
        </is>
      </c>
      <c r="I606" s="31"/>
      <c r="J606" s="31" t="inlineStr">
        <is>
          <t xml:space="preserve">Delneky</t>
        </is>
      </c>
      <c r="K606" s="31"/>
      <c r="L606" s="42">
        <v>-1.21</v>
      </c>
      <c r="M606" s="42">
        <v>-1.21</v>
      </c>
      <c r="N606" s="31" t="inlineStr">
        <is>
          <t xml:space="preserve">Giving</t>
        </is>
      </c>
      <c r="O606" s="42">
        <v>0</v>
      </c>
      <c r="P606" s="42">
        <v>1.137</v>
      </c>
      <c r="Q606" s="42">
        <v>-1.137</v>
      </c>
      <c r="R606" s="31" t="inlineStr">
        <is>
          <t xml:space="preserve">Index x slope (Handicaps tab)</t>
        </is>
      </c>
    </row>
    <row r="607" spans="1:18">
      <c r="A607" s="43">
        <v>11</v>
      </c>
      <c r="B607" s="34" t="inlineStr">
        <is>
          <t xml:space="preserve">FBC11-S-Delneky-Mangold</t>
        </is>
      </c>
      <c r="C607" s="34" t="inlineStr">
        <is>
          <t xml:space="preserve">Match Play</t>
        </is>
      </c>
      <c r="D607" s="34" t="inlineStr">
        <is>
          <t xml:space="preserve">Singles</t>
        </is>
      </c>
      <c r="E607" s="43">
        <v>18</v>
      </c>
      <c r="F607" s="45">
        <v>2</v>
      </c>
      <c r="G607" s="34" t="inlineStr">
        <is>
          <t xml:space="preserve">Delneky</t>
        </is>
      </c>
      <c r="H607" s="34" t="inlineStr">
        <is>
          <t xml:space="preserve">Delneky</t>
        </is>
      </c>
      <c r="I607" s="34"/>
      <c r="J607" s="34" t="inlineStr">
        <is>
          <t xml:space="preserve">Mangold</t>
        </is>
      </c>
      <c r="K607" s="34"/>
      <c r="L607" s="45">
        <v>1.21</v>
      </c>
      <c r="M607" s="45">
        <v>1.21</v>
      </c>
      <c r="N607" s="34" t="inlineStr">
        <is>
          <t xml:space="preserve">Getting</t>
        </is>
      </c>
      <c r="O607" s="45">
        <v>2</v>
      </c>
      <c r="P607" s="45">
        <v>0.863</v>
      </c>
      <c r="Q607" s="45">
        <v>1.137</v>
      </c>
      <c r="R607" s="34" t="inlineStr">
        <is>
          <t xml:space="preserve">Index x slope (Handicaps tab)</t>
        </is>
      </c>
    </row>
    <row r="608" spans="1:18">
      <c r="A608" s="40">
        <v>11</v>
      </c>
      <c r="B608" s="31" t="inlineStr">
        <is>
          <t xml:space="preserve">FBC11-S-Ferrin-Grise</t>
        </is>
      </c>
      <c r="C608" s="31" t="inlineStr">
        <is>
          <t xml:space="preserve">Match Play</t>
        </is>
      </c>
      <c r="D608" s="31" t="inlineStr">
        <is>
          <t xml:space="preserve">Singles</t>
        </is>
      </c>
      <c r="E608" s="40">
        <v>18</v>
      </c>
      <c r="F608" s="42">
        <v>2</v>
      </c>
      <c r="G608" s="31" t="inlineStr">
        <is>
          <t xml:space="preserve">Connors</t>
        </is>
      </c>
      <c r="H608" s="31" t="inlineStr">
        <is>
          <t xml:space="preserve">Grise</t>
        </is>
      </c>
      <c r="I608" s="31"/>
      <c r="J608" s="31" t="inlineStr">
        <is>
          <t xml:space="preserve">Ferrin</t>
        </is>
      </c>
      <c r="K608" s="31"/>
      <c r="L608" s="42">
        <v>1.09</v>
      </c>
      <c r="M608" s="42">
        <v>1.09</v>
      </c>
      <c r="N608" s="31" t="inlineStr">
        <is>
          <t xml:space="preserve">Getting</t>
        </is>
      </c>
      <c r="O608" s="42">
        <v>0</v>
      </c>
      <c r="P608" s="42">
        <v>0.86</v>
      </c>
      <c r="Q608" s="42">
        <v>-0.86</v>
      </c>
      <c r="R608" s="31" t="inlineStr">
        <is>
          <t xml:space="preserve">Index x slope (Handicaps tab)</t>
        </is>
      </c>
    </row>
    <row r="609" spans="1:18">
      <c r="A609" s="43">
        <v>11</v>
      </c>
      <c r="B609" s="34" t="inlineStr">
        <is>
          <t xml:space="preserve">FBC11-S-Ferrin-Grise</t>
        </is>
      </c>
      <c r="C609" s="34" t="inlineStr">
        <is>
          <t xml:space="preserve">Match Play</t>
        </is>
      </c>
      <c r="D609" s="34" t="inlineStr">
        <is>
          <t xml:space="preserve">Singles</t>
        </is>
      </c>
      <c r="E609" s="43">
        <v>18</v>
      </c>
      <c r="F609" s="45">
        <v>2</v>
      </c>
      <c r="G609" s="34" t="inlineStr">
        <is>
          <t xml:space="preserve">Delneky</t>
        </is>
      </c>
      <c r="H609" s="34" t="inlineStr">
        <is>
          <t xml:space="preserve">Ferrin</t>
        </is>
      </c>
      <c r="I609" s="34"/>
      <c r="J609" s="34" t="inlineStr">
        <is>
          <t xml:space="preserve">Grise</t>
        </is>
      </c>
      <c r="K609" s="34"/>
      <c r="L609" s="45">
        <v>-1.09</v>
      </c>
      <c r="M609" s="45">
        <v>-1.09</v>
      </c>
      <c r="N609" s="34" t="inlineStr">
        <is>
          <t xml:space="preserve">Giving</t>
        </is>
      </c>
      <c r="O609" s="45">
        <v>2</v>
      </c>
      <c r="P609" s="45">
        <v>1.14</v>
      </c>
      <c r="Q609" s="45">
        <v>0.86</v>
      </c>
      <c r="R609" s="34" t="inlineStr">
        <is>
          <t xml:space="preserve">Index x slope (Handicaps tab)</t>
        </is>
      </c>
    </row>
    <row r="610" spans="1:18">
      <c r="A610" s="40">
        <v>11</v>
      </c>
      <c r="B610" s="31" t="inlineStr">
        <is>
          <t xml:space="preserve">FBC11-S-Flanders-Norat</t>
        </is>
      </c>
      <c r="C610" s="31" t="inlineStr">
        <is>
          <t xml:space="preserve">Match Play</t>
        </is>
      </c>
      <c r="D610" s="31" t="inlineStr">
        <is>
          <t xml:space="preserve">Singles</t>
        </is>
      </c>
      <c r="E610" s="40">
        <v>18</v>
      </c>
      <c r="F610" s="42">
        <v>2</v>
      </c>
      <c r="G610" s="31" t="inlineStr">
        <is>
          <t xml:space="preserve">Connors</t>
        </is>
      </c>
      <c r="H610" s="31" t="inlineStr">
        <is>
          <t xml:space="preserve">Flanders</t>
        </is>
      </c>
      <c r="I610" s="31"/>
      <c r="J610" s="31" t="inlineStr">
        <is>
          <t xml:space="preserve">Norat</t>
        </is>
      </c>
      <c r="K610" s="31"/>
      <c r="L610" s="42">
        <v>-13.58</v>
      </c>
      <c r="M610" s="42">
        <v>-13.58</v>
      </c>
      <c r="N610" s="31" t="inlineStr">
        <is>
          <t xml:space="preserve">Giving</t>
        </is>
      </c>
      <c r="O610" s="42">
        <v>0</v>
      </c>
      <c r="P610" s="42">
        <v>0.896</v>
      </c>
      <c r="Q610" s="42">
        <v>-0.896</v>
      </c>
      <c r="R610" s="31" t="inlineStr">
        <is>
          <t xml:space="preserve">Index x slope (Handicaps tab)</t>
        </is>
      </c>
    </row>
    <row r="611" spans="1:18">
      <c r="A611" s="43">
        <v>11</v>
      </c>
      <c r="B611" s="34" t="inlineStr">
        <is>
          <t xml:space="preserve">FBC11-S-Flanders-Norat</t>
        </is>
      </c>
      <c r="C611" s="34" t="inlineStr">
        <is>
          <t xml:space="preserve">Match Play</t>
        </is>
      </c>
      <c r="D611" s="34" t="inlineStr">
        <is>
          <t xml:space="preserve">Singles</t>
        </is>
      </c>
      <c r="E611" s="43">
        <v>18</v>
      </c>
      <c r="F611" s="45">
        <v>2</v>
      </c>
      <c r="G611" s="34" t="inlineStr">
        <is>
          <t xml:space="preserve">Delneky</t>
        </is>
      </c>
      <c r="H611" s="34" t="inlineStr">
        <is>
          <t xml:space="preserve">Norat</t>
        </is>
      </c>
      <c r="I611" s="34"/>
      <c r="J611" s="34" t="inlineStr">
        <is>
          <t xml:space="preserve">Flanders</t>
        </is>
      </c>
      <c r="K611" s="34"/>
      <c r="L611" s="45">
        <v>13.58</v>
      </c>
      <c r="M611" s="45">
        <v>13.58</v>
      </c>
      <c r="N611" s="34" t="inlineStr">
        <is>
          <t xml:space="preserve">Getting</t>
        </is>
      </c>
      <c r="O611" s="45">
        <v>2</v>
      </c>
      <c r="P611" s="45">
        <v>1.104</v>
      </c>
      <c r="Q611" s="45">
        <v>0.896</v>
      </c>
      <c r="R611" s="34" t="inlineStr">
        <is>
          <t xml:space="preserve">Index x slope (Handicaps tab)</t>
        </is>
      </c>
    </row>
    <row r="612" spans="1:18">
      <c r="A612" s="40">
        <v>11</v>
      </c>
      <c r="B612" s="31" t="inlineStr">
        <is>
          <t xml:space="preserve">FBC11-S-Forster-Welker</t>
        </is>
      </c>
      <c r="C612" s="31" t="inlineStr">
        <is>
          <t xml:space="preserve">Match Play</t>
        </is>
      </c>
      <c r="D612" s="31" t="inlineStr">
        <is>
          <t xml:space="preserve">Singles</t>
        </is>
      </c>
      <c r="E612" s="40">
        <v>18</v>
      </c>
      <c r="F612" s="42">
        <v>2</v>
      </c>
      <c r="G612" s="31" t="inlineStr">
        <is>
          <t xml:space="preserve">Connors</t>
        </is>
      </c>
      <c r="H612" s="31" t="inlineStr">
        <is>
          <t xml:space="preserve">Welker</t>
        </is>
      </c>
      <c r="I612" s="31"/>
      <c r="J612" s="31" t="inlineStr">
        <is>
          <t xml:space="preserve">Forster</t>
        </is>
      </c>
      <c r="K612" s="31"/>
      <c r="L612" s="42">
        <v>-4.36</v>
      </c>
      <c r="M612" s="42">
        <v>-4.36</v>
      </c>
      <c r="N612" s="31" t="inlineStr">
        <is>
          <t xml:space="preserve">Giving</t>
        </is>
      </c>
      <c r="O612" s="42">
        <v>2</v>
      </c>
      <c r="P612" s="42">
        <v>1.076</v>
      </c>
      <c r="Q612" s="42">
        <v>0.924</v>
      </c>
      <c r="R612" s="31" t="inlineStr">
        <is>
          <t xml:space="preserve">Index x slope (Handicaps tab)</t>
        </is>
      </c>
    </row>
    <row r="613" spans="1:18">
      <c r="A613" s="43">
        <v>11</v>
      </c>
      <c r="B613" s="34" t="inlineStr">
        <is>
          <t xml:space="preserve">FBC11-S-Forster-Welker</t>
        </is>
      </c>
      <c r="C613" s="34" t="inlineStr">
        <is>
          <t xml:space="preserve">Match Play</t>
        </is>
      </c>
      <c r="D613" s="34" t="inlineStr">
        <is>
          <t xml:space="preserve">Singles</t>
        </is>
      </c>
      <c r="E613" s="43">
        <v>18</v>
      </c>
      <c r="F613" s="45">
        <v>2</v>
      </c>
      <c r="G613" s="34" t="inlineStr">
        <is>
          <t xml:space="preserve">Delneky</t>
        </is>
      </c>
      <c r="H613" s="34" t="inlineStr">
        <is>
          <t xml:space="preserve">Forster</t>
        </is>
      </c>
      <c r="I613" s="34"/>
      <c r="J613" s="34" t="inlineStr">
        <is>
          <t xml:space="preserve">Welker</t>
        </is>
      </c>
      <c r="K613" s="34"/>
      <c r="L613" s="45">
        <v>4.36</v>
      </c>
      <c r="M613" s="45">
        <v>4.36</v>
      </c>
      <c r="N613" s="34" t="inlineStr">
        <is>
          <t xml:space="preserve">Getting</t>
        </is>
      </c>
      <c r="O613" s="45">
        <v>0</v>
      </c>
      <c r="P613" s="45">
        <v>0.924</v>
      </c>
      <c r="Q613" s="45">
        <v>-0.924</v>
      </c>
      <c r="R613" s="34" t="inlineStr">
        <is>
          <t xml:space="preserve">Index x slope (Handicaps tab)</t>
        </is>
      </c>
    </row>
    <row r="614" spans="1:18">
      <c r="A614" s="40">
        <v>11</v>
      </c>
      <c r="B614" s="31" t="inlineStr">
        <is>
          <t xml:space="preserve">FBC11-S-Gray-Hilts</t>
        </is>
      </c>
      <c r="C614" s="31" t="inlineStr">
        <is>
          <t xml:space="preserve">Match Play</t>
        </is>
      </c>
      <c r="D614" s="31" t="inlineStr">
        <is>
          <t xml:space="preserve">Singles</t>
        </is>
      </c>
      <c r="E614" s="40">
        <v>18</v>
      </c>
      <c r="F614" s="42">
        <v>2</v>
      </c>
      <c r="G614" s="31" t="inlineStr">
        <is>
          <t xml:space="preserve">Connors</t>
        </is>
      </c>
      <c r="H614" s="31" t="inlineStr">
        <is>
          <t xml:space="preserve">Hilts</t>
        </is>
      </c>
      <c r="I614" s="31"/>
      <c r="J614" s="31" t="inlineStr">
        <is>
          <t xml:space="preserve">Gray</t>
        </is>
      </c>
      <c r="K614" s="31"/>
      <c r="L614" s="42">
        <v>10.18</v>
      </c>
      <c r="M614" s="42">
        <v>10.18</v>
      </c>
      <c r="N614" s="31" t="inlineStr">
        <is>
          <t xml:space="preserve">Getting</t>
        </is>
      </c>
      <c r="O614" s="42">
        <v>2</v>
      </c>
      <c r="P614" s="42">
        <v>1.038</v>
      </c>
      <c r="Q614" s="42">
        <v>0.962</v>
      </c>
      <c r="R614" s="31" t="inlineStr">
        <is>
          <t xml:space="preserve">Index x slope (Handicaps tab)</t>
        </is>
      </c>
    </row>
    <row r="615" spans="1:18">
      <c r="A615" s="43">
        <v>11</v>
      </c>
      <c r="B615" s="34" t="inlineStr">
        <is>
          <t xml:space="preserve">FBC11-S-Gray-Hilts</t>
        </is>
      </c>
      <c r="C615" s="34" t="inlineStr">
        <is>
          <t xml:space="preserve">Match Play</t>
        </is>
      </c>
      <c r="D615" s="34" t="inlineStr">
        <is>
          <t xml:space="preserve">Singles</t>
        </is>
      </c>
      <c r="E615" s="43">
        <v>18</v>
      </c>
      <c r="F615" s="45">
        <v>2</v>
      </c>
      <c r="G615" s="34" t="inlineStr">
        <is>
          <t xml:space="preserve">Delneky</t>
        </is>
      </c>
      <c r="H615" s="34" t="inlineStr">
        <is>
          <t xml:space="preserve">Gray</t>
        </is>
      </c>
      <c r="I615" s="34"/>
      <c r="J615" s="34" t="inlineStr">
        <is>
          <t xml:space="preserve">Hilts</t>
        </is>
      </c>
      <c r="K615" s="34"/>
      <c r="L615" s="45">
        <v>-10.18</v>
      </c>
      <c r="M615" s="45">
        <v>-10.18</v>
      </c>
      <c r="N615" s="34" t="inlineStr">
        <is>
          <t xml:space="preserve">Giving</t>
        </is>
      </c>
      <c r="O615" s="45">
        <v>0</v>
      </c>
      <c r="P615" s="45">
        <v>0.962</v>
      </c>
      <c r="Q615" s="45">
        <v>-0.962</v>
      </c>
      <c r="R615" s="34" t="inlineStr">
        <is>
          <t xml:space="preserve">Index x slope (Handicaps tab)</t>
        </is>
      </c>
    </row>
    <row r="616" spans="1:18">
      <c r="A616" s="40">
        <v>11</v>
      </c>
      <c r="B616" s="31" t="inlineStr">
        <is>
          <t xml:space="preserve">FBC11-S-Jackson-Zimmer</t>
        </is>
      </c>
      <c r="C616" s="31" t="inlineStr">
        <is>
          <t xml:space="preserve">Match Play</t>
        </is>
      </c>
      <c r="D616" s="31" t="inlineStr">
        <is>
          <t xml:space="preserve">Singles</t>
        </is>
      </c>
      <c r="E616" s="40">
        <v>18</v>
      </c>
      <c r="F616" s="42">
        <v>2</v>
      </c>
      <c r="G616" s="31" t="inlineStr">
        <is>
          <t xml:space="preserve">Connors</t>
        </is>
      </c>
      <c r="H616" s="31" t="inlineStr">
        <is>
          <t xml:space="preserve">Jackson</t>
        </is>
      </c>
      <c r="I616" s="31"/>
      <c r="J616" s="31" t="inlineStr">
        <is>
          <t xml:space="preserve">Zimmer</t>
        </is>
      </c>
      <c r="K616" s="31"/>
      <c r="L616" s="42">
        <v>-0.97</v>
      </c>
      <c r="M616" s="42">
        <v>-0.97</v>
      </c>
      <c r="N616" s="31" t="inlineStr">
        <is>
          <t xml:space="preserve">Giving</t>
        </is>
      </c>
      <c r="O616" s="42">
        <v>1</v>
      </c>
      <c r="P616" s="42">
        <v>1.142</v>
      </c>
      <c r="Q616" s="42">
        <v>-0.142</v>
      </c>
      <c r="R616" s="31" t="inlineStr">
        <is>
          <t xml:space="preserve">Index x slope (Handicaps tab)</t>
        </is>
      </c>
    </row>
    <row r="617" spans="1:18">
      <c r="A617" s="43">
        <v>11</v>
      </c>
      <c r="B617" s="34" t="inlineStr">
        <is>
          <t xml:space="preserve">FBC11-S-Jackson-Zimmer</t>
        </is>
      </c>
      <c r="C617" s="34" t="inlineStr">
        <is>
          <t xml:space="preserve">Match Play</t>
        </is>
      </c>
      <c r="D617" s="34" t="inlineStr">
        <is>
          <t xml:space="preserve">Singles</t>
        </is>
      </c>
      <c r="E617" s="43">
        <v>18</v>
      </c>
      <c r="F617" s="45">
        <v>2</v>
      </c>
      <c r="G617" s="34" t="inlineStr">
        <is>
          <t xml:space="preserve">Delneky</t>
        </is>
      </c>
      <c r="H617" s="34" t="inlineStr">
        <is>
          <t xml:space="preserve">Zimmer</t>
        </is>
      </c>
      <c r="I617" s="34"/>
      <c r="J617" s="34" t="inlineStr">
        <is>
          <t xml:space="preserve">Jackson</t>
        </is>
      </c>
      <c r="K617" s="34"/>
      <c r="L617" s="45">
        <v>0.97</v>
      </c>
      <c r="M617" s="45">
        <v>0.97</v>
      </c>
      <c r="N617" s="34" t="inlineStr">
        <is>
          <t xml:space="preserve">Getting</t>
        </is>
      </c>
      <c r="O617" s="45">
        <v>1</v>
      </c>
      <c r="P617" s="45">
        <v>0.858</v>
      </c>
      <c r="Q617" s="45">
        <v>0.142</v>
      </c>
      <c r="R617" s="34" t="inlineStr">
        <is>
          <t xml:space="preserve">Index x slope (Handicaps tab)</t>
        </is>
      </c>
    </row>
    <row r="618" spans="1:18">
      <c r="A618" s="40">
        <v>11</v>
      </c>
      <c r="B618" s="31" t="inlineStr">
        <is>
          <t xml:space="preserve">FBC11-S-Lynch-Poirier</t>
        </is>
      </c>
      <c r="C618" s="31" t="inlineStr">
        <is>
          <t xml:space="preserve">Match Play</t>
        </is>
      </c>
      <c r="D618" s="31" t="inlineStr">
        <is>
          <t xml:space="preserve">Singles</t>
        </is>
      </c>
      <c r="E618" s="40">
        <v>18</v>
      </c>
      <c r="F618" s="42">
        <v>2</v>
      </c>
      <c r="G618" s="31" t="inlineStr">
        <is>
          <t xml:space="preserve">Connors</t>
        </is>
      </c>
      <c r="H618" s="31" t="inlineStr">
        <is>
          <t xml:space="preserve">Lynch</t>
        </is>
      </c>
      <c r="I618" s="31"/>
      <c r="J618" s="31" t="inlineStr">
        <is>
          <t xml:space="preserve">Poirier</t>
        </is>
      </c>
      <c r="K618" s="31"/>
      <c r="L618" s="42">
        <v>2.67</v>
      </c>
      <c r="M618" s="42">
        <v>2.67</v>
      </c>
      <c r="N618" s="31" t="inlineStr">
        <is>
          <t xml:space="preserve">Getting</t>
        </is>
      </c>
      <c r="O618" s="42">
        <v>0</v>
      </c>
      <c r="P618" s="42">
        <v>0.891</v>
      </c>
      <c r="Q618" s="42">
        <v>-0.891</v>
      </c>
      <c r="R618" s="31" t="inlineStr">
        <is>
          <t xml:space="preserve">Index x slope (Handicaps tab)</t>
        </is>
      </c>
    </row>
    <row r="619" spans="1:18">
      <c r="A619" s="43">
        <v>11</v>
      </c>
      <c r="B619" s="34" t="inlineStr">
        <is>
          <t xml:space="preserve">FBC11-S-Lynch-Poirier</t>
        </is>
      </c>
      <c r="C619" s="34" t="inlineStr">
        <is>
          <t xml:space="preserve">Match Play</t>
        </is>
      </c>
      <c r="D619" s="34" t="inlineStr">
        <is>
          <t xml:space="preserve">Singles</t>
        </is>
      </c>
      <c r="E619" s="43">
        <v>18</v>
      </c>
      <c r="F619" s="45">
        <v>2</v>
      </c>
      <c r="G619" s="34" t="inlineStr">
        <is>
          <t xml:space="preserve">Delneky</t>
        </is>
      </c>
      <c r="H619" s="34" t="inlineStr">
        <is>
          <t xml:space="preserve">Poirier</t>
        </is>
      </c>
      <c r="I619" s="34"/>
      <c r="J619" s="34" t="inlineStr">
        <is>
          <t xml:space="preserve">Lynch</t>
        </is>
      </c>
      <c r="K619" s="34"/>
      <c r="L619" s="45">
        <v>-2.67</v>
      </c>
      <c r="M619" s="45">
        <v>-2.67</v>
      </c>
      <c r="N619" s="34" t="inlineStr">
        <is>
          <t xml:space="preserve">Giving</t>
        </is>
      </c>
      <c r="O619" s="45">
        <v>2</v>
      </c>
      <c r="P619" s="45">
        <v>1.109</v>
      </c>
      <c r="Q619" s="45">
        <v>0.891</v>
      </c>
      <c r="R619" s="34" t="inlineStr">
        <is>
          <t xml:space="preserve">Index x slope (Handicaps tab)</t>
        </is>
      </c>
    </row>
    <row r="620" spans="1:18">
      <c r="A620" s="40">
        <v>12</v>
      </c>
      <c r="B620" s="31" t="inlineStr">
        <is>
          <t xml:space="preserve">FBC12-D1</t>
        </is>
      </c>
      <c r="C620" s="31" t="inlineStr">
        <is>
          <t xml:space="preserve">Best Ball</t>
        </is>
      </c>
      <c r="D620" s="31" t="inlineStr">
        <is>
          <t xml:space="preserve">Four-ball</t>
        </is>
      </c>
      <c r="E620" s="40">
        <v>9</v>
      </c>
      <c r="F620" s="42">
        <v>1</v>
      </c>
      <c r="G620" s="31" t="inlineStr">
        <is>
          <t xml:space="preserve">Connolly</t>
        </is>
      </c>
      <c r="H620" s="31" t="inlineStr">
        <is>
          <t xml:space="preserve">Zimmer</t>
        </is>
      </c>
      <c r="I620" s="31" t="inlineStr">
        <is>
          <t xml:space="preserve">DeOteris</t>
        </is>
      </c>
      <c r="J620" s="31" t="inlineStr">
        <is>
          <t xml:space="preserve">Poirier</t>
        </is>
      </c>
      <c r="K620" s="31" t="inlineStr">
        <is>
          <t xml:space="preserve">Grise</t>
        </is>
      </c>
      <c r="L620" s="42">
        <v>3</v>
      </c>
      <c r="M620" s="42">
        <v>1.5</v>
      </c>
      <c r="N620" s="31" t="inlineStr">
        <is>
          <t xml:space="preserve">Getting</t>
        </is>
      </c>
      <c r="O620" s="42">
        <v>0</v>
      </c>
      <c r="P620" s="42">
        <v>0.429</v>
      </c>
      <c r="Q620" s="42">
        <v>-0.429</v>
      </c>
      <c r="R620" s="31" t="inlineStr">
        <is>
          <t xml:space="preserve">FBC 12/Handicaps (FBC 12).xlsx</t>
        </is>
      </c>
    </row>
    <row r="621" spans="1:18">
      <c r="A621" s="43">
        <v>12</v>
      </c>
      <c r="B621" s="34" t="inlineStr">
        <is>
          <t xml:space="preserve">FBC12-D1</t>
        </is>
      </c>
      <c r="C621" s="34" t="inlineStr">
        <is>
          <t xml:space="preserve">Best Ball</t>
        </is>
      </c>
      <c r="D621" s="34" t="inlineStr">
        <is>
          <t xml:space="preserve">Four-ball</t>
        </is>
      </c>
      <c r="E621" s="43">
        <v>9</v>
      </c>
      <c r="F621" s="45">
        <v>1</v>
      </c>
      <c r="G621" s="34" t="inlineStr">
        <is>
          <t xml:space="preserve">Grise</t>
        </is>
      </c>
      <c r="H621" s="34" t="inlineStr">
        <is>
          <t xml:space="preserve">Poirier</t>
        </is>
      </c>
      <c r="I621" s="34" t="inlineStr">
        <is>
          <t xml:space="preserve">Grise</t>
        </is>
      </c>
      <c r="J621" s="34" t="inlineStr">
        <is>
          <t xml:space="preserve">Zimmer</t>
        </is>
      </c>
      <c r="K621" s="34" t="inlineStr">
        <is>
          <t xml:space="preserve">DeOteris</t>
        </is>
      </c>
      <c r="L621" s="45">
        <v>-3</v>
      </c>
      <c r="M621" s="45">
        <v>-1.5</v>
      </c>
      <c r="N621" s="34" t="inlineStr">
        <is>
          <t xml:space="preserve">Giving</t>
        </is>
      </c>
      <c r="O621" s="45">
        <v>1</v>
      </c>
      <c r="P621" s="45">
        <v>0.571</v>
      </c>
      <c r="Q621" s="45">
        <v>0.429</v>
      </c>
      <c r="R621" s="34" t="inlineStr">
        <is>
          <t xml:space="preserve">FBC 12/Handicaps (FBC 12).xlsx</t>
        </is>
      </c>
    </row>
    <row r="622" spans="1:18">
      <c r="A622" s="40">
        <v>12</v>
      </c>
      <c r="B622" s="31" t="inlineStr">
        <is>
          <t xml:space="preserve">FBC12-D2</t>
        </is>
      </c>
      <c r="C622" s="31" t="inlineStr">
        <is>
          <t xml:space="preserve">Best Ball</t>
        </is>
      </c>
      <c r="D622" s="31" t="inlineStr">
        <is>
          <t xml:space="preserve">Four-ball</t>
        </is>
      </c>
      <c r="E622" s="40">
        <v>9</v>
      </c>
      <c r="F622" s="42">
        <v>1</v>
      </c>
      <c r="G622" s="31" t="inlineStr">
        <is>
          <t xml:space="preserve">Connolly</t>
        </is>
      </c>
      <c r="H622" s="31" t="inlineStr">
        <is>
          <t xml:space="preserve">Delaney</t>
        </is>
      </c>
      <c r="I622" s="31" t="inlineStr">
        <is>
          <t xml:space="preserve">Piegari</t>
        </is>
      </c>
      <c r="J622" s="31" t="inlineStr">
        <is>
          <t xml:space="preserve">Mangold</t>
        </is>
      </c>
      <c r="K622" s="31" t="inlineStr">
        <is>
          <t xml:space="preserve">Lynch</t>
        </is>
      </c>
      <c r="L622" s="42">
        <v>-1.5</v>
      </c>
      <c r="M622" s="42">
        <v>-0.75</v>
      </c>
      <c r="N622" s="31" t="inlineStr">
        <is>
          <t xml:space="preserve">Giving</t>
        </is>
      </c>
      <c r="O622" s="42">
        <v>0</v>
      </c>
      <c r="P622" s="42">
        <v>0.575</v>
      </c>
      <c r="Q622" s="42">
        <v>-0.575</v>
      </c>
      <c r="R622" s="31" t="inlineStr">
        <is>
          <t xml:space="preserve">FBC 12/Handicaps (FBC 12).xlsx</t>
        </is>
      </c>
    </row>
    <row r="623" spans="1:18">
      <c r="A623" s="43">
        <v>12</v>
      </c>
      <c r="B623" s="34" t="inlineStr">
        <is>
          <t xml:space="preserve">FBC12-D2</t>
        </is>
      </c>
      <c r="C623" s="34" t="inlineStr">
        <is>
          <t xml:space="preserve">Best Ball</t>
        </is>
      </c>
      <c r="D623" s="34" t="inlineStr">
        <is>
          <t xml:space="preserve">Four-ball</t>
        </is>
      </c>
      <c r="E623" s="43">
        <v>9</v>
      </c>
      <c r="F623" s="45">
        <v>1</v>
      </c>
      <c r="G623" s="34" t="inlineStr">
        <is>
          <t xml:space="preserve">Grise</t>
        </is>
      </c>
      <c r="H623" s="34" t="inlineStr">
        <is>
          <t xml:space="preserve">Mangold</t>
        </is>
      </c>
      <c r="I623" s="34" t="inlineStr">
        <is>
          <t xml:space="preserve">Lynch</t>
        </is>
      </c>
      <c r="J623" s="34" t="inlineStr">
        <is>
          <t xml:space="preserve">Delaney</t>
        </is>
      </c>
      <c r="K623" s="34" t="inlineStr">
        <is>
          <t xml:space="preserve">Piegari</t>
        </is>
      </c>
      <c r="L623" s="45">
        <v>1.5</v>
      </c>
      <c r="M623" s="45">
        <v>0.75</v>
      </c>
      <c r="N623" s="34" t="inlineStr">
        <is>
          <t xml:space="preserve">Getting</t>
        </is>
      </c>
      <c r="O623" s="45">
        <v>1</v>
      </c>
      <c r="P623" s="45">
        <v>0.425</v>
      </c>
      <c r="Q623" s="45">
        <v>0.575</v>
      </c>
      <c r="R623" s="34" t="inlineStr">
        <is>
          <t xml:space="preserve">FBC 12/Handicaps (FBC 12).xlsx</t>
        </is>
      </c>
    </row>
    <row r="624" spans="1:18">
      <c r="A624" s="40">
        <v>12</v>
      </c>
      <c r="B624" s="31" t="inlineStr">
        <is>
          <t xml:space="preserve">FBC12-D3</t>
        </is>
      </c>
      <c r="C624" s="31" t="inlineStr">
        <is>
          <t xml:space="preserve">Best Ball</t>
        </is>
      </c>
      <c r="D624" s="31" t="inlineStr">
        <is>
          <t xml:space="preserve">Four-ball</t>
        </is>
      </c>
      <c r="E624" s="40">
        <v>9</v>
      </c>
      <c r="F624" s="42">
        <v>1</v>
      </c>
      <c r="G624" s="31" t="inlineStr">
        <is>
          <t xml:space="preserve">Connolly</t>
        </is>
      </c>
      <c r="H624" s="31" t="inlineStr">
        <is>
          <t xml:space="preserve">Connolly</t>
        </is>
      </c>
      <c r="I624" s="31" t="inlineStr">
        <is>
          <t xml:space="preserve">R. Connolly</t>
        </is>
      </c>
      <c r="J624" s="31" t="inlineStr">
        <is>
          <t xml:space="preserve">Perkins</t>
        </is>
      </c>
      <c r="K624" s="31" t="inlineStr">
        <is>
          <t xml:space="preserve">Shively</t>
        </is>
      </c>
      <c r="L624" s="42">
        <v>-1</v>
      </c>
      <c r="M624" s="42">
        <v>-0.5</v>
      </c>
      <c r="N624" s="31" t="inlineStr">
        <is>
          <t xml:space="preserve">Giving</t>
        </is>
      </c>
      <c r="O624" s="42">
        <v>1</v>
      </c>
      <c r="P624" s="42">
        <v>0.577</v>
      </c>
      <c r="Q624" s="42">
        <v>0.423</v>
      </c>
      <c r="R624" s="31" t="inlineStr">
        <is>
          <t xml:space="preserve">FBC 12/Handicaps (FBC 12).xlsx</t>
        </is>
      </c>
    </row>
    <row r="625" spans="1:18">
      <c r="A625" s="43">
        <v>12</v>
      </c>
      <c r="B625" s="34" t="inlineStr">
        <is>
          <t xml:space="preserve">FBC12-D3</t>
        </is>
      </c>
      <c r="C625" s="34" t="inlineStr">
        <is>
          <t xml:space="preserve">Best Ball</t>
        </is>
      </c>
      <c r="D625" s="34" t="inlineStr">
        <is>
          <t xml:space="preserve">Four-ball</t>
        </is>
      </c>
      <c r="E625" s="43">
        <v>9</v>
      </c>
      <c r="F625" s="45">
        <v>1</v>
      </c>
      <c r="G625" s="34" t="inlineStr">
        <is>
          <t xml:space="preserve">Grise</t>
        </is>
      </c>
      <c r="H625" s="34" t="inlineStr">
        <is>
          <t xml:space="preserve">Perkins</t>
        </is>
      </c>
      <c r="I625" s="34" t="inlineStr">
        <is>
          <t xml:space="preserve">Shively</t>
        </is>
      </c>
      <c r="J625" s="34" t="inlineStr">
        <is>
          <t xml:space="preserve">Connolly</t>
        </is>
      </c>
      <c r="K625" s="34" t="inlineStr">
        <is>
          <t xml:space="preserve">R. Connolly</t>
        </is>
      </c>
      <c r="L625" s="45">
        <v>1</v>
      </c>
      <c r="M625" s="45">
        <v>0.5</v>
      </c>
      <c r="N625" s="34" t="inlineStr">
        <is>
          <t xml:space="preserve">Getting</t>
        </is>
      </c>
      <c r="O625" s="45">
        <v>0</v>
      </c>
      <c r="P625" s="45">
        <v>0.423</v>
      </c>
      <c r="Q625" s="45">
        <v>-0.423</v>
      </c>
      <c r="R625" s="34" t="inlineStr">
        <is>
          <t xml:space="preserve">FBC 12/Handicaps (FBC 12).xlsx</t>
        </is>
      </c>
    </row>
    <row r="626" spans="1:18">
      <c r="A626" s="40">
        <v>12</v>
      </c>
      <c r="B626" s="31" t="inlineStr">
        <is>
          <t xml:space="preserve">FBC12-D4</t>
        </is>
      </c>
      <c r="C626" s="31" t="inlineStr">
        <is>
          <t xml:space="preserve">Best Ball</t>
        </is>
      </c>
      <c r="D626" s="31" t="inlineStr">
        <is>
          <t xml:space="preserve">Four-ball</t>
        </is>
      </c>
      <c r="E626" s="40">
        <v>9</v>
      </c>
      <c r="F626" s="42">
        <v>1</v>
      </c>
      <c r="G626" s="31" t="inlineStr">
        <is>
          <t xml:space="preserve">Connolly</t>
        </is>
      </c>
      <c r="H626" s="31" t="inlineStr">
        <is>
          <t xml:space="preserve">Ferrin</t>
        </is>
      </c>
      <c r="I626" s="31" t="inlineStr">
        <is>
          <t xml:space="preserve">Fogan</t>
        </is>
      </c>
      <c r="J626" s="31" t="inlineStr">
        <is>
          <t xml:space="preserve">Forster</t>
        </is>
      </c>
      <c r="K626" s="31" t="inlineStr">
        <is>
          <t xml:space="preserve">Snyder</t>
        </is>
      </c>
      <c r="L626" s="42">
        <v>4.5</v>
      </c>
      <c r="M626" s="42">
        <v>2.25</v>
      </c>
      <c r="N626" s="31" t="inlineStr">
        <is>
          <t xml:space="preserve">Getting</t>
        </is>
      </c>
      <c r="O626" s="42">
        <v>1</v>
      </c>
      <c r="P626" s="42">
        <v>0.434</v>
      </c>
      <c r="Q626" s="42">
        <v>0.566</v>
      </c>
      <c r="R626" s="31" t="inlineStr">
        <is>
          <t xml:space="preserve">FBC 12/Handicaps (FBC 12).xlsx</t>
        </is>
      </c>
    </row>
    <row r="627" spans="1:18">
      <c r="A627" s="43">
        <v>12</v>
      </c>
      <c r="B627" s="34" t="inlineStr">
        <is>
          <t xml:space="preserve">FBC12-D4</t>
        </is>
      </c>
      <c r="C627" s="34" t="inlineStr">
        <is>
          <t xml:space="preserve">Best Ball</t>
        </is>
      </c>
      <c r="D627" s="34" t="inlineStr">
        <is>
          <t xml:space="preserve">Four-ball</t>
        </is>
      </c>
      <c r="E627" s="43">
        <v>9</v>
      </c>
      <c r="F627" s="45">
        <v>1</v>
      </c>
      <c r="G627" s="34" t="inlineStr">
        <is>
          <t xml:space="preserve">Grise</t>
        </is>
      </c>
      <c r="H627" s="34" t="inlineStr">
        <is>
          <t xml:space="preserve">Forster</t>
        </is>
      </c>
      <c r="I627" s="34" t="inlineStr">
        <is>
          <t xml:space="preserve">Snyder</t>
        </is>
      </c>
      <c r="J627" s="34" t="inlineStr">
        <is>
          <t xml:space="preserve">Ferrin</t>
        </is>
      </c>
      <c r="K627" s="34" t="inlineStr">
        <is>
          <t xml:space="preserve">Fogan</t>
        </is>
      </c>
      <c r="L627" s="45">
        <v>-4.5</v>
      </c>
      <c r="M627" s="45">
        <v>-2.25</v>
      </c>
      <c r="N627" s="34" t="inlineStr">
        <is>
          <t xml:space="preserve">Giving</t>
        </is>
      </c>
      <c r="O627" s="45">
        <v>0</v>
      </c>
      <c r="P627" s="45">
        <v>0.566</v>
      </c>
      <c r="Q627" s="45">
        <v>-0.566</v>
      </c>
      <c r="R627" s="34" t="inlineStr">
        <is>
          <t xml:space="preserve">FBC 12/Handicaps (FBC 12).xlsx</t>
        </is>
      </c>
    </row>
    <row r="628" spans="1:18">
      <c r="A628" s="40">
        <v>12</v>
      </c>
      <c r="B628" s="31" t="inlineStr">
        <is>
          <t xml:space="preserve">FBC12-D5</t>
        </is>
      </c>
      <c r="C628" s="31" t="inlineStr">
        <is>
          <t xml:space="preserve">Best Ball</t>
        </is>
      </c>
      <c r="D628" s="31" t="inlineStr">
        <is>
          <t xml:space="preserve">Four-ball</t>
        </is>
      </c>
      <c r="E628" s="40">
        <v>9</v>
      </c>
      <c r="F628" s="42">
        <v>1</v>
      </c>
      <c r="G628" s="31" t="inlineStr">
        <is>
          <t xml:space="preserve">Connolly</t>
        </is>
      </c>
      <c r="H628" s="31" t="inlineStr">
        <is>
          <t xml:space="preserve">Jackson</t>
        </is>
      </c>
      <c r="I628" s="31" t="inlineStr">
        <is>
          <t xml:space="preserve">Delneky</t>
        </is>
      </c>
      <c r="J628" s="31" t="inlineStr">
        <is>
          <t xml:space="preserve">Hilts</t>
        </is>
      </c>
      <c r="K628" s="31" t="inlineStr">
        <is>
          <t xml:space="preserve">Flanders</t>
        </is>
      </c>
      <c r="L628" s="42">
        <v>1.5</v>
      </c>
      <c r="M628" s="42">
        <v>0.75</v>
      </c>
      <c r="N628" s="31" t="inlineStr">
        <is>
          <t xml:space="preserve">Getting</t>
        </is>
      </c>
      <c r="O628" s="42">
        <v>0</v>
      </c>
      <c r="P628" s="42">
        <v>0.425</v>
      </c>
      <c r="Q628" s="42">
        <v>-0.425</v>
      </c>
      <c r="R628" s="31" t="inlineStr">
        <is>
          <t xml:space="preserve">FBC 12/Handicaps (FBC 12).xlsx</t>
        </is>
      </c>
    </row>
    <row r="629" spans="1:18">
      <c r="A629" s="43">
        <v>12</v>
      </c>
      <c r="B629" s="34" t="inlineStr">
        <is>
          <t xml:space="preserve">FBC12-D5</t>
        </is>
      </c>
      <c r="C629" s="34" t="inlineStr">
        <is>
          <t xml:space="preserve">Best Ball</t>
        </is>
      </c>
      <c r="D629" s="34" t="inlineStr">
        <is>
          <t xml:space="preserve">Four-ball</t>
        </is>
      </c>
      <c r="E629" s="43">
        <v>9</v>
      </c>
      <c r="F629" s="45">
        <v>1</v>
      </c>
      <c r="G629" s="34" t="inlineStr">
        <is>
          <t xml:space="preserve">Grise</t>
        </is>
      </c>
      <c r="H629" s="34" t="inlineStr">
        <is>
          <t xml:space="preserve">Hilts</t>
        </is>
      </c>
      <c r="I629" s="34" t="inlineStr">
        <is>
          <t xml:space="preserve">Flanders</t>
        </is>
      </c>
      <c r="J629" s="34" t="inlineStr">
        <is>
          <t xml:space="preserve">Jackson</t>
        </is>
      </c>
      <c r="K629" s="34" t="inlineStr">
        <is>
          <t xml:space="preserve">Delneky</t>
        </is>
      </c>
      <c r="L629" s="45">
        <v>-1.5</v>
      </c>
      <c r="M629" s="45">
        <v>-0.75</v>
      </c>
      <c r="N629" s="34" t="inlineStr">
        <is>
          <t xml:space="preserve">Giving</t>
        </is>
      </c>
      <c r="O629" s="45">
        <v>1</v>
      </c>
      <c r="P629" s="45">
        <v>0.575</v>
      </c>
      <c r="Q629" s="45">
        <v>0.425</v>
      </c>
      <c r="R629" s="34" t="inlineStr">
        <is>
          <t xml:space="preserve">FBC 12/Handicaps (FBC 12).xlsx</t>
        </is>
      </c>
    </row>
    <row r="630" spans="1:18">
      <c r="A630" s="40">
        <v>12</v>
      </c>
      <c r="B630" s="31" t="inlineStr">
        <is>
          <t xml:space="preserve">FBC12-D6</t>
        </is>
      </c>
      <c r="C630" s="31" t="inlineStr">
        <is>
          <t xml:space="preserve">Vegas</t>
        </is>
      </c>
      <c r="D630" s="31" t="inlineStr">
        <is>
          <t xml:space="preserve">Four-ball</t>
        </is>
      </c>
      <c r="E630" s="40">
        <v>9</v>
      </c>
      <c r="F630" s="42">
        <v>1</v>
      </c>
      <c r="G630" s="31" t="inlineStr">
        <is>
          <t xml:space="preserve">Connolly</t>
        </is>
      </c>
      <c r="H630" s="31" t="inlineStr">
        <is>
          <t xml:space="preserve">Zimmer</t>
        </is>
      </c>
      <c r="I630" s="31" t="inlineStr">
        <is>
          <t xml:space="preserve">DeOteris</t>
        </is>
      </c>
      <c r="J630" s="31" t="inlineStr">
        <is>
          <t xml:space="preserve">Poirier</t>
        </is>
      </c>
      <c r="K630" s="31" t="inlineStr">
        <is>
          <t xml:space="preserve">Grise</t>
        </is>
      </c>
      <c r="L630" s="42">
        <v>3</v>
      </c>
      <c r="M630" s="42">
        <v>1.5</v>
      </c>
      <c r="N630" s="31" t="inlineStr">
        <is>
          <t xml:space="preserve">Getting</t>
        </is>
      </c>
      <c r="O630" s="42">
        <v>0.5</v>
      </c>
      <c r="P630" s="42">
        <v>0.429</v>
      </c>
      <c r="Q630" s="42">
        <v>0.071</v>
      </c>
      <c r="R630" s="31" t="inlineStr">
        <is>
          <t xml:space="preserve">FBC 12/Handicaps (FBC 12).xlsx</t>
        </is>
      </c>
    </row>
    <row r="631" spans="1:18">
      <c r="A631" s="43">
        <v>12</v>
      </c>
      <c r="B631" s="34" t="inlineStr">
        <is>
          <t xml:space="preserve">FBC12-D6</t>
        </is>
      </c>
      <c r="C631" s="34" t="inlineStr">
        <is>
          <t xml:space="preserve">Vegas</t>
        </is>
      </c>
      <c r="D631" s="34" t="inlineStr">
        <is>
          <t xml:space="preserve">Four-ball</t>
        </is>
      </c>
      <c r="E631" s="43">
        <v>9</v>
      </c>
      <c r="F631" s="45">
        <v>1</v>
      </c>
      <c r="G631" s="34" t="inlineStr">
        <is>
          <t xml:space="preserve">Grise</t>
        </is>
      </c>
      <c r="H631" s="34" t="inlineStr">
        <is>
          <t xml:space="preserve">Poirier</t>
        </is>
      </c>
      <c r="I631" s="34" t="inlineStr">
        <is>
          <t xml:space="preserve">Grise</t>
        </is>
      </c>
      <c r="J631" s="34" t="inlineStr">
        <is>
          <t xml:space="preserve">Zimmer</t>
        </is>
      </c>
      <c r="K631" s="34" t="inlineStr">
        <is>
          <t xml:space="preserve">DeOteris</t>
        </is>
      </c>
      <c r="L631" s="45">
        <v>-3</v>
      </c>
      <c r="M631" s="45">
        <v>-1.5</v>
      </c>
      <c r="N631" s="34" t="inlineStr">
        <is>
          <t xml:space="preserve">Giving</t>
        </is>
      </c>
      <c r="O631" s="45">
        <v>0.5</v>
      </c>
      <c r="P631" s="45">
        <v>0.571</v>
      </c>
      <c r="Q631" s="45">
        <v>-0.071</v>
      </c>
      <c r="R631" s="34" t="inlineStr">
        <is>
          <t xml:space="preserve">FBC 12/Handicaps (FBC 12).xlsx</t>
        </is>
      </c>
    </row>
    <row r="632" spans="1:18">
      <c r="A632" s="40">
        <v>12</v>
      </c>
      <c r="B632" s="31" t="inlineStr">
        <is>
          <t xml:space="preserve">FBC12-D7</t>
        </is>
      </c>
      <c r="C632" s="31" t="inlineStr">
        <is>
          <t xml:space="preserve">Vegas</t>
        </is>
      </c>
      <c r="D632" s="31" t="inlineStr">
        <is>
          <t xml:space="preserve">Four-ball</t>
        </is>
      </c>
      <c r="E632" s="40">
        <v>9</v>
      </c>
      <c r="F632" s="42">
        <v>1</v>
      </c>
      <c r="G632" s="31" t="inlineStr">
        <is>
          <t xml:space="preserve">Connolly</t>
        </is>
      </c>
      <c r="H632" s="31" t="inlineStr">
        <is>
          <t xml:space="preserve">Delaney</t>
        </is>
      </c>
      <c r="I632" s="31" t="inlineStr">
        <is>
          <t xml:space="preserve">Piegari</t>
        </is>
      </c>
      <c r="J632" s="31" t="inlineStr">
        <is>
          <t xml:space="preserve">Mangold</t>
        </is>
      </c>
      <c r="K632" s="31" t="inlineStr">
        <is>
          <t xml:space="preserve">Lynch</t>
        </is>
      </c>
      <c r="L632" s="42">
        <v>-1.5</v>
      </c>
      <c r="M632" s="42">
        <v>-0.75</v>
      </c>
      <c r="N632" s="31" t="inlineStr">
        <is>
          <t xml:space="preserve">Giving</t>
        </is>
      </c>
      <c r="O632" s="42">
        <v>0.5</v>
      </c>
      <c r="P632" s="42">
        <v>0.575</v>
      </c>
      <c r="Q632" s="42">
        <v>-0.075</v>
      </c>
      <c r="R632" s="31" t="inlineStr">
        <is>
          <t xml:space="preserve">FBC 12/Handicaps (FBC 12).xlsx</t>
        </is>
      </c>
    </row>
    <row r="633" spans="1:18">
      <c r="A633" s="43">
        <v>12</v>
      </c>
      <c r="B633" s="34" t="inlineStr">
        <is>
          <t xml:space="preserve">FBC12-D7</t>
        </is>
      </c>
      <c r="C633" s="34" t="inlineStr">
        <is>
          <t xml:space="preserve">Vegas</t>
        </is>
      </c>
      <c r="D633" s="34" t="inlineStr">
        <is>
          <t xml:space="preserve">Four-ball</t>
        </is>
      </c>
      <c r="E633" s="43">
        <v>9</v>
      </c>
      <c r="F633" s="45">
        <v>1</v>
      </c>
      <c r="G633" s="34" t="inlineStr">
        <is>
          <t xml:space="preserve">Grise</t>
        </is>
      </c>
      <c r="H633" s="34" t="inlineStr">
        <is>
          <t xml:space="preserve">Mangold</t>
        </is>
      </c>
      <c r="I633" s="34" t="inlineStr">
        <is>
          <t xml:space="preserve">Lynch</t>
        </is>
      </c>
      <c r="J633" s="34" t="inlineStr">
        <is>
          <t xml:space="preserve">Delaney</t>
        </is>
      </c>
      <c r="K633" s="34" t="inlineStr">
        <is>
          <t xml:space="preserve">Piegari</t>
        </is>
      </c>
      <c r="L633" s="45">
        <v>1.5</v>
      </c>
      <c r="M633" s="45">
        <v>0.75</v>
      </c>
      <c r="N633" s="34" t="inlineStr">
        <is>
          <t xml:space="preserve">Getting</t>
        </is>
      </c>
      <c r="O633" s="45">
        <v>0.5</v>
      </c>
      <c r="P633" s="45">
        <v>0.425</v>
      </c>
      <c r="Q633" s="45">
        <v>0.075</v>
      </c>
      <c r="R633" s="34" t="inlineStr">
        <is>
          <t xml:space="preserve">FBC 12/Handicaps (FBC 12).xlsx</t>
        </is>
      </c>
    </row>
    <row r="634" spans="1:18">
      <c r="A634" s="40">
        <v>12</v>
      </c>
      <c r="B634" s="31" t="inlineStr">
        <is>
          <t xml:space="preserve">FBC12-D8</t>
        </is>
      </c>
      <c r="C634" s="31" t="inlineStr">
        <is>
          <t xml:space="preserve">Vegas</t>
        </is>
      </c>
      <c r="D634" s="31" t="inlineStr">
        <is>
          <t xml:space="preserve">Four-ball</t>
        </is>
      </c>
      <c r="E634" s="40">
        <v>9</v>
      </c>
      <c r="F634" s="42">
        <v>1</v>
      </c>
      <c r="G634" s="31" t="inlineStr">
        <is>
          <t xml:space="preserve">Connolly</t>
        </is>
      </c>
      <c r="H634" s="31" t="inlineStr">
        <is>
          <t xml:space="preserve">Connolly</t>
        </is>
      </c>
      <c r="I634" s="31" t="inlineStr">
        <is>
          <t xml:space="preserve">R. Connolly</t>
        </is>
      </c>
      <c r="J634" s="31" t="inlineStr">
        <is>
          <t xml:space="preserve">Perkins</t>
        </is>
      </c>
      <c r="K634" s="31" t="inlineStr">
        <is>
          <t xml:space="preserve">Shively</t>
        </is>
      </c>
      <c r="L634" s="42">
        <v>-1</v>
      </c>
      <c r="M634" s="42">
        <v>-0.5</v>
      </c>
      <c r="N634" s="31" t="inlineStr">
        <is>
          <t xml:space="preserve">Giving</t>
        </is>
      </c>
      <c r="O634" s="42">
        <v>1</v>
      </c>
      <c r="P634" s="42">
        <v>0.577</v>
      </c>
      <c r="Q634" s="42">
        <v>0.423</v>
      </c>
      <c r="R634" s="31" t="inlineStr">
        <is>
          <t xml:space="preserve">FBC 12/Handicaps (FBC 12).xlsx</t>
        </is>
      </c>
    </row>
    <row r="635" spans="1:18">
      <c r="A635" s="43">
        <v>12</v>
      </c>
      <c r="B635" s="34" t="inlineStr">
        <is>
          <t xml:space="preserve">FBC12-D8</t>
        </is>
      </c>
      <c r="C635" s="34" t="inlineStr">
        <is>
          <t xml:space="preserve">Vegas</t>
        </is>
      </c>
      <c r="D635" s="34" t="inlineStr">
        <is>
          <t xml:space="preserve">Four-ball</t>
        </is>
      </c>
      <c r="E635" s="43">
        <v>9</v>
      </c>
      <c r="F635" s="45">
        <v>1</v>
      </c>
      <c r="G635" s="34" t="inlineStr">
        <is>
          <t xml:space="preserve">Grise</t>
        </is>
      </c>
      <c r="H635" s="34" t="inlineStr">
        <is>
          <t xml:space="preserve">Perkins</t>
        </is>
      </c>
      <c r="I635" s="34" t="inlineStr">
        <is>
          <t xml:space="preserve">Shively</t>
        </is>
      </c>
      <c r="J635" s="34" t="inlineStr">
        <is>
          <t xml:space="preserve">Connolly</t>
        </is>
      </c>
      <c r="K635" s="34" t="inlineStr">
        <is>
          <t xml:space="preserve">R. Connolly</t>
        </is>
      </c>
      <c r="L635" s="45">
        <v>1</v>
      </c>
      <c r="M635" s="45">
        <v>0.5</v>
      </c>
      <c r="N635" s="34" t="inlineStr">
        <is>
          <t xml:space="preserve">Getting</t>
        </is>
      </c>
      <c r="O635" s="45">
        <v>0</v>
      </c>
      <c r="P635" s="45">
        <v>0.423</v>
      </c>
      <c r="Q635" s="45">
        <v>-0.423</v>
      </c>
      <c r="R635" s="34" t="inlineStr">
        <is>
          <t xml:space="preserve">FBC 12/Handicaps (FBC 12).xlsx</t>
        </is>
      </c>
    </row>
    <row r="636" spans="1:18">
      <c r="A636" s="40">
        <v>12</v>
      </c>
      <c r="B636" s="31" t="inlineStr">
        <is>
          <t xml:space="preserve">FBC12-D9</t>
        </is>
      </c>
      <c r="C636" s="31" t="inlineStr">
        <is>
          <t xml:space="preserve">Vegas</t>
        </is>
      </c>
      <c r="D636" s="31" t="inlineStr">
        <is>
          <t xml:space="preserve">Four-ball</t>
        </is>
      </c>
      <c r="E636" s="40">
        <v>9</v>
      </c>
      <c r="F636" s="42">
        <v>1</v>
      </c>
      <c r="G636" s="31" t="inlineStr">
        <is>
          <t xml:space="preserve">Connolly</t>
        </is>
      </c>
      <c r="H636" s="31" t="inlineStr">
        <is>
          <t xml:space="preserve">Ferrin</t>
        </is>
      </c>
      <c r="I636" s="31" t="inlineStr">
        <is>
          <t xml:space="preserve">Fogan</t>
        </is>
      </c>
      <c r="J636" s="31" t="inlineStr">
        <is>
          <t xml:space="preserve">Forster</t>
        </is>
      </c>
      <c r="K636" s="31" t="inlineStr">
        <is>
          <t xml:space="preserve">Snyder</t>
        </is>
      </c>
      <c r="L636" s="42">
        <v>4.5</v>
      </c>
      <c r="M636" s="42">
        <v>2.25</v>
      </c>
      <c r="N636" s="31" t="inlineStr">
        <is>
          <t xml:space="preserve">Getting</t>
        </is>
      </c>
      <c r="O636" s="42">
        <v>1</v>
      </c>
      <c r="P636" s="42">
        <v>0.434</v>
      </c>
      <c r="Q636" s="42">
        <v>0.566</v>
      </c>
      <c r="R636" s="31" t="inlineStr">
        <is>
          <t xml:space="preserve">FBC 12/Handicaps (FBC 12).xlsx</t>
        </is>
      </c>
    </row>
    <row r="637" spans="1:18">
      <c r="A637" s="43">
        <v>12</v>
      </c>
      <c r="B637" s="34" t="inlineStr">
        <is>
          <t xml:space="preserve">FBC12-D9</t>
        </is>
      </c>
      <c r="C637" s="34" t="inlineStr">
        <is>
          <t xml:space="preserve">Vegas</t>
        </is>
      </c>
      <c r="D637" s="34" t="inlineStr">
        <is>
          <t xml:space="preserve">Four-ball</t>
        </is>
      </c>
      <c r="E637" s="43">
        <v>9</v>
      </c>
      <c r="F637" s="45">
        <v>1</v>
      </c>
      <c r="G637" s="34" t="inlineStr">
        <is>
          <t xml:space="preserve">Grise</t>
        </is>
      </c>
      <c r="H637" s="34" t="inlineStr">
        <is>
          <t xml:space="preserve">Forster</t>
        </is>
      </c>
      <c r="I637" s="34" t="inlineStr">
        <is>
          <t xml:space="preserve">Snyder</t>
        </is>
      </c>
      <c r="J637" s="34" t="inlineStr">
        <is>
          <t xml:space="preserve">Ferrin</t>
        </is>
      </c>
      <c r="K637" s="34" t="inlineStr">
        <is>
          <t xml:space="preserve">Fogan</t>
        </is>
      </c>
      <c r="L637" s="45">
        <v>-4.5</v>
      </c>
      <c r="M637" s="45">
        <v>-2.25</v>
      </c>
      <c r="N637" s="34" t="inlineStr">
        <is>
          <t xml:space="preserve">Giving</t>
        </is>
      </c>
      <c r="O637" s="45">
        <v>0</v>
      </c>
      <c r="P637" s="45">
        <v>0.566</v>
      </c>
      <c r="Q637" s="45">
        <v>-0.566</v>
      </c>
      <c r="R637" s="34" t="inlineStr">
        <is>
          <t xml:space="preserve">FBC 12/Handicaps (FBC 12).xlsx</t>
        </is>
      </c>
    </row>
    <row r="638" spans="1:18">
      <c r="A638" s="40">
        <v>12</v>
      </c>
      <c r="B638" s="31" t="inlineStr">
        <is>
          <t xml:space="preserve">FBC12-D10</t>
        </is>
      </c>
      <c r="C638" s="31" t="inlineStr">
        <is>
          <t xml:space="preserve">Vegas</t>
        </is>
      </c>
      <c r="D638" s="31" t="inlineStr">
        <is>
          <t xml:space="preserve">Four-ball</t>
        </is>
      </c>
      <c r="E638" s="40">
        <v>9</v>
      </c>
      <c r="F638" s="42">
        <v>1</v>
      </c>
      <c r="G638" s="31" t="inlineStr">
        <is>
          <t xml:space="preserve">Connolly</t>
        </is>
      </c>
      <c r="H638" s="31" t="inlineStr">
        <is>
          <t xml:space="preserve">Jackson</t>
        </is>
      </c>
      <c r="I638" s="31" t="inlineStr">
        <is>
          <t xml:space="preserve">Delneky</t>
        </is>
      </c>
      <c r="J638" s="31" t="inlineStr">
        <is>
          <t xml:space="preserve">Hilts</t>
        </is>
      </c>
      <c r="K638" s="31" t="inlineStr">
        <is>
          <t xml:space="preserve">Flanders</t>
        </is>
      </c>
      <c r="L638" s="42">
        <v>1.5</v>
      </c>
      <c r="M638" s="42">
        <v>0.75</v>
      </c>
      <c r="N638" s="31" t="inlineStr">
        <is>
          <t xml:space="preserve">Getting</t>
        </is>
      </c>
      <c r="O638" s="42">
        <v>1</v>
      </c>
      <c r="P638" s="42">
        <v>0.425</v>
      </c>
      <c r="Q638" s="42">
        <v>0.575</v>
      </c>
      <c r="R638" s="31" t="inlineStr">
        <is>
          <t xml:space="preserve">FBC 12/Handicaps (FBC 12).xlsx</t>
        </is>
      </c>
    </row>
    <row r="639" spans="1:18">
      <c r="A639" s="43">
        <v>12</v>
      </c>
      <c r="B639" s="34" t="inlineStr">
        <is>
          <t xml:space="preserve">FBC12-D10</t>
        </is>
      </c>
      <c r="C639" s="34" t="inlineStr">
        <is>
          <t xml:space="preserve">Vegas</t>
        </is>
      </c>
      <c r="D639" s="34" t="inlineStr">
        <is>
          <t xml:space="preserve">Four-ball</t>
        </is>
      </c>
      <c r="E639" s="43">
        <v>9</v>
      </c>
      <c r="F639" s="45">
        <v>1</v>
      </c>
      <c r="G639" s="34" t="inlineStr">
        <is>
          <t xml:space="preserve">Grise</t>
        </is>
      </c>
      <c r="H639" s="34" t="inlineStr">
        <is>
          <t xml:space="preserve">Hilts</t>
        </is>
      </c>
      <c r="I639" s="34" t="inlineStr">
        <is>
          <t xml:space="preserve">Flanders</t>
        </is>
      </c>
      <c r="J639" s="34" t="inlineStr">
        <is>
          <t xml:space="preserve">Jackson</t>
        </is>
      </c>
      <c r="K639" s="34" t="inlineStr">
        <is>
          <t xml:space="preserve">Delneky</t>
        </is>
      </c>
      <c r="L639" s="45">
        <v>-1.5</v>
      </c>
      <c r="M639" s="45">
        <v>-0.75</v>
      </c>
      <c r="N639" s="34" t="inlineStr">
        <is>
          <t xml:space="preserve">Giving</t>
        </is>
      </c>
      <c r="O639" s="45">
        <v>0</v>
      </c>
      <c r="P639" s="45">
        <v>0.575</v>
      </c>
      <c r="Q639" s="45">
        <v>-0.575</v>
      </c>
      <c r="R639" s="34" t="inlineStr">
        <is>
          <t xml:space="preserve">FBC 12/Handicaps (FBC 12).xlsx</t>
        </is>
      </c>
    </row>
    <row r="640" spans="1:18">
      <c r="A640" s="40">
        <v>12</v>
      </c>
      <c r="B640" s="31" t="inlineStr">
        <is>
          <t xml:space="preserve">FBC12-D11</t>
        </is>
      </c>
      <c r="C640" s="31" t="inlineStr">
        <is>
          <t xml:space="preserve">Pinehurst</t>
        </is>
      </c>
      <c r="D640" s="31" t="inlineStr">
        <is>
          <t xml:space="preserve">Pinehurst</t>
        </is>
      </c>
      <c r="E640" s="40">
        <v>9</v>
      </c>
      <c r="F640" s="42">
        <v>1</v>
      </c>
      <c r="G640" s="31" t="inlineStr">
        <is>
          <t xml:space="preserve">Connolly</t>
        </is>
      </c>
      <c r="H640" s="31" t="inlineStr">
        <is>
          <t xml:space="preserve">Piegari</t>
        </is>
      </c>
      <c r="I640" s="31" t="inlineStr">
        <is>
          <t xml:space="preserve">Zimmer</t>
        </is>
      </c>
      <c r="J640" s="31" t="inlineStr">
        <is>
          <t xml:space="preserve">Perkins</t>
        </is>
      </c>
      <c r="K640" s="31" t="inlineStr">
        <is>
          <t xml:space="preserve">Mangold</t>
        </is>
      </c>
      <c r="L640" s="42">
        <v>-4</v>
      </c>
      <c r="M640" s="42">
        <v>-2</v>
      </c>
      <c r="N640" s="31" t="inlineStr">
        <is>
          <t xml:space="preserve">Giving</t>
        </is>
      </c>
      <c r="O640" s="42">
        <v>0</v>
      </c>
      <c r="P640" s="42">
        <v>0.546</v>
      </c>
      <c r="Q640" s="42">
        <v>-0.546</v>
      </c>
      <c r="R640" s="31" t="inlineStr">
        <is>
          <t xml:space="preserve">FBC 12/Handicaps (FBC 12).xlsx</t>
        </is>
      </c>
    </row>
    <row r="641" spans="1:18">
      <c r="A641" s="43">
        <v>12</v>
      </c>
      <c r="B641" s="34" t="inlineStr">
        <is>
          <t xml:space="preserve">FBC12-D11</t>
        </is>
      </c>
      <c r="C641" s="34" t="inlineStr">
        <is>
          <t xml:space="preserve">Pinehurst</t>
        </is>
      </c>
      <c r="D641" s="34" t="inlineStr">
        <is>
          <t xml:space="preserve">Pinehurst</t>
        </is>
      </c>
      <c r="E641" s="43">
        <v>9</v>
      </c>
      <c r="F641" s="45">
        <v>1</v>
      </c>
      <c r="G641" s="34" t="inlineStr">
        <is>
          <t xml:space="preserve">Grise</t>
        </is>
      </c>
      <c r="H641" s="34" t="inlineStr">
        <is>
          <t xml:space="preserve">Perkins</t>
        </is>
      </c>
      <c r="I641" s="34" t="inlineStr">
        <is>
          <t xml:space="preserve">Mangold</t>
        </is>
      </c>
      <c r="J641" s="34" t="inlineStr">
        <is>
          <t xml:space="preserve">Piegari</t>
        </is>
      </c>
      <c r="K641" s="34" t="inlineStr">
        <is>
          <t xml:space="preserve">Zimmer</t>
        </is>
      </c>
      <c r="L641" s="45">
        <v>4</v>
      </c>
      <c r="M641" s="45">
        <v>2</v>
      </c>
      <c r="N641" s="34" t="inlineStr">
        <is>
          <t xml:space="preserve">Getting</t>
        </is>
      </c>
      <c r="O641" s="45">
        <v>1</v>
      </c>
      <c r="P641" s="45">
        <v>0.454</v>
      </c>
      <c r="Q641" s="45">
        <v>0.546</v>
      </c>
      <c r="R641" s="34" t="inlineStr">
        <is>
          <t xml:space="preserve">FBC 12/Handicaps (FBC 12).xlsx</t>
        </is>
      </c>
    </row>
    <row r="642" spans="1:18">
      <c r="A642" s="40">
        <v>12</v>
      </c>
      <c r="B642" s="31" t="inlineStr">
        <is>
          <t xml:space="preserve">FBC12-D12</t>
        </is>
      </c>
      <c r="C642" s="31" t="inlineStr">
        <is>
          <t xml:space="preserve">Pinehurst</t>
        </is>
      </c>
      <c r="D642" s="31" t="inlineStr">
        <is>
          <t xml:space="preserve">Pinehurst</t>
        </is>
      </c>
      <c r="E642" s="40">
        <v>9</v>
      </c>
      <c r="F642" s="42">
        <v>1</v>
      </c>
      <c r="G642" s="31" t="inlineStr">
        <is>
          <t xml:space="preserve">Connolly</t>
        </is>
      </c>
      <c r="H642" s="31" t="inlineStr">
        <is>
          <t xml:space="preserve">DeOteris</t>
        </is>
      </c>
      <c r="I642" s="31" t="inlineStr">
        <is>
          <t xml:space="preserve">Ferrin</t>
        </is>
      </c>
      <c r="J642" s="31" t="inlineStr">
        <is>
          <t xml:space="preserve">Flanders</t>
        </is>
      </c>
      <c r="K642" s="31" t="inlineStr">
        <is>
          <t xml:space="preserve">Poirier</t>
        </is>
      </c>
      <c r="L642" s="42">
        <v>7</v>
      </c>
      <c r="M642" s="42">
        <v>3.5</v>
      </c>
      <c r="N642" s="31" t="inlineStr">
        <is>
          <t xml:space="preserve">Getting</t>
        </is>
      </c>
      <c r="O642" s="42">
        <v>0</v>
      </c>
      <c r="P642" s="42">
        <v>0.479</v>
      </c>
      <c r="Q642" s="42">
        <v>-0.479</v>
      </c>
      <c r="R642" s="31" t="inlineStr">
        <is>
          <t xml:space="preserve">FBC 12/Handicaps (FBC 12).xlsx</t>
        </is>
      </c>
    </row>
    <row r="643" spans="1:18">
      <c r="A643" s="43">
        <v>12</v>
      </c>
      <c r="B643" s="34" t="inlineStr">
        <is>
          <t xml:space="preserve">FBC12-D12</t>
        </is>
      </c>
      <c r="C643" s="34" t="inlineStr">
        <is>
          <t xml:space="preserve">Pinehurst</t>
        </is>
      </c>
      <c r="D643" s="34" t="inlineStr">
        <is>
          <t xml:space="preserve">Pinehurst</t>
        </is>
      </c>
      <c r="E643" s="43">
        <v>9</v>
      </c>
      <c r="F643" s="45">
        <v>1</v>
      </c>
      <c r="G643" s="34" t="inlineStr">
        <is>
          <t xml:space="preserve">Grise</t>
        </is>
      </c>
      <c r="H643" s="34" t="inlineStr">
        <is>
          <t xml:space="preserve">Flanders</t>
        </is>
      </c>
      <c r="I643" s="34" t="inlineStr">
        <is>
          <t xml:space="preserve">Poirier</t>
        </is>
      </c>
      <c r="J643" s="34" t="inlineStr">
        <is>
          <t xml:space="preserve">DeOteris</t>
        </is>
      </c>
      <c r="K643" s="34" t="inlineStr">
        <is>
          <t xml:space="preserve">Ferrin</t>
        </is>
      </c>
      <c r="L643" s="45">
        <v>-7</v>
      </c>
      <c r="M643" s="45">
        <v>-3.5</v>
      </c>
      <c r="N643" s="34" t="inlineStr">
        <is>
          <t xml:space="preserve">Giving</t>
        </is>
      </c>
      <c r="O643" s="45">
        <v>1</v>
      </c>
      <c r="P643" s="45">
        <v>0.521</v>
      </c>
      <c r="Q643" s="45">
        <v>0.479</v>
      </c>
      <c r="R643" s="34" t="inlineStr">
        <is>
          <t xml:space="preserve">FBC 12/Handicaps (FBC 12).xlsx</t>
        </is>
      </c>
    </row>
    <row r="644" spans="1:18">
      <c r="A644" s="40">
        <v>12</v>
      </c>
      <c r="B644" s="31" t="inlineStr">
        <is>
          <t xml:space="preserve">FBC12-D13</t>
        </is>
      </c>
      <c r="C644" s="31" t="inlineStr">
        <is>
          <t xml:space="preserve">Pinehurst</t>
        </is>
      </c>
      <c r="D644" s="31" t="inlineStr">
        <is>
          <t xml:space="preserve">Pinehurst</t>
        </is>
      </c>
      <c r="E644" s="40">
        <v>9</v>
      </c>
      <c r="F644" s="42">
        <v>1</v>
      </c>
      <c r="G644" s="31" t="inlineStr">
        <is>
          <t xml:space="preserve">Connolly</t>
        </is>
      </c>
      <c r="H644" s="31" t="inlineStr">
        <is>
          <t xml:space="preserve">R. Connolly</t>
        </is>
      </c>
      <c r="I644" s="31" t="inlineStr">
        <is>
          <t xml:space="preserve">Delneky</t>
        </is>
      </c>
      <c r="J644" s="31" t="inlineStr">
        <is>
          <t xml:space="preserve">Grise</t>
        </is>
      </c>
      <c r="K644" s="31" t="inlineStr">
        <is>
          <t xml:space="preserve">Forster</t>
        </is>
      </c>
      <c r="L644" s="42">
        <v>3</v>
      </c>
      <c r="M644" s="42">
        <v>1.5</v>
      </c>
      <c r="N644" s="31" t="inlineStr">
        <is>
          <t xml:space="preserve">Getting</t>
        </is>
      </c>
      <c r="O644" s="42">
        <v>1</v>
      </c>
      <c r="P644" s="42">
        <v>0.445</v>
      </c>
      <c r="Q644" s="42">
        <v>0.555</v>
      </c>
      <c r="R644" s="31" t="inlineStr">
        <is>
          <t xml:space="preserve">FBC 12/Handicaps (FBC 12).xlsx</t>
        </is>
      </c>
    </row>
    <row r="645" spans="1:18">
      <c r="A645" s="43">
        <v>12</v>
      </c>
      <c r="B645" s="34" t="inlineStr">
        <is>
          <t xml:space="preserve">FBC12-D13</t>
        </is>
      </c>
      <c r="C645" s="34" t="inlineStr">
        <is>
          <t xml:space="preserve">Pinehurst</t>
        </is>
      </c>
      <c r="D645" s="34" t="inlineStr">
        <is>
          <t xml:space="preserve">Pinehurst</t>
        </is>
      </c>
      <c r="E645" s="43">
        <v>9</v>
      </c>
      <c r="F645" s="45">
        <v>1</v>
      </c>
      <c r="G645" s="34" t="inlineStr">
        <is>
          <t xml:space="preserve">Grise</t>
        </is>
      </c>
      <c r="H645" s="34" t="inlineStr">
        <is>
          <t xml:space="preserve">Grise</t>
        </is>
      </c>
      <c r="I645" s="34" t="inlineStr">
        <is>
          <t xml:space="preserve">Forster</t>
        </is>
      </c>
      <c r="J645" s="34" t="inlineStr">
        <is>
          <t xml:space="preserve">R. Connolly</t>
        </is>
      </c>
      <c r="K645" s="34" t="inlineStr">
        <is>
          <t xml:space="preserve">Delneky</t>
        </is>
      </c>
      <c r="L645" s="45">
        <v>-3</v>
      </c>
      <c r="M645" s="45">
        <v>-1.5</v>
      </c>
      <c r="N645" s="34" t="inlineStr">
        <is>
          <t xml:space="preserve">Giving</t>
        </is>
      </c>
      <c r="O645" s="45">
        <v>0</v>
      </c>
      <c r="P645" s="45">
        <v>0.555</v>
      </c>
      <c r="Q645" s="45">
        <v>-0.555</v>
      </c>
      <c r="R645" s="34" t="inlineStr">
        <is>
          <t xml:space="preserve">FBC 12/Handicaps (FBC 12).xlsx</t>
        </is>
      </c>
    </row>
    <row r="646" spans="1:18">
      <c r="A646" s="40">
        <v>12</v>
      </c>
      <c r="B646" s="31" t="inlineStr">
        <is>
          <t xml:space="preserve">FBC12-D14</t>
        </is>
      </c>
      <c r="C646" s="31" t="inlineStr">
        <is>
          <t xml:space="preserve">Pinehurst</t>
        </is>
      </c>
      <c r="D646" s="31" t="inlineStr">
        <is>
          <t xml:space="preserve">Pinehurst</t>
        </is>
      </c>
      <c r="E646" s="40">
        <v>9</v>
      </c>
      <c r="F646" s="42">
        <v>1</v>
      </c>
      <c r="G646" s="31" t="inlineStr">
        <is>
          <t xml:space="preserve">Connolly</t>
        </is>
      </c>
      <c r="H646" s="31" t="inlineStr">
        <is>
          <t xml:space="preserve">Fogan</t>
        </is>
      </c>
      <c r="I646" s="31" t="inlineStr">
        <is>
          <t xml:space="preserve">Delaney</t>
        </is>
      </c>
      <c r="J646" s="31" t="inlineStr">
        <is>
          <t xml:space="preserve">Hilts</t>
        </is>
      </c>
      <c r="K646" s="31" t="inlineStr">
        <is>
          <t xml:space="preserve">Shively</t>
        </is>
      </c>
      <c r="L646" s="42">
        <v>-1</v>
      </c>
      <c r="M646" s="42">
        <v>-0.5</v>
      </c>
      <c r="N646" s="31" t="inlineStr">
        <is>
          <t xml:space="preserve">Giving</t>
        </is>
      </c>
      <c r="O646" s="42">
        <v>1</v>
      </c>
      <c r="P646" s="42">
        <v>0.572</v>
      </c>
      <c r="Q646" s="42">
        <v>0.428</v>
      </c>
      <c r="R646" s="31" t="inlineStr">
        <is>
          <t xml:space="preserve">FBC 12/Handicaps (FBC 12).xlsx</t>
        </is>
      </c>
    </row>
    <row r="647" spans="1:18">
      <c r="A647" s="43">
        <v>12</v>
      </c>
      <c r="B647" s="34" t="inlineStr">
        <is>
          <t xml:space="preserve">FBC12-D14</t>
        </is>
      </c>
      <c r="C647" s="34" t="inlineStr">
        <is>
          <t xml:space="preserve">Pinehurst</t>
        </is>
      </c>
      <c r="D647" s="34" t="inlineStr">
        <is>
          <t xml:space="preserve">Pinehurst</t>
        </is>
      </c>
      <c r="E647" s="43">
        <v>9</v>
      </c>
      <c r="F647" s="45">
        <v>1</v>
      </c>
      <c r="G647" s="34" t="inlineStr">
        <is>
          <t xml:space="preserve">Grise</t>
        </is>
      </c>
      <c r="H647" s="34" t="inlineStr">
        <is>
          <t xml:space="preserve">Hilts</t>
        </is>
      </c>
      <c r="I647" s="34" t="inlineStr">
        <is>
          <t xml:space="preserve">Shively</t>
        </is>
      </c>
      <c r="J647" s="34" t="inlineStr">
        <is>
          <t xml:space="preserve">Fogan</t>
        </is>
      </c>
      <c r="K647" s="34" t="inlineStr">
        <is>
          <t xml:space="preserve">Delaney</t>
        </is>
      </c>
      <c r="L647" s="45">
        <v>1</v>
      </c>
      <c r="M647" s="45">
        <v>0.5</v>
      </c>
      <c r="N647" s="34" t="inlineStr">
        <is>
          <t xml:space="preserve">Getting</t>
        </is>
      </c>
      <c r="O647" s="45">
        <v>0</v>
      </c>
      <c r="P647" s="45">
        <v>0.428</v>
      </c>
      <c r="Q647" s="45">
        <v>-0.428</v>
      </c>
      <c r="R647" s="34" t="inlineStr">
        <is>
          <t xml:space="preserve">FBC 12/Handicaps (FBC 12).xlsx</t>
        </is>
      </c>
    </row>
    <row r="648" spans="1:18">
      <c r="A648" s="40">
        <v>12</v>
      </c>
      <c r="B648" s="31" t="inlineStr">
        <is>
          <t xml:space="preserve">FBC12-D15</t>
        </is>
      </c>
      <c r="C648" s="31" t="inlineStr">
        <is>
          <t xml:space="preserve">Pinehurst</t>
        </is>
      </c>
      <c r="D648" s="31" t="inlineStr">
        <is>
          <t xml:space="preserve">Pinehurst</t>
        </is>
      </c>
      <c r="E648" s="40">
        <v>9</v>
      </c>
      <c r="F648" s="42">
        <v>1</v>
      </c>
      <c r="G648" s="31" t="inlineStr">
        <is>
          <t xml:space="preserve">Connolly</t>
        </is>
      </c>
      <c r="H648" s="31" t="inlineStr">
        <is>
          <t xml:space="preserve">Jackson</t>
        </is>
      </c>
      <c r="I648" s="31" t="inlineStr">
        <is>
          <t xml:space="preserve">Connolly</t>
        </is>
      </c>
      <c r="J648" s="31" t="inlineStr">
        <is>
          <t xml:space="preserve">Lynch</t>
        </is>
      </c>
      <c r="K648" s="31" t="inlineStr">
        <is>
          <t xml:space="preserve">Snyder</t>
        </is>
      </c>
      <c r="L648" s="42">
        <v>0</v>
      </c>
      <c r="M648" s="42">
        <v>0</v>
      </c>
      <c r="N648" s="31" t="inlineStr">
        <is>
          <t xml:space="preserve">Even</t>
        </is>
      </c>
      <c r="O648" s="42">
        <v>1</v>
      </c>
      <c r="P648" s="42">
        <v>0.5</v>
      </c>
      <c r="Q648" s="42">
        <v>0.5</v>
      </c>
      <c r="R648" s="31" t="inlineStr">
        <is>
          <t xml:space="preserve">FBC 12/Handicaps (FBC 12).xlsx</t>
        </is>
      </c>
    </row>
    <row r="649" spans="1:18">
      <c r="A649" s="43">
        <v>12</v>
      </c>
      <c r="B649" s="34" t="inlineStr">
        <is>
          <t xml:space="preserve">FBC12-D15</t>
        </is>
      </c>
      <c r="C649" s="34" t="inlineStr">
        <is>
          <t xml:space="preserve">Pinehurst</t>
        </is>
      </c>
      <c r="D649" s="34" t="inlineStr">
        <is>
          <t xml:space="preserve">Pinehurst</t>
        </is>
      </c>
      <c r="E649" s="43">
        <v>9</v>
      </c>
      <c r="F649" s="45">
        <v>1</v>
      </c>
      <c r="G649" s="34" t="inlineStr">
        <is>
          <t xml:space="preserve">Grise</t>
        </is>
      </c>
      <c r="H649" s="34" t="inlineStr">
        <is>
          <t xml:space="preserve">Lynch</t>
        </is>
      </c>
      <c r="I649" s="34" t="inlineStr">
        <is>
          <t xml:space="preserve">Snyder</t>
        </is>
      </c>
      <c r="J649" s="34" t="inlineStr">
        <is>
          <t xml:space="preserve">Jackson</t>
        </is>
      </c>
      <c r="K649" s="34" t="inlineStr">
        <is>
          <t xml:space="preserve">Connolly</t>
        </is>
      </c>
      <c r="L649" s="45">
        <v>0</v>
      </c>
      <c r="M649" s="45">
        <v>0</v>
      </c>
      <c r="N649" s="34" t="inlineStr">
        <is>
          <t xml:space="preserve">Even</t>
        </is>
      </c>
      <c r="O649" s="45">
        <v>0</v>
      </c>
      <c r="P649" s="45">
        <v>0.5</v>
      </c>
      <c r="Q649" s="45">
        <v>-0.5</v>
      </c>
      <c r="R649" s="34" t="inlineStr">
        <is>
          <t xml:space="preserve">FBC 12/Handicaps (FBC 12).xlsx</t>
        </is>
      </c>
    </row>
    <row r="650" spans="1:18">
      <c r="A650" s="40">
        <v>12</v>
      </c>
      <c r="B650" s="31" t="inlineStr">
        <is>
          <t xml:space="preserve">FBC12-D16</t>
        </is>
      </c>
      <c r="C650" s="31" t="inlineStr">
        <is>
          <t xml:space="preserve">Scramble</t>
        </is>
      </c>
      <c r="D650" s="31" t="inlineStr">
        <is>
          <t xml:space="preserve">Scramble</t>
        </is>
      </c>
      <c r="E650" s="40">
        <v>9</v>
      </c>
      <c r="F650" s="42">
        <v>1</v>
      </c>
      <c r="G650" s="31" t="inlineStr">
        <is>
          <t xml:space="preserve">Connolly</t>
        </is>
      </c>
      <c r="H650" s="31" t="inlineStr">
        <is>
          <t xml:space="preserve">Piegari</t>
        </is>
      </c>
      <c r="I650" s="31" t="inlineStr">
        <is>
          <t xml:space="preserve">Zimmer</t>
        </is>
      </c>
      <c r="J650" s="31" t="inlineStr">
        <is>
          <t xml:space="preserve">Perkins</t>
        </is>
      </c>
      <c r="K650" s="31" t="inlineStr">
        <is>
          <t xml:space="preserve">Mangold</t>
        </is>
      </c>
      <c r="L650" s="42">
        <v>-2</v>
      </c>
      <c r="M650" s="42">
        <v>-1</v>
      </c>
      <c r="N650" s="31" t="inlineStr">
        <is>
          <t xml:space="preserve">Giving</t>
        </is>
      </c>
      <c r="O650" s="42">
        <v>0</v>
      </c>
      <c r="P650" s="42">
        <v>0.488</v>
      </c>
      <c r="Q650" s="42">
        <v>-0.488</v>
      </c>
      <c r="R650" s="31" t="inlineStr">
        <is>
          <t xml:space="preserve">FBC 12/Handicaps (FBC 12).xlsx</t>
        </is>
      </c>
    </row>
    <row r="651" spans="1:18">
      <c r="A651" s="43">
        <v>12</v>
      </c>
      <c r="B651" s="34" t="inlineStr">
        <is>
          <t xml:space="preserve">FBC12-D16</t>
        </is>
      </c>
      <c r="C651" s="34" t="inlineStr">
        <is>
          <t xml:space="preserve">Scramble</t>
        </is>
      </c>
      <c r="D651" s="34" t="inlineStr">
        <is>
          <t xml:space="preserve">Scramble</t>
        </is>
      </c>
      <c r="E651" s="43">
        <v>9</v>
      </c>
      <c r="F651" s="45">
        <v>1</v>
      </c>
      <c r="G651" s="34" t="inlineStr">
        <is>
          <t xml:space="preserve">Grise</t>
        </is>
      </c>
      <c r="H651" s="34" t="inlineStr">
        <is>
          <t xml:space="preserve">Perkins</t>
        </is>
      </c>
      <c r="I651" s="34" t="inlineStr">
        <is>
          <t xml:space="preserve">Mangold</t>
        </is>
      </c>
      <c r="J651" s="34" t="inlineStr">
        <is>
          <t xml:space="preserve">Piegari</t>
        </is>
      </c>
      <c r="K651" s="34" t="inlineStr">
        <is>
          <t xml:space="preserve">Zimmer</t>
        </is>
      </c>
      <c r="L651" s="45">
        <v>2</v>
      </c>
      <c r="M651" s="45">
        <v>1</v>
      </c>
      <c r="N651" s="34" t="inlineStr">
        <is>
          <t xml:space="preserve">Getting</t>
        </is>
      </c>
      <c r="O651" s="45">
        <v>1</v>
      </c>
      <c r="P651" s="45">
        <v>0.512</v>
      </c>
      <c r="Q651" s="45">
        <v>0.488</v>
      </c>
      <c r="R651" s="34" t="inlineStr">
        <is>
          <t xml:space="preserve">FBC 12/Handicaps (FBC 12).xlsx</t>
        </is>
      </c>
    </row>
    <row r="652" spans="1:18">
      <c r="A652" s="40">
        <v>12</v>
      </c>
      <c r="B652" s="31" t="inlineStr">
        <is>
          <t xml:space="preserve">FBC12-D17</t>
        </is>
      </c>
      <c r="C652" s="31" t="inlineStr">
        <is>
          <t xml:space="preserve">Scramble</t>
        </is>
      </c>
      <c r="D652" s="31" t="inlineStr">
        <is>
          <t xml:space="preserve">Scramble</t>
        </is>
      </c>
      <c r="E652" s="40">
        <v>9</v>
      </c>
      <c r="F652" s="42">
        <v>1</v>
      </c>
      <c r="G652" s="31" t="inlineStr">
        <is>
          <t xml:space="preserve">Connolly</t>
        </is>
      </c>
      <c r="H652" s="31" t="inlineStr">
        <is>
          <t xml:space="preserve">DeOteris</t>
        </is>
      </c>
      <c r="I652" s="31" t="inlineStr">
        <is>
          <t xml:space="preserve">Ferrin</t>
        </is>
      </c>
      <c r="J652" s="31" t="inlineStr">
        <is>
          <t xml:space="preserve">Flanders</t>
        </is>
      </c>
      <c r="K652" s="31" t="inlineStr">
        <is>
          <t xml:space="preserve">Poirier</t>
        </is>
      </c>
      <c r="L652" s="42">
        <v>3</v>
      </c>
      <c r="M652" s="42">
        <v>1.5</v>
      </c>
      <c r="N652" s="31" t="inlineStr">
        <is>
          <t xml:space="preserve">Getting</t>
        </is>
      </c>
      <c r="O652" s="42">
        <v>0.5</v>
      </c>
      <c r="P652" s="42">
        <v>0.558</v>
      </c>
      <c r="Q652" s="42">
        <v>-0.058</v>
      </c>
      <c r="R652" s="31" t="inlineStr">
        <is>
          <t xml:space="preserve">FBC 12/Handicaps (FBC 12).xlsx</t>
        </is>
      </c>
    </row>
    <row r="653" spans="1:18">
      <c r="A653" s="43">
        <v>12</v>
      </c>
      <c r="B653" s="34" t="inlineStr">
        <is>
          <t xml:space="preserve">FBC12-D17</t>
        </is>
      </c>
      <c r="C653" s="34" t="inlineStr">
        <is>
          <t xml:space="preserve">Scramble</t>
        </is>
      </c>
      <c r="D653" s="34" t="inlineStr">
        <is>
          <t xml:space="preserve">Scramble</t>
        </is>
      </c>
      <c r="E653" s="43">
        <v>9</v>
      </c>
      <c r="F653" s="45">
        <v>1</v>
      </c>
      <c r="G653" s="34" t="inlineStr">
        <is>
          <t xml:space="preserve">Grise</t>
        </is>
      </c>
      <c r="H653" s="34" t="inlineStr">
        <is>
          <t xml:space="preserve">Flanders</t>
        </is>
      </c>
      <c r="I653" s="34" t="inlineStr">
        <is>
          <t xml:space="preserve">Poirier</t>
        </is>
      </c>
      <c r="J653" s="34" t="inlineStr">
        <is>
          <t xml:space="preserve">DeOteris</t>
        </is>
      </c>
      <c r="K653" s="34" t="inlineStr">
        <is>
          <t xml:space="preserve">Ferrin</t>
        </is>
      </c>
      <c r="L653" s="45">
        <v>-3</v>
      </c>
      <c r="M653" s="45">
        <v>-1.5</v>
      </c>
      <c r="N653" s="34" t="inlineStr">
        <is>
          <t xml:space="preserve">Giving</t>
        </is>
      </c>
      <c r="O653" s="45">
        <v>0.5</v>
      </c>
      <c r="P653" s="45">
        <v>0.442</v>
      </c>
      <c r="Q653" s="45">
        <v>0.058</v>
      </c>
      <c r="R653" s="34" t="inlineStr">
        <is>
          <t xml:space="preserve">FBC 12/Handicaps (FBC 12).xlsx</t>
        </is>
      </c>
    </row>
    <row r="654" spans="1:18">
      <c r="A654" s="40">
        <v>12</v>
      </c>
      <c r="B654" s="31" t="inlineStr">
        <is>
          <t xml:space="preserve">FBC12-D18</t>
        </is>
      </c>
      <c r="C654" s="31" t="inlineStr">
        <is>
          <t xml:space="preserve">Scramble</t>
        </is>
      </c>
      <c r="D654" s="31" t="inlineStr">
        <is>
          <t xml:space="preserve">Scramble</t>
        </is>
      </c>
      <c r="E654" s="40">
        <v>9</v>
      </c>
      <c r="F654" s="42">
        <v>1</v>
      </c>
      <c r="G654" s="31" t="inlineStr">
        <is>
          <t xml:space="preserve">Connolly</t>
        </is>
      </c>
      <c r="H654" s="31" t="inlineStr">
        <is>
          <t xml:space="preserve">R. Connolly</t>
        </is>
      </c>
      <c r="I654" s="31" t="inlineStr">
        <is>
          <t xml:space="preserve">Delneky</t>
        </is>
      </c>
      <c r="J654" s="31" t="inlineStr">
        <is>
          <t xml:space="preserve">Grise</t>
        </is>
      </c>
      <c r="K654" s="31" t="inlineStr">
        <is>
          <t xml:space="preserve">Forster</t>
        </is>
      </c>
      <c r="L654" s="42">
        <v>1</v>
      </c>
      <c r="M654" s="42">
        <v>0.5</v>
      </c>
      <c r="N654" s="31" t="inlineStr">
        <is>
          <t xml:space="preserve">Getting</t>
        </is>
      </c>
      <c r="O654" s="42">
        <v>0</v>
      </c>
      <c r="P654" s="42">
        <v>0.466</v>
      </c>
      <c r="Q654" s="42">
        <v>-0.466</v>
      </c>
      <c r="R654" s="31" t="inlineStr">
        <is>
          <t xml:space="preserve">FBC 12/Handicaps (FBC 12).xlsx</t>
        </is>
      </c>
    </row>
    <row r="655" spans="1:18">
      <c r="A655" s="43">
        <v>12</v>
      </c>
      <c r="B655" s="34" t="inlineStr">
        <is>
          <t xml:space="preserve">FBC12-D18</t>
        </is>
      </c>
      <c r="C655" s="34" t="inlineStr">
        <is>
          <t xml:space="preserve">Scramble</t>
        </is>
      </c>
      <c r="D655" s="34" t="inlineStr">
        <is>
          <t xml:space="preserve">Scramble</t>
        </is>
      </c>
      <c r="E655" s="43">
        <v>9</v>
      </c>
      <c r="F655" s="45">
        <v>1</v>
      </c>
      <c r="G655" s="34" t="inlineStr">
        <is>
          <t xml:space="preserve">Grise</t>
        </is>
      </c>
      <c r="H655" s="34" t="inlineStr">
        <is>
          <t xml:space="preserve">Grise</t>
        </is>
      </c>
      <c r="I655" s="34" t="inlineStr">
        <is>
          <t xml:space="preserve">Forster</t>
        </is>
      </c>
      <c r="J655" s="34" t="inlineStr">
        <is>
          <t xml:space="preserve">R. Connolly</t>
        </is>
      </c>
      <c r="K655" s="34" t="inlineStr">
        <is>
          <t xml:space="preserve">Delneky</t>
        </is>
      </c>
      <c r="L655" s="45">
        <v>-1</v>
      </c>
      <c r="M655" s="45">
        <v>-0.5</v>
      </c>
      <c r="N655" s="34" t="inlineStr">
        <is>
          <t xml:space="preserve">Giving</t>
        </is>
      </c>
      <c r="O655" s="45">
        <v>1</v>
      </c>
      <c r="P655" s="45">
        <v>0.534</v>
      </c>
      <c r="Q655" s="45">
        <v>0.466</v>
      </c>
      <c r="R655" s="34" t="inlineStr">
        <is>
          <t xml:space="preserve">FBC 12/Handicaps (FBC 12).xlsx</t>
        </is>
      </c>
    </row>
    <row r="656" spans="1:18">
      <c r="A656" s="40">
        <v>12</v>
      </c>
      <c r="B656" s="31" t="inlineStr">
        <is>
          <t xml:space="preserve">FBC12-D19</t>
        </is>
      </c>
      <c r="C656" s="31" t="inlineStr">
        <is>
          <t xml:space="preserve">Scramble</t>
        </is>
      </c>
      <c r="D656" s="31" t="inlineStr">
        <is>
          <t xml:space="preserve">Scramble</t>
        </is>
      </c>
      <c r="E656" s="40">
        <v>9</v>
      </c>
      <c r="F656" s="42">
        <v>1</v>
      </c>
      <c r="G656" s="31" t="inlineStr">
        <is>
          <t xml:space="preserve">Connolly</t>
        </is>
      </c>
      <c r="H656" s="31" t="inlineStr">
        <is>
          <t xml:space="preserve">Fogan</t>
        </is>
      </c>
      <c r="I656" s="31" t="inlineStr">
        <is>
          <t xml:space="preserve">Delaney</t>
        </is>
      </c>
      <c r="J656" s="31" t="inlineStr">
        <is>
          <t xml:space="preserve">Hilts</t>
        </is>
      </c>
      <c r="K656" s="31" t="inlineStr">
        <is>
          <t xml:space="preserve">Shively</t>
        </is>
      </c>
      <c r="L656" s="42">
        <v>0</v>
      </c>
      <c r="M656" s="42">
        <v>0</v>
      </c>
      <c r="N656" s="31" t="inlineStr">
        <is>
          <t xml:space="preserve">Even</t>
        </is>
      </c>
      <c r="O656" s="42">
        <v>0.5</v>
      </c>
      <c r="P656" s="42">
        <v>0.5</v>
      </c>
      <c r="Q656" s="42">
        <v>0</v>
      </c>
      <c r="R656" s="31" t="inlineStr">
        <is>
          <t xml:space="preserve">FBC 12/Handicaps (FBC 12).xlsx</t>
        </is>
      </c>
    </row>
    <row r="657" spans="1:18">
      <c r="A657" s="43">
        <v>12</v>
      </c>
      <c r="B657" s="34" t="inlineStr">
        <is>
          <t xml:space="preserve">FBC12-D19</t>
        </is>
      </c>
      <c r="C657" s="34" t="inlineStr">
        <is>
          <t xml:space="preserve">Scramble</t>
        </is>
      </c>
      <c r="D657" s="34" t="inlineStr">
        <is>
          <t xml:space="preserve">Scramble</t>
        </is>
      </c>
      <c r="E657" s="43">
        <v>9</v>
      </c>
      <c r="F657" s="45">
        <v>1</v>
      </c>
      <c r="G657" s="34" t="inlineStr">
        <is>
          <t xml:space="preserve">Grise</t>
        </is>
      </c>
      <c r="H657" s="34" t="inlineStr">
        <is>
          <t xml:space="preserve">Hilts</t>
        </is>
      </c>
      <c r="I657" s="34" t="inlineStr">
        <is>
          <t xml:space="preserve">Shively</t>
        </is>
      </c>
      <c r="J657" s="34" t="inlineStr">
        <is>
          <t xml:space="preserve">Fogan</t>
        </is>
      </c>
      <c r="K657" s="34" t="inlineStr">
        <is>
          <t xml:space="preserve">Delaney</t>
        </is>
      </c>
      <c r="L657" s="45">
        <v>0</v>
      </c>
      <c r="M657" s="45">
        <v>0</v>
      </c>
      <c r="N657" s="34" t="inlineStr">
        <is>
          <t xml:space="preserve">Even</t>
        </is>
      </c>
      <c r="O657" s="45">
        <v>0.5</v>
      </c>
      <c r="P657" s="45">
        <v>0.5</v>
      </c>
      <c r="Q657" s="45">
        <v>0</v>
      </c>
      <c r="R657" s="34" t="inlineStr">
        <is>
          <t xml:space="preserve">FBC 12/Handicaps (FBC 12).xlsx</t>
        </is>
      </c>
    </row>
    <row r="658" spans="1:18">
      <c r="A658" s="40">
        <v>12</v>
      </c>
      <c r="B658" s="31" t="inlineStr">
        <is>
          <t xml:space="preserve">FBC12-D20</t>
        </is>
      </c>
      <c r="C658" s="31" t="inlineStr">
        <is>
          <t xml:space="preserve">Scramble</t>
        </is>
      </c>
      <c r="D658" s="31" t="inlineStr">
        <is>
          <t xml:space="preserve">Scramble</t>
        </is>
      </c>
      <c r="E658" s="40">
        <v>9</v>
      </c>
      <c r="F658" s="42">
        <v>1</v>
      </c>
      <c r="G658" s="31" t="inlineStr">
        <is>
          <t xml:space="preserve">Connolly</t>
        </is>
      </c>
      <c r="H658" s="31" t="inlineStr">
        <is>
          <t xml:space="preserve">Jackson</t>
        </is>
      </c>
      <c r="I658" s="31" t="inlineStr">
        <is>
          <t xml:space="preserve">Connolly</t>
        </is>
      </c>
      <c r="J658" s="31" t="inlineStr">
        <is>
          <t xml:space="preserve">Lynch</t>
        </is>
      </c>
      <c r="K658" s="31" t="inlineStr">
        <is>
          <t xml:space="preserve">Snyder</t>
        </is>
      </c>
      <c r="L658" s="42">
        <v>0</v>
      </c>
      <c r="M658" s="42">
        <v>0</v>
      </c>
      <c r="N658" s="31" t="inlineStr">
        <is>
          <t xml:space="preserve">Even</t>
        </is>
      </c>
      <c r="O658" s="42">
        <v>0.5</v>
      </c>
      <c r="P658" s="42">
        <v>0.5</v>
      </c>
      <c r="Q658" s="42">
        <v>0</v>
      </c>
      <c r="R658" s="31" t="inlineStr">
        <is>
          <t xml:space="preserve">FBC 12/Handicaps (FBC 12).xlsx</t>
        </is>
      </c>
    </row>
    <row r="659" spans="1:18">
      <c r="A659" s="43">
        <v>12</v>
      </c>
      <c r="B659" s="34" t="inlineStr">
        <is>
          <t xml:space="preserve">FBC12-D20</t>
        </is>
      </c>
      <c r="C659" s="34" t="inlineStr">
        <is>
          <t xml:space="preserve">Scramble</t>
        </is>
      </c>
      <c r="D659" s="34" t="inlineStr">
        <is>
          <t xml:space="preserve">Scramble</t>
        </is>
      </c>
      <c r="E659" s="43">
        <v>9</v>
      </c>
      <c r="F659" s="45">
        <v>1</v>
      </c>
      <c r="G659" s="34" t="inlineStr">
        <is>
          <t xml:space="preserve">Grise</t>
        </is>
      </c>
      <c r="H659" s="34" t="inlineStr">
        <is>
          <t xml:space="preserve">Lynch</t>
        </is>
      </c>
      <c r="I659" s="34" t="inlineStr">
        <is>
          <t xml:space="preserve">Snyder</t>
        </is>
      </c>
      <c r="J659" s="34" t="inlineStr">
        <is>
          <t xml:space="preserve">Jackson</t>
        </is>
      </c>
      <c r="K659" s="34" t="inlineStr">
        <is>
          <t xml:space="preserve">Connolly</t>
        </is>
      </c>
      <c r="L659" s="45">
        <v>0</v>
      </c>
      <c r="M659" s="45">
        <v>0</v>
      </c>
      <c r="N659" s="34" t="inlineStr">
        <is>
          <t xml:space="preserve">Even</t>
        </is>
      </c>
      <c r="O659" s="45">
        <v>0.5</v>
      </c>
      <c r="P659" s="45">
        <v>0.5</v>
      </c>
      <c r="Q659" s="45">
        <v>0</v>
      </c>
      <c r="R659" s="34" t="inlineStr">
        <is>
          <t xml:space="preserve">FBC 12/Handicaps (FBC 12).xlsx</t>
        </is>
      </c>
    </row>
    <row r="660" spans="1:18">
      <c r="A660" s="40">
        <v>12</v>
      </c>
      <c r="B660" s="31" t="inlineStr">
        <is>
          <t xml:space="preserve">FBC12-D21</t>
        </is>
      </c>
      <c r="C660" s="31" t="inlineStr">
        <is>
          <t xml:space="preserve">Best Ball</t>
        </is>
      </c>
      <c r="D660" s="31" t="inlineStr">
        <is>
          <t xml:space="preserve">Four-ball</t>
        </is>
      </c>
      <c r="E660" s="40">
        <v>9</v>
      </c>
      <c r="F660" s="42">
        <v>1</v>
      </c>
      <c r="G660" s="31" t="inlineStr">
        <is>
          <t xml:space="preserve">Connolly</t>
        </is>
      </c>
      <c r="H660" s="31" t="inlineStr">
        <is>
          <t xml:space="preserve">Delneky</t>
        </is>
      </c>
      <c r="I660" s="31" t="inlineStr">
        <is>
          <t xml:space="preserve">Zimmer</t>
        </is>
      </c>
      <c r="J660" s="31" t="inlineStr">
        <is>
          <t xml:space="preserve">Hilts</t>
        </is>
      </c>
      <c r="K660" s="31" t="inlineStr">
        <is>
          <t xml:space="preserve">Poirier</t>
        </is>
      </c>
      <c r="L660" s="42">
        <v>3.5</v>
      </c>
      <c r="M660" s="42">
        <v>1.75</v>
      </c>
      <c r="N660" s="31" t="inlineStr">
        <is>
          <t xml:space="preserve">Getting</t>
        </is>
      </c>
      <c r="O660" s="42">
        <v>0</v>
      </c>
      <c r="P660" s="42">
        <v>0.431</v>
      </c>
      <c r="Q660" s="42">
        <v>-0.431</v>
      </c>
      <c r="R660" s="31" t="inlineStr">
        <is>
          <t xml:space="preserve">FBC 12/Handicaps (FBC 12).xlsx</t>
        </is>
      </c>
    </row>
    <row r="661" spans="1:18">
      <c r="A661" s="43">
        <v>12</v>
      </c>
      <c r="B661" s="34" t="inlineStr">
        <is>
          <t xml:space="preserve">FBC12-D21</t>
        </is>
      </c>
      <c r="C661" s="34" t="inlineStr">
        <is>
          <t xml:space="preserve">Best Ball</t>
        </is>
      </c>
      <c r="D661" s="34" t="inlineStr">
        <is>
          <t xml:space="preserve">Four-ball</t>
        </is>
      </c>
      <c r="E661" s="43">
        <v>9</v>
      </c>
      <c r="F661" s="45">
        <v>1</v>
      </c>
      <c r="G661" s="34" t="inlineStr">
        <is>
          <t xml:space="preserve">Grise</t>
        </is>
      </c>
      <c r="H661" s="34" t="inlineStr">
        <is>
          <t xml:space="preserve">Hilts</t>
        </is>
      </c>
      <c r="I661" s="34" t="inlineStr">
        <is>
          <t xml:space="preserve">Poirier</t>
        </is>
      </c>
      <c r="J661" s="34" t="inlineStr">
        <is>
          <t xml:space="preserve">Delneky</t>
        </is>
      </c>
      <c r="K661" s="34" t="inlineStr">
        <is>
          <t xml:space="preserve">Zimmer</t>
        </is>
      </c>
      <c r="L661" s="45">
        <v>-3.5</v>
      </c>
      <c r="M661" s="45">
        <v>-1.75</v>
      </c>
      <c r="N661" s="34" t="inlineStr">
        <is>
          <t xml:space="preserve">Giving</t>
        </is>
      </c>
      <c r="O661" s="45">
        <v>1</v>
      </c>
      <c r="P661" s="45">
        <v>0.569</v>
      </c>
      <c r="Q661" s="45">
        <v>0.431</v>
      </c>
      <c r="R661" s="34" t="inlineStr">
        <is>
          <t xml:space="preserve">FBC 12/Handicaps (FBC 12).xlsx</t>
        </is>
      </c>
    </row>
    <row r="662" spans="1:18">
      <c r="A662" s="40">
        <v>12</v>
      </c>
      <c r="B662" s="31" t="inlineStr">
        <is>
          <t xml:space="preserve">FBC12-D22</t>
        </is>
      </c>
      <c r="C662" s="31" t="inlineStr">
        <is>
          <t xml:space="preserve">Best Ball</t>
        </is>
      </c>
      <c r="D662" s="31" t="inlineStr">
        <is>
          <t xml:space="preserve">Four-ball</t>
        </is>
      </c>
      <c r="E662" s="40">
        <v>9</v>
      </c>
      <c r="F662" s="42">
        <v>1</v>
      </c>
      <c r="G662" s="31" t="inlineStr">
        <is>
          <t xml:space="preserve">Connolly</t>
        </is>
      </c>
      <c r="H662" s="31" t="inlineStr">
        <is>
          <t xml:space="preserve">Fogan</t>
        </is>
      </c>
      <c r="I662" s="31" t="inlineStr">
        <is>
          <t xml:space="preserve">Piegari</t>
        </is>
      </c>
      <c r="J662" s="31" t="inlineStr">
        <is>
          <t xml:space="preserve">Grise</t>
        </is>
      </c>
      <c r="K662" s="31" t="inlineStr">
        <is>
          <t xml:space="preserve">Snyder</t>
        </is>
      </c>
      <c r="L662" s="42">
        <v>4</v>
      </c>
      <c r="M662" s="42">
        <v>2</v>
      </c>
      <c r="N662" s="31" t="inlineStr">
        <is>
          <t xml:space="preserve">Getting</t>
        </is>
      </c>
      <c r="O662" s="42">
        <v>0</v>
      </c>
      <c r="P662" s="42">
        <v>0.433</v>
      </c>
      <c r="Q662" s="42">
        <v>-0.433</v>
      </c>
      <c r="R662" s="31" t="inlineStr">
        <is>
          <t xml:space="preserve">FBC 12/Handicaps (FBC 12).xlsx</t>
        </is>
      </c>
    </row>
    <row r="663" spans="1:18">
      <c r="A663" s="43">
        <v>12</v>
      </c>
      <c r="B663" s="34" t="inlineStr">
        <is>
          <t xml:space="preserve">FBC12-D22</t>
        </is>
      </c>
      <c r="C663" s="34" t="inlineStr">
        <is>
          <t xml:space="preserve">Best Ball</t>
        </is>
      </c>
      <c r="D663" s="34" t="inlineStr">
        <is>
          <t xml:space="preserve">Four-ball</t>
        </is>
      </c>
      <c r="E663" s="43">
        <v>9</v>
      </c>
      <c r="F663" s="45">
        <v>1</v>
      </c>
      <c r="G663" s="34" t="inlineStr">
        <is>
          <t xml:space="preserve">Grise</t>
        </is>
      </c>
      <c r="H663" s="34" t="inlineStr">
        <is>
          <t xml:space="preserve">Grise</t>
        </is>
      </c>
      <c r="I663" s="34" t="inlineStr">
        <is>
          <t xml:space="preserve">Snyder</t>
        </is>
      </c>
      <c r="J663" s="34" t="inlineStr">
        <is>
          <t xml:space="preserve">Fogan</t>
        </is>
      </c>
      <c r="K663" s="34" t="inlineStr">
        <is>
          <t xml:space="preserve">Piegari</t>
        </is>
      </c>
      <c r="L663" s="45">
        <v>-4</v>
      </c>
      <c r="M663" s="45">
        <v>-2</v>
      </c>
      <c r="N663" s="34" t="inlineStr">
        <is>
          <t xml:space="preserve">Giving</t>
        </is>
      </c>
      <c r="O663" s="45">
        <v>1</v>
      </c>
      <c r="P663" s="45">
        <v>0.567</v>
      </c>
      <c r="Q663" s="45">
        <v>0.433</v>
      </c>
      <c r="R663" s="34" t="inlineStr">
        <is>
          <t xml:space="preserve">FBC 12/Handicaps (FBC 12).xlsx</t>
        </is>
      </c>
    </row>
    <row r="664" spans="1:18">
      <c r="A664" s="40">
        <v>12</v>
      </c>
      <c r="B664" s="31" t="inlineStr">
        <is>
          <t xml:space="preserve">FBC12-D23</t>
        </is>
      </c>
      <c r="C664" s="31" t="inlineStr">
        <is>
          <t xml:space="preserve">Best Ball</t>
        </is>
      </c>
      <c r="D664" s="31" t="inlineStr">
        <is>
          <t xml:space="preserve">Four-ball</t>
        </is>
      </c>
      <c r="E664" s="40">
        <v>9</v>
      </c>
      <c r="F664" s="42">
        <v>1</v>
      </c>
      <c r="G664" s="31" t="inlineStr">
        <is>
          <t xml:space="preserve">Connolly</t>
        </is>
      </c>
      <c r="H664" s="31" t="inlineStr">
        <is>
          <t xml:space="preserve">Connolly</t>
        </is>
      </c>
      <c r="I664" s="31" t="inlineStr">
        <is>
          <t xml:space="preserve">Ferrin</t>
        </is>
      </c>
      <c r="J664" s="31" t="inlineStr">
        <is>
          <t xml:space="preserve">Shively</t>
        </is>
      </c>
      <c r="K664" s="31" t="inlineStr">
        <is>
          <t xml:space="preserve">Forster</t>
        </is>
      </c>
      <c r="L664" s="42">
        <v>-2.5</v>
      </c>
      <c r="M664" s="42">
        <v>-1.25</v>
      </c>
      <c r="N664" s="31" t="inlineStr">
        <is>
          <t xml:space="preserve">Giving</t>
        </is>
      </c>
      <c r="O664" s="42">
        <v>0</v>
      </c>
      <c r="P664" s="42">
        <v>0.572</v>
      </c>
      <c r="Q664" s="42">
        <v>-0.572</v>
      </c>
      <c r="R664" s="31" t="inlineStr">
        <is>
          <t xml:space="preserve">FBC 12/Handicaps (FBC 12).xlsx</t>
        </is>
      </c>
    </row>
    <row r="665" spans="1:18">
      <c r="A665" s="43">
        <v>12</v>
      </c>
      <c r="B665" s="34" t="inlineStr">
        <is>
          <t xml:space="preserve">FBC12-D23</t>
        </is>
      </c>
      <c r="C665" s="34" t="inlineStr">
        <is>
          <t xml:space="preserve">Best Ball</t>
        </is>
      </c>
      <c r="D665" s="34" t="inlineStr">
        <is>
          <t xml:space="preserve">Four-ball</t>
        </is>
      </c>
      <c r="E665" s="43">
        <v>9</v>
      </c>
      <c r="F665" s="45">
        <v>1</v>
      </c>
      <c r="G665" s="34" t="inlineStr">
        <is>
          <t xml:space="preserve">Grise</t>
        </is>
      </c>
      <c r="H665" s="34" t="inlineStr">
        <is>
          <t xml:space="preserve">Shively</t>
        </is>
      </c>
      <c r="I665" s="34" t="inlineStr">
        <is>
          <t xml:space="preserve">Forster</t>
        </is>
      </c>
      <c r="J665" s="34" t="inlineStr">
        <is>
          <t xml:space="preserve">Connolly</t>
        </is>
      </c>
      <c r="K665" s="34" t="inlineStr">
        <is>
          <t xml:space="preserve">Ferrin</t>
        </is>
      </c>
      <c r="L665" s="45">
        <v>2.5</v>
      </c>
      <c r="M665" s="45">
        <v>1.25</v>
      </c>
      <c r="N665" s="34" t="inlineStr">
        <is>
          <t xml:space="preserve">Getting</t>
        </is>
      </c>
      <c r="O665" s="45">
        <v>1</v>
      </c>
      <c r="P665" s="45">
        <v>0.428</v>
      </c>
      <c r="Q665" s="45">
        <v>0.572</v>
      </c>
      <c r="R665" s="34" t="inlineStr">
        <is>
          <t xml:space="preserve">FBC 12/Handicaps (FBC 12).xlsx</t>
        </is>
      </c>
    </row>
    <row r="666" spans="1:18">
      <c r="A666" s="40">
        <v>12</v>
      </c>
      <c r="B666" s="31" t="inlineStr">
        <is>
          <t xml:space="preserve">FBC12-D24</t>
        </is>
      </c>
      <c r="C666" s="31" t="inlineStr">
        <is>
          <t xml:space="preserve">Best Ball</t>
        </is>
      </c>
      <c r="D666" s="31" t="inlineStr">
        <is>
          <t xml:space="preserve">Four-ball</t>
        </is>
      </c>
      <c r="E666" s="40">
        <v>9</v>
      </c>
      <c r="F666" s="42">
        <v>1</v>
      </c>
      <c r="G666" s="31" t="inlineStr">
        <is>
          <t xml:space="preserve">Connolly</t>
        </is>
      </c>
      <c r="H666" s="31" t="inlineStr">
        <is>
          <t xml:space="preserve">DeOteris</t>
        </is>
      </c>
      <c r="I666" s="31" t="inlineStr">
        <is>
          <t xml:space="preserve">Delaney</t>
        </is>
      </c>
      <c r="J666" s="31" t="inlineStr">
        <is>
          <t xml:space="preserve">Flanders</t>
        </is>
      </c>
      <c r="K666" s="31" t="inlineStr">
        <is>
          <t xml:space="preserve">Mangold</t>
        </is>
      </c>
      <c r="L666" s="42">
        <v>1.5</v>
      </c>
      <c r="M666" s="42">
        <v>0.75</v>
      </c>
      <c r="N666" s="31" t="inlineStr">
        <is>
          <t xml:space="preserve">Getting</t>
        </is>
      </c>
      <c r="O666" s="42">
        <v>0</v>
      </c>
      <c r="P666" s="42">
        <v>0.425</v>
      </c>
      <c r="Q666" s="42">
        <v>-0.425</v>
      </c>
      <c r="R666" s="31" t="inlineStr">
        <is>
          <t xml:space="preserve">FBC 12/Handicaps (FBC 12).xlsx</t>
        </is>
      </c>
    </row>
    <row r="667" spans="1:18">
      <c r="A667" s="43">
        <v>12</v>
      </c>
      <c r="B667" s="34" t="inlineStr">
        <is>
          <t xml:space="preserve">FBC12-D24</t>
        </is>
      </c>
      <c r="C667" s="34" t="inlineStr">
        <is>
          <t xml:space="preserve">Best Ball</t>
        </is>
      </c>
      <c r="D667" s="34" t="inlineStr">
        <is>
          <t xml:space="preserve">Four-ball</t>
        </is>
      </c>
      <c r="E667" s="43">
        <v>9</v>
      </c>
      <c r="F667" s="45">
        <v>1</v>
      </c>
      <c r="G667" s="34" t="inlineStr">
        <is>
          <t xml:space="preserve">Grise</t>
        </is>
      </c>
      <c r="H667" s="34" t="inlineStr">
        <is>
          <t xml:space="preserve">Flanders</t>
        </is>
      </c>
      <c r="I667" s="34" t="inlineStr">
        <is>
          <t xml:space="preserve">Mangold</t>
        </is>
      </c>
      <c r="J667" s="34" t="inlineStr">
        <is>
          <t xml:space="preserve">DeOteris</t>
        </is>
      </c>
      <c r="K667" s="34" t="inlineStr">
        <is>
          <t xml:space="preserve">Delaney</t>
        </is>
      </c>
      <c r="L667" s="45">
        <v>-1.5</v>
      </c>
      <c r="M667" s="45">
        <v>-0.75</v>
      </c>
      <c r="N667" s="34" t="inlineStr">
        <is>
          <t xml:space="preserve">Giving</t>
        </is>
      </c>
      <c r="O667" s="45">
        <v>1</v>
      </c>
      <c r="P667" s="45">
        <v>0.575</v>
      </c>
      <c r="Q667" s="45">
        <v>0.425</v>
      </c>
      <c r="R667" s="34" t="inlineStr">
        <is>
          <t xml:space="preserve">FBC 12/Handicaps (FBC 12).xlsx</t>
        </is>
      </c>
    </row>
    <row r="668" spans="1:18">
      <c r="A668" s="40">
        <v>12</v>
      </c>
      <c r="B668" s="31" t="inlineStr">
        <is>
          <t xml:space="preserve">FBC12-D25</t>
        </is>
      </c>
      <c r="C668" s="31" t="inlineStr">
        <is>
          <t xml:space="preserve">Best Ball</t>
        </is>
      </c>
      <c r="D668" s="31" t="inlineStr">
        <is>
          <t xml:space="preserve">Four-ball</t>
        </is>
      </c>
      <c r="E668" s="40">
        <v>9</v>
      </c>
      <c r="F668" s="42">
        <v>1</v>
      </c>
      <c r="G668" s="31" t="inlineStr">
        <is>
          <t xml:space="preserve">Connolly</t>
        </is>
      </c>
      <c r="H668" s="31" t="inlineStr">
        <is>
          <t xml:space="preserve">R. Connolly</t>
        </is>
      </c>
      <c r="I668" s="31" t="inlineStr">
        <is>
          <t xml:space="preserve">Jackson</t>
        </is>
      </c>
      <c r="J668" s="31" t="inlineStr">
        <is>
          <t xml:space="preserve">Perkins</t>
        </is>
      </c>
      <c r="K668" s="31" t="inlineStr">
        <is>
          <t xml:space="preserve">Lynch</t>
        </is>
      </c>
      <c r="L668" s="42">
        <v>0</v>
      </c>
      <c r="M668" s="42">
        <v>0</v>
      </c>
      <c r="N668" s="31" t="inlineStr">
        <is>
          <t xml:space="preserve">Even</t>
        </is>
      </c>
      <c r="O668" s="42">
        <v>1</v>
      </c>
      <c r="P668" s="42">
        <v>0.5</v>
      </c>
      <c r="Q668" s="42">
        <v>0.5</v>
      </c>
      <c r="R668" s="31" t="inlineStr">
        <is>
          <t xml:space="preserve">FBC 12/Handicaps (FBC 12).xlsx</t>
        </is>
      </c>
    </row>
    <row r="669" spans="1:18">
      <c r="A669" s="43">
        <v>12</v>
      </c>
      <c r="B669" s="34" t="inlineStr">
        <is>
          <t xml:space="preserve">FBC12-D25</t>
        </is>
      </c>
      <c r="C669" s="34" t="inlineStr">
        <is>
          <t xml:space="preserve">Best Ball</t>
        </is>
      </c>
      <c r="D669" s="34" t="inlineStr">
        <is>
          <t xml:space="preserve">Four-ball</t>
        </is>
      </c>
      <c r="E669" s="43">
        <v>9</v>
      </c>
      <c r="F669" s="45">
        <v>1</v>
      </c>
      <c r="G669" s="34" t="inlineStr">
        <is>
          <t xml:space="preserve">Grise</t>
        </is>
      </c>
      <c r="H669" s="34" t="inlineStr">
        <is>
          <t xml:space="preserve">Perkins</t>
        </is>
      </c>
      <c r="I669" s="34" t="inlineStr">
        <is>
          <t xml:space="preserve">Lynch</t>
        </is>
      </c>
      <c r="J669" s="34" t="inlineStr">
        <is>
          <t xml:space="preserve">R. Connolly</t>
        </is>
      </c>
      <c r="K669" s="34" t="inlineStr">
        <is>
          <t xml:space="preserve">Jackson</t>
        </is>
      </c>
      <c r="L669" s="45">
        <v>0</v>
      </c>
      <c r="M669" s="45">
        <v>0</v>
      </c>
      <c r="N669" s="34" t="inlineStr">
        <is>
          <t xml:space="preserve">Even</t>
        </is>
      </c>
      <c r="O669" s="45">
        <v>0</v>
      </c>
      <c r="P669" s="45">
        <v>0.5</v>
      </c>
      <c r="Q669" s="45">
        <v>-0.5</v>
      </c>
      <c r="R669" s="34" t="inlineStr">
        <is>
          <t xml:space="preserve">FBC 12/Handicaps (FBC 12).xlsx</t>
        </is>
      </c>
    </row>
    <row r="670" spans="1:18">
      <c r="A670" s="40">
        <v>12</v>
      </c>
      <c r="B670" s="31" t="inlineStr">
        <is>
          <t xml:space="preserve">FBC12-D26</t>
        </is>
      </c>
      <c r="C670" s="31" t="inlineStr">
        <is>
          <t xml:space="preserve">Vegas</t>
        </is>
      </c>
      <c r="D670" s="31" t="inlineStr">
        <is>
          <t xml:space="preserve">Four-ball</t>
        </is>
      </c>
      <c r="E670" s="40">
        <v>9</v>
      </c>
      <c r="F670" s="42">
        <v>1</v>
      </c>
      <c r="G670" s="31" t="inlineStr">
        <is>
          <t xml:space="preserve">Connolly</t>
        </is>
      </c>
      <c r="H670" s="31" t="inlineStr">
        <is>
          <t xml:space="preserve">Delneky</t>
        </is>
      </c>
      <c r="I670" s="31" t="inlineStr">
        <is>
          <t xml:space="preserve">Zimmer</t>
        </is>
      </c>
      <c r="J670" s="31" t="inlineStr">
        <is>
          <t xml:space="preserve">Hilts</t>
        </is>
      </c>
      <c r="K670" s="31" t="inlineStr">
        <is>
          <t xml:space="preserve">Poirier</t>
        </is>
      </c>
      <c r="L670" s="42">
        <v>3.5</v>
      </c>
      <c r="M670" s="42">
        <v>1.75</v>
      </c>
      <c r="N670" s="31" t="inlineStr">
        <is>
          <t xml:space="preserve">Getting</t>
        </is>
      </c>
      <c r="O670" s="42">
        <v>1</v>
      </c>
      <c r="P670" s="42">
        <v>0.431</v>
      </c>
      <c r="Q670" s="42">
        <v>0.569</v>
      </c>
      <c r="R670" s="31" t="inlineStr">
        <is>
          <t xml:space="preserve">FBC 12/Handicaps (FBC 12).xlsx</t>
        </is>
      </c>
    </row>
    <row r="671" spans="1:18">
      <c r="A671" s="43">
        <v>12</v>
      </c>
      <c r="B671" s="34" t="inlineStr">
        <is>
          <t xml:space="preserve">FBC12-D26</t>
        </is>
      </c>
      <c r="C671" s="34" t="inlineStr">
        <is>
          <t xml:space="preserve">Vegas</t>
        </is>
      </c>
      <c r="D671" s="34" t="inlineStr">
        <is>
          <t xml:space="preserve">Four-ball</t>
        </is>
      </c>
      <c r="E671" s="43">
        <v>9</v>
      </c>
      <c r="F671" s="45">
        <v>1</v>
      </c>
      <c r="G671" s="34" t="inlineStr">
        <is>
          <t xml:space="preserve">Grise</t>
        </is>
      </c>
      <c r="H671" s="34" t="inlineStr">
        <is>
          <t xml:space="preserve">Hilts</t>
        </is>
      </c>
      <c r="I671" s="34" t="inlineStr">
        <is>
          <t xml:space="preserve">Poirier</t>
        </is>
      </c>
      <c r="J671" s="34" t="inlineStr">
        <is>
          <t xml:space="preserve">Delneky</t>
        </is>
      </c>
      <c r="K671" s="34" t="inlineStr">
        <is>
          <t xml:space="preserve">Zimmer</t>
        </is>
      </c>
      <c r="L671" s="45">
        <v>-3.5</v>
      </c>
      <c r="M671" s="45">
        <v>-1.75</v>
      </c>
      <c r="N671" s="34" t="inlineStr">
        <is>
          <t xml:space="preserve">Giving</t>
        </is>
      </c>
      <c r="O671" s="45">
        <v>0</v>
      </c>
      <c r="P671" s="45">
        <v>0.569</v>
      </c>
      <c r="Q671" s="45">
        <v>-0.569</v>
      </c>
      <c r="R671" s="34" t="inlineStr">
        <is>
          <t xml:space="preserve">FBC 12/Handicaps (FBC 12).xlsx</t>
        </is>
      </c>
    </row>
    <row r="672" spans="1:18">
      <c r="A672" s="40">
        <v>12</v>
      </c>
      <c r="B672" s="31" t="inlineStr">
        <is>
          <t xml:space="preserve">FBC12-D27</t>
        </is>
      </c>
      <c r="C672" s="31" t="inlineStr">
        <is>
          <t xml:space="preserve">Vegas</t>
        </is>
      </c>
      <c r="D672" s="31" t="inlineStr">
        <is>
          <t xml:space="preserve">Four-ball</t>
        </is>
      </c>
      <c r="E672" s="40">
        <v>9</v>
      </c>
      <c r="F672" s="42">
        <v>1</v>
      </c>
      <c r="G672" s="31" t="inlineStr">
        <is>
          <t xml:space="preserve">Connolly</t>
        </is>
      </c>
      <c r="H672" s="31" t="inlineStr">
        <is>
          <t xml:space="preserve">Fogan</t>
        </is>
      </c>
      <c r="I672" s="31" t="inlineStr">
        <is>
          <t xml:space="preserve">Piegari</t>
        </is>
      </c>
      <c r="J672" s="31" t="inlineStr">
        <is>
          <t xml:space="preserve">Grise</t>
        </is>
      </c>
      <c r="K672" s="31" t="inlineStr">
        <is>
          <t xml:space="preserve">Snyder</t>
        </is>
      </c>
      <c r="L672" s="42">
        <v>4</v>
      </c>
      <c r="M672" s="42">
        <v>2</v>
      </c>
      <c r="N672" s="31" t="inlineStr">
        <is>
          <t xml:space="preserve">Getting</t>
        </is>
      </c>
      <c r="O672" s="42">
        <v>0.5</v>
      </c>
      <c r="P672" s="42">
        <v>0.433</v>
      </c>
      <c r="Q672" s="42">
        <v>0.067</v>
      </c>
      <c r="R672" s="31" t="inlineStr">
        <is>
          <t xml:space="preserve">FBC 12/Handicaps (FBC 12).xlsx</t>
        </is>
      </c>
    </row>
    <row r="673" spans="1:18">
      <c r="A673" s="43">
        <v>12</v>
      </c>
      <c r="B673" s="34" t="inlineStr">
        <is>
          <t xml:space="preserve">FBC12-D27</t>
        </is>
      </c>
      <c r="C673" s="34" t="inlineStr">
        <is>
          <t xml:space="preserve">Vegas</t>
        </is>
      </c>
      <c r="D673" s="34" t="inlineStr">
        <is>
          <t xml:space="preserve">Four-ball</t>
        </is>
      </c>
      <c r="E673" s="43">
        <v>9</v>
      </c>
      <c r="F673" s="45">
        <v>1</v>
      </c>
      <c r="G673" s="34" t="inlineStr">
        <is>
          <t xml:space="preserve">Grise</t>
        </is>
      </c>
      <c r="H673" s="34" t="inlineStr">
        <is>
          <t xml:space="preserve">Grise</t>
        </is>
      </c>
      <c r="I673" s="34" t="inlineStr">
        <is>
          <t xml:space="preserve">Snyder</t>
        </is>
      </c>
      <c r="J673" s="34" t="inlineStr">
        <is>
          <t xml:space="preserve">Fogan</t>
        </is>
      </c>
      <c r="K673" s="34" t="inlineStr">
        <is>
          <t xml:space="preserve">Piegari</t>
        </is>
      </c>
      <c r="L673" s="45">
        <v>-4</v>
      </c>
      <c r="M673" s="45">
        <v>-2</v>
      </c>
      <c r="N673" s="34" t="inlineStr">
        <is>
          <t xml:space="preserve">Giving</t>
        </is>
      </c>
      <c r="O673" s="45">
        <v>0.5</v>
      </c>
      <c r="P673" s="45">
        <v>0.567</v>
      </c>
      <c r="Q673" s="45">
        <v>-0.067</v>
      </c>
      <c r="R673" s="34" t="inlineStr">
        <is>
          <t xml:space="preserve">FBC 12/Handicaps (FBC 12).xlsx</t>
        </is>
      </c>
    </row>
    <row r="674" spans="1:18">
      <c r="A674" s="40">
        <v>12</v>
      </c>
      <c r="B674" s="31" t="inlineStr">
        <is>
          <t xml:space="preserve">FBC12-D28</t>
        </is>
      </c>
      <c r="C674" s="31" t="inlineStr">
        <is>
          <t xml:space="preserve">Vegas</t>
        </is>
      </c>
      <c r="D674" s="31" t="inlineStr">
        <is>
          <t xml:space="preserve">Four-ball</t>
        </is>
      </c>
      <c r="E674" s="40">
        <v>9</v>
      </c>
      <c r="F674" s="42">
        <v>1</v>
      </c>
      <c r="G674" s="31" t="inlineStr">
        <is>
          <t xml:space="preserve">Connolly</t>
        </is>
      </c>
      <c r="H674" s="31" t="inlineStr">
        <is>
          <t xml:space="preserve">Connolly</t>
        </is>
      </c>
      <c r="I674" s="31" t="inlineStr">
        <is>
          <t xml:space="preserve">Ferrin</t>
        </is>
      </c>
      <c r="J674" s="31" t="inlineStr">
        <is>
          <t xml:space="preserve">Shively</t>
        </is>
      </c>
      <c r="K674" s="31" t="inlineStr">
        <is>
          <t xml:space="preserve">Forster</t>
        </is>
      </c>
      <c r="L674" s="42">
        <v>-2.5</v>
      </c>
      <c r="M674" s="42">
        <v>-1.25</v>
      </c>
      <c r="N674" s="31" t="inlineStr">
        <is>
          <t xml:space="preserve">Giving</t>
        </is>
      </c>
      <c r="O674" s="42">
        <v>1</v>
      </c>
      <c r="P674" s="42">
        <v>0.572</v>
      </c>
      <c r="Q674" s="42">
        <v>0.428</v>
      </c>
      <c r="R674" s="31" t="inlineStr">
        <is>
          <t xml:space="preserve">FBC 12/Handicaps (FBC 12).xlsx</t>
        </is>
      </c>
    </row>
    <row r="675" spans="1:18">
      <c r="A675" s="43">
        <v>12</v>
      </c>
      <c r="B675" s="34" t="inlineStr">
        <is>
          <t xml:space="preserve">FBC12-D28</t>
        </is>
      </c>
      <c r="C675" s="34" t="inlineStr">
        <is>
          <t xml:space="preserve">Vegas</t>
        </is>
      </c>
      <c r="D675" s="34" t="inlineStr">
        <is>
          <t xml:space="preserve">Four-ball</t>
        </is>
      </c>
      <c r="E675" s="43">
        <v>9</v>
      </c>
      <c r="F675" s="45">
        <v>1</v>
      </c>
      <c r="G675" s="34" t="inlineStr">
        <is>
          <t xml:space="preserve">Grise</t>
        </is>
      </c>
      <c r="H675" s="34" t="inlineStr">
        <is>
          <t xml:space="preserve">Shively</t>
        </is>
      </c>
      <c r="I675" s="34" t="inlineStr">
        <is>
          <t xml:space="preserve">Forster</t>
        </is>
      </c>
      <c r="J675" s="34" t="inlineStr">
        <is>
          <t xml:space="preserve">Connolly</t>
        </is>
      </c>
      <c r="K675" s="34" t="inlineStr">
        <is>
          <t xml:space="preserve">Ferrin</t>
        </is>
      </c>
      <c r="L675" s="45">
        <v>2.5</v>
      </c>
      <c r="M675" s="45">
        <v>1.25</v>
      </c>
      <c r="N675" s="34" t="inlineStr">
        <is>
          <t xml:space="preserve">Getting</t>
        </is>
      </c>
      <c r="O675" s="45">
        <v>0</v>
      </c>
      <c r="P675" s="45">
        <v>0.428</v>
      </c>
      <c r="Q675" s="45">
        <v>-0.428</v>
      </c>
      <c r="R675" s="34" t="inlineStr">
        <is>
          <t xml:space="preserve">FBC 12/Handicaps (FBC 12).xlsx</t>
        </is>
      </c>
    </row>
    <row r="676" spans="1:18">
      <c r="A676" s="40">
        <v>12</v>
      </c>
      <c r="B676" s="31" t="inlineStr">
        <is>
          <t xml:space="preserve">FBC12-D29</t>
        </is>
      </c>
      <c r="C676" s="31" t="inlineStr">
        <is>
          <t xml:space="preserve">Vegas</t>
        </is>
      </c>
      <c r="D676" s="31" t="inlineStr">
        <is>
          <t xml:space="preserve">Four-ball</t>
        </is>
      </c>
      <c r="E676" s="40">
        <v>9</v>
      </c>
      <c r="F676" s="42">
        <v>1</v>
      </c>
      <c r="G676" s="31" t="inlineStr">
        <is>
          <t xml:space="preserve">Connolly</t>
        </is>
      </c>
      <c r="H676" s="31" t="inlineStr">
        <is>
          <t xml:space="preserve">DeOteris</t>
        </is>
      </c>
      <c r="I676" s="31" t="inlineStr">
        <is>
          <t xml:space="preserve">Delaney</t>
        </is>
      </c>
      <c r="J676" s="31" t="inlineStr">
        <is>
          <t xml:space="preserve">Flanders</t>
        </is>
      </c>
      <c r="K676" s="31" t="inlineStr">
        <is>
          <t xml:space="preserve">Mangold</t>
        </is>
      </c>
      <c r="L676" s="42">
        <v>1.5</v>
      </c>
      <c r="M676" s="42">
        <v>0.75</v>
      </c>
      <c r="N676" s="31" t="inlineStr">
        <is>
          <t xml:space="preserve">Getting</t>
        </is>
      </c>
      <c r="O676" s="42">
        <v>0</v>
      </c>
      <c r="P676" s="42">
        <v>0.425</v>
      </c>
      <c r="Q676" s="42">
        <v>-0.425</v>
      </c>
      <c r="R676" s="31" t="inlineStr">
        <is>
          <t xml:space="preserve">FBC 12/Handicaps (FBC 12).xlsx</t>
        </is>
      </c>
    </row>
    <row r="677" spans="1:18">
      <c r="A677" s="43">
        <v>12</v>
      </c>
      <c r="B677" s="34" t="inlineStr">
        <is>
          <t xml:space="preserve">FBC12-D29</t>
        </is>
      </c>
      <c r="C677" s="34" t="inlineStr">
        <is>
          <t xml:space="preserve">Vegas</t>
        </is>
      </c>
      <c r="D677" s="34" t="inlineStr">
        <is>
          <t xml:space="preserve">Four-ball</t>
        </is>
      </c>
      <c r="E677" s="43">
        <v>9</v>
      </c>
      <c r="F677" s="45">
        <v>1</v>
      </c>
      <c r="G677" s="34" t="inlineStr">
        <is>
          <t xml:space="preserve">Grise</t>
        </is>
      </c>
      <c r="H677" s="34" t="inlineStr">
        <is>
          <t xml:space="preserve">Flanders</t>
        </is>
      </c>
      <c r="I677" s="34" t="inlineStr">
        <is>
          <t xml:space="preserve">Mangold</t>
        </is>
      </c>
      <c r="J677" s="34" t="inlineStr">
        <is>
          <t xml:space="preserve">DeOteris</t>
        </is>
      </c>
      <c r="K677" s="34" t="inlineStr">
        <is>
          <t xml:space="preserve">Delaney</t>
        </is>
      </c>
      <c r="L677" s="45">
        <v>-1.5</v>
      </c>
      <c r="M677" s="45">
        <v>-0.75</v>
      </c>
      <c r="N677" s="34" t="inlineStr">
        <is>
          <t xml:space="preserve">Giving</t>
        </is>
      </c>
      <c r="O677" s="45">
        <v>1</v>
      </c>
      <c r="P677" s="45">
        <v>0.575</v>
      </c>
      <c r="Q677" s="45">
        <v>0.425</v>
      </c>
      <c r="R677" s="34" t="inlineStr">
        <is>
          <t xml:space="preserve">FBC 12/Handicaps (FBC 12).xlsx</t>
        </is>
      </c>
    </row>
    <row r="678" spans="1:18">
      <c r="A678" s="40">
        <v>12</v>
      </c>
      <c r="B678" s="31" t="inlineStr">
        <is>
          <t xml:space="preserve">FBC12-D30</t>
        </is>
      </c>
      <c r="C678" s="31" t="inlineStr">
        <is>
          <t xml:space="preserve">Vegas</t>
        </is>
      </c>
      <c r="D678" s="31" t="inlineStr">
        <is>
          <t xml:space="preserve">Four-ball</t>
        </is>
      </c>
      <c r="E678" s="40">
        <v>9</v>
      </c>
      <c r="F678" s="42">
        <v>1</v>
      </c>
      <c r="G678" s="31" t="inlineStr">
        <is>
          <t xml:space="preserve">Connolly</t>
        </is>
      </c>
      <c r="H678" s="31" t="inlineStr">
        <is>
          <t xml:space="preserve">R. Connolly</t>
        </is>
      </c>
      <c r="I678" s="31" t="inlineStr">
        <is>
          <t xml:space="preserve">Jackson</t>
        </is>
      </c>
      <c r="J678" s="31" t="inlineStr">
        <is>
          <t xml:space="preserve">Perkins</t>
        </is>
      </c>
      <c r="K678" s="31" t="inlineStr">
        <is>
          <t xml:space="preserve">Lynch</t>
        </is>
      </c>
      <c r="L678" s="42">
        <v>0</v>
      </c>
      <c r="M678" s="42">
        <v>0</v>
      </c>
      <c r="N678" s="31" t="inlineStr">
        <is>
          <t xml:space="preserve">Even</t>
        </is>
      </c>
      <c r="O678" s="42">
        <v>0</v>
      </c>
      <c r="P678" s="42">
        <v>0.5</v>
      </c>
      <c r="Q678" s="42">
        <v>-0.5</v>
      </c>
      <c r="R678" s="31" t="inlineStr">
        <is>
          <t xml:space="preserve">FBC 12/Handicaps (FBC 12).xlsx</t>
        </is>
      </c>
    </row>
    <row r="679" spans="1:18">
      <c r="A679" s="43">
        <v>12</v>
      </c>
      <c r="B679" s="34" t="inlineStr">
        <is>
          <t xml:space="preserve">FBC12-D30</t>
        </is>
      </c>
      <c r="C679" s="34" t="inlineStr">
        <is>
          <t xml:space="preserve">Vegas</t>
        </is>
      </c>
      <c r="D679" s="34" t="inlineStr">
        <is>
          <t xml:space="preserve">Four-ball</t>
        </is>
      </c>
      <c r="E679" s="43">
        <v>9</v>
      </c>
      <c r="F679" s="45">
        <v>1</v>
      </c>
      <c r="G679" s="34" t="inlineStr">
        <is>
          <t xml:space="preserve">Grise</t>
        </is>
      </c>
      <c r="H679" s="34" t="inlineStr">
        <is>
          <t xml:space="preserve">Perkins</t>
        </is>
      </c>
      <c r="I679" s="34" t="inlineStr">
        <is>
          <t xml:space="preserve">Lynch</t>
        </is>
      </c>
      <c r="J679" s="34" t="inlineStr">
        <is>
          <t xml:space="preserve">R. Connolly</t>
        </is>
      </c>
      <c r="K679" s="34" t="inlineStr">
        <is>
          <t xml:space="preserve">Jackson</t>
        </is>
      </c>
      <c r="L679" s="45">
        <v>0</v>
      </c>
      <c r="M679" s="45">
        <v>0</v>
      </c>
      <c r="N679" s="34" t="inlineStr">
        <is>
          <t xml:space="preserve">Even</t>
        </is>
      </c>
      <c r="O679" s="45">
        <v>1</v>
      </c>
      <c r="P679" s="45">
        <v>0.5</v>
      </c>
      <c r="Q679" s="45">
        <v>0.5</v>
      </c>
      <c r="R679" s="34" t="inlineStr">
        <is>
          <t xml:space="preserve">FBC 12/Handicaps (FBC 12).xlsx</t>
        </is>
      </c>
    </row>
    <row r="680" spans="1:18">
      <c r="A680" s="40">
        <v>12</v>
      </c>
      <c r="B680" s="31" t="inlineStr">
        <is>
          <t xml:space="preserve">FBC12-S-Connolly-Grise</t>
        </is>
      </c>
      <c r="C680" s="31" t="inlineStr">
        <is>
          <t xml:space="preserve">Match Play</t>
        </is>
      </c>
      <c r="D680" s="31" t="inlineStr">
        <is>
          <t xml:space="preserve">Singles</t>
        </is>
      </c>
      <c r="E680" s="40">
        <v>18</v>
      </c>
      <c r="F680" s="42">
        <v>2</v>
      </c>
      <c r="G680" s="31" t="inlineStr">
        <is>
          <t xml:space="preserve">Connolly</t>
        </is>
      </c>
      <c r="H680" s="31" t="inlineStr">
        <is>
          <t xml:space="preserve">Connolly</t>
        </is>
      </c>
      <c r="I680" s="31"/>
      <c r="J680" s="31" t="inlineStr">
        <is>
          <t xml:space="preserve">Grise</t>
        </is>
      </c>
      <c r="K680" s="31"/>
      <c r="L680" s="42">
        <v>-2.57</v>
      </c>
      <c r="M680" s="42">
        <v>-2.57</v>
      </c>
      <c r="N680" s="31" t="inlineStr">
        <is>
          <t xml:space="preserve">Giving</t>
        </is>
      </c>
      <c r="O680" s="42">
        <v>2</v>
      </c>
      <c r="P680" s="42">
        <v>1.111</v>
      </c>
      <c r="Q680" s="42">
        <v>0.889</v>
      </c>
      <c r="R680" s="31" t="inlineStr">
        <is>
          <t xml:space="preserve">Index x slope (Handicaps tab)</t>
        </is>
      </c>
    </row>
    <row r="681" spans="1:18">
      <c r="A681" s="43">
        <v>12</v>
      </c>
      <c r="B681" s="34" t="inlineStr">
        <is>
          <t xml:space="preserve">FBC12-S-Connolly-Grise</t>
        </is>
      </c>
      <c r="C681" s="34" t="inlineStr">
        <is>
          <t xml:space="preserve">Match Play</t>
        </is>
      </c>
      <c r="D681" s="34" t="inlineStr">
        <is>
          <t xml:space="preserve">Singles</t>
        </is>
      </c>
      <c r="E681" s="43">
        <v>18</v>
      </c>
      <c r="F681" s="45">
        <v>2</v>
      </c>
      <c r="G681" s="34" t="inlineStr">
        <is>
          <t xml:space="preserve">Grise</t>
        </is>
      </c>
      <c r="H681" s="34" t="inlineStr">
        <is>
          <t xml:space="preserve">Grise</t>
        </is>
      </c>
      <c r="I681" s="34"/>
      <c r="J681" s="34" t="inlineStr">
        <is>
          <t xml:space="preserve">Connolly</t>
        </is>
      </c>
      <c r="K681" s="34"/>
      <c r="L681" s="45">
        <v>2.57</v>
      </c>
      <c r="M681" s="45">
        <v>2.57</v>
      </c>
      <c r="N681" s="34" t="inlineStr">
        <is>
          <t xml:space="preserve">Getting</t>
        </is>
      </c>
      <c r="O681" s="45">
        <v>0</v>
      </c>
      <c r="P681" s="45">
        <v>0.889</v>
      </c>
      <c r="Q681" s="45">
        <v>-0.889</v>
      </c>
      <c r="R681" s="34" t="inlineStr">
        <is>
          <t xml:space="preserve">Index x slope (Handicaps tab)</t>
        </is>
      </c>
    </row>
    <row r="682" spans="1:18">
      <c r="A682" s="40">
        <v>12</v>
      </c>
      <c r="B682" s="31" t="inlineStr">
        <is>
          <t xml:space="preserve">FBC12-S-Delaney-Mangold</t>
        </is>
      </c>
      <c r="C682" s="31" t="inlineStr">
        <is>
          <t xml:space="preserve">Match Play</t>
        </is>
      </c>
      <c r="D682" s="31" t="inlineStr">
        <is>
          <t xml:space="preserve">Singles</t>
        </is>
      </c>
      <c r="E682" s="40">
        <v>18</v>
      </c>
      <c r="F682" s="42">
        <v>2</v>
      </c>
      <c r="G682" s="31" t="inlineStr">
        <is>
          <t xml:space="preserve">Connolly</t>
        </is>
      </c>
      <c r="H682" s="31" t="inlineStr">
        <is>
          <t xml:space="preserve">Delaney</t>
        </is>
      </c>
      <c r="I682" s="31"/>
      <c r="J682" s="31" t="inlineStr">
        <is>
          <t xml:space="preserve">Mangold</t>
        </is>
      </c>
      <c r="K682" s="31"/>
      <c r="L682" s="42">
        <v>-3.39</v>
      </c>
      <c r="M682" s="42">
        <v>-3.39</v>
      </c>
      <c r="N682" s="31" t="inlineStr">
        <is>
          <t xml:space="preserve">Giving</t>
        </is>
      </c>
      <c r="O682" s="42">
        <v>2</v>
      </c>
      <c r="P682" s="42">
        <v>1.095</v>
      </c>
      <c r="Q682" s="42">
        <v>0.905</v>
      </c>
      <c r="R682" s="31" t="inlineStr">
        <is>
          <t xml:space="preserve">Index x slope (Handicaps tab)</t>
        </is>
      </c>
    </row>
    <row r="683" spans="1:18">
      <c r="A683" s="43">
        <v>12</v>
      </c>
      <c r="B683" s="34" t="inlineStr">
        <is>
          <t xml:space="preserve">FBC12-S-Delaney-Mangold</t>
        </is>
      </c>
      <c r="C683" s="34" t="inlineStr">
        <is>
          <t xml:space="preserve">Match Play</t>
        </is>
      </c>
      <c r="D683" s="34" t="inlineStr">
        <is>
          <t xml:space="preserve">Singles</t>
        </is>
      </c>
      <c r="E683" s="43">
        <v>18</v>
      </c>
      <c r="F683" s="45">
        <v>2</v>
      </c>
      <c r="G683" s="34" t="inlineStr">
        <is>
          <t xml:space="preserve">Grise</t>
        </is>
      </c>
      <c r="H683" s="34" t="inlineStr">
        <is>
          <t xml:space="preserve">Mangold</t>
        </is>
      </c>
      <c r="I683" s="34"/>
      <c r="J683" s="34" t="inlineStr">
        <is>
          <t xml:space="preserve">Delaney</t>
        </is>
      </c>
      <c r="K683" s="34"/>
      <c r="L683" s="45">
        <v>3.39</v>
      </c>
      <c r="M683" s="45">
        <v>3.39</v>
      </c>
      <c r="N683" s="34" t="inlineStr">
        <is>
          <t xml:space="preserve">Getting</t>
        </is>
      </c>
      <c r="O683" s="45">
        <v>0</v>
      </c>
      <c r="P683" s="45">
        <v>0.905</v>
      </c>
      <c r="Q683" s="45">
        <v>-0.905</v>
      </c>
      <c r="R683" s="34" t="inlineStr">
        <is>
          <t xml:space="preserve">Index x slope (Handicaps tab)</t>
        </is>
      </c>
    </row>
    <row r="684" spans="1:18">
      <c r="A684" s="40">
        <v>12</v>
      </c>
      <c r="B684" s="31" t="inlineStr">
        <is>
          <t xml:space="preserve">FBC12-S-Delneky-Lynch</t>
        </is>
      </c>
      <c r="C684" s="31" t="inlineStr">
        <is>
          <t xml:space="preserve">Match Play</t>
        </is>
      </c>
      <c r="D684" s="31" t="inlineStr">
        <is>
          <t xml:space="preserve">Singles</t>
        </is>
      </c>
      <c r="E684" s="40">
        <v>18</v>
      </c>
      <c r="F684" s="42">
        <v>2</v>
      </c>
      <c r="G684" s="31" t="inlineStr">
        <is>
          <t xml:space="preserve">Connolly</t>
        </is>
      </c>
      <c r="H684" s="31" t="inlineStr">
        <is>
          <t xml:space="preserve">Delneky</t>
        </is>
      </c>
      <c r="I684" s="31"/>
      <c r="J684" s="31" t="inlineStr">
        <is>
          <t xml:space="preserve">Lynch</t>
        </is>
      </c>
      <c r="K684" s="31"/>
      <c r="L684" s="42">
        <v>10.4</v>
      </c>
      <c r="M684" s="42">
        <v>10.4</v>
      </c>
      <c r="N684" s="31" t="inlineStr">
        <is>
          <t xml:space="preserve">Getting</t>
        </is>
      </c>
      <c r="O684" s="42">
        <v>2</v>
      </c>
      <c r="P684" s="42">
        <v>1.042</v>
      </c>
      <c r="Q684" s="42">
        <v>0.958</v>
      </c>
      <c r="R684" s="31" t="inlineStr">
        <is>
          <t xml:space="preserve">Index x slope (Handicaps tab)</t>
        </is>
      </c>
    </row>
    <row r="685" spans="1:18">
      <c r="A685" s="43">
        <v>12</v>
      </c>
      <c r="B685" s="34" t="inlineStr">
        <is>
          <t xml:space="preserve">FBC12-S-Delneky-Lynch</t>
        </is>
      </c>
      <c r="C685" s="34" t="inlineStr">
        <is>
          <t xml:space="preserve">Match Play</t>
        </is>
      </c>
      <c r="D685" s="34" t="inlineStr">
        <is>
          <t xml:space="preserve">Singles</t>
        </is>
      </c>
      <c r="E685" s="43">
        <v>18</v>
      </c>
      <c r="F685" s="45">
        <v>2</v>
      </c>
      <c r="G685" s="34" t="inlineStr">
        <is>
          <t xml:space="preserve">Grise</t>
        </is>
      </c>
      <c r="H685" s="34" t="inlineStr">
        <is>
          <t xml:space="preserve">Lynch</t>
        </is>
      </c>
      <c r="I685" s="34"/>
      <c r="J685" s="34" t="inlineStr">
        <is>
          <t xml:space="preserve">Delneky</t>
        </is>
      </c>
      <c r="K685" s="34"/>
      <c r="L685" s="45">
        <v>-10.4</v>
      </c>
      <c r="M685" s="45">
        <v>-10.4</v>
      </c>
      <c r="N685" s="34" t="inlineStr">
        <is>
          <t xml:space="preserve">Giving</t>
        </is>
      </c>
      <c r="O685" s="45">
        <v>0</v>
      </c>
      <c r="P685" s="45">
        <v>0.958</v>
      </c>
      <c r="Q685" s="45">
        <v>-0.958</v>
      </c>
      <c r="R685" s="34" t="inlineStr">
        <is>
          <t xml:space="preserve">Index x slope (Handicaps tab)</t>
        </is>
      </c>
    </row>
    <row r="686" spans="1:18">
      <c r="A686" s="40">
        <v>12</v>
      </c>
      <c r="B686" s="31" t="inlineStr">
        <is>
          <t xml:space="preserve">FBC12-S-Ferrin-Hilts</t>
        </is>
      </c>
      <c r="C686" s="31" t="inlineStr">
        <is>
          <t xml:space="preserve">Match Play</t>
        </is>
      </c>
      <c r="D686" s="31" t="inlineStr">
        <is>
          <t xml:space="preserve">Singles</t>
        </is>
      </c>
      <c r="E686" s="40">
        <v>18</v>
      </c>
      <c r="F686" s="42">
        <v>2</v>
      </c>
      <c r="G686" s="31" t="inlineStr">
        <is>
          <t xml:space="preserve">Connolly</t>
        </is>
      </c>
      <c r="H686" s="31" t="inlineStr">
        <is>
          <t xml:space="preserve">Ferrin</t>
        </is>
      </c>
      <c r="I686" s="31"/>
      <c r="J686" s="31" t="inlineStr">
        <is>
          <t xml:space="preserve">Hilts</t>
        </is>
      </c>
      <c r="K686" s="31"/>
      <c r="L686" s="42">
        <v>-6.89</v>
      </c>
      <c r="M686" s="42">
        <v>-6.89</v>
      </c>
      <c r="N686" s="31" t="inlineStr">
        <is>
          <t xml:space="preserve">Giving</t>
        </is>
      </c>
      <c r="O686" s="42">
        <v>0</v>
      </c>
      <c r="P686" s="42">
        <v>1.027</v>
      </c>
      <c r="Q686" s="42">
        <v>-1.027</v>
      </c>
      <c r="R686" s="31" t="inlineStr">
        <is>
          <t xml:space="preserve">Index x slope (Handicaps tab)</t>
        </is>
      </c>
    </row>
    <row r="687" spans="1:18">
      <c r="A687" s="43">
        <v>12</v>
      </c>
      <c r="B687" s="34" t="inlineStr">
        <is>
          <t xml:space="preserve">FBC12-S-Ferrin-Hilts</t>
        </is>
      </c>
      <c r="C687" s="34" t="inlineStr">
        <is>
          <t xml:space="preserve">Match Play</t>
        </is>
      </c>
      <c r="D687" s="34" t="inlineStr">
        <is>
          <t xml:space="preserve">Singles</t>
        </is>
      </c>
      <c r="E687" s="43">
        <v>18</v>
      </c>
      <c r="F687" s="45">
        <v>2</v>
      </c>
      <c r="G687" s="34" t="inlineStr">
        <is>
          <t xml:space="preserve">Grise</t>
        </is>
      </c>
      <c r="H687" s="34" t="inlineStr">
        <is>
          <t xml:space="preserve">Hilts</t>
        </is>
      </c>
      <c r="I687" s="34"/>
      <c r="J687" s="34" t="inlineStr">
        <is>
          <t xml:space="preserve">Ferrin</t>
        </is>
      </c>
      <c r="K687" s="34"/>
      <c r="L687" s="45">
        <v>6.89</v>
      </c>
      <c r="M687" s="45">
        <v>6.89</v>
      </c>
      <c r="N687" s="34" t="inlineStr">
        <is>
          <t xml:space="preserve">Getting</t>
        </is>
      </c>
      <c r="O687" s="45">
        <v>2</v>
      </c>
      <c r="P687" s="45">
        <v>0.973</v>
      </c>
      <c r="Q687" s="45">
        <v>1.027</v>
      </c>
      <c r="R687" s="34" t="inlineStr">
        <is>
          <t xml:space="preserve">Index x slope (Handicaps tab)</t>
        </is>
      </c>
    </row>
    <row r="688" spans="1:18">
      <c r="A688" s="40">
        <v>12</v>
      </c>
      <c r="B688" s="31" t="inlineStr">
        <is>
          <t xml:space="preserve">FBC12-S-Flanders-Piegari</t>
        </is>
      </c>
      <c r="C688" s="31" t="inlineStr">
        <is>
          <t xml:space="preserve">Match Play</t>
        </is>
      </c>
      <c r="D688" s="31" t="inlineStr">
        <is>
          <t xml:space="preserve">Singles</t>
        </is>
      </c>
      <c r="E688" s="40">
        <v>18</v>
      </c>
      <c r="F688" s="42">
        <v>2</v>
      </c>
      <c r="G688" s="31" t="inlineStr">
        <is>
          <t xml:space="preserve">Connolly</t>
        </is>
      </c>
      <c r="H688" s="31" t="inlineStr">
        <is>
          <t xml:space="preserve">Piegari</t>
        </is>
      </c>
      <c r="I688" s="31"/>
      <c r="J688" s="31" t="inlineStr">
        <is>
          <t xml:space="preserve">Flanders</t>
        </is>
      </c>
      <c r="K688" s="31"/>
      <c r="L688" s="42">
        <v>2.69</v>
      </c>
      <c r="M688" s="42">
        <v>2.69</v>
      </c>
      <c r="N688" s="31" t="inlineStr">
        <is>
          <t xml:space="preserve">Getting</t>
        </is>
      </c>
      <c r="O688" s="42">
        <v>0</v>
      </c>
      <c r="P688" s="42">
        <v>0.891</v>
      </c>
      <c r="Q688" s="42">
        <v>-0.891</v>
      </c>
      <c r="R688" s="31" t="inlineStr">
        <is>
          <t xml:space="preserve">Index x slope (Handicaps tab)</t>
        </is>
      </c>
    </row>
    <row r="689" spans="1:18">
      <c r="A689" s="43">
        <v>12</v>
      </c>
      <c r="B689" s="34" t="inlineStr">
        <is>
          <t xml:space="preserve">FBC12-S-Flanders-Piegari</t>
        </is>
      </c>
      <c r="C689" s="34" t="inlineStr">
        <is>
          <t xml:space="preserve">Match Play</t>
        </is>
      </c>
      <c r="D689" s="34" t="inlineStr">
        <is>
          <t xml:space="preserve">Singles</t>
        </is>
      </c>
      <c r="E689" s="43">
        <v>18</v>
      </c>
      <c r="F689" s="45">
        <v>2</v>
      </c>
      <c r="G689" s="34" t="inlineStr">
        <is>
          <t xml:space="preserve">Grise</t>
        </is>
      </c>
      <c r="H689" s="34" t="inlineStr">
        <is>
          <t xml:space="preserve">Flanders</t>
        </is>
      </c>
      <c r="I689" s="34"/>
      <c r="J689" s="34" t="inlineStr">
        <is>
          <t xml:space="preserve">Piegari</t>
        </is>
      </c>
      <c r="K689" s="34"/>
      <c r="L689" s="45">
        <v>-2.69</v>
      </c>
      <c r="M689" s="45">
        <v>-2.69</v>
      </c>
      <c r="N689" s="34" t="inlineStr">
        <is>
          <t xml:space="preserve">Giving</t>
        </is>
      </c>
      <c r="O689" s="45">
        <v>2</v>
      </c>
      <c r="P689" s="45">
        <v>1.109</v>
      </c>
      <c r="Q689" s="45">
        <v>0.891</v>
      </c>
      <c r="R689" s="34" t="inlineStr">
        <is>
          <t xml:space="preserve">Index x slope (Handicaps tab)</t>
        </is>
      </c>
    </row>
    <row r="690" spans="1:18">
      <c r="A690" s="40">
        <v>12</v>
      </c>
      <c r="B690" s="31" t="inlineStr">
        <is>
          <t xml:space="preserve">FBC12-S-Fogan-Forster</t>
        </is>
      </c>
      <c r="C690" s="31" t="inlineStr">
        <is>
          <t xml:space="preserve">Match Play</t>
        </is>
      </c>
      <c r="D690" s="31" t="inlineStr">
        <is>
          <t xml:space="preserve">Singles</t>
        </is>
      </c>
      <c r="E690" s="40">
        <v>18</v>
      </c>
      <c r="F690" s="42">
        <v>2</v>
      </c>
      <c r="G690" s="31" t="inlineStr">
        <is>
          <t xml:space="preserve">Connolly</t>
        </is>
      </c>
      <c r="H690" s="31" t="inlineStr">
        <is>
          <t xml:space="preserve">Fogan</t>
        </is>
      </c>
      <c r="I690" s="31"/>
      <c r="J690" s="31" t="inlineStr">
        <is>
          <t xml:space="preserve">Forster</t>
        </is>
      </c>
      <c r="K690" s="31"/>
      <c r="L690" s="42">
        <v>7.59</v>
      </c>
      <c r="M690" s="42">
        <v>7.59</v>
      </c>
      <c r="N690" s="31" t="inlineStr">
        <is>
          <t xml:space="preserve">Getting</t>
        </is>
      </c>
      <c r="O690" s="42">
        <v>0</v>
      </c>
      <c r="P690" s="42">
        <v>0.987</v>
      </c>
      <c r="Q690" s="42">
        <v>-0.987</v>
      </c>
      <c r="R690" s="31" t="inlineStr">
        <is>
          <t xml:space="preserve">Index x slope (Handicaps tab)</t>
        </is>
      </c>
    </row>
    <row r="691" spans="1:18">
      <c r="A691" s="43">
        <v>12</v>
      </c>
      <c r="B691" s="34" t="inlineStr">
        <is>
          <t xml:space="preserve">FBC12-S-Fogan-Forster</t>
        </is>
      </c>
      <c r="C691" s="34" t="inlineStr">
        <is>
          <t xml:space="preserve">Match Play</t>
        </is>
      </c>
      <c r="D691" s="34" t="inlineStr">
        <is>
          <t xml:space="preserve">Singles</t>
        </is>
      </c>
      <c r="E691" s="43">
        <v>18</v>
      </c>
      <c r="F691" s="45">
        <v>2</v>
      </c>
      <c r="G691" s="34" t="inlineStr">
        <is>
          <t xml:space="preserve">Grise</t>
        </is>
      </c>
      <c r="H691" s="34" t="inlineStr">
        <is>
          <t xml:space="preserve">Forster</t>
        </is>
      </c>
      <c r="I691" s="34"/>
      <c r="J691" s="34" t="inlineStr">
        <is>
          <t xml:space="preserve">Fogan</t>
        </is>
      </c>
      <c r="K691" s="34"/>
      <c r="L691" s="45">
        <v>-7.59</v>
      </c>
      <c r="M691" s="45">
        <v>-7.59</v>
      </c>
      <c r="N691" s="34" t="inlineStr">
        <is>
          <t xml:space="preserve">Giving</t>
        </is>
      </c>
      <c r="O691" s="45">
        <v>2</v>
      </c>
      <c r="P691" s="45">
        <v>1.013</v>
      </c>
      <c r="Q691" s="45">
        <v>0.987</v>
      </c>
      <c r="R691" s="34" t="inlineStr">
        <is>
          <t xml:space="preserve">Index x slope (Handicaps tab)</t>
        </is>
      </c>
    </row>
    <row r="692" spans="1:18">
      <c r="A692" s="40">
        <v>12</v>
      </c>
      <c r="B692" s="31" t="inlineStr">
        <is>
          <t xml:space="preserve">FBC12-S-Jackson-Poirier</t>
        </is>
      </c>
      <c r="C692" s="31" t="inlineStr">
        <is>
          <t xml:space="preserve">Match Play</t>
        </is>
      </c>
      <c r="D692" s="31" t="inlineStr">
        <is>
          <t xml:space="preserve">Singles</t>
        </is>
      </c>
      <c r="E692" s="40">
        <v>18</v>
      </c>
      <c r="F692" s="42">
        <v>2</v>
      </c>
      <c r="G692" s="31" t="inlineStr">
        <is>
          <t xml:space="preserve">Connolly</t>
        </is>
      </c>
      <c r="H692" s="31" t="inlineStr">
        <is>
          <t xml:space="preserve">Jackson</t>
        </is>
      </c>
      <c r="I692" s="31"/>
      <c r="J692" s="31" t="inlineStr">
        <is>
          <t xml:space="preserve">Poirier</t>
        </is>
      </c>
      <c r="K692" s="31"/>
      <c r="L692" s="42">
        <v>3.62</v>
      </c>
      <c r="M692" s="42">
        <v>3.62</v>
      </c>
      <c r="N692" s="31" t="inlineStr">
        <is>
          <t xml:space="preserve">Getting</t>
        </is>
      </c>
      <c r="O692" s="42">
        <v>0</v>
      </c>
      <c r="P692" s="42">
        <v>0.909</v>
      </c>
      <c r="Q692" s="42">
        <v>-0.909</v>
      </c>
      <c r="R692" s="31" t="inlineStr">
        <is>
          <t xml:space="preserve">Index x slope (Handicaps tab)</t>
        </is>
      </c>
    </row>
    <row r="693" spans="1:18">
      <c r="A693" s="43">
        <v>12</v>
      </c>
      <c r="B693" s="34" t="inlineStr">
        <is>
          <t xml:space="preserve">FBC12-S-Jackson-Poirier</t>
        </is>
      </c>
      <c r="C693" s="34" t="inlineStr">
        <is>
          <t xml:space="preserve">Match Play</t>
        </is>
      </c>
      <c r="D693" s="34" t="inlineStr">
        <is>
          <t xml:space="preserve">Singles</t>
        </is>
      </c>
      <c r="E693" s="43">
        <v>18</v>
      </c>
      <c r="F693" s="45">
        <v>2</v>
      </c>
      <c r="G693" s="34" t="inlineStr">
        <is>
          <t xml:space="preserve">Grise</t>
        </is>
      </c>
      <c r="H693" s="34" t="inlineStr">
        <is>
          <t xml:space="preserve">Poirier</t>
        </is>
      </c>
      <c r="I693" s="34"/>
      <c r="J693" s="34" t="inlineStr">
        <is>
          <t xml:space="preserve">Jackson</t>
        </is>
      </c>
      <c r="K693" s="34"/>
      <c r="L693" s="45">
        <v>-3.62</v>
      </c>
      <c r="M693" s="45">
        <v>-3.62</v>
      </c>
      <c r="N693" s="34" t="inlineStr">
        <is>
          <t xml:space="preserve">Giving</t>
        </is>
      </c>
      <c r="O693" s="45">
        <v>2</v>
      </c>
      <c r="P693" s="45">
        <v>1.091</v>
      </c>
      <c r="Q693" s="45">
        <v>0.909</v>
      </c>
      <c r="R693" s="34" t="inlineStr">
        <is>
          <t xml:space="preserve">Index x slope (Handicaps tab)</t>
        </is>
      </c>
    </row>
    <row r="694" spans="1:18">
      <c r="A694" s="40">
        <v>12</v>
      </c>
      <c r="B694" s="31" t="inlineStr">
        <is>
          <t xml:space="preserve">FBC12-S-Perkins-Zimmer</t>
        </is>
      </c>
      <c r="C694" s="31" t="inlineStr">
        <is>
          <t xml:space="preserve">Match Play</t>
        </is>
      </c>
      <c r="D694" s="31" t="inlineStr">
        <is>
          <t xml:space="preserve">Singles</t>
        </is>
      </c>
      <c r="E694" s="40">
        <v>18</v>
      </c>
      <c r="F694" s="42">
        <v>2</v>
      </c>
      <c r="G694" s="31" t="inlineStr">
        <is>
          <t xml:space="preserve">Connolly</t>
        </is>
      </c>
      <c r="H694" s="31" t="inlineStr">
        <is>
          <t xml:space="preserve">Zimmer</t>
        </is>
      </c>
      <c r="I694" s="31"/>
      <c r="J694" s="31" t="inlineStr">
        <is>
          <t xml:space="preserve">Perkins</t>
        </is>
      </c>
      <c r="K694" s="31"/>
      <c r="L694" s="42">
        <v>-2.22</v>
      </c>
      <c r="M694" s="42">
        <v>-2.22</v>
      </c>
      <c r="N694" s="31" t="inlineStr">
        <is>
          <t xml:space="preserve">Giving</t>
        </is>
      </c>
      <c r="O694" s="42">
        <v>0</v>
      </c>
      <c r="P694" s="42">
        <v>1.118</v>
      </c>
      <c r="Q694" s="42">
        <v>-1.118</v>
      </c>
      <c r="R694" s="31" t="inlineStr">
        <is>
          <t xml:space="preserve">Index x slope (Handicaps tab)</t>
        </is>
      </c>
    </row>
    <row r="695" spans="1:18">
      <c r="A695" s="43">
        <v>12</v>
      </c>
      <c r="B695" s="34" t="inlineStr">
        <is>
          <t xml:space="preserve">FBC12-S-Perkins-Zimmer</t>
        </is>
      </c>
      <c r="C695" s="34" t="inlineStr">
        <is>
          <t xml:space="preserve">Match Play</t>
        </is>
      </c>
      <c r="D695" s="34" t="inlineStr">
        <is>
          <t xml:space="preserve">Singles</t>
        </is>
      </c>
      <c r="E695" s="43">
        <v>18</v>
      </c>
      <c r="F695" s="45">
        <v>2</v>
      </c>
      <c r="G695" s="34" t="inlineStr">
        <is>
          <t xml:space="preserve">Grise</t>
        </is>
      </c>
      <c r="H695" s="34" t="inlineStr">
        <is>
          <t xml:space="preserve">Perkins</t>
        </is>
      </c>
      <c r="I695" s="34"/>
      <c r="J695" s="34" t="inlineStr">
        <is>
          <t xml:space="preserve">Zimmer</t>
        </is>
      </c>
      <c r="K695" s="34"/>
      <c r="L695" s="45">
        <v>2.22</v>
      </c>
      <c r="M695" s="45">
        <v>2.22</v>
      </c>
      <c r="N695" s="34" t="inlineStr">
        <is>
          <t xml:space="preserve">Getting</t>
        </is>
      </c>
      <c r="O695" s="45">
        <v>2</v>
      </c>
      <c r="P695" s="45">
        <v>0.882</v>
      </c>
      <c r="Q695" s="45">
        <v>1.118</v>
      </c>
      <c r="R695" s="34" t="inlineStr">
        <is>
          <t xml:space="preserve">Index x slope (Handicaps tab)</t>
        </is>
      </c>
    </row>
    <row r="696" spans="1:18">
      <c r="A696" s="40">
        <v>12</v>
      </c>
      <c r="B696" s="31" t="inlineStr">
        <is>
          <t xml:space="preserve">FBC12-S-R. Connolly-Shively</t>
        </is>
      </c>
      <c r="C696" s="31" t="inlineStr">
        <is>
          <t xml:space="preserve">Match Play</t>
        </is>
      </c>
      <c r="D696" s="31" t="inlineStr">
        <is>
          <t xml:space="preserve">Singles</t>
        </is>
      </c>
      <c r="E696" s="40">
        <v>18</v>
      </c>
      <c r="F696" s="42">
        <v>2</v>
      </c>
      <c r="G696" s="31" t="inlineStr">
        <is>
          <t xml:space="preserve">Connolly</t>
        </is>
      </c>
      <c r="H696" s="31" t="inlineStr">
        <is>
          <t xml:space="preserve">R. Connolly</t>
        </is>
      </c>
      <c r="I696" s="31"/>
      <c r="J696" s="31" t="inlineStr">
        <is>
          <t xml:space="preserve">Shively</t>
        </is>
      </c>
      <c r="K696" s="31"/>
      <c r="L696" s="42">
        <v>-0.93</v>
      </c>
      <c r="M696" s="42">
        <v>-0.93</v>
      </c>
      <c r="N696" s="31" t="inlineStr">
        <is>
          <t xml:space="preserve">Giving</t>
        </is>
      </c>
      <c r="O696" s="42">
        <v>2</v>
      </c>
      <c r="P696" s="42">
        <v>1.143</v>
      </c>
      <c r="Q696" s="42">
        <v>0.857</v>
      </c>
      <c r="R696" s="31" t="inlineStr">
        <is>
          <t xml:space="preserve">Index x slope (Handicaps tab)</t>
        </is>
      </c>
    </row>
    <row r="697" spans="1:18">
      <c r="A697" s="43">
        <v>12</v>
      </c>
      <c r="B697" s="34" t="inlineStr">
        <is>
          <t xml:space="preserve">FBC12-S-R. Connolly-Shively</t>
        </is>
      </c>
      <c r="C697" s="34" t="inlineStr">
        <is>
          <t xml:space="preserve">Match Play</t>
        </is>
      </c>
      <c r="D697" s="34" t="inlineStr">
        <is>
          <t xml:space="preserve">Singles</t>
        </is>
      </c>
      <c r="E697" s="43">
        <v>18</v>
      </c>
      <c r="F697" s="45">
        <v>2</v>
      </c>
      <c r="G697" s="34" t="inlineStr">
        <is>
          <t xml:space="preserve">Grise</t>
        </is>
      </c>
      <c r="H697" s="34" t="inlineStr">
        <is>
          <t xml:space="preserve">Shively</t>
        </is>
      </c>
      <c r="I697" s="34"/>
      <c r="J697" s="34" t="inlineStr">
        <is>
          <t xml:space="preserve">R. Connolly</t>
        </is>
      </c>
      <c r="K697" s="34"/>
      <c r="L697" s="45">
        <v>0.93</v>
      </c>
      <c r="M697" s="45">
        <v>0.93</v>
      </c>
      <c r="N697" s="34" t="inlineStr">
        <is>
          <t xml:space="preserve">Getting</t>
        </is>
      </c>
      <c r="O697" s="45">
        <v>0</v>
      </c>
      <c r="P697" s="45">
        <v>0.857</v>
      </c>
      <c r="Q697" s="45">
        <v>-0.857</v>
      </c>
      <c r="R697" s="34" t="inlineStr">
        <is>
          <t xml:space="preserve">Index x slope (Handicaps tab)</t>
        </is>
      </c>
    </row>
    <row r="698" spans="1:18">
      <c r="A698" s="40">
        <v>13</v>
      </c>
      <c r="B698" s="31" t="inlineStr">
        <is>
          <t xml:space="preserve">FBC13-D1</t>
        </is>
      </c>
      <c r="C698" s="31" t="inlineStr">
        <is>
          <t xml:space="preserve">Best Ball</t>
        </is>
      </c>
      <c r="D698" s="31" t="inlineStr">
        <is>
          <t xml:space="preserve">Four-ball</t>
        </is>
      </c>
      <c r="E698" s="40">
        <v>9</v>
      </c>
      <c r="F698" s="42">
        <v>1</v>
      </c>
      <c r="G698" s="31" t="inlineStr">
        <is>
          <t xml:space="preserve">Mangold</t>
        </is>
      </c>
      <c r="H698" s="31" t="inlineStr">
        <is>
          <t xml:space="preserve">Ferrin</t>
        </is>
      </c>
      <c r="I698" s="31" t="inlineStr">
        <is>
          <t xml:space="preserve">Shively</t>
        </is>
      </c>
      <c r="J698" s="31" t="inlineStr">
        <is>
          <t xml:space="preserve">Poirier</t>
        </is>
      </c>
      <c r="K698" s="31" t="inlineStr">
        <is>
          <t xml:space="preserve">Cole</t>
        </is>
      </c>
      <c r="L698" s="42">
        <v>1</v>
      </c>
      <c r="M698" s="42">
        <v>0.5</v>
      </c>
      <c r="N698" s="31" t="inlineStr">
        <is>
          <t xml:space="preserve">Getting</t>
        </is>
      </c>
      <c r="O698" s="42">
        <v>0</v>
      </c>
      <c r="P698" s="42">
        <v>0.423</v>
      </c>
      <c r="Q698" s="42">
        <v>-0.423</v>
      </c>
      <c r="R698" s="31" t="inlineStr">
        <is>
          <t xml:space="preserve">FBC 13/Handicaps (FBC 13).xlsx</t>
        </is>
      </c>
    </row>
    <row r="699" spans="1:18">
      <c r="A699" s="43">
        <v>13</v>
      </c>
      <c r="B699" s="34" t="inlineStr">
        <is>
          <t xml:space="preserve">FBC13-D1</t>
        </is>
      </c>
      <c r="C699" s="34" t="inlineStr">
        <is>
          <t xml:space="preserve">Best Ball</t>
        </is>
      </c>
      <c r="D699" s="34" t="inlineStr">
        <is>
          <t xml:space="preserve">Four-ball</t>
        </is>
      </c>
      <c r="E699" s="43">
        <v>9</v>
      </c>
      <c r="F699" s="45">
        <v>1</v>
      </c>
      <c r="G699" s="34" t="inlineStr">
        <is>
          <t xml:space="preserve">Forster</t>
        </is>
      </c>
      <c r="H699" s="34" t="inlineStr">
        <is>
          <t xml:space="preserve">Poirier</t>
        </is>
      </c>
      <c r="I699" s="34" t="inlineStr">
        <is>
          <t xml:space="preserve">Cole</t>
        </is>
      </c>
      <c r="J699" s="34" t="inlineStr">
        <is>
          <t xml:space="preserve">Ferrin</t>
        </is>
      </c>
      <c r="K699" s="34" t="inlineStr">
        <is>
          <t xml:space="preserve">Shively</t>
        </is>
      </c>
      <c r="L699" s="45">
        <v>-1</v>
      </c>
      <c r="M699" s="45">
        <v>-0.5</v>
      </c>
      <c r="N699" s="34" t="inlineStr">
        <is>
          <t xml:space="preserve">Giving</t>
        </is>
      </c>
      <c r="O699" s="45">
        <v>1</v>
      </c>
      <c r="P699" s="45">
        <v>0.577</v>
      </c>
      <c r="Q699" s="45">
        <v>0.423</v>
      </c>
      <c r="R699" s="34" t="inlineStr">
        <is>
          <t xml:space="preserve">FBC 13/Handicaps (FBC 13).xlsx</t>
        </is>
      </c>
    </row>
    <row r="700" spans="1:18">
      <c r="A700" s="40">
        <v>13</v>
      </c>
      <c r="B700" s="31" t="inlineStr">
        <is>
          <t xml:space="preserve">FBC13-D2</t>
        </is>
      </c>
      <c r="C700" s="31" t="inlineStr">
        <is>
          <t xml:space="preserve">Vegas</t>
        </is>
      </c>
      <c r="D700" s="31" t="inlineStr">
        <is>
          <t xml:space="preserve">Four-ball</t>
        </is>
      </c>
      <c r="E700" s="40">
        <v>9</v>
      </c>
      <c r="F700" s="42">
        <v>1</v>
      </c>
      <c r="G700" s="31" t="inlineStr">
        <is>
          <t xml:space="preserve">Mangold</t>
        </is>
      </c>
      <c r="H700" s="31" t="inlineStr">
        <is>
          <t xml:space="preserve">Ferrin</t>
        </is>
      </c>
      <c r="I700" s="31" t="inlineStr">
        <is>
          <t xml:space="preserve">Shively</t>
        </is>
      </c>
      <c r="J700" s="31" t="inlineStr">
        <is>
          <t xml:space="preserve">Poirier</t>
        </is>
      </c>
      <c r="K700" s="31" t="inlineStr">
        <is>
          <t xml:space="preserve">Cole</t>
        </is>
      </c>
      <c r="L700" s="42">
        <v>1</v>
      </c>
      <c r="M700" s="42">
        <v>0.5</v>
      </c>
      <c r="N700" s="31" t="inlineStr">
        <is>
          <t xml:space="preserve">Getting</t>
        </is>
      </c>
      <c r="O700" s="42">
        <v>1</v>
      </c>
      <c r="P700" s="42">
        <v>0.423</v>
      </c>
      <c r="Q700" s="42">
        <v>0.577</v>
      </c>
      <c r="R700" s="31" t="inlineStr">
        <is>
          <t xml:space="preserve">FBC 13/Handicaps (FBC 13).xlsx</t>
        </is>
      </c>
    </row>
    <row r="701" spans="1:18">
      <c r="A701" s="43">
        <v>13</v>
      </c>
      <c r="B701" s="34" t="inlineStr">
        <is>
          <t xml:space="preserve">FBC13-D2</t>
        </is>
      </c>
      <c r="C701" s="34" t="inlineStr">
        <is>
          <t xml:space="preserve">Vegas</t>
        </is>
      </c>
      <c r="D701" s="34" t="inlineStr">
        <is>
          <t xml:space="preserve">Four-ball</t>
        </is>
      </c>
      <c r="E701" s="43">
        <v>9</v>
      </c>
      <c r="F701" s="45">
        <v>1</v>
      </c>
      <c r="G701" s="34" t="inlineStr">
        <is>
          <t xml:space="preserve">Forster</t>
        </is>
      </c>
      <c r="H701" s="34" t="inlineStr">
        <is>
          <t xml:space="preserve">Poirier</t>
        </is>
      </c>
      <c r="I701" s="34" t="inlineStr">
        <is>
          <t xml:space="preserve">Cole</t>
        </is>
      </c>
      <c r="J701" s="34" t="inlineStr">
        <is>
          <t xml:space="preserve">Ferrin</t>
        </is>
      </c>
      <c r="K701" s="34" t="inlineStr">
        <is>
          <t xml:space="preserve">Shively</t>
        </is>
      </c>
      <c r="L701" s="45">
        <v>-1</v>
      </c>
      <c r="M701" s="45">
        <v>-0.5</v>
      </c>
      <c r="N701" s="34" t="inlineStr">
        <is>
          <t xml:space="preserve">Giving</t>
        </is>
      </c>
      <c r="O701" s="45">
        <v>0</v>
      </c>
      <c r="P701" s="45">
        <v>0.577</v>
      </c>
      <c r="Q701" s="45">
        <v>-0.577</v>
      </c>
      <c r="R701" s="34" t="inlineStr">
        <is>
          <t xml:space="preserve">FBC 13/Handicaps (FBC 13).xlsx</t>
        </is>
      </c>
    </row>
    <row r="702" spans="1:18">
      <c r="A702" s="40">
        <v>13</v>
      </c>
      <c r="B702" s="31" t="inlineStr">
        <is>
          <t xml:space="preserve">FBC13-D3</t>
        </is>
      </c>
      <c r="C702" s="31" t="inlineStr">
        <is>
          <t xml:space="preserve">Best Ball</t>
        </is>
      </c>
      <c r="D702" s="31" t="inlineStr">
        <is>
          <t xml:space="preserve">Four-ball</t>
        </is>
      </c>
      <c r="E702" s="40">
        <v>9</v>
      </c>
      <c r="F702" s="42">
        <v>1</v>
      </c>
      <c r="G702" s="31" t="inlineStr">
        <is>
          <t xml:space="preserve">Mangold</t>
        </is>
      </c>
      <c r="H702" s="31" t="inlineStr">
        <is>
          <t xml:space="preserve">Welker</t>
        </is>
      </c>
      <c r="I702" s="31" t="inlineStr">
        <is>
          <t xml:space="preserve">Fogan</t>
        </is>
      </c>
      <c r="J702" s="31" t="inlineStr">
        <is>
          <t xml:space="preserve">Zimmer</t>
        </is>
      </c>
      <c r="K702" s="31" t="inlineStr">
        <is>
          <t xml:space="preserve">Hilts</t>
        </is>
      </c>
      <c r="L702" s="42">
        <v>3.5</v>
      </c>
      <c r="M702" s="42">
        <v>1.75</v>
      </c>
      <c r="N702" s="31" t="inlineStr">
        <is>
          <t xml:space="preserve">Getting</t>
        </is>
      </c>
      <c r="O702" s="42">
        <v>1</v>
      </c>
      <c r="P702" s="42">
        <v>0.431</v>
      </c>
      <c r="Q702" s="42">
        <v>0.569</v>
      </c>
      <c r="R702" s="31" t="inlineStr">
        <is>
          <t xml:space="preserve">FBC 13/Handicaps (FBC 13).xlsx</t>
        </is>
      </c>
    </row>
    <row r="703" spans="1:18">
      <c r="A703" s="43">
        <v>13</v>
      </c>
      <c r="B703" s="34" t="inlineStr">
        <is>
          <t xml:space="preserve">FBC13-D3</t>
        </is>
      </c>
      <c r="C703" s="34" t="inlineStr">
        <is>
          <t xml:space="preserve">Best Ball</t>
        </is>
      </c>
      <c r="D703" s="34" t="inlineStr">
        <is>
          <t xml:space="preserve">Four-ball</t>
        </is>
      </c>
      <c r="E703" s="43">
        <v>9</v>
      </c>
      <c r="F703" s="45">
        <v>1</v>
      </c>
      <c r="G703" s="34" t="inlineStr">
        <is>
          <t xml:space="preserve">Forster</t>
        </is>
      </c>
      <c r="H703" s="34" t="inlineStr">
        <is>
          <t xml:space="preserve">Zimmer</t>
        </is>
      </c>
      <c r="I703" s="34" t="inlineStr">
        <is>
          <t xml:space="preserve">Hilts</t>
        </is>
      </c>
      <c r="J703" s="34" t="inlineStr">
        <is>
          <t xml:space="preserve">Welker</t>
        </is>
      </c>
      <c r="K703" s="34" t="inlineStr">
        <is>
          <t xml:space="preserve">Fogan</t>
        </is>
      </c>
      <c r="L703" s="45">
        <v>-3.5</v>
      </c>
      <c r="M703" s="45">
        <v>-1.75</v>
      </c>
      <c r="N703" s="34" t="inlineStr">
        <is>
          <t xml:space="preserve">Giving</t>
        </is>
      </c>
      <c r="O703" s="45">
        <v>0</v>
      </c>
      <c r="P703" s="45">
        <v>0.569</v>
      </c>
      <c r="Q703" s="45">
        <v>-0.569</v>
      </c>
      <c r="R703" s="34" t="inlineStr">
        <is>
          <t xml:space="preserve">FBC 13/Handicaps (FBC 13).xlsx</t>
        </is>
      </c>
    </row>
    <row r="704" spans="1:18">
      <c r="A704" s="40">
        <v>13</v>
      </c>
      <c r="B704" s="31" t="inlineStr">
        <is>
          <t xml:space="preserve">FBC13-D4</t>
        </is>
      </c>
      <c r="C704" s="31" t="inlineStr">
        <is>
          <t xml:space="preserve">Vegas</t>
        </is>
      </c>
      <c r="D704" s="31" t="inlineStr">
        <is>
          <t xml:space="preserve">Four-ball</t>
        </is>
      </c>
      <c r="E704" s="40">
        <v>9</v>
      </c>
      <c r="F704" s="42">
        <v>1</v>
      </c>
      <c r="G704" s="31" t="inlineStr">
        <is>
          <t xml:space="preserve">Mangold</t>
        </is>
      </c>
      <c r="H704" s="31" t="inlineStr">
        <is>
          <t xml:space="preserve">Welker</t>
        </is>
      </c>
      <c r="I704" s="31" t="inlineStr">
        <is>
          <t xml:space="preserve">Fogan</t>
        </is>
      </c>
      <c r="J704" s="31" t="inlineStr">
        <is>
          <t xml:space="preserve">Zimmer</t>
        </is>
      </c>
      <c r="K704" s="31" t="inlineStr">
        <is>
          <t xml:space="preserve">Hilts</t>
        </is>
      </c>
      <c r="L704" s="42">
        <v>3.5</v>
      </c>
      <c r="M704" s="42">
        <v>1.75</v>
      </c>
      <c r="N704" s="31" t="inlineStr">
        <is>
          <t xml:space="preserve">Getting</t>
        </is>
      </c>
      <c r="O704" s="42">
        <v>1</v>
      </c>
      <c r="P704" s="42">
        <v>0.431</v>
      </c>
      <c r="Q704" s="42">
        <v>0.569</v>
      </c>
      <c r="R704" s="31" t="inlineStr">
        <is>
          <t xml:space="preserve">FBC 13/Handicaps (FBC 13).xlsx</t>
        </is>
      </c>
    </row>
    <row r="705" spans="1:18">
      <c r="A705" s="43">
        <v>13</v>
      </c>
      <c r="B705" s="34" t="inlineStr">
        <is>
          <t xml:space="preserve">FBC13-D4</t>
        </is>
      </c>
      <c r="C705" s="34" t="inlineStr">
        <is>
          <t xml:space="preserve">Vegas</t>
        </is>
      </c>
      <c r="D705" s="34" t="inlineStr">
        <is>
          <t xml:space="preserve">Four-ball</t>
        </is>
      </c>
      <c r="E705" s="43">
        <v>9</v>
      </c>
      <c r="F705" s="45">
        <v>1</v>
      </c>
      <c r="G705" s="34" t="inlineStr">
        <is>
          <t xml:space="preserve">Forster</t>
        </is>
      </c>
      <c r="H705" s="34" t="inlineStr">
        <is>
          <t xml:space="preserve">Zimmer</t>
        </is>
      </c>
      <c r="I705" s="34" t="inlineStr">
        <is>
          <t xml:space="preserve">Hilts</t>
        </is>
      </c>
      <c r="J705" s="34" t="inlineStr">
        <is>
          <t xml:space="preserve">Welker</t>
        </is>
      </c>
      <c r="K705" s="34" t="inlineStr">
        <is>
          <t xml:space="preserve">Fogan</t>
        </is>
      </c>
      <c r="L705" s="45">
        <v>-3.5</v>
      </c>
      <c r="M705" s="45">
        <v>-1.75</v>
      </c>
      <c r="N705" s="34" t="inlineStr">
        <is>
          <t xml:space="preserve">Giving</t>
        </is>
      </c>
      <c r="O705" s="45">
        <v>0</v>
      </c>
      <c r="P705" s="45">
        <v>0.569</v>
      </c>
      <c r="Q705" s="45">
        <v>-0.569</v>
      </c>
      <c r="R705" s="34" t="inlineStr">
        <is>
          <t xml:space="preserve">FBC 13/Handicaps (FBC 13).xlsx</t>
        </is>
      </c>
    </row>
    <row r="706" spans="1:18">
      <c r="A706" s="40">
        <v>13</v>
      </c>
      <c r="B706" s="31" t="inlineStr">
        <is>
          <t xml:space="preserve">FBC13-D5</t>
        </is>
      </c>
      <c r="C706" s="31" t="inlineStr">
        <is>
          <t xml:space="preserve">Best Ball</t>
        </is>
      </c>
      <c r="D706" s="31" t="inlineStr">
        <is>
          <t xml:space="preserve">Four-ball</t>
        </is>
      </c>
      <c r="E706" s="40">
        <v>9</v>
      </c>
      <c r="F706" s="42">
        <v>1</v>
      </c>
      <c r="G706" s="31" t="inlineStr">
        <is>
          <t xml:space="preserve">Mangold</t>
        </is>
      </c>
      <c r="H706" s="31" t="inlineStr">
        <is>
          <t xml:space="preserve">Mangold</t>
        </is>
      </c>
      <c r="I706" s="31" t="inlineStr">
        <is>
          <t xml:space="preserve">DeOteris</t>
        </is>
      </c>
      <c r="J706" s="31" t="inlineStr">
        <is>
          <t xml:space="preserve">Delaney</t>
        </is>
      </c>
      <c r="K706" s="31" t="inlineStr">
        <is>
          <t xml:space="preserve">Norat</t>
        </is>
      </c>
      <c r="L706" s="42">
        <v>-2.5</v>
      </c>
      <c r="M706" s="42">
        <v>-1.25</v>
      </c>
      <c r="N706" s="31" t="inlineStr">
        <is>
          <t xml:space="preserve">Giving</t>
        </is>
      </c>
      <c r="O706" s="42">
        <v>0</v>
      </c>
      <c r="P706" s="42">
        <v>0.572</v>
      </c>
      <c r="Q706" s="42">
        <v>-0.572</v>
      </c>
      <c r="R706" s="31" t="inlineStr">
        <is>
          <t xml:space="preserve">FBC 13/Handicaps (FBC 13).xlsx</t>
        </is>
      </c>
    </row>
    <row r="707" spans="1:18">
      <c r="A707" s="43">
        <v>13</v>
      </c>
      <c r="B707" s="34" t="inlineStr">
        <is>
          <t xml:space="preserve">FBC13-D5</t>
        </is>
      </c>
      <c r="C707" s="34" t="inlineStr">
        <is>
          <t xml:space="preserve">Best Ball</t>
        </is>
      </c>
      <c r="D707" s="34" t="inlineStr">
        <is>
          <t xml:space="preserve">Four-ball</t>
        </is>
      </c>
      <c r="E707" s="43">
        <v>9</v>
      </c>
      <c r="F707" s="45">
        <v>1</v>
      </c>
      <c r="G707" s="34" t="inlineStr">
        <is>
          <t xml:space="preserve">Forster</t>
        </is>
      </c>
      <c r="H707" s="34" t="inlineStr">
        <is>
          <t xml:space="preserve">Delaney</t>
        </is>
      </c>
      <c r="I707" s="34" t="inlineStr">
        <is>
          <t xml:space="preserve">Norat</t>
        </is>
      </c>
      <c r="J707" s="34" t="inlineStr">
        <is>
          <t xml:space="preserve">Mangold</t>
        </is>
      </c>
      <c r="K707" s="34" t="inlineStr">
        <is>
          <t xml:space="preserve">DeOteris</t>
        </is>
      </c>
      <c r="L707" s="45">
        <v>2.5</v>
      </c>
      <c r="M707" s="45">
        <v>1.25</v>
      </c>
      <c r="N707" s="34" t="inlineStr">
        <is>
          <t xml:space="preserve">Getting</t>
        </is>
      </c>
      <c r="O707" s="45">
        <v>1</v>
      </c>
      <c r="P707" s="45">
        <v>0.428</v>
      </c>
      <c r="Q707" s="45">
        <v>0.572</v>
      </c>
      <c r="R707" s="34" t="inlineStr">
        <is>
          <t xml:space="preserve">FBC 13/Handicaps (FBC 13).xlsx</t>
        </is>
      </c>
    </row>
    <row r="708" spans="1:18">
      <c r="A708" s="40">
        <v>13</v>
      </c>
      <c r="B708" s="31" t="inlineStr">
        <is>
          <t xml:space="preserve">FBC13-D6</t>
        </is>
      </c>
      <c r="C708" s="31" t="inlineStr">
        <is>
          <t xml:space="preserve">Vegas</t>
        </is>
      </c>
      <c r="D708" s="31" t="inlineStr">
        <is>
          <t xml:space="preserve">Four-ball</t>
        </is>
      </c>
      <c r="E708" s="40">
        <v>9</v>
      </c>
      <c r="F708" s="42">
        <v>1</v>
      </c>
      <c r="G708" s="31" t="inlineStr">
        <is>
          <t xml:space="preserve">Mangold</t>
        </is>
      </c>
      <c r="H708" s="31" t="inlineStr">
        <is>
          <t xml:space="preserve">Mangold</t>
        </is>
      </c>
      <c r="I708" s="31" t="inlineStr">
        <is>
          <t xml:space="preserve">DeOteris</t>
        </is>
      </c>
      <c r="J708" s="31" t="inlineStr">
        <is>
          <t xml:space="preserve">Delaney</t>
        </is>
      </c>
      <c r="K708" s="31" t="inlineStr">
        <is>
          <t xml:space="preserve">Norat</t>
        </is>
      </c>
      <c r="L708" s="42">
        <v>-2.5</v>
      </c>
      <c r="M708" s="42">
        <v>-1.25</v>
      </c>
      <c r="N708" s="31" t="inlineStr">
        <is>
          <t xml:space="preserve">Giving</t>
        </is>
      </c>
      <c r="O708" s="42">
        <v>0</v>
      </c>
      <c r="P708" s="42">
        <v>0.572</v>
      </c>
      <c r="Q708" s="42">
        <v>-0.572</v>
      </c>
      <c r="R708" s="31" t="inlineStr">
        <is>
          <t xml:space="preserve">FBC 13/Handicaps (FBC 13).xlsx</t>
        </is>
      </c>
    </row>
    <row r="709" spans="1:18">
      <c r="A709" s="43">
        <v>13</v>
      </c>
      <c r="B709" s="34" t="inlineStr">
        <is>
          <t xml:space="preserve">FBC13-D6</t>
        </is>
      </c>
      <c r="C709" s="34" t="inlineStr">
        <is>
          <t xml:space="preserve">Vegas</t>
        </is>
      </c>
      <c r="D709" s="34" t="inlineStr">
        <is>
          <t xml:space="preserve">Four-ball</t>
        </is>
      </c>
      <c r="E709" s="43">
        <v>9</v>
      </c>
      <c r="F709" s="45">
        <v>1</v>
      </c>
      <c r="G709" s="34" t="inlineStr">
        <is>
          <t xml:space="preserve">Forster</t>
        </is>
      </c>
      <c r="H709" s="34" t="inlineStr">
        <is>
          <t xml:space="preserve">Delaney</t>
        </is>
      </c>
      <c r="I709" s="34" t="inlineStr">
        <is>
          <t xml:space="preserve">Norat</t>
        </is>
      </c>
      <c r="J709" s="34" t="inlineStr">
        <is>
          <t xml:space="preserve">Mangold</t>
        </is>
      </c>
      <c r="K709" s="34" t="inlineStr">
        <is>
          <t xml:space="preserve">DeOteris</t>
        </is>
      </c>
      <c r="L709" s="45">
        <v>2.5</v>
      </c>
      <c r="M709" s="45">
        <v>1.25</v>
      </c>
      <c r="N709" s="34" t="inlineStr">
        <is>
          <t xml:space="preserve">Getting</t>
        </is>
      </c>
      <c r="O709" s="45">
        <v>1</v>
      </c>
      <c r="P709" s="45">
        <v>0.428</v>
      </c>
      <c r="Q709" s="45">
        <v>0.572</v>
      </c>
      <c r="R709" s="34" t="inlineStr">
        <is>
          <t xml:space="preserve">FBC 13/Handicaps (FBC 13).xlsx</t>
        </is>
      </c>
    </row>
    <row r="710" spans="1:18">
      <c r="A710" s="40">
        <v>13</v>
      </c>
      <c r="B710" s="31" t="inlineStr">
        <is>
          <t xml:space="preserve">FBC13-D7</t>
        </is>
      </c>
      <c r="C710" s="31" t="inlineStr">
        <is>
          <t xml:space="preserve">Best Ball</t>
        </is>
      </c>
      <c r="D710" s="31" t="inlineStr">
        <is>
          <t xml:space="preserve">Four-ball</t>
        </is>
      </c>
      <c r="E710" s="40">
        <v>9</v>
      </c>
      <c r="F710" s="42">
        <v>1</v>
      </c>
      <c r="G710" s="31" t="inlineStr">
        <is>
          <t xml:space="preserve">Mangold</t>
        </is>
      </c>
      <c r="H710" s="31" t="inlineStr">
        <is>
          <t xml:space="preserve">Gray</t>
        </is>
      </c>
      <c r="I710" s="31" t="inlineStr">
        <is>
          <t xml:space="preserve">McInerney</t>
        </is>
      </c>
      <c r="J710" s="31" t="inlineStr">
        <is>
          <t xml:space="preserve">Connolly</t>
        </is>
      </c>
      <c r="K710" s="31" t="inlineStr">
        <is>
          <t xml:space="preserve">Grise</t>
        </is>
      </c>
      <c r="L710" s="42">
        <v>-4</v>
      </c>
      <c r="M710" s="42">
        <v>-2</v>
      </c>
      <c r="N710" s="31" t="inlineStr">
        <is>
          <t xml:space="preserve">Giving</t>
        </is>
      </c>
      <c r="O710" s="42">
        <v>1</v>
      </c>
      <c r="P710" s="42">
        <v>0.567</v>
      </c>
      <c r="Q710" s="42">
        <v>0.433</v>
      </c>
      <c r="R710" s="31" t="inlineStr">
        <is>
          <t xml:space="preserve">FBC 13/Handicaps (FBC 13).xlsx</t>
        </is>
      </c>
    </row>
    <row r="711" spans="1:18">
      <c r="A711" s="43">
        <v>13</v>
      </c>
      <c r="B711" s="34" t="inlineStr">
        <is>
          <t xml:space="preserve">FBC13-D7</t>
        </is>
      </c>
      <c r="C711" s="34" t="inlineStr">
        <is>
          <t xml:space="preserve">Best Ball</t>
        </is>
      </c>
      <c r="D711" s="34" t="inlineStr">
        <is>
          <t xml:space="preserve">Four-ball</t>
        </is>
      </c>
      <c r="E711" s="43">
        <v>9</v>
      </c>
      <c r="F711" s="45">
        <v>1</v>
      </c>
      <c r="G711" s="34" t="inlineStr">
        <is>
          <t xml:space="preserve">Forster</t>
        </is>
      </c>
      <c r="H711" s="34" t="inlineStr">
        <is>
          <t xml:space="preserve">Connolly</t>
        </is>
      </c>
      <c r="I711" s="34" t="inlineStr">
        <is>
          <t xml:space="preserve">Grise</t>
        </is>
      </c>
      <c r="J711" s="34" t="inlineStr">
        <is>
          <t xml:space="preserve">Gray</t>
        </is>
      </c>
      <c r="K711" s="34" t="inlineStr">
        <is>
          <t xml:space="preserve">McInerney</t>
        </is>
      </c>
      <c r="L711" s="45">
        <v>4</v>
      </c>
      <c r="M711" s="45">
        <v>2</v>
      </c>
      <c r="N711" s="34" t="inlineStr">
        <is>
          <t xml:space="preserve">Getting</t>
        </is>
      </c>
      <c r="O711" s="45">
        <v>0</v>
      </c>
      <c r="P711" s="45">
        <v>0.433</v>
      </c>
      <c r="Q711" s="45">
        <v>-0.433</v>
      </c>
      <c r="R711" s="34" t="inlineStr">
        <is>
          <t xml:space="preserve">FBC 13/Handicaps (FBC 13).xlsx</t>
        </is>
      </c>
    </row>
    <row r="712" spans="1:18">
      <c r="A712" s="40">
        <v>13</v>
      </c>
      <c r="B712" s="31" t="inlineStr">
        <is>
          <t xml:space="preserve">FBC13-D8</t>
        </is>
      </c>
      <c r="C712" s="31" t="inlineStr">
        <is>
          <t xml:space="preserve">Vegas</t>
        </is>
      </c>
      <c r="D712" s="31" t="inlineStr">
        <is>
          <t xml:space="preserve">Four-ball</t>
        </is>
      </c>
      <c r="E712" s="40">
        <v>9</v>
      </c>
      <c r="F712" s="42">
        <v>1</v>
      </c>
      <c r="G712" s="31" t="inlineStr">
        <is>
          <t xml:space="preserve">Mangold</t>
        </is>
      </c>
      <c r="H712" s="31" t="inlineStr">
        <is>
          <t xml:space="preserve">Gray</t>
        </is>
      </c>
      <c r="I712" s="31" t="inlineStr">
        <is>
          <t xml:space="preserve">McInerney</t>
        </is>
      </c>
      <c r="J712" s="31" t="inlineStr">
        <is>
          <t xml:space="preserve">Connolly</t>
        </is>
      </c>
      <c r="K712" s="31" t="inlineStr">
        <is>
          <t xml:space="preserve">Grise</t>
        </is>
      </c>
      <c r="L712" s="42">
        <v>-4</v>
      </c>
      <c r="M712" s="42">
        <v>-2</v>
      </c>
      <c r="N712" s="31" t="inlineStr">
        <is>
          <t xml:space="preserve">Giving</t>
        </is>
      </c>
      <c r="O712" s="42">
        <v>0</v>
      </c>
      <c r="P712" s="42">
        <v>0.567</v>
      </c>
      <c r="Q712" s="42">
        <v>-0.567</v>
      </c>
      <c r="R712" s="31" t="inlineStr">
        <is>
          <t xml:space="preserve">FBC 13/Handicaps (FBC 13).xlsx</t>
        </is>
      </c>
    </row>
    <row r="713" spans="1:18">
      <c r="A713" s="43">
        <v>13</v>
      </c>
      <c r="B713" s="34" t="inlineStr">
        <is>
          <t xml:space="preserve">FBC13-D8</t>
        </is>
      </c>
      <c r="C713" s="34" t="inlineStr">
        <is>
          <t xml:space="preserve">Vegas</t>
        </is>
      </c>
      <c r="D713" s="34" t="inlineStr">
        <is>
          <t xml:space="preserve">Four-ball</t>
        </is>
      </c>
      <c r="E713" s="43">
        <v>9</v>
      </c>
      <c r="F713" s="45">
        <v>1</v>
      </c>
      <c r="G713" s="34" t="inlineStr">
        <is>
          <t xml:space="preserve">Forster</t>
        </is>
      </c>
      <c r="H713" s="34" t="inlineStr">
        <is>
          <t xml:space="preserve">Connolly</t>
        </is>
      </c>
      <c r="I713" s="34" t="inlineStr">
        <is>
          <t xml:space="preserve">Grise</t>
        </is>
      </c>
      <c r="J713" s="34" t="inlineStr">
        <is>
          <t xml:space="preserve">Gray</t>
        </is>
      </c>
      <c r="K713" s="34" t="inlineStr">
        <is>
          <t xml:space="preserve">McInerney</t>
        </is>
      </c>
      <c r="L713" s="45">
        <v>4</v>
      </c>
      <c r="M713" s="45">
        <v>2</v>
      </c>
      <c r="N713" s="34" t="inlineStr">
        <is>
          <t xml:space="preserve">Getting</t>
        </is>
      </c>
      <c r="O713" s="45">
        <v>1</v>
      </c>
      <c r="P713" s="45">
        <v>0.433</v>
      </c>
      <c r="Q713" s="45">
        <v>0.567</v>
      </c>
      <c r="R713" s="34" t="inlineStr">
        <is>
          <t xml:space="preserve">FBC 13/Handicaps (FBC 13).xlsx</t>
        </is>
      </c>
    </row>
    <row r="714" spans="1:18">
      <c r="A714" s="40">
        <v>13</v>
      </c>
      <c r="B714" s="31" t="inlineStr">
        <is>
          <t xml:space="preserve">FBC13-D9</t>
        </is>
      </c>
      <c r="C714" s="31" t="inlineStr">
        <is>
          <t xml:space="preserve">Best Ball</t>
        </is>
      </c>
      <c r="D714" s="31" t="inlineStr">
        <is>
          <t xml:space="preserve">Four-ball</t>
        </is>
      </c>
      <c r="E714" s="40">
        <v>9</v>
      </c>
      <c r="F714" s="42">
        <v>1</v>
      </c>
      <c r="G714" s="31" t="inlineStr">
        <is>
          <t xml:space="preserve">Mangold</t>
        </is>
      </c>
      <c r="H714" s="31" t="inlineStr">
        <is>
          <t xml:space="preserve">Lynch</t>
        </is>
      </c>
      <c r="I714" s="31" t="inlineStr">
        <is>
          <t xml:space="preserve">Piegari</t>
        </is>
      </c>
      <c r="J714" s="31" t="inlineStr">
        <is>
          <t xml:space="preserve">Forster</t>
        </is>
      </c>
      <c r="K714" s="31" t="inlineStr">
        <is>
          <t xml:space="preserve">Flanders</t>
        </is>
      </c>
      <c r="L714" s="42">
        <v>-2</v>
      </c>
      <c r="M714" s="42">
        <v>-1</v>
      </c>
      <c r="N714" s="31" t="inlineStr">
        <is>
          <t xml:space="preserve">Giving</t>
        </is>
      </c>
      <c r="O714" s="42">
        <v>0</v>
      </c>
      <c r="P714" s="42">
        <v>0.574</v>
      </c>
      <c r="Q714" s="42">
        <v>-0.574</v>
      </c>
      <c r="R714" s="31" t="inlineStr">
        <is>
          <t xml:space="preserve">FBC 13/Handicaps (FBC 13).xlsx</t>
        </is>
      </c>
    </row>
    <row r="715" spans="1:18">
      <c r="A715" s="43">
        <v>13</v>
      </c>
      <c r="B715" s="34" t="inlineStr">
        <is>
          <t xml:space="preserve">FBC13-D9</t>
        </is>
      </c>
      <c r="C715" s="34" t="inlineStr">
        <is>
          <t xml:space="preserve">Best Ball</t>
        </is>
      </c>
      <c r="D715" s="34" t="inlineStr">
        <is>
          <t xml:space="preserve">Four-ball</t>
        </is>
      </c>
      <c r="E715" s="43">
        <v>9</v>
      </c>
      <c r="F715" s="45">
        <v>1</v>
      </c>
      <c r="G715" s="34" t="inlineStr">
        <is>
          <t xml:space="preserve">Forster</t>
        </is>
      </c>
      <c r="H715" s="34" t="inlineStr">
        <is>
          <t xml:space="preserve">Forster</t>
        </is>
      </c>
      <c r="I715" s="34" t="inlineStr">
        <is>
          <t xml:space="preserve">Flanders</t>
        </is>
      </c>
      <c r="J715" s="34" t="inlineStr">
        <is>
          <t xml:space="preserve">Lynch</t>
        </is>
      </c>
      <c r="K715" s="34" t="inlineStr">
        <is>
          <t xml:space="preserve">Piegari</t>
        </is>
      </c>
      <c r="L715" s="45">
        <v>2</v>
      </c>
      <c r="M715" s="45">
        <v>1</v>
      </c>
      <c r="N715" s="34" t="inlineStr">
        <is>
          <t xml:space="preserve">Getting</t>
        </is>
      </c>
      <c r="O715" s="45">
        <v>1</v>
      </c>
      <c r="P715" s="45">
        <v>0.426</v>
      </c>
      <c r="Q715" s="45">
        <v>0.574</v>
      </c>
      <c r="R715" s="34" t="inlineStr">
        <is>
          <t xml:space="preserve">FBC 13/Handicaps (FBC 13).xlsx</t>
        </is>
      </c>
    </row>
    <row r="716" spans="1:18">
      <c r="A716" s="40">
        <v>13</v>
      </c>
      <c r="B716" s="31" t="inlineStr">
        <is>
          <t xml:space="preserve">FBC13-D10</t>
        </is>
      </c>
      <c r="C716" s="31" t="inlineStr">
        <is>
          <t xml:space="preserve">Vegas</t>
        </is>
      </c>
      <c r="D716" s="31" t="inlineStr">
        <is>
          <t xml:space="preserve">Four-ball</t>
        </is>
      </c>
      <c r="E716" s="40">
        <v>9</v>
      </c>
      <c r="F716" s="42">
        <v>1</v>
      </c>
      <c r="G716" s="31" t="inlineStr">
        <is>
          <t xml:space="preserve">Mangold</t>
        </is>
      </c>
      <c r="H716" s="31" t="inlineStr">
        <is>
          <t xml:space="preserve">Lynch</t>
        </is>
      </c>
      <c r="I716" s="31" t="inlineStr">
        <is>
          <t xml:space="preserve">Piegari</t>
        </is>
      </c>
      <c r="J716" s="31" t="inlineStr">
        <is>
          <t xml:space="preserve">Forster</t>
        </is>
      </c>
      <c r="K716" s="31" t="inlineStr">
        <is>
          <t xml:space="preserve">Flanders</t>
        </is>
      </c>
      <c r="L716" s="42">
        <v>-2</v>
      </c>
      <c r="M716" s="42">
        <v>-1</v>
      </c>
      <c r="N716" s="31" t="inlineStr">
        <is>
          <t xml:space="preserve">Giving</t>
        </is>
      </c>
      <c r="O716" s="42">
        <v>0.5</v>
      </c>
      <c r="P716" s="42">
        <v>0.574</v>
      </c>
      <c r="Q716" s="42">
        <v>-0.074</v>
      </c>
      <c r="R716" s="31" t="inlineStr">
        <is>
          <t xml:space="preserve">FBC 13/Handicaps (FBC 13).xlsx</t>
        </is>
      </c>
    </row>
    <row r="717" spans="1:18">
      <c r="A717" s="43">
        <v>13</v>
      </c>
      <c r="B717" s="34" t="inlineStr">
        <is>
          <t xml:space="preserve">FBC13-D10</t>
        </is>
      </c>
      <c r="C717" s="34" t="inlineStr">
        <is>
          <t xml:space="preserve">Vegas</t>
        </is>
      </c>
      <c r="D717" s="34" t="inlineStr">
        <is>
          <t xml:space="preserve">Four-ball</t>
        </is>
      </c>
      <c r="E717" s="43">
        <v>9</v>
      </c>
      <c r="F717" s="45">
        <v>1</v>
      </c>
      <c r="G717" s="34" t="inlineStr">
        <is>
          <t xml:space="preserve">Forster</t>
        </is>
      </c>
      <c r="H717" s="34" t="inlineStr">
        <is>
          <t xml:space="preserve">Forster</t>
        </is>
      </c>
      <c r="I717" s="34" t="inlineStr">
        <is>
          <t xml:space="preserve">Flanders</t>
        </is>
      </c>
      <c r="J717" s="34" t="inlineStr">
        <is>
          <t xml:space="preserve">Lynch</t>
        </is>
      </c>
      <c r="K717" s="34" t="inlineStr">
        <is>
          <t xml:space="preserve">Piegari</t>
        </is>
      </c>
      <c r="L717" s="45">
        <v>2</v>
      </c>
      <c r="M717" s="45">
        <v>1</v>
      </c>
      <c r="N717" s="34" t="inlineStr">
        <is>
          <t xml:space="preserve">Getting</t>
        </is>
      </c>
      <c r="O717" s="45">
        <v>0.5</v>
      </c>
      <c r="P717" s="45">
        <v>0.426</v>
      </c>
      <c r="Q717" s="45">
        <v>0.074</v>
      </c>
      <c r="R717" s="34" t="inlineStr">
        <is>
          <t xml:space="preserve">FBC 13/Handicaps (FBC 13).xlsx</t>
        </is>
      </c>
    </row>
    <row r="718" spans="1:18">
      <c r="A718" s="40">
        <v>13</v>
      </c>
      <c r="B718" s="31" t="inlineStr">
        <is>
          <t xml:space="preserve">FBC13-D11</t>
        </is>
      </c>
      <c r="C718" s="31" t="inlineStr">
        <is>
          <t xml:space="preserve">Best Ball</t>
        </is>
      </c>
      <c r="D718" s="31" t="inlineStr">
        <is>
          <t xml:space="preserve">Four-ball</t>
        </is>
      </c>
      <c r="E718" s="40">
        <v>9</v>
      </c>
      <c r="F718" s="42">
        <v>1</v>
      </c>
      <c r="G718" s="31" t="inlineStr">
        <is>
          <t xml:space="preserve">Mangold</t>
        </is>
      </c>
      <c r="H718" s="31" t="inlineStr">
        <is>
          <t xml:space="preserve">Jackson</t>
        </is>
      </c>
      <c r="I718" s="31" t="inlineStr">
        <is>
          <t xml:space="preserve">Perkins</t>
        </is>
      </c>
      <c r="J718" s="31" t="inlineStr">
        <is>
          <t xml:space="preserve">Delneky</t>
        </is>
      </c>
      <c r="K718" s="31" t="inlineStr">
        <is>
          <t xml:space="preserve">R. Connolly</t>
        </is>
      </c>
      <c r="L718" s="42">
        <v>-6</v>
      </c>
      <c r="M718" s="42">
        <v>-3</v>
      </c>
      <c r="N718" s="31" t="inlineStr">
        <is>
          <t xml:space="preserve">Giving</t>
        </is>
      </c>
      <c r="O718" s="42">
        <v>0</v>
      </c>
      <c r="P718" s="42">
        <v>0.561</v>
      </c>
      <c r="Q718" s="42">
        <v>-0.561</v>
      </c>
      <c r="R718" s="31" t="inlineStr">
        <is>
          <t xml:space="preserve">FBC 13/Handicaps (FBC 13).xlsx</t>
        </is>
      </c>
    </row>
    <row r="719" spans="1:18">
      <c r="A719" s="43">
        <v>13</v>
      </c>
      <c r="B719" s="34" t="inlineStr">
        <is>
          <t xml:space="preserve">FBC13-D11</t>
        </is>
      </c>
      <c r="C719" s="34" t="inlineStr">
        <is>
          <t xml:space="preserve">Best Ball</t>
        </is>
      </c>
      <c r="D719" s="34" t="inlineStr">
        <is>
          <t xml:space="preserve">Four-ball</t>
        </is>
      </c>
      <c r="E719" s="43">
        <v>9</v>
      </c>
      <c r="F719" s="45">
        <v>1</v>
      </c>
      <c r="G719" s="34" t="inlineStr">
        <is>
          <t xml:space="preserve">Forster</t>
        </is>
      </c>
      <c r="H719" s="34" t="inlineStr">
        <is>
          <t xml:space="preserve">Delneky</t>
        </is>
      </c>
      <c r="I719" s="34" t="inlineStr">
        <is>
          <t xml:space="preserve">R. Connolly</t>
        </is>
      </c>
      <c r="J719" s="34" t="inlineStr">
        <is>
          <t xml:space="preserve">Jackson</t>
        </is>
      </c>
      <c r="K719" s="34" t="inlineStr">
        <is>
          <t xml:space="preserve">Perkins</t>
        </is>
      </c>
      <c r="L719" s="45">
        <v>6</v>
      </c>
      <c r="M719" s="45">
        <v>3</v>
      </c>
      <c r="N719" s="34" t="inlineStr">
        <is>
          <t xml:space="preserve">Getting</t>
        </is>
      </c>
      <c r="O719" s="45">
        <v>1</v>
      </c>
      <c r="P719" s="45">
        <v>0.439</v>
      </c>
      <c r="Q719" s="45">
        <v>0.561</v>
      </c>
      <c r="R719" s="34" t="inlineStr">
        <is>
          <t xml:space="preserve">FBC 13/Handicaps (FBC 13).xlsx</t>
        </is>
      </c>
    </row>
    <row r="720" spans="1:18">
      <c r="A720" s="40">
        <v>13</v>
      </c>
      <c r="B720" s="31" t="inlineStr">
        <is>
          <t xml:space="preserve">FBC13-D12</t>
        </is>
      </c>
      <c r="C720" s="31" t="inlineStr">
        <is>
          <t xml:space="preserve">Vegas</t>
        </is>
      </c>
      <c r="D720" s="31" t="inlineStr">
        <is>
          <t xml:space="preserve">Four-ball</t>
        </is>
      </c>
      <c r="E720" s="40">
        <v>9</v>
      </c>
      <c r="F720" s="42">
        <v>1</v>
      </c>
      <c r="G720" s="31" t="inlineStr">
        <is>
          <t xml:space="preserve">Mangold</t>
        </is>
      </c>
      <c r="H720" s="31" t="inlineStr">
        <is>
          <t xml:space="preserve">Jackson</t>
        </is>
      </c>
      <c r="I720" s="31" t="inlineStr">
        <is>
          <t xml:space="preserve">Perkins</t>
        </is>
      </c>
      <c r="J720" s="31" t="inlineStr">
        <is>
          <t xml:space="preserve">Delneky</t>
        </is>
      </c>
      <c r="K720" s="31" t="inlineStr">
        <is>
          <t xml:space="preserve">R. Connolly</t>
        </is>
      </c>
      <c r="L720" s="42">
        <v>-6</v>
      </c>
      <c r="M720" s="42">
        <v>-3</v>
      </c>
      <c r="N720" s="31" t="inlineStr">
        <is>
          <t xml:space="preserve">Giving</t>
        </is>
      </c>
      <c r="O720" s="42">
        <v>1</v>
      </c>
      <c r="P720" s="42">
        <v>0.561</v>
      </c>
      <c r="Q720" s="42">
        <v>0.439</v>
      </c>
      <c r="R720" s="31" t="inlineStr">
        <is>
          <t xml:space="preserve">FBC 13/Handicaps (FBC 13).xlsx</t>
        </is>
      </c>
    </row>
    <row r="721" spans="1:18">
      <c r="A721" s="43">
        <v>13</v>
      </c>
      <c r="B721" s="34" t="inlineStr">
        <is>
          <t xml:space="preserve">FBC13-D12</t>
        </is>
      </c>
      <c r="C721" s="34" t="inlineStr">
        <is>
          <t xml:space="preserve">Vegas</t>
        </is>
      </c>
      <c r="D721" s="34" t="inlineStr">
        <is>
          <t xml:space="preserve">Four-ball</t>
        </is>
      </c>
      <c r="E721" s="43">
        <v>9</v>
      </c>
      <c r="F721" s="45">
        <v>1</v>
      </c>
      <c r="G721" s="34" t="inlineStr">
        <is>
          <t xml:space="preserve">Forster</t>
        </is>
      </c>
      <c r="H721" s="34" t="inlineStr">
        <is>
          <t xml:space="preserve">Delneky</t>
        </is>
      </c>
      <c r="I721" s="34" t="inlineStr">
        <is>
          <t xml:space="preserve">R. Connolly</t>
        </is>
      </c>
      <c r="J721" s="34" t="inlineStr">
        <is>
          <t xml:space="preserve">Jackson</t>
        </is>
      </c>
      <c r="K721" s="34" t="inlineStr">
        <is>
          <t xml:space="preserve">Perkins</t>
        </is>
      </c>
      <c r="L721" s="45">
        <v>6</v>
      </c>
      <c r="M721" s="45">
        <v>3</v>
      </c>
      <c r="N721" s="34" t="inlineStr">
        <is>
          <t xml:space="preserve">Getting</t>
        </is>
      </c>
      <c r="O721" s="45">
        <v>0</v>
      </c>
      <c r="P721" s="45">
        <v>0.439</v>
      </c>
      <c r="Q721" s="45">
        <v>-0.439</v>
      </c>
      <c r="R721" s="34" t="inlineStr">
        <is>
          <t xml:space="preserve">FBC 13/Handicaps (FBC 13).xlsx</t>
        </is>
      </c>
    </row>
    <row r="722" spans="1:18">
      <c r="A722" s="40">
        <v>13</v>
      </c>
      <c r="B722" s="31" t="inlineStr">
        <is>
          <t xml:space="preserve">FBC13-D13</t>
        </is>
      </c>
      <c r="C722" s="31" t="inlineStr">
        <is>
          <t xml:space="preserve">Pinehurst</t>
        </is>
      </c>
      <c r="D722" s="31" t="inlineStr">
        <is>
          <t xml:space="preserve">Pinehurst</t>
        </is>
      </c>
      <c r="E722" s="40">
        <v>9</v>
      </c>
      <c r="F722" s="42">
        <v>1</v>
      </c>
      <c r="G722" s="31" t="inlineStr">
        <is>
          <t xml:space="preserve">Mangold</t>
        </is>
      </c>
      <c r="H722" s="31" t="inlineStr">
        <is>
          <t xml:space="preserve">McInerney</t>
        </is>
      </c>
      <c r="I722" s="31" t="inlineStr">
        <is>
          <t xml:space="preserve">Shively</t>
        </is>
      </c>
      <c r="J722" s="31" t="inlineStr">
        <is>
          <t xml:space="preserve">Poirier</t>
        </is>
      </c>
      <c r="K722" s="31" t="inlineStr">
        <is>
          <t xml:space="preserve">Hilts</t>
        </is>
      </c>
      <c r="L722" s="42">
        <v>-2</v>
      </c>
      <c r="M722" s="42">
        <v>-1</v>
      </c>
      <c r="N722" s="31" t="inlineStr">
        <is>
          <t xml:space="preserve">Giving</t>
        </is>
      </c>
      <c r="O722" s="42">
        <v>0</v>
      </c>
      <c r="P722" s="42">
        <v>0.563</v>
      </c>
      <c r="Q722" s="42">
        <v>-0.563</v>
      </c>
      <c r="R722" s="31" t="inlineStr">
        <is>
          <t xml:space="preserve">FBC 13/Handicaps (FBC 13).xlsx</t>
        </is>
      </c>
    </row>
    <row r="723" spans="1:18">
      <c r="A723" s="43">
        <v>13</v>
      </c>
      <c r="B723" s="34" t="inlineStr">
        <is>
          <t xml:space="preserve">FBC13-D13</t>
        </is>
      </c>
      <c r="C723" s="34" t="inlineStr">
        <is>
          <t xml:space="preserve">Pinehurst</t>
        </is>
      </c>
      <c r="D723" s="34" t="inlineStr">
        <is>
          <t xml:space="preserve">Pinehurst</t>
        </is>
      </c>
      <c r="E723" s="43">
        <v>9</v>
      </c>
      <c r="F723" s="45">
        <v>1</v>
      </c>
      <c r="G723" s="34" t="inlineStr">
        <is>
          <t xml:space="preserve">Forster</t>
        </is>
      </c>
      <c r="H723" s="34" t="inlineStr">
        <is>
          <t xml:space="preserve">Poirier</t>
        </is>
      </c>
      <c r="I723" s="34" t="inlineStr">
        <is>
          <t xml:space="preserve">Hilts</t>
        </is>
      </c>
      <c r="J723" s="34" t="inlineStr">
        <is>
          <t xml:space="preserve">McInerney</t>
        </is>
      </c>
      <c r="K723" s="34" t="inlineStr">
        <is>
          <t xml:space="preserve">Shively</t>
        </is>
      </c>
      <c r="L723" s="45">
        <v>2</v>
      </c>
      <c r="M723" s="45">
        <v>1</v>
      </c>
      <c r="N723" s="34" t="inlineStr">
        <is>
          <t xml:space="preserve">Getting</t>
        </is>
      </c>
      <c r="O723" s="45">
        <v>1</v>
      </c>
      <c r="P723" s="45">
        <v>0.437</v>
      </c>
      <c r="Q723" s="45">
        <v>0.563</v>
      </c>
      <c r="R723" s="34" t="inlineStr">
        <is>
          <t xml:space="preserve">FBC 13/Handicaps (FBC 13).xlsx</t>
        </is>
      </c>
    </row>
    <row r="724" spans="1:18">
      <c r="A724" s="40">
        <v>13</v>
      </c>
      <c r="B724" s="31" t="inlineStr">
        <is>
          <t xml:space="preserve">FBC13-D14</t>
        </is>
      </c>
      <c r="C724" s="31" t="inlineStr">
        <is>
          <t xml:space="preserve">Scramble</t>
        </is>
      </c>
      <c r="D724" s="31" t="inlineStr">
        <is>
          <t xml:space="preserve">Scramble</t>
        </is>
      </c>
      <c r="E724" s="40">
        <v>9</v>
      </c>
      <c r="F724" s="42">
        <v>1</v>
      </c>
      <c r="G724" s="31" t="inlineStr">
        <is>
          <t xml:space="preserve">Mangold</t>
        </is>
      </c>
      <c r="H724" s="31" t="inlineStr">
        <is>
          <t xml:space="preserve">McInerney</t>
        </is>
      </c>
      <c r="I724" s="31" t="inlineStr">
        <is>
          <t xml:space="preserve">Shively</t>
        </is>
      </c>
      <c r="J724" s="31" t="inlineStr">
        <is>
          <t xml:space="preserve">Poirier</t>
        </is>
      </c>
      <c r="K724" s="31" t="inlineStr">
        <is>
          <t xml:space="preserve">Hilts</t>
        </is>
      </c>
      <c r="L724" s="42">
        <v>-1</v>
      </c>
      <c r="M724" s="42">
        <v>-0.5</v>
      </c>
      <c r="N724" s="31" t="inlineStr">
        <is>
          <t xml:space="preserve">Giving</t>
        </is>
      </c>
      <c r="O724" s="42">
        <v>1</v>
      </c>
      <c r="P724" s="42">
        <v>0.534</v>
      </c>
      <c r="Q724" s="42">
        <v>0.466</v>
      </c>
      <c r="R724" s="31" t="inlineStr">
        <is>
          <t xml:space="preserve">FBC 13/Handicaps (FBC 13).xlsx</t>
        </is>
      </c>
    </row>
    <row r="725" spans="1:18">
      <c r="A725" s="43">
        <v>13</v>
      </c>
      <c r="B725" s="34" t="inlineStr">
        <is>
          <t xml:space="preserve">FBC13-D14</t>
        </is>
      </c>
      <c r="C725" s="34" t="inlineStr">
        <is>
          <t xml:space="preserve">Scramble</t>
        </is>
      </c>
      <c r="D725" s="34" t="inlineStr">
        <is>
          <t xml:space="preserve">Scramble</t>
        </is>
      </c>
      <c r="E725" s="43">
        <v>9</v>
      </c>
      <c r="F725" s="45">
        <v>1</v>
      </c>
      <c r="G725" s="34" t="inlineStr">
        <is>
          <t xml:space="preserve">Forster</t>
        </is>
      </c>
      <c r="H725" s="34" t="inlineStr">
        <is>
          <t xml:space="preserve">Poirier</t>
        </is>
      </c>
      <c r="I725" s="34" t="inlineStr">
        <is>
          <t xml:space="preserve">Hilts</t>
        </is>
      </c>
      <c r="J725" s="34" t="inlineStr">
        <is>
          <t xml:space="preserve">McInerney</t>
        </is>
      </c>
      <c r="K725" s="34" t="inlineStr">
        <is>
          <t xml:space="preserve">Shively</t>
        </is>
      </c>
      <c r="L725" s="45">
        <v>1</v>
      </c>
      <c r="M725" s="45">
        <v>0.5</v>
      </c>
      <c r="N725" s="34" t="inlineStr">
        <is>
          <t xml:space="preserve">Getting</t>
        </is>
      </c>
      <c r="O725" s="45">
        <v>0</v>
      </c>
      <c r="P725" s="45">
        <v>0.466</v>
      </c>
      <c r="Q725" s="45">
        <v>-0.466</v>
      </c>
      <c r="R725" s="34" t="inlineStr">
        <is>
          <t xml:space="preserve">FBC 13/Handicaps (FBC 13).xlsx</t>
        </is>
      </c>
    </row>
    <row r="726" spans="1:18">
      <c r="A726" s="40">
        <v>13</v>
      </c>
      <c r="B726" s="31" t="inlineStr">
        <is>
          <t xml:space="preserve">FBC13-D15</t>
        </is>
      </c>
      <c r="C726" s="31" t="inlineStr">
        <is>
          <t xml:space="preserve">Pinehurst</t>
        </is>
      </c>
      <c r="D726" s="31" t="inlineStr">
        <is>
          <t xml:space="preserve">Pinehurst</t>
        </is>
      </c>
      <c r="E726" s="40">
        <v>9</v>
      </c>
      <c r="F726" s="42">
        <v>1</v>
      </c>
      <c r="G726" s="31" t="inlineStr">
        <is>
          <t xml:space="preserve">Mangold</t>
        </is>
      </c>
      <c r="H726" s="31" t="inlineStr">
        <is>
          <t xml:space="preserve">Ferrin</t>
        </is>
      </c>
      <c r="I726" s="31" t="inlineStr">
        <is>
          <t xml:space="preserve">DeOteris</t>
        </is>
      </c>
      <c r="J726" s="31" t="inlineStr">
        <is>
          <t xml:space="preserve">Zimmer</t>
        </is>
      </c>
      <c r="K726" s="31" t="inlineStr">
        <is>
          <t xml:space="preserve">Cole</t>
        </is>
      </c>
      <c r="L726" s="42">
        <v>-2</v>
      </c>
      <c r="M726" s="42">
        <v>-1</v>
      </c>
      <c r="N726" s="31" t="inlineStr">
        <is>
          <t xml:space="preserve">Giving</t>
        </is>
      </c>
      <c r="O726" s="42">
        <v>0.5</v>
      </c>
      <c r="P726" s="42">
        <v>0.563</v>
      </c>
      <c r="Q726" s="42">
        <v>-0.063</v>
      </c>
      <c r="R726" s="31" t="inlineStr">
        <is>
          <t xml:space="preserve">FBC 13/Handicaps (FBC 13).xlsx</t>
        </is>
      </c>
    </row>
    <row r="727" spans="1:18">
      <c r="A727" s="43">
        <v>13</v>
      </c>
      <c r="B727" s="34" t="inlineStr">
        <is>
          <t xml:space="preserve">FBC13-D15</t>
        </is>
      </c>
      <c r="C727" s="34" t="inlineStr">
        <is>
          <t xml:space="preserve">Pinehurst</t>
        </is>
      </c>
      <c r="D727" s="34" t="inlineStr">
        <is>
          <t xml:space="preserve">Pinehurst</t>
        </is>
      </c>
      <c r="E727" s="43">
        <v>9</v>
      </c>
      <c r="F727" s="45">
        <v>1</v>
      </c>
      <c r="G727" s="34" t="inlineStr">
        <is>
          <t xml:space="preserve">Forster</t>
        </is>
      </c>
      <c r="H727" s="34" t="inlineStr">
        <is>
          <t xml:space="preserve">Zimmer</t>
        </is>
      </c>
      <c r="I727" s="34" t="inlineStr">
        <is>
          <t xml:space="preserve">Cole</t>
        </is>
      </c>
      <c r="J727" s="34" t="inlineStr">
        <is>
          <t xml:space="preserve">Ferrin</t>
        </is>
      </c>
      <c r="K727" s="34" t="inlineStr">
        <is>
          <t xml:space="preserve">DeOteris</t>
        </is>
      </c>
      <c r="L727" s="45">
        <v>2</v>
      </c>
      <c r="M727" s="45">
        <v>1</v>
      </c>
      <c r="N727" s="34" t="inlineStr">
        <is>
          <t xml:space="preserve">Getting</t>
        </is>
      </c>
      <c r="O727" s="45">
        <v>0.5</v>
      </c>
      <c r="P727" s="45">
        <v>0.437</v>
      </c>
      <c r="Q727" s="45">
        <v>0.063</v>
      </c>
      <c r="R727" s="34" t="inlineStr">
        <is>
          <t xml:space="preserve">FBC 13/Handicaps (FBC 13).xlsx</t>
        </is>
      </c>
    </row>
    <row r="728" spans="1:18">
      <c r="A728" s="40">
        <v>13</v>
      </c>
      <c r="B728" s="31" t="inlineStr">
        <is>
          <t xml:space="preserve">FBC13-D16</t>
        </is>
      </c>
      <c r="C728" s="31" t="inlineStr">
        <is>
          <t xml:space="preserve">Scramble</t>
        </is>
      </c>
      <c r="D728" s="31" t="inlineStr">
        <is>
          <t xml:space="preserve">Scramble</t>
        </is>
      </c>
      <c r="E728" s="40">
        <v>9</v>
      </c>
      <c r="F728" s="42">
        <v>1</v>
      </c>
      <c r="G728" s="31" t="inlineStr">
        <is>
          <t xml:space="preserve">Mangold</t>
        </is>
      </c>
      <c r="H728" s="31" t="inlineStr">
        <is>
          <t xml:space="preserve">Ferrin</t>
        </is>
      </c>
      <c r="I728" s="31" t="inlineStr">
        <is>
          <t xml:space="preserve">DeOteris</t>
        </is>
      </c>
      <c r="J728" s="31" t="inlineStr">
        <is>
          <t xml:space="preserve">Zimmer</t>
        </is>
      </c>
      <c r="K728" s="31" t="inlineStr">
        <is>
          <t xml:space="preserve">Cole</t>
        </is>
      </c>
      <c r="L728" s="42">
        <v>0</v>
      </c>
      <c r="M728" s="42">
        <v>0</v>
      </c>
      <c r="N728" s="31" t="inlineStr">
        <is>
          <t xml:space="preserve">Even</t>
        </is>
      </c>
      <c r="O728" s="42">
        <v>1</v>
      </c>
      <c r="P728" s="42">
        <v>0.5</v>
      </c>
      <c r="Q728" s="42">
        <v>0.5</v>
      </c>
      <c r="R728" s="31" t="inlineStr">
        <is>
          <t xml:space="preserve">FBC 13/Handicaps (FBC 13).xlsx</t>
        </is>
      </c>
    </row>
    <row r="729" spans="1:18">
      <c r="A729" s="43">
        <v>13</v>
      </c>
      <c r="B729" s="34" t="inlineStr">
        <is>
          <t xml:space="preserve">FBC13-D16</t>
        </is>
      </c>
      <c r="C729" s="34" t="inlineStr">
        <is>
          <t xml:space="preserve">Scramble</t>
        </is>
      </c>
      <c r="D729" s="34" t="inlineStr">
        <is>
          <t xml:space="preserve">Scramble</t>
        </is>
      </c>
      <c r="E729" s="43">
        <v>9</v>
      </c>
      <c r="F729" s="45">
        <v>1</v>
      </c>
      <c r="G729" s="34" t="inlineStr">
        <is>
          <t xml:space="preserve">Forster</t>
        </is>
      </c>
      <c r="H729" s="34" t="inlineStr">
        <is>
          <t xml:space="preserve">Zimmer</t>
        </is>
      </c>
      <c r="I729" s="34" t="inlineStr">
        <is>
          <t xml:space="preserve">Cole</t>
        </is>
      </c>
      <c r="J729" s="34" t="inlineStr">
        <is>
          <t xml:space="preserve">Ferrin</t>
        </is>
      </c>
      <c r="K729" s="34" t="inlineStr">
        <is>
          <t xml:space="preserve">DeOteris</t>
        </is>
      </c>
      <c r="L729" s="45">
        <v>0</v>
      </c>
      <c r="M729" s="45">
        <v>0</v>
      </c>
      <c r="N729" s="34" t="inlineStr">
        <is>
          <t xml:space="preserve">Even</t>
        </is>
      </c>
      <c r="O729" s="45">
        <v>0</v>
      </c>
      <c r="P729" s="45">
        <v>0.5</v>
      </c>
      <c r="Q729" s="45">
        <v>-0.5</v>
      </c>
      <c r="R729" s="34" t="inlineStr">
        <is>
          <t xml:space="preserve">FBC 13/Handicaps (FBC 13).xlsx</t>
        </is>
      </c>
    </row>
    <row r="730" spans="1:18">
      <c r="A730" s="40">
        <v>13</v>
      </c>
      <c r="B730" s="31" t="inlineStr">
        <is>
          <t xml:space="preserve">FBC13-D17</t>
        </is>
      </c>
      <c r="C730" s="31" t="inlineStr">
        <is>
          <t xml:space="preserve">Pinehurst</t>
        </is>
      </c>
      <c r="D730" s="31" t="inlineStr">
        <is>
          <t xml:space="preserve">Pinehurst</t>
        </is>
      </c>
      <c r="E730" s="40">
        <v>9</v>
      </c>
      <c r="F730" s="42">
        <v>1</v>
      </c>
      <c r="G730" s="31" t="inlineStr">
        <is>
          <t xml:space="preserve">Mangold</t>
        </is>
      </c>
      <c r="H730" s="31" t="inlineStr">
        <is>
          <t xml:space="preserve">Lynch</t>
        </is>
      </c>
      <c r="I730" s="31" t="inlineStr">
        <is>
          <t xml:space="preserve">Fogan</t>
        </is>
      </c>
      <c r="J730" s="31" t="inlineStr">
        <is>
          <t xml:space="preserve">Flanders</t>
        </is>
      </c>
      <c r="K730" s="31" t="inlineStr">
        <is>
          <t xml:space="preserve">Norat</t>
        </is>
      </c>
      <c r="L730" s="42">
        <v>-1</v>
      </c>
      <c r="M730" s="42">
        <v>-0.5</v>
      </c>
      <c r="N730" s="31" t="inlineStr">
        <is>
          <t xml:space="preserve">Giving</t>
        </is>
      </c>
      <c r="O730" s="42">
        <v>0</v>
      </c>
      <c r="P730" s="42">
        <v>0.572</v>
      </c>
      <c r="Q730" s="42">
        <v>-0.572</v>
      </c>
      <c r="R730" s="31" t="inlineStr">
        <is>
          <t xml:space="preserve">FBC 13/Handicaps (FBC 13).xlsx</t>
        </is>
      </c>
    </row>
    <row r="731" spans="1:18">
      <c r="A731" s="43">
        <v>13</v>
      </c>
      <c r="B731" s="34" t="inlineStr">
        <is>
          <t xml:space="preserve">FBC13-D17</t>
        </is>
      </c>
      <c r="C731" s="34" t="inlineStr">
        <is>
          <t xml:space="preserve">Pinehurst</t>
        </is>
      </c>
      <c r="D731" s="34" t="inlineStr">
        <is>
          <t xml:space="preserve">Pinehurst</t>
        </is>
      </c>
      <c r="E731" s="43">
        <v>9</v>
      </c>
      <c r="F731" s="45">
        <v>1</v>
      </c>
      <c r="G731" s="34" t="inlineStr">
        <is>
          <t xml:space="preserve">Forster</t>
        </is>
      </c>
      <c r="H731" s="34" t="inlineStr">
        <is>
          <t xml:space="preserve">Flanders</t>
        </is>
      </c>
      <c r="I731" s="34" t="inlineStr">
        <is>
          <t xml:space="preserve">Norat</t>
        </is>
      </c>
      <c r="J731" s="34" t="inlineStr">
        <is>
          <t xml:space="preserve">Lynch</t>
        </is>
      </c>
      <c r="K731" s="34" t="inlineStr">
        <is>
          <t xml:space="preserve">Fogan</t>
        </is>
      </c>
      <c r="L731" s="45">
        <v>1</v>
      </c>
      <c r="M731" s="45">
        <v>0.5</v>
      </c>
      <c r="N731" s="34" t="inlineStr">
        <is>
          <t xml:space="preserve">Getting</t>
        </is>
      </c>
      <c r="O731" s="45">
        <v>1</v>
      </c>
      <c r="P731" s="45">
        <v>0.428</v>
      </c>
      <c r="Q731" s="45">
        <v>0.572</v>
      </c>
      <c r="R731" s="34" t="inlineStr">
        <is>
          <t xml:space="preserve">FBC 13/Handicaps (FBC 13).xlsx</t>
        </is>
      </c>
    </row>
    <row r="732" spans="1:18">
      <c r="A732" s="40">
        <v>13</v>
      </c>
      <c r="B732" s="31" t="inlineStr">
        <is>
          <t xml:space="preserve">FBC13-D18</t>
        </is>
      </c>
      <c r="C732" s="31" t="inlineStr">
        <is>
          <t xml:space="preserve">Scramble</t>
        </is>
      </c>
      <c r="D732" s="31" t="inlineStr">
        <is>
          <t xml:space="preserve">Scramble</t>
        </is>
      </c>
      <c r="E732" s="40">
        <v>9</v>
      </c>
      <c r="F732" s="42">
        <v>1</v>
      </c>
      <c r="G732" s="31" t="inlineStr">
        <is>
          <t xml:space="preserve">Mangold</t>
        </is>
      </c>
      <c r="H732" s="31" t="inlineStr">
        <is>
          <t xml:space="preserve">Lynch</t>
        </is>
      </c>
      <c r="I732" s="31" t="inlineStr">
        <is>
          <t xml:space="preserve">Fogan</t>
        </is>
      </c>
      <c r="J732" s="31" t="inlineStr">
        <is>
          <t xml:space="preserve">Flanders</t>
        </is>
      </c>
      <c r="K732" s="31" t="inlineStr">
        <is>
          <t xml:space="preserve">Norat</t>
        </is>
      </c>
      <c r="L732" s="42">
        <v>-1</v>
      </c>
      <c r="M732" s="42">
        <v>-0.5</v>
      </c>
      <c r="N732" s="31" t="inlineStr">
        <is>
          <t xml:space="preserve">Giving</t>
        </is>
      </c>
      <c r="O732" s="42">
        <v>1</v>
      </c>
      <c r="P732" s="42">
        <v>0.534</v>
      </c>
      <c r="Q732" s="42">
        <v>0.466</v>
      </c>
      <c r="R732" s="31" t="inlineStr">
        <is>
          <t xml:space="preserve">FBC 13/Handicaps (FBC 13).xlsx</t>
        </is>
      </c>
    </row>
    <row r="733" spans="1:18">
      <c r="A733" s="43">
        <v>13</v>
      </c>
      <c r="B733" s="34" t="inlineStr">
        <is>
          <t xml:space="preserve">FBC13-D18</t>
        </is>
      </c>
      <c r="C733" s="34" t="inlineStr">
        <is>
          <t xml:space="preserve">Scramble</t>
        </is>
      </c>
      <c r="D733" s="34" t="inlineStr">
        <is>
          <t xml:space="preserve">Scramble</t>
        </is>
      </c>
      <c r="E733" s="43">
        <v>9</v>
      </c>
      <c r="F733" s="45">
        <v>1</v>
      </c>
      <c r="G733" s="34" t="inlineStr">
        <is>
          <t xml:space="preserve">Forster</t>
        </is>
      </c>
      <c r="H733" s="34" t="inlineStr">
        <is>
          <t xml:space="preserve">Flanders</t>
        </is>
      </c>
      <c r="I733" s="34" t="inlineStr">
        <is>
          <t xml:space="preserve">Norat</t>
        </is>
      </c>
      <c r="J733" s="34" t="inlineStr">
        <is>
          <t xml:space="preserve">Lynch</t>
        </is>
      </c>
      <c r="K733" s="34" t="inlineStr">
        <is>
          <t xml:space="preserve">Fogan</t>
        </is>
      </c>
      <c r="L733" s="45">
        <v>1</v>
      </c>
      <c r="M733" s="45">
        <v>0.5</v>
      </c>
      <c r="N733" s="34" t="inlineStr">
        <is>
          <t xml:space="preserve">Getting</t>
        </is>
      </c>
      <c r="O733" s="45">
        <v>0</v>
      </c>
      <c r="P733" s="45">
        <v>0.466</v>
      </c>
      <c r="Q733" s="45">
        <v>-0.466</v>
      </c>
      <c r="R733" s="34" t="inlineStr">
        <is>
          <t xml:space="preserve">FBC 13/Handicaps (FBC 13).xlsx</t>
        </is>
      </c>
    </row>
    <row r="734" spans="1:18">
      <c r="A734" s="40">
        <v>13</v>
      </c>
      <c r="B734" s="31" t="inlineStr">
        <is>
          <t xml:space="preserve">FBC13-D19</t>
        </is>
      </c>
      <c r="C734" s="31" t="inlineStr">
        <is>
          <t xml:space="preserve">Pinehurst</t>
        </is>
      </c>
      <c r="D734" s="31" t="inlineStr">
        <is>
          <t xml:space="preserve">Pinehurst</t>
        </is>
      </c>
      <c r="E734" s="40">
        <v>9</v>
      </c>
      <c r="F734" s="42">
        <v>1</v>
      </c>
      <c r="G734" s="31" t="inlineStr">
        <is>
          <t xml:space="preserve">Mangold</t>
        </is>
      </c>
      <c r="H734" s="31" t="inlineStr">
        <is>
          <t xml:space="preserve">Mangold</t>
        </is>
      </c>
      <c r="I734" s="31" t="inlineStr">
        <is>
          <t xml:space="preserve">Perkins</t>
        </is>
      </c>
      <c r="J734" s="31" t="inlineStr">
        <is>
          <t xml:space="preserve">Forster</t>
        </is>
      </c>
      <c r="K734" s="31" t="inlineStr">
        <is>
          <t xml:space="preserve">Connolly</t>
        </is>
      </c>
      <c r="L734" s="42">
        <v>0</v>
      </c>
      <c r="M734" s="42">
        <v>0</v>
      </c>
      <c r="N734" s="31" t="inlineStr">
        <is>
          <t xml:space="preserve">Even</t>
        </is>
      </c>
      <c r="O734" s="42">
        <v>0.5</v>
      </c>
      <c r="P734" s="42">
        <v>0.5</v>
      </c>
      <c r="Q734" s="42">
        <v>0</v>
      </c>
      <c r="R734" s="31" t="inlineStr">
        <is>
          <t xml:space="preserve">FBC 13/Handicaps (FBC 13).xlsx</t>
        </is>
      </c>
    </row>
    <row r="735" spans="1:18">
      <c r="A735" s="43">
        <v>13</v>
      </c>
      <c r="B735" s="34" t="inlineStr">
        <is>
          <t xml:space="preserve">FBC13-D19</t>
        </is>
      </c>
      <c r="C735" s="34" t="inlineStr">
        <is>
          <t xml:space="preserve">Pinehurst</t>
        </is>
      </c>
      <c r="D735" s="34" t="inlineStr">
        <is>
          <t xml:space="preserve">Pinehurst</t>
        </is>
      </c>
      <c r="E735" s="43">
        <v>9</v>
      </c>
      <c r="F735" s="45">
        <v>1</v>
      </c>
      <c r="G735" s="34" t="inlineStr">
        <is>
          <t xml:space="preserve">Forster</t>
        </is>
      </c>
      <c r="H735" s="34" t="inlineStr">
        <is>
          <t xml:space="preserve">Forster</t>
        </is>
      </c>
      <c r="I735" s="34" t="inlineStr">
        <is>
          <t xml:space="preserve">Connolly</t>
        </is>
      </c>
      <c r="J735" s="34" t="inlineStr">
        <is>
          <t xml:space="preserve">Mangold</t>
        </is>
      </c>
      <c r="K735" s="34" t="inlineStr">
        <is>
          <t xml:space="preserve">Perkins</t>
        </is>
      </c>
      <c r="L735" s="45">
        <v>0</v>
      </c>
      <c r="M735" s="45">
        <v>0</v>
      </c>
      <c r="N735" s="34" t="inlineStr">
        <is>
          <t xml:space="preserve">Even</t>
        </is>
      </c>
      <c r="O735" s="45">
        <v>0.5</v>
      </c>
      <c r="P735" s="45">
        <v>0.5</v>
      </c>
      <c r="Q735" s="45">
        <v>0</v>
      </c>
      <c r="R735" s="34" t="inlineStr">
        <is>
          <t xml:space="preserve">FBC 13/Handicaps (FBC 13).xlsx</t>
        </is>
      </c>
    </row>
    <row r="736" spans="1:18">
      <c r="A736" s="40">
        <v>13</v>
      </c>
      <c r="B736" s="31" t="inlineStr">
        <is>
          <t xml:space="preserve">FBC13-D20</t>
        </is>
      </c>
      <c r="C736" s="31" t="inlineStr">
        <is>
          <t xml:space="preserve">Scramble</t>
        </is>
      </c>
      <c r="D736" s="31" t="inlineStr">
        <is>
          <t xml:space="preserve">Scramble</t>
        </is>
      </c>
      <c r="E736" s="40">
        <v>9</v>
      </c>
      <c r="F736" s="42">
        <v>1</v>
      </c>
      <c r="G736" s="31" t="inlineStr">
        <is>
          <t xml:space="preserve">Mangold</t>
        </is>
      </c>
      <c r="H736" s="31" t="inlineStr">
        <is>
          <t xml:space="preserve">Mangold</t>
        </is>
      </c>
      <c r="I736" s="31" t="inlineStr">
        <is>
          <t xml:space="preserve">Perkins</t>
        </is>
      </c>
      <c r="J736" s="31" t="inlineStr">
        <is>
          <t xml:space="preserve">Forster</t>
        </is>
      </c>
      <c r="K736" s="31" t="inlineStr">
        <is>
          <t xml:space="preserve">Connolly</t>
        </is>
      </c>
      <c r="L736" s="42">
        <v>0</v>
      </c>
      <c r="M736" s="42">
        <v>0</v>
      </c>
      <c r="N736" s="31" t="inlineStr">
        <is>
          <t xml:space="preserve">Even</t>
        </is>
      </c>
      <c r="O736" s="42">
        <v>1</v>
      </c>
      <c r="P736" s="42">
        <v>0.5</v>
      </c>
      <c r="Q736" s="42">
        <v>0.5</v>
      </c>
      <c r="R736" s="31" t="inlineStr">
        <is>
          <t xml:space="preserve">FBC 13/Handicaps (FBC 13).xlsx</t>
        </is>
      </c>
    </row>
    <row r="737" spans="1:18">
      <c r="A737" s="43">
        <v>13</v>
      </c>
      <c r="B737" s="34" t="inlineStr">
        <is>
          <t xml:space="preserve">FBC13-D20</t>
        </is>
      </c>
      <c r="C737" s="34" t="inlineStr">
        <is>
          <t xml:space="preserve">Scramble</t>
        </is>
      </c>
      <c r="D737" s="34" t="inlineStr">
        <is>
          <t xml:space="preserve">Scramble</t>
        </is>
      </c>
      <c r="E737" s="43">
        <v>9</v>
      </c>
      <c r="F737" s="45">
        <v>1</v>
      </c>
      <c r="G737" s="34" t="inlineStr">
        <is>
          <t xml:space="preserve">Forster</t>
        </is>
      </c>
      <c r="H737" s="34" t="inlineStr">
        <is>
          <t xml:space="preserve">Forster</t>
        </is>
      </c>
      <c r="I737" s="34" t="inlineStr">
        <is>
          <t xml:space="preserve">Connolly</t>
        </is>
      </c>
      <c r="J737" s="34" t="inlineStr">
        <is>
          <t xml:space="preserve">Mangold</t>
        </is>
      </c>
      <c r="K737" s="34" t="inlineStr">
        <is>
          <t xml:space="preserve">Perkins</t>
        </is>
      </c>
      <c r="L737" s="45">
        <v>0</v>
      </c>
      <c r="M737" s="45">
        <v>0</v>
      </c>
      <c r="N737" s="34" t="inlineStr">
        <is>
          <t xml:space="preserve">Even</t>
        </is>
      </c>
      <c r="O737" s="45">
        <v>0</v>
      </c>
      <c r="P737" s="45">
        <v>0.5</v>
      </c>
      <c r="Q737" s="45">
        <v>-0.5</v>
      </c>
      <c r="R737" s="34" t="inlineStr">
        <is>
          <t xml:space="preserve">FBC 13/Handicaps (FBC 13).xlsx</t>
        </is>
      </c>
    </row>
    <row r="738" spans="1:18">
      <c r="A738" s="40">
        <v>13</v>
      </c>
      <c r="B738" s="31" t="inlineStr">
        <is>
          <t xml:space="preserve">FBC13-D21</t>
        </is>
      </c>
      <c r="C738" s="31" t="inlineStr">
        <is>
          <t xml:space="preserve">Pinehurst</t>
        </is>
      </c>
      <c r="D738" s="31" t="inlineStr">
        <is>
          <t xml:space="preserve">Pinehurst</t>
        </is>
      </c>
      <c r="E738" s="40">
        <v>9</v>
      </c>
      <c r="F738" s="42">
        <v>1</v>
      </c>
      <c r="G738" s="31" t="inlineStr">
        <is>
          <t xml:space="preserve">Mangold</t>
        </is>
      </c>
      <c r="H738" s="31" t="inlineStr">
        <is>
          <t xml:space="preserve">Welker</t>
        </is>
      </c>
      <c r="I738" s="31" t="inlineStr">
        <is>
          <t xml:space="preserve">Gray</t>
        </is>
      </c>
      <c r="J738" s="31" t="inlineStr">
        <is>
          <t xml:space="preserve">Delaney</t>
        </is>
      </c>
      <c r="K738" s="31" t="inlineStr">
        <is>
          <t xml:space="preserve">Delneky</t>
        </is>
      </c>
      <c r="L738" s="42">
        <v>-5</v>
      </c>
      <c r="M738" s="42">
        <v>-2.5</v>
      </c>
      <c r="N738" s="31" t="inlineStr">
        <is>
          <t xml:space="preserve">Giving</t>
        </is>
      </c>
      <c r="O738" s="42">
        <v>0</v>
      </c>
      <c r="P738" s="42">
        <v>0.538</v>
      </c>
      <c r="Q738" s="42">
        <v>-0.538</v>
      </c>
      <c r="R738" s="31" t="inlineStr">
        <is>
          <t xml:space="preserve">FBC 13/Handicaps (FBC 13).xlsx</t>
        </is>
      </c>
    </row>
    <row r="739" spans="1:18">
      <c r="A739" s="43">
        <v>13</v>
      </c>
      <c r="B739" s="34" t="inlineStr">
        <is>
          <t xml:space="preserve">FBC13-D21</t>
        </is>
      </c>
      <c r="C739" s="34" t="inlineStr">
        <is>
          <t xml:space="preserve">Pinehurst</t>
        </is>
      </c>
      <c r="D739" s="34" t="inlineStr">
        <is>
          <t xml:space="preserve">Pinehurst</t>
        </is>
      </c>
      <c r="E739" s="43">
        <v>9</v>
      </c>
      <c r="F739" s="45">
        <v>1</v>
      </c>
      <c r="G739" s="34" t="inlineStr">
        <is>
          <t xml:space="preserve">Forster</t>
        </is>
      </c>
      <c r="H739" s="34" t="inlineStr">
        <is>
          <t xml:space="preserve">Delaney</t>
        </is>
      </c>
      <c r="I739" s="34" t="inlineStr">
        <is>
          <t xml:space="preserve">Delneky</t>
        </is>
      </c>
      <c r="J739" s="34" t="inlineStr">
        <is>
          <t xml:space="preserve">Welker</t>
        </is>
      </c>
      <c r="K739" s="34" t="inlineStr">
        <is>
          <t xml:space="preserve">Gray</t>
        </is>
      </c>
      <c r="L739" s="45">
        <v>5</v>
      </c>
      <c r="M739" s="45">
        <v>2.5</v>
      </c>
      <c r="N739" s="34" t="inlineStr">
        <is>
          <t xml:space="preserve">Getting</t>
        </is>
      </c>
      <c r="O739" s="45">
        <v>1</v>
      </c>
      <c r="P739" s="45">
        <v>0.462</v>
      </c>
      <c r="Q739" s="45">
        <v>0.538</v>
      </c>
      <c r="R739" s="34" t="inlineStr">
        <is>
          <t xml:space="preserve">FBC 13/Handicaps (FBC 13).xlsx</t>
        </is>
      </c>
    </row>
    <row r="740" spans="1:18">
      <c r="A740" s="40">
        <v>13</v>
      </c>
      <c r="B740" s="31" t="inlineStr">
        <is>
          <t xml:space="preserve">FBC13-D22</t>
        </is>
      </c>
      <c r="C740" s="31" t="inlineStr">
        <is>
          <t xml:space="preserve">Scramble</t>
        </is>
      </c>
      <c r="D740" s="31" t="inlineStr">
        <is>
          <t xml:space="preserve">Scramble</t>
        </is>
      </c>
      <c r="E740" s="40">
        <v>9</v>
      </c>
      <c r="F740" s="42">
        <v>1</v>
      </c>
      <c r="G740" s="31" t="inlineStr">
        <is>
          <t xml:space="preserve">Mangold</t>
        </is>
      </c>
      <c r="H740" s="31" t="inlineStr">
        <is>
          <t xml:space="preserve">Welker</t>
        </is>
      </c>
      <c r="I740" s="31" t="inlineStr">
        <is>
          <t xml:space="preserve">Gray</t>
        </is>
      </c>
      <c r="J740" s="31" t="inlineStr">
        <is>
          <t xml:space="preserve">Delaney</t>
        </is>
      </c>
      <c r="K740" s="31" t="inlineStr">
        <is>
          <t xml:space="preserve">Delneky</t>
        </is>
      </c>
      <c r="L740" s="42">
        <v>-3</v>
      </c>
      <c r="M740" s="42">
        <v>-1.5</v>
      </c>
      <c r="N740" s="31" t="inlineStr">
        <is>
          <t xml:space="preserve">Giving</t>
        </is>
      </c>
      <c r="O740" s="42">
        <v>0.5</v>
      </c>
      <c r="P740" s="42">
        <v>0.442</v>
      </c>
      <c r="Q740" s="42">
        <v>0.058</v>
      </c>
      <c r="R740" s="31" t="inlineStr">
        <is>
          <t xml:space="preserve">FBC 13/Handicaps (FBC 13).xlsx</t>
        </is>
      </c>
    </row>
    <row r="741" spans="1:18">
      <c r="A741" s="43">
        <v>13</v>
      </c>
      <c r="B741" s="34" t="inlineStr">
        <is>
          <t xml:space="preserve">FBC13-D22</t>
        </is>
      </c>
      <c r="C741" s="34" t="inlineStr">
        <is>
          <t xml:space="preserve">Scramble</t>
        </is>
      </c>
      <c r="D741" s="34" t="inlineStr">
        <is>
          <t xml:space="preserve">Scramble</t>
        </is>
      </c>
      <c r="E741" s="43">
        <v>9</v>
      </c>
      <c r="F741" s="45">
        <v>1</v>
      </c>
      <c r="G741" s="34" t="inlineStr">
        <is>
          <t xml:space="preserve">Forster</t>
        </is>
      </c>
      <c r="H741" s="34" t="inlineStr">
        <is>
          <t xml:space="preserve">Delaney</t>
        </is>
      </c>
      <c r="I741" s="34" t="inlineStr">
        <is>
          <t xml:space="preserve">Delneky</t>
        </is>
      </c>
      <c r="J741" s="34" t="inlineStr">
        <is>
          <t xml:space="preserve">Welker</t>
        </is>
      </c>
      <c r="K741" s="34" t="inlineStr">
        <is>
          <t xml:space="preserve">Gray</t>
        </is>
      </c>
      <c r="L741" s="45">
        <v>3</v>
      </c>
      <c r="M741" s="45">
        <v>1.5</v>
      </c>
      <c r="N741" s="34" t="inlineStr">
        <is>
          <t xml:space="preserve">Getting</t>
        </is>
      </c>
      <c r="O741" s="45">
        <v>0.5</v>
      </c>
      <c r="P741" s="45">
        <v>0.558</v>
      </c>
      <c r="Q741" s="45">
        <v>-0.058</v>
      </c>
      <c r="R741" s="34" t="inlineStr">
        <is>
          <t xml:space="preserve">FBC 13/Handicaps (FBC 13).xlsx</t>
        </is>
      </c>
    </row>
    <row r="742" spans="1:18">
      <c r="A742" s="40">
        <v>13</v>
      </c>
      <c r="B742" s="31" t="inlineStr">
        <is>
          <t xml:space="preserve">FBC13-D23</t>
        </is>
      </c>
      <c r="C742" s="31" t="inlineStr">
        <is>
          <t xml:space="preserve">Pinehurst</t>
        </is>
      </c>
      <c r="D742" s="31" t="inlineStr">
        <is>
          <t xml:space="preserve">Pinehurst</t>
        </is>
      </c>
      <c r="E742" s="40">
        <v>9</v>
      </c>
      <c r="F742" s="42">
        <v>1</v>
      </c>
      <c r="G742" s="31" t="inlineStr">
        <is>
          <t xml:space="preserve">Mangold</t>
        </is>
      </c>
      <c r="H742" s="31" t="inlineStr">
        <is>
          <t xml:space="preserve">Jackson</t>
        </is>
      </c>
      <c r="I742" s="31" t="inlineStr">
        <is>
          <t xml:space="preserve">Piegari</t>
        </is>
      </c>
      <c r="J742" s="31" t="inlineStr">
        <is>
          <t xml:space="preserve">Grise</t>
        </is>
      </c>
      <c r="K742" s="31" t="inlineStr">
        <is>
          <t xml:space="preserve">R. Connolly</t>
        </is>
      </c>
      <c r="L742" s="42">
        <v>-2</v>
      </c>
      <c r="M742" s="42">
        <v>-1</v>
      </c>
      <c r="N742" s="31" t="inlineStr">
        <is>
          <t xml:space="preserve">Giving</t>
        </is>
      </c>
      <c r="O742" s="42">
        <v>1</v>
      </c>
      <c r="P742" s="42">
        <v>0.563</v>
      </c>
      <c r="Q742" s="42">
        <v>0.437</v>
      </c>
      <c r="R742" s="31" t="inlineStr">
        <is>
          <t xml:space="preserve">FBC 13/Handicaps (FBC 13).xlsx</t>
        </is>
      </c>
    </row>
    <row r="743" spans="1:18">
      <c r="A743" s="43">
        <v>13</v>
      </c>
      <c r="B743" s="34" t="inlineStr">
        <is>
          <t xml:space="preserve">FBC13-D23</t>
        </is>
      </c>
      <c r="C743" s="34" t="inlineStr">
        <is>
          <t xml:space="preserve">Pinehurst</t>
        </is>
      </c>
      <c r="D743" s="34" t="inlineStr">
        <is>
          <t xml:space="preserve">Pinehurst</t>
        </is>
      </c>
      <c r="E743" s="43">
        <v>9</v>
      </c>
      <c r="F743" s="45">
        <v>1</v>
      </c>
      <c r="G743" s="34" t="inlineStr">
        <is>
          <t xml:space="preserve">Forster</t>
        </is>
      </c>
      <c r="H743" s="34" t="inlineStr">
        <is>
          <t xml:space="preserve">Grise</t>
        </is>
      </c>
      <c r="I743" s="34" t="inlineStr">
        <is>
          <t xml:space="preserve">R. Connolly</t>
        </is>
      </c>
      <c r="J743" s="34" t="inlineStr">
        <is>
          <t xml:space="preserve">Jackson</t>
        </is>
      </c>
      <c r="K743" s="34" t="inlineStr">
        <is>
          <t xml:space="preserve">Piegari</t>
        </is>
      </c>
      <c r="L743" s="45">
        <v>2</v>
      </c>
      <c r="M743" s="45">
        <v>1</v>
      </c>
      <c r="N743" s="34" t="inlineStr">
        <is>
          <t xml:space="preserve">Getting</t>
        </is>
      </c>
      <c r="O743" s="45">
        <v>0</v>
      </c>
      <c r="P743" s="45">
        <v>0.437</v>
      </c>
      <c r="Q743" s="45">
        <v>-0.437</v>
      </c>
      <c r="R743" s="34" t="inlineStr">
        <is>
          <t xml:space="preserve">FBC 13/Handicaps (FBC 13).xlsx</t>
        </is>
      </c>
    </row>
    <row r="744" spans="1:18">
      <c r="A744" s="40">
        <v>13</v>
      </c>
      <c r="B744" s="31" t="inlineStr">
        <is>
          <t xml:space="preserve">FBC13-D24</t>
        </is>
      </c>
      <c r="C744" s="31" t="inlineStr">
        <is>
          <t xml:space="preserve">Scramble</t>
        </is>
      </c>
      <c r="D744" s="31" t="inlineStr">
        <is>
          <t xml:space="preserve">Scramble</t>
        </is>
      </c>
      <c r="E744" s="40">
        <v>9</v>
      </c>
      <c r="F744" s="42">
        <v>1</v>
      </c>
      <c r="G744" s="31" t="inlineStr">
        <is>
          <t xml:space="preserve">Mangold</t>
        </is>
      </c>
      <c r="H744" s="31" t="inlineStr">
        <is>
          <t xml:space="preserve">Jackson</t>
        </is>
      </c>
      <c r="I744" s="31" t="inlineStr">
        <is>
          <t xml:space="preserve">Piegari</t>
        </is>
      </c>
      <c r="J744" s="31" t="inlineStr">
        <is>
          <t xml:space="preserve">Grise</t>
        </is>
      </c>
      <c r="K744" s="31" t="inlineStr">
        <is>
          <t xml:space="preserve">R. Connolly</t>
        </is>
      </c>
      <c r="L744" s="42">
        <v>-1</v>
      </c>
      <c r="M744" s="42">
        <v>-0.5</v>
      </c>
      <c r="N744" s="31" t="inlineStr">
        <is>
          <t xml:space="preserve">Giving</t>
        </is>
      </c>
      <c r="O744" s="42">
        <v>1</v>
      </c>
      <c r="P744" s="42">
        <v>0.534</v>
      </c>
      <c r="Q744" s="42">
        <v>0.466</v>
      </c>
      <c r="R744" s="31" t="inlineStr">
        <is>
          <t xml:space="preserve">FBC 13/Handicaps (FBC 13).xlsx</t>
        </is>
      </c>
    </row>
    <row r="745" spans="1:18">
      <c r="A745" s="43">
        <v>13</v>
      </c>
      <c r="B745" s="34" t="inlineStr">
        <is>
          <t xml:space="preserve">FBC13-D24</t>
        </is>
      </c>
      <c r="C745" s="34" t="inlineStr">
        <is>
          <t xml:space="preserve">Scramble</t>
        </is>
      </c>
      <c r="D745" s="34" t="inlineStr">
        <is>
          <t xml:space="preserve">Scramble</t>
        </is>
      </c>
      <c r="E745" s="43">
        <v>9</v>
      </c>
      <c r="F745" s="45">
        <v>1</v>
      </c>
      <c r="G745" s="34" t="inlineStr">
        <is>
          <t xml:space="preserve">Forster</t>
        </is>
      </c>
      <c r="H745" s="34" t="inlineStr">
        <is>
          <t xml:space="preserve">Grise</t>
        </is>
      </c>
      <c r="I745" s="34" t="inlineStr">
        <is>
          <t xml:space="preserve">R. Connolly</t>
        </is>
      </c>
      <c r="J745" s="34" t="inlineStr">
        <is>
          <t xml:space="preserve">Jackson</t>
        </is>
      </c>
      <c r="K745" s="34" t="inlineStr">
        <is>
          <t xml:space="preserve">Piegari</t>
        </is>
      </c>
      <c r="L745" s="45">
        <v>1</v>
      </c>
      <c r="M745" s="45">
        <v>0.5</v>
      </c>
      <c r="N745" s="34" t="inlineStr">
        <is>
          <t xml:space="preserve">Getting</t>
        </is>
      </c>
      <c r="O745" s="45">
        <v>0</v>
      </c>
      <c r="P745" s="45">
        <v>0.466</v>
      </c>
      <c r="Q745" s="45">
        <v>-0.466</v>
      </c>
      <c r="R745" s="34" t="inlineStr">
        <is>
          <t xml:space="preserve">FBC 13/Handicaps (FBC 13).xlsx</t>
        </is>
      </c>
    </row>
    <row r="746" spans="1:18">
      <c r="A746" s="40">
        <v>13</v>
      </c>
      <c r="B746" s="31" t="inlineStr">
        <is>
          <t xml:space="preserve">FBC13-S-Cole-Fogan</t>
        </is>
      </c>
      <c r="C746" s="31" t="inlineStr">
        <is>
          <t xml:space="preserve">Match Play</t>
        </is>
      </c>
      <c r="D746" s="31" t="inlineStr">
        <is>
          <t xml:space="preserve">Singles</t>
        </is>
      </c>
      <c r="E746" s="40">
        <v>18</v>
      </c>
      <c r="F746" s="42">
        <v>2</v>
      </c>
      <c r="G746" s="31" t="inlineStr">
        <is>
          <t xml:space="preserve">Mangold</t>
        </is>
      </c>
      <c r="H746" s="31" t="inlineStr">
        <is>
          <t xml:space="preserve">Fogan</t>
        </is>
      </c>
      <c r="I746" s="31"/>
      <c r="J746" s="31" t="inlineStr">
        <is>
          <t xml:space="preserve">Cole</t>
        </is>
      </c>
      <c r="K746" s="31"/>
      <c r="L746" s="42">
        <v>0.37</v>
      </c>
      <c r="M746" s="42">
        <v>0.37</v>
      </c>
      <c r="N746" s="31" t="inlineStr">
        <is>
          <t xml:space="preserve">Even</t>
        </is>
      </c>
      <c r="O746" s="42">
        <v>0</v>
      </c>
      <c r="P746" s="42">
        <v>1.007</v>
      </c>
      <c r="Q746" s="42">
        <v>-1.007</v>
      </c>
      <c r="R746" s="31" t="inlineStr">
        <is>
          <t xml:space="preserve">Index x slope (Handicaps tab)</t>
        </is>
      </c>
    </row>
    <row r="747" spans="1:18">
      <c r="A747" s="43">
        <v>13</v>
      </c>
      <c r="B747" s="34" t="inlineStr">
        <is>
          <t xml:space="preserve">FBC13-S-Cole-Fogan</t>
        </is>
      </c>
      <c r="C747" s="34" t="inlineStr">
        <is>
          <t xml:space="preserve">Match Play</t>
        </is>
      </c>
      <c r="D747" s="34" t="inlineStr">
        <is>
          <t xml:space="preserve">Singles</t>
        </is>
      </c>
      <c r="E747" s="43">
        <v>18</v>
      </c>
      <c r="F747" s="45">
        <v>2</v>
      </c>
      <c r="G747" s="34" t="inlineStr">
        <is>
          <t xml:space="preserve">Forster</t>
        </is>
      </c>
      <c r="H747" s="34" t="inlineStr">
        <is>
          <t xml:space="preserve">Cole</t>
        </is>
      </c>
      <c r="I747" s="34"/>
      <c r="J747" s="34" t="inlineStr">
        <is>
          <t xml:space="preserve">Fogan</t>
        </is>
      </c>
      <c r="K747" s="34"/>
      <c r="L747" s="45">
        <v>-0.37</v>
      </c>
      <c r="M747" s="45">
        <v>-0.37</v>
      </c>
      <c r="N747" s="34" t="inlineStr">
        <is>
          <t xml:space="preserve">Even</t>
        </is>
      </c>
      <c r="O747" s="45">
        <v>2</v>
      </c>
      <c r="P747" s="45">
        <v>0.993</v>
      </c>
      <c r="Q747" s="45">
        <v>1.007</v>
      </c>
      <c r="R747" s="34" t="inlineStr">
        <is>
          <t xml:space="preserve">Index x slope (Handicaps tab)</t>
        </is>
      </c>
    </row>
    <row r="748" spans="1:18">
      <c r="A748" s="40">
        <v>13</v>
      </c>
      <c r="B748" s="31" t="inlineStr">
        <is>
          <t xml:space="preserve">FBC13-S-Connolly-Gray</t>
        </is>
      </c>
      <c r="C748" s="31" t="inlineStr">
        <is>
          <t xml:space="preserve">Match Play</t>
        </is>
      </c>
      <c r="D748" s="31" t="inlineStr">
        <is>
          <t xml:space="preserve">Singles</t>
        </is>
      </c>
      <c r="E748" s="40">
        <v>18</v>
      </c>
      <c r="F748" s="42">
        <v>2</v>
      </c>
      <c r="G748" s="31" t="inlineStr">
        <is>
          <t xml:space="preserve">Mangold</t>
        </is>
      </c>
      <c r="H748" s="31" t="inlineStr">
        <is>
          <t xml:space="preserve">Gray</t>
        </is>
      </c>
      <c r="I748" s="31"/>
      <c r="J748" s="31" t="inlineStr">
        <is>
          <t xml:space="preserve">Connolly</t>
        </is>
      </c>
      <c r="K748" s="31"/>
      <c r="L748" s="42">
        <v>-0.62</v>
      </c>
      <c r="M748" s="42">
        <v>-0.62</v>
      </c>
      <c r="N748" s="31" t="inlineStr">
        <is>
          <t xml:space="preserve">Giving</t>
        </is>
      </c>
      <c r="O748" s="42">
        <v>2</v>
      </c>
      <c r="P748" s="42">
        <v>1.149</v>
      </c>
      <c r="Q748" s="42">
        <v>0.851</v>
      </c>
      <c r="R748" s="31" t="inlineStr">
        <is>
          <t xml:space="preserve">Index x slope (Handicaps tab)</t>
        </is>
      </c>
    </row>
    <row r="749" spans="1:18">
      <c r="A749" s="43">
        <v>13</v>
      </c>
      <c r="B749" s="34" t="inlineStr">
        <is>
          <t xml:space="preserve">FBC13-S-Connolly-Gray</t>
        </is>
      </c>
      <c r="C749" s="34" t="inlineStr">
        <is>
          <t xml:space="preserve">Match Play</t>
        </is>
      </c>
      <c r="D749" s="34" t="inlineStr">
        <is>
          <t xml:space="preserve">Singles</t>
        </is>
      </c>
      <c r="E749" s="43">
        <v>18</v>
      </c>
      <c r="F749" s="45">
        <v>2</v>
      </c>
      <c r="G749" s="34" t="inlineStr">
        <is>
          <t xml:space="preserve">Forster</t>
        </is>
      </c>
      <c r="H749" s="34" t="inlineStr">
        <is>
          <t xml:space="preserve">Connolly</t>
        </is>
      </c>
      <c r="I749" s="34"/>
      <c r="J749" s="34" t="inlineStr">
        <is>
          <t xml:space="preserve">Gray</t>
        </is>
      </c>
      <c r="K749" s="34"/>
      <c r="L749" s="45">
        <v>0.62</v>
      </c>
      <c r="M749" s="45">
        <v>0.62</v>
      </c>
      <c r="N749" s="34" t="inlineStr">
        <is>
          <t xml:space="preserve">Getting</t>
        </is>
      </c>
      <c r="O749" s="45">
        <v>0</v>
      </c>
      <c r="P749" s="45">
        <v>0.851</v>
      </c>
      <c r="Q749" s="45">
        <v>-0.851</v>
      </c>
      <c r="R749" s="34" t="inlineStr">
        <is>
          <t xml:space="preserve">Index x slope (Handicaps tab)</t>
        </is>
      </c>
    </row>
    <row r="750" spans="1:18">
      <c r="A750" s="40">
        <v>13</v>
      </c>
      <c r="B750" s="31" t="inlineStr">
        <is>
          <t xml:space="preserve">FBC13-S-Delaney-Ferrin</t>
        </is>
      </c>
      <c r="C750" s="31" t="inlineStr">
        <is>
          <t xml:space="preserve">Match Play</t>
        </is>
      </c>
      <c r="D750" s="31" t="inlineStr">
        <is>
          <t xml:space="preserve">Singles</t>
        </is>
      </c>
      <c r="E750" s="40">
        <v>18</v>
      </c>
      <c r="F750" s="42">
        <v>2</v>
      </c>
      <c r="G750" s="31" t="inlineStr">
        <is>
          <t xml:space="preserve">Mangold</t>
        </is>
      </c>
      <c r="H750" s="31" t="inlineStr">
        <is>
          <t xml:space="preserve">Ferrin</t>
        </is>
      </c>
      <c r="I750" s="31"/>
      <c r="J750" s="31" t="inlineStr">
        <is>
          <t xml:space="preserve">Delaney</t>
        </is>
      </c>
      <c r="K750" s="31"/>
      <c r="L750" s="42">
        <v>-5.2</v>
      </c>
      <c r="M750" s="42">
        <v>-5.2</v>
      </c>
      <c r="N750" s="31" t="inlineStr">
        <is>
          <t xml:space="preserve">Giving</t>
        </is>
      </c>
      <c r="O750" s="42">
        <v>2</v>
      </c>
      <c r="P750" s="42">
        <v>1.06</v>
      </c>
      <c r="Q750" s="42">
        <v>0.94</v>
      </c>
      <c r="R750" s="31" t="inlineStr">
        <is>
          <t xml:space="preserve">Index x slope (Handicaps tab)</t>
        </is>
      </c>
    </row>
    <row r="751" spans="1:18">
      <c r="A751" s="43">
        <v>13</v>
      </c>
      <c r="B751" s="34" t="inlineStr">
        <is>
          <t xml:space="preserve">FBC13-S-Delaney-Ferrin</t>
        </is>
      </c>
      <c r="C751" s="34" t="inlineStr">
        <is>
          <t xml:space="preserve">Match Play</t>
        </is>
      </c>
      <c r="D751" s="34" t="inlineStr">
        <is>
          <t xml:space="preserve">Singles</t>
        </is>
      </c>
      <c r="E751" s="43">
        <v>18</v>
      </c>
      <c r="F751" s="45">
        <v>2</v>
      </c>
      <c r="G751" s="34" t="inlineStr">
        <is>
          <t xml:space="preserve">Forster</t>
        </is>
      </c>
      <c r="H751" s="34" t="inlineStr">
        <is>
          <t xml:space="preserve">Delaney</t>
        </is>
      </c>
      <c r="I751" s="34"/>
      <c r="J751" s="34" t="inlineStr">
        <is>
          <t xml:space="preserve">Ferrin</t>
        </is>
      </c>
      <c r="K751" s="34"/>
      <c r="L751" s="45">
        <v>5.2</v>
      </c>
      <c r="M751" s="45">
        <v>5.2</v>
      </c>
      <c r="N751" s="34" t="inlineStr">
        <is>
          <t xml:space="preserve">Getting</t>
        </is>
      </c>
      <c r="O751" s="45">
        <v>0</v>
      </c>
      <c r="P751" s="45">
        <v>0.94</v>
      </c>
      <c r="Q751" s="45">
        <v>-0.94</v>
      </c>
      <c r="R751" s="34" t="inlineStr">
        <is>
          <t xml:space="preserve">Index x slope (Handicaps tab)</t>
        </is>
      </c>
    </row>
    <row r="752" spans="1:18">
      <c r="A752" s="40">
        <v>13</v>
      </c>
      <c r="B752" s="31" t="inlineStr">
        <is>
          <t xml:space="preserve">FBC13-S-Delneky-DeOteris</t>
        </is>
      </c>
      <c r="C752" s="31" t="inlineStr">
        <is>
          <t xml:space="preserve">Match Play</t>
        </is>
      </c>
      <c r="D752" s="31" t="inlineStr">
        <is>
          <t xml:space="preserve">Singles</t>
        </is>
      </c>
      <c r="E752" s="40">
        <v>18</v>
      </c>
      <c r="F752" s="42">
        <v>2</v>
      </c>
      <c r="G752" s="31" t="inlineStr">
        <is>
          <t xml:space="preserve">Mangold</t>
        </is>
      </c>
      <c r="H752" s="31" t="inlineStr">
        <is>
          <t xml:space="preserve">DeOteris</t>
        </is>
      </c>
      <c r="I752" s="31"/>
      <c r="J752" s="31" t="inlineStr">
        <is>
          <t xml:space="preserve">Delneky</t>
        </is>
      </c>
      <c r="K752" s="31"/>
      <c r="L752" s="42">
        <v>-7.19</v>
      </c>
      <c r="M752" s="42">
        <v>-7.19</v>
      </c>
      <c r="N752" s="31" t="inlineStr">
        <is>
          <t xml:space="preserve">Giving</t>
        </is>
      </c>
      <c r="O752" s="42">
        <v>1</v>
      </c>
      <c r="P752" s="42">
        <v>1.021</v>
      </c>
      <c r="Q752" s="42">
        <v>-0.021</v>
      </c>
      <c r="R752" s="31" t="inlineStr">
        <is>
          <t xml:space="preserve">Index x slope (Handicaps tab)</t>
        </is>
      </c>
    </row>
    <row r="753" spans="1:18">
      <c r="A753" s="43">
        <v>13</v>
      </c>
      <c r="B753" s="34" t="inlineStr">
        <is>
          <t xml:space="preserve">FBC13-S-Delneky-DeOteris</t>
        </is>
      </c>
      <c r="C753" s="34" t="inlineStr">
        <is>
          <t xml:space="preserve">Match Play</t>
        </is>
      </c>
      <c r="D753" s="34" t="inlineStr">
        <is>
          <t xml:space="preserve">Singles</t>
        </is>
      </c>
      <c r="E753" s="43">
        <v>18</v>
      </c>
      <c r="F753" s="45">
        <v>2</v>
      </c>
      <c r="G753" s="34" t="inlineStr">
        <is>
          <t xml:space="preserve">Forster</t>
        </is>
      </c>
      <c r="H753" s="34" t="inlineStr">
        <is>
          <t xml:space="preserve">Delneky</t>
        </is>
      </c>
      <c r="I753" s="34"/>
      <c r="J753" s="34" t="inlineStr">
        <is>
          <t xml:space="preserve">DeOteris</t>
        </is>
      </c>
      <c r="K753" s="34"/>
      <c r="L753" s="45">
        <v>7.19</v>
      </c>
      <c r="M753" s="45">
        <v>7.19</v>
      </c>
      <c r="N753" s="34" t="inlineStr">
        <is>
          <t xml:space="preserve">Getting</t>
        </is>
      </c>
      <c r="O753" s="45">
        <v>1</v>
      </c>
      <c r="P753" s="45">
        <v>0.979</v>
      </c>
      <c r="Q753" s="45">
        <v>0.021</v>
      </c>
      <c r="R753" s="34" t="inlineStr">
        <is>
          <t xml:space="preserve">Index x slope (Handicaps tab)</t>
        </is>
      </c>
    </row>
    <row r="754" spans="1:18">
      <c r="A754" s="40">
        <v>13</v>
      </c>
      <c r="B754" s="31" t="inlineStr">
        <is>
          <t xml:space="preserve">FBC13-S-Flanders-Perkins</t>
        </is>
      </c>
      <c r="C754" s="31" t="inlineStr">
        <is>
          <t xml:space="preserve">Match Play</t>
        </is>
      </c>
      <c r="D754" s="31" t="inlineStr">
        <is>
          <t xml:space="preserve">Singles</t>
        </is>
      </c>
      <c r="E754" s="40">
        <v>18</v>
      </c>
      <c r="F754" s="42">
        <v>2</v>
      </c>
      <c r="G754" s="31" t="inlineStr">
        <is>
          <t xml:space="preserve">Mangold</t>
        </is>
      </c>
      <c r="H754" s="31" t="inlineStr">
        <is>
          <t xml:space="preserve">Perkins</t>
        </is>
      </c>
      <c r="I754" s="31"/>
      <c r="J754" s="31" t="inlineStr">
        <is>
          <t xml:space="preserve">Flanders</t>
        </is>
      </c>
      <c r="K754" s="31"/>
      <c r="L754" s="42">
        <v>-3.47</v>
      </c>
      <c r="M754" s="42">
        <v>-3.47</v>
      </c>
      <c r="N754" s="31" t="inlineStr">
        <is>
          <t xml:space="preserve">Giving</t>
        </is>
      </c>
      <c r="O754" s="42">
        <v>0</v>
      </c>
      <c r="P754" s="42">
        <v>1.094</v>
      </c>
      <c r="Q754" s="42">
        <v>-1.094</v>
      </c>
      <c r="R754" s="31" t="inlineStr">
        <is>
          <t xml:space="preserve">Index x slope (Handicaps tab)</t>
        </is>
      </c>
    </row>
    <row r="755" spans="1:18">
      <c r="A755" s="43">
        <v>13</v>
      </c>
      <c r="B755" s="34" t="inlineStr">
        <is>
          <t xml:space="preserve">FBC13-S-Flanders-Perkins</t>
        </is>
      </c>
      <c r="C755" s="34" t="inlineStr">
        <is>
          <t xml:space="preserve">Match Play</t>
        </is>
      </c>
      <c r="D755" s="34" t="inlineStr">
        <is>
          <t xml:space="preserve">Singles</t>
        </is>
      </c>
      <c r="E755" s="43">
        <v>18</v>
      </c>
      <c r="F755" s="45">
        <v>2</v>
      </c>
      <c r="G755" s="34" t="inlineStr">
        <is>
          <t xml:space="preserve">Forster</t>
        </is>
      </c>
      <c r="H755" s="34" t="inlineStr">
        <is>
          <t xml:space="preserve">Flanders</t>
        </is>
      </c>
      <c r="I755" s="34"/>
      <c r="J755" s="34" t="inlineStr">
        <is>
          <t xml:space="preserve">Perkins</t>
        </is>
      </c>
      <c r="K755" s="34"/>
      <c r="L755" s="45">
        <v>3.47</v>
      </c>
      <c r="M755" s="45">
        <v>3.47</v>
      </c>
      <c r="N755" s="34" t="inlineStr">
        <is>
          <t xml:space="preserve">Getting</t>
        </is>
      </c>
      <c r="O755" s="45">
        <v>2</v>
      </c>
      <c r="P755" s="45">
        <v>0.906</v>
      </c>
      <c r="Q755" s="45">
        <v>1.094</v>
      </c>
      <c r="R755" s="34" t="inlineStr">
        <is>
          <t xml:space="preserve">Index x slope (Handicaps tab)</t>
        </is>
      </c>
    </row>
    <row r="756" spans="1:18">
      <c r="A756" s="40">
        <v>13</v>
      </c>
      <c r="B756" s="31" t="inlineStr">
        <is>
          <t xml:space="preserve">FBC13-S-Forster-Mangold</t>
        </is>
      </c>
      <c r="C756" s="31" t="inlineStr">
        <is>
          <t xml:space="preserve">Match Play</t>
        </is>
      </c>
      <c r="D756" s="31" t="inlineStr">
        <is>
          <t xml:space="preserve">Singles</t>
        </is>
      </c>
      <c r="E756" s="40">
        <v>18</v>
      </c>
      <c r="F756" s="42">
        <v>2</v>
      </c>
      <c r="G756" s="31" t="inlineStr">
        <is>
          <t xml:space="preserve">Mangold</t>
        </is>
      </c>
      <c r="H756" s="31" t="inlineStr">
        <is>
          <t xml:space="preserve">Mangold</t>
        </is>
      </c>
      <c r="I756" s="31"/>
      <c r="J756" s="31" t="inlineStr">
        <is>
          <t xml:space="preserve">Forster</t>
        </is>
      </c>
      <c r="K756" s="31"/>
      <c r="L756" s="42">
        <v>3.84</v>
      </c>
      <c r="M756" s="42">
        <v>3.84</v>
      </c>
      <c r="N756" s="31" t="inlineStr">
        <is>
          <t xml:space="preserve">Getting</t>
        </is>
      </c>
      <c r="O756" s="42">
        <v>0</v>
      </c>
      <c r="P756" s="42">
        <v>0.914</v>
      </c>
      <c r="Q756" s="42">
        <v>-0.914</v>
      </c>
      <c r="R756" s="31" t="inlineStr">
        <is>
          <t xml:space="preserve">Index x slope (Handicaps tab)</t>
        </is>
      </c>
    </row>
    <row r="757" spans="1:18">
      <c r="A757" s="43">
        <v>13</v>
      </c>
      <c r="B757" s="34" t="inlineStr">
        <is>
          <t xml:space="preserve">FBC13-S-Forster-Mangold</t>
        </is>
      </c>
      <c r="C757" s="34" t="inlineStr">
        <is>
          <t xml:space="preserve">Match Play</t>
        </is>
      </c>
      <c r="D757" s="34" t="inlineStr">
        <is>
          <t xml:space="preserve">Singles</t>
        </is>
      </c>
      <c r="E757" s="43">
        <v>18</v>
      </c>
      <c r="F757" s="45">
        <v>2</v>
      </c>
      <c r="G757" s="34" t="inlineStr">
        <is>
          <t xml:space="preserve">Forster</t>
        </is>
      </c>
      <c r="H757" s="34" t="inlineStr">
        <is>
          <t xml:space="preserve">Forster</t>
        </is>
      </c>
      <c r="I757" s="34"/>
      <c r="J757" s="34" t="inlineStr">
        <is>
          <t xml:space="preserve">Mangold</t>
        </is>
      </c>
      <c r="K757" s="34"/>
      <c r="L757" s="45">
        <v>-3.84</v>
      </c>
      <c r="M757" s="45">
        <v>-3.84</v>
      </c>
      <c r="N757" s="34" t="inlineStr">
        <is>
          <t xml:space="preserve">Giving</t>
        </is>
      </c>
      <c r="O757" s="45">
        <v>2</v>
      </c>
      <c r="P757" s="45">
        <v>1.086</v>
      </c>
      <c r="Q757" s="45">
        <v>0.914</v>
      </c>
      <c r="R757" s="34" t="inlineStr">
        <is>
          <t xml:space="preserve">Index x slope (Handicaps tab)</t>
        </is>
      </c>
    </row>
    <row r="758" spans="1:18">
      <c r="A758" s="40">
        <v>13</v>
      </c>
      <c r="B758" s="31" t="inlineStr">
        <is>
          <t xml:space="preserve">FBC13-S-Grise-McInerney</t>
        </is>
      </c>
      <c r="C758" s="31" t="inlineStr">
        <is>
          <t xml:space="preserve">Match Play</t>
        </is>
      </c>
      <c r="D758" s="31" t="inlineStr">
        <is>
          <t xml:space="preserve">Singles</t>
        </is>
      </c>
      <c r="E758" s="40">
        <v>18</v>
      </c>
      <c r="F758" s="42">
        <v>2</v>
      </c>
      <c r="G758" s="31" t="inlineStr">
        <is>
          <t xml:space="preserve">Mangold</t>
        </is>
      </c>
      <c r="H758" s="31" t="inlineStr">
        <is>
          <t xml:space="preserve">McInerney</t>
        </is>
      </c>
      <c r="I758" s="31"/>
      <c r="J758" s="31" t="inlineStr">
        <is>
          <t xml:space="preserve">Grise</t>
        </is>
      </c>
      <c r="K758" s="31"/>
      <c r="L758" s="42">
        <v>-7.81</v>
      </c>
      <c r="M758" s="42">
        <v>-7.81</v>
      </c>
      <c r="N758" s="31" t="inlineStr">
        <is>
          <t xml:space="preserve">Giving</t>
        </is>
      </c>
      <c r="O758" s="42">
        <v>0</v>
      </c>
      <c r="P758" s="42">
        <v>1.009</v>
      </c>
      <c r="Q758" s="42">
        <v>-1.009</v>
      </c>
      <c r="R758" s="31" t="inlineStr">
        <is>
          <t xml:space="preserve">Index x slope (Handicaps tab)</t>
        </is>
      </c>
    </row>
    <row r="759" spans="1:18">
      <c r="A759" s="43">
        <v>13</v>
      </c>
      <c r="B759" s="34" t="inlineStr">
        <is>
          <t xml:space="preserve">FBC13-S-Grise-McInerney</t>
        </is>
      </c>
      <c r="C759" s="34" t="inlineStr">
        <is>
          <t xml:space="preserve">Match Play</t>
        </is>
      </c>
      <c r="D759" s="34" t="inlineStr">
        <is>
          <t xml:space="preserve">Singles</t>
        </is>
      </c>
      <c r="E759" s="43">
        <v>18</v>
      </c>
      <c r="F759" s="45">
        <v>2</v>
      </c>
      <c r="G759" s="34" t="inlineStr">
        <is>
          <t xml:space="preserve">Forster</t>
        </is>
      </c>
      <c r="H759" s="34" t="inlineStr">
        <is>
          <t xml:space="preserve">Grise</t>
        </is>
      </c>
      <c r="I759" s="34"/>
      <c r="J759" s="34" t="inlineStr">
        <is>
          <t xml:space="preserve">McInerney</t>
        </is>
      </c>
      <c r="K759" s="34"/>
      <c r="L759" s="45">
        <v>7.81</v>
      </c>
      <c r="M759" s="45">
        <v>7.81</v>
      </c>
      <c r="N759" s="34" t="inlineStr">
        <is>
          <t xml:space="preserve">Getting</t>
        </is>
      </c>
      <c r="O759" s="45">
        <v>2</v>
      </c>
      <c r="P759" s="45">
        <v>0.991</v>
      </c>
      <c r="Q759" s="45">
        <v>1.009</v>
      </c>
      <c r="R759" s="34" t="inlineStr">
        <is>
          <t xml:space="preserve">Index x slope (Handicaps tab)</t>
        </is>
      </c>
    </row>
    <row r="760" spans="1:18">
      <c r="A760" s="40">
        <v>13</v>
      </c>
      <c r="B760" s="31" t="inlineStr">
        <is>
          <t xml:space="preserve">FBC13-S-Hilts-Lynch</t>
        </is>
      </c>
      <c r="C760" s="31" t="inlineStr">
        <is>
          <t xml:space="preserve">Match Play</t>
        </is>
      </c>
      <c r="D760" s="31" t="inlineStr">
        <is>
          <t xml:space="preserve">Singles</t>
        </is>
      </c>
      <c r="E760" s="40">
        <v>18</v>
      </c>
      <c r="F760" s="42">
        <v>2</v>
      </c>
      <c r="G760" s="31" t="inlineStr">
        <is>
          <t xml:space="preserve">Mangold</t>
        </is>
      </c>
      <c r="H760" s="31" t="inlineStr">
        <is>
          <t xml:space="preserve">Lynch</t>
        </is>
      </c>
      <c r="I760" s="31"/>
      <c r="J760" s="31" t="inlineStr">
        <is>
          <t xml:space="preserve">Hilts</t>
        </is>
      </c>
      <c r="K760" s="31"/>
      <c r="L760" s="42">
        <v>-9.91</v>
      </c>
      <c r="M760" s="42">
        <v>-9.91</v>
      </c>
      <c r="N760" s="31" t="inlineStr">
        <is>
          <t xml:space="preserve">Giving</t>
        </is>
      </c>
      <c r="O760" s="42">
        <v>0</v>
      </c>
      <c r="P760" s="42">
        <v>0.968</v>
      </c>
      <c r="Q760" s="42">
        <v>-0.968</v>
      </c>
      <c r="R760" s="31" t="inlineStr">
        <is>
          <t xml:space="preserve">Index x slope (Handicaps tab)</t>
        </is>
      </c>
    </row>
    <row r="761" spans="1:18">
      <c r="A761" s="43">
        <v>13</v>
      </c>
      <c r="B761" s="34" t="inlineStr">
        <is>
          <t xml:space="preserve">FBC13-S-Hilts-Lynch</t>
        </is>
      </c>
      <c r="C761" s="34" t="inlineStr">
        <is>
          <t xml:space="preserve">Match Play</t>
        </is>
      </c>
      <c r="D761" s="34" t="inlineStr">
        <is>
          <t xml:space="preserve">Singles</t>
        </is>
      </c>
      <c r="E761" s="43">
        <v>18</v>
      </c>
      <c r="F761" s="45">
        <v>2</v>
      </c>
      <c r="G761" s="34" t="inlineStr">
        <is>
          <t xml:space="preserve">Forster</t>
        </is>
      </c>
      <c r="H761" s="34" t="inlineStr">
        <is>
          <t xml:space="preserve">Hilts</t>
        </is>
      </c>
      <c r="I761" s="34"/>
      <c r="J761" s="34" t="inlineStr">
        <is>
          <t xml:space="preserve">Lynch</t>
        </is>
      </c>
      <c r="K761" s="34"/>
      <c r="L761" s="45">
        <v>9.91</v>
      </c>
      <c r="M761" s="45">
        <v>9.91</v>
      </c>
      <c r="N761" s="34" t="inlineStr">
        <is>
          <t xml:space="preserve">Getting</t>
        </is>
      </c>
      <c r="O761" s="45">
        <v>2</v>
      </c>
      <c r="P761" s="45">
        <v>1.032</v>
      </c>
      <c r="Q761" s="45">
        <v>0.968</v>
      </c>
      <c r="R761" s="34" t="inlineStr">
        <is>
          <t xml:space="preserve">Index x slope (Handicaps tab)</t>
        </is>
      </c>
    </row>
    <row r="762" spans="1:18">
      <c r="A762" s="40">
        <v>13</v>
      </c>
      <c r="B762" s="31" t="inlineStr">
        <is>
          <t xml:space="preserve">FBC13-S-Jackson-Zimmer</t>
        </is>
      </c>
      <c r="C762" s="31" t="inlineStr">
        <is>
          <t xml:space="preserve">Match Play</t>
        </is>
      </c>
      <c r="D762" s="31" t="inlineStr">
        <is>
          <t xml:space="preserve">Singles</t>
        </is>
      </c>
      <c r="E762" s="40">
        <v>18</v>
      </c>
      <c r="F762" s="42">
        <v>2</v>
      </c>
      <c r="G762" s="31" t="inlineStr">
        <is>
          <t xml:space="preserve">Mangold</t>
        </is>
      </c>
      <c r="H762" s="31" t="inlineStr">
        <is>
          <t xml:space="preserve">Jackson</t>
        </is>
      </c>
      <c r="I762" s="31"/>
      <c r="J762" s="31" t="inlineStr">
        <is>
          <t xml:space="preserve">Zimmer</t>
        </is>
      </c>
      <c r="K762" s="31"/>
      <c r="L762" s="42">
        <v>1.12</v>
      </c>
      <c r="M762" s="42">
        <v>1.12</v>
      </c>
      <c r="N762" s="31" t="inlineStr">
        <is>
          <t xml:space="preserve">Getting</t>
        </is>
      </c>
      <c r="O762" s="42">
        <v>2</v>
      </c>
      <c r="P762" s="42">
        <v>0.861</v>
      </c>
      <c r="Q762" s="42">
        <v>1.139</v>
      </c>
      <c r="R762" s="31" t="inlineStr">
        <is>
          <t xml:space="preserve">Index x slope (Handicaps tab)</t>
        </is>
      </c>
    </row>
    <row r="763" spans="1:18">
      <c r="A763" s="43">
        <v>13</v>
      </c>
      <c r="B763" s="34" t="inlineStr">
        <is>
          <t xml:space="preserve">FBC13-S-Jackson-Zimmer</t>
        </is>
      </c>
      <c r="C763" s="34" t="inlineStr">
        <is>
          <t xml:space="preserve">Match Play</t>
        </is>
      </c>
      <c r="D763" s="34" t="inlineStr">
        <is>
          <t xml:space="preserve">Singles</t>
        </is>
      </c>
      <c r="E763" s="43">
        <v>18</v>
      </c>
      <c r="F763" s="45">
        <v>2</v>
      </c>
      <c r="G763" s="34" t="inlineStr">
        <is>
          <t xml:space="preserve">Forster</t>
        </is>
      </c>
      <c r="H763" s="34" t="inlineStr">
        <is>
          <t xml:space="preserve">Zimmer</t>
        </is>
      </c>
      <c r="I763" s="34"/>
      <c r="J763" s="34" t="inlineStr">
        <is>
          <t xml:space="preserve">Jackson</t>
        </is>
      </c>
      <c r="K763" s="34"/>
      <c r="L763" s="45">
        <v>-1.12</v>
      </c>
      <c r="M763" s="45">
        <v>-1.12</v>
      </c>
      <c r="N763" s="34" t="inlineStr">
        <is>
          <t xml:space="preserve">Giving</t>
        </is>
      </c>
      <c r="O763" s="45">
        <v>0</v>
      </c>
      <c r="P763" s="45">
        <v>1.139</v>
      </c>
      <c r="Q763" s="45">
        <v>-1.139</v>
      </c>
      <c r="R763" s="34" t="inlineStr">
        <is>
          <t xml:space="preserve">Index x slope (Handicaps tab)</t>
        </is>
      </c>
    </row>
    <row r="764" spans="1:18">
      <c r="A764" s="40">
        <v>13</v>
      </c>
      <c r="B764" s="31" t="inlineStr">
        <is>
          <t xml:space="preserve">FBC13-S-Norat-Shively</t>
        </is>
      </c>
      <c r="C764" s="31" t="inlineStr">
        <is>
          <t xml:space="preserve">Match Play</t>
        </is>
      </c>
      <c r="D764" s="31" t="inlineStr">
        <is>
          <t xml:space="preserve">Singles</t>
        </is>
      </c>
      <c r="E764" s="40">
        <v>18</v>
      </c>
      <c r="F764" s="42">
        <v>2</v>
      </c>
      <c r="G764" s="31" t="inlineStr">
        <is>
          <t xml:space="preserve">Mangold</t>
        </is>
      </c>
      <c r="H764" s="31" t="inlineStr">
        <is>
          <t xml:space="preserve">Shively</t>
        </is>
      </c>
      <c r="I764" s="31"/>
      <c r="J764" s="31" t="inlineStr">
        <is>
          <t xml:space="preserve">Norat</t>
        </is>
      </c>
      <c r="K764" s="31"/>
      <c r="L764" s="42">
        <v>-4.77</v>
      </c>
      <c r="M764" s="42">
        <v>-4.77</v>
      </c>
      <c r="N764" s="31" t="inlineStr">
        <is>
          <t xml:space="preserve">Giving</t>
        </is>
      </c>
      <c r="O764" s="42">
        <v>0</v>
      </c>
      <c r="P764" s="42">
        <v>1.068</v>
      </c>
      <c r="Q764" s="42">
        <v>-1.068</v>
      </c>
      <c r="R764" s="31" t="inlineStr">
        <is>
          <t xml:space="preserve">Index x slope (Handicaps tab)</t>
        </is>
      </c>
    </row>
    <row r="765" spans="1:18">
      <c r="A765" s="43">
        <v>13</v>
      </c>
      <c r="B765" s="34" t="inlineStr">
        <is>
          <t xml:space="preserve">FBC13-S-Norat-Shively</t>
        </is>
      </c>
      <c r="C765" s="34" t="inlineStr">
        <is>
          <t xml:space="preserve">Match Play</t>
        </is>
      </c>
      <c r="D765" s="34" t="inlineStr">
        <is>
          <t xml:space="preserve">Singles</t>
        </is>
      </c>
      <c r="E765" s="43">
        <v>18</v>
      </c>
      <c r="F765" s="45">
        <v>2</v>
      </c>
      <c r="G765" s="34" t="inlineStr">
        <is>
          <t xml:space="preserve">Forster</t>
        </is>
      </c>
      <c r="H765" s="34" t="inlineStr">
        <is>
          <t xml:space="preserve">Norat</t>
        </is>
      </c>
      <c r="I765" s="34"/>
      <c r="J765" s="34" t="inlineStr">
        <is>
          <t xml:space="preserve">Shively</t>
        </is>
      </c>
      <c r="K765" s="34"/>
      <c r="L765" s="45">
        <v>4.77</v>
      </c>
      <c r="M765" s="45">
        <v>4.77</v>
      </c>
      <c r="N765" s="34" t="inlineStr">
        <is>
          <t xml:space="preserve">Getting</t>
        </is>
      </c>
      <c r="O765" s="45">
        <v>2</v>
      </c>
      <c r="P765" s="45">
        <v>0.932</v>
      </c>
      <c r="Q765" s="45">
        <v>1.068</v>
      </c>
      <c r="R765" s="34" t="inlineStr">
        <is>
          <t xml:space="preserve">Index x slope (Handicaps tab)</t>
        </is>
      </c>
    </row>
    <row r="766" spans="1:18">
      <c r="A766" s="40">
        <v>13</v>
      </c>
      <c r="B766" s="31" t="inlineStr">
        <is>
          <t xml:space="preserve">FBC13-S-Piegari-Poirier</t>
        </is>
      </c>
      <c r="C766" s="31" t="inlineStr">
        <is>
          <t xml:space="preserve">Match Play</t>
        </is>
      </c>
      <c r="D766" s="31" t="inlineStr">
        <is>
          <t xml:space="preserve">Singles</t>
        </is>
      </c>
      <c r="E766" s="40">
        <v>18</v>
      </c>
      <c r="F766" s="42">
        <v>2</v>
      </c>
      <c r="G766" s="31" t="inlineStr">
        <is>
          <t xml:space="preserve">Mangold</t>
        </is>
      </c>
      <c r="H766" s="31" t="inlineStr">
        <is>
          <t xml:space="preserve">Piegari</t>
        </is>
      </c>
      <c r="I766" s="31"/>
      <c r="J766" s="31" t="inlineStr">
        <is>
          <t xml:space="preserve">Poirier</t>
        </is>
      </c>
      <c r="K766" s="31"/>
      <c r="L766" s="42">
        <v>5.82</v>
      </c>
      <c r="M766" s="42">
        <v>5.82</v>
      </c>
      <c r="N766" s="31" t="inlineStr">
        <is>
          <t xml:space="preserve">Getting</t>
        </is>
      </c>
      <c r="O766" s="42">
        <v>2</v>
      </c>
      <c r="P766" s="42">
        <v>0.952</v>
      </c>
      <c r="Q766" s="42">
        <v>1.048</v>
      </c>
      <c r="R766" s="31" t="inlineStr">
        <is>
          <t xml:space="preserve">Index x slope (Handicaps tab)</t>
        </is>
      </c>
    </row>
    <row r="767" spans="1:18">
      <c r="A767" s="43">
        <v>13</v>
      </c>
      <c r="B767" s="34" t="inlineStr">
        <is>
          <t xml:space="preserve">FBC13-S-Piegari-Poirier</t>
        </is>
      </c>
      <c r="C767" s="34" t="inlineStr">
        <is>
          <t xml:space="preserve">Match Play</t>
        </is>
      </c>
      <c r="D767" s="34" t="inlineStr">
        <is>
          <t xml:space="preserve">Singles</t>
        </is>
      </c>
      <c r="E767" s="43">
        <v>18</v>
      </c>
      <c r="F767" s="45">
        <v>2</v>
      </c>
      <c r="G767" s="34" t="inlineStr">
        <is>
          <t xml:space="preserve">Forster</t>
        </is>
      </c>
      <c r="H767" s="34" t="inlineStr">
        <is>
          <t xml:space="preserve">Poirier</t>
        </is>
      </c>
      <c r="I767" s="34"/>
      <c r="J767" s="34" t="inlineStr">
        <is>
          <t xml:space="preserve">Piegari</t>
        </is>
      </c>
      <c r="K767" s="34"/>
      <c r="L767" s="45">
        <v>-5.82</v>
      </c>
      <c r="M767" s="45">
        <v>-5.82</v>
      </c>
      <c r="N767" s="34" t="inlineStr">
        <is>
          <t xml:space="preserve">Giving</t>
        </is>
      </c>
      <c r="O767" s="45">
        <v>0</v>
      </c>
      <c r="P767" s="45">
        <v>1.048</v>
      </c>
      <c r="Q767" s="45">
        <v>-1.048</v>
      </c>
      <c r="R767" s="34" t="inlineStr">
        <is>
          <t xml:space="preserve">Index x slope (Handicaps tab)</t>
        </is>
      </c>
    </row>
    <row r="768" spans="1:18">
      <c r="A768" s="40">
        <v>13</v>
      </c>
      <c r="B768" s="31" t="inlineStr">
        <is>
          <t xml:space="preserve">FBC13-S-R. Connolly-Welker</t>
        </is>
      </c>
      <c r="C768" s="31" t="inlineStr">
        <is>
          <t xml:space="preserve">Match Play</t>
        </is>
      </c>
      <c r="D768" s="31" t="inlineStr">
        <is>
          <t xml:space="preserve">Singles</t>
        </is>
      </c>
      <c r="E768" s="40">
        <v>18</v>
      </c>
      <c r="F768" s="42">
        <v>2</v>
      </c>
      <c r="G768" s="31" t="inlineStr">
        <is>
          <t xml:space="preserve">Mangold</t>
        </is>
      </c>
      <c r="H768" s="31" t="inlineStr">
        <is>
          <t xml:space="preserve">Welker</t>
        </is>
      </c>
      <c r="I768" s="31"/>
      <c r="J768" s="31" t="inlineStr">
        <is>
          <t xml:space="preserve">R. Connolly</t>
        </is>
      </c>
      <c r="K768" s="31"/>
      <c r="L768" s="42">
        <v>3.35</v>
      </c>
      <c r="M768" s="42">
        <v>3.35</v>
      </c>
      <c r="N768" s="31" t="inlineStr">
        <is>
          <t xml:space="preserve">Getting</t>
        </is>
      </c>
      <c r="O768" s="42">
        <v>2</v>
      </c>
      <c r="P768" s="42">
        <v>0.904</v>
      </c>
      <c r="Q768" s="42">
        <v>1.096</v>
      </c>
      <c r="R768" s="31" t="inlineStr">
        <is>
          <t xml:space="preserve">Index x slope (Handicaps tab)</t>
        </is>
      </c>
    </row>
    <row r="769" spans="1:18">
      <c r="A769" s="43">
        <v>13</v>
      </c>
      <c r="B769" s="34" t="inlineStr">
        <is>
          <t xml:space="preserve">FBC13-S-R. Connolly-Welker</t>
        </is>
      </c>
      <c r="C769" s="34" t="inlineStr">
        <is>
          <t xml:space="preserve">Match Play</t>
        </is>
      </c>
      <c r="D769" s="34" t="inlineStr">
        <is>
          <t xml:space="preserve">Singles</t>
        </is>
      </c>
      <c r="E769" s="43">
        <v>18</v>
      </c>
      <c r="F769" s="45">
        <v>2</v>
      </c>
      <c r="G769" s="34" t="inlineStr">
        <is>
          <t xml:space="preserve">Forster</t>
        </is>
      </c>
      <c r="H769" s="34" t="inlineStr">
        <is>
          <t xml:space="preserve">R. Connolly</t>
        </is>
      </c>
      <c r="I769" s="34"/>
      <c r="J769" s="34" t="inlineStr">
        <is>
          <t xml:space="preserve">Welker</t>
        </is>
      </c>
      <c r="K769" s="34"/>
      <c r="L769" s="45">
        <v>-3.35</v>
      </c>
      <c r="M769" s="45">
        <v>-3.35</v>
      </c>
      <c r="N769" s="34" t="inlineStr">
        <is>
          <t xml:space="preserve">Giving</t>
        </is>
      </c>
      <c r="O769" s="45">
        <v>0</v>
      </c>
      <c r="P769" s="45">
        <v>1.096</v>
      </c>
      <c r="Q769" s="45">
        <v>-1.096</v>
      </c>
      <c r="R769" s="34" t="inlineStr">
        <is>
          <t xml:space="preserve">Index x slope (Handicaps tab)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Runbook</vt:lpstr>
      <vt:lpstr>Archives</vt:lpstr>
      <vt:lpstr>Cups</vt:lpstr>
      <vt:lpstr>Handicaps</vt:lpstr>
      <vt:lpstr>Points</vt:lpstr>
      <vt:lpstr>LifetimeLeaderboard</vt:lpstr>
      <vt:lpstr>Bounties</vt:lpstr>
      <vt:lpstr>CAPA PPC</vt:lpstr>
      <vt:lpstr>Sandbagger Index</vt:lpstr>
      <vt:lpstr>Stroke Data</vt:lpstr>
      <vt:lpstr>Chemistry Index</vt:lpstr>
      <vt:lpstr>Clutch Rating</vt:lpstr>
      <vt:lpstr>Pythagorean Luck</vt:lpstr>
      <vt:lpstr>Form Guide</vt:lpstr>
      <vt:lpstr>MVP Hall of Fame</vt:lpstr>
      <vt:lpstr>Nemesis &amp; Patsy</vt:lpstr>
      <vt:lpstr>Streak Tracker</vt:lpstr>
      <vt:lpstr>RecordBook</vt:lpstr>
      <vt:lpstr>NHI</vt:lpstr>
      <vt:lpstr>Singles_Doubles records</vt:lpstr>
      <vt:lpstr>7yrFund</vt:lpstr>
      <vt:lpstr>Ratings</vt:lpstr>
      <vt:lpstr>Cup Info</vt:lpstr>
      <vt:lpstr>FBC3</vt:lpstr>
      <vt:lpstr>Lifetime Mulligans</vt:lpstr>
      <vt:lpstr>Rookies</vt:lpstr>
      <vt:lpstr>Cyber Monday</vt:lpstr>
      <vt:lpstr>Difficulty Graph</vt:lpstr>
      <vt:lpstr>Size Analysis</vt:lpstr>
      <vt:lpstr>North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Craig Hilts</cp:lastModifiedBy>
  <cp:revision>0</cp:revision>
  <dcterms:created xsi:type="dcterms:W3CDTF">2026-06-07T21:04:39Z</dcterms:created>
  <dcterms:modified xsi:type="dcterms:W3CDTF">2026-09-04T16:50:04Z</dcterms:modified>
  <dc:language>en-US</dc:language>
</cp:coreProperties>
</file>