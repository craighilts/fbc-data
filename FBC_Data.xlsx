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8_{C4203479-CBF4-1945-B3E2-91AE74618160}" xr6:coauthVersionLast="47" xr6:coauthVersionMax="47" xr10:uidLastSave="{00000000-0000-0000-0000-000000000000}"/>
  <bookViews>
    <workbookView xWindow="8200" yWindow="600" windowWidth="16380" windowHeight="8200" tabRatio="500" firstSheet="1" activeTab="7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" i="26" l="1"/>
  <c r="F31" i="26"/>
  <c r="E31" i="26"/>
  <c r="G35" i="24"/>
  <c r="F35" i="24"/>
  <c r="E35" i="24"/>
  <c r="H35" i="24" s="1"/>
  <c r="G34" i="24"/>
  <c r="F34" i="24"/>
  <c r="E34" i="24"/>
  <c r="H34" i="24" s="1"/>
  <c r="G33" i="24"/>
  <c r="F33" i="24"/>
  <c r="E33" i="24"/>
  <c r="H33" i="24" s="1"/>
  <c r="G32" i="24"/>
  <c r="F32" i="24"/>
  <c r="E32" i="24"/>
  <c r="H32" i="24" s="1"/>
  <c r="G31" i="24"/>
  <c r="F31" i="24"/>
  <c r="E31" i="24"/>
  <c r="H31" i="24" s="1"/>
  <c r="G30" i="24"/>
  <c r="F30" i="24"/>
  <c r="E30" i="24"/>
  <c r="H30" i="24" s="1"/>
  <c r="G29" i="24"/>
  <c r="F29" i="24"/>
  <c r="E29" i="24"/>
  <c r="H29" i="24" s="1"/>
  <c r="G28" i="24"/>
  <c r="F28" i="24"/>
  <c r="E28" i="24"/>
  <c r="G27" i="24"/>
  <c r="F27" i="24"/>
  <c r="E27" i="24"/>
  <c r="H27" i="24" s="1"/>
  <c r="G26" i="24"/>
  <c r="F26" i="24"/>
  <c r="E26" i="24"/>
  <c r="H26" i="24" s="1"/>
  <c r="G25" i="24"/>
  <c r="F25" i="24"/>
  <c r="E25" i="24"/>
  <c r="H25" i="24" s="1"/>
  <c r="G24" i="24"/>
  <c r="F24" i="24"/>
  <c r="E24" i="24"/>
  <c r="H24" i="24" s="1"/>
  <c r="G23" i="24"/>
  <c r="F23" i="24"/>
  <c r="E23" i="24"/>
  <c r="G22" i="24"/>
  <c r="F22" i="24"/>
  <c r="E22" i="24"/>
  <c r="H22" i="24" s="1"/>
  <c r="G21" i="24"/>
  <c r="F21" i="24"/>
  <c r="E21" i="24"/>
  <c r="H21" i="24" s="1"/>
  <c r="G20" i="24"/>
  <c r="F20" i="24"/>
  <c r="E20" i="24"/>
  <c r="H20" i="24" s="1"/>
  <c r="G19" i="24"/>
  <c r="F19" i="24"/>
  <c r="E19" i="24"/>
  <c r="G18" i="24"/>
  <c r="F18" i="24"/>
  <c r="E18" i="24"/>
  <c r="H18" i="24" s="1"/>
  <c r="G17" i="24"/>
  <c r="F17" i="24"/>
  <c r="E17" i="24"/>
  <c r="G16" i="24"/>
  <c r="F16" i="24"/>
  <c r="E16" i="24"/>
  <c r="H16" i="24" s="1"/>
  <c r="G15" i="24"/>
  <c r="F15" i="24"/>
  <c r="E15" i="24"/>
  <c r="H15" i="24" s="1"/>
  <c r="H14" i="24"/>
  <c r="G14" i="24"/>
  <c r="F14" i="24"/>
  <c r="E14" i="24"/>
  <c r="G13" i="24"/>
  <c r="F13" i="24"/>
  <c r="E13" i="24"/>
  <c r="G12" i="24"/>
  <c r="F12" i="24"/>
  <c r="E12" i="24"/>
  <c r="H11" i="24"/>
  <c r="G11" i="24"/>
  <c r="F11" i="24"/>
  <c r="E11" i="24"/>
  <c r="G10" i="24"/>
  <c r="F10" i="24"/>
  <c r="E10" i="24"/>
  <c r="G9" i="24"/>
  <c r="F9" i="24"/>
  <c r="E9" i="24"/>
  <c r="H9" i="24" s="1"/>
  <c r="G8" i="24"/>
  <c r="F8" i="24"/>
  <c r="E8" i="24"/>
  <c r="H8" i="24" s="1"/>
  <c r="G7" i="24"/>
  <c r="F7" i="24"/>
  <c r="E7" i="24"/>
  <c r="G6" i="24"/>
  <c r="F6" i="24"/>
  <c r="E6" i="24"/>
  <c r="H6" i="24" s="1"/>
  <c r="G5" i="24"/>
  <c r="F5" i="24"/>
  <c r="E5" i="24"/>
  <c r="L168" i="19"/>
  <c r="K168" i="19"/>
  <c r="J168" i="19"/>
  <c r="N168" i="19" s="1"/>
  <c r="M168" i="19" s="1"/>
  <c r="L167" i="19"/>
  <c r="K167" i="19"/>
  <c r="N167" i="19" s="1"/>
  <c r="M167" i="19" s="1"/>
  <c r="J167" i="19"/>
  <c r="L166" i="19"/>
  <c r="K166" i="19"/>
  <c r="J166" i="19"/>
  <c r="N166" i="19" s="1"/>
  <c r="M166" i="19" s="1"/>
  <c r="N165" i="19"/>
  <c r="M165" i="19" s="1"/>
  <c r="L165" i="19"/>
  <c r="K165" i="19"/>
  <c r="J165" i="19"/>
  <c r="L164" i="19"/>
  <c r="K164" i="19"/>
  <c r="J164" i="19"/>
  <c r="N164" i="19" s="1"/>
  <c r="M164" i="19" s="1"/>
  <c r="N163" i="19"/>
  <c r="M163" i="19"/>
  <c r="L163" i="19"/>
  <c r="K163" i="19"/>
  <c r="J163" i="19"/>
  <c r="L162" i="19"/>
  <c r="K162" i="19"/>
  <c r="J162" i="19"/>
  <c r="N162" i="19" s="1"/>
  <c r="M162" i="19" s="1"/>
  <c r="L161" i="19"/>
  <c r="N161" i="19" s="1"/>
  <c r="M161" i="19" s="1"/>
  <c r="K161" i="19"/>
  <c r="J161" i="19"/>
  <c r="N160" i="19"/>
  <c r="M160" i="19" s="1"/>
  <c r="L160" i="19"/>
  <c r="K160" i="19"/>
  <c r="J160" i="19"/>
  <c r="L159" i="19"/>
  <c r="K159" i="19"/>
  <c r="J159" i="19"/>
  <c r="N159" i="19" s="1"/>
  <c r="M159" i="19" s="1"/>
  <c r="L158" i="19"/>
  <c r="K158" i="19"/>
  <c r="J158" i="19"/>
  <c r="N158" i="19" s="1"/>
  <c r="M158" i="19" s="1"/>
  <c r="L157" i="19"/>
  <c r="K157" i="19"/>
  <c r="J157" i="19"/>
  <c r="N157" i="19" s="1"/>
  <c r="M157" i="19" s="1"/>
  <c r="N156" i="19"/>
  <c r="M156" i="19" s="1"/>
  <c r="L156" i="19"/>
  <c r="K156" i="19"/>
  <c r="J156" i="19"/>
  <c r="L155" i="19"/>
  <c r="K155" i="19"/>
  <c r="J155" i="19"/>
  <c r="N155" i="19" s="1"/>
  <c r="M155" i="19" s="1"/>
  <c r="N154" i="19"/>
  <c r="M154" i="19" s="1"/>
  <c r="L154" i="19"/>
  <c r="K154" i="19"/>
  <c r="J154" i="19"/>
  <c r="L153" i="19"/>
  <c r="K153" i="19"/>
  <c r="J153" i="19"/>
  <c r="N153" i="19" s="1"/>
  <c r="M153" i="19" s="1"/>
  <c r="L152" i="19"/>
  <c r="K152" i="19"/>
  <c r="N152" i="19" s="1"/>
  <c r="M152" i="19" s="1"/>
  <c r="J152" i="19"/>
  <c r="L151" i="19"/>
  <c r="K151" i="19"/>
  <c r="J151" i="19"/>
  <c r="N151" i="19" s="1"/>
  <c r="M151" i="19" s="1"/>
  <c r="L150" i="19"/>
  <c r="K150" i="19"/>
  <c r="J150" i="19"/>
  <c r="N150" i="19" s="1"/>
  <c r="M150" i="19" s="1"/>
  <c r="L149" i="19"/>
  <c r="N149" i="19" s="1"/>
  <c r="M149" i="19" s="1"/>
  <c r="K149" i="19"/>
  <c r="J149" i="19"/>
  <c r="L148" i="19"/>
  <c r="K148" i="19"/>
  <c r="J148" i="19"/>
  <c r="N148" i="19" s="1"/>
  <c r="M148" i="19" s="1"/>
  <c r="N147" i="19"/>
  <c r="M147" i="19" s="1"/>
  <c r="L147" i="19"/>
  <c r="K147" i="19"/>
  <c r="J147" i="19"/>
  <c r="L146" i="19"/>
  <c r="K146" i="19"/>
  <c r="J146" i="19"/>
  <c r="N146" i="19" s="1"/>
  <c r="M146" i="19" s="1"/>
  <c r="N145" i="19"/>
  <c r="M145" i="19" s="1"/>
  <c r="L145" i="19"/>
  <c r="K145" i="19"/>
  <c r="J145" i="19"/>
  <c r="L144" i="19"/>
  <c r="K144" i="19"/>
  <c r="J144" i="19"/>
  <c r="N144" i="19" s="1"/>
  <c r="M144" i="19" s="1"/>
  <c r="L143" i="19"/>
  <c r="N143" i="19" s="1"/>
  <c r="M143" i="19" s="1"/>
  <c r="K143" i="19"/>
  <c r="J143" i="19"/>
  <c r="L142" i="19"/>
  <c r="K142" i="19"/>
  <c r="J142" i="19"/>
  <c r="N142" i="19" s="1"/>
  <c r="M142" i="19" s="1"/>
  <c r="L141" i="19"/>
  <c r="K141" i="19"/>
  <c r="J141" i="19"/>
  <c r="N141" i="19" s="1"/>
  <c r="M141" i="19" s="1"/>
  <c r="N140" i="19"/>
  <c r="M140" i="19" s="1"/>
  <c r="L140" i="19"/>
  <c r="K140" i="19"/>
  <c r="J140" i="19"/>
  <c r="L139" i="19"/>
  <c r="K139" i="19"/>
  <c r="J139" i="19"/>
  <c r="N139" i="19" s="1"/>
  <c r="M139" i="19" s="1"/>
  <c r="L138" i="19"/>
  <c r="K138" i="19"/>
  <c r="N138" i="19" s="1"/>
  <c r="M138" i="19" s="1"/>
  <c r="J138" i="19"/>
  <c r="L137" i="19"/>
  <c r="K137" i="19"/>
  <c r="J137" i="19"/>
  <c r="N137" i="19" s="1"/>
  <c r="M137" i="19" s="1"/>
  <c r="N136" i="19"/>
  <c r="M136" i="19" s="1"/>
  <c r="L136" i="19"/>
  <c r="K136" i="19"/>
  <c r="J136" i="19"/>
  <c r="L135" i="19"/>
  <c r="K135" i="19"/>
  <c r="J135" i="19"/>
  <c r="N135" i="19" s="1"/>
  <c r="M135" i="19" s="1"/>
  <c r="L134" i="19"/>
  <c r="N134" i="19" s="1"/>
  <c r="M134" i="19" s="1"/>
  <c r="K134" i="19"/>
  <c r="J134" i="19"/>
  <c r="L133" i="19"/>
  <c r="K133" i="19"/>
  <c r="N133" i="19" s="1"/>
  <c r="M133" i="19" s="1"/>
  <c r="J133" i="19"/>
  <c r="L132" i="19"/>
  <c r="K132" i="19"/>
  <c r="N132" i="19" s="1"/>
  <c r="M132" i="19" s="1"/>
  <c r="J132" i="19"/>
  <c r="L131" i="19"/>
  <c r="K131" i="19"/>
  <c r="J131" i="19"/>
  <c r="N131" i="19" s="1"/>
  <c r="M131" i="19" s="1"/>
  <c r="L130" i="19"/>
  <c r="K130" i="19"/>
  <c r="J130" i="19"/>
  <c r="N130" i="19" s="1"/>
  <c r="M130" i="19" s="1"/>
  <c r="L129" i="19"/>
  <c r="N129" i="19" s="1"/>
  <c r="M129" i="19" s="1"/>
  <c r="K129" i="19"/>
  <c r="J129" i="19"/>
  <c r="L128" i="19"/>
  <c r="K128" i="19"/>
  <c r="J128" i="19"/>
  <c r="N128" i="19" s="1"/>
  <c r="M128" i="19" s="1"/>
  <c r="N127" i="19"/>
  <c r="M127" i="19" s="1"/>
  <c r="L127" i="19"/>
  <c r="K127" i="19"/>
  <c r="J127" i="19"/>
  <c r="L126" i="19"/>
  <c r="K126" i="19"/>
  <c r="J126" i="19"/>
  <c r="N126" i="19" s="1"/>
  <c r="M126" i="19" s="1"/>
  <c r="N125" i="19"/>
  <c r="M125" i="19"/>
  <c r="L125" i="19"/>
  <c r="K125" i="19"/>
  <c r="J125" i="19"/>
  <c r="L124" i="19"/>
  <c r="K124" i="19"/>
  <c r="J124" i="19"/>
  <c r="N124" i="19" s="1"/>
  <c r="M124" i="19" s="1"/>
  <c r="L123" i="19"/>
  <c r="N123" i="19" s="1"/>
  <c r="M123" i="19" s="1"/>
  <c r="K123" i="19"/>
  <c r="J123" i="19"/>
  <c r="L122" i="19"/>
  <c r="K122" i="19"/>
  <c r="J122" i="19"/>
  <c r="N122" i="19" s="1"/>
  <c r="M122" i="19" s="1"/>
  <c r="L121" i="19"/>
  <c r="K121" i="19"/>
  <c r="J121" i="19"/>
  <c r="N121" i="19" s="1"/>
  <c r="M121" i="19" s="1"/>
  <c r="N120" i="19"/>
  <c r="M120" i="19" s="1"/>
  <c r="L120" i="19"/>
  <c r="K120" i="19"/>
  <c r="J120" i="19"/>
  <c r="L119" i="19"/>
  <c r="K119" i="19"/>
  <c r="J119" i="19"/>
  <c r="N119" i="19" s="1"/>
  <c r="M119" i="19" s="1"/>
  <c r="L118" i="19"/>
  <c r="K118" i="19"/>
  <c r="N118" i="19" s="1"/>
  <c r="M118" i="19" s="1"/>
  <c r="J118" i="19"/>
  <c r="L117" i="19"/>
  <c r="K117" i="19"/>
  <c r="J117" i="19"/>
  <c r="N117" i="19" s="1"/>
  <c r="M117" i="19" s="1"/>
  <c r="N116" i="19"/>
  <c r="M116" i="19" s="1"/>
  <c r="L116" i="19"/>
  <c r="K116" i="19"/>
  <c r="J116" i="19"/>
  <c r="L115" i="19"/>
  <c r="K115" i="19"/>
  <c r="J115" i="19"/>
  <c r="N115" i="19" s="1"/>
  <c r="M115" i="19" s="1"/>
  <c r="N114" i="19"/>
  <c r="M114" i="19" s="1"/>
  <c r="L114" i="19"/>
  <c r="K114" i="19"/>
  <c r="J114" i="19"/>
  <c r="L113" i="19"/>
  <c r="K113" i="19"/>
  <c r="N113" i="19" s="1"/>
  <c r="M113" i="19" s="1"/>
  <c r="J113" i="19"/>
  <c r="L112" i="19"/>
  <c r="K112" i="19"/>
  <c r="N112" i="19" s="1"/>
  <c r="M112" i="19" s="1"/>
  <c r="J112" i="19"/>
  <c r="L111" i="19"/>
  <c r="K111" i="19"/>
  <c r="J111" i="19"/>
  <c r="N111" i="19" s="1"/>
  <c r="M111" i="19" s="1"/>
  <c r="L110" i="19"/>
  <c r="K110" i="19"/>
  <c r="J110" i="19"/>
  <c r="N110" i="19" s="1"/>
  <c r="M110" i="19" s="1"/>
  <c r="L109" i="19"/>
  <c r="N109" i="19" s="1"/>
  <c r="M109" i="19" s="1"/>
  <c r="K109" i="19"/>
  <c r="J109" i="19"/>
  <c r="L108" i="19"/>
  <c r="K108" i="19"/>
  <c r="J108" i="19"/>
  <c r="N108" i="19" s="1"/>
  <c r="M108" i="19" s="1"/>
  <c r="N107" i="19"/>
  <c r="M107" i="19" s="1"/>
  <c r="L107" i="19"/>
  <c r="K107" i="19"/>
  <c r="J107" i="19"/>
  <c r="L106" i="19"/>
  <c r="K106" i="19"/>
  <c r="J106" i="19"/>
  <c r="N106" i="19" s="1"/>
  <c r="M106" i="19" s="1"/>
  <c r="N105" i="19"/>
  <c r="M105" i="19" s="1"/>
  <c r="L105" i="19"/>
  <c r="K105" i="19"/>
  <c r="J105" i="19"/>
  <c r="L104" i="19"/>
  <c r="K104" i="19"/>
  <c r="J104" i="19"/>
  <c r="N104" i="19" s="1"/>
  <c r="M104" i="19" s="1"/>
  <c r="L103" i="19"/>
  <c r="N103" i="19" s="1"/>
  <c r="M103" i="19" s="1"/>
  <c r="K103" i="19"/>
  <c r="J103" i="19"/>
  <c r="L102" i="19"/>
  <c r="K102" i="19"/>
  <c r="J102" i="19"/>
  <c r="N102" i="19" s="1"/>
  <c r="M102" i="19" s="1"/>
  <c r="L101" i="19"/>
  <c r="K101" i="19"/>
  <c r="J101" i="19"/>
  <c r="N101" i="19" s="1"/>
  <c r="M101" i="19" s="1"/>
  <c r="N100" i="19"/>
  <c r="M100" i="19" s="1"/>
  <c r="L100" i="19"/>
  <c r="K100" i="19"/>
  <c r="J100" i="19"/>
  <c r="L99" i="19"/>
  <c r="K99" i="19"/>
  <c r="J99" i="19"/>
  <c r="N99" i="19" s="1"/>
  <c r="M99" i="19" s="1"/>
  <c r="L98" i="19"/>
  <c r="K98" i="19"/>
  <c r="N98" i="19" s="1"/>
  <c r="M98" i="19" s="1"/>
  <c r="J98" i="19"/>
  <c r="L97" i="19"/>
  <c r="K97" i="19"/>
  <c r="J97" i="19"/>
  <c r="N97" i="19" s="1"/>
  <c r="M97" i="19" s="1"/>
  <c r="N96" i="19"/>
  <c r="M96" i="19" s="1"/>
  <c r="L96" i="19"/>
  <c r="K96" i="19"/>
  <c r="J96" i="19"/>
  <c r="L95" i="19"/>
  <c r="K95" i="19"/>
  <c r="J95" i="19"/>
  <c r="N95" i="19" s="1"/>
  <c r="M95" i="19" s="1"/>
  <c r="L94" i="19"/>
  <c r="N94" i="19" s="1"/>
  <c r="M94" i="19" s="1"/>
  <c r="K94" i="19"/>
  <c r="J94" i="19"/>
  <c r="L93" i="19"/>
  <c r="K93" i="19"/>
  <c r="N93" i="19" s="1"/>
  <c r="M93" i="19" s="1"/>
  <c r="J93" i="19"/>
  <c r="L92" i="19"/>
  <c r="K92" i="19"/>
  <c r="N92" i="19" s="1"/>
  <c r="M92" i="19" s="1"/>
  <c r="J92" i="19"/>
  <c r="L91" i="19"/>
  <c r="K91" i="19"/>
  <c r="J91" i="19"/>
  <c r="N91" i="19" s="1"/>
  <c r="M91" i="19" s="1"/>
  <c r="L90" i="19"/>
  <c r="K90" i="19"/>
  <c r="J90" i="19"/>
  <c r="N90" i="19" s="1"/>
  <c r="M90" i="19" s="1"/>
  <c r="L89" i="19"/>
  <c r="N89" i="19" s="1"/>
  <c r="M89" i="19" s="1"/>
  <c r="K89" i="19"/>
  <c r="J89" i="19"/>
  <c r="L88" i="19"/>
  <c r="K88" i="19"/>
  <c r="J88" i="19"/>
  <c r="N88" i="19" s="1"/>
  <c r="M88" i="19" s="1"/>
  <c r="N87" i="19"/>
  <c r="M87" i="19" s="1"/>
  <c r="L87" i="19"/>
  <c r="K87" i="19"/>
  <c r="J87" i="19"/>
  <c r="L86" i="19"/>
  <c r="K86" i="19"/>
  <c r="J86" i="19"/>
  <c r="N86" i="19" s="1"/>
  <c r="M86" i="19" s="1"/>
  <c r="N85" i="19"/>
  <c r="M85" i="19"/>
  <c r="L85" i="19"/>
  <c r="K85" i="19"/>
  <c r="J85" i="19"/>
  <c r="L84" i="19"/>
  <c r="K84" i="19"/>
  <c r="J84" i="19"/>
  <c r="N84" i="19" s="1"/>
  <c r="M84" i="19" s="1"/>
  <c r="L83" i="19"/>
  <c r="N83" i="19" s="1"/>
  <c r="M83" i="19" s="1"/>
  <c r="K83" i="19"/>
  <c r="J83" i="19"/>
  <c r="L82" i="19"/>
  <c r="K82" i="19"/>
  <c r="J82" i="19"/>
  <c r="N82" i="19" s="1"/>
  <c r="M82" i="19" s="1"/>
  <c r="L81" i="19"/>
  <c r="K81" i="19"/>
  <c r="J81" i="19"/>
  <c r="N81" i="19" s="1"/>
  <c r="M81" i="19" s="1"/>
  <c r="N80" i="19"/>
  <c r="M80" i="19" s="1"/>
  <c r="L80" i="19"/>
  <c r="K80" i="19"/>
  <c r="J80" i="19"/>
  <c r="L79" i="19"/>
  <c r="K79" i="19"/>
  <c r="J79" i="19"/>
  <c r="N79" i="19" s="1"/>
  <c r="M79" i="19" s="1"/>
  <c r="L78" i="19"/>
  <c r="K78" i="19"/>
  <c r="N78" i="19" s="1"/>
  <c r="M78" i="19" s="1"/>
  <c r="J78" i="19"/>
  <c r="L77" i="19"/>
  <c r="K77" i="19"/>
  <c r="J77" i="19"/>
  <c r="N77" i="19" s="1"/>
  <c r="M77" i="19" s="1"/>
  <c r="N76" i="19"/>
  <c r="M76" i="19" s="1"/>
  <c r="L76" i="19"/>
  <c r="K76" i="19"/>
  <c r="J76" i="19"/>
  <c r="L75" i="19"/>
  <c r="K75" i="19"/>
  <c r="J75" i="19"/>
  <c r="N75" i="19" s="1"/>
  <c r="M75" i="19" s="1"/>
  <c r="L74" i="19"/>
  <c r="N74" i="19" s="1"/>
  <c r="M74" i="19" s="1"/>
  <c r="K74" i="19"/>
  <c r="J74" i="19"/>
  <c r="L73" i="19"/>
  <c r="K73" i="19"/>
  <c r="N73" i="19" s="1"/>
  <c r="M73" i="19" s="1"/>
  <c r="J73" i="19"/>
  <c r="L72" i="19"/>
  <c r="K72" i="19"/>
  <c r="N72" i="19" s="1"/>
  <c r="M72" i="19" s="1"/>
  <c r="J72" i="19"/>
  <c r="L71" i="19"/>
  <c r="K71" i="19"/>
  <c r="J71" i="19"/>
  <c r="N71" i="19" s="1"/>
  <c r="M71" i="19" s="1"/>
  <c r="L70" i="19"/>
  <c r="K70" i="19"/>
  <c r="J70" i="19"/>
  <c r="N70" i="19" s="1"/>
  <c r="M70" i="19" s="1"/>
  <c r="L69" i="19"/>
  <c r="N69" i="19" s="1"/>
  <c r="M69" i="19" s="1"/>
  <c r="K69" i="19"/>
  <c r="J69" i="19"/>
  <c r="L68" i="19"/>
  <c r="K68" i="19"/>
  <c r="J68" i="19"/>
  <c r="N68" i="19" s="1"/>
  <c r="M68" i="19" s="1"/>
  <c r="N67" i="19"/>
  <c r="M67" i="19" s="1"/>
  <c r="L67" i="19"/>
  <c r="K67" i="19"/>
  <c r="J67" i="19"/>
  <c r="L66" i="19"/>
  <c r="K66" i="19"/>
  <c r="J66" i="19"/>
  <c r="N66" i="19" s="1"/>
  <c r="M66" i="19" s="1"/>
  <c r="N65" i="19"/>
  <c r="M65" i="19"/>
  <c r="L65" i="19"/>
  <c r="K65" i="19"/>
  <c r="J65" i="19"/>
  <c r="L64" i="19"/>
  <c r="K64" i="19"/>
  <c r="J64" i="19"/>
  <c r="N64" i="19" s="1"/>
  <c r="M64" i="19" s="1"/>
  <c r="L63" i="19"/>
  <c r="N63" i="19" s="1"/>
  <c r="M63" i="19" s="1"/>
  <c r="K63" i="19"/>
  <c r="J63" i="19"/>
  <c r="L62" i="19"/>
  <c r="K62" i="19"/>
  <c r="J62" i="19"/>
  <c r="N62" i="19" s="1"/>
  <c r="M62" i="19" s="1"/>
  <c r="L61" i="19"/>
  <c r="K61" i="19"/>
  <c r="J61" i="19"/>
  <c r="N61" i="19" s="1"/>
  <c r="M61" i="19" s="1"/>
  <c r="N60" i="19"/>
  <c r="M60" i="19" s="1"/>
  <c r="L60" i="19"/>
  <c r="K60" i="19"/>
  <c r="J60" i="19"/>
  <c r="L59" i="19"/>
  <c r="K59" i="19"/>
  <c r="J59" i="19"/>
  <c r="N59" i="19" s="1"/>
  <c r="M59" i="19" s="1"/>
  <c r="L58" i="19"/>
  <c r="K58" i="19"/>
  <c r="N58" i="19" s="1"/>
  <c r="M58" i="19" s="1"/>
  <c r="J58" i="19"/>
  <c r="L57" i="19"/>
  <c r="K57" i="19"/>
  <c r="J57" i="19"/>
  <c r="N57" i="19" s="1"/>
  <c r="M57" i="19" s="1"/>
  <c r="N56" i="19"/>
  <c r="M56" i="19" s="1"/>
  <c r="L56" i="19"/>
  <c r="K56" i="19"/>
  <c r="J56" i="19"/>
  <c r="L55" i="19"/>
  <c r="K55" i="19"/>
  <c r="J55" i="19"/>
  <c r="N55" i="19" s="1"/>
  <c r="M55" i="19" s="1"/>
  <c r="L54" i="19"/>
  <c r="N54" i="19" s="1"/>
  <c r="M54" i="19" s="1"/>
  <c r="K54" i="19"/>
  <c r="J54" i="19"/>
  <c r="L53" i="19"/>
  <c r="K53" i="19"/>
  <c r="N53" i="19" s="1"/>
  <c r="M53" i="19" s="1"/>
  <c r="J53" i="19"/>
  <c r="L52" i="19"/>
  <c r="K52" i="19"/>
  <c r="N52" i="19" s="1"/>
  <c r="M52" i="19" s="1"/>
  <c r="J52" i="19"/>
  <c r="L51" i="19"/>
  <c r="K51" i="19"/>
  <c r="J51" i="19"/>
  <c r="N51" i="19" s="1"/>
  <c r="M51" i="19" s="1"/>
  <c r="L50" i="19"/>
  <c r="K50" i="19"/>
  <c r="J50" i="19"/>
  <c r="N50" i="19" s="1"/>
  <c r="M50" i="19" s="1"/>
  <c r="L49" i="19"/>
  <c r="N49" i="19" s="1"/>
  <c r="M49" i="19" s="1"/>
  <c r="K49" i="19"/>
  <c r="J49" i="19"/>
  <c r="N48" i="19"/>
  <c r="M48" i="19" s="1"/>
  <c r="L48" i="19"/>
  <c r="K48" i="19"/>
  <c r="J48" i="19"/>
  <c r="N47" i="19"/>
  <c r="M47" i="19" s="1"/>
  <c r="L47" i="19"/>
  <c r="K47" i="19"/>
  <c r="J47" i="19"/>
  <c r="L46" i="19"/>
  <c r="K46" i="19"/>
  <c r="J46" i="19"/>
  <c r="N46" i="19" s="1"/>
  <c r="M46" i="19" s="1"/>
  <c r="N45" i="19"/>
  <c r="M45" i="19"/>
  <c r="L45" i="19"/>
  <c r="K45" i="19"/>
  <c r="J45" i="19"/>
  <c r="L44" i="19"/>
  <c r="K44" i="19"/>
  <c r="J44" i="19"/>
  <c r="N44" i="19" s="1"/>
  <c r="M44" i="19" s="1"/>
  <c r="L43" i="19"/>
  <c r="N43" i="19" s="1"/>
  <c r="M43" i="19" s="1"/>
  <c r="K43" i="19"/>
  <c r="J43" i="19"/>
  <c r="L42" i="19"/>
  <c r="K42" i="19"/>
  <c r="J42" i="19"/>
  <c r="N42" i="19" s="1"/>
  <c r="M42" i="19" s="1"/>
  <c r="L41" i="19"/>
  <c r="K41" i="19"/>
  <c r="J41" i="19"/>
  <c r="N41" i="19" s="1"/>
  <c r="M41" i="19" s="1"/>
  <c r="N40" i="19"/>
  <c r="M40" i="19" s="1"/>
  <c r="L40" i="19"/>
  <c r="K40" i="19"/>
  <c r="J40" i="19"/>
  <c r="L39" i="19"/>
  <c r="K39" i="19"/>
  <c r="J39" i="19"/>
  <c r="N39" i="19" s="1"/>
  <c r="M39" i="19" s="1"/>
  <c r="L38" i="19"/>
  <c r="K38" i="19"/>
  <c r="N38" i="19" s="1"/>
  <c r="M38" i="19" s="1"/>
  <c r="J38" i="19"/>
  <c r="L37" i="19"/>
  <c r="K37" i="19"/>
  <c r="J37" i="19"/>
  <c r="N37" i="19" s="1"/>
  <c r="M37" i="19" s="1"/>
  <c r="N36" i="19"/>
  <c r="M36" i="19" s="1"/>
  <c r="L36" i="19"/>
  <c r="K36" i="19"/>
  <c r="J36" i="19"/>
  <c r="L35" i="19"/>
  <c r="K35" i="19"/>
  <c r="J35" i="19"/>
  <c r="N35" i="19" s="1"/>
  <c r="M35" i="19" s="1"/>
  <c r="L34" i="19"/>
  <c r="K34" i="19"/>
  <c r="N34" i="19" s="1"/>
  <c r="M34" i="19" s="1"/>
  <c r="J34" i="19"/>
  <c r="E34" i="19"/>
  <c r="D34" i="19"/>
  <c r="G34" i="19" s="1"/>
  <c r="F34" i="19" s="1"/>
  <c r="C34" i="19"/>
  <c r="L33" i="19"/>
  <c r="K33" i="19"/>
  <c r="J33" i="19"/>
  <c r="N33" i="19" s="1"/>
  <c r="M33" i="19" s="1"/>
  <c r="E33" i="19"/>
  <c r="D33" i="19"/>
  <c r="C33" i="19"/>
  <c r="G33" i="19" s="1"/>
  <c r="F33" i="19" s="1"/>
  <c r="L32" i="19"/>
  <c r="N32" i="19" s="1"/>
  <c r="M32" i="19" s="1"/>
  <c r="K32" i="19"/>
  <c r="J32" i="19"/>
  <c r="G32" i="19"/>
  <c r="F32" i="19" s="1"/>
  <c r="E32" i="19"/>
  <c r="D32" i="19"/>
  <c r="C32" i="19"/>
  <c r="N31" i="19"/>
  <c r="M31" i="19" s="1"/>
  <c r="L31" i="19"/>
  <c r="K31" i="19"/>
  <c r="J31" i="19"/>
  <c r="E31" i="19"/>
  <c r="D31" i="19"/>
  <c r="C31" i="19"/>
  <c r="G31" i="19" s="1"/>
  <c r="F31" i="19" s="1"/>
  <c r="N30" i="19"/>
  <c r="M30" i="19"/>
  <c r="L30" i="19"/>
  <c r="K30" i="19"/>
  <c r="J30" i="19"/>
  <c r="E30" i="19"/>
  <c r="D30" i="19"/>
  <c r="G30" i="19" s="1"/>
  <c r="F30" i="19" s="1"/>
  <c r="C30" i="19"/>
  <c r="L29" i="19"/>
  <c r="K29" i="19"/>
  <c r="J29" i="19"/>
  <c r="N29" i="19" s="1"/>
  <c r="M29" i="19" s="1"/>
  <c r="E29" i="19"/>
  <c r="D29" i="19"/>
  <c r="C29" i="19"/>
  <c r="G29" i="19" s="1"/>
  <c r="F29" i="19" s="1"/>
  <c r="L28" i="19"/>
  <c r="K28" i="19"/>
  <c r="J28" i="19"/>
  <c r="N28" i="19" s="1"/>
  <c r="M28" i="19" s="1"/>
  <c r="G28" i="19"/>
  <c r="F28" i="19" s="1"/>
  <c r="E28" i="19"/>
  <c r="D28" i="19"/>
  <c r="C28" i="19"/>
  <c r="L27" i="19"/>
  <c r="K27" i="19"/>
  <c r="J27" i="19"/>
  <c r="N27" i="19" s="1"/>
  <c r="M27" i="19" s="1"/>
  <c r="E27" i="19"/>
  <c r="D27" i="19"/>
  <c r="G27" i="19" s="1"/>
  <c r="F27" i="19" s="1"/>
  <c r="C27" i="19"/>
  <c r="L26" i="19"/>
  <c r="K26" i="19"/>
  <c r="J26" i="19"/>
  <c r="N26" i="19" s="1"/>
  <c r="M26" i="19" s="1"/>
  <c r="G26" i="19"/>
  <c r="F26" i="19" s="1"/>
  <c r="E26" i="19"/>
  <c r="D26" i="19"/>
  <c r="C26" i="19"/>
  <c r="L25" i="19"/>
  <c r="K25" i="19"/>
  <c r="J25" i="19"/>
  <c r="N25" i="19" s="1"/>
  <c r="M25" i="19" s="1"/>
  <c r="E25" i="19"/>
  <c r="G25" i="19" s="1"/>
  <c r="F25" i="19" s="1"/>
  <c r="D25" i="19"/>
  <c r="C25" i="19"/>
  <c r="L24" i="19"/>
  <c r="K24" i="19"/>
  <c r="N24" i="19" s="1"/>
  <c r="M24" i="19" s="1"/>
  <c r="J24" i="19"/>
  <c r="E24" i="19"/>
  <c r="G24" i="19" s="1"/>
  <c r="F24" i="19" s="1"/>
  <c r="D24" i="19"/>
  <c r="C24" i="19"/>
  <c r="L23" i="19"/>
  <c r="K23" i="19"/>
  <c r="N23" i="19" s="1"/>
  <c r="M23" i="19" s="1"/>
  <c r="J23" i="19"/>
  <c r="E23" i="19"/>
  <c r="G23" i="19" s="1"/>
  <c r="F23" i="19" s="1"/>
  <c r="D23" i="19"/>
  <c r="C23" i="19"/>
  <c r="L22" i="19"/>
  <c r="K22" i="19"/>
  <c r="N22" i="19" s="1"/>
  <c r="M22" i="19" s="1"/>
  <c r="J22" i="19"/>
  <c r="E22" i="19"/>
  <c r="D22" i="19"/>
  <c r="C22" i="19"/>
  <c r="G22" i="19" s="1"/>
  <c r="F22" i="19" s="1"/>
  <c r="L21" i="19"/>
  <c r="K21" i="19"/>
  <c r="N21" i="19" s="1"/>
  <c r="M21" i="19" s="1"/>
  <c r="J21" i="19"/>
  <c r="E21" i="19"/>
  <c r="D21" i="19"/>
  <c r="C21" i="19"/>
  <c r="G21" i="19" s="1"/>
  <c r="F21" i="19" s="1"/>
  <c r="L20" i="19"/>
  <c r="K20" i="19"/>
  <c r="N20" i="19" s="1"/>
  <c r="M20" i="19" s="1"/>
  <c r="J20" i="19"/>
  <c r="E20" i="19"/>
  <c r="D20" i="19"/>
  <c r="C20" i="19"/>
  <c r="G20" i="19" s="1"/>
  <c r="F20" i="19" s="1"/>
  <c r="L19" i="19"/>
  <c r="K19" i="19"/>
  <c r="N19" i="19" s="1"/>
  <c r="M19" i="19" s="1"/>
  <c r="J19" i="19"/>
  <c r="E19" i="19"/>
  <c r="D19" i="19"/>
  <c r="C19" i="19"/>
  <c r="G19" i="19" s="1"/>
  <c r="F19" i="19" s="1"/>
  <c r="L18" i="19"/>
  <c r="K18" i="19"/>
  <c r="N18" i="19" s="1"/>
  <c r="M18" i="19" s="1"/>
  <c r="J18" i="19"/>
  <c r="E18" i="19"/>
  <c r="D18" i="19"/>
  <c r="C18" i="19"/>
  <c r="G18" i="19" s="1"/>
  <c r="F18" i="19" s="1"/>
  <c r="L17" i="19"/>
  <c r="K17" i="19"/>
  <c r="N17" i="19" s="1"/>
  <c r="M17" i="19" s="1"/>
  <c r="J17" i="19"/>
  <c r="E17" i="19"/>
  <c r="D17" i="19"/>
  <c r="C17" i="19"/>
  <c r="G17" i="19" s="1"/>
  <c r="F17" i="19" s="1"/>
  <c r="L16" i="19"/>
  <c r="K16" i="19"/>
  <c r="N16" i="19" s="1"/>
  <c r="M16" i="19" s="1"/>
  <c r="J16" i="19"/>
  <c r="E16" i="19"/>
  <c r="D16" i="19"/>
  <c r="C16" i="19"/>
  <c r="G16" i="19" s="1"/>
  <c r="F16" i="19" s="1"/>
  <c r="L15" i="19"/>
  <c r="K15" i="19"/>
  <c r="N15" i="19" s="1"/>
  <c r="M15" i="19" s="1"/>
  <c r="J15" i="19"/>
  <c r="E15" i="19"/>
  <c r="D15" i="19"/>
  <c r="C15" i="19"/>
  <c r="G15" i="19" s="1"/>
  <c r="F15" i="19" s="1"/>
  <c r="L14" i="19"/>
  <c r="K14" i="19"/>
  <c r="N14" i="19" s="1"/>
  <c r="M14" i="19" s="1"/>
  <c r="J14" i="19"/>
  <c r="E14" i="19"/>
  <c r="D14" i="19"/>
  <c r="C14" i="19"/>
  <c r="G14" i="19" s="1"/>
  <c r="F14" i="19" s="1"/>
  <c r="L13" i="19"/>
  <c r="K13" i="19"/>
  <c r="N13" i="19" s="1"/>
  <c r="M13" i="19" s="1"/>
  <c r="J13" i="19"/>
  <c r="E13" i="19"/>
  <c r="D13" i="19"/>
  <c r="C13" i="19"/>
  <c r="G13" i="19" s="1"/>
  <c r="F13" i="19" s="1"/>
  <c r="L12" i="19"/>
  <c r="K12" i="19"/>
  <c r="J12" i="19"/>
  <c r="N12" i="19" s="1"/>
  <c r="M12" i="19" s="1"/>
  <c r="E12" i="19"/>
  <c r="D12" i="19"/>
  <c r="C12" i="19"/>
  <c r="G12" i="19" s="1"/>
  <c r="F12" i="19" s="1"/>
  <c r="L11" i="19"/>
  <c r="K11" i="19"/>
  <c r="J11" i="19"/>
  <c r="N11" i="19" s="1"/>
  <c r="M11" i="19" s="1"/>
  <c r="E11" i="19"/>
  <c r="D11" i="19"/>
  <c r="C11" i="19"/>
  <c r="G11" i="19" s="1"/>
  <c r="F11" i="19" s="1"/>
  <c r="L10" i="19"/>
  <c r="K10" i="19"/>
  <c r="J10" i="19"/>
  <c r="N10" i="19" s="1"/>
  <c r="M10" i="19" s="1"/>
  <c r="E10" i="19"/>
  <c r="D10" i="19"/>
  <c r="C10" i="19"/>
  <c r="G10" i="19" s="1"/>
  <c r="F10" i="19" s="1"/>
  <c r="L9" i="19"/>
  <c r="K9" i="19"/>
  <c r="J9" i="19"/>
  <c r="N9" i="19" s="1"/>
  <c r="M9" i="19" s="1"/>
  <c r="E9" i="19"/>
  <c r="D9" i="19"/>
  <c r="C9" i="19"/>
  <c r="G9" i="19" s="1"/>
  <c r="F9" i="19" s="1"/>
  <c r="L8" i="19"/>
  <c r="K8" i="19"/>
  <c r="J8" i="19"/>
  <c r="N8" i="19" s="1"/>
  <c r="M8" i="19" s="1"/>
  <c r="E8" i="19"/>
  <c r="D8" i="19"/>
  <c r="C8" i="19"/>
  <c r="G8" i="19" s="1"/>
  <c r="F8" i="19" s="1"/>
  <c r="L7" i="19"/>
  <c r="K7" i="19"/>
  <c r="J7" i="19"/>
  <c r="N7" i="19" s="1"/>
  <c r="M7" i="19" s="1"/>
  <c r="E7" i="19"/>
  <c r="D7" i="19"/>
  <c r="C7" i="19"/>
  <c r="G7" i="19" s="1"/>
  <c r="F7" i="19" s="1"/>
  <c r="L6" i="19"/>
  <c r="K6" i="19"/>
  <c r="J6" i="19"/>
  <c r="N6" i="19" s="1"/>
  <c r="M6" i="19" s="1"/>
  <c r="E6" i="19"/>
  <c r="D6" i="19"/>
  <c r="C6" i="19"/>
  <c r="G6" i="19" s="1"/>
  <c r="F6" i="19" s="1"/>
  <c r="L5" i="19"/>
  <c r="L169" i="19" s="1"/>
  <c r="K5" i="19"/>
  <c r="K169" i="19" s="1"/>
  <c r="J5" i="19"/>
  <c r="E5" i="19"/>
  <c r="E35" i="19" s="1"/>
  <c r="D5" i="19"/>
  <c r="D35" i="19" s="1"/>
  <c r="C5" i="19"/>
  <c r="C35" i="19" s="1"/>
  <c r="I35" i="6"/>
  <c r="J35" i="6" s="1"/>
  <c r="F35" i="6"/>
  <c r="E35" i="6"/>
  <c r="D35" i="6"/>
  <c r="H35" i="6" s="1"/>
  <c r="G35" i="6" s="1"/>
  <c r="C35" i="6"/>
  <c r="I34" i="6"/>
  <c r="J34" i="6" s="1"/>
  <c r="F34" i="6"/>
  <c r="E34" i="6"/>
  <c r="D34" i="6"/>
  <c r="H34" i="6" s="1"/>
  <c r="G34" i="6" s="1"/>
  <c r="C34" i="6"/>
  <c r="I33" i="6"/>
  <c r="J33" i="6" s="1"/>
  <c r="F33" i="6"/>
  <c r="E33" i="6"/>
  <c r="D33" i="6"/>
  <c r="H33" i="6" s="1"/>
  <c r="G33" i="6" s="1"/>
  <c r="C33" i="6"/>
  <c r="I32" i="6"/>
  <c r="J32" i="6" s="1"/>
  <c r="F32" i="6"/>
  <c r="E32" i="6"/>
  <c r="H32" i="6" s="1"/>
  <c r="G32" i="6" s="1"/>
  <c r="D32" i="6"/>
  <c r="C32" i="6"/>
  <c r="I31" i="6"/>
  <c r="J31" i="6" s="1"/>
  <c r="F31" i="6"/>
  <c r="E31" i="6"/>
  <c r="H31" i="6" s="1"/>
  <c r="G31" i="6" s="1"/>
  <c r="D31" i="6"/>
  <c r="C31" i="6"/>
  <c r="I30" i="6"/>
  <c r="J30" i="6" s="1"/>
  <c r="F30" i="6"/>
  <c r="E30" i="6"/>
  <c r="D30" i="6"/>
  <c r="H30" i="6" s="1"/>
  <c r="G30" i="6" s="1"/>
  <c r="C30" i="6"/>
  <c r="I29" i="6"/>
  <c r="J29" i="6" s="1"/>
  <c r="F29" i="6"/>
  <c r="E29" i="6"/>
  <c r="D29" i="6"/>
  <c r="H29" i="6" s="1"/>
  <c r="G29" i="6" s="1"/>
  <c r="C29" i="6"/>
  <c r="I28" i="6"/>
  <c r="J28" i="6" s="1"/>
  <c r="F28" i="6"/>
  <c r="E28" i="6"/>
  <c r="D28" i="6"/>
  <c r="H28" i="6" s="1"/>
  <c r="G28" i="6" s="1"/>
  <c r="C28" i="6"/>
  <c r="I27" i="6"/>
  <c r="J27" i="6" s="1"/>
  <c r="F27" i="6"/>
  <c r="E27" i="6"/>
  <c r="H27" i="6" s="1"/>
  <c r="G27" i="6" s="1"/>
  <c r="D27" i="6"/>
  <c r="C27" i="6"/>
  <c r="I26" i="6"/>
  <c r="J26" i="6" s="1"/>
  <c r="F26" i="6"/>
  <c r="E26" i="6"/>
  <c r="H26" i="6" s="1"/>
  <c r="G26" i="6" s="1"/>
  <c r="D26" i="6"/>
  <c r="C26" i="6"/>
  <c r="I25" i="6"/>
  <c r="J25" i="6" s="1"/>
  <c r="F25" i="6"/>
  <c r="E25" i="6"/>
  <c r="D25" i="6"/>
  <c r="H25" i="6" s="1"/>
  <c r="G25" i="6" s="1"/>
  <c r="C25" i="6"/>
  <c r="I24" i="6"/>
  <c r="J24" i="6" s="1"/>
  <c r="F24" i="6"/>
  <c r="E24" i="6"/>
  <c r="D24" i="6"/>
  <c r="H24" i="6" s="1"/>
  <c r="G24" i="6" s="1"/>
  <c r="C24" i="6"/>
  <c r="I23" i="6"/>
  <c r="J23" i="6" s="1"/>
  <c r="F23" i="6"/>
  <c r="E23" i="6"/>
  <c r="D23" i="6"/>
  <c r="H23" i="6" s="1"/>
  <c r="G23" i="6" s="1"/>
  <c r="C23" i="6"/>
  <c r="I22" i="6"/>
  <c r="J22" i="6" s="1"/>
  <c r="F22" i="6"/>
  <c r="E22" i="6"/>
  <c r="H22" i="6" s="1"/>
  <c r="G22" i="6" s="1"/>
  <c r="D22" i="6"/>
  <c r="C22" i="6"/>
  <c r="I21" i="6"/>
  <c r="J21" i="6" s="1"/>
  <c r="F21" i="6"/>
  <c r="E21" i="6"/>
  <c r="H21" i="6" s="1"/>
  <c r="G21" i="6" s="1"/>
  <c r="D21" i="6"/>
  <c r="C21" i="6"/>
  <c r="I20" i="6"/>
  <c r="J20" i="6" s="1"/>
  <c r="F20" i="6"/>
  <c r="E20" i="6"/>
  <c r="D20" i="6"/>
  <c r="H20" i="6" s="1"/>
  <c r="G20" i="6" s="1"/>
  <c r="C20" i="6"/>
  <c r="I19" i="6"/>
  <c r="J19" i="6" s="1"/>
  <c r="F19" i="6"/>
  <c r="E19" i="6"/>
  <c r="D19" i="6"/>
  <c r="H19" i="6" s="1"/>
  <c r="G19" i="6" s="1"/>
  <c r="C19" i="6"/>
  <c r="I18" i="6"/>
  <c r="J18" i="6" s="1"/>
  <c r="F18" i="6"/>
  <c r="E18" i="6"/>
  <c r="D18" i="6"/>
  <c r="H18" i="6" s="1"/>
  <c r="G18" i="6" s="1"/>
  <c r="C18" i="6"/>
  <c r="I17" i="6"/>
  <c r="J17" i="6" s="1"/>
  <c r="F17" i="6"/>
  <c r="E17" i="6"/>
  <c r="D17" i="6"/>
  <c r="H17" i="6" s="1"/>
  <c r="G17" i="6" s="1"/>
  <c r="C17" i="6"/>
  <c r="I16" i="6"/>
  <c r="J16" i="6" s="1"/>
  <c r="F16" i="6"/>
  <c r="E16" i="6"/>
  <c r="H16" i="6" s="1"/>
  <c r="G16" i="6" s="1"/>
  <c r="D16" i="6"/>
  <c r="C16" i="6"/>
  <c r="I15" i="6"/>
  <c r="J15" i="6" s="1"/>
  <c r="F15" i="6"/>
  <c r="E15" i="6"/>
  <c r="D15" i="6"/>
  <c r="H15" i="6" s="1"/>
  <c r="G15" i="6" s="1"/>
  <c r="C15" i="6"/>
  <c r="I14" i="6"/>
  <c r="J14" i="6" s="1"/>
  <c r="H14" i="6"/>
  <c r="G14" i="6"/>
  <c r="F14" i="6"/>
  <c r="E14" i="6"/>
  <c r="D14" i="6"/>
  <c r="C14" i="6"/>
  <c r="I13" i="6"/>
  <c r="J13" i="6" s="1"/>
  <c r="F13" i="6"/>
  <c r="E13" i="6"/>
  <c r="D13" i="6"/>
  <c r="H13" i="6" s="1"/>
  <c r="G13" i="6" s="1"/>
  <c r="C13" i="6"/>
  <c r="I12" i="6"/>
  <c r="J12" i="6" s="1"/>
  <c r="F12" i="6"/>
  <c r="E12" i="6"/>
  <c r="D12" i="6"/>
  <c r="H12" i="6" s="1"/>
  <c r="G12" i="6" s="1"/>
  <c r="C12" i="6"/>
  <c r="I11" i="6"/>
  <c r="J11" i="6" s="1"/>
  <c r="F11" i="6"/>
  <c r="E11" i="6"/>
  <c r="H11" i="6" s="1"/>
  <c r="G11" i="6" s="1"/>
  <c r="D11" i="6"/>
  <c r="C11" i="6"/>
  <c r="I10" i="6"/>
  <c r="J10" i="6" s="1"/>
  <c r="F10" i="6"/>
  <c r="E10" i="6"/>
  <c r="D10" i="6"/>
  <c r="H10" i="6" s="1"/>
  <c r="G10" i="6" s="1"/>
  <c r="C10" i="6"/>
  <c r="I9" i="6"/>
  <c r="J9" i="6" s="1"/>
  <c r="H9" i="6"/>
  <c r="G9" i="6"/>
  <c r="F9" i="6"/>
  <c r="E9" i="6"/>
  <c r="D9" i="6"/>
  <c r="C9" i="6"/>
  <c r="I8" i="6"/>
  <c r="J8" i="6" s="1"/>
  <c r="F8" i="6"/>
  <c r="E8" i="6"/>
  <c r="D8" i="6"/>
  <c r="H8" i="6" s="1"/>
  <c r="G8" i="6" s="1"/>
  <c r="C8" i="6"/>
  <c r="I7" i="6"/>
  <c r="J7" i="6" s="1"/>
  <c r="F7" i="6"/>
  <c r="E7" i="6"/>
  <c r="D7" i="6"/>
  <c r="H7" i="6" s="1"/>
  <c r="G7" i="6" s="1"/>
  <c r="C7" i="6"/>
  <c r="I6" i="6"/>
  <c r="J6" i="6" s="1"/>
  <c r="F6" i="6"/>
  <c r="E6" i="6"/>
  <c r="H6" i="6" s="1"/>
  <c r="G6" i="6" s="1"/>
  <c r="D6" i="6"/>
  <c r="C6" i="6"/>
  <c r="I5" i="6"/>
  <c r="J5" i="6" s="1"/>
  <c r="F5" i="6"/>
  <c r="F36" i="6" s="1"/>
  <c r="E5" i="6"/>
  <c r="E36" i="6" s="1"/>
  <c r="D5" i="6"/>
  <c r="D36" i="6" s="1"/>
  <c r="C5" i="6"/>
  <c r="C36" i="6" s="1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R35" i="5" s="1"/>
  <c r="Q34" i="5"/>
  <c r="P34" i="5"/>
  <c r="O34" i="5"/>
  <c r="N34" i="5"/>
  <c r="M34" i="5"/>
  <c r="L34" i="5"/>
  <c r="K34" i="5"/>
  <c r="J34" i="5"/>
  <c r="I34" i="5"/>
  <c r="H34" i="5"/>
  <c r="G34" i="5"/>
  <c r="R34" i="5" s="1"/>
  <c r="F34" i="5"/>
  <c r="E34" i="5"/>
  <c r="D34" i="5"/>
  <c r="C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R33" i="5" s="1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R32" i="5" s="1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R31" i="5" s="1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R30" i="5" s="1"/>
  <c r="Q29" i="5"/>
  <c r="P29" i="5"/>
  <c r="O29" i="5"/>
  <c r="N29" i="5"/>
  <c r="M29" i="5"/>
  <c r="L29" i="5"/>
  <c r="K29" i="5"/>
  <c r="J29" i="5"/>
  <c r="I29" i="5"/>
  <c r="H29" i="5"/>
  <c r="G29" i="5"/>
  <c r="R29" i="5" s="1"/>
  <c r="F29" i="5"/>
  <c r="E29" i="5"/>
  <c r="D29" i="5"/>
  <c r="C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R28" i="5" s="1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R27" i="5" s="1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R26" i="5" s="1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R25" i="5" s="1"/>
  <c r="Q24" i="5"/>
  <c r="P24" i="5"/>
  <c r="O24" i="5"/>
  <c r="N24" i="5"/>
  <c r="M24" i="5"/>
  <c r="L24" i="5"/>
  <c r="K24" i="5"/>
  <c r="J24" i="5"/>
  <c r="I24" i="5"/>
  <c r="H24" i="5"/>
  <c r="G24" i="5"/>
  <c r="R24" i="5" s="1"/>
  <c r="F24" i="5"/>
  <c r="E24" i="5"/>
  <c r="D24" i="5"/>
  <c r="C24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R23" i="5" s="1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R22" i="5" s="1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R21" i="5" s="1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R20" i="5" s="1"/>
  <c r="Q19" i="5"/>
  <c r="P19" i="5"/>
  <c r="O19" i="5"/>
  <c r="N19" i="5"/>
  <c r="M19" i="5"/>
  <c r="L19" i="5"/>
  <c r="K19" i="5"/>
  <c r="J19" i="5"/>
  <c r="I19" i="5"/>
  <c r="H19" i="5"/>
  <c r="G19" i="5"/>
  <c r="R19" i="5" s="1"/>
  <c r="F19" i="5"/>
  <c r="E19" i="5"/>
  <c r="D19" i="5"/>
  <c r="C19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R18" i="5" s="1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R17" i="5" s="1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R16" i="5" s="1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R15" i="5" s="1"/>
  <c r="Q14" i="5"/>
  <c r="P14" i="5"/>
  <c r="O14" i="5"/>
  <c r="N14" i="5"/>
  <c r="M14" i="5"/>
  <c r="L14" i="5"/>
  <c r="K14" i="5"/>
  <c r="J14" i="5"/>
  <c r="I14" i="5"/>
  <c r="H14" i="5"/>
  <c r="G14" i="5"/>
  <c r="R14" i="5" s="1"/>
  <c r="F14" i="5"/>
  <c r="E14" i="5"/>
  <c r="D14" i="5"/>
  <c r="C14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R13" i="5" s="1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R12" i="5" s="1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R11" i="5" s="1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R10" i="5" s="1"/>
  <c r="Q9" i="5"/>
  <c r="P9" i="5"/>
  <c r="O9" i="5"/>
  <c r="N9" i="5"/>
  <c r="M9" i="5"/>
  <c r="L9" i="5"/>
  <c r="K9" i="5"/>
  <c r="J9" i="5"/>
  <c r="I9" i="5"/>
  <c r="H9" i="5"/>
  <c r="G9" i="5"/>
  <c r="R9" i="5" s="1"/>
  <c r="F9" i="5"/>
  <c r="E9" i="5"/>
  <c r="D9" i="5"/>
  <c r="C9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R8" i="5" s="1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R7" i="5" s="1"/>
  <c r="Q6" i="5"/>
  <c r="P6" i="5"/>
  <c r="P36" i="5" s="1"/>
  <c r="O6" i="5"/>
  <c r="O36" i="5" s="1"/>
  <c r="N6" i="5"/>
  <c r="M6" i="5"/>
  <c r="L6" i="5"/>
  <c r="K6" i="5"/>
  <c r="J6" i="5"/>
  <c r="I6" i="5"/>
  <c r="H6" i="5"/>
  <c r="G6" i="5"/>
  <c r="F6" i="5"/>
  <c r="F36" i="5" s="1"/>
  <c r="E6" i="5"/>
  <c r="E36" i="5" s="1"/>
  <c r="D6" i="5"/>
  <c r="C6" i="5"/>
  <c r="R6" i="5" s="1"/>
  <c r="Q5" i="5"/>
  <c r="Q36" i="5" s="1"/>
  <c r="P5" i="5"/>
  <c r="O5" i="5"/>
  <c r="N5" i="5"/>
  <c r="N36" i="5" s="1"/>
  <c r="M5" i="5"/>
  <c r="M36" i="5" s="1"/>
  <c r="L5" i="5"/>
  <c r="L36" i="5" s="1"/>
  <c r="K5" i="5"/>
  <c r="K36" i="5" s="1"/>
  <c r="J5" i="5"/>
  <c r="J36" i="5" s="1"/>
  <c r="I5" i="5"/>
  <c r="I36" i="5" s="1"/>
  <c r="H5" i="5"/>
  <c r="H36" i="5" s="1"/>
  <c r="G5" i="5"/>
  <c r="G36" i="5" s="1"/>
  <c r="F5" i="5"/>
  <c r="E5" i="5"/>
  <c r="D5" i="5"/>
  <c r="D36" i="5" s="1"/>
  <c r="C5" i="5"/>
  <c r="R5" i="5" s="1"/>
  <c r="O34" i="4"/>
  <c r="O33" i="4"/>
  <c r="O30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R31" i="3"/>
  <c r="O31" i="3"/>
  <c r="Q31" i="3" s="1"/>
  <c r="O30" i="3"/>
  <c r="Q30" i="3" s="1"/>
  <c r="R29" i="3"/>
  <c r="O29" i="3"/>
  <c r="Q29" i="3" s="1"/>
  <c r="Q28" i="3"/>
  <c r="O28" i="3"/>
  <c r="R28" i="3" s="1"/>
  <c r="O27" i="3"/>
  <c r="R27" i="3" s="1"/>
  <c r="R26" i="3"/>
  <c r="Q26" i="3"/>
  <c r="O26" i="3"/>
  <c r="O25" i="3"/>
  <c r="Q25" i="3" s="1"/>
  <c r="R24" i="3"/>
  <c r="Q24" i="3"/>
  <c r="O24" i="3"/>
  <c r="O23" i="3"/>
  <c r="Q23" i="3" s="1"/>
  <c r="Q22" i="3"/>
  <c r="O22" i="3"/>
  <c r="R22" i="3" s="1"/>
  <c r="R21" i="3"/>
  <c r="O21" i="3"/>
  <c r="Q21" i="3" s="1"/>
  <c r="O20" i="3"/>
  <c r="Q20" i="3" s="1"/>
  <c r="R19" i="3"/>
  <c r="O19" i="3"/>
  <c r="Q19" i="3" s="1"/>
  <c r="Q18" i="3"/>
  <c r="O18" i="3"/>
  <c r="R18" i="3" s="1"/>
  <c r="O17" i="3"/>
  <c r="R17" i="3" s="1"/>
  <c r="R16" i="3"/>
  <c r="Q16" i="3"/>
  <c r="O16" i="3"/>
  <c r="O15" i="3"/>
  <c r="Q15" i="3" s="1"/>
  <c r="R14" i="3"/>
  <c r="Q14" i="3"/>
  <c r="O14" i="3"/>
  <c r="Q13" i="3"/>
  <c r="O13" i="3"/>
  <c r="R13" i="3" s="1"/>
  <c r="Q12" i="3"/>
  <c r="O12" i="3"/>
  <c r="R12" i="3" s="1"/>
  <c r="R11" i="3"/>
  <c r="O11" i="3"/>
  <c r="Q11" i="3" s="1"/>
  <c r="O10" i="3"/>
  <c r="Q10" i="3" s="1"/>
  <c r="R9" i="3"/>
  <c r="O9" i="3"/>
  <c r="Q9" i="3" s="1"/>
  <c r="Q8" i="3"/>
  <c r="O8" i="3"/>
  <c r="R8" i="3" s="1"/>
  <c r="O7" i="3"/>
  <c r="R7" i="3" s="1"/>
  <c r="R6" i="3"/>
  <c r="Q6" i="3"/>
  <c r="O6" i="3"/>
  <c r="O5" i="3"/>
  <c r="Q5" i="3" s="1"/>
  <c r="R4" i="3"/>
  <c r="Q4" i="3"/>
  <c r="O4" i="3"/>
  <c r="O3" i="3"/>
  <c r="Q3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R36" i="5" l="1"/>
  <c r="R15" i="3"/>
  <c r="C36" i="5"/>
  <c r="F7" i="17"/>
  <c r="H7" i="17" s="1"/>
  <c r="G5" i="19"/>
  <c r="R5" i="3"/>
  <c r="R25" i="3"/>
  <c r="H5" i="6"/>
  <c r="J169" i="19"/>
  <c r="H12" i="24"/>
  <c r="F10" i="17"/>
  <c r="H10" i="17" s="1"/>
  <c r="H28" i="24"/>
  <c r="R23" i="3"/>
  <c r="O34" i="3"/>
  <c r="H7" i="24"/>
  <c r="H10" i="24"/>
  <c r="H13" i="24"/>
  <c r="H19" i="24"/>
  <c r="Q7" i="3"/>
  <c r="R10" i="3"/>
  <c r="Q17" i="3"/>
  <c r="R20" i="3"/>
  <c r="Q27" i="3"/>
  <c r="R30" i="3"/>
  <c r="N5" i="19"/>
  <c r="R3" i="3"/>
  <c r="H5" i="24"/>
  <c r="H23" i="24"/>
  <c r="H17" i="24"/>
  <c r="H36" i="6" l="1"/>
  <c r="G36" i="6" s="1"/>
  <c r="G5" i="6"/>
  <c r="N169" i="19"/>
  <c r="M169" i="19" s="1"/>
  <c r="M5" i="19"/>
  <c r="F12" i="17"/>
  <c r="H12" i="17" s="1"/>
  <c r="R34" i="3"/>
  <c r="G35" i="19"/>
  <c r="F35" i="19" s="1"/>
  <c r="F5" i="19"/>
</calcChain>
</file>

<file path=xl/sharedStrings.xml><?xml version="1.0" encoding="utf-8"?>
<sst xmlns="http://schemas.openxmlformats.org/spreadsheetml/2006/main" count="18099" uniqueCount="1310">
  <si>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</si>
  <si>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</si>
  <si>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</si>
  <si>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</si>
  <si>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</si>
  <si>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</si>
  <si>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</si>
  <si>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FBC #, Day, AM/PM, Format, Singles/Doubles, Team, Player 1, Player 2 (doubles), handicaps, Points at stake, W/L/T, Points earned,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</si>
  <si>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</si>
  <si>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</si>
  <si>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</si>
  <si>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</si>
  <si>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</si>
  <si>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</si>
  <si>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</si>
  <si>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</si>
  <si>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</si>
  <si>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</si>
  <si>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</si>
  <si>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</si>
  <si>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</si>
  <si>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</si>
  <si>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</si>
  <si>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</si>
  <si>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</si>
  <si>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</si>
  <si>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</si>
  <si>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</si>
  <si>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</si>
  <si>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</si>
  <si>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</si>
  <si>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</si>
  <si>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</si>
  <si>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</si>
  <si>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</si>
  <si>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</si>
  <si>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</si>
  <si>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</si>
  <si>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</si>
  <si>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</si>
  <si>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</si>
  <si>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</si>
  <si>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</si>
  <si>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</si>
  <si>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</si>
  <si>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</si>
  <si>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</si>
  <si>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</si>
  <si>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</si>
  <si>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</si>
  <si>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</si>
  <si>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</si>
  <si>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</si>
  <si>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</si>
  <si>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</si>
  <si>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</si>
  <si>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</si>
  <si>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</si>
  <si>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</si>
  <si>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</si>
  <si>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</si>
  <si>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</si>
  <si>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</si>
  <si>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</si>
  <si>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</si>
  <si>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Three Archives columns — UniqueMatchID, SingleEntity, and the player-flag columns — are legacy/unused. Nothing reads them; you can ignore them.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</si>
  <si>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</si>
  <si>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</si>
  <si>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</si>
  <si>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</si>
  <si>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</si>
  <si>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</si>
  <si>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</si>
  <si>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</si>
  <si>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</si>
  <si>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</si>
  <si>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</si>
  <si>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</si>
  <si>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</si>
  <si>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</si>
  <si>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</si>
  <si>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</si>
  <si>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</si>
  <si>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</si>
  <si>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</si>
  <si>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</si>
  <si>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</si>
  <si>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</si>
  <si>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</si>
  <si>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</si>
  <si>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</si>
  <si>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</si>
  <si>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</si>
  <si>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</si>
  <si>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</si>
  <si>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</si>
  <si>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</si>
  <si>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</si>
  <si>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</si>
  <si>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</si>
  <si>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</si>
  <si>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</si>
  <si>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</si>
  <si>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</si>
  <si>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</si>
  <si>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</si>
  <si>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</si>
  <si>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</si>
  <si>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</si>
  <si>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</si>
  <si>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</si>
  <si>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</si>
  <si>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</si>
  <si>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</si>
  <si>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</si>
  <si>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</si>
  <si>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</si>
  <si>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</si>
  <si>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</si>
  <si>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</si>
  <si>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</si>
  <si>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</si>
  <si>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</si>
  <si>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</si>
  <si>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</si>
  <si>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</si>
  <si>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</si>
  <si>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</si>
  <si>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</si>
  <si>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</si>
  <si>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</si>
  <si>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</si>
  <si>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</si>
  <si>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</si>
  <si>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</si>
  <si>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Connolly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</si>
  <si>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</si>
  <si>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</si>
  <si>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</si>
  <si>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</si>
  <si>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</si>
  <si>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</si>
  <si>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</si>
  <si>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</si>
  <si>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</si>
  <si>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</si>
  <si>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</si>
  <si>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</si>
  <si>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</si>
  <si>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</si>
  <si>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</si>
  <si>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</si>
  <si>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</si>
  <si>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</si>
  <si>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</si>
  <si>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</si>
  <si>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</si>
  <si>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</si>
  <si>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</si>
  <si>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</si>
  <si>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</si>
  <si>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</si>
  <si>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</si>
  <si>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</si>
  <si>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</si>
  <si>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</si>
  <si>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</si>
  <si>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</si>
  <si>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</si>
  <si>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</si>
  <si>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</si>
  <si>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</si>
  <si>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</si>
  <si>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Buss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</si>
  <si>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</si>
  <si>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</si>
  <si>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</si>
  <si>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</si>
  <si>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</si>
  <si>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</si>
  <si>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</si>
  <si>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</si>
  <si>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</si>
  <si>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</si>
  <si>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</si>
  <si>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</si>
  <si>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</si>
  <si>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</si>
  <si>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</si>
  <si>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</si>
  <si>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</si>
  <si>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</si>
  <si>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</si>
  <si>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</si>
  <si>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</si>
  <si>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</si>
  <si>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</si>
  <si>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</si>
  <si>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</si>
  <si>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</si>
  <si>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</si>
  <si>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</si>
  <si>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</si>
  <si>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</si>
  <si>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</si>
  <si>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</si>
  <si>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</si>
  <si>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</si>
  <si>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</si>
  <si>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</si>
  <si>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</si>
  <si>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</si>
  <si>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</si>
  <si>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</si>
  <si>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</si>
  <si>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</si>
  <si>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</si>
  <si>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</si>
  <si>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FBC2-S-Buss-Jackson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</si>
  <si>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</si>
  <si>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</si>
  <si>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</si>
  <si>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</si>
  <si>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</si>
  <si>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</si>
  <si>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</si>
  <si>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</si>
  <si>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</si>
  <si>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</si>
  <si>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</si>
  <si>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</si>
  <si>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</si>
  <si>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</si>
  <si>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</si>
  <si>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</si>
  <si>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</si>
  <si>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</si>
  <si>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</si>
  <si>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</si>
  <si>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</si>
  <si>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</si>
  <si>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</si>
  <si>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</si>
  <si>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</si>
  <si>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</si>
  <si>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</si>
  <si>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</si>
  <si>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</si>
  <si>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</si>
  <si>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</si>
  <si>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</si>
  <si>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</si>
  <si>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</si>
  <si>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</si>
  <si>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</si>
  <si>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</si>
  <si>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</si>
  <si>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</si>
  <si>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</si>
  <si>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</si>
  <si>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</si>
  <si>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</si>
  <si>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</si>
  <si>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</si>
  <si>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</si>
  <si>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</si>
  <si>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FBC3-S-Buss-Zimmer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</si>
  <si>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</si>
  <si>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</si>
  <si>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</si>
  <si>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</si>
  <si>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</si>
  <si>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</si>
  <si>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</si>
  <si>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</si>
  <si>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</si>
  <si>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</si>
  <si>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</si>
  <si>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</si>
  <si>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</si>
  <si>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</si>
  <si>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</si>
  <si>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</si>
  <si>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</si>
  <si>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</si>
  <si>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</si>
  <si>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</si>
  <si>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</si>
  <si>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</si>
  <si>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</si>
  <si>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</si>
  <si>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</si>
  <si>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</si>
  <si>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</si>
  <si>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</si>
  <si>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</si>
  <si>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</si>
  <si>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</si>
  <si>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</si>
  <si>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</si>
  <si>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</si>
  <si>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</si>
  <si>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</si>
  <si>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</si>
  <si>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</si>
  <si>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</si>
  <si>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</si>
  <si>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</si>
  <si>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</si>
  <si>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</si>
  <si>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</si>
  <si>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</si>
  <si>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</si>
  <si>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</si>
  <si>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</si>
  <si>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</si>
  <si>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</si>
  <si>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</si>
  <si>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</si>
  <si>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FBC4-S-Buss-Jackson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</si>
  <si>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</si>
  <si>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</si>
  <si>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</si>
  <si>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</si>
  <si>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</si>
  <si>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</si>
  <si>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</si>
  <si>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</si>
  <si>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</si>
  <si>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</si>
  <si>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</si>
  <si>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</si>
  <si>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</si>
  <si>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</si>
  <si>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</si>
  <si>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</si>
  <si>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</si>
  <si>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</si>
  <si>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</si>
  <si>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</si>
  <si>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</si>
  <si>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</si>
  <si>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</si>
  <si>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</si>
  <si>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</si>
  <si>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</si>
  <si>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</si>
  <si>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</si>
  <si>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</si>
  <si>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</si>
  <si>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</si>
  <si>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</si>
  <si>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</si>
  <si>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</si>
  <si>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</si>
  <si>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</si>
  <si>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</si>
  <si>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</si>
  <si>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</si>
  <si>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</si>
  <si>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</si>
  <si>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</si>
  <si>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</si>
  <si>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</si>
  <si>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</si>
  <si>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</si>
  <si>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</si>
  <si>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</si>
  <si>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</si>
  <si>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</si>
  <si>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</si>
  <si>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</si>
  <si>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</si>
  <si>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</si>
  <si>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</si>
  <si>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</si>
  <si>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</si>
  <si>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</si>
  <si>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</si>
  <si>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</si>
  <si>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</si>
  <si>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</si>
  <si>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</si>
  <si>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</si>
  <si>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</si>
  <si>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</si>
  <si>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</si>
  <si>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</si>
  <si>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</si>
  <si>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</si>
  <si>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</si>
  <si>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</si>
  <si>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</si>
  <si>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</si>
  <si>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</si>
  <si>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</si>
  <si>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</si>
  <si>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</si>
  <si>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</si>
  <si>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FBC6-S-Buss-Welker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</si>
  <si>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</si>
  <si>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</si>
  <si>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</si>
  <si>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</si>
  <si>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</si>
  <si>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</si>
  <si>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</si>
  <si>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</si>
  <si>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</si>
  <si>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</si>
  <si>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</si>
  <si>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</si>
  <si>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</si>
  <si>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</si>
  <si>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</si>
  <si>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</si>
  <si>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</si>
  <si>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</si>
  <si>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</si>
  <si>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</si>
  <si>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</si>
  <si>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</si>
  <si>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</si>
  <si>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</si>
  <si>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</si>
  <si>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</si>
  <si>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</si>
  <si>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</si>
  <si>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</si>
  <si>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</si>
  <si>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</si>
  <si>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</si>
  <si>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</si>
  <si>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</si>
  <si>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</si>
  <si>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</si>
  <si>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</si>
  <si>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</si>
  <si>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</si>
  <si>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</si>
  <si>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</si>
  <si>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</si>
  <si>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</si>
  <si>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</si>
  <si>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FBC7-S-Buss-Connolly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</si>
  <si>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</si>
  <si>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</si>
  <si>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</si>
  <si>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</si>
  <si>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</si>
  <si>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</si>
  <si>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</si>
  <si>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</si>
  <si>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</si>
  <si>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</si>
  <si>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</si>
  <si>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</si>
  <si>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</si>
  <si>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</si>
  <si>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</si>
  <si>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</si>
  <si>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</si>
  <si>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Deoteris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</si>
  <si>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</si>
  <si>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</si>
  <si>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</si>
  <si>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</si>
  <si>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</si>
  <si>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</si>
  <si>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</si>
  <si>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</si>
  <si>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</si>
  <si>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</si>
  <si>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</si>
  <si>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</si>
  <si>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</si>
  <si>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</si>
  <si>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</si>
  <si>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</si>
  <si>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</si>
  <si>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</si>
  <si>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</si>
  <si>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</si>
  <si>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</si>
  <si>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</si>
  <si>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</si>
  <si>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</si>
  <si>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</si>
  <si>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</si>
  <si>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</si>
  <si>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</si>
  <si>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</si>
  <si>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</si>
  <si>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</si>
  <si>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</si>
  <si>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</si>
  <si>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</si>
  <si>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</si>
  <si>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</si>
  <si>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</si>
  <si>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</si>
  <si>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</si>
  <si>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</si>
  <si>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</si>
  <si>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</si>
  <si>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</si>
  <si>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</si>
  <si>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</si>
  <si>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</si>
  <si>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</si>
  <si>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</si>
  <si>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</si>
  <si>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</si>
  <si>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</si>
  <si>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</si>
  <si>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</si>
  <si>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</si>
  <si>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</si>
  <si>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</si>
  <si>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</si>
  <si>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</si>
  <si>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</si>
  <si>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</si>
  <si>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</si>
  <si>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</si>
  <si>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</si>
  <si>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</si>
  <si>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</si>
  <si>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</si>
  <si>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</si>
  <si>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</si>
  <si>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</si>
  <si>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</si>
  <si>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</si>
  <si>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</si>
  <si>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</si>
  <si>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</si>
  <si>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</si>
  <si>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</si>
  <si>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</si>
  <si>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FBC9-S-Connors-Deoteris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</si>
  <si>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</si>
  <si>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</si>
  <si>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</si>
  <si>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</si>
  <si>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</si>
  <si>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</si>
  <si>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</si>
  <si>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</si>
  <si>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</si>
  <si>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</si>
  <si>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</si>
  <si>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</si>
  <si>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</si>
  <si>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</si>
  <si>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</si>
  <si>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</si>
  <si>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</si>
  <si>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</si>
  <si>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</si>
  <si>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</si>
  <si>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</si>
  <si>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</si>
  <si>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</si>
  <si>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</si>
  <si>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</si>
  <si>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</si>
  <si>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</si>
  <si>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</si>
  <si>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</si>
  <si>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</si>
  <si>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</si>
  <si>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</si>
  <si>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</si>
  <si>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</si>
  <si>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</si>
  <si>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</si>
  <si>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</si>
  <si>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</si>
  <si>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</si>
  <si>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</si>
  <si>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</si>
  <si>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</si>
  <si>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</si>
  <si>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</si>
  <si>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</si>
  <si>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</si>
  <si>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</si>
  <si>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</si>
  <si>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</si>
  <si>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</si>
  <si>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</si>
  <si>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</si>
  <si>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</si>
  <si>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</si>
  <si>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</si>
  <si>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</si>
  <si>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</si>
  <si>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</si>
  <si>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</si>
  <si>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</si>
  <si>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</si>
  <si>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</si>
  <si>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</si>
  <si>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</si>
  <si>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</si>
  <si>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</si>
  <si>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</si>
  <si>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</si>
  <si>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</si>
  <si>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</si>
  <si>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</si>
  <si>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</si>
  <si>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</si>
  <si>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</si>
  <si>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</si>
  <si>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</si>
  <si>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</si>
  <si>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</si>
  <si>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</si>
  <si>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</si>
  <si>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</si>
  <si>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</si>
  <si>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</si>
  <si>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</si>
  <si>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</si>
  <si>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</si>
  <si>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</si>
  <si>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</si>
  <si>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</si>
  <si>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</si>
  <si>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</si>
  <si>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</si>
  <si>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</si>
  <si>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</si>
  <si>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</si>
  <si>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</si>
  <si>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</si>
  <si>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</si>
  <si>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</si>
  <si>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</si>
  <si>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</si>
  <si>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</si>
  <si>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</si>
  <si>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</si>
  <si>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</si>
  <si>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</si>
  <si>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</si>
  <si>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</si>
  <si>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</si>
  <si>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</si>
  <si>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</si>
  <si>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</si>
  <si>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</si>
  <si>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</si>
  <si>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</si>
  <si>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</si>
  <si>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</si>
  <si>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</si>
  <si>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</si>
  <si>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</si>
  <si>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</si>
  <si>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</si>
  <si>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</si>
  <si>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</si>
  <si>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</si>
  <si>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</si>
  <si>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</si>
  <si>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</si>
  <si>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</si>
  <si>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</si>
  <si>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</si>
  <si>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</si>
  <si>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</si>
  <si>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</si>
  <si>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</si>
  <si>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FBC12-S-Deoteris-Snyder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</si>
  <si>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</si>
  <si>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</si>
  <si>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</si>
  <si>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</si>
  <si>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</si>
  <si>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</si>
  <si>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</si>
  <si>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</si>
  <si>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</si>
  <si>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</si>
  <si>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</si>
  <si>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</si>
  <si>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</si>
  <si>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</si>
  <si>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</si>
  <si>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</si>
  <si>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</si>
  <si>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</si>
  <si>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</si>
  <si>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</si>
  <si>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</si>
  <si>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</si>
  <si>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</si>
  <si>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</si>
  <si>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</si>
  <si>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</si>
  <si>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</si>
  <si>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</si>
  <si>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</si>
  <si>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FBC2–12;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</si>
  <si>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</si>
  <si>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</si>
  <si>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</si>
  <si>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</si>
  <si>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</si>
  <si>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</si>
  <si>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</si>
  <si>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</si>
  <si>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</si>
  <si>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</si>
  <si>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</si>
  <si>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</si>
  <si>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</si>
  <si>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</si>
  <si>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</si>
  <si>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</si>
  <si>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</si>
  <si>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</si>
  <si>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</si>
  <si>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</si>
  <si>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</si>
  <si>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</si>
  <si>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</si>
  <si>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</si>
  <si>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</si>
  <si>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</si>
  <si>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</si>
  <si>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</si>
  <si>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</si>
  <si>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</si>
  <si>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</si>
  <si>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</si>
  <si>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</si>
  <si>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</si>
  <si>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</si>
  <si>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</si>
  <si>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Handicaps tab (FBC1–12, all cups). Buss lacks index data, so his Hcp Adj = 0.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</si>
  <si>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</si>
  <si>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</si>
  <si>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</si>
  <si>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</si>
  <si>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</si>
  <si>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</si>
  <si>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</si>
  <si>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</si>
  <si>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</si>
  <si>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</si>
  <si>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</si>
  <si>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</si>
  <si>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</si>
  <si>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</si>
  <si>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</si>
  <si>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</si>
  <si>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</si>
  <si>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</si>
  <si>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</si>
  <si>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</si>
  <si>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</si>
  <si>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</si>
  <si>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</si>
  <si>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</si>
  <si>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</si>
  <si>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</si>
  <si>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</si>
  <si>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</si>
  <si>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</si>
  <si>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</si>
  <si>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</si>
  <si>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</si>
  <si>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Buss / Shively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</si>
  <si>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</si>
  <si>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</si>
  <si>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</si>
  <si>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</si>
  <si>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</si>
  <si>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</si>
  <si>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</si>
  <si>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</si>
  <si>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</si>
  <si>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</si>
  <si>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Deoteris / Ferrin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</si>
  <si>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</si>
  <si>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</si>
  <si>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</si>
  <si>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</si>
  <si>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</si>
  <si>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</si>
  <si>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</si>
  <si>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</si>
  <si>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</si>
  <si>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</si>
  <si>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</si>
  <si>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</si>
  <si>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</si>
  <si>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</si>
  <si>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</si>
  <si>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</si>
  <si>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</si>
  <si>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</si>
  <si>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Buss / Mangold</t>
  </si>
  <si>
    <t>Cole / Jackson</t>
  </si>
  <si>
    <t>Macklin / Poirier</t>
  </si>
  <si>
    <t>Connolly / Zimmer</t>
  </si>
  <si>
    <t>Forster / Norat</t>
  </si>
  <si>
    <t>Deoteris / Zimmer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</si>
  <si>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</si>
  <si>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</si>
  <si>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</si>
  <si>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</si>
  <si>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</si>
  <si>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</si>
  <si>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</si>
  <si>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</si>
  <si>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</si>
  <si>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</si>
  <si>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</si>
  <si>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</si>
  <si>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</si>
  <si>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</si>
  <si>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</si>
  <si>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</si>
  <si>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</si>
  <si>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</si>
  <si>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</si>
  <si>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</si>
  <si>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</si>
  <si>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</si>
  <si>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</si>
  <si>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</si>
  <si>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</si>
  <si>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</si>
  <si>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</si>
  <si>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</si>
  <si>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</si>
  <si>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</si>
  <si>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</si>
  <si>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</si>
  <si>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</si>
  <si>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</si>
  <si>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</si>
  <si>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</si>
  <si>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</si>
  <si>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</si>
  <si>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</si>
  <si>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</si>
  <si>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</si>
  <si>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</si>
  <si>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</si>
  <si>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</si>
  <si>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</si>
  <si>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</si>
  <si>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</si>
  <si>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</si>
  <si>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</si>
  <si>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</si>
  <si>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</si>
  <si>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</si>
  <si>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</si>
  <si>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</si>
  <si>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</si>
  <si>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</si>
  <si>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</si>
  <si>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</si>
  <si>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</si>
  <si>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</si>
  <si>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</si>
  <si>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</si>
  <si>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</si>
  <si>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</si>
  <si>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</si>
  <si>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</si>
  <si>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</si>
  <si>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</si>
  <si>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</si>
  <si>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</si>
  <si>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</si>
  <si>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</si>
  <si>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</si>
  <si>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</si>
  <si>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</si>
  <si>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</si>
  <si>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</si>
  <si>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</si>
  <si>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</si>
  <si>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</si>
  <si>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</si>
  <si>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</si>
  <si>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</si>
  <si>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</si>
  <si>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</si>
  <si>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</si>
  <si>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</si>
  <si>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</si>
  <si>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</si>
  <si>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</si>
  <si>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</si>
  <si>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</si>
  <si>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</si>
  <si>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</si>
  <si>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</si>
  <si>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</si>
  <si>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</si>
  <si>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</si>
  <si>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</si>
  <si>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</si>
  <si>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</si>
  <si>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</si>
  <si>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</si>
  <si>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</si>
  <si>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DeoterisFerrin def FlandersForster (FBC VIII)
HiltsWelker def ColeFogan (FBC VIII)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</si>
  <si>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</si>
  <si>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</si>
  <si>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</si>
  <si>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</si>
  <si>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</si>
  <si>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</si>
  <si>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</si>
  <si>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</si>
  <si>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</si>
  <si>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</si>
  <si>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</si>
  <si>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</si>
  <si>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</si>
  <si>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</si>
  <si>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</si>
  <si>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</si>
  <si>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</si>
  <si>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</si>
  <si>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Buss / Hickerson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</si>
  <si>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</si>
  <si>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</si>
  <si>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</si>
  <si>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</si>
  <si>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</si>
  <si>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</si>
  <si>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</si>
  <si>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</si>
  <si>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</si>
  <si>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</si>
  <si>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</si>
  <si>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</si>
  <si>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</si>
  <si>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</si>
  <si>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</si>
  <si>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</si>
  <si>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</si>
  <si>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</si>
  <si>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</si>
  <si>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</si>
  <si>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</si>
  <si>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</si>
  <si>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</si>
  <si>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Buss / Flanders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</si>
  <si>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</si>
  <si>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</si>
  <si>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</si>
  <si>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</si>
  <si>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</si>
  <si>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</si>
  <si>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</si>
  <si>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</si>
  <si>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</si>
  <si>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</si>
  <si>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</si>
  <si>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</si>
  <si>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Buss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</si>
  <si>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</si>
  <si>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</si>
  <si>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</si>
  <si>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</si>
  <si>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</si>
  <si>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</si>
  <si>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</si>
  <si>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</si>
  <si>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Deoteris / Welker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</si>
  <si>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</si>
  <si>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</si>
  <si>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</si>
  <si>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</si>
  <si>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</si>
  <si>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</si>
  <si>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</si>
  <si>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</si>
  <si>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</si>
  <si>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</si>
  <si>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</si>
  <si>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</si>
  <si>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</si>
  <si>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</si>
  <si>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</si>
  <si>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</si>
  <si>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</si>
  <si>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</si>
  <si>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</si>
  <si>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Buss / Connors</t>
  </si>
  <si>
    <t>Cole / Mangold</t>
  </si>
  <si>
    <t>Delaney / Piegari</t>
  </si>
  <si>
    <t>Deoteris / Grise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</si>
  <si>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</si>
  <si>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</si>
  <si>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</si>
  <si>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</si>
  <si>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</si>
  <si>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</si>
  <si>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</si>
  <si>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</si>
  <si>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</si>
  <si>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</si>
  <si>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</si>
  <si>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</si>
  <si>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Buss / Fogan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</si>
  <si>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</si>
  <si>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</si>
  <si>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</si>
  <si>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</si>
  <si>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</si>
  <si>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</si>
  <si>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</si>
  <si>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</si>
  <si>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</si>
  <si>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Delaney / Deoteris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</si>
  <si>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</si>
  <si>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</si>
  <si>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</si>
  <si>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</si>
  <si>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</si>
  <si>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</si>
  <si>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</si>
  <si>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</si>
  <si>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</si>
  <si>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</si>
  <si>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</si>
  <si>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</si>
  <si>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Buss / Cole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</si>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</sst>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0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4">
    <xf numFmtId="0" fontId="0" fillId="0" borderId="0" xfId="0"/>
    <xf numFmtId="0" fontId="9" fillId="0" borderId="0" xfId="0" applyFont="1" applyAlignment="1">
      <alignment vertical="top" wrapText="1"/>
    </xf>
    <xf numFmtId="0" fontId="0" fillId="0" borderId="0" xfId="0"/>
    <xf numFmtId="0" fontId="5" fillId="3" borderId="2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3" fillId="0" borderId="0" xfId="0" applyFont="1" applyAlignment="1">
      <alignment vertical="top" wrapText="1"/>
    </xf>
    <xf numFmtId="0" fontId="2" fillId="0" borderId="0" xfId="0" applyFont="1"/>
    <xf numFmtId="0" fontId="24" fillId="0" borderId="0" xfId="0" applyFont="1"/>
    <xf numFmtId="0" fontId="24" fillId="0" borderId="0" xfId="0" applyFont="1" applyAlignment="1">
      <alignment vertical="top" wrapText="1"/>
    </xf>
    <xf numFmtId="0" fontId="2" fillId="0" borderId="0" xfId="0" applyFont="1"/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9" fillId="0" borderId="0" xfId="0" applyFont="1" applyAlignment="1">
      <alignment vertical="top" wrapText="1"/>
    </xf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7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10" t="s">
        <v>0</v>
      </c>
      <c r="C1" s="10"/>
      <c r="D1" s="10"/>
      <c r="E1" s="10"/>
      <c r="F1" s="10"/>
      <c r="G1" s="10"/>
      <c r="H1" s="10"/>
    </row>
    <row r="2" spans="2:8" ht="30" customHeight="1" x14ac:dyDescent="0.2">
      <c r="B2" s="9" t="s">
        <v>1</v>
      </c>
      <c r="C2" s="9"/>
      <c r="D2" s="9"/>
      <c r="E2" s="9"/>
      <c r="F2" s="9"/>
      <c r="G2" s="9"/>
      <c r="H2" s="9"/>
    </row>
    <row r="4" spans="2:8" ht="21.75" customHeight="1" x14ac:dyDescent="0.2">
      <c r="B4" s="8" t="s">
        <v>2</v>
      </c>
      <c r="C4" s="8"/>
      <c r="D4" s="8"/>
      <c r="E4" s="8"/>
      <c r="F4" s="8"/>
      <c r="G4" s="8"/>
      <c r="H4" s="8"/>
    </row>
    <row r="5" spans="2:8" ht="57.75" customHeight="1" x14ac:dyDescent="0.2">
      <c r="B5" s="7" t="s">
        <v>3</v>
      </c>
      <c r="C5" s="7"/>
      <c r="D5" s="7"/>
      <c r="E5" s="7"/>
      <c r="F5" s="7"/>
      <c r="G5" s="7"/>
      <c r="H5" s="7"/>
    </row>
    <row r="7" spans="2:8" ht="21.75" customHeight="1" x14ac:dyDescent="0.2">
      <c r="B7" s="8" t="s">
        <v>4</v>
      </c>
      <c r="C7" s="8"/>
      <c r="D7" s="8"/>
      <c r="E7" s="8"/>
      <c r="F7" s="8"/>
      <c r="G7" s="8"/>
      <c r="H7" s="8"/>
    </row>
    <row r="8" spans="2:8" ht="15.75" customHeight="1" x14ac:dyDescent="0.2">
      <c r="B8" s="7" t="s">
        <v>5</v>
      </c>
      <c r="C8" s="7"/>
      <c r="D8" s="7"/>
      <c r="E8" s="7"/>
      <c r="F8" s="7"/>
      <c r="G8" s="7"/>
      <c r="H8" s="7"/>
    </row>
    <row r="9" spans="2:8" ht="33" customHeight="1" x14ac:dyDescent="0.2">
      <c r="B9" s="7" t="s">
        <v>6</v>
      </c>
      <c r="C9" s="7"/>
      <c r="D9" s="7"/>
      <c r="E9" s="7"/>
      <c r="F9" s="7"/>
      <c r="G9" s="7"/>
      <c r="H9" s="7"/>
    </row>
    <row r="10" spans="2:8" ht="48" customHeight="1" x14ac:dyDescent="0.2">
      <c r="B10" s="7" t="s">
        <v>7</v>
      </c>
      <c r="C10" s="7"/>
      <c r="D10" s="7"/>
      <c r="E10" s="7"/>
      <c r="F10" s="7"/>
      <c r="G10" s="7"/>
      <c r="H10" s="7"/>
    </row>
    <row r="11" spans="2:8" ht="33" customHeight="1" x14ac:dyDescent="0.2">
      <c r="B11" s="7" t="s">
        <v>8</v>
      </c>
      <c r="C11" s="7"/>
      <c r="D11" s="7"/>
      <c r="E11" s="7"/>
      <c r="F11" s="7"/>
      <c r="G11" s="7"/>
      <c r="H11" s="7"/>
    </row>
    <row r="12" spans="2:8" ht="33" customHeight="1" x14ac:dyDescent="0.2">
      <c r="B12" s="7" t="s">
        <v>9</v>
      </c>
      <c r="C12" s="7"/>
      <c r="D12" s="7"/>
      <c r="E12" s="7"/>
      <c r="F12" s="7"/>
      <c r="G12" s="7"/>
      <c r="H12" s="7"/>
    </row>
    <row r="14" spans="2:8" ht="21.75" customHeight="1" x14ac:dyDescent="0.2">
      <c r="B14" s="8" t="s">
        <v>10</v>
      </c>
      <c r="C14" s="8"/>
      <c r="D14" s="8"/>
      <c r="E14" s="8"/>
      <c r="F14" s="8"/>
      <c r="G14" s="8"/>
      <c r="H14" s="8"/>
    </row>
    <row r="15" spans="2:8" ht="30" customHeight="1" x14ac:dyDescent="0.2">
      <c r="B15" s="7" t="s">
        <v>11</v>
      </c>
      <c r="C15" s="7"/>
      <c r="D15" s="7"/>
      <c r="E15" s="7"/>
      <c r="F15" s="7"/>
      <c r="G15" s="7"/>
      <c r="H15" s="7"/>
    </row>
    <row r="16" spans="2:8" ht="48" customHeight="1" x14ac:dyDescent="0.2">
      <c r="B16" s="7" t="s">
        <v>12</v>
      </c>
      <c r="C16" s="7"/>
      <c r="D16" s="7"/>
      <c r="E16" s="7"/>
      <c r="F16" s="7"/>
      <c r="G16" s="7"/>
      <c r="H16" s="7"/>
    </row>
    <row r="17" spans="2:8" ht="33" customHeight="1" x14ac:dyDescent="0.2">
      <c r="B17" s="7" t="s">
        <v>13</v>
      </c>
      <c r="C17" s="7"/>
      <c r="D17" s="7"/>
      <c r="E17" s="7"/>
      <c r="F17" s="7"/>
      <c r="G17" s="7"/>
      <c r="H17" s="7"/>
    </row>
    <row r="18" spans="2:8" ht="33" customHeight="1" x14ac:dyDescent="0.2">
      <c r="B18" s="7" t="s">
        <v>14</v>
      </c>
      <c r="C18" s="7"/>
      <c r="D18" s="7"/>
      <c r="E18" s="7"/>
      <c r="F18" s="7"/>
      <c r="G18" s="7"/>
      <c r="H18" s="7"/>
    </row>
    <row r="20" spans="2:8" ht="21.75" customHeight="1" x14ac:dyDescent="0.2">
      <c r="B20" s="8" t="s">
        <v>15</v>
      </c>
      <c r="C20" s="8"/>
      <c r="D20" s="8"/>
      <c r="E20" s="8"/>
      <c r="F20" s="8"/>
      <c r="G20" s="8"/>
      <c r="H20" s="8"/>
    </row>
    <row r="21" spans="2:8" ht="15.75" customHeight="1" x14ac:dyDescent="0.2">
      <c r="B21" s="7" t="s">
        <v>16</v>
      </c>
      <c r="C21" s="7"/>
      <c r="D21" s="7"/>
      <c r="E21" s="7"/>
      <c r="F21" s="7"/>
      <c r="G21" s="7"/>
      <c r="H21" s="7"/>
    </row>
    <row r="22" spans="2:8" ht="33" customHeight="1" x14ac:dyDescent="0.2">
      <c r="B22" s="7" t="s">
        <v>17</v>
      </c>
      <c r="C22" s="7"/>
      <c r="D22" s="7"/>
      <c r="E22" s="7"/>
      <c r="F22" s="7"/>
      <c r="G22" s="7"/>
      <c r="H22" s="7"/>
    </row>
    <row r="23" spans="2:8" ht="33" customHeight="1" x14ac:dyDescent="0.2">
      <c r="B23" s="7" t="s">
        <v>18</v>
      </c>
      <c r="C23" s="7"/>
      <c r="D23" s="7"/>
      <c r="E23" s="7"/>
      <c r="F23" s="7"/>
      <c r="G23" s="7"/>
      <c r="H23" s="7"/>
    </row>
    <row r="24" spans="2:8" ht="18" customHeight="1" x14ac:dyDescent="0.2">
      <c r="B24" s="7" t="s">
        <v>19</v>
      </c>
      <c r="C24" s="7"/>
      <c r="D24" s="7"/>
      <c r="E24" s="7"/>
      <c r="F24" s="7"/>
      <c r="G24" s="7"/>
      <c r="H24" s="7"/>
    </row>
    <row r="25" spans="2:8" ht="33" customHeight="1" x14ac:dyDescent="0.2">
      <c r="B25" s="7" t="s">
        <v>20</v>
      </c>
      <c r="C25" s="7"/>
      <c r="D25" s="7"/>
      <c r="E25" s="7"/>
      <c r="F25" s="7"/>
      <c r="G25" s="7"/>
      <c r="H25" s="7"/>
    </row>
    <row r="27" spans="2:8" ht="21.75" customHeight="1" x14ac:dyDescent="0.2">
      <c r="B27" s="8" t="s">
        <v>21</v>
      </c>
      <c r="C27" s="8"/>
      <c r="D27" s="8"/>
      <c r="E27" s="8"/>
      <c r="F27" s="8"/>
      <c r="G27" s="8"/>
      <c r="H27" s="8"/>
    </row>
    <row r="28" spans="2:8" ht="30" customHeight="1" x14ac:dyDescent="0.2">
      <c r="B28" s="7" t="s">
        <v>22</v>
      </c>
      <c r="C28" s="7"/>
      <c r="D28" s="7"/>
      <c r="E28" s="7"/>
      <c r="F28" s="7"/>
      <c r="G28" s="7"/>
      <c r="H28" s="7"/>
    </row>
    <row r="30" spans="2:8" ht="21.75" customHeight="1" x14ac:dyDescent="0.2">
      <c r="B30" s="8" t="s">
        <v>23</v>
      </c>
      <c r="C30" s="8"/>
      <c r="D30" s="8"/>
      <c r="E30" s="8"/>
      <c r="F30" s="8"/>
      <c r="G30" s="8"/>
      <c r="H30" s="8"/>
    </row>
    <row r="31" spans="2:8" ht="18" customHeight="1" x14ac:dyDescent="0.2">
      <c r="B31" s="7" t="s">
        <v>24</v>
      </c>
      <c r="C31" s="7"/>
      <c r="D31" s="7"/>
      <c r="E31" s="7"/>
      <c r="F31" s="7"/>
      <c r="G31" s="7"/>
      <c r="H31" s="7"/>
    </row>
    <row r="32" spans="2:8" ht="18" customHeight="1" x14ac:dyDescent="0.2">
      <c r="B32" s="7" t="s">
        <v>25</v>
      </c>
      <c r="C32" s="7"/>
      <c r="D32" s="7"/>
      <c r="E32" s="7"/>
      <c r="F32" s="7"/>
      <c r="G32" s="7"/>
      <c r="H32" s="7"/>
    </row>
    <row r="33" spans="2:8" ht="33" customHeight="1" x14ac:dyDescent="0.2">
      <c r="B33" s="7" t="s">
        <v>26</v>
      </c>
      <c r="C33" s="7"/>
      <c r="D33" s="7"/>
      <c r="E33" s="7"/>
      <c r="F33" s="7"/>
      <c r="G33" s="7"/>
      <c r="H33" s="7"/>
    </row>
    <row r="35" spans="2:8" ht="21.75" customHeight="1" x14ac:dyDescent="0.2">
      <c r="B35" s="8" t="s">
        <v>27</v>
      </c>
      <c r="C35" s="8"/>
      <c r="D35" s="8"/>
      <c r="E35" s="8"/>
      <c r="F35" s="8"/>
      <c r="G35" s="8"/>
      <c r="H35" s="8"/>
    </row>
    <row r="36" spans="2:8" ht="18" customHeight="1" x14ac:dyDescent="0.2">
      <c r="B36" s="15" t="s">
        <v>28</v>
      </c>
      <c r="C36" s="15" t="s">
        <v>29</v>
      </c>
      <c r="D36" s="6" t="s">
        <v>30</v>
      </c>
      <c r="E36" s="6"/>
      <c r="F36" s="6"/>
      <c r="G36" s="6"/>
      <c r="H36" s="6"/>
    </row>
    <row r="37" spans="2:8" ht="25.5" customHeight="1" x14ac:dyDescent="0.2">
      <c r="B37" s="16" t="s">
        <v>31</v>
      </c>
      <c r="C37" s="17" t="s">
        <v>32</v>
      </c>
      <c r="D37" s="5" t="s">
        <v>33</v>
      </c>
      <c r="E37" s="5"/>
      <c r="F37" s="5"/>
      <c r="G37" s="5"/>
      <c r="H37" s="5"/>
    </row>
    <row r="38" spans="2:8" ht="25.5" customHeight="1" x14ac:dyDescent="0.2">
      <c r="B38" s="18" t="s">
        <v>34</v>
      </c>
      <c r="C38" s="19" t="s">
        <v>35</v>
      </c>
      <c r="D38" s="4" t="s">
        <v>36</v>
      </c>
      <c r="E38" s="4"/>
      <c r="F38" s="4"/>
      <c r="G38" s="4"/>
      <c r="H38" s="4"/>
    </row>
    <row r="39" spans="2:8" ht="25.5" customHeight="1" x14ac:dyDescent="0.2">
      <c r="B39" s="16" t="s">
        <v>37</v>
      </c>
      <c r="C39" s="20" t="s">
        <v>35</v>
      </c>
      <c r="D39" s="5" t="s">
        <v>38</v>
      </c>
      <c r="E39" s="5"/>
      <c r="F39" s="5"/>
      <c r="G39" s="5"/>
      <c r="H39" s="5"/>
    </row>
    <row r="40" spans="2:8" ht="25.5" customHeight="1" x14ac:dyDescent="0.2">
      <c r="B40" s="18" t="s">
        <v>39</v>
      </c>
      <c r="C40" s="19" t="s">
        <v>35</v>
      </c>
      <c r="D40" s="4" t="s">
        <v>40</v>
      </c>
      <c r="E40" s="4"/>
      <c r="F40" s="4"/>
      <c r="G40" s="4"/>
      <c r="H40" s="4"/>
    </row>
    <row r="41" spans="2:8" ht="25.5" customHeight="1" x14ac:dyDescent="0.2">
      <c r="B41" s="16" t="s">
        <v>41</v>
      </c>
      <c r="C41" s="20" t="s">
        <v>35</v>
      </c>
      <c r="D41" s="5" t="s">
        <v>42</v>
      </c>
      <c r="E41" s="5"/>
      <c r="F41" s="5"/>
      <c r="G41" s="5"/>
      <c r="H41" s="5"/>
    </row>
    <row r="42" spans="2:8" ht="25.5" customHeight="1" x14ac:dyDescent="0.2">
      <c r="B42" s="18" t="s">
        <v>43</v>
      </c>
      <c r="C42" s="19" t="s">
        <v>44</v>
      </c>
      <c r="D42" s="4" t="s">
        <v>45</v>
      </c>
      <c r="E42" s="4"/>
      <c r="F42" s="4"/>
      <c r="G42" s="4"/>
      <c r="H42" s="4"/>
    </row>
    <row r="43" spans="2:8" ht="25.5" customHeight="1" x14ac:dyDescent="0.2">
      <c r="B43" s="16" t="s">
        <v>46</v>
      </c>
      <c r="C43" s="21" t="s">
        <v>47</v>
      </c>
      <c r="D43" s="5" t="s">
        <v>48</v>
      </c>
      <c r="E43" s="5"/>
      <c r="F43" s="5"/>
      <c r="G43" s="5"/>
      <c r="H43" s="5"/>
    </row>
    <row r="44" spans="2:8" ht="25.5" customHeight="1" x14ac:dyDescent="0.2">
      <c r="B44" s="16" t="s">
        <v>49</v>
      </c>
      <c r="C44" s="21" t="s">
        <v>47</v>
      </c>
      <c r="D44" s="3" t="s">
        <v>50</v>
      </c>
      <c r="E44" s="3"/>
      <c r="F44" s="3"/>
      <c r="G44" s="3"/>
      <c r="H44" s="3"/>
    </row>
    <row r="45" spans="2:8" ht="25.5" customHeight="1" x14ac:dyDescent="0.2">
      <c r="B45" s="18" t="s">
        <v>51</v>
      </c>
      <c r="C45" s="22" t="s">
        <v>52</v>
      </c>
      <c r="D45" s="4" t="s">
        <v>53</v>
      </c>
      <c r="E45" s="4"/>
      <c r="F45" s="4"/>
      <c r="G45" s="4"/>
      <c r="H45" s="4"/>
    </row>
    <row r="46" spans="2:8" ht="25.5" customHeight="1" x14ac:dyDescent="0.2">
      <c r="B46" s="16" t="s">
        <v>54</v>
      </c>
      <c r="C46" s="17" t="s">
        <v>52</v>
      </c>
      <c r="D46" s="5" t="s">
        <v>55</v>
      </c>
      <c r="E46" s="5"/>
      <c r="F46" s="5"/>
      <c r="G46" s="5"/>
      <c r="H46" s="5"/>
    </row>
    <row r="47" spans="2:8" ht="25.5" customHeight="1" x14ac:dyDescent="0.2">
      <c r="B47" s="18" t="s">
        <v>56</v>
      </c>
      <c r="C47" s="22" t="s">
        <v>52</v>
      </c>
      <c r="D47" s="4" t="s">
        <v>57</v>
      </c>
      <c r="E47" s="4"/>
      <c r="F47" s="4"/>
      <c r="G47" s="4"/>
      <c r="H47" s="4"/>
    </row>
    <row r="48" spans="2:8" ht="30" customHeight="1" x14ac:dyDescent="0.2">
      <c r="B48" s="16" t="s">
        <v>58</v>
      </c>
      <c r="C48" s="17" t="s">
        <v>52</v>
      </c>
      <c r="D48" s="5" t="s">
        <v>59</v>
      </c>
      <c r="E48" s="5"/>
      <c r="F48" s="5"/>
      <c r="G48" s="5"/>
      <c r="H48" s="5"/>
    </row>
    <row r="49" spans="2:8" ht="34.5" customHeight="1" x14ac:dyDescent="0.2">
      <c r="B49" s="18" t="s">
        <v>60</v>
      </c>
      <c r="C49" s="22" t="s">
        <v>52</v>
      </c>
      <c r="D49" s="18" t="s">
        <v>61</v>
      </c>
      <c r="E49" s="23"/>
      <c r="F49" s="23"/>
      <c r="G49" s="23"/>
      <c r="H49" s="24"/>
    </row>
    <row r="50" spans="2:8" ht="21.75" customHeight="1" x14ac:dyDescent="0.2">
      <c r="B50" s="2"/>
      <c r="C50" s="2"/>
      <c r="D50" s="2"/>
      <c r="E50" s="2"/>
      <c r="F50" s="2"/>
      <c r="G50" s="2"/>
      <c r="H50" s="2"/>
    </row>
    <row r="51" spans="2:8" ht="18" customHeight="1" x14ac:dyDescent="0.2">
      <c r="B51" s="8" t="s">
        <v>62</v>
      </c>
      <c r="C51" s="8"/>
      <c r="D51" s="8"/>
      <c r="E51" s="8"/>
      <c r="F51" s="8"/>
      <c r="G51" s="8"/>
      <c r="H51" s="8"/>
    </row>
    <row r="52" spans="2:8" ht="18" customHeight="1" x14ac:dyDescent="0.2">
      <c r="B52" s="7" t="s">
        <v>63</v>
      </c>
      <c r="C52" s="7"/>
      <c r="D52" s="7"/>
      <c r="E52" s="7"/>
      <c r="F52" s="7"/>
      <c r="G52" s="7"/>
      <c r="H52" s="7"/>
    </row>
    <row r="53" spans="2:8" ht="33" customHeight="1" x14ac:dyDescent="0.2">
      <c r="B53" s="7" t="s">
        <v>64</v>
      </c>
      <c r="C53" s="7"/>
      <c r="D53" s="7"/>
      <c r="E53" s="7"/>
      <c r="F53" s="7"/>
      <c r="G53" s="7"/>
      <c r="H53" s="7"/>
    </row>
    <row r="54" spans="2:8" ht="33" customHeight="1" x14ac:dyDescent="0.2">
      <c r="B54" s="7" t="s">
        <v>65</v>
      </c>
      <c r="C54" s="7"/>
      <c r="D54" s="7"/>
      <c r="E54" s="7"/>
      <c r="F54" s="7"/>
      <c r="G54" s="7"/>
      <c r="H54" s="7"/>
    </row>
    <row r="55" spans="2:8" ht="6" customHeight="1" x14ac:dyDescent="0.2">
      <c r="B55" s="14" t="s">
        <v>66</v>
      </c>
    </row>
    <row r="56" spans="2:8" ht="13.5" customHeight="1" x14ac:dyDescent="0.2">
      <c r="B56" s="2"/>
      <c r="C56" s="2"/>
      <c r="D56" s="2"/>
      <c r="E56" s="2"/>
      <c r="F56" s="2"/>
      <c r="G56" s="2"/>
      <c r="H56" s="2"/>
    </row>
    <row r="57" spans="2:8" ht="21.75" customHeight="1" x14ac:dyDescent="0.2">
      <c r="B57" s="25" t="s">
        <v>67</v>
      </c>
    </row>
  </sheetData>
  <mergeCells count="47">
    <mergeCell ref="B54:H54"/>
    <mergeCell ref="B56:H56"/>
    <mergeCell ref="D48:H48"/>
    <mergeCell ref="B50:H50"/>
    <mergeCell ref="B51:H51"/>
    <mergeCell ref="B52:H52"/>
    <mergeCell ref="B53:H53"/>
    <mergeCell ref="D43:H43"/>
    <mergeCell ref="D44:H44"/>
    <mergeCell ref="D45:H45"/>
    <mergeCell ref="D46:H46"/>
    <mergeCell ref="D47:H47"/>
    <mergeCell ref="D38:H38"/>
    <mergeCell ref="D39:H39"/>
    <mergeCell ref="D40:H40"/>
    <mergeCell ref="D41:H41"/>
    <mergeCell ref="D42:H42"/>
    <mergeCell ref="B32:H32"/>
    <mergeCell ref="B33:H33"/>
    <mergeCell ref="B35:H35"/>
    <mergeCell ref="D36:H36"/>
    <mergeCell ref="D37:H37"/>
    <mergeCell ref="B25:H25"/>
    <mergeCell ref="B27:H27"/>
    <mergeCell ref="B28:H28"/>
    <mergeCell ref="B30:H30"/>
    <mergeCell ref="B31:H31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opLeftCell="A769" zoomScaleNormal="100" workbookViewId="0">
      <selection activeCell="G560" sqref="G560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26"/>
      <c r="B1" s="26" t="s">
        <v>68</v>
      </c>
      <c r="C1" s="26" t="s">
        <v>69</v>
      </c>
      <c r="D1" s="26" t="s">
        <v>70</v>
      </c>
      <c r="E1" s="26" t="s">
        <v>71</v>
      </c>
      <c r="F1" s="26" t="s">
        <v>72</v>
      </c>
      <c r="G1" s="26" t="s">
        <v>73</v>
      </c>
      <c r="H1" s="26" t="s">
        <v>74</v>
      </c>
      <c r="I1" s="26" t="s">
        <v>75</v>
      </c>
      <c r="J1" s="26" t="s">
        <v>76</v>
      </c>
      <c r="K1" s="26" t="s">
        <v>77</v>
      </c>
      <c r="L1" s="26" t="s">
        <v>78</v>
      </c>
      <c r="M1" s="26" t="s">
        <v>79</v>
      </c>
      <c r="N1" s="26" t="s">
        <v>80</v>
      </c>
      <c r="O1" s="26" t="s">
        <v>81</v>
      </c>
      <c r="P1" s="26" t="s">
        <v>82</v>
      </c>
      <c r="Q1" s="26" t="s">
        <v>83</v>
      </c>
      <c r="R1" s="26" t="s">
        <v>84</v>
      </c>
      <c r="S1" s="26" t="s">
        <v>85</v>
      </c>
      <c r="T1" s="26" t="s">
        <v>86</v>
      </c>
      <c r="U1" s="26" t="s">
        <v>87</v>
      </c>
      <c r="V1" s="26" t="s">
        <v>88</v>
      </c>
      <c r="W1" s="26" t="s">
        <v>89</v>
      </c>
      <c r="X1" s="26" t="s">
        <v>90</v>
      </c>
      <c r="Y1" s="26" t="s">
        <v>91</v>
      </c>
      <c r="Z1" s="26" t="s">
        <v>92</v>
      </c>
      <c r="AA1" s="26" t="s">
        <v>93</v>
      </c>
      <c r="AB1" s="26" t="s">
        <v>94</v>
      </c>
      <c r="AC1" s="26" t="s">
        <v>95</v>
      </c>
      <c r="AD1" s="26" t="s">
        <v>96</v>
      </c>
      <c r="AE1" s="26" t="s">
        <v>97</v>
      </c>
      <c r="AF1" s="26" t="s">
        <v>98</v>
      </c>
      <c r="AG1" s="26" t="s">
        <v>99</v>
      </c>
      <c r="AH1" s="26" t="s">
        <v>100</v>
      </c>
      <c r="AI1" s="26" t="s">
        <v>101</v>
      </c>
      <c r="AJ1" s="26" t="s">
        <v>102</v>
      </c>
      <c r="AK1" s="26" t="s">
        <v>103</v>
      </c>
      <c r="AL1" s="26" t="s">
        <v>104</v>
      </c>
      <c r="AM1" s="26" t="s">
        <v>105</v>
      </c>
      <c r="AN1" s="26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27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27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27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27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27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135</v>
      </c>
      <c r="AL6">
        <v>0.59375</v>
      </c>
      <c r="AM6" t="s">
        <v>136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27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135</v>
      </c>
      <c r="W7" t="s">
        <v>125</v>
      </c>
      <c r="X7">
        <v>15</v>
      </c>
      <c r="Y7" t="s">
        <v>136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137</v>
      </c>
      <c r="F8" t="s">
        <v>108</v>
      </c>
      <c r="G8" s="27">
        <v>41447</v>
      </c>
      <c r="H8" t="s">
        <v>109</v>
      </c>
      <c r="I8" t="s">
        <v>110</v>
      </c>
      <c r="J8" t="s">
        <v>111</v>
      </c>
      <c r="K8">
        <v>9</v>
      </c>
      <c r="L8" t="s">
        <v>138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139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140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137</v>
      </c>
      <c r="F9" t="s">
        <v>108</v>
      </c>
      <c r="G9" s="27">
        <v>41447</v>
      </c>
      <c r="H9" t="s">
        <v>109</v>
      </c>
      <c r="I9" t="s">
        <v>110</v>
      </c>
      <c r="J9" t="s">
        <v>111</v>
      </c>
      <c r="K9">
        <v>9</v>
      </c>
      <c r="L9" t="s">
        <v>138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139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140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141</v>
      </c>
      <c r="F10" t="s">
        <v>108</v>
      </c>
      <c r="G10" s="27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138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139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140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141</v>
      </c>
      <c r="F11" t="s">
        <v>108</v>
      </c>
      <c r="G11" s="27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138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139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140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142</v>
      </c>
      <c r="F12" t="s">
        <v>108</v>
      </c>
      <c r="G12" s="27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138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139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143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135</v>
      </c>
      <c r="AL12">
        <v>0.59375</v>
      </c>
      <c r="AM12" t="s">
        <v>136</v>
      </c>
    </row>
    <row r="13" spans="1:40" ht="15" customHeight="1" x14ac:dyDescent="0.2">
      <c r="B13">
        <v>6</v>
      </c>
      <c r="C13">
        <v>3</v>
      </c>
      <c r="D13">
        <v>1</v>
      </c>
      <c r="E13" t="s">
        <v>142</v>
      </c>
      <c r="F13" t="s">
        <v>108</v>
      </c>
      <c r="G13" s="27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138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139</v>
      </c>
      <c r="S13" t="s">
        <v>116</v>
      </c>
      <c r="T13" t="s">
        <v>124</v>
      </c>
      <c r="U13" t="s">
        <v>122</v>
      </c>
      <c r="V13" t="s">
        <v>135</v>
      </c>
      <c r="W13" t="s">
        <v>125</v>
      </c>
      <c r="X13">
        <v>15</v>
      </c>
      <c r="Y13" t="s">
        <v>136</v>
      </c>
      <c r="Z13">
        <v>30</v>
      </c>
      <c r="AA13">
        <v>1</v>
      </c>
      <c r="AB13" t="s">
        <v>99</v>
      </c>
      <c r="AC13" t="s">
        <v>143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144</v>
      </c>
      <c r="F14" t="s">
        <v>108</v>
      </c>
      <c r="G14" s="27">
        <v>41447</v>
      </c>
      <c r="H14" t="s">
        <v>145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146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144</v>
      </c>
      <c r="F15" t="s">
        <v>108</v>
      </c>
      <c r="G15" s="27">
        <v>41447</v>
      </c>
      <c r="H15" t="s">
        <v>145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146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147</v>
      </c>
      <c r="F16" t="s">
        <v>108</v>
      </c>
      <c r="G16" s="27">
        <v>41447</v>
      </c>
      <c r="H16" t="s">
        <v>145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146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147</v>
      </c>
      <c r="F17" t="s">
        <v>108</v>
      </c>
      <c r="G17" s="27">
        <v>41447</v>
      </c>
      <c r="H17" t="s">
        <v>145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146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148</v>
      </c>
      <c r="F18" t="s">
        <v>108</v>
      </c>
      <c r="G18" s="27">
        <v>41447</v>
      </c>
      <c r="H18" t="s">
        <v>145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146</v>
      </c>
      <c r="S18" t="s">
        <v>116</v>
      </c>
      <c r="T18" t="s">
        <v>124</v>
      </c>
      <c r="U18" t="s">
        <v>122</v>
      </c>
      <c r="V18" t="s">
        <v>135</v>
      </c>
      <c r="W18" t="s">
        <v>125</v>
      </c>
      <c r="X18">
        <v>15</v>
      </c>
      <c r="Y18" t="s">
        <v>136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148</v>
      </c>
      <c r="F19" t="s">
        <v>108</v>
      </c>
      <c r="G19" s="27">
        <v>41447</v>
      </c>
      <c r="H19" t="s">
        <v>145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146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135</v>
      </c>
      <c r="AL19">
        <v>0.59375</v>
      </c>
      <c r="AM19" t="s">
        <v>136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149</v>
      </c>
      <c r="F20" t="s">
        <v>108</v>
      </c>
      <c r="G20" s="27">
        <v>41447</v>
      </c>
      <c r="H20" t="s">
        <v>145</v>
      </c>
      <c r="I20" t="s">
        <v>110</v>
      </c>
      <c r="J20" t="s">
        <v>111</v>
      </c>
      <c r="K20">
        <v>9</v>
      </c>
      <c r="L20" t="s">
        <v>138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149</v>
      </c>
      <c r="F21" t="s">
        <v>108</v>
      </c>
      <c r="G21" s="27">
        <v>41447</v>
      </c>
      <c r="H21" t="s">
        <v>145</v>
      </c>
      <c r="I21" t="s">
        <v>110</v>
      </c>
      <c r="J21" t="s">
        <v>111</v>
      </c>
      <c r="K21">
        <v>9</v>
      </c>
      <c r="L21" t="s">
        <v>138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150</v>
      </c>
      <c r="F22" t="s">
        <v>108</v>
      </c>
      <c r="G22" s="27">
        <v>41447</v>
      </c>
      <c r="H22" t="s">
        <v>145</v>
      </c>
      <c r="I22" t="s">
        <v>110</v>
      </c>
      <c r="J22" t="s">
        <v>111</v>
      </c>
      <c r="K22">
        <v>9</v>
      </c>
      <c r="L22" t="s">
        <v>138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151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150</v>
      </c>
      <c r="F23" t="s">
        <v>108</v>
      </c>
      <c r="G23" s="27">
        <v>41447</v>
      </c>
      <c r="H23" t="s">
        <v>145</v>
      </c>
      <c r="I23" t="s">
        <v>110</v>
      </c>
      <c r="J23" t="s">
        <v>111</v>
      </c>
      <c r="K23">
        <v>9</v>
      </c>
      <c r="L23" t="s">
        <v>138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151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152</v>
      </c>
      <c r="F24" t="s">
        <v>108</v>
      </c>
      <c r="G24" s="27">
        <v>41447</v>
      </c>
      <c r="H24" t="s">
        <v>145</v>
      </c>
      <c r="I24" t="s">
        <v>110</v>
      </c>
      <c r="J24" t="s">
        <v>111</v>
      </c>
      <c r="K24">
        <v>9</v>
      </c>
      <c r="L24" t="s">
        <v>138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135</v>
      </c>
      <c r="W24" t="s">
        <v>125</v>
      </c>
      <c r="X24">
        <v>15</v>
      </c>
      <c r="Y24" t="s">
        <v>136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152</v>
      </c>
      <c r="F25" t="s">
        <v>108</v>
      </c>
      <c r="G25" s="27">
        <v>41447</v>
      </c>
      <c r="H25" t="s">
        <v>145</v>
      </c>
      <c r="I25" t="s">
        <v>110</v>
      </c>
      <c r="J25" t="s">
        <v>111</v>
      </c>
      <c r="K25">
        <v>9</v>
      </c>
      <c r="L25" t="s">
        <v>138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135</v>
      </c>
      <c r="AL25">
        <v>0.59375</v>
      </c>
      <c r="AM25" t="s">
        <v>136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153</v>
      </c>
      <c r="F26" t="s">
        <v>154</v>
      </c>
      <c r="G26" s="27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155</v>
      </c>
      <c r="M26" t="s">
        <v>156</v>
      </c>
      <c r="N26" t="s">
        <v>157</v>
      </c>
      <c r="O26">
        <v>72.2</v>
      </c>
      <c r="P26">
        <v>128</v>
      </c>
      <c r="Q26">
        <v>6772</v>
      </c>
      <c r="R26" t="s">
        <v>158</v>
      </c>
      <c r="S26" t="s">
        <v>159</v>
      </c>
      <c r="T26" t="s">
        <v>124</v>
      </c>
      <c r="U26" t="s">
        <v>122</v>
      </c>
      <c r="V26" t="s">
        <v>122</v>
      </c>
      <c r="W26" t="s">
        <v>157</v>
      </c>
      <c r="X26">
        <v>18</v>
      </c>
      <c r="AA26">
        <v>2</v>
      </c>
      <c r="AB26" t="s">
        <v>99</v>
      </c>
      <c r="AC26" t="s">
        <v>160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153</v>
      </c>
      <c r="F27" t="s">
        <v>154</v>
      </c>
      <c r="G27" s="27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155</v>
      </c>
      <c r="M27" t="s">
        <v>156</v>
      </c>
      <c r="N27" t="s">
        <v>157</v>
      </c>
      <c r="O27">
        <v>72.2</v>
      </c>
      <c r="P27">
        <v>128</v>
      </c>
      <c r="Q27">
        <v>6772</v>
      </c>
      <c r="R27" t="s">
        <v>158</v>
      </c>
      <c r="S27" t="s">
        <v>159</v>
      </c>
      <c r="T27" t="s">
        <v>117</v>
      </c>
      <c r="U27" t="s">
        <v>118</v>
      </c>
      <c r="V27" t="s">
        <v>133</v>
      </c>
      <c r="W27" t="s">
        <v>157</v>
      </c>
      <c r="X27">
        <v>15</v>
      </c>
      <c r="AA27">
        <v>2</v>
      </c>
      <c r="AB27" t="s">
        <v>100</v>
      </c>
      <c r="AC27" t="s">
        <v>160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161</v>
      </c>
      <c r="F28" t="s">
        <v>154</v>
      </c>
      <c r="G28" s="27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155</v>
      </c>
      <c r="M28" t="s">
        <v>156</v>
      </c>
      <c r="N28" t="s">
        <v>157</v>
      </c>
      <c r="O28">
        <v>72.2</v>
      </c>
      <c r="P28">
        <v>128</v>
      </c>
      <c r="Q28">
        <v>6772</v>
      </c>
      <c r="R28" t="s">
        <v>158</v>
      </c>
      <c r="S28" t="s">
        <v>159</v>
      </c>
      <c r="T28" t="s">
        <v>117</v>
      </c>
      <c r="U28" t="s">
        <v>118</v>
      </c>
      <c r="V28" t="s">
        <v>120</v>
      </c>
      <c r="W28" t="s">
        <v>157</v>
      </c>
      <c r="X28">
        <v>20</v>
      </c>
      <c r="AA28">
        <v>2</v>
      </c>
      <c r="AB28" t="s">
        <v>101</v>
      </c>
      <c r="AC28" t="s">
        <v>140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161</v>
      </c>
      <c r="F29" t="s">
        <v>154</v>
      </c>
      <c r="G29" s="27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155</v>
      </c>
      <c r="M29" t="s">
        <v>156</v>
      </c>
      <c r="N29" t="s">
        <v>157</v>
      </c>
      <c r="O29">
        <v>72.2</v>
      </c>
      <c r="P29">
        <v>128</v>
      </c>
      <c r="Q29">
        <v>6772</v>
      </c>
      <c r="R29" t="s">
        <v>158</v>
      </c>
      <c r="S29" t="s">
        <v>159</v>
      </c>
      <c r="T29" t="s">
        <v>124</v>
      </c>
      <c r="U29" t="s">
        <v>122</v>
      </c>
      <c r="V29" t="s">
        <v>123</v>
      </c>
      <c r="W29" t="s">
        <v>157</v>
      </c>
      <c r="X29">
        <v>20</v>
      </c>
      <c r="AA29">
        <v>2</v>
      </c>
      <c r="AB29" t="s">
        <v>101</v>
      </c>
      <c r="AC29" t="s">
        <v>140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162</v>
      </c>
      <c r="F30" t="s">
        <v>154</v>
      </c>
      <c r="G30" s="27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155</v>
      </c>
      <c r="M30" t="s">
        <v>156</v>
      </c>
      <c r="N30" t="s">
        <v>157</v>
      </c>
      <c r="O30">
        <v>72.2</v>
      </c>
      <c r="P30">
        <v>128</v>
      </c>
      <c r="Q30">
        <v>6772</v>
      </c>
      <c r="R30" t="s">
        <v>158</v>
      </c>
      <c r="S30" t="s">
        <v>159</v>
      </c>
      <c r="T30" t="s">
        <v>124</v>
      </c>
      <c r="U30" t="s">
        <v>122</v>
      </c>
      <c r="V30" t="s">
        <v>136</v>
      </c>
      <c r="W30" t="s">
        <v>157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162</v>
      </c>
      <c r="F31" t="s">
        <v>154</v>
      </c>
      <c r="G31" s="27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155</v>
      </c>
      <c r="M31" t="s">
        <v>156</v>
      </c>
      <c r="N31" t="s">
        <v>157</v>
      </c>
      <c r="O31">
        <v>72.2</v>
      </c>
      <c r="P31">
        <v>128</v>
      </c>
      <c r="Q31">
        <v>6772</v>
      </c>
      <c r="R31" t="s">
        <v>158</v>
      </c>
      <c r="S31" t="s">
        <v>159</v>
      </c>
      <c r="T31" t="s">
        <v>117</v>
      </c>
      <c r="U31" t="s">
        <v>118</v>
      </c>
      <c r="V31" t="s">
        <v>127</v>
      </c>
      <c r="W31" t="s">
        <v>157</v>
      </c>
      <c r="X31">
        <v>28</v>
      </c>
      <c r="AA31">
        <v>2</v>
      </c>
      <c r="AB31" t="s">
        <v>99</v>
      </c>
      <c r="AC31" t="s">
        <v>121</v>
      </c>
      <c r="AD31" t="s">
        <v>136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136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163</v>
      </c>
      <c r="F32" t="s">
        <v>154</v>
      </c>
      <c r="G32" s="27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155</v>
      </c>
      <c r="M32" t="s">
        <v>156</v>
      </c>
      <c r="N32" t="s">
        <v>157</v>
      </c>
      <c r="O32">
        <v>72.2</v>
      </c>
      <c r="P32">
        <v>128</v>
      </c>
      <c r="Q32">
        <v>6772</v>
      </c>
      <c r="R32" t="s">
        <v>158</v>
      </c>
      <c r="S32" t="s">
        <v>159</v>
      </c>
      <c r="T32" t="s">
        <v>117</v>
      </c>
      <c r="U32" t="s">
        <v>118</v>
      </c>
      <c r="V32" t="s">
        <v>132</v>
      </c>
      <c r="W32" t="s">
        <v>157</v>
      </c>
      <c r="X32">
        <v>15</v>
      </c>
      <c r="AA32">
        <v>2</v>
      </c>
      <c r="AB32" t="s">
        <v>99</v>
      </c>
      <c r="AC32" t="s">
        <v>160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163</v>
      </c>
      <c r="F33" t="s">
        <v>154</v>
      </c>
      <c r="G33" s="27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155</v>
      </c>
      <c r="M33" t="s">
        <v>156</v>
      </c>
      <c r="N33" t="s">
        <v>157</v>
      </c>
      <c r="O33">
        <v>72.2</v>
      </c>
      <c r="P33">
        <v>128</v>
      </c>
      <c r="Q33">
        <v>6772</v>
      </c>
      <c r="R33" t="s">
        <v>158</v>
      </c>
      <c r="S33" t="s">
        <v>159</v>
      </c>
      <c r="T33" t="s">
        <v>124</v>
      </c>
      <c r="U33" t="s">
        <v>122</v>
      </c>
      <c r="V33" t="s">
        <v>129</v>
      </c>
      <c r="W33" t="s">
        <v>157</v>
      </c>
      <c r="X33">
        <v>15</v>
      </c>
      <c r="AA33">
        <v>2</v>
      </c>
      <c r="AB33" t="s">
        <v>100</v>
      </c>
      <c r="AC33" t="s">
        <v>160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164</v>
      </c>
      <c r="F34" t="s">
        <v>154</v>
      </c>
      <c r="G34" s="27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155</v>
      </c>
      <c r="M34" t="s">
        <v>156</v>
      </c>
      <c r="N34" t="s">
        <v>157</v>
      </c>
      <c r="O34">
        <v>72.2</v>
      </c>
      <c r="P34">
        <v>128</v>
      </c>
      <c r="Q34">
        <v>6772</v>
      </c>
      <c r="R34" t="s">
        <v>158</v>
      </c>
      <c r="S34" t="s">
        <v>159</v>
      </c>
      <c r="T34" t="s">
        <v>124</v>
      </c>
      <c r="U34" t="s">
        <v>122</v>
      </c>
      <c r="V34" t="s">
        <v>135</v>
      </c>
      <c r="W34" t="s">
        <v>157</v>
      </c>
      <c r="X34">
        <v>15</v>
      </c>
      <c r="AA34">
        <v>2</v>
      </c>
      <c r="AB34" t="s">
        <v>99</v>
      </c>
      <c r="AC34" t="s">
        <v>165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164</v>
      </c>
      <c r="F35" t="s">
        <v>154</v>
      </c>
      <c r="G35" s="27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155</v>
      </c>
      <c r="M35" t="s">
        <v>156</v>
      </c>
      <c r="N35" t="s">
        <v>157</v>
      </c>
      <c r="O35">
        <v>72.2</v>
      </c>
      <c r="P35">
        <v>128</v>
      </c>
      <c r="Q35">
        <v>6772</v>
      </c>
      <c r="R35" t="s">
        <v>158</v>
      </c>
      <c r="S35" t="s">
        <v>159</v>
      </c>
      <c r="T35" t="s">
        <v>117</v>
      </c>
      <c r="U35" t="s">
        <v>118</v>
      </c>
      <c r="V35" t="s">
        <v>118</v>
      </c>
      <c r="W35" t="s">
        <v>157</v>
      </c>
      <c r="X35">
        <v>15</v>
      </c>
      <c r="AA35">
        <v>2</v>
      </c>
      <c r="AB35" t="s">
        <v>100</v>
      </c>
      <c r="AC35" t="s">
        <v>165</v>
      </c>
      <c r="AD35" t="s">
        <v>135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135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166</v>
      </c>
      <c r="F36" t="s">
        <v>154</v>
      </c>
      <c r="G36" s="27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155</v>
      </c>
      <c r="M36" t="s">
        <v>156</v>
      </c>
      <c r="N36" t="s">
        <v>157</v>
      </c>
      <c r="O36">
        <v>72.2</v>
      </c>
      <c r="P36">
        <v>128</v>
      </c>
      <c r="Q36">
        <v>6772</v>
      </c>
      <c r="R36" t="s">
        <v>158</v>
      </c>
      <c r="S36" t="s">
        <v>159</v>
      </c>
      <c r="T36" t="s">
        <v>117</v>
      </c>
      <c r="U36" t="s">
        <v>118</v>
      </c>
      <c r="V36" t="s">
        <v>119</v>
      </c>
      <c r="W36" t="s">
        <v>157</v>
      </c>
      <c r="X36">
        <v>15</v>
      </c>
      <c r="AA36">
        <v>2</v>
      </c>
      <c r="AB36" t="s">
        <v>100</v>
      </c>
      <c r="AC36" t="s">
        <v>167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166</v>
      </c>
      <c r="F37" t="s">
        <v>154</v>
      </c>
      <c r="G37" s="27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155</v>
      </c>
      <c r="M37" t="s">
        <v>156</v>
      </c>
      <c r="N37" t="s">
        <v>157</v>
      </c>
      <c r="O37">
        <v>72.2</v>
      </c>
      <c r="P37">
        <v>128</v>
      </c>
      <c r="Q37">
        <v>6772</v>
      </c>
      <c r="R37" t="s">
        <v>158</v>
      </c>
      <c r="S37" t="s">
        <v>159</v>
      </c>
      <c r="T37" t="s">
        <v>124</v>
      </c>
      <c r="U37" t="s">
        <v>122</v>
      </c>
      <c r="V37" t="s">
        <v>130</v>
      </c>
      <c r="W37" t="s">
        <v>157</v>
      </c>
      <c r="X37">
        <v>10</v>
      </c>
      <c r="AA37">
        <v>2</v>
      </c>
      <c r="AB37" t="s">
        <v>99</v>
      </c>
      <c r="AC37" t="s">
        <v>167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168</v>
      </c>
      <c r="F38" t="s">
        <v>108</v>
      </c>
      <c r="G38" s="27">
        <v>41797</v>
      </c>
      <c r="H38" t="s">
        <v>109</v>
      </c>
      <c r="I38" t="s">
        <v>169</v>
      </c>
      <c r="J38" t="s">
        <v>111</v>
      </c>
      <c r="K38">
        <v>9</v>
      </c>
      <c r="L38" t="s">
        <v>112</v>
      </c>
      <c r="M38" t="s">
        <v>170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135</v>
      </c>
      <c r="V38" t="s">
        <v>119</v>
      </c>
      <c r="W38" t="s">
        <v>171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172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173</v>
      </c>
      <c r="AL38">
        <v>0.44827586206896602</v>
      </c>
      <c r="AM38" t="s">
        <v>174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168</v>
      </c>
      <c r="F39" t="s">
        <v>108</v>
      </c>
      <c r="G39" s="27">
        <v>41797</v>
      </c>
      <c r="H39" t="s">
        <v>109</v>
      </c>
      <c r="I39" t="s">
        <v>169</v>
      </c>
      <c r="J39" t="s">
        <v>111</v>
      </c>
      <c r="K39">
        <v>9</v>
      </c>
      <c r="L39" t="s">
        <v>112</v>
      </c>
      <c r="M39" t="s">
        <v>170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173</v>
      </c>
      <c r="W39" t="s">
        <v>175</v>
      </c>
      <c r="X39">
        <v>0</v>
      </c>
      <c r="Y39" t="s">
        <v>174</v>
      </c>
      <c r="Z39">
        <v>22</v>
      </c>
      <c r="AA39">
        <v>1</v>
      </c>
      <c r="AB39" t="s">
        <v>100</v>
      </c>
      <c r="AC39" t="s">
        <v>172</v>
      </c>
      <c r="AE39" t="str">
        <f t="shared" si="0"/>
        <v>BussFogan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176</v>
      </c>
      <c r="F40" t="s">
        <v>108</v>
      </c>
      <c r="G40" s="27">
        <v>41797</v>
      </c>
      <c r="H40" t="s">
        <v>109</v>
      </c>
      <c r="I40" t="s">
        <v>169</v>
      </c>
      <c r="J40" t="s">
        <v>111</v>
      </c>
      <c r="K40">
        <v>9</v>
      </c>
      <c r="L40" t="s">
        <v>112</v>
      </c>
      <c r="M40" t="s">
        <v>170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175</v>
      </c>
      <c r="X40">
        <v>12</v>
      </c>
      <c r="Y40" t="s">
        <v>177</v>
      </c>
      <c r="Z40">
        <v>5</v>
      </c>
      <c r="AA40">
        <v>1</v>
      </c>
      <c r="AB40" t="s">
        <v>101</v>
      </c>
      <c r="AC40" t="s">
        <v>140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178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176</v>
      </c>
      <c r="F41" t="s">
        <v>108</v>
      </c>
      <c r="G41" s="27">
        <v>41797</v>
      </c>
      <c r="H41" t="s">
        <v>109</v>
      </c>
      <c r="I41" t="s">
        <v>169</v>
      </c>
      <c r="J41" t="s">
        <v>111</v>
      </c>
      <c r="K41">
        <v>9</v>
      </c>
      <c r="L41" t="s">
        <v>112</v>
      </c>
      <c r="M41" t="s">
        <v>170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135</v>
      </c>
      <c r="V41" t="s">
        <v>132</v>
      </c>
      <c r="W41" t="s">
        <v>171</v>
      </c>
      <c r="X41">
        <v>5</v>
      </c>
      <c r="Y41" t="s">
        <v>178</v>
      </c>
      <c r="Z41">
        <v>21</v>
      </c>
      <c r="AA41">
        <v>1</v>
      </c>
      <c r="AB41" t="s">
        <v>101</v>
      </c>
      <c r="AC41" t="s">
        <v>140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177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179</v>
      </c>
      <c r="F42" t="s">
        <v>108</v>
      </c>
      <c r="G42" s="27">
        <v>41797</v>
      </c>
      <c r="H42" t="s">
        <v>109</v>
      </c>
      <c r="I42" t="s">
        <v>169</v>
      </c>
      <c r="J42" t="s">
        <v>111</v>
      </c>
      <c r="K42">
        <v>9</v>
      </c>
      <c r="L42" t="s">
        <v>112</v>
      </c>
      <c r="M42" t="s">
        <v>170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135</v>
      </c>
      <c r="V42" t="s">
        <v>135</v>
      </c>
      <c r="W42" t="s">
        <v>171</v>
      </c>
      <c r="X42">
        <v>0</v>
      </c>
      <c r="Y42" t="s">
        <v>180</v>
      </c>
      <c r="Z42">
        <v>8</v>
      </c>
      <c r="AA42">
        <v>1</v>
      </c>
      <c r="AB42" t="s">
        <v>101</v>
      </c>
      <c r="AC42" t="s">
        <v>140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181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179</v>
      </c>
      <c r="F43" t="s">
        <v>108</v>
      </c>
      <c r="G43" s="27">
        <v>41797</v>
      </c>
      <c r="H43" t="s">
        <v>109</v>
      </c>
      <c r="I43" t="s">
        <v>169</v>
      </c>
      <c r="J43" t="s">
        <v>111</v>
      </c>
      <c r="K43">
        <v>9</v>
      </c>
      <c r="L43" t="s">
        <v>112</v>
      </c>
      <c r="M43" t="s">
        <v>170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181</v>
      </c>
      <c r="W43" t="s">
        <v>175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140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135</v>
      </c>
      <c r="AL43">
        <v>0.59375</v>
      </c>
      <c r="AM43" t="s">
        <v>180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182</v>
      </c>
      <c r="F44" t="s">
        <v>108</v>
      </c>
      <c r="G44" s="27">
        <v>41797</v>
      </c>
      <c r="H44" t="s">
        <v>109</v>
      </c>
      <c r="I44" t="s">
        <v>169</v>
      </c>
      <c r="J44" t="s">
        <v>111</v>
      </c>
      <c r="K44">
        <v>9</v>
      </c>
      <c r="L44" t="s">
        <v>112</v>
      </c>
      <c r="M44" t="s">
        <v>170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175</v>
      </c>
      <c r="X44">
        <v>8</v>
      </c>
      <c r="Y44" t="s">
        <v>136</v>
      </c>
      <c r="Z44">
        <v>11</v>
      </c>
      <c r="AA44">
        <v>1</v>
      </c>
      <c r="AB44" t="s">
        <v>100</v>
      </c>
      <c r="AC44" t="s">
        <v>183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182</v>
      </c>
      <c r="F45" t="s">
        <v>108</v>
      </c>
      <c r="G45" s="27">
        <v>41797</v>
      </c>
      <c r="H45" t="s">
        <v>109</v>
      </c>
      <c r="I45" t="s">
        <v>169</v>
      </c>
      <c r="J45" t="s">
        <v>111</v>
      </c>
      <c r="K45">
        <v>9</v>
      </c>
      <c r="L45" t="s">
        <v>112</v>
      </c>
      <c r="M45" t="s">
        <v>170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135</v>
      </c>
      <c r="V45" t="s">
        <v>122</v>
      </c>
      <c r="W45" t="s">
        <v>171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183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136</v>
      </c>
    </row>
    <row r="46" spans="2:40" ht="15" customHeight="1" x14ac:dyDescent="0.2">
      <c r="B46">
        <v>5</v>
      </c>
      <c r="C46">
        <v>1</v>
      </c>
      <c r="D46">
        <v>2</v>
      </c>
      <c r="E46" t="s">
        <v>184</v>
      </c>
      <c r="F46" t="s">
        <v>108</v>
      </c>
      <c r="G46" s="27">
        <v>41797</v>
      </c>
      <c r="H46" t="s">
        <v>109</v>
      </c>
      <c r="I46" t="s">
        <v>169</v>
      </c>
      <c r="J46" t="s">
        <v>111</v>
      </c>
      <c r="K46">
        <v>9</v>
      </c>
      <c r="L46" t="s">
        <v>138</v>
      </c>
      <c r="M46" t="s">
        <v>170</v>
      </c>
      <c r="N46" t="s">
        <v>114</v>
      </c>
      <c r="O46">
        <v>71.599999999999994</v>
      </c>
      <c r="P46">
        <v>131</v>
      </c>
      <c r="Q46">
        <v>6561</v>
      </c>
      <c r="R46" t="s">
        <v>185</v>
      </c>
      <c r="S46" t="s">
        <v>116</v>
      </c>
      <c r="T46" t="s">
        <v>124</v>
      </c>
      <c r="U46" t="s">
        <v>135</v>
      </c>
      <c r="V46" t="s">
        <v>119</v>
      </c>
      <c r="W46" t="s">
        <v>171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160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173</v>
      </c>
      <c r="AL46">
        <v>0.44827586206896602</v>
      </c>
      <c r="AM46" t="s">
        <v>174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184</v>
      </c>
      <c r="F47" t="s">
        <v>108</v>
      </c>
      <c r="G47" s="27">
        <v>41797</v>
      </c>
      <c r="H47" t="s">
        <v>109</v>
      </c>
      <c r="I47" t="s">
        <v>169</v>
      </c>
      <c r="J47" t="s">
        <v>111</v>
      </c>
      <c r="K47">
        <v>9</v>
      </c>
      <c r="L47" t="s">
        <v>138</v>
      </c>
      <c r="M47" t="s">
        <v>170</v>
      </c>
      <c r="N47" t="s">
        <v>114</v>
      </c>
      <c r="O47">
        <v>71.599999999999994</v>
      </c>
      <c r="P47">
        <v>131</v>
      </c>
      <c r="Q47">
        <v>6561</v>
      </c>
      <c r="R47" t="s">
        <v>185</v>
      </c>
      <c r="S47" t="s">
        <v>116</v>
      </c>
      <c r="T47" t="s">
        <v>124</v>
      </c>
      <c r="U47" t="s">
        <v>127</v>
      </c>
      <c r="V47" t="s">
        <v>173</v>
      </c>
      <c r="W47" t="s">
        <v>175</v>
      </c>
      <c r="X47">
        <v>0</v>
      </c>
      <c r="Y47" t="s">
        <v>174</v>
      </c>
      <c r="Z47">
        <v>22</v>
      </c>
      <c r="AA47">
        <v>1</v>
      </c>
      <c r="AB47" t="s">
        <v>100</v>
      </c>
      <c r="AC47" t="s">
        <v>160</v>
      </c>
      <c r="AE47" t="str">
        <f t="shared" si="0"/>
        <v>BussFogan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186</v>
      </c>
      <c r="F48" t="s">
        <v>108</v>
      </c>
      <c r="G48" s="27">
        <v>41797</v>
      </c>
      <c r="H48" t="s">
        <v>109</v>
      </c>
      <c r="I48" t="s">
        <v>169</v>
      </c>
      <c r="J48" t="s">
        <v>111</v>
      </c>
      <c r="K48">
        <v>9</v>
      </c>
      <c r="L48" t="s">
        <v>138</v>
      </c>
      <c r="M48" t="s">
        <v>170</v>
      </c>
      <c r="N48" t="s">
        <v>114</v>
      </c>
      <c r="O48">
        <v>71.599999999999994</v>
      </c>
      <c r="P48">
        <v>131</v>
      </c>
      <c r="Q48">
        <v>6561</v>
      </c>
      <c r="R48" t="s">
        <v>185</v>
      </c>
      <c r="S48" t="s">
        <v>116</v>
      </c>
      <c r="T48" t="s">
        <v>124</v>
      </c>
      <c r="U48" t="s">
        <v>127</v>
      </c>
      <c r="V48" t="s">
        <v>127</v>
      </c>
      <c r="W48" t="s">
        <v>175</v>
      </c>
      <c r="X48">
        <v>12</v>
      </c>
      <c r="Y48" t="s">
        <v>177</v>
      </c>
      <c r="Z48">
        <v>5</v>
      </c>
      <c r="AA48">
        <v>1</v>
      </c>
      <c r="AB48" t="s">
        <v>100</v>
      </c>
      <c r="AC48" t="s">
        <v>160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178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186</v>
      </c>
      <c r="F49" t="s">
        <v>108</v>
      </c>
      <c r="G49" s="27">
        <v>41797</v>
      </c>
      <c r="H49" t="s">
        <v>109</v>
      </c>
      <c r="I49" t="s">
        <v>169</v>
      </c>
      <c r="J49" t="s">
        <v>111</v>
      </c>
      <c r="K49">
        <v>9</v>
      </c>
      <c r="L49" t="s">
        <v>138</v>
      </c>
      <c r="M49" t="s">
        <v>170</v>
      </c>
      <c r="N49" t="s">
        <v>114</v>
      </c>
      <c r="O49">
        <v>71.599999999999994</v>
      </c>
      <c r="P49">
        <v>131</v>
      </c>
      <c r="Q49">
        <v>6561</v>
      </c>
      <c r="R49" t="s">
        <v>185</v>
      </c>
      <c r="S49" t="s">
        <v>116</v>
      </c>
      <c r="T49" t="s">
        <v>124</v>
      </c>
      <c r="U49" t="s">
        <v>135</v>
      </c>
      <c r="V49" t="s">
        <v>132</v>
      </c>
      <c r="W49" t="s">
        <v>171</v>
      </c>
      <c r="X49">
        <v>5</v>
      </c>
      <c r="Y49" t="s">
        <v>178</v>
      </c>
      <c r="Z49">
        <v>21</v>
      </c>
      <c r="AA49">
        <v>1</v>
      </c>
      <c r="AB49" t="s">
        <v>99</v>
      </c>
      <c r="AC49" t="s">
        <v>160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177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187</v>
      </c>
      <c r="F50" t="s">
        <v>108</v>
      </c>
      <c r="G50" s="27">
        <v>41797</v>
      </c>
      <c r="H50" t="s">
        <v>109</v>
      </c>
      <c r="I50" t="s">
        <v>169</v>
      </c>
      <c r="J50" t="s">
        <v>111</v>
      </c>
      <c r="K50">
        <v>9</v>
      </c>
      <c r="L50" t="s">
        <v>138</v>
      </c>
      <c r="M50" t="s">
        <v>170</v>
      </c>
      <c r="N50" t="s">
        <v>114</v>
      </c>
      <c r="O50">
        <v>71.599999999999994</v>
      </c>
      <c r="P50">
        <v>131</v>
      </c>
      <c r="Q50">
        <v>6561</v>
      </c>
      <c r="R50" t="s">
        <v>185</v>
      </c>
      <c r="S50" t="s">
        <v>116</v>
      </c>
      <c r="T50" t="s">
        <v>124</v>
      </c>
      <c r="U50" t="s">
        <v>135</v>
      </c>
      <c r="V50" t="s">
        <v>135</v>
      </c>
      <c r="W50" t="s">
        <v>171</v>
      </c>
      <c r="X50">
        <v>0</v>
      </c>
      <c r="Y50" t="s">
        <v>180</v>
      </c>
      <c r="Z50">
        <v>8</v>
      </c>
      <c r="AA50">
        <v>1</v>
      </c>
      <c r="AB50" t="s">
        <v>99</v>
      </c>
      <c r="AC50" t="s">
        <v>160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181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187</v>
      </c>
      <c r="F51" t="s">
        <v>108</v>
      </c>
      <c r="G51" s="27">
        <v>41797</v>
      </c>
      <c r="H51" t="s">
        <v>109</v>
      </c>
      <c r="I51" t="s">
        <v>169</v>
      </c>
      <c r="J51" t="s">
        <v>111</v>
      </c>
      <c r="K51">
        <v>9</v>
      </c>
      <c r="L51" t="s">
        <v>138</v>
      </c>
      <c r="M51" t="s">
        <v>170</v>
      </c>
      <c r="N51" t="s">
        <v>114</v>
      </c>
      <c r="O51">
        <v>71.599999999999994</v>
      </c>
      <c r="P51">
        <v>131</v>
      </c>
      <c r="Q51">
        <v>6561</v>
      </c>
      <c r="R51" t="s">
        <v>185</v>
      </c>
      <c r="S51" t="s">
        <v>116</v>
      </c>
      <c r="T51" t="s">
        <v>124</v>
      </c>
      <c r="U51" t="s">
        <v>127</v>
      </c>
      <c r="V51" t="s">
        <v>181</v>
      </c>
      <c r="W51" t="s">
        <v>175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160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135</v>
      </c>
      <c r="AL51">
        <v>0.59375</v>
      </c>
      <c r="AM51" t="s">
        <v>180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188</v>
      </c>
      <c r="F52" t="s">
        <v>108</v>
      </c>
      <c r="G52" s="27">
        <v>41797</v>
      </c>
      <c r="H52" t="s">
        <v>109</v>
      </c>
      <c r="I52" t="s">
        <v>169</v>
      </c>
      <c r="J52" t="s">
        <v>111</v>
      </c>
      <c r="K52">
        <v>9</v>
      </c>
      <c r="L52" t="s">
        <v>138</v>
      </c>
      <c r="M52" t="s">
        <v>170</v>
      </c>
      <c r="N52" t="s">
        <v>114</v>
      </c>
      <c r="O52">
        <v>71.599999999999994</v>
      </c>
      <c r="P52">
        <v>131</v>
      </c>
      <c r="Q52">
        <v>6561</v>
      </c>
      <c r="R52" t="s">
        <v>185</v>
      </c>
      <c r="S52" t="s">
        <v>116</v>
      </c>
      <c r="T52" t="s">
        <v>124</v>
      </c>
      <c r="U52" t="s">
        <v>127</v>
      </c>
      <c r="V52" t="s">
        <v>120</v>
      </c>
      <c r="W52" t="s">
        <v>175</v>
      </c>
      <c r="X52">
        <v>8</v>
      </c>
      <c r="Y52" t="s">
        <v>136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188</v>
      </c>
      <c r="F53" t="s">
        <v>108</v>
      </c>
      <c r="G53" s="27">
        <v>41797</v>
      </c>
      <c r="H53" t="s">
        <v>109</v>
      </c>
      <c r="I53" t="s">
        <v>169</v>
      </c>
      <c r="J53" t="s">
        <v>111</v>
      </c>
      <c r="K53">
        <v>9</v>
      </c>
      <c r="L53" t="s">
        <v>138</v>
      </c>
      <c r="M53" t="s">
        <v>170</v>
      </c>
      <c r="N53" t="s">
        <v>114</v>
      </c>
      <c r="O53">
        <v>71.599999999999994</v>
      </c>
      <c r="P53">
        <v>131</v>
      </c>
      <c r="Q53">
        <v>6561</v>
      </c>
      <c r="R53" t="s">
        <v>185</v>
      </c>
      <c r="S53" t="s">
        <v>116</v>
      </c>
      <c r="T53" t="s">
        <v>124</v>
      </c>
      <c r="U53" t="s">
        <v>135</v>
      </c>
      <c r="V53" t="s">
        <v>122</v>
      </c>
      <c r="W53" t="s">
        <v>171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136</v>
      </c>
    </row>
    <row r="54" spans="2:40" ht="15" customHeight="1" x14ac:dyDescent="0.2">
      <c r="B54">
        <v>9</v>
      </c>
      <c r="C54">
        <v>1</v>
      </c>
      <c r="D54">
        <v>2</v>
      </c>
      <c r="E54" t="s">
        <v>189</v>
      </c>
      <c r="F54" t="s">
        <v>108</v>
      </c>
      <c r="G54" s="27">
        <v>41797</v>
      </c>
      <c r="H54" t="s">
        <v>145</v>
      </c>
      <c r="I54" t="s">
        <v>169</v>
      </c>
      <c r="J54" t="s">
        <v>111</v>
      </c>
      <c r="K54">
        <v>9</v>
      </c>
      <c r="L54" t="s">
        <v>112</v>
      </c>
      <c r="M54" t="s">
        <v>190</v>
      </c>
      <c r="N54" t="s">
        <v>114</v>
      </c>
      <c r="O54">
        <v>70.599999999999994</v>
      </c>
      <c r="P54">
        <v>133</v>
      </c>
      <c r="Q54">
        <v>6328</v>
      </c>
      <c r="R54" t="s">
        <v>191</v>
      </c>
      <c r="S54" t="s">
        <v>116</v>
      </c>
      <c r="T54" t="s">
        <v>124</v>
      </c>
      <c r="U54" t="s">
        <v>135</v>
      </c>
      <c r="V54" t="s">
        <v>178</v>
      </c>
      <c r="W54" t="s">
        <v>171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192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181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189</v>
      </c>
      <c r="F55" t="s">
        <v>108</v>
      </c>
      <c r="G55" s="27">
        <v>41797</v>
      </c>
      <c r="H55" t="s">
        <v>145</v>
      </c>
      <c r="I55" t="s">
        <v>169</v>
      </c>
      <c r="J55" t="s">
        <v>111</v>
      </c>
      <c r="K55">
        <v>9</v>
      </c>
      <c r="L55" t="s">
        <v>112</v>
      </c>
      <c r="M55" t="s">
        <v>190</v>
      </c>
      <c r="N55" t="s">
        <v>114</v>
      </c>
      <c r="O55">
        <v>70.599999999999994</v>
      </c>
      <c r="P55">
        <v>133</v>
      </c>
      <c r="Q55">
        <v>6328</v>
      </c>
      <c r="R55" t="s">
        <v>191</v>
      </c>
      <c r="S55" t="s">
        <v>116</v>
      </c>
      <c r="T55" t="s">
        <v>124</v>
      </c>
      <c r="U55" t="s">
        <v>127</v>
      </c>
      <c r="V55" t="s">
        <v>181</v>
      </c>
      <c r="W55" t="s">
        <v>175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192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178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193</v>
      </c>
      <c r="F56" t="s">
        <v>108</v>
      </c>
      <c r="G56" s="27">
        <v>41797</v>
      </c>
      <c r="H56" t="s">
        <v>145</v>
      </c>
      <c r="I56" t="s">
        <v>169</v>
      </c>
      <c r="J56" t="s">
        <v>111</v>
      </c>
      <c r="K56">
        <v>9</v>
      </c>
      <c r="L56" t="s">
        <v>112</v>
      </c>
      <c r="M56" t="s">
        <v>190</v>
      </c>
      <c r="N56" t="s">
        <v>114</v>
      </c>
      <c r="O56">
        <v>70.599999999999994</v>
      </c>
      <c r="P56">
        <v>133</v>
      </c>
      <c r="Q56">
        <v>6328</v>
      </c>
      <c r="R56" t="s">
        <v>191</v>
      </c>
      <c r="S56" t="s">
        <v>116</v>
      </c>
      <c r="T56" t="s">
        <v>124</v>
      </c>
      <c r="U56" t="s">
        <v>127</v>
      </c>
      <c r="V56" t="s">
        <v>174</v>
      </c>
      <c r="W56" t="s">
        <v>175</v>
      </c>
      <c r="X56">
        <v>22</v>
      </c>
      <c r="Y56" t="s">
        <v>177</v>
      </c>
      <c r="Z56">
        <v>5</v>
      </c>
      <c r="AA56">
        <v>1</v>
      </c>
      <c r="AB56" t="s">
        <v>100</v>
      </c>
      <c r="AC56" t="s">
        <v>194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135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193</v>
      </c>
      <c r="F57" t="s">
        <v>108</v>
      </c>
      <c r="G57" s="27">
        <v>41797</v>
      </c>
      <c r="H57" t="s">
        <v>145</v>
      </c>
      <c r="I57" t="s">
        <v>169</v>
      </c>
      <c r="J57" t="s">
        <v>111</v>
      </c>
      <c r="K57">
        <v>9</v>
      </c>
      <c r="L57" t="s">
        <v>112</v>
      </c>
      <c r="M57" t="s">
        <v>190</v>
      </c>
      <c r="N57" t="s">
        <v>114</v>
      </c>
      <c r="O57">
        <v>70.599999999999994</v>
      </c>
      <c r="P57">
        <v>133</v>
      </c>
      <c r="Q57">
        <v>6328</v>
      </c>
      <c r="R57" t="s">
        <v>191</v>
      </c>
      <c r="S57" t="s">
        <v>116</v>
      </c>
      <c r="T57" t="s">
        <v>124</v>
      </c>
      <c r="U57" t="s">
        <v>135</v>
      </c>
      <c r="V57" t="s">
        <v>135</v>
      </c>
      <c r="W57" t="s">
        <v>171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194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174</v>
      </c>
      <c r="AL57">
        <v>0.37288135593220301</v>
      </c>
      <c r="AM57" t="s">
        <v>177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195</v>
      </c>
      <c r="F58" t="s">
        <v>108</v>
      </c>
      <c r="G58" s="27">
        <v>41797</v>
      </c>
      <c r="H58" t="s">
        <v>145</v>
      </c>
      <c r="I58" t="s">
        <v>169</v>
      </c>
      <c r="J58" t="s">
        <v>111</v>
      </c>
      <c r="K58">
        <v>9</v>
      </c>
      <c r="L58" t="s">
        <v>112</v>
      </c>
      <c r="M58" t="s">
        <v>190</v>
      </c>
      <c r="N58" t="s">
        <v>114</v>
      </c>
      <c r="O58">
        <v>70.599999999999994</v>
      </c>
      <c r="P58">
        <v>133</v>
      </c>
      <c r="Q58">
        <v>6328</v>
      </c>
      <c r="R58" t="s">
        <v>191</v>
      </c>
      <c r="S58" t="s">
        <v>116</v>
      </c>
      <c r="T58" t="s">
        <v>124</v>
      </c>
      <c r="U58" t="s">
        <v>135</v>
      </c>
      <c r="V58" t="s">
        <v>132</v>
      </c>
      <c r="W58" t="s">
        <v>171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143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173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195</v>
      </c>
      <c r="F59" t="s">
        <v>108</v>
      </c>
      <c r="G59" s="27">
        <v>41797</v>
      </c>
      <c r="H59" t="s">
        <v>145</v>
      </c>
      <c r="I59" t="s">
        <v>169</v>
      </c>
      <c r="J59" t="s">
        <v>111</v>
      </c>
      <c r="K59">
        <v>9</v>
      </c>
      <c r="L59" t="s">
        <v>112</v>
      </c>
      <c r="M59" t="s">
        <v>190</v>
      </c>
      <c r="N59" t="s">
        <v>114</v>
      </c>
      <c r="O59">
        <v>70.599999999999994</v>
      </c>
      <c r="P59">
        <v>133</v>
      </c>
      <c r="Q59">
        <v>6328</v>
      </c>
      <c r="R59" t="s">
        <v>191</v>
      </c>
      <c r="S59" t="s">
        <v>116</v>
      </c>
      <c r="T59" t="s">
        <v>124</v>
      </c>
      <c r="U59" t="s">
        <v>127</v>
      </c>
      <c r="V59" t="s">
        <v>173</v>
      </c>
      <c r="W59" t="s">
        <v>175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143</v>
      </c>
      <c r="AE59" t="str">
        <f t="shared" si="0"/>
        <v>BussHickerson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196</v>
      </c>
      <c r="F60" t="s">
        <v>108</v>
      </c>
      <c r="G60" s="27">
        <v>41797</v>
      </c>
      <c r="H60" t="s">
        <v>145</v>
      </c>
      <c r="I60" t="s">
        <v>169</v>
      </c>
      <c r="J60" t="s">
        <v>111</v>
      </c>
      <c r="K60">
        <v>9</v>
      </c>
      <c r="L60" t="s">
        <v>112</v>
      </c>
      <c r="M60" t="s">
        <v>190</v>
      </c>
      <c r="N60" t="s">
        <v>114</v>
      </c>
      <c r="O60">
        <v>70.599999999999994</v>
      </c>
      <c r="P60">
        <v>133</v>
      </c>
      <c r="Q60">
        <v>6328</v>
      </c>
      <c r="R60" t="s">
        <v>191</v>
      </c>
      <c r="S60" t="s">
        <v>116</v>
      </c>
      <c r="T60" t="s">
        <v>124</v>
      </c>
      <c r="U60" t="s">
        <v>127</v>
      </c>
      <c r="V60" t="s">
        <v>133</v>
      </c>
      <c r="W60" t="s">
        <v>175</v>
      </c>
      <c r="X60">
        <v>4</v>
      </c>
      <c r="Y60" t="s">
        <v>136</v>
      </c>
      <c r="Z60">
        <v>11</v>
      </c>
      <c r="AA60">
        <v>1</v>
      </c>
      <c r="AB60" t="s">
        <v>99</v>
      </c>
      <c r="AC60" t="s">
        <v>197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180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196</v>
      </c>
      <c r="F61" t="s">
        <v>108</v>
      </c>
      <c r="G61" s="27">
        <v>41797</v>
      </c>
      <c r="H61" t="s">
        <v>145</v>
      </c>
      <c r="I61" t="s">
        <v>169</v>
      </c>
      <c r="J61" t="s">
        <v>111</v>
      </c>
      <c r="K61">
        <v>9</v>
      </c>
      <c r="L61" t="s">
        <v>112</v>
      </c>
      <c r="M61" t="s">
        <v>190</v>
      </c>
      <c r="N61" t="s">
        <v>114</v>
      </c>
      <c r="O61">
        <v>70.599999999999994</v>
      </c>
      <c r="P61">
        <v>133</v>
      </c>
      <c r="Q61">
        <v>6328</v>
      </c>
      <c r="R61" t="s">
        <v>191</v>
      </c>
      <c r="S61" t="s">
        <v>116</v>
      </c>
      <c r="T61" t="s">
        <v>124</v>
      </c>
      <c r="U61" t="s">
        <v>135</v>
      </c>
      <c r="V61" t="s">
        <v>180</v>
      </c>
      <c r="W61" t="s">
        <v>171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197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136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198</v>
      </c>
      <c r="F62" t="s">
        <v>108</v>
      </c>
      <c r="G62" s="27">
        <v>41797</v>
      </c>
      <c r="H62" t="s">
        <v>145</v>
      </c>
      <c r="I62" t="s">
        <v>169</v>
      </c>
      <c r="J62" t="s">
        <v>111</v>
      </c>
      <c r="K62">
        <v>9</v>
      </c>
      <c r="L62" t="s">
        <v>138</v>
      </c>
      <c r="M62" t="s">
        <v>190</v>
      </c>
      <c r="N62" t="s">
        <v>114</v>
      </c>
      <c r="O62">
        <v>70.599999999999994</v>
      </c>
      <c r="P62">
        <v>133</v>
      </c>
      <c r="Q62">
        <v>6328</v>
      </c>
      <c r="R62" t="s">
        <v>199</v>
      </c>
      <c r="S62" t="s">
        <v>116</v>
      </c>
      <c r="T62" t="s">
        <v>124</v>
      </c>
      <c r="U62" t="s">
        <v>135</v>
      </c>
      <c r="V62" t="s">
        <v>178</v>
      </c>
      <c r="W62" t="s">
        <v>171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200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181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198</v>
      </c>
      <c r="F63" t="s">
        <v>108</v>
      </c>
      <c r="G63" s="27">
        <v>41797</v>
      </c>
      <c r="H63" t="s">
        <v>145</v>
      </c>
      <c r="I63" t="s">
        <v>169</v>
      </c>
      <c r="J63" t="s">
        <v>111</v>
      </c>
      <c r="K63">
        <v>9</v>
      </c>
      <c r="L63" t="s">
        <v>138</v>
      </c>
      <c r="M63" t="s">
        <v>190</v>
      </c>
      <c r="N63" t="s">
        <v>114</v>
      </c>
      <c r="O63">
        <v>70.599999999999994</v>
      </c>
      <c r="P63">
        <v>133</v>
      </c>
      <c r="Q63">
        <v>6328</v>
      </c>
      <c r="R63" t="s">
        <v>199</v>
      </c>
      <c r="S63" t="s">
        <v>116</v>
      </c>
      <c r="T63" t="s">
        <v>124</v>
      </c>
      <c r="U63" t="s">
        <v>127</v>
      </c>
      <c r="V63" t="s">
        <v>181</v>
      </c>
      <c r="W63" t="s">
        <v>175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200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178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201</v>
      </c>
      <c r="F64" t="s">
        <v>108</v>
      </c>
      <c r="G64" s="27">
        <v>41797</v>
      </c>
      <c r="H64" t="s">
        <v>145</v>
      </c>
      <c r="I64" t="s">
        <v>169</v>
      </c>
      <c r="J64" t="s">
        <v>111</v>
      </c>
      <c r="K64">
        <v>9</v>
      </c>
      <c r="L64" t="s">
        <v>138</v>
      </c>
      <c r="M64" t="s">
        <v>190</v>
      </c>
      <c r="N64" t="s">
        <v>114</v>
      </c>
      <c r="O64">
        <v>70.599999999999994</v>
      </c>
      <c r="P64">
        <v>133</v>
      </c>
      <c r="Q64">
        <v>6328</v>
      </c>
      <c r="R64" t="s">
        <v>199</v>
      </c>
      <c r="S64" t="s">
        <v>116</v>
      </c>
      <c r="T64" t="s">
        <v>124</v>
      </c>
      <c r="U64" t="s">
        <v>127</v>
      </c>
      <c r="V64" t="s">
        <v>174</v>
      </c>
      <c r="W64" t="s">
        <v>175</v>
      </c>
      <c r="X64">
        <v>22</v>
      </c>
      <c r="Y64" t="s">
        <v>177</v>
      </c>
      <c r="Z64">
        <v>5</v>
      </c>
      <c r="AA64">
        <v>1</v>
      </c>
      <c r="AB64" t="s">
        <v>100</v>
      </c>
      <c r="AC64" t="s">
        <v>202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135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201</v>
      </c>
      <c r="F65" t="s">
        <v>108</v>
      </c>
      <c r="G65" s="27">
        <v>41797</v>
      </c>
      <c r="H65" t="s">
        <v>145</v>
      </c>
      <c r="I65" t="s">
        <v>169</v>
      </c>
      <c r="J65" t="s">
        <v>111</v>
      </c>
      <c r="K65">
        <v>9</v>
      </c>
      <c r="L65" t="s">
        <v>138</v>
      </c>
      <c r="M65" t="s">
        <v>190</v>
      </c>
      <c r="N65" t="s">
        <v>114</v>
      </c>
      <c r="O65">
        <v>70.599999999999994</v>
      </c>
      <c r="P65">
        <v>133</v>
      </c>
      <c r="Q65">
        <v>6328</v>
      </c>
      <c r="R65" t="s">
        <v>199</v>
      </c>
      <c r="S65" t="s">
        <v>116</v>
      </c>
      <c r="T65" t="s">
        <v>124</v>
      </c>
      <c r="U65" t="s">
        <v>135</v>
      </c>
      <c r="V65" t="s">
        <v>135</v>
      </c>
      <c r="W65" t="s">
        <v>171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202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174</v>
      </c>
      <c r="AL65">
        <v>0.37288135593220301</v>
      </c>
      <c r="AM65" t="s">
        <v>177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203</v>
      </c>
      <c r="F66" t="s">
        <v>108</v>
      </c>
      <c r="G66" s="27">
        <v>41797</v>
      </c>
      <c r="H66" t="s">
        <v>145</v>
      </c>
      <c r="I66" t="s">
        <v>169</v>
      </c>
      <c r="J66" t="s">
        <v>111</v>
      </c>
      <c r="K66">
        <v>9</v>
      </c>
      <c r="L66" t="s">
        <v>138</v>
      </c>
      <c r="M66" t="s">
        <v>190</v>
      </c>
      <c r="N66" t="s">
        <v>114</v>
      </c>
      <c r="O66">
        <v>70.599999999999994</v>
      </c>
      <c r="P66">
        <v>133</v>
      </c>
      <c r="Q66">
        <v>6328</v>
      </c>
      <c r="R66" t="s">
        <v>199</v>
      </c>
      <c r="S66" t="s">
        <v>116</v>
      </c>
      <c r="T66" t="s">
        <v>124</v>
      </c>
      <c r="U66" t="s">
        <v>135</v>
      </c>
      <c r="V66" t="s">
        <v>132</v>
      </c>
      <c r="W66" t="s">
        <v>171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204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173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203</v>
      </c>
      <c r="F67" t="s">
        <v>108</v>
      </c>
      <c r="G67" s="27">
        <v>41797</v>
      </c>
      <c r="H67" t="s">
        <v>145</v>
      </c>
      <c r="I67" t="s">
        <v>169</v>
      </c>
      <c r="J67" t="s">
        <v>111</v>
      </c>
      <c r="K67">
        <v>9</v>
      </c>
      <c r="L67" t="s">
        <v>138</v>
      </c>
      <c r="M67" t="s">
        <v>190</v>
      </c>
      <c r="N67" t="s">
        <v>114</v>
      </c>
      <c r="O67">
        <v>70.599999999999994</v>
      </c>
      <c r="P67">
        <v>133</v>
      </c>
      <c r="Q67">
        <v>6328</v>
      </c>
      <c r="R67" t="s">
        <v>199</v>
      </c>
      <c r="S67" t="s">
        <v>116</v>
      </c>
      <c r="T67" t="s">
        <v>124</v>
      </c>
      <c r="U67" t="s">
        <v>127</v>
      </c>
      <c r="V67" t="s">
        <v>173</v>
      </c>
      <c r="W67" t="s">
        <v>175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204</v>
      </c>
      <c r="AE67" t="str">
        <f t="shared" si="1"/>
        <v>BussHickerson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205</v>
      </c>
      <c r="F68" t="s">
        <v>108</v>
      </c>
      <c r="G68" s="27">
        <v>41797</v>
      </c>
      <c r="H68" t="s">
        <v>145</v>
      </c>
      <c r="I68" t="s">
        <v>169</v>
      </c>
      <c r="J68" t="s">
        <v>111</v>
      </c>
      <c r="K68">
        <v>9</v>
      </c>
      <c r="L68" t="s">
        <v>138</v>
      </c>
      <c r="M68" t="s">
        <v>190</v>
      </c>
      <c r="N68" t="s">
        <v>114</v>
      </c>
      <c r="O68">
        <v>70.599999999999994</v>
      </c>
      <c r="P68">
        <v>133</v>
      </c>
      <c r="Q68">
        <v>6328</v>
      </c>
      <c r="R68" t="s">
        <v>199</v>
      </c>
      <c r="S68" t="s">
        <v>116</v>
      </c>
      <c r="T68" t="s">
        <v>124</v>
      </c>
      <c r="U68" t="s">
        <v>127</v>
      </c>
      <c r="V68" t="s">
        <v>133</v>
      </c>
      <c r="W68" t="s">
        <v>175</v>
      </c>
      <c r="X68">
        <v>4</v>
      </c>
      <c r="Y68" t="s">
        <v>136</v>
      </c>
      <c r="Z68">
        <v>11</v>
      </c>
      <c r="AA68">
        <v>1</v>
      </c>
      <c r="AB68" t="s">
        <v>100</v>
      </c>
      <c r="AC68" t="s">
        <v>206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180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205</v>
      </c>
      <c r="F69" t="s">
        <v>108</v>
      </c>
      <c r="G69" s="27">
        <v>41797</v>
      </c>
      <c r="H69" t="s">
        <v>145</v>
      </c>
      <c r="I69" t="s">
        <v>169</v>
      </c>
      <c r="J69" t="s">
        <v>111</v>
      </c>
      <c r="K69">
        <v>9</v>
      </c>
      <c r="L69" t="s">
        <v>138</v>
      </c>
      <c r="M69" t="s">
        <v>190</v>
      </c>
      <c r="N69" t="s">
        <v>114</v>
      </c>
      <c r="O69">
        <v>70.599999999999994</v>
      </c>
      <c r="P69">
        <v>133</v>
      </c>
      <c r="Q69">
        <v>6328</v>
      </c>
      <c r="R69" t="s">
        <v>199</v>
      </c>
      <c r="S69" t="s">
        <v>116</v>
      </c>
      <c r="T69" t="s">
        <v>124</v>
      </c>
      <c r="U69" t="s">
        <v>135</v>
      </c>
      <c r="V69" t="s">
        <v>180</v>
      </c>
      <c r="W69" t="s">
        <v>171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206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136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207</v>
      </c>
      <c r="F70" t="s">
        <v>154</v>
      </c>
      <c r="G70" s="27">
        <v>41798</v>
      </c>
      <c r="H70" t="s">
        <v>109</v>
      </c>
      <c r="I70" t="s">
        <v>169</v>
      </c>
      <c r="J70" t="s">
        <v>111</v>
      </c>
      <c r="K70">
        <v>18</v>
      </c>
      <c r="L70" t="s">
        <v>155</v>
      </c>
      <c r="M70" t="s">
        <v>208</v>
      </c>
      <c r="N70" t="s">
        <v>114</v>
      </c>
      <c r="O70">
        <v>70.900000000000006</v>
      </c>
      <c r="P70">
        <v>132</v>
      </c>
      <c r="Q70">
        <v>6183</v>
      </c>
      <c r="R70" t="s">
        <v>158</v>
      </c>
      <c r="S70" t="s">
        <v>159</v>
      </c>
      <c r="T70" t="s">
        <v>124</v>
      </c>
      <c r="U70" t="s">
        <v>135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209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210</v>
      </c>
      <c r="F71" t="s">
        <v>154</v>
      </c>
      <c r="G71" s="27">
        <v>41798</v>
      </c>
      <c r="H71" t="s">
        <v>109</v>
      </c>
      <c r="I71" t="s">
        <v>169</v>
      </c>
      <c r="J71" t="s">
        <v>111</v>
      </c>
      <c r="K71">
        <v>18</v>
      </c>
      <c r="L71" t="s">
        <v>155</v>
      </c>
      <c r="M71" t="s">
        <v>208</v>
      </c>
      <c r="N71" t="s">
        <v>114</v>
      </c>
      <c r="O71">
        <v>70.900000000000006</v>
      </c>
      <c r="P71">
        <v>132</v>
      </c>
      <c r="Q71">
        <v>6183</v>
      </c>
      <c r="R71" t="s">
        <v>158</v>
      </c>
      <c r="S71" t="s">
        <v>159</v>
      </c>
      <c r="T71" t="s">
        <v>124</v>
      </c>
      <c r="U71" t="s">
        <v>135</v>
      </c>
      <c r="V71" t="s">
        <v>180</v>
      </c>
      <c r="W71" t="s">
        <v>114</v>
      </c>
      <c r="X71">
        <v>8</v>
      </c>
      <c r="AA71">
        <v>2</v>
      </c>
      <c r="AB71" t="s">
        <v>100</v>
      </c>
      <c r="AC71" t="s">
        <v>211</v>
      </c>
      <c r="AD71" t="s">
        <v>174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174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212</v>
      </c>
      <c r="F72" t="s">
        <v>154</v>
      </c>
      <c r="G72" s="27">
        <v>41798</v>
      </c>
      <c r="H72" t="s">
        <v>109</v>
      </c>
      <c r="I72" t="s">
        <v>169</v>
      </c>
      <c r="J72" t="s">
        <v>111</v>
      </c>
      <c r="K72">
        <v>18</v>
      </c>
      <c r="L72" t="s">
        <v>155</v>
      </c>
      <c r="M72" t="s">
        <v>208</v>
      </c>
      <c r="N72" t="s">
        <v>114</v>
      </c>
      <c r="O72">
        <v>70.900000000000006</v>
      </c>
      <c r="P72">
        <v>132</v>
      </c>
      <c r="Q72">
        <v>6183</v>
      </c>
      <c r="R72" t="s">
        <v>158</v>
      </c>
      <c r="S72" t="s">
        <v>159</v>
      </c>
      <c r="T72" t="s">
        <v>124</v>
      </c>
      <c r="U72" t="s">
        <v>135</v>
      </c>
      <c r="V72" t="s">
        <v>135</v>
      </c>
      <c r="W72" t="s">
        <v>114</v>
      </c>
      <c r="X72">
        <v>0</v>
      </c>
      <c r="AA72">
        <v>2</v>
      </c>
      <c r="AB72" t="s">
        <v>100</v>
      </c>
      <c r="AC72" t="s">
        <v>213</v>
      </c>
      <c r="AD72" t="s">
        <v>136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136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214</v>
      </c>
      <c r="F73" t="s">
        <v>154</v>
      </c>
      <c r="G73" s="27">
        <v>41798</v>
      </c>
      <c r="H73" t="s">
        <v>109</v>
      </c>
      <c r="I73" t="s">
        <v>169</v>
      </c>
      <c r="J73" t="s">
        <v>111</v>
      </c>
      <c r="K73">
        <v>18</v>
      </c>
      <c r="L73" t="s">
        <v>155</v>
      </c>
      <c r="M73" t="s">
        <v>208</v>
      </c>
      <c r="N73" t="s">
        <v>114</v>
      </c>
      <c r="O73">
        <v>70.900000000000006</v>
      </c>
      <c r="P73">
        <v>132</v>
      </c>
      <c r="Q73">
        <v>6183</v>
      </c>
      <c r="R73" t="s">
        <v>158</v>
      </c>
      <c r="S73" t="s">
        <v>159</v>
      </c>
      <c r="T73" t="s">
        <v>124</v>
      </c>
      <c r="U73" t="s">
        <v>135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215</v>
      </c>
      <c r="AD73" t="s">
        <v>181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181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216</v>
      </c>
      <c r="F74" t="s">
        <v>154</v>
      </c>
      <c r="G74" s="27">
        <v>41798</v>
      </c>
      <c r="H74" t="s">
        <v>109</v>
      </c>
      <c r="I74" t="s">
        <v>169</v>
      </c>
      <c r="J74" t="s">
        <v>111</v>
      </c>
      <c r="K74">
        <v>18</v>
      </c>
      <c r="L74" t="s">
        <v>155</v>
      </c>
      <c r="M74" t="s">
        <v>208</v>
      </c>
      <c r="N74" t="s">
        <v>114</v>
      </c>
      <c r="O74">
        <v>70.900000000000006</v>
      </c>
      <c r="P74">
        <v>132</v>
      </c>
      <c r="Q74">
        <v>6183</v>
      </c>
      <c r="R74" t="s">
        <v>158</v>
      </c>
      <c r="S74" t="s">
        <v>159</v>
      </c>
      <c r="T74" t="s">
        <v>124</v>
      </c>
      <c r="U74" t="s">
        <v>135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165</v>
      </c>
      <c r="AD74" t="s">
        <v>177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177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217</v>
      </c>
      <c r="F75" t="s">
        <v>154</v>
      </c>
      <c r="G75" s="27">
        <v>41798</v>
      </c>
      <c r="H75" t="s">
        <v>109</v>
      </c>
      <c r="I75" t="s">
        <v>169</v>
      </c>
      <c r="J75" t="s">
        <v>111</v>
      </c>
      <c r="K75">
        <v>18</v>
      </c>
      <c r="L75" t="s">
        <v>155</v>
      </c>
      <c r="M75" t="s">
        <v>208</v>
      </c>
      <c r="N75" t="s">
        <v>114</v>
      </c>
      <c r="O75">
        <v>70.900000000000006</v>
      </c>
      <c r="P75">
        <v>132</v>
      </c>
      <c r="Q75">
        <v>6183</v>
      </c>
      <c r="R75" t="s">
        <v>158</v>
      </c>
      <c r="S75" t="s">
        <v>159</v>
      </c>
      <c r="T75" t="s">
        <v>124</v>
      </c>
      <c r="U75" t="s">
        <v>135</v>
      </c>
      <c r="V75" t="s">
        <v>178</v>
      </c>
      <c r="W75" t="s">
        <v>114</v>
      </c>
      <c r="X75">
        <v>21</v>
      </c>
      <c r="AA75">
        <v>2</v>
      </c>
      <c r="AB75" t="s">
        <v>99</v>
      </c>
      <c r="AC75" t="s">
        <v>143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218</v>
      </c>
      <c r="F76" t="s">
        <v>154</v>
      </c>
      <c r="G76" s="27">
        <v>41798</v>
      </c>
      <c r="H76" t="s">
        <v>109</v>
      </c>
      <c r="I76" t="s">
        <v>169</v>
      </c>
      <c r="J76" t="s">
        <v>111</v>
      </c>
      <c r="K76">
        <v>18</v>
      </c>
      <c r="L76" t="s">
        <v>155</v>
      </c>
      <c r="M76" t="s">
        <v>208</v>
      </c>
      <c r="N76" t="s">
        <v>114</v>
      </c>
      <c r="O76">
        <v>70.900000000000006</v>
      </c>
      <c r="P76">
        <v>132</v>
      </c>
      <c r="Q76">
        <v>6183</v>
      </c>
      <c r="R76" t="s">
        <v>158</v>
      </c>
      <c r="S76" t="s">
        <v>159</v>
      </c>
      <c r="T76" t="s">
        <v>124</v>
      </c>
      <c r="U76" t="s">
        <v>135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165</v>
      </c>
      <c r="AD76" t="s">
        <v>173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173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219</v>
      </c>
      <c r="F77" t="s">
        <v>154</v>
      </c>
      <c r="G77" s="27">
        <v>41798</v>
      </c>
      <c r="H77" t="s">
        <v>109</v>
      </c>
      <c r="I77" t="s">
        <v>169</v>
      </c>
      <c r="J77" t="s">
        <v>111</v>
      </c>
      <c r="K77">
        <v>18</v>
      </c>
      <c r="L77" t="s">
        <v>155</v>
      </c>
      <c r="M77" t="s">
        <v>208</v>
      </c>
      <c r="N77" t="s">
        <v>114</v>
      </c>
      <c r="O77">
        <v>70.900000000000006</v>
      </c>
      <c r="P77">
        <v>132</v>
      </c>
      <c r="Q77">
        <v>6183</v>
      </c>
      <c r="R77" t="s">
        <v>158</v>
      </c>
      <c r="S77" t="s">
        <v>159</v>
      </c>
      <c r="T77" t="s">
        <v>124</v>
      </c>
      <c r="U77" t="s">
        <v>135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207</v>
      </c>
      <c r="F78" t="s">
        <v>154</v>
      </c>
      <c r="G78" s="27">
        <v>41798</v>
      </c>
      <c r="H78" t="s">
        <v>109</v>
      </c>
      <c r="I78" t="s">
        <v>169</v>
      </c>
      <c r="J78" t="s">
        <v>111</v>
      </c>
      <c r="K78">
        <v>18</v>
      </c>
      <c r="L78" t="s">
        <v>155</v>
      </c>
      <c r="M78" t="s">
        <v>208</v>
      </c>
      <c r="N78" t="s">
        <v>114</v>
      </c>
      <c r="O78">
        <v>70.900000000000006</v>
      </c>
      <c r="P78">
        <v>132</v>
      </c>
      <c r="Q78">
        <v>6183</v>
      </c>
      <c r="R78" t="s">
        <v>158</v>
      </c>
      <c r="S78" t="s">
        <v>159</v>
      </c>
      <c r="T78" t="s">
        <v>124</v>
      </c>
      <c r="U78" t="s">
        <v>127</v>
      </c>
      <c r="V78" t="s">
        <v>127</v>
      </c>
      <c r="W78" t="s">
        <v>157</v>
      </c>
      <c r="X78">
        <v>12</v>
      </c>
      <c r="AA78">
        <v>2</v>
      </c>
      <c r="AB78" t="s">
        <v>99</v>
      </c>
      <c r="AC78" t="s">
        <v>209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210</v>
      </c>
      <c r="F79" t="s">
        <v>154</v>
      </c>
      <c r="G79" s="27">
        <v>41798</v>
      </c>
      <c r="H79" t="s">
        <v>109</v>
      </c>
      <c r="I79" t="s">
        <v>169</v>
      </c>
      <c r="J79" t="s">
        <v>111</v>
      </c>
      <c r="K79">
        <v>18</v>
      </c>
      <c r="L79" t="s">
        <v>155</v>
      </c>
      <c r="M79" t="s">
        <v>208</v>
      </c>
      <c r="N79" t="s">
        <v>114</v>
      </c>
      <c r="O79">
        <v>70.900000000000006</v>
      </c>
      <c r="P79">
        <v>132</v>
      </c>
      <c r="Q79">
        <v>6183</v>
      </c>
      <c r="R79" t="s">
        <v>158</v>
      </c>
      <c r="S79" t="s">
        <v>159</v>
      </c>
      <c r="T79" t="s">
        <v>124</v>
      </c>
      <c r="U79" t="s">
        <v>127</v>
      </c>
      <c r="V79" t="s">
        <v>174</v>
      </c>
      <c r="W79" t="s">
        <v>157</v>
      </c>
      <c r="X79">
        <v>22</v>
      </c>
      <c r="AA79">
        <v>2</v>
      </c>
      <c r="AB79" t="s">
        <v>99</v>
      </c>
      <c r="AC79" t="s">
        <v>211</v>
      </c>
      <c r="AD79" t="s">
        <v>180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180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212</v>
      </c>
      <c r="F80" t="s">
        <v>154</v>
      </c>
      <c r="G80" s="27">
        <v>41798</v>
      </c>
      <c r="H80" t="s">
        <v>109</v>
      </c>
      <c r="I80" t="s">
        <v>169</v>
      </c>
      <c r="J80" t="s">
        <v>111</v>
      </c>
      <c r="K80">
        <v>18</v>
      </c>
      <c r="L80" t="s">
        <v>155</v>
      </c>
      <c r="M80" t="s">
        <v>208</v>
      </c>
      <c r="N80" t="s">
        <v>114</v>
      </c>
      <c r="O80">
        <v>70.900000000000006</v>
      </c>
      <c r="P80">
        <v>132</v>
      </c>
      <c r="Q80">
        <v>6183</v>
      </c>
      <c r="R80" t="s">
        <v>158</v>
      </c>
      <c r="S80" t="s">
        <v>159</v>
      </c>
      <c r="T80" t="s">
        <v>124</v>
      </c>
      <c r="U80" t="s">
        <v>127</v>
      </c>
      <c r="V80" t="s">
        <v>136</v>
      </c>
      <c r="W80" t="s">
        <v>157</v>
      </c>
      <c r="X80">
        <v>11</v>
      </c>
      <c r="AA80">
        <v>2</v>
      </c>
      <c r="AB80" t="s">
        <v>99</v>
      </c>
      <c r="AC80" t="s">
        <v>213</v>
      </c>
      <c r="AD80" t="s">
        <v>135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135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214</v>
      </c>
      <c r="F81" t="s">
        <v>154</v>
      </c>
      <c r="G81" s="27">
        <v>41798</v>
      </c>
      <c r="H81" t="s">
        <v>109</v>
      </c>
      <c r="I81" t="s">
        <v>169</v>
      </c>
      <c r="J81" t="s">
        <v>111</v>
      </c>
      <c r="K81">
        <v>18</v>
      </c>
      <c r="L81" t="s">
        <v>155</v>
      </c>
      <c r="M81" t="s">
        <v>208</v>
      </c>
      <c r="N81" t="s">
        <v>114</v>
      </c>
      <c r="O81">
        <v>70.900000000000006</v>
      </c>
      <c r="P81">
        <v>132</v>
      </c>
      <c r="Q81">
        <v>6183</v>
      </c>
      <c r="R81" t="s">
        <v>158</v>
      </c>
      <c r="S81" t="s">
        <v>159</v>
      </c>
      <c r="T81" t="s">
        <v>124</v>
      </c>
      <c r="U81" t="s">
        <v>127</v>
      </c>
      <c r="V81" t="s">
        <v>181</v>
      </c>
      <c r="W81" t="s">
        <v>157</v>
      </c>
      <c r="X81">
        <v>24</v>
      </c>
      <c r="AA81">
        <v>2</v>
      </c>
      <c r="AB81" t="s">
        <v>100</v>
      </c>
      <c r="AC81" t="s">
        <v>215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216</v>
      </c>
      <c r="F82" t="s">
        <v>154</v>
      </c>
      <c r="G82" s="27">
        <v>41798</v>
      </c>
      <c r="H82" t="s">
        <v>109</v>
      </c>
      <c r="I82" t="s">
        <v>169</v>
      </c>
      <c r="J82" t="s">
        <v>111</v>
      </c>
      <c r="K82">
        <v>18</v>
      </c>
      <c r="L82" t="s">
        <v>155</v>
      </c>
      <c r="M82" t="s">
        <v>208</v>
      </c>
      <c r="N82" t="s">
        <v>114</v>
      </c>
      <c r="O82">
        <v>70.900000000000006</v>
      </c>
      <c r="P82">
        <v>132</v>
      </c>
      <c r="Q82">
        <v>6183</v>
      </c>
      <c r="R82" t="s">
        <v>158</v>
      </c>
      <c r="S82" t="s">
        <v>159</v>
      </c>
      <c r="T82" t="s">
        <v>124</v>
      </c>
      <c r="U82" t="s">
        <v>127</v>
      </c>
      <c r="V82" t="s">
        <v>177</v>
      </c>
      <c r="W82" t="s">
        <v>157</v>
      </c>
      <c r="X82">
        <v>5</v>
      </c>
      <c r="AA82">
        <v>2</v>
      </c>
      <c r="AB82" t="s">
        <v>99</v>
      </c>
      <c r="AC82" t="s">
        <v>165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217</v>
      </c>
      <c r="F83" t="s">
        <v>154</v>
      </c>
      <c r="G83" s="27">
        <v>41798</v>
      </c>
      <c r="H83" t="s">
        <v>109</v>
      </c>
      <c r="I83" t="s">
        <v>169</v>
      </c>
      <c r="J83" t="s">
        <v>111</v>
      </c>
      <c r="K83">
        <v>18</v>
      </c>
      <c r="L83" t="s">
        <v>155</v>
      </c>
      <c r="M83" t="s">
        <v>208</v>
      </c>
      <c r="N83" t="s">
        <v>114</v>
      </c>
      <c r="O83">
        <v>70.900000000000006</v>
      </c>
      <c r="P83">
        <v>132</v>
      </c>
      <c r="Q83">
        <v>6183</v>
      </c>
      <c r="R83" t="s">
        <v>158</v>
      </c>
      <c r="S83" t="s">
        <v>159</v>
      </c>
      <c r="T83" t="s">
        <v>124</v>
      </c>
      <c r="U83" t="s">
        <v>127</v>
      </c>
      <c r="V83" t="s">
        <v>120</v>
      </c>
      <c r="W83" t="s">
        <v>157</v>
      </c>
      <c r="X83">
        <v>8</v>
      </c>
      <c r="AA83">
        <v>2</v>
      </c>
      <c r="AB83" t="s">
        <v>100</v>
      </c>
      <c r="AC83" t="s">
        <v>143</v>
      </c>
      <c r="AD83" t="s">
        <v>178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178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218</v>
      </c>
      <c r="F84" t="s">
        <v>154</v>
      </c>
      <c r="G84" s="27">
        <v>41798</v>
      </c>
      <c r="H84" t="s">
        <v>109</v>
      </c>
      <c r="I84" t="s">
        <v>169</v>
      </c>
      <c r="J84" t="s">
        <v>111</v>
      </c>
      <c r="K84">
        <v>18</v>
      </c>
      <c r="L84" t="s">
        <v>155</v>
      </c>
      <c r="M84" t="s">
        <v>208</v>
      </c>
      <c r="N84" t="s">
        <v>114</v>
      </c>
      <c r="O84">
        <v>70.900000000000006</v>
      </c>
      <c r="P84">
        <v>132</v>
      </c>
      <c r="Q84">
        <v>6183</v>
      </c>
      <c r="R84" t="s">
        <v>158</v>
      </c>
      <c r="S84" t="s">
        <v>159</v>
      </c>
      <c r="T84" t="s">
        <v>124</v>
      </c>
      <c r="U84" t="s">
        <v>127</v>
      </c>
      <c r="V84" t="s">
        <v>173</v>
      </c>
      <c r="W84" t="s">
        <v>157</v>
      </c>
      <c r="X84">
        <v>0</v>
      </c>
      <c r="AA84">
        <v>2</v>
      </c>
      <c r="AB84" t="s">
        <v>100</v>
      </c>
      <c r="AC84" t="s">
        <v>165</v>
      </c>
      <c r="AD84" t="s">
        <v>118</v>
      </c>
      <c r="AE84" t="str">
        <f t="shared" si="1"/>
        <v>Buss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219</v>
      </c>
      <c r="F85" t="s">
        <v>154</v>
      </c>
      <c r="G85" s="27">
        <v>41798</v>
      </c>
      <c r="H85" t="s">
        <v>109</v>
      </c>
      <c r="I85" t="s">
        <v>169</v>
      </c>
      <c r="J85" t="s">
        <v>111</v>
      </c>
      <c r="K85">
        <v>18</v>
      </c>
      <c r="L85" t="s">
        <v>155</v>
      </c>
      <c r="M85" t="s">
        <v>208</v>
      </c>
      <c r="N85" t="s">
        <v>114</v>
      </c>
      <c r="O85">
        <v>70.900000000000006</v>
      </c>
      <c r="P85">
        <v>132</v>
      </c>
      <c r="Q85">
        <v>6183</v>
      </c>
      <c r="R85" t="s">
        <v>158</v>
      </c>
      <c r="S85" t="s">
        <v>159</v>
      </c>
      <c r="T85" t="s">
        <v>124</v>
      </c>
      <c r="U85" t="s">
        <v>127</v>
      </c>
      <c r="V85" t="s">
        <v>133</v>
      </c>
      <c r="W85" t="s">
        <v>157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220</v>
      </c>
      <c r="F86" t="s">
        <v>108</v>
      </c>
      <c r="G86" s="27">
        <v>42168</v>
      </c>
      <c r="H86" t="s">
        <v>109</v>
      </c>
      <c r="I86" t="s">
        <v>221</v>
      </c>
      <c r="J86" t="s">
        <v>222</v>
      </c>
      <c r="K86">
        <v>9</v>
      </c>
      <c r="L86" t="s">
        <v>112</v>
      </c>
      <c r="M86" t="s">
        <v>223</v>
      </c>
      <c r="N86" t="s">
        <v>171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136</v>
      </c>
      <c r="V86" t="s">
        <v>127</v>
      </c>
      <c r="W86" t="s">
        <v>224</v>
      </c>
      <c r="X86">
        <v>24</v>
      </c>
      <c r="Y86" t="s">
        <v>136</v>
      </c>
      <c r="Z86">
        <v>21</v>
      </c>
      <c r="AA86">
        <v>1</v>
      </c>
      <c r="AB86" t="s">
        <v>99</v>
      </c>
      <c r="AC86" t="s">
        <v>225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135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220</v>
      </c>
      <c r="F87" t="s">
        <v>108</v>
      </c>
      <c r="G87" s="27">
        <v>42168</v>
      </c>
      <c r="H87" t="s">
        <v>109</v>
      </c>
      <c r="I87" t="s">
        <v>221</v>
      </c>
      <c r="J87" t="s">
        <v>222</v>
      </c>
      <c r="K87">
        <v>9</v>
      </c>
      <c r="L87" t="s">
        <v>112</v>
      </c>
      <c r="M87" t="s">
        <v>223</v>
      </c>
      <c r="N87" t="s">
        <v>171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135</v>
      </c>
      <c r="W87" t="s">
        <v>171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225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136</v>
      </c>
    </row>
    <row r="88" spans="2:40" ht="15" customHeight="1" x14ac:dyDescent="0.2">
      <c r="B88">
        <v>2</v>
      </c>
      <c r="C88">
        <v>2</v>
      </c>
      <c r="D88">
        <v>3</v>
      </c>
      <c r="E88" t="s">
        <v>226</v>
      </c>
      <c r="F88" t="s">
        <v>108</v>
      </c>
      <c r="G88" s="27">
        <v>42168</v>
      </c>
      <c r="H88" t="s">
        <v>109</v>
      </c>
      <c r="I88" t="s">
        <v>221</v>
      </c>
      <c r="J88" t="s">
        <v>222</v>
      </c>
      <c r="K88">
        <v>9</v>
      </c>
      <c r="L88" t="s">
        <v>112</v>
      </c>
      <c r="M88" t="s">
        <v>223</v>
      </c>
      <c r="N88" t="s">
        <v>171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174</v>
      </c>
      <c r="W88" t="s">
        <v>171</v>
      </c>
      <c r="X88">
        <v>29.646017699115099</v>
      </c>
      <c r="Y88" t="s">
        <v>177</v>
      </c>
      <c r="Z88">
        <v>18.736283185840701</v>
      </c>
      <c r="AA88">
        <v>1</v>
      </c>
      <c r="AB88" t="s">
        <v>99</v>
      </c>
      <c r="AC88" t="s">
        <v>225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226</v>
      </c>
      <c r="F89" t="s">
        <v>108</v>
      </c>
      <c r="G89" s="27">
        <v>42168</v>
      </c>
      <c r="H89" t="s">
        <v>109</v>
      </c>
      <c r="I89" t="s">
        <v>221</v>
      </c>
      <c r="J89" t="s">
        <v>222</v>
      </c>
      <c r="K89">
        <v>9</v>
      </c>
      <c r="L89" t="s">
        <v>112</v>
      </c>
      <c r="M89" t="s">
        <v>223</v>
      </c>
      <c r="N89" t="s">
        <v>171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136</v>
      </c>
      <c r="V89" t="s">
        <v>119</v>
      </c>
      <c r="W89" t="s">
        <v>224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225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174</v>
      </c>
      <c r="AL89">
        <v>0.37288135593220301</v>
      </c>
      <c r="AM89" t="s">
        <v>177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227</v>
      </c>
      <c r="F90" t="s">
        <v>108</v>
      </c>
      <c r="G90" s="27">
        <v>42168</v>
      </c>
      <c r="H90" t="s">
        <v>109</v>
      </c>
      <c r="I90" t="s">
        <v>221</v>
      </c>
      <c r="J90" t="s">
        <v>222</v>
      </c>
      <c r="K90">
        <v>9</v>
      </c>
      <c r="L90" t="s">
        <v>112</v>
      </c>
      <c r="M90" t="s">
        <v>223</v>
      </c>
      <c r="N90" t="s">
        <v>171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136</v>
      </c>
      <c r="V90" t="s">
        <v>132</v>
      </c>
      <c r="W90" t="s">
        <v>224</v>
      </c>
      <c r="X90">
        <v>15.890265486725699</v>
      </c>
      <c r="Y90" t="s">
        <v>178</v>
      </c>
      <c r="Z90">
        <v>29.646017699115099</v>
      </c>
      <c r="AA90">
        <v>1</v>
      </c>
      <c r="AB90" t="s">
        <v>100</v>
      </c>
      <c r="AC90" t="s">
        <v>228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229</v>
      </c>
      <c r="AL90">
        <v>0.65476190476190499</v>
      </c>
      <c r="AM90" t="s">
        <v>230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227</v>
      </c>
      <c r="F91" t="s">
        <v>108</v>
      </c>
      <c r="G91" s="27">
        <v>42168</v>
      </c>
      <c r="H91" t="s">
        <v>109</v>
      </c>
      <c r="I91" t="s">
        <v>221</v>
      </c>
      <c r="J91" t="s">
        <v>222</v>
      </c>
      <c r="K91">
        <v>9</v>
      </c>
      <c r="L91" t="s">
        <v>112</v>
      </c>
      <c r="M91" t="s">
        <v>223</v>
      </c>
      <c r="N91" t="s">
        <v>171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229</v>
      </c>
      <c r="W91" t="s">
        <v>171</v>
      </c>
      <c r="X91">
        <v>13.044247787610599</v>
      </c>
      <c r="Y91" t="s">
        <v>230</v>
      </c>
      <c r="Z91">
        <v>16.957522123893799</v>
      </c>
      <c r="AA91">
        <v>1</v>
      </c>
      <c r="AB91" t="s">
        <v>99</v>
      </c>
      <c r="AC91" t="s">
        <v>228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178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231</v>
      </c>
      <c r="F92" t="s">
        <v>108</v>
      </c>
      <c r="G92" s="27">
        <v>42168</v>
      </c>
      <c r="H92" t="s">
        <v>109</v>
      </c>
      <c r="I92" t="s">
        <v>221</v>
      </c>
      <c r="J92" t="s">
        <v>222</v>
      </c>
      <c r="K92">
        <v>9</v>
      </c>
      <c r="L92" t="s">
        <v>112</v>
      </c>
      <c r="M92" t="s">
        <v>223</v>
      </c>
      <c r="N92" t="s">
        <v>171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171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228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173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231</v>
      </c>
      <c r="F93" t="s">
        <v>108</v>
      </c>
      <c r="G93" s="27">
        <v>42168</v>
      </c>
      <c r="H93" t="s">
        <v>109</v>
      </c>
      <c r="I93" t="s">
        <v>221</v>
      </c>
      <c r="J93" t="s">
        <v>222</v>
      </c>
      <c r="K93">
        <v>9</v>
      </c>
      <c r="L93" t="s">
        <v>112</v>
      </c>
      <c r="M93" t="s">
        <v>223</v>
      </c>
      <c r="N93" t="s">
        <v>171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136</v>
      </c>
      <c r="V93" t="s">
        <v>173</v>
      </c>
      <c r="W93" t="s">
        <v>224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228</v>
      </c>
      <c r="AE93" t="str">
        <f t="shared" si="1"/>
        <v>BussMangold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232</v>
      </c>
      <c r="F94" t="s">
        <v>108</v>
      </c>
      <c r="G94" s="27">
        <v>42168</v>
      </c>
      <c r="H94" t="s">
        <v>109</v>
      </c>
      <c r="I94" t="s">
        <v>221</v>
      </c>
      <c r="J94" t="s">
        <v>222</v>
      </c>
      <c r="K94">
        <v>9</v>
      </c>
      <c r="L94" t="s">
        <v>112</v>
      </c>
      <c r="M94" t="s">
        <v>223</v>
      </c>
      <c r="N94" t="s">
        <v>171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136</v>
      </c>
      <c r="V94" t="s">
        <v>180</v>
      </c>
      <c r="W94" t="s">
        <v>224</v>
      </c>
      <c r="X94">
        <v>19.803539823008901</v>
      </c>
      <c r="Y94" t="s">
        <v>233</v>
      </c>
      <c r="Z94">
        <v>22.1752212389381</v>
      </c>
      <c r="AA94">
        <v>1</v>
      </c>
      <c r="AB94" t="s">
        <v>100</v>
      </c>
      <c r="AC94" t="s">
        <v>228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181</v>
      </c>
      <c r="AL94">
        <v>0.44067796610169502</v>
      </c>
      <c r="AM94" t="s">
        <v>234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232</v>
      </c>
      <c r="F95" t="s">
        <v>108</v>
      </c>
      <c r="G95" s="27">
        <v>42168</v>
      </c>
      <c r="H95" t="s">
        <v>109</v>
      </c>
      <c r="I95" t="s">
        <v>221</v>
      </c>
      <c r="J95" t="s">
        <v>222</v>
      </c>
      <c r="K95">
        <v>9</v>
      </c>
      <c r="L95" t="s">
        <v>112</v>
      </c>
      <c r="M95" t="s">
        <v>223</v>
      </c>
      <c r="N95" t="s">
        <v>171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181</v>
      </c>
      <c r="W95" t="s">
        <v>171</v>
      </c>
      <c r="X95">
        <v>29.4088495575221</v>
      </c>
      <c r="Y95" t="s">
        <v>234</v>
      </c>
      <c r="Z95">
        <v>11.265486725663701</v>
      </c>
      <c r="AA95">
        <v>1</v>
      </c>
      <c r="AB95" t="s">
        <v>99</v>
      </c>
      <c r="AC95" t="s">
        <v>228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180</v>
      </c>
      <c r="AL95">
        <v>0.34745762711864397</v>
      </c>
      <c r="AM95" t="s">
        <v>233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235</v>
      </c>
      <c r="F96" t="s">
        <v>108</v>
      </c>
      <c r="G96" s="27">
        <v>42168</v>
      </c>
      <c r="H96" t="s">
        <v>109</v>
      </c>
      <c r="I96" t="s">
        <v>221</v>
      </c>
      <c r="J96" t="s">
        <v>222</v>
      </c>
      <c r="K96">
        <v>9</v>
      </c>
      <c r="L96" t="s">
        <v>138</v>
      </c>
      <c r="M96" t="s">
        <v>223</v>
      </c>
      <c r="N96" t="s">
        <v>171</v>
      </c>
      <c r="O96">
        <v>71.099999999999994</v>
      </c>
      <c r="P96">
        <v>135</v>
      </c>
      <c r="Q96">
        <v>6323</v>
      </c>
      <c r="R96" t="s">
        <v>191</v>
      </c>
      <c r="S96" t="s">
        <v>116</v>
      </c>
      <c r="T96" t="s">
        <v>117</v>
      </c>
      <c r="U96" t="s">
        <v>136</v>
      </c>
      <c r="V96" t="s">
        <v>127</v>
      </c>
      <c r="W96" t="s">
        <v>224</v>
      </c>
      <c r="X96">
        <v>24</v>
      </c>
      <c r="Y96" t="s">
        <v>136</v>
      </c>
      <c r="Z96">
        <v>21</v>
      </c>
      <c r="AA96">
        <v>1</v>
      </c>
      <c r="AB96" t="s">
        <v>100</v>
      </c>
      <c r="AC96" t="s">
        <v>197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135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235</v>
      </c>
      <c r="F97" t="s">
        <v>108</v>
      </c>
      <c r="G97" s="27">
        <v>42168</v>
      </c>
      <c r="H97" t="s">
        <v>109</v>
      </c>
      <c r="I97" t="s">
        <v>221</v>
      </c>
      <c r="J97" t="s">
        <v>222</v>
      </c>
      <c r="K97">
        <v>9</v>
      </c>
      <c r="L97" t="s">
        <v>138</v>
      </c>
      <c r="M97" t="s">
        <v>223</v>
      </c>
      <c r="N97" t="s">
        <v>171</v>
      </c>
      <c r="O97">
        <v>71.099999999999994</v>
      </c>
      <c r="P97">
        <v>135</v>
      </c>
      <c r="Q97">
        <v>6323</v>
      </c>
      <c r="R97" t="s">
        <v>191</v>
      </c>
      <c r="S97" t="s">
        <v>116</v>
      </c>
      <c r="T97" t="s">
        <v>124</v>
      </c>
      <c r="U97" t="s">
        <v>123</v>
      </c>
      <c r="V97" t="s">
        <v>135</v>
      </c>
      <c r="W97" t="s">
        <v>171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197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136</v>
      </c>
    </row>
    <row r="98" spans="2:40" ht="15" customHeight="1" x14ac:dyDescent="0.2">
      <c r="B98">
        <v>7</v>
      </c>
      <c r="C98">
        <v>2</v>
      </c>
      <c r="D98">
        <v>3</v>
      </c>
      <c r="E98" t="s">
        <v>236</v>
      </c>
      <c r="F98" t="s">
        <v>108</v>
      </c>
      <c r="G98" s="27">
        <v>42168</v>
      </c>
      <c r="H98" t="s">
        <v>109</v>
      </c>
      <c r="I98" t="s">
        <v>221</v>
      </c>
      <c r="J98" t="s">
        <v>222</v>
      </c>
      <c r="K98">
        <v>9</v>
      </c>
      <c r="L98" t="s">
        <v>138</v>
      </c>
      <c r="M98" t="s">
        <v>223</v>
      </c>
      <c r="N98" t="s">
        <v>171</v>
      </c>
      <c r="O98">
        <v>71.099999999999994</v>
      </c>
      <c r="P98">
        <v>135</v>
      </c>
      <c r="Q98">
        <v>6323</v>
      </c>
      <c r="R98" t="s">
        <v>191</v>
      </c>
      <c r="S98" t="s">
        <v>116</v>
      </c>
      <c r="T98" t="s">
        <v>124</v>
      </c>
      <c r="U98" t="s">
        <v>123</v>
      </c>
      <c r="V98" t="s">
        <v>174</v>
      </c>
      <c r="W98" t="s">
        <v>171</v>
      </c>
      <c r="X98">
        <v>29.646017699115099</v>
      </c>
      <c r="Y98" t="s">
        <v>177</v>
      </c>
      <c r="Z98">
        <v>18.736283185840701</v>
      </c>
      <c r="AA98">
        <v>1</v>
      </c>
      <c r="AB98" t="s">
        <v>100</v>
      </c>
      <c r="AC98" t="s">
        <v>237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236</v>
      </c>
      <c r="F99" t="s">
        <v>108</v>
      </c>
      <c r="G99" s="27">
        <v>42168</v>
      </c>
      <c r="H99" t="s">
        <v>109</v>
      </c>
      <c r="I99" t="s">
        <v>221</v>
      </c>
      <c r="J99" t="s">
        <v>222</v>
      </c>
      <c r="K99">
        <v>9</v>
      </c>
      <c r="L99" t="s">
        <v>138</v>
      </c>
      <c r="M99" t="s">
        <v>223</v>
      </c>
      <c r="N99" t="s">
        <v>171</v>
      </c>
      <c r="O99">
        <v>71.099999999999994</v>
      </c>
      <c r="P99">
        <v>135</v>
      </c>
      <c r="Q99">
        <v>6323</v>
      </c>
      <c r="R99" t="s">
        <v>191</v>
      </c>
      <c r="S99" t="s">
        <v>116</v>
      </c>
      <c r="T99" t="s">
        <v>117</v>
      </c>
      <c r="U99" t="s">
        <v>136</v>
      </c>
      <c r="V99" t="s">
        <v>119</v>
      </c>
      <c r="W99" t="s">
        <v>224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237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174</v>
      </c>
      <c r="AL99">
        <v>0.37288135593220301</v>
      </c>
      <c r="AM99" t="s">
        <v>177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238</v>
      </c>
      <c r="F100" t="s">
        <v>108</v>
      </c>
      <c r="G100" s="27">
        <v>42168</v>
      </c>
      <c r="H100" t="s">
        <v>109</v>
      </c>
      <c r="I100" t="s">
        <v>221</v>
      </c>
      <c r="J100" t="s">
        <v>222</v>
      </c>
      <c r="K100">
        <v>9</v>
      </c>
      <c r="L100" t="s">
        <v>138</v>
      </c>
      <c r="M100" t="s">
        <v>223</v>
      </c>
      <c r="N100" t="s">
        <v>171</v>
      </c>
      <c r="O100">
        <v>71.099999999999994</v>
      </c>
      <c r="P100">
        <v>135</v>
      </c>
      <c r="Q100">
        <v>6323</v>
      </c>
      <c r="R100" t="s">
        <v>191</v>
      </c>
      <c r="S100" t="s">
        <v>116</v>
      </c>
      <c r="T100" t="s">
        <v>117</v>
      </c>
      <c r="U100" t="s">
        <v>136</v>
      </c>
      <c r="V100" t="s">
        <v>132</v>
      </c>
      <c r="W100" t="s">
        <v>224</v>
      </c>
      <c r="X100">
        <v>15.890265486725699</v>
      </c>
      <c r="Y100" t="s">
        <v>178</v>
      </c>
      <c r="Z100">
        <v>29.646017699115099</v>
      </c>
      <c r="AA100">
        <v>1</v>
      </c>
      <c r="AB100" t="s">
        <v>100</v>
      </c>
      <c r="AC100" t="s">
        <v>143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229</v>
      </c>
      <c r="AL100">
        <v>0.65476190476190499</v>
      </c>
      <c r="AM100" t="s">
        <v>230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238</v>
      </c>
      <c r="F101" t="s">
        <v>108</v>
      </c>
      <c r="G101" s="27">
        <v>42168</v>
      </c>
      <c r="H101" t="s">
        <v>109</v>
      </c>
      <c r="I101" t="s">
        <v>221</v>
      </c>
      <c r="J101" t="s">
        <v>222</v>
      </c>
      <c r="K101">
        <v>9</v>
      </c>
      <c r="L101" t="s">
        <v>138</v>
      </c>
      <c r="M101" t="s">
        <v>223</v>
      </c>
      <c r="N101" t="s">
        <v>171</v>
      </c>
      <c r="O101">
        <v>71.099999999999994</v>
      </c>
      <c r="P101">
        <v>135</v>
      </c>
      <c r="Q101">
        <v>6323</v>
      </c>
      <c r="R101" t="s">
        <v>191</v>
      </c>
      <c r="S101" t="s">
        <v>116</v>
      </c>
      <c r="T101" t="s">
        <v>124</v>
      </c>
      <c r="U101" t="s">
        <v>123</v>
      </c>
      <c r="V101" t="s">
        <v>229</v>
      </c>
      <c r="W101" t="s">
        <v>171</v>
      </c>
      <c r="X101">
        <v>13.044247787610599</v>
      </c>
      <c r="Y101" t="s">
        <v>230</v>
      </c>
      <c r="Z101">
        <v>16.957522123893799</v>
      </c>
      <c r="AA101">
        <v>1</v>
      </c>
      <c r="AB101" t="s">
        <v>99</v>
      </c>
      <c r="AC101" t="s">
        <v>143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178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239</v>
      </c>
      <c r="F102" t="s">
        <v>108</v>
      </c>
      <c r="G102" s="27">
        <v>42168</v>
      </c>
      <c r="H102" t="s">
        <v>109</v>
      </c>
      <c r="I102" t="s">
        <v>221</v>
      </c>
      <c r="J102" t="s">
        <v>222</v>
      </c>
      <c r="K102">
        <v>9</v>
      </c>
      <c r="L102" t="s">
        <v>138</v>
      </c>
      <c r="M102" t="s">
        <v>223</v>
      </c>
      <c r="N102" t="s">
        <v>171</v>
      </c>
      <c r="O102">
        <v>71.099999999999994</v>
      </c>
      <c r="P102">
        <v>135</v>
      </c>
      <c r="Q102">
        <v>6323</v>
      </c>
      <c r="R102" t="s">
        <v>191</v>
      </c>
      <c r="S102" t="s">
        <v>116</v>
      </c>
      <c r="T102" t="s">
        <v>124</v>
      </c>
      <c r="U102" t="s">
        <v>123</v>
      </c>
      <c r="V102" t="s">
        <v>120</v>
      </c>
      <c r="W102" t="s">
        <v>171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143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173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239</v>
      </c>
      <c r="F103" t="s">
        <v>108</v>
      </c>
      <c r="G103" s="27">
        <v>42168</v>
      </c>
      <c r="H103" t="s">
        <v>109</v>
      </c>
      <c r="I103" t="s">
        <v>221</v>
      </c>
      <c r="J103" t="s">
        <v>222</v>
      </c>
      <c r="K103">
        <v>9</v>
      </c>
      <c r="L103" t="s">
        <v>138</v>
      </c>
      <c r="M103" t="s">
        <v>223</v>
      </c>
      <c r="N103" t="s">
        <v>171</v>
      </c>
      <c r="O103">
        <v>71.099999999999994</v>
      </c>
      <c r="P103">
        <v>135</v>
      </c>
      <c r="Q103">
        <v>6323</v>
      </c>
      <c r="R103" t="s">
        <v>191</v>
      </c>
      <c r="S103" t="s">
        <v>116</v>
      </c>
      <c r="T103" t="s">
        <v>117</v>
      </c>
      <c r="U103" t="s">
        <v>136</v>
      </c>
      <c r="V103" t="s">
        <v>173</v>
      </c>
      <c r="W103" t="s">
        <v>224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143</v>
      </c>
      <c r="AE103" t="str">
        <f t="shared" si="1"/>
        <v>BussMangold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240</v>
      </c>
      <c r="F104" t="s">
        <v>108</v>
      </c>
      <c r="G104" s="27">
        <v>42168</v>
      </c>
      <c r="H104" t="s">
        <v>109</v>
      </c>
      <c r="I104" t="s">
        <v>221</v>
      </c>
      <c r="J104" t="s">
        <v>222</v>
      </c>
      <c r="K104">
        <v>9</v>
      </c>
      <c r="L104" t="s">
        <v>138</v>
      </c>
      <c r="M104" t="s">
        <v>223</v>
      </c>
      <c r="N104" t="s">
        <v>171</v>
      </c>
      <c r="O104">
        <v>71.099999999999994</v>
      </c>
      <c r="P104">
        <v>135</v>
      </c>
      <c r="Q104">
        <v>6323</v>
      </c>
      <c r="R104" t="s">
        <v>191</v>
      </c>
      <c r="S104" t="s">
        <v>116</v>
      </c>
      <c r="T104" t="s">
        <v>117</v>
      </c>
      <c r="U104" t="s">
        <v>136</v>
      </c>
      <c r="V104" t="s">
        <v>180</v>
      </c>
      <c r="W104" t="s">
        <v>224</v>
      </c>
      <c r="X104">
        <v>19.803539823008901</v>
      </c>
      <c r="Y104" t="s">
        <v>233</v>
      </c>
      <c r="Z104">
        <v>22.1752212389381</v>
      </c>
      <c r="AA104">
        <v>1</v>
      </c>
      <c r="AB104" t="s">
        <v>100</v>
      </c>
      <c r="AC104" t="s">
        <v>194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181</v>
      </c>
      <c r="AL104">
        <v>0.44067796610169502</v>
      </c>
      <c r="AM104" t="s">
        <v>234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240</v>
      </c>
      <c r="F105" t="s">
        <v>108</v>
      </c>
      <c r="G105" s="27">
        <v>42168</v>
      </c>
      <c r="H105" t="s">
        <v>109</v>
      </c>
      <c r="I105" t="s">
        <v>221</v>
      </c>
      <c r="J105" t="s">
        <v>222</v>
      </c>
      <c r="K105">
        <v>9</v>
      </c>
      <c r="L105" t="s">
        <v>138</v>
      </c>
      <c r="M105" t="s">
        <v>223</v>
      </c>
      <c r="N105" t="s">
        <v>171</v>
      </c>
      <c r="O105">
        <v>71.099999999999994</v>
      </c>
      <c r="P105">
        <v>135</v>
      </c>
      <c r="Q105">
        <v>6323</v>
      </c>
      <c r="R105" t="s">
        <v>191</v>
      </c>
      <c r="S105" t="s">
        <v>116</v>
      </c>
      <c r="T105" t="s">
        <v>124</v>
      </c>
      <c r="U105" t="s">
        <v>123</v>
      </c>
      <c r="V105" t="s">
        <v>181</v>
      </c>
      <c r="W105" t="s">
        <v>171</v>
      </c>
      <c r="X105">
        <v>29.4088495575221</v>
      </c>
      <c r="Y105" t="s">
        <v>234</v>
      </c>
      <c r="Z105">
        <v>11.265486725663701</v>
      </c>
      <c r="AA105">
        <v>1</v>
      </c>
      <c r="AB105" t="s">
        <v>99</v>
      </c>
      <c r="AC105" t="s">
        <v>194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180</v>
      </c>
      <c r="AL105">
        <v>0.34745762711864397</v>
      </c>
      <c r="AM105" t="s">
        <v>233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241</v>
      </c>
      <c r="F106" t="s">
        <v>108</v>
      </c>
      <c r="G106" s="27">
        <v>42168</v>
      </c>
      <c r="H106" t="s">
        <v>145</v>
      </c>
      <c r="I106" t="s">
        <v>221</v>
      </c>
      <c r="J106" t="s">
        <v>222</v>
      </c>
      <c r="K106">
        <v>9</v>
      </c>
      <c r="L106" t="s">
        <v>112</v>
      </c>
      <c r="M106" t="s">
        <v>223</v>
      </c>
      <c r="N106" t="s">
        <v>114</v>
      </c>
      <c r="O106">
        <v>70.900000000000006</v>
      </c>
      <c r="P106">
        <v>133</v>
      </c>
      <c r="Q106">
        <v>5980</v>
      </c>
      <c r="R106" t="s">
        <v>146</v>
      </c>
      <c r="S106" t="s">
        <v>116</v>
      </c>
      <c r="T106" t="s">
        <v>117</v>
      </c>
      <c r="U106" t="s">
        <v>136</v>
      </c>
      <c r="V106" t="s">
        <v>127</v>
      </c>
      <c r="W106" t="s">
        <v>224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242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229</v>
      </c>
      <c r="AL106">
        <v>0.65476190476190499</v>
      </c>
      <c r="AM106" t="s">
        <v>230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241</v>
      </c>
      <c r="F107" t="s">
        <v>108</v>
      </c>
      <c r="G107" s="27">
        <v>42168</v>
      </c>
      <c r="H107" t="s">
        <v>145</v>
      </c>
      <c r="I107" t="s">
        <v>221</v>
      </c>
      <c r="J107" t="s">
        <v>222</v>
      </c>
      <c r="K107">
        <v>9</v>
      </c>
      <c r="L107" t="s">
        <v>112</v>
      </c>
      <c r="M107" t="s">
        <v>223</v>
      </c>
      <c r="N107" t="s">
        <v>114</v>
      </c>
      <c r="O107">
        <v>70.900000000000006</v>
      </c>
      <c r="P107">
        <v>133</v>
      </c>
      <c r="Q107">
        <v>5980</v>
      </c>
      <c r="R107" t="s">
        <v>146</v>
      </c>
      <c r="S107" t="s">
        <v>116</v>
      </c>
      <c r="T107" t="s">
        <v>124</v>
      </c>
      <c r="U107" t="s">
        <v>123</v>
      </c>
      <c r="V107" t="s">
        <v>229</v>
      </c>
      <c r="W107" t="s">
        <v>171</v>
      </c>
      <c r="X107">
        <v>13.044247787610599</v>
      </c>
      <c r="Y107" t="s">
        <v>230</v>
      </c>
      <c r="Z107">
        <v>16.957522123893799</v>
      </c>
      <c r="AA107">
        <v>1</v>
      </c>
      <c r="AB107" t="s">
        <v>100</v>
      </c>
      <c r="AC107" t="s">
        <v>242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243</v>
      </c>
      <c r="F108" t="s">
        <v>108</v>
      </c>
      <c r="G108" s="27">
        <v>42168</v>
      </c>
      <c r="H108" t="s">
        <v>145</v>
      </c>
      <c r="I108" t="s">
        <v>221</v>
      </c>
      <c r="J108" t="s">
        <v>222</v>
      </c>
      <c r="K108">
        <v>9</v>
      </c>
      <c r="L108" t="s">
        <v>112</v>
      </c>
      <c r="M108" t="s">
        <v>223</v>
      </c>
      <c r="N108" t="s">
        <v>114</v>
      </c>
      <c r="O108">
        <v>70.900000000000006</v>
      </c>
      <c r="P108">
        <v>133</v>
      </c>
      <c r="Q108">
        <v>5980</v>
      </c>
      <c r="R108" t="s">
        <v>146</v>
      </c>
      <c r="S108" t="s">
        <v>116</v>
      </c>
      <c r="T108" t="s">
        <v>124</v>
      </c>
      <c r="U108" t="s">
        <v>123</v>
      </c>
      <c r="V108" t="s">
        <v>135</v>
      </c>
      <c r="W108" t="s">
        <v>171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140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136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243</v>
      </c>
      <c r="F109" t="s">
        <v>108</v>
      </c>
      <c r="G109" s="27">
        <v>42168</v>
      </c>
      <c r="H109" t="s">
        <v>145</v>
      </c>
      <c r="I109" t="s">
        <v>221</v>
      </c>
      <c r="J109" t="s">
        <v>222</v>
      </c>
      <c r="K109">
        <v>9</v>
      </c>
      <c r="L109" t="s">
        <v>112</v>
      </c>
      <c r="M109" t="s">
        <v>223</v>
      </c>
      <c r="N109" t="s">
        <v>114</v>
      </c>
      <c r="O109">
        <v>70.900000000000006</v>
      </c>
      <c r="P109">
        <v>133</v>
      </c>
      <c r="Q109">
        <v>5980</v>
      </c>
      <c r="R109" t="s">
        <v>146</v>
      </c>
      <c r="S109" t="s">
        <v>116</v>
      </c>
      <c r="T109" t="s">
        <v>117</v>
      </c>
      <c r="U109" t="s">
        <v>136</v>
      </c>
      <c r="V109" t="s">
        <v>132</v>
      </c>
      <c r="W109" t="s">
        <v>224</v>
      </c>
      <c r="X109">
        <v>16</v>
      </c>
      <c r="Y109" t="s">
        <v>136</v>
      </c>
      <c r="Z109">
        <v>21</v>
      </c>
      <c r="AA109">
        <v>1</v>
      </c>
      <c r="AB109" t="s">
        <v>101</v>
      </c>
      <c r="AC109" t="s">
        <v>140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135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244</v>
      </c>
      <c r="F110" t="s">
        <v>108</v>
      </c>
      <c r="G110" s="27">
        <v>42168</v>
      </c>
      <c r="H110" t="s">
        <v>145</v>
      </c>
      <c r="I110" t="s">
        <v>221</v>
      </c>
      <c r="J110" t="s">
        <v>222</v>
      </c>
      <c r="K110">
        <v>9</v>
      </c>
      <c r="L110" t="s">
        <v>112</v>
      </c>
      <c r="M110" t="s">
        <v>223</v>
      </c>
      <c r="N110" t="s">
        <v>114</v>
      </c>
      <c r="O110">
        <v>70.900000000000006</v>
      </c>
      <c r="P110">
        <v>133</v>
      </c>
      <c r="Q110">
        <v>5980</v>
      </c>
      <c r="R110" t="s">
        <v>146</v>
      </c>
      <c r="S110" t="s">
        <v>116</v>
      </c>
      <c r="T110" t="s">
        <v>117</v>
      </c>
      <c r="U110" t="s">
        <v>136</v>
      </c>
      <c r="V110" t="s">
        <v>180</v>
      </c>
      <c r="W110" t="s">
        <v>224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242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174</v>
      </c>
      <c r="AL110">
        <v>0.37288135593220301</v>
      </c>
      <c r="AM110" t="s">
        <v>177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244</v>
      </c>
      <c r="F111" t="s">
        <v>108</v>
      </c>
      <c r="G111" s="27">
        <v>42168</v>
      </c>
      <c r="H111" t="s">
        <v>145</v>
      </c>
      <c r="I111" t="s">
        <v>221</v>
      </c>
      <c r="J111" t="s">
        <v>222</v>
      </c>
      <c r="K111">
        <v>9</v>
      </c>
      <c r="L111" t="s">
        <v>112</v>
      </c>
      <c r="M111" t="s">
        <v>223</v>
      </c>
      <c r="N111" t="s">
        <v>114</v>
      </c>
      <c r="O111">
        <v>70.900000000000006</v>
      </c>
      <c r="P111">
        <v>133</v>
      </c>
      <c r="Q111">
        <v>5980</v>
      </c>
      <c r="R111" t="s">
        <v>146</v>
      </c>
      <c r="S111" t="s">
        <v>116</v>
      </c>
      <c r="T111" t="s">
        <v>124</v>
      </c>
      <c r="U111" t="s">
        <v>123</v>
      </c>
      <c r="V111" t="s">
        <v>174</v>
      </c>
      <c r="W111" t="s">
        <v>171</v>
      </c>
      <c r="X111">
        <v>30</v>
      </c>
      <c r="Y111" t="s">
        <v>177</v>
      </c>
      <c r="Z111">
        <v>19</v>
      </c>
      <c r="AA111">
        <v>1</v>
      </c>
      <c r="AB111" t="s">
        <v>99</v>
      </c>
      <c r="AC111" t="s">
        <v>242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180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245</v>
      </c>
      <c r="F112" t="s">
        <v>108</v>
      </c>
      <c r="G112" s="27">
        <v>42168</v>
      </c>
      <c r="H112" t="s">
        <v>145</v>
      </c>
      <c r="I112" t="s">
        <v>221</v>
      </c>
      <c r="J112" t="s">
        <v>222</v>
      </c>
      <c r="K112">
        <v>9</v>
      </c>
      <c r="L112" t="s">
        <v>112</v>
      </c>
      <c r="M112" t="s">
        <v>223</v>
      </c>
      <c r="N112" t="s">
        <v>114</v>
      </c>
      <c r="O112">
        <v>70.900000000000006</v>
      </c>
      <c r="P112">
        <v>133</v>
      </c>
      <c r="Q112">
        <v>5980</v>
      </c>
      <c r="R112" t="s">
        <v>146</v>
      </c>
      <c r="S112" t="s">
        <v>116</v>
      </c>
      <c r="T112" t="s">
        <v>124</v>
      </c>
      <c r="U112" t="s">
        <v>123</v>
      </c>
      <c r="V112" t="s">
        <v>120</v>
      </c>
      <c r="W112" t="s">
        <v>171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228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173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245</v>
      </c>
      <c r="F113" t="s">
        <v>108</v>
      </c>
      <c r="G113" s="27">
        <v>42168</v>
      </c>
      <c r="H113" t="s">
        <v>145</v>
      </c>
      <c r="I113" t="s">
        <v>221</v>
      </c>
      <c r="J113" t="s">
        <v>222</v>
      </c>
      <c r="K113">
        <v>9</v>
      </c>
      <c r="L113" t="s">
        <v>112</v>
      </c>
      <c r="M113" t="s">
        <v>223</v>
      </c>
      <c r="N113" t="s">
        <v>114</v>
      </c>
      <c r="O113">
        <v>70.900000000000006</v>
      </c>
      <c r="P113">
        <v>133</v>
      </c>
      <c r="Q113">
        <v>5980</v>
      </c>
      <c r="R113" t="s">
        <v>146</v>
      </c>
      <c r="S113" t="s">
        <v>116</v>
      </c>
      <c r="T113" t="s">
        <v>117</v>
      </c>
      <c r="U113" t="s">
        <v>136</v>
      </c>
      <c r="V113" t="s">
        <v>173</v>
      </c>
      <c r="W113" t="s">
        <v>224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228</v>
      </c>
      <c r="AE113" t="str">
        <f t="shared" si="1"/>
        <v>BussMangold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246</v>
      </c>
      <c r="F114" t="s">
        <v>108</v>
      </c>
      <c r="G114" s="27">
        <v>42168</v>
      </c>
      <c r="H114" t="s">
        <v>145</v>
      </c>
      <c r="I114" t="s">
        <v>221</v>
      </c>
      <c r="J114" t="s">
        <v>222</v>
      </c>
      <c r="K114">
        <v>9</v>
      </c>
      <c r="L114" t="s">
        <v>112</v>
      </c>
      <c r="M114" t="s">
        <v>223</v>
      </c>
      <c r="N114" t="s">
        <v>114</v>
      </c>
      <c r="O114">
        <v>70.900000000000006</v>
      </c>
      <c r="P114">
        <v>133</v>
      </c>
      <c r="Q114">
        <v>5980</v>
      </c>
      <c r="R114" t="s">
        <v>146</v>
      </c>
      <c r="S114" t="s">
        <v>116</v>
      </c>
      <c r="T114" t="s">
        <v>117</v>
      </c>
      <c r="U114" t="s">
        <v>136</v>
      </c>
      <c r="V114" t="s">
        <v>178</v>
      </c>
      <c r="W114" t="s">
        <v>224</v>
      </c>
      <c r="X114">
        <v>29.646017699115099</v>
      </c>
      <c r="Y114" t="s">
        <v>233</v>
      </c>
      <c r="Z114">
        <v>22.1752212389381</v>
      </c>
      <c r="AA114">
        <v>1</v>
      </c>
      <c r="AB114" t="s">
        <v>99</v>
      </c>
      <c r="AC114" t="s">
        <v>228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181</v>
      </c>
      <c r="AL114">
        <v>0.44067796610169502</v>
      </c>
      <c r="AM114" t="s">
        <v>234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246</v>
      </c>
      <c r="F115" t="s">
        <v>108</v>
      </c>
      <c r="G115" s="27">
        <v>42168</v>
      </c>
      <c r="H115" t="s">
        <v>145</v>
      </c>
      <c r="I115" t="s">
        <v>221</v>
      </c>
      <c r="J115" t="s">
        <v>222</v>
      </c>
      <c r="K115">
        <v>9</v>
      </c>
      <c r="L115" t="s">
        <v>112</v>
      </c>
      <c r="M115" t="s">
        <v>223</v>
      </c>
      <c r="N115" t="s">
        <v>114</v>
      </c>
      <c r="O115">
        <v>70.900000000000006</v>
      </c>
      <c r="P115">
        <v>133</v>
      </c>
      <c r="Q115">
        <v>5980</v>
      </c>
      <c r="R115" t="s">
        <v>146</v>
      </c>
      <c r="S115" t="s">
        <v>116</v>
      </c>
      <c r="T115" t="s">
        <v>124</v>
      </c>
      <c r="U115" t="s">
        <v>123</v>
      </c>
      <c r="V115" t="s">
        <v>181</v>
      </c>
      <c r="W115" t="s">
        <v>171</v>
      </c>
      <c r="X115">
        <v>29.4088495575221</v>
      </c>
      <c r="Y115" t="s">
        <v>234</v>
      </c>
      <c r="Z115">
        <v>11.265486725663701</v>
      </c>
      <c r="AA115">
        <v>1</v>
      </c>
      <c r="AB115" t="s">
        <v>100</v>
      </c>
      <c r="AC115" t="s">
        <v>228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178</v>
      </c>
      <c r="AL115">
        <v>0.59649122807017496</v>
      </c>
      <c r="AM115" t="s">
        <v>233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247</v>
      </c>
      <c r="F116" t="s">
        <v>108</v>
      </c>
      <c r="G116" s="27">
        <v>42168</v>
      </c>
      <c r="H116" t="s">
        <v>145</v>
      </c>
      <c r="I116" t="s">
        <v>221</v>
      </c>
      <c r="J116" t="s">
        <v>222</v>
      </c>
      <c r="K116">
        <v>9</v>
      </c>
      <c r="L116" t="s">
        <v>138</v>
      </c>
      <c r="M116" t="s">
        <v>223</v>
      </c>
      <c r="N116" t="s">
        <v>114</v>
      </c>
      <c r="O116">
        <v>70.900000000000006</v>
      </c>
      <c r="P116">
        <v>133</v>
      </c>
      <c r="Q116">
        <v>5980</v>
      </c>
      <c r="R116" t="s">
        <v>199</v>
      </c>
      <c r="S116" t="s">
        <v>116</v>
      </c>
      <c r="T116" t="s">
        <v>117</v>
      </c>
      <c r="U116" t="s">
        <v>136</v>
      </c>
      <c r="V116" t="s">
        <v>127</v>
      </c>
      <c r="W116" t="s">
        <v>224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248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229</v>
      </c>
      <c r="AL116">
        <v>0.65476190476190499</v>
      </c>
      <c r="AM116" t="s">
        <v>230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247</v>
      </c>
      <c r="F117" t="s">
        <v>108</v>
      </c>
      <c r="G117" s="27">
        <v>42168</v>
      </c>
      <c r="H117" t="s">
        <v>145</v>
      </c>
      <c r="I117" t="s">
        <v>221</v>
      </c>
      <c r="J117" t="s">
        <v>222</v>
      </c>
      <c r="K117">
        <v>9</v>
      </c>
      <c r="L117" t="s">
        <v>138</v>
      </c>
      <c r="M117" t="s">
        <v>223</v>
      </c>
      <c r="N117" t="s">
        <v>114</v>
      </c>
      <c r="O117">
        <v>70.900000000000006</v>
      </c>
      <c r="P117">
        <v>133</v>
      </c>
      <c r="Q117">
        <v>5980</v>
      </c>
      <c r="R117" t="s">
        <v>199</v>
      </c>
      <c r="S117" t="s">
        <v>116</v>
      </c>
      <c r="T117" t="s">
        <v>124</v>
      </c>
      <c r="U117" t="s">
        <v>123</v>
      </c>
      <c r="V117" t="s">
        <v>229</v>
      </c>
      <c r="W117" t="s">
        <v>171</v>
      </c>
      <c r="X117">
        <v>13.044247787610599</v>
      </c>
      <c r="Y117" t="s">
        <v>230</v>
      </c>
      <c r="Z117">
        <v>16.957522123893799</v>
      </c>
      <c r="AA117">
        <v>1</v>
      </c>
      <c r="AB117" t="s">
        <v>100</v>
      </c>
      <c r="AC117" t="s">
        <v>248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249</v>
      </c>
      <c r="F118" t="s">
        <v>108</v>
      </c>
      <c r="G118" s="27">
        <v>42168</v>
      </c>
      <c r="H118" t="s">
        <v>145</v>
      </c>
      <c r="I118" t="s">
        <v>221</v>
      </c>
      <c r="J118" t="s">
        <v>222</v>
      </c>
      <c r="K118">
        <v>9</v>
      </c>
      <c r="L118" t="s">
        <v>138</v>
      </c>
      <c r="M118" t="s">
        <v>223</v>
      </c>
      <c r="N118" t="s">
        <v>114</v>
      </c>
      <c r="O118">
        <v>70.900000000000006</v>
      </c>
      <c r="P118">
        <v>133</v>
      </c>
      <c r="Q118">
        <v>5980</v>
      </c>
      <c r="R118" t="s">
        <v>199</v>
      </c>
      <c r="S118" t="s">
        <v>116</v>
      </c>
      <c r="T118" t="s">
        <v>124</v>
      </c>
      <c r="U118" t="s">
        <v>123</v>
      </c>
      <c r="V118" t="s">
        <v>135</v>
      </c>
      <c r="W118" t="s">
        <v>171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250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136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249</v>
      </c>
      <c r="F119" t="s">
        <v>108</v>
      </c>
      <c r="G119" s="27">
        <v>42168</v>
      </c>
      <c r="H119" t="s">
        <v>145</v>
      </c>
      <c r="I119" t="s">
        <v>221</v>
      </c>
      <c r="J119" t="s">
        <v>222</v>
      </c>
      <c r="K119">
        <v>9</v>
      </c>
      <c r="L119" t="s">
        <v>138</v>
      </c>
      <c r="M119" t="s">
        <v>223</v>
      </c>
      <c r="N119" t="s">
        <v>114</v>
      </c>
      <c r="O119">
        <v>70.900000000000006</v>
      </c>
      <c r="P119">
        <v>133</v>
      </c>
      <c r="Q119">
        <v>5980</v>
      </c>
      <c r="R119" t="s">
        <v>199</v>
      </c>
      <c r="S119" t="s">
        <v>116</v>
      </c>
      <c r="T119" t="s">
        <v>117</v>
      </c>
      <c r="U119" t="s">
        <v>136</v>
      </c>
      <c r="V119" t="s">
        <v>132</v>
      </c>
      <c r="W119" t="s">
        <v>224</v>
      </c>
      <c r="X119">
        <v>16</v>
      </c>
      <c r="Y119" t="s">
        <v>136</v>
      </c>
      <c r="Z119">
        <v>21</v>
      </c>
      <c r="AA119">
        <v>1</v>
      </c>
      <c r="AB119" t="s">
        <v>100</v>
      </c>
      <c r="AC119" t="s">
        <v>250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135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251</v>
      </c>
      <c r="F120" t="s">
        <v>108</v>
      </c>
      <c r="G120" s="27">
        <v>42168</v>
      </c>
      <c r="H120" t="s">
        <v>145</v>
      </c>
      <c r="I120" t="s">
        <v>221</v>
      </c>
      <c r="J120" t="s">
        <v>222</v>
      </c>
      <c r="K120">
        <v>9</v>
      </c>
      <c r="L120" t="s">
        <v>138</v>
      </c>
      <c r="M120" t="s">
        <v>223</v>
      </c>
      <c r="N120" t="s">
        <v>114</v>
      </c>
      <c r="O120">
        <v>70.900000000000006</v>
      </c>
      <c r="P120">
        <v>133</v>
      </c>
      <c r="Q120">
        <v>5980</v>
      </c>
      <c r="R120" t="s">
        <v>199</v>
      </c>
      <c r="S120" t="s">
        <v>116</v>
      </c>
      <c r="T120" t="s">
        <v>117</v>
      </c>
      <c r="U120" t="s">
        <v>136</v>
      </c>
      <c r="V120" t="s">
        <v>180</v>
      </c>
      <c r="W120" t="s">
        <v>224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252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174</v>
      </c>
      <c r="AL120">
        <v>0.37288135593220301</v>
      </c>
      <c r="AM120" t="s">
        <v>177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251</v>
      </c>
      <c r="F121" t="s">
        <v>108</v>
      </c>
      <c r="G121" s="27">
        <v>42168</v>
      </c>
      <c r="H121" t="s">
        <v>145</v>
      </c>
      <c r="I121" t="s">
        <v>221</v>
      </c>
      <c r="J121" t="s">
        <v>222</v>
      </c>
      <c r="K121">
        <v>9</v>
      </c>
      <c r="L121" t="s">
        <v>138</v>
      </c>
      <c r="M121" t="s">
        <v>223</v>
      </c>
      <c r="N121" t="s">
        <v>114</v>
      </c>
      <c r="O121">
        <v>70.900000000000006</v>
      </c>
      <c r="P121">
        <v>133</v>
      </c>
      <c r="Q121">
        <v>5980</v>
      </c>
      <c r="R121" t="s">
        <v>199</v>
      </c>
      <c r="S121" t="s">
        <v>116</v>
      </c>
      <c r="T121" t="s">
        <v>124</v>
      </c>
      <c r="U121" t="s">
        <v>123</v>
      </c>
      <c r="V121" t="s">
        <v>174</v>
      </c>
      <c r="W121" t="s">
        <v>171</v>
      </c>
      <c r="X121">
        <v>30</v>
      </c>
      <c r="Y121" t="s">
        <v>177</v>
      </c>
      <c r="Z121">
        <v>19</v>
      </c>
      <c r="AA121">
        <v>1</v>
      </c>
      <c r="AB121" t="s">
        <v>99</v>
      </c>
      <c r="AC121" t="s">
        <v>252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180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253</v>
      </c>
      <c r="F122" t="s">
        <v>108</v>
      </c>
      <c r="G122" s="27">
        <v>42168</v>
      </c>
      <c r="H122" t="s">
        <v>145</v>
      </c>
      <c r="I122" t="s">
        <v>221</v>
      </c>
      <c r="J122" t="s">
        <v>222</v>
      </c>
      <c r="K122">
        <v>9</v>
      </c>
      <c r="L122" t="s">
        <v>138</v>
      </c>
      <c r="M122" t="s">
        <v>223</v>
      </c>
      <c r="N122" t="s">
        <v>114</v>
      </c>
      <c r="O122">
        <v>70.900000000000006</v>
      </c>
      <c r="P122">
        <v>133</v>
      </c>
      <c r="Q122">
        <v>5980</v>
      </c>
      <c r="R122" t="s">
        <v>199</v>
      </c>
      <c r="S122" t="s">
        <v>116</v>
      </c>
      <c r="T122" t="s">
        <v>124</v>
      </c>
      <c r="U122" t="s">
        <v>123</v>
      </c>
      <c r="V122" t="s">
        <v>120</v>
      </c>
      <c r="W122" t="s">
        <v>171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254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173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253</v>
      </c>
      <c r="F123" t="s">
        <v>108</v>
      </c>
      <c r="G123" s="27">
        <v>42168</v>
      </c>
      <c r="H123" t="s">
        <v>145</v>
      </c>
      <c r="I123" t="s">
        <v>221</v>
      </c>
      <c r="J123" t="s">
        <v>222</v>
      </c>
      <c r="K123">
        <v>9</v>
      </c>
      <c r="L123" t="s">
        <v>138</v>
      </c>
      <c r="M123" t="s">
        <v>223</v>
      </c>
      <c r="N123" t="s">
        <v>114</v>
      </c>
      <c r="O123">
        <v>70.900000000000006</v>
      </c>
      <c r="P123">
        <v>133</v>
      </c>
      <c r="Q123">
        <v>5980</v>
      </c>
      <c r="R123" t="s">
        <v>199</v>
      </c>
      <c r="S123" t="s">
        <v>116</v>
      </c>
      <c r="T123" t="s">
        <v>117</v>
      </c>
      <c r="U123" t="s">
        <v>136</v>
      </c>
      <c r="V123" t="s">
        <v>173</v>
      </c>
      <c r="W123" t="s">
        <v>224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254</v>
      </c>
      <c r="AE123" t="str">
        <f t="shared" si="1"/>
        <v>BussMangold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255</v>
      </c>
      <c r="F124" t="s">
        <v>108</v>
      </c>
      <c r="G124" s="27">
        <v>42168</v>
      </c>
      <c r="H124" t="s">
        <v>145</v>
      </c>
      <c r="I124" t="s">
        <v>221</v>
      </c>
      <c r="J124" t="s">
        <v>222</v>
      </c>
      <c r="K124">
        <v>9</v>
      </c>
      <c r="L124" t="s">
        <v>138</v>
      </c>
      <c r="M124" t="s">
        <v>223</v>
      </c>
      <c r="N124" t="s">
        <v>114</v>
      </c>
      <c r="O124">
        <v>70.900000000000006</v>
      </c>
      <c r="P124">
        <v>133</v>
      </c>
      <c r="Q124">
        <v>5980</v>
      </c>
      <c r="R124" t="s">
        <v>199</v>
      </c>
      <c r="S124" t="s">
        <v>116</v>
      </c>
      <c r="T124" t="s">
        <v>117</v>
      </c>
      <c r="U124" t="s">
        <v>136</v>
      </c>
      <c r="V124" t="s">
        <v>178</v>
      </c>
      <c r="W124" t="s">
        <v>224</v>
      </c>
      <c r="X124">
        <v>29.646017699115099</v>
      </c>
      <c r="Y124" t="s">
        <v>233</v>
      </c>
      <c r="Z124">
        <v>22.1752212389381</v>
      </c>
      <c r="AA124">
        <v>1</v>
      </c>
      <c r="AB124" t="s">
        <v>101</v>
      </c>
      <c r="AC124" t="s">
        <v>256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181</v>
      </c>
      <c r="AL124">
        <v>0.44067796610169502</v>
      </c>
      <c r="AM124" t="s">
        <v>234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255</v>
      </c>
      <c r="F125" t="s">
        <v>108</v>
      </c>
      <c r="G125" s="27">
        <v>42168</v>
      </c>
      <c r="H125" t="s">
        <v>145</v>
      </c>
      <c r="I125" t="s">
        <v>221</v>
      </c>
      <c r="J125" t="s">
        <v>222</v>
      </c>
      <c r="K125">
        <v>9</v>
      </c>
      <c r="L125" t="s">
        <v>138</v>
      </c>
      <c r="M125" t="s">
        <v>223</v>
      </c>
      <c r="N125" t="s">
        <v>114</v>
      </c>
      <c r="O125">
        <v>70.900000000000006</v>
      </c>
      <c r="P125">
        <v>133</v>
      </c>
      <c r="Q125">
        <v>5980</v>
      </c>
      <c r="R125" t="s">
        <v>199</v>
      </c>
      <c r="S125" t="s">
        <v>116</v>
      </c>
      <c r="T125" t="s">
        <v>124</v>
      </c>
      <c r="U125" t="s">
        <v>123</v>
      </c>
      <c r="V125" t="s">
        <v>181</v>
      </c>
      <c r="W125" t="s">
        <v>171</v>
      </c>
      <c r="X125">
        <v>29.4088495575221</v>
      </c>
      <c r="Y125" t="s">
        <v>234</v>
      </c>
      <c r="Z125">
        <v>11.265486725663701</v>
      </c>
      <c r="AA125">
        <v>1</v>
      </c>
      <c r="AB125" t="s">
        <v>101</v>
      </c>
      <c r="AC125" t="s">
        <v>256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178</v>
      </c>
      <c r="AL125">
        <v>0.59649122807017496</v>
      </c>
      <c r="AM125" t="s">
        <v>233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257</v>
      </c>
      <c r="F126" t="s">
        <v>154</v>
      </c>
      <c r="G126" s="27">
        <v>42169</v>
      </c>
      <c r="H126" t="s">
        <v>109</v>
      </c>
      <c r="I126" t="s">
        <v>221</v>
      </c>
      <c r="J126" t="s">
        <v>222</v>
      </c>
      <c r="K126">
        <v>18</v>
      </c>
      <c r="L126" t="s">
        <v>155</v>
      </c>
      <c r="M126" t="s">
        <v>258</v>
      </c>
      <c r="N126" t="s">
        <v>171</v>
      </c>
      <c r="O126">
        <v>71.3</v>
      </c>
      <c r="P126">
        <v>130</v>
      </c>
      <c r="Q126">
        <v>6326</v>
      </c>
      <c r="R126" t="s">
        <v>158</v>
      </c>
      <c r="S126" t="s">
        <v>159</v>
      </c>
      <c r="T126" t="s">
        <v>117</v>
      </c>
      <c r="U126" t="s">
        <v>136</v>
      </c>
      <c r="V126" t="s">
        <v>233</v>
      </c>
      <c r="W126" t="s">
        <v>157</v>
      </c>
      <c r="X126">
        <v>21.678761061946901</v>
      </c>
      <c r="AA126">
        <v>2</v>
      </c>
      <c r="AB126" t="s">
        <v>101</v>
      </c>
      <c r="AC126" t="s">
        <v>140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259</v>
      </c>
      <c r="F127" t="s">
        <v>154</v>
      </c>
      <c r="G127" s="27">
        <v>42169</v>
      </c>
      <c r="H127" t="s">
        <v>109</v>
      </c>
      <c r="I127" t="s">
        <v>221</v>
      </c>
      <c r="J127" t="s">
        <v>222</v>
      </c>
      <c r="K127">
        <v>18</v>
      </c>
      <c r="L127" t="s">
        <v>155</v>
      </c>
      <c r="M127" t="s">
        <v>258</v>
      </c>
      <c r="N127" t="s">
        <v>171</v>
      </c>
      <c r="O127">
        <v>71.3</v>
      </c>
      <c r="P127">
        <v>130</v>
      </c>
      <c r="Q127">
        <v>6326</v>
      </c>
      <c r="R127" t="s">
        <v>158</v>
      </c>
      <c r="S127" t="s">
        <v>159</v>
      </c>
      <c r="T127" t="s">
        <v>117</v>
      </c>
      <c r="U127" t="s">
        <v>136</v>
      </c>
      <c r="V127" t="s">
        <v>180</v>
      </c>
      <c r="W127" t="s">
        <v>157</v>
      </c>
      <c r="X127">
        <v>19.3601769911504</v>
      </c>
      <c r="AA127">
        <v>2</v>
      </c>
      <c r="AB127" t="s">
        <v>99</v>
      </c>
      <c r="AC127" t="s">
        <v>260</v>
      </c>
      <c r="AD127" t="s">
        <v>174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174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261</v>
      </c>
      <c r="F128" t="s">
        <v>154</v>
      </c>
      <c r="G128" s="27">
        <v>42169</v>
      </c>
      <c r="H128" t="s">
        <v>109</v>
      </c>
      <c r="I128" t="s">
        <v>221</v>
      </c>
      <c r="J128" t="s">
        <v>222</v>
      </c>
      <c r="K128">
        <v>18</v>
      </c>
      <c r="L128" t="s">
        <v>155</v>
      </c>
      <c r="M128" t="s">
        <v>258</v>
      </c>
      <c r="N128" t="s">
        <v>171</v>
      </c>
      <c r="O128">
        <v>71.3</v>
      </c>
      <c r="P128">
        <v>130</v>
      </c>
      <c r="Q128">
        <v>6326</v>
      </c>
      <c r="R128" t="s">
        <v>158</v>
      </c>
      <c r="S128" t="s">
        <v>159</v>
      </c>
      <c r="T128" t="s">
        <v>117</v>
      </c>
      <c r="U128" t="s">
        <v>136</v>
      </c>
      <c r="V128" t="s">
        <v>132</v>
      </c>
      <c r="W128" t="s">
        <v>157</v>
      </c>
      <c r="X128">
        <v>15.5345132743363</v>
      </c>
      <c r="AA128">
        <v>2</v>
      </c>
      <c r="AB128" t="s">
        <v>100</v>
      </c>
      <c r="AC128" t="s">
        <v>262</v>
      </c>
      <c r="AD128" t="s">
        <v>229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229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263</v>
      </c>
      <c r="F129" t="s">
        <v>154</v>
      </c>
      <c r="G129" s="27">
        <v>42169</v>
      </c>
      <c r="H129" t="s">
        <v>109</v>
      </c>
      <c r="I129" t="s">
        <v>221</v>
      </c>
      <c r="J129" t="s">
        <v>222</v>
      </c>
      <c r="K129">
        <v>18</v>
      </c>
      <c r="L129" t="s">
        <v>155</v>
      </c>
      <c r="M129" t="s">
        <v>258</v>
      </c>
      <c r="N129" t="s">
        <v>171</v>
      </c>
      <c r="O129">
        <v>71.3</v>
      </c>
      <c r="P129">
        <v>130</v>
      </c>
      <c r="Q129">
        <v>6326</v>
      </c>
      <c r="R129" t="s">
        <v>158</v>
      </c>
      <c r="S129" t="s">
        <v>159</v>
      </c>
      <c r="T129" t="s">
        <v>117</v>
      </c>
      <c r="U129" t="s">
        <v>136</v>
      </c>
      <c r="V129" t="s">
        <v>178</v>
      </c>
      <c r="W129" t="s">
        <v>157</v>
      </c>
      <c r="X129">
        <v>28.982300884955801</v>
      </c>
      <c r="AA129">
        <v>2</v>
      </c>
      <c r="AB129" t="s">
        <v>99</v>
      </c>
      <c r="AC129" t="s">
        <v>242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264</v>
      </c>
      <c r="F130" t="s">
        <v>154</v>
      </c>
      <c r="G130" s="27">
        <v>42169</v>
      </c>
      <c r="H130" t="s">
        <v>109</v>
      </c>
      <c r="I130" t="s">
        <v>221</v>
      </c>
      <c r="J130" t="s">
        <v>222</v>
      </c>
      <c r="K130">
        <v>18</v>
      </c>
      <c r="L130" t="s">
        <v>155</v>
      </c>
      <c r="M130" t="s">
        <v>258</v>
      </c>
      <c r="N130" t="s">
        <v>171</v>
      </c>
      <c r="O130">
        <v>71.3</v>
      </c>
      <c r="P130">
        <v>130</v>
      </c>
      <c r="Q130">
        <v>6326</v>
      </c>
      <c r="R130" t="s">
        <v>158</v>
      </c>
      <c r="S130" t="s">
        <v>159</v>
      </c>
      <c r="T130" t="s">
        <v>117</v>
      </c>
      <c r="U130" t="s">
        <v>136</v>
      </c>
      <c r="V130" t="s">
        <v>133</v>
      </c>
      <c r="W130" t="s">
        <v>157</v>
      </c>
      <c r="X130">
        <v>19.012389380531001</v>
      </c>
      <c r="AA130">
        <v>2</v>
      </c>
      <c r="AB130" t="s">
        <v>101</v>
      </c>
      <c r="AC130" t="s">
        <v>140</v>
      </c>
      <c r="AD130" t="s">
        <v>181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181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265</v>
      </c>
      <c r="F131" t="s">
        <v>154</v>
      </c>
      <c r="G131" s="27">
        <v>42169</v>
      </c>
      <c r="H131" t="s">
        <v>109</v>
      </c>
      <c r="I131" t="s">
        <v>221</v>
      </c>
      <c r="J131" t="s">
        <v>222</v>
      </c>
      <c r="K131">
        <v>18</v>
      </c>
      <c r="L131" t="s">
        <v>155</v>
      </c>
      <c r="M131" t="s">
        <v>258</v>
      </c>
      <c r="N131" t="s">
        <v>171</v>
      </c>
      <c r="O131">
        <v>71.3</v>
      </c>
      <c r="P131">
        <v>130</v>
      </c>
      <c r="Q131">
        <v>6326</v>
      </c>
      <c r="R131" t="s">
        <v>158</v>
      </c>
      <c r="S131" t="s">
        <v>159</v>
      </c>
      <c r="T131" t="s">
        <v>117</v>
      </c>
      <c r="U131" t="s">
        <v>136</v>
      </c>
      <c r="V131" t="s">
        <v>118</v>
      </c>
      <c r="W131" t="s">
        <v>157</v>
      </c>
      <c r="X131">
        <v>14.2592920353982</v>
      </c>
      <c r="AA131">
        <v>2</v>
      </c>
      <c r="AB131" t="s">
        <v>99</v>
      </c>
      <c r="AC131" t="s">
        <v>242</v>
      </c>
      <c r="AD131" t="s">
        <v>234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234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266</v>
      </c>
      <c r="F132" t="s">
        <v>154</v>
      </c>
      <c r="G132" s="27">
        <v>42169</v>
      </c>
      <c r="H132" t="s">
        <v>109</v>
      </c>
      <c r="I132" t="s">
        <v>221</v>
      </c>
      <c r="J132" t="s">
        <v>222</v>
      </c>
      <c r="K132">
        <v>18</v>
      </c>
      <c r="L132" t="s">
        <v>155</v>
      </c>
      <c r="M132" t="s">
        <v>258</v>
      </c>
      <c r="N132" t="s">
        <v>171</v>
      </c>
      <c r="O132">
        <v>71.3</v>
      </c>
      <c r="P132">
        <v>130</v>
      </c>
      <c r="Q132">
        <v>6326</v>
      </c>
      <c r="R132" t="s">
        <v>158</v>
      </c>
      <c r="S132" t="s">
        <v>159</v>
      </c>
      <c r="T132" t="s">
        <v>117</v>
      </c>
      <c r="U132" t="s">
        <v>136</v>
      </c>
      <c r="V132" t="s">
        <v>173</v>
      </c>
      <c r="W132" t="s">
        <v>157</v>
      </c>
      <c r="X132">
        <v>15.9982300884956</v>
      </c>
      <c r="AA132">
        <v>2</v>
      </c>
      <c r="AB132" t="s">
        <v>100</v>
      </c>
      <c r="AC132" t="s">
        <v>267</v>
      </c>
      <c r="AD132" t="s">
        <v>230</v>
      </c>
      <c r="AE132" t="str">
        <f t="shared" si="2"/>
        <v>Buss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230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268</v>
      </c>
      <c r="F133" t="s">
        <v>154</v>
      </c>
      <c r="G133" s="27">
        <v>42169</v>
      </c>
      <c r="H133" t="s">
        <v>109</v>
      </c>
      <c r="I133" t="s">
        <v>221</v>
      </c>
      <c r="J133" t="s">
        <v>222</v>
      </c>
      <c r="K133">
        <v>18</v>
      </c>
      <c r="L133" t="s">
        <v>155</v>
      </c>
      <c r="M133" t="s">
        <v>258</v>
      </c>
      <c r="N133" t="s">
        <v>171</v>
      </c>
      <c r="O133">
        <v>71.3</v>
      </c>
      <c r="P133">
        <v>130</v>
      </c>
      <c r="Q133">
        <v>6326</v>
      </c>
      <c r="R133" t="s">
        <v>158</v>
      </c>
      <c r="S133" t="s">
        <v>159</v>
      </c>
      <c r="T133" t="s">
        <v>117</v>
      </c>
      <c r="U133" t="s">
        <v>136</v>
      </c>
      <c r="V133" t="s">
        <v>119</v>
      </c>
      <c r="W133" t="s">
        <v>157</v>
      </c>
      <c r="X133">
        <v>17.041592920353999</v>
      </c>
      <c r="AA133">
        <v>2</v>
      </c>
      <c r="AB133" t="s">
        <v>100</v>
      </c>
      <c r="AC133" t="s">
        <v>228</v>
      </c>
      <c r="AD133" t="s">
        <v>135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135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269</v>
      </c>
      <c r="F134" t="s">
        <v>154</v>
      </c>
      <c r="G134" s="27">
        <v>42169</v>
      </c>
      <c r="H134" t="s">
        <v>109</v>
      </c>
      <c r="I134" t="s">
        <v>221</v>
      </c>
      <c r="J134" t="s">
        <v>222</v>
      </c>
      <c r="K134">
        <v>18</v>
      </c>
      <c r="L134" t="s">
        <v>155</v>
      </c>
      <c r="M134" t="s">
        <v>258</v>
      </c>
      <c r="N134" t="s">
        <v>171</v>
      </c>
      <c r="O134">
        <v>71.3</v>
      </c>
      <c r="P134">
        <v>130</v>
      </c>
      <c r="Q134">
        <v>6326</v>
      </c>
      <c r="R134" t="s">
        <v>158</v>
      </c>
      <c r="S134" t="s">
        <v>159</v>
      </c>
      <c r="T134" t="s">
        <v>117</v>
      </c>
      <c r="U134" t="s">
        <v>136</v>
      </c>
      <c r="V134" t="s">
        <v>127</v>
      </c>
      <c r="W134" t="s">
        <v>157</v>
      </c>
      <c r="X134">
        <v>23.069911504424802</v>
      </c>
      <c r="AA134">
        <v>2</v>
      </c>
      <c r="AB134" t="s">
        <v>99</v>
      </c>
      <c r="AC134" t="s">
        <v>225</v>
      </c>
      <c r="AD134" t="s">
        <v>177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177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270</v>
      </c>
      <c r="F135" t="s">
        <v>154</v>
      </c>
      <c r="G135" s="27">
        <v>42169</v>
      </c>
      <c r="H135" t="s">
        <v>109</v>
      </c>
      <c r="I135" t="s">
        <v>221</v>
      </c>
      <c r="J135" t="s">
        <v>222</v>
      </c>
      <c r="K135">
        <v>18</v>
      </c>
      <c r="L135" t="s">
        <v>155</v>
      </c>
      <c r="M135" t="s">
        <v>258</v>
      </c>
      <c r="N135" t="s">
        <v>171</v>
      </c>
      <c r="O135">
        <v>71.3</v>
      </c>
      <c r="P135">
        <v>130</v>
      </c>
      <c r="Q135">
        <v>6326</v>
      </c>
      <c r="R135" t="s">
        <v>158</v>
      </c>
      <c r="S135" t="s">
        <v>159</v>
      </c>
      <c r="T135" t="s">
        <v>117</v>
      </c>
      <c r="U135" t="s">
        <v>136</v>
      </c>
      <c r="V135" t="s">
        <v>136</v>
      </c>
      <c r="W135" t="s">
        <v>157</v>
      </c>
      <c r="X135">
        <v>20.519469026548698</v>
      </c>
      <c r="AA135">
        <v>2</v>
      </c>
      <c r="AB135" t="s">
        <v>100</v>
      </c>
      <c r="AC135" t="s">
        <v>143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257</v>
      </c>
      <c r="F136" t="s">
        <v>154</v>
      </c>
      <c r="G136" s="27">
        <v>42169</v>
      </c>
      <c r="H136" t="s">
        <v>109</v>
      </c>
      <c r="I136" t="s">
        <v>221</v>
      </c>
      <c r="J136" t="s">
        <v>222</v>
      </c>
      <c r="K136">
        <v>18</v>
      </c>
      <c r="L136" t="s">
        <v>155</v>
      </c>
      <c r="M136" t="s">
        <v>258</v>
      </c>
      <c r="N136" t="s">
        <v>171</v>
      </c>
      <c r="O136">
        <v>71.3</v>
      </c>
      <c r="P136">
        <v>130</v>
      </c>
      <c r="Q136">
        <v>6326</v>
      </c>
      <c r="R136" t="s">
        <v>158</v>
      </c>
      <c r="S136" t="s">
        <v>159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140</v>
      </c>
      <c r="AD136" t="s">
        <v>233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233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259</v>
      </c>
      <c r="F137" t="s">
        <v>154</v>
      </c>
      <c r="G137" s="27">
        <v>42169</v>
      </c>
      <c r="H137" t="s">
        <v>109</v>
      </c>
      <c r="I137" t="s">
        <v>221</v>
      </c>
      <c r="J137" t="s">
        <v>222</v>
      </c>
      <c r="K137">
        <v>18</v>
      </c>
      <c r="L137" t="s">
        <v>155</v>
      </c>
      <c r="M137" t="s">
        <v>258</v>
      </c>
      <c r="N137" t="s">
        <v>171</v>
      </c>
      <c r="O137">
        <v>71.3</v>
      </c>
      <c r="P137">
        <v>130</v>
      </c>
      <c r="Q137">
        <v>6326</v>
      </c>
      <c r="R137" t="s">
        <v>158</v>
      </c>
      <c r="S137" t="s">
        <v>159</v>
      </c>
      <c r="T137" t="s">
        <v>124</v>
      </c>
      <c r="U137" t="s">
        <v>123</v>
      </c>
      <c r="V137" t="s">
        <v>174</v>
      </c>
      <c r="W137" t="s">
        <v>114</v>
      </c>
      <c r="X137">
        <v>28.982300884955801</v>
      </c>
      <c r="AA137">
        <v>2</v>
      </c>
      <c r="AB137" t="s">
        <v>100</v>
      </c>
      <c r="AC137" t="s">
        <v>260</v>
      </c>
      <c r="AD137" t="s">
        <v>180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180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261</v>
      </c>
      <c r="F138" t="s">
        <v>154</v>
      </c>
      <c r="G138" s="27">
        <v>42169</v>
      </c>
      <c r="H138" t="s">
        <v>109</v>
      </c>
      <c r="I138" t="s">
        <v>221</v>
      </c>
      <c r="J138" t="s">
        <v>222</v>
      </c>
      <c r="K138">
        <v>18</v>
      </c>
      <c r="L138" t="s">
        <v>155</v>
      </c>
      <c r="M138" t="s">
        <v>258</v>
      </c>
      <c r="N138" t="s">
        <v>171</v>
      </c>
      <c r="O138">
        <v>71.3</v>
      </c>
      <c r="P138">
        <v>130</v>
      </c>
      <c r="Q138">
        <v>6326</v>
      </c>
      <c r="R138" t="s">
        <v>158</v>
      </c>
      <c r="S138" t="s">
        <v>159</v>
      </c>
      <c r="T138" t="s">
        <v>124</v>
      </c>
      <c r="U138" t="s">
        <v>123</v>
      </c>
      <c r="V138" t="s">
        <v>229</v>
      </c>
      <c r="W138" t="s">
        <v>114</v>
      </c>
      <c r="X138">
        <v>12.7522123893805</v>
      </c>
      <c r="AA138">
        <v>2</v>
      </c>
      <c r="AB138" t="s">
        <v>99</v>
      </c>
      <c r="AC138" t="s">
        <v>262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263</v>
      </c>
      <c r="F139" t="s">
        <v>154</v>
      </c>
      <c r="G139" s="27">
        <v>42169</v>
      </c>
      <c r="H139" t="s">
        <v>109</v>
      </c>
      <c r="I139" t="s">
        <v>221</v>
      </c>
      <c r="J139" t="s">
        <v>222</v>
      </c>
      <c r="K139">
        <v>18</v>
      </c>
      <c r="L139" t="s">
        <v>155</v>
      </c>
      <c r="M139" t="s">
        <v>258</v>
      </c>
      <c r="N139" t="s">
        <v>171</v>
      </c>
      <c r="O139">
        <v>71.3</v>
      </c>
      <c r="P139">
        <v>130</v>
      </c>
      <c r="Q139">
        <v>6326</v>
      </c>
      <c r="R139" t="s">
        <v>158</v>
      </c>
      <c r="S139" t="s">
        <v>159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242</v>
      </c>
      <c r="AD139" t="s">
        <v>178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178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264</v>
      </c>
      <c r="F140" t="s">
        <v>154</v>
      </c>
      <c r="G140" s="27">
        <v>42169</v>
      </c>
      <c r="H140" t="s">
        <v>109</v>
      </c>
      <c r="I140" t="s">
        <v>221</v>
      </c>
      <c r="J140" t="s">
        <v>222</v>
      </c>
      <c r="K140">
        <v>18</v>
      </c>
      <c r="L140" t="s">
        <v>155</v>
      </c>
      <c r="M140" t="s">
        <v>258</v>
      </c>
      <c r="N140" t="s">
        <v>171</v>
      </c>
      <c r="O140">
        <v>71.3</v>
      </c>
      <c r="P140">
        <v>130</v>
      </c>
      <c r="Q140">
        <v>6326</v>
      </c>
      <c r="R140" t="s">
        <v>158</v>
      </c>
      <c r="S140" t="s">
        <v>159</v>
      </c>
      <c r="T140" t="s">
        <v>124</v>
      </c>
      <c r="U140" t="s">
        <v>123</v>
      </c>
      <c r="V140" t="s">
        <v>181</v>
      </c>
      <c r="W140" t="s">
        <v>114</v>
      </c>
      <c r="X140">
        <v>28.750442477876099</v>
      </c>
      <c r="AA140">
        <v>2</v>
      </c>
      <c r="AB140" t="s">
        <v>101</v>
      </c>
      <c r="AC140" t="s">
        <v>140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265</v>
      </c>
      <c r="F141" t="s">
        <v>154</v>
      </c>
      <c r="G141" s="27">
        <v>42169</v>
      </c>
      <c r="H141" t="s">
        <v>109</v>
      </c>
      <c r="I141" t="s">
        <v>221</v>
      </c>
      <c r="J141" t="s">
        <v>222</v>
      </c>
      <c r="K141">
        <v>18</v>
      </c>
      <c r="L141" t="s">
        <v>155</v>
      </c>
      <c r="M141" t="s">
        <v>258</v>
      </c>
      <c r="N141" t="s">
        <v>171</v>
      </c>
      <c r="O141">
        <v>71.3</v>
      </c>
      <c r="P141">
        <v>130</v>
      </c>
      <c r="Q141">
        <v>6326</v>
      </c>
      <c r="R141" t="s">
        <v>158</v>
      </c>
      <c r="S141" t="s">
        <v>159</v>
      </c>
      <c r="T141" t="s">
        <v>124</v>
      </c>
      <c r="U141" t="s">
        <v>123</v>
      </c>
      <c r="V141" t="s">
        <v>234</v>
      </c>
      <c r="W141" t="s">
        <v>114</v>
      </c>
      <c r="X141">
        <v>11.0132743362832</v>
      </c>
      <c r="AA141">
        <v>2</v>
      </c>
      <c r="AB141" t="s">
        <v>100</v>
      </c>
      <c r="AC141" t="s">
        <v>242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266</v>
      </c>
      <c r="F142" t="s">
        <v>154</v>
      </c>
      <c r="G142" s="27">
        <v>42169</v>
      </c>
      <c r="H142" t="s">
        <v>109</v>
      </c>
      <c r="I142" t="s">
        <v>221</v>
      </c>
      <c r="J142" t="s">
        <v>222</v>
      </c>
      <c r="K142">
        <v>18</v>
      </c>
      <c r="L142" t="s">
        <v>155</v>
      </c>
      <c r="M142" t="s">
        <v>258</v>
      </c>
      <c r="N142" t="s">
        <v>171</v>
      </c>
      <c r="O142">
        <v>71.3</v>
      </c>
      <c r="P142">
        <v>130</v>
      </c>
      <c r="Q142">
        <v>6326</v>
      </c>
      <c r="R142" t="s">
        <v>158</v>
      </c>
      <c r="S142" t="s">
        <v>159</v>
      </c>
      <c r="T142" t="s">
        <v>124</v>
      </c>
      <c r="U142" t="s">
        <v>123</v>
      </c>
      <c r="V142" t="s">
        <v>230</v>
      </c>
      <c r="W142" t="s">
        <v>114</v>
      </c>
      <c r="X142">
        <v>16.577876106194701</v>
      </c>
      <c r="AA142">
        <v>2</v>
      </c>
      <c r="AB142" t="s">
        <v>99</v>
      </c>
      <c r="AC142" t="s">
        <v>267</v>
      </c>
      <c r="AD142" t="s">
        <v>173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173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268</v>
      </c>
      <c r="F143" t="s">
        <v>154</v>
      </c>
      <c r="G143" s="27">
        <v>42169</v>
      </c>
      <c r="H143" t="s">
        <v>109</v>
      </c>
      <c r="I143" t="s">
        <v>221</v>
      </c>
      <c r="J143" t="s">
        <v>222</v>
      </c>
      <c r="K143">
        <v>18</v>
      </c>
      <c r="L143" t="s">
        <v>155</v>
      </c>
      <c r="M143" t="s">
        <v>258</v>
      </c>
      <c r="N143" t="s">
        <v>171</v>
      </c>
      <c r="O143">
        <v>71.3</v>
      </c>
      <c r="P143">
        <v>130</v>
      </c>
      <c r="Q143">
        <v>6326</v>
      </c>
      <c r="R143" t="s">
        <v>158</v>
      </c>
      <c r="S143" t="s">
        <v>159</v>
      </c>
      <c r="T143" t="s">
        <v>124</v>
      </c>
      <c r="U143" t="s">
        <v>123</v>
      </c>
      <c r="V143" t="s">
        <v>135</v>
      </c>
      <c r="W143" t="s">
        <v>114</v>
      </c>
      <c r="X143">
        <v>10.5495575221239</v>
      </c>
      <c r="AA143">
        <v>2</v>
      </c>
      <c r="AB143" t="s">
        <v>99</v>
      </c>
      <c r="AC143" t="s">
        <v>228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269</v>
      </c>
      <c r="F144" t="s">
        <v>154</v>
      </c>
      <c r="G144" s="27">
        <v>42169</v>
      </c>
      <c r="H144" t="s">
        <v>109</v>
      </c>
      <c r="I144" t="s">
        <v>221</v>
      </c>
      <c r="J144" t="s">
        <v>222</v>
      </c>
      <c r="K144">
        <v>18</v>
      </c>
      <c r="L144" t="s">
        <v>155</v>
      </c>
      <c r="M144" t="s">
        <v>258</v>
      </c>
      <c r="N144" t="s">
        <v>171</v>
      </c>
      <c r="O144">
        <v>71.3</v>
      </c>
      <c r="P144">
        <v>130</v>
      </c>
      <c r="Q144">
        <v>6326</v>
      </c>
      <c r="R144" t="s">
        <v>158</v>
      </c>
      <c r="S144" t="s">
        <v>159</v>
      </c>
      <c r="T144" t="s">
        <v>124</v>
      </c>
      <c r="U144" t="s">
        <v>123</v>
      </c>
      <c r="V144" t="s">
        <v>177</v>
      </c>
      <c r="W144" t="s">
        <v>114</v>
      </c>
      <c r="X144">
        <v>18.316814159292001</v>
      </c>
      <c r="AA144">
        <v>2</v>
      </c>
      <c r="AB144" t="s">
        <v>100</v>
      </c>
      <c r="AC144" t="s">
        <v>225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270</v>
      </c>
      <c r="F145" t="s">
        <v>154</v>
      </c>
      <c r="G145" s="27">
        <v>42169</v>
      </c>
      <c r="H145" t="s">
        <v>109</v>
      </c>
      <c r="I145" t="s">
        <v>221</v>
      </c>
      <c r="J145" t="s">
        <v>222</v>
      </c>
      <c r="K145">
        <v>18</v>
      </c>
      <c r="L145" t="s">
        <v>155</v>
      </c>
      <c r="M145" t="s">
        <v>258</v>
      </c>
      <c r="N145" t="s">
        <v>171</v>
      </c>
      <c r="O145">
        <v>71.3</v>
      </c>
      <c r="P145">
        <v>130</v>
      </c>
      <c r="Q145">
        <v>6326</v>
      </c>
      <c r="R145" t="s">
        <v>158</v>
      </c>
      <c r="S145" t="s">
        <v>159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143</v>
      </c>
      <c r="AD145" t="s">
        <v>136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136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271</v>
      </c>
      <c r="F146" t="s">
        <v>272</v>
      </c>
      <c r="G146" s="27">
        <v>42573</v>
      </c>
      <c r="H146" t="s">
        <v>109</v>
      </c>
      <c r="I146" t="s">
        <v>273</v>
      </c>
      <c r="J146" t="s">
        <v>274</v>
      </c>
      <c r="K146">
        <v>9</v>
      </c>
      <c r="L146" t="s">
        <v>112</v>
      </c>
      <c r="M146" t="s">
        <v>275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171</v>
      </c>
      <c r="Y146" t="s">
        <v>118</v>
      </c>
      <c r="AA146">
        <v>1</v>
      </c>
      <c r="AB146" t="s">
        <v>100</v>
      </c>
      <c r="AC146" t="s">
        <v>228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276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271</v>
      </c>
      <c r="F147" t="s">
        <v>272</v>
      </c>
      <c r="G147" s="27">
        <v>42573</v>
      </c>
      <c r="H147" t="s">
        <v>109</v>
      </c>
      <c r="I147" t="s">
        <v>273</v>
      </c>
      <c r="J147" t="s">
        <v>274</v>
      </c>
      <c r="K147">
        <v>9</v>
      </c>
      <c r="L147" t="s">
        <v>112</v>
      </c>
      <c r="M147" t="s">
        <v>275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157</v>
      </c>
      <c r="Y147" t="s">
        <v>276</v>
      </c>
      <c r="AA147">
        <v>1</v>
      </c>
      <c r="AB147" t="s">
        <v>99</v>
      </c>
      <c r="AC147" t="s">
        <v>228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277</v>
      </c>
      <c r="F148" t="s">
        <v>272</v>
      </c>
      <c r="G148" s="27">
        <v>42573</v>
      </c>
      <c r="H148" t="s">
        <v>109</v>
      </c>
      <c r="I148" t="s">
        <v>273</v>
      </c>
      <c r="J148" t="s">
        <v>274</v>
      </c>
      <c r="K148">
        <v>9</v>
      </c>
      <c r="L148" t="s">
        <v>112</v>
      </c>
      <c r="M148" t="s">
        <v>275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173</v>
      </c>
      <c r="W148" t="s">
        <v>157</v>
      </c>
      <c r="Y148" t="s">
        <v>136</v>
      </c>
      <c r="AA148">
        <v>1</v>
      </c>
      <c r="AB148" t="s">
        <v>99</v>
      </c>
      <c r="AC148" t="s">
        <v>143</v>
      </c>
      <c r="AE148" t="str">
        <f t="shared" si="2"/>
        <v>BussShively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177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277</v>
      </c>
      <c r="F149" t="s">
        <v>272</v>
      </c>
      <c r="G149" s="27">
        <v>42573</v>
      </c>
      <c r="H149" t="s">
        <v>109</v>
      </c>
      <c r="I149" t="s">
        <v>273</v>
      </c>
      <c r="J149" t="s">
        <v>274</v>
      </c>
      <c r="K149">
        <v>9</v>
      </c>
      <c r="L149" t="s">
        <v>112</v>
      </c>
      <c r="M149" t="s">
        <v>275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171</v>
      </c>
      <c r="Y149" t="s">
        <v>177</v>
      </c>
      <c r="AA149">
        <v>1</v>
      </c>
      <c r="AB149" t="s">
        <v>100</v>
      </c>
      <c r="AC149" t="s">
        <v>143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173</v>
      </c>
      <c r="AL149">
        <v>0.44827586206896602</v>
      </c>
      <c r="AM149" t="s">
        <v>136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278</v>
      </c>
      <c r="F150" t="s">
        <v>272</v>
      </c>
      <c r="G150" s="27">
        <v>42573</v>
      </c>
      <c r="H150" t="s">
        <v>109</v>
      </c>
      <c r="I150" t="s">
        <v>273</v>
      </c>
      <c r="J150" t="s">
        <v>274</v>
      </c>
      <c r="K150">
        <v>9</v>
      </c>
      <c r="L150" t="s">
        <v>112</v>
      </c>
      <c r="M150" t="s">
        <v>275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171</v>
      </c>
      <c r="Y150" t="s">
        <v>178</v>
      </c>
      <c r="AA150">
        <v>1</v>
      </c>
      <c r="AB150" t="s">
        <v>99</v>
      </c>
      <c r="AC150" t="s">
        <v>242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234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278</v>
      </c>
      <c r="F151" t="s">
        <v>272</v>
      </c>
      <c r="G151" s="27">
        <v>42573</v>
      </c>
      <c r="H151" t="s">
        <v>109</v>
      </c>
      <c r="I151" t="s">
        <v>273</v>
      </c>
      <c r="J151" t="s">
        <v>274</v>
      </c>
      <c r="K151">
        <v>9</v>
      </c>
      <c r="L151" t="s">
        <v>112</v>
      </c>
      <c r="M151" t="s">
        <v>275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157</v>
      </c>
      <c r="Y151" t="s">
        <v>234</v>
      </c>
      <c r="AA151">
        <v>1</v>
      </c>
      <c r="AB151" t="s">
        <v>100</v>
      </c>
      <c r="AC151" t="s">
        <v>242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178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279</v>
      </c>
      <c r="F152" t="s">
        <v>272</v>
      </c>
      <c r="G152" s="27">
        <v>42573</v>
      </c>
      <c r="H152" t="s">
        <v>109</v>
      </c>
      <c r="I152" t="s">
        <v>273</v>
      </c>
      <c r="J152" t="s">
        <v>274</v>
      </c>
      <c r="K152">
        <v>9</v>
      </c>
      <c r="L152" t="s">
        <v>112</v>
      </c>
      <c r="M152" t="s">
        <v>275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135</v>
      </c>
      <c r="W152" t="s">
        <v>157</v>
      </c>
      <c r="Y152" t="s">
        <v>230</v>
      </c>
      <c r="AA152">
        <v>1</v>
      </c>
      <c r="AB152" t="s">
        <v>99</v>
      </c>
      <c r="AC152" t="s">
        <v>280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181</v>
      </c>
      <c r="AL152">
        <v>0.44067796610169502</v>
      </c>
      <c r="AM152" t="s">
        <v>180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279</v>
      </c>
      <c r="F153" t="s">
        <v>272</v>
      </c>
      <c r="G153" s="27">
        <v>42573</v>
      </c>
      <c r="H153" t="s">
        <v>109</v>
      </c>
      <c r="I153" t="s">
        <v>273</v>
      </c>
      <c r="J153" t="s">
        <v>274</v>
      </c>
      <c r="K153">
        <v>9</v>
      </c>
      <c r="L153" t="s">
        <v>112</v>
      </c>
      <c r="M153" t="s">
        <v>275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181</v>
      </c>
      <c r="W153" t="s">
        <v>171</v>
      </c>
      <c r="Y153" t="s">
        <v>180</v>
      </c>
      <c r="AA153">
        <v>1</v>
      </c>
      <c r="AB153" t="s">
        <v>100</v>
      </c>
      <c r="AC153" t="s">
        <v>280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135</v>
      </c>
      <c r="AL153">
        <v>0.59375</v>
      </c>
      <c r="AM153" t="s">
        <v>230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281</v>
      </c>
      <c r="F154" t="s">
        <v>272</v>
      </c>
      <c r="G154" s="27">
        <v>42573</v>
      </c>
      <c r="H154" t="s">
        <v>109</v>
      </c>
      <c r="I154" t="s">
        <v>273</v>
      </c>
      <c r="J154" t="s">
        <v>274</v>
      </c>
      <c r="K154">
        <v>9</v>
      </c>
      <c r="L154" t="s">
        <v>112</v>
      </c>
      <c r="M154" t="s">
        <v>275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229</v>
      </c>
      <c r="W154" t="s">
        <v>171</v>
      </c>
      <c r="Y154" t="s">
        <v>233</v>
      </c>
      <c r="AA154">
        <v>1</v>
      </c>
      <c r="AB154" t="s">
        <v>100</v>
      </c>
      <c r="AC154" t="s">
        <v>260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174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281</v>
      </c>
      <c r="F155" t="s">
        <v>272</v>
      </c>
      <c r="G155" s="27">
        <v>42573</v>
      </c>
      <c r="H155" t="s">
        <v>109</v>
      </c>
      <c r="I155" t="s">
        <v>273</v>
      </c>
      <c r="J155" t="s">
        <v>274</v>
      </c>
      <c r="K155">
        <v>9</v>
      </c>
      <c r="L155" t="s">
        <v>112</v>
      </c>
      <c r="M155" t="s">
        <v>275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174</v>
      </c>
      <c r="W155" t="s">
        <v>157</v>
      </c>
      <c r="Y155" t="s">
        <v>123</v>
      </c>
      <c r="AA155">
        <v>1</v>
      </c>
      <c r="AB155" t="s">
        <v>99</v>
      </c>
      <c r="AC155" t="s">
        <v>260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229</v>
      </c>
      <c r="AL155">
        <v>0.65476190476190499</v>
      </c>
      <c r="AM155" t="s">
        <v>233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282</v>
      </c>
      <c r="F156" t="s">
        <v>272</v>
      </c>
      <c r="G156" s="27">
        <v>42573</v>
      </c>
      <c r="H156" t="s">
        <v>109</v>
      </c>
      <c r="I156" t="s">
        <v>273</v>
      </c>
      <c r="J156" t="s">
        <v>274</v>
      </c>
      <c r="K156">
        <v>9</v>
      </c>
      <c r="L156" t="s">
        <v>138</v>
      </c>
      <c r="M156" t="s">
        <v>275</v>
      </c>
      <c r="N156" t="s">
        <v>114</v>
      </c>
      <c r="O156">
        <v>70.599999999999994</v>
      </c>
      <c r="P156">
        <v>130</v>
      </c>
      <c r="Q156">
        <v>6111</v>
      </c>
      <c r="R156" t="s">
        <v>191</v>
      </c>
      <c r="S156" t="s">
        <v>116</v>
      </c>
      <c r="T156" t="s">
        <v>117</v>
      </c>
      <c r="U156" t="s">
        <v>133</v>
      </c>
      <c r="V156" t="s">
        <v>127</v>
      </c>
      <c r="W156" t="s">
        <v>171</v>
      </c>
      <c r="Y156" t="s">
        <v>118</v>
      </c>
      <c r="AA156">
        <v>1</v>
      </c>
      <c r="AB156" t="s">
        <v>100</v>
      </c>
      <c r="AC156" t="s">
        <v>267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276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282</v>
      </c>
      <c r="F157" t="s">
        <v>272</v>
      </c>
      <c r="G157" s="27">
        <v>42573</v>
      </c>
      <c r="H157" t="s">
        <v>109</v>
      </c>
      <c r="I157" t="s">
        <v>273</v>
      </c>
      <c r="J157" t="s">
        <v>274</v>
      </c>
      <c r="K157">
        <v>9</v>
      </c>
      <c r="L157" t="s">
        <v>138</v>
      </c>
      <c r="M157" t="s">
        <v>275</v>
      </c>
      <c r="N157" t="s">
        <v>114</v>
      </c>
      <c r="O157">
        <v>70.599999999999994</v>
      </c>
      <c r="P157">
        <v>130</v>
      </c>
      <c r="Q157">
        <v>6111</v>
      </c>
      <c r="R157" t="s">
        <v>191</v>
      </c>
      <c r="S157" t="s">
        <v>116</v>
      </c>
      <c r="T157" t="s">
        <v>124</v>
      </c>
      <c r="U157" t="s">
        <v>119</v>
      </c>
      <c r="V157" t="s">
        <v>119</v>
      </c>
      <c r="W157" t="s">
        <v>157</v>
      </c>
      <c r="Y157" t="s">
        <v>276</v>
      </c>
      <c r="AA157">
        <v>1</v>
      </c>
      <c r="AB157" t="s">
        <v>99</v>
      </c>
      <c r="AC157" t="s">
        <v>267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283</v>
      </c>
      <c r="F158" t="s">
        <v>272</v>
      </c>
      <c r="G158" s="27">
        <v>42573</v>
      </c>
      <c r="H158" t="s">
        <v>109</v>
      </c>
      <c r="I158" t="s">
        <v>273</v>
      </c>
      <c r="J158" t="s">
        <v>274</v>
      </c>
      <c r="K158">
        <v>9</v>
      </c>
      <c r="L158" t="s">
        <v>138</v>
      </c>
      <c r="M158" t="s">
        <v>275</v>
      </c>
      <c r="N158" t="s">
        <v>114</v>
      </c>
      <c r="O158">
        <v>70.599999999999994</v>
      </c>
      <c r="P158">
        <v>130</v>
      </c>
      <c r="Q158">
        <v>6111</v>
      </c>
      <c r="R158" t="s">
        <v>191</v>
      </c>
      <c r="S158" t="s">
        <v>116</v>
      </c>
      <c r="T158" t="s">
        <v>124</v>
      </c>
      <c r="U158" t="s">
        <v>119</v>
      </c>
      <c r="V158" t="s">
        <v>173</v>
      </c>
      <c r="W158" t="s">
        <v>157</v>
      </c>
      <c r="Y158" t="s">
        <v>136</v>
      </c>
      <c r="AA158">
        <v>1</v>
      </c>
      <c r="AB158" t="s">
        <v>101</v>
      </c>
      <c r="AC158" t="s">
        <v>140</v>
      </c>
      <c r="AE158" t="str">
        <f t="shared" si="2"/>
        <v>BussShively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177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283</v>
      </c>
      <c r="F159" t="s">
        <v>272</v>
      </c>
      <c r="G159" s="27">
        <v>42573</v>
      </c>
      <c r="H159" t="s">
        <v>109</v>
      </c>
      <c r="I159" t="s">
        <v>273</v>
      </c>
      <c r="J159" t="s">
        <v>274</v>
      </c>
      <c r="K159">
        <v>9</v>
      </c>
      <c r="L159" t="s">
        <v>138</v>
      </c>
      <c r="M159" t="s">
        <v>275</v>
      </c>
      <c r="N159" t="s">
        <v>114</v>
      </c>
      <c r="O159">
        <v>70.599999999999994</v>
      </c>
      <c r="P159">
        <v>130</v>
      </c>
      <c r="Q159">
        <v>6111</v>
      </c>
      <c r="R159" t="s">
        <v>191</v>
      </c>
      <c r="S159" t="s">
        <v>116</v>
      </c>
      <c r="T159" t="s">
        <v>117</v>
      </c>
      <c r="U159" t="s">
        <v>133</v>
      </c>
      <c r="V159" t="s">
        <v>133</v>
      </c>
      <c r="W159" t="s">
        <v>171</v>
      </c>
      <c r="Y159" t="s">
        <v>177</v>
      </c>
      <c r="AA159">
        <v>1</v>
      </c>
      <c r="AB159" t="s">
        <v>101</v>
      </c>
      <c r="AC159" t="s">
        <v>140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173</v>
      </c>
      <c r="AL159">
        <v>0.44827586206896602</v>
      </c>
      <c r="AM159" t="s">
        <v>136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284</v>
      </c>
      <c r="F160" t="s">
        <v>272</v>
      </c>
      <c r="G160" s="27">
        <v>42573</v>
      </c>
      <c r="H160" t="s">
        <v>109</v>
      </c>
      <c r="I160" t="s">
        <v>273</v>
      </c>
      <c r="J160" t="s">
        <v>274</v>
      </c>
      <c r="K160">
        <v>9</v>
      </c>
      <c r="L160" t="s">
        <v>138</v>
      </c>
      <c r="M160" t="s">
        <v>275</v>
      </c>
      <c r="N160" t="s">
        <v>114</v>
      </c>
      <c r="O160">
        <v>70.599999999999994</v>
      </c>
      <c r="P160">
        <v>130</v>
      </c>
      <c r="Q160">
        <v>6111</v>
      </c>
      <c r="R160" t="s">
        <v>191</v>
      </c>
      <c r="S160" t="s">
        <v>116</v>
      </c>
      <c r="T160" t="s">
        <v>117</v>
      </c>
      <c r="U160" t="s">
        <v>133</v>
      </c>
      <c r="V160" t="s">
        <v>132</v>
      </c>
      <c r="W160" t="s">
        <v>171</v>
      </c>
      <c r="Y160" t="s">
        <v>178</v>
      </c>
      <c r="AA160">
        <v>1</v>
      </c>
      <c r="AB160" t="s">
        <v>99</v>
      </c>
      <c r="AC160" t="s">
        <v>280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234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284</v>
      </c>
      <c r="F161" t="s">
        <v>272</v>
      </c>
      <c r="G161" s="27">
        <v>42573</v>
      </c>
      <c r="H161" t="s">
        <v>109</v>
      </c>
      <c r="I161" t="s">
        <v>273</v>
      </c>
      <c r="J161" t="s">
        <v>274</v>
      </c>
      <c r="K161">
        <v>9</v>
      </c>
      <c r="L161" t="s">
        <v>138</v>
      </c>
      <c r="M161" t="s">
        <v>275</v>
      </c>
      <c r="N161" t="s">
        <v>114</v>
      </c>
      <c r="O161">
        <v>70.599999999999994</v>
      </c>
      <c r="P161">
        <v>130</v>
      </c>
      <c r="Q161">
        <v>6111</v>
      </c>
      <c r="R161" t="s">
        <v>191</v>
      </c>
      <c r="S161" t="s">
        <v>116</v>
      </c>
      <c r="T161" t="s">
        <v>124</v>
      </c>
      <c r="U161" t="s">
        <v>119</v>
      </c>
      <c r="V161" t="s">
        <v>120</v>
      </c>
      <c r="W161" t="s">
        <v>157</v>
      </c>
      <c r="Y161" t="s">
        <v>234</v>
      </c>
      <c r="AA161">
        <v>1</v>
      </c>
      <c r="AB161" t="s">
        <v>100</v>
      </c>
      <c r="AC161" t="s">
        <v>280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178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285</v>
      </c>
      <c r="F162" t="s">
        <v>272</v>
      </c>
      <c r="G162" s="27">
        <v>42573</v>
      </c>
      <c r="H162" t="s">
        <v>109</v>
      </c>
      <c r="I162" t="s">
        <v>273</v>
      </c>
      <c r="J162" t="s">
        <v>274</v>
      </c>
      <c r="K162">
        <v>9</v>
      </c>
      <c r="L162" t="s">
        <v>138</v>
      </c>
      <c r="M162" t="s">
        <v>275</v>
      </c>
      <c r="N162" t="s">
        <v>114</v>
      </c>
      <c r="O162">
        <v>70.599999999999994</v>
      </c>
      <c r="P162">
        <v>130</v>
      </c>
      <c r="Q162">
        <v>6111</v>
      </c>
      <c r="R162" t="s">
        <v>191</v>
      </c>
      <c r="S162" t="s">
        <v>116</v>
      </c>
      <c r="T162" t="s">
        <v>124</v>
      </c>
      <c r="U162" t="s">
        <v>119</v>
      </c>
      <c r="V162" t="s">
        <v>135</v>
      </c>
      <c r="W162" t="s">
        <v>157</v>
      </c>
      <c r="Y162" t="s">
        <v>230</v>
      </c>
      <c r="AA162">
        <v>1</v>
      </c>
      <c r="AB162" t="s">
        <v>99</v>
      </c>
      <c r="AC162" t="s">
        <v>267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181</v>
      </c>
      <c r="AL162">
        <v>0.44067796610169502</v>
      </c>
      <c r="AM162" t="s">
        <v>180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285</v>
      </c>
      <c r="F163" t="s">
        <v>272</v>
      </c>
      <c r="G163" s="27">
        <v>42573</v>
      </c>
      <c r="H163" t="s">
        <v>109</v>
      </c>
      <c r="I163" t="s">
        <v>273</v>
      </c>
      <c r="J163" t="s">
        <v>274</v>
      </c>
      <c r="K163">
        <v>9</v>
      </c>
      <c r="L163" t="s">
        <v>138</v>
      </c>
      <c r="M163" t="s">
        <v>275</v>
      </c>
      <c r="N163" t="s">
        <v>114</v>
      </c>
      <c r="O163">
        <v>70.599999999999994</v>
      </c>
      <c r="P163">
        <v>130</v>
      </c>
      <c r="Q163">
        <v>6111</v>
      </c>
      <c r="R163" t="s">
        <v>191</v>
      </c>
      <c r="S163" t="s">
        <v>116</v>
      </c>
      <c r="T163" t="s">
        <v>117</v>
      </c>
      <c r="U163" t="s">
        <v>133</v>
      </c>
      <c r="V163" t="s">
        <v>181</v>
      </c>
      <c r="W163" t="s">
        <v>171</v>
      </c>
      <c r="Y163" t="s">
        <v>180</v>
      </c>
      <c r="AA163">
        <v>1</v>
      </c>
      <c r="AB163" t="s">
        <v>100</v>
      </c>
      <c r="AC163" t="s">
        <v>267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135</v>
      </c>
      <c r="AL163">
        <v>0.59375</v>
      </c>
      <c r="AM163" t="s">
        <v>230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286</v>
      </c>
      <c r="F164" t="s">
        <v>272</v>
      </c>
      <c r="G164" s="27">
        <v>42573</v>
      </c>
      <c r="H164" t="s">
        <v>109</v>
      </c>
      <c r="I164" t="s">
        <v>273</v>
      </c>
      <c r="J164" t="s">
        <v>274</v>
      </c>
      <c r="K164">
        <v>9</v>
      </c>
      <c r="L164" t="s">
        <v>138</v>
      </c>
      <c r="M164" t="s">
        <v>275</v>
      </c>
      <c r="N164" t="s">
        <v>114</v>
      </c>
      <c r="O164">
        <v>70.599999999999994</v>
      </c>
      <c r="P164">
        <v>130</v>
      </c>
      <c r="Q164">
        <v>6111</v>
      </c>
      <c r="R164" t="s">
        <v>191</v>
      </c>
      <c r="S164" t="s">
        <v>116</v>
      </c>
      <c r="T164" t="s">
        <v>117</v>
      </c>
      <c r="U164" t="s">
        <v>133</v>
      </c>
      <c r="V164" t="s">
        <v>229</v>
      </c>
      <c r="W164" t="s">
        <v>171</v>
      </c>
      <c r="Y164" t="s">
        <v>233</v>
      </c>
      <c r="AA164">
        <v>1</v>
      </c>
      <c r="AB164" t="s">
        <v>99</v>
      </c>
      <c r="AC164" t="s">
        <v>260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174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286</v>
      </c>
      <c r="F165" t="s">
        <v>272</v>
      </c>
      <c r="G165" s="27">
        <v>42573</v>
      </c>
      <c r="H165" t="s">
        <v>109</v>
      </c>
      <c r="I165" t="s">
        <v>273</v>
      </c>
      <c r="J165" t="s">
        <v>274</v>
      </c>
      <c r="K165">
        <v>9</v>
      </c>
      <c r="L165" t="s">
        <v>138</v>
      </c>
      <c r="M165" t="s">
        <v>275</v>
      </c>
      <c r="N165" t="s">
        <v>114</v>
      </c>
      <c r="O165">
        <v>70.599999999999994</v>
      </c>
      <c r="P165">
        <v>130</v>
      </c>
      <c r="Q165">
        <v>6111</v>
      </c>
      <c r="R165" t="s">
        <v>191</v>
      </c>
      <c r="S165" t="s">
        <v>116</v>
      </c>
      <c r="T165" t="s">
        <v>124</v>
      </c>
      <c r="U165" t="s">
        <v>119</v>
      </c>
      <c r="V165" t="s">
        <v>174</v>
      </c>
      <c r="W165" t="s">
        <v>157</v>
      </c>
      <c r="Y165" t="s">
        <v>123</v>
      </c>
      <c r="AA165">
        <v>1</v>
      </c>
      <c r="AB165" t="s">
        <v>100</v>
      </c>
      <c r="AC165" t="s">
        <v>260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229</v>
      </c>
      <c r="AL165">
        <v>0.65476190476190499</v>
      </c>
      <c r="AM165" t="s">
        <v>233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287</v>
      </c>
      <c r="F166" t="s">
        <v>272</v>
      </c>
      <c r="G166" s="27">
        <v>42573</v>
      </c>
      <c r="H166" t="s">
        <v>145</v>
      </c>
      <c r="I166" t="s">
        <v>273</v>
      </c>
      <c r="J166" t="s">
        <v>274</v>
      </c>
      <c r="K166">
        <v>9</v>
      </c>
      <c r="L166" t="s">
        <v>112</v>
      </c>
      <c r="M166" t="s">
        <v>275</v>
      </c>
      <c r="N166" t="s">
        <v>114</v>
      </c>
      <c r="O166">
        <v>70.599999999999994</v>
      </c>
      <c r="P166">
        <v>130</v>
      </c>
      <c r="Q166">
        <v>6111</v>
      </c>
      <c r="R166" t="s">
        <v>146</v>
      </c>
      <c r="S166" t="s">
        <v>116</v>
      </c>
      <c r="T166" t="s">
        <v>117</v>
      </c>
      <c r="U166" t="s">
        <v>133</v>
      </c>
      <c r="V166" t="s">
        <v>180</v>
      </c>
      <c r="W166" t="s">
        <v>171</v>
      </c>
      <c r="Y166" t="s">
        <v>133</v>
      </c>
      <c r="AA166">
        <v>1</v>
      </c>
      <c r="AB166" t="s">
        <v>99</v>
      </c>
      <c r="AC166" t="s">
        <v>228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136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287</v>
      </c>
      <c r="F167" t="s">
        <v>272</v>
      </c>
      <c r="G167" s="27">
        <v>42573</v>
      </c>
      <c r="H167" t="s">
        <v>145</v>
      </c>
      <c r="I167" t="s">
        <v>273</v>
      </c>
      <c r="J167" t="s">
        <v>274</v>
      </c>
      <c r="K167">
        <v>9</v>
      </c>
      <c r="L167" t="s">
        <v>112</v>
      </c>
      <c r="M167" t="s">
        <v>275</v>
      </c>
      <c r="N167" t="s">
        <v>114</v>
      </c>
      <c r="O167">
        <v>70.599999999999994</v>
      </c>
      <c r="P167">
        <v>130</v>
      </c>
      <c r="Q167">
        <v>6111</v>
      </c>
      <c r="R167" t="s">
        <v>146</v>
      </c>
      <c r="S167" t="s">
        <v>116</v>
      </c>
      <c r="T167" t="s">
        <v>124</v>
      </c>
      <c r="U167" t="s">
        <v>119</v>
      </c>
      <c r="V167" t="s">
        <v>119</v>
      </c>
      <c r="W167" t="s">
        <v>157</v>
      </c>
      <c r="Y167" t="s">
        <v>136</v>
      </c>
      <c r="AA167">
        <v>1</v>
      </c>
      <c r="AB167" t="s">
        <v>100</v>
      </c>
      <c r="AC167" t="s">
        <v>228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180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288</v>
      </c>
      <c r="F168" t="s">
        <v>272</v>
      </c>
      <c r="G168" s="27">
        <v>42573</v>
      </c>
      <c r="H168" t="s">
        <v>145</v>
      </c>
      <c r="I168" t="s">
        <v>273</v>
      </c>
      <c r="J168" t="s">
        <v>274</v>
      </c>
      <c r="K168">
        <v>9</v>
      </c>
      <c r="L168" t="s">
        <v>112</v>
      </c>
      <c r="M168" t="s">
        <v>275</v>
      </c>
      <c r="N168" t="s">
        <v>114</v>
      </c>
      <c r="O168">
        <v>70.599999999999994</v>
      </c>
      <c r="P168">
        <v>130</v>
      </c>
      <c r="Q168">
        <v>6111</v>
      </c>
      <c r="R168" t="s">
        <v>146</v>
      </c>
      <c r="S168" t="s">
        <v>116</v>
      </c>
      <c r="T168" t="s">
        <v>124</v>
      </c>
      <c r="U168" t="s">
        <v>119</v>
      </c>
      <c r="V168" t="s">
        <v>173</v>
      </c>
      <c r="W168" t="s">
        <v>157</v>
      </c>
      <c r="Y168" t="s">
        <v>123</v>
      </c>
      <c r="AA168">
        <v>1</v>
      </c>
      <c r="AB168" t="s">
        <v>100</v>
      </c>
      <c r="AC168" t="s">
        <v>143</v>
      </c>
      <c r="AE168" t="str">
        <f t="shared" si="2"/>
        <v>BussLynch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178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288</v>
      </c>
      <c r="F169" t="s">
        <v>272</v>
      </c>
      <c r="G169" s="27">
        <v>42573</v>
      </c>
      <c r="H169" t="s">
        <v>145</v>
      </c>
      <c r="I169" t="s">
        <v>273</v>
      </c>
      <c r="J169" t="s">
        <v>274</v>
      </c>
      <c r="K169">
        <v>9</v>
      </c>
      <c r="L169" t="s">
        <v>112</v>
      </c>
      <c r="M169" t="s">
        <v>275</v>
      </c>
      <c r="N169" t="s">
        <v>114</v>
      </c>
      <c r="O169">
        <v>70.599999999999994</v>
      </c>
      <c r="P169">
        <v>130</v>
      </c>
      <c r="Q169">
        <v>6111</v>
      </c>
      <c r="R169" t="s">
        <v>146</v>
      </c>
      <c r="S169" t="s">
        <v>116</v>
      </c>
      <c r="T169" t="s">
        <v>117</v>
      </c>
      <c r="U169" t="s">
        <v>133</v>
      </c>
      <c r="V169" t="s">
        <v>132</v>
      </c>
      <c r="W169" t="s">
        <v>171</v>
      </c>
      <c r="Y169" t="s">
        <v>178</v>
      </c>
      <c r="AA169">
        <v>1</v>
      </c>
      <c r="AB169" t="s">
        <v>99</v>
      </c>
      <c r="AC169" t="s">
        <v>267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173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289</v>
      </c>
      <c r="F170" t="s">
        <v>272</v>
      </c>
      <c r="G170" s="27">
        <v>42573</v>
      </c>
      <c r="H170" t="s">
        <v>145</v>
      </c>
      <c r="I170" t="s">
        <v>273</v>
      </c>
      <c r="J170" t="s">
        <v>274</v>
      </c>
      <c r="K170">
        <v>9</v>
      </c>
      <c r="L170" t="s">
        <v>112</v>
      </c>
      <c r="M170" t="s">
        <v>275</v>
      </c>
      <c r="N170" t="s">
        <v>114</v>
      </c>
      <c r="O170">
        <v>70.599999999999994</v>
      </c>
      <c r="P170">
        <v>130</v>
      </c>
      <c r="Q170">
        <v>6111</v>
      </c>
      <c r="R170" t="s">
        <v>146</v>
      </c>
      <c r="S170" t="s">
        <v>116</v>
      </c>
      <c r="T170" t="s">
        <v>117</v>
      </c>
      <c r="U170" t="s">
        <v>133</v>
      </c>
      <c r="V170" t="s">
        <v>229</v>
      </c>
      <c r="W170" t="s">
        <v>171</v>
      </c>
      <c r="Y170" t="s">
        <v>233</v>
      </c>
      <c r="AA170">
        <v>1</v>
      </c>
      <c r="AB170" t="s">
        <v>101</v>
      </c>
      <c r="AC170" t="s">
        <v>290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135</v>
      </c>
      <c r="AL170">
        <v>0.59375</v>
      </c>
      <c r="AM170" t="s">
        <v>234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289</v>
      </c>
      <c r="F171" t="s">
        <v>272</v>
      </c>
      <c r="G171" s="27">
        <v>42573</v>
      </c>
      <c r="H171" t="s">
        <v>145</v>
      </c>
      <c r="I171" t="s">
        <v>273</v>
      </c>
      <c r="J171" t="s">
        <v>274</v>
      </c>
      <c r="K171">
        <v>9</v>
      </c>
      <c r="L171" t="s">
        <v>112</v>
      </c>
      <c r="M171" t="s">
        <v>275</v>
      </c>
      <c r="N171" t="s">
        <v>114</v>
      </c>
      <c r="O171">
        <v>70.599999999999994</v>
      </c>
      <c r="P171">
        <v>130</v>
      </c>
      <c r="Q171">
        <v>6111</v>
      </c>
      <c r="R171" t="s">
        <v>146</v>
      </c>
      <c r="S171" t="s">
        <v>116</v>
      </c>
      <c r="T171" t="s">
        <v>124</v>
      </c>
      <c r="U171" t="s">
        <v>119</v>
      </c>
      <c r="V171" t="s">
        <v>135</v>
      </c>
      <c r="W171" t="s">
        <v>157</v>
      </c>
      <c r="Y171" t="s">
        <v>234</v>
      </c>
      <c r="AA171">
        <v>1</v>
      </c>
      <c r="AB171" t="s">
        <v>101</v>
      </c>
      <c r="AC171" t="s">
        <v>290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229</v>
      </c>
      <c r="AL171">
        <v>0.65476190476190499</v>
      </c>
      <c r="AM171" t="s">
        <v>233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291</v>
      </c>
      <c r="F172" t="s">
        <v>272</v>
      </c>
      <c r="G172" s="27">
        <v>42573</v>
      </c>
      <c r="H172" t="s">
        <v>145</v>
      </c>
      <c r="I172" t="s">
        <v>273</v>
      </c>
      <c r="J172" t="s">
        <v>274</v>
      </c>
      <c r="K172">
        <v>9</v>
      </c>
      <c r="L172" t="s">
        <v>112</v>
      </c>
      <c r="M172" t="s">
        <v>275</v>
      </c>
      <c r="N172" t="s">
        <v>114</v>
      </c>
      <c r="O172">
        <v>70.599999999999994</v>
      </c>
      <c r="P172">
        <v>130</v>
      </c>
      <c r="Q172">
        <v>6111</v>
      </c>
      <c r="R172" t="s">
        <v>146</v>
      </c>
      <c r="S172" t="s">
        <v>116</v>
      </c>
      <c r="T172" t="s">
        <v>124</v>
      </c>
      <c r="U172" t="s">
        <v>119</v>
      </c>
      <c r="V172" t="s">
        <v>230</v>
      </c>
      <c r="W172" t="s">
        <v>157</v>
      </c>
      <c r="Y172" t="s">
        <v>276</v>
      </c>
      <c r="AA172">
        <v>1</v>
      </c>
      <c r="AB172" t="s">
        <v>100</v>
      </c>
      <c r="AC172" t="s">
        <v>292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291</v>
      </c>
      <c r="F173" t="s">
        <v>272</v>
      </c>
      <c r="G173" s="27">
        <v>42573</v>
      </c>
      <c r="H173" t="s">
        <v>145</v>
      </c>
      <c r="I173" t="s">
        <v>273</v>
      </c>
      <c r="J173" t="s">
        <v>274</v>
      </c>
      <c r="K173">
        <v>9</v>
      </c>
      <c r="L173" t="s">
        <v>112</v>
      </c>
      <c r="M173" t="s">
        <v>275</v>
      </c>
      <c r="N173" t="s">
        <v>114</v>
      </c>
      <c r="O173">
        <v>70.599999999999994</v>
      </c>
      <c r="P173">
        <v>130</v>
      </c>
      <c r="Q173">
        <v>6111</v>
      </c>
      <c r="R173" t="s">
        <v>146</v>
      </c>
      <c r="S173" t="s">
        <v>116</v>
      </c>
      <c r="T173" t="s">
        <v>117</v>
      </c>
      <c r="U173" t="s">
        <v>133</v>
      </c>
      <c r="V173" t="s">
        <v>127</v>
      </c>
      <c r="W173" t="s">
        <v>171</v>
      </c>
      <c r="Y173" t="s">
        <v>118</v>
      </c>
      <c r="AA173">
        <v>1</v>
      </c>
      <c r="AB173" t="s">
        <v>99</v>
      </c>
      <c r="AC173" t="s">
        <v>292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230</v>
      </c>
      <c r="AL173">
        <v>0.5</v>
      </c>
      <c r="AM173" t="s">
        <v>276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293</v>
      </c>
      <c r="F174" t="s">
        <v>272</v>
      </c>
      <c r="G174" s="27">
        <v>42573</v>
      </c>
      <c r="H174" t="s">
        <v>145</v>
      </c>
      <c r="I174" t="s">
        <v>273</v>
      </c>
      <c r="J174" t="s">
        <v>274</v>
      </c>
      <c r="K174">
        <v>9</v>
      </c>
      <c r="L174" t="s">
        <v>112</v>
      </c>
      <c r="M174" t="s">
        <v>275</v>
      </c>
      <c r="N174" t="s">
        <v>114</v>
      </c>
      <c r="O174">
        <v>70.599999999999994</v>
      </c>
      <c r="P174">
        <v>130</v>
      </c>
      <c r="Q174">
        <v>6111</v>
      </c>
      <c r="R174" t="s">
        <v>146</v>
      </c>
      <c r="S174" t="s">
        <v>116</v>
      </c>
      <c r="T174" t="s">
        <v>117</v>
      </c>
      <c r="U174" t="s">
        <v>133</v>
      </c>
      <c r="V174" t="s">
        <v>181</v>
      </c>
      <c r="W174" t="s">
        <v>171</v>
      </c>
      <c r="Y174" t="s">
        <v>177</v>
      </c>
      <c r="AA174">
        <v>1</v>
      </c>
      <c r="AB174" t="s">
        <v>99</v>
      </c>
      <c r="AC174" t="s">
        <v>260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174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293</v>
      </c>
      <c r="F175" t="s">
        <v>272</v>
      </c>
      <c r="G175" s="27">
        <v>42573</v>
      </c>
      <c r="H175" t="s">
        <v>145</v>
      </c>
      <c r="I175" t="s">
        <v>273</v>
      </c>
      <c r="J175" t="s">
        <v>274</v>
      </c>
      <c r="K175">
        <v>9</v>
      </c>
      <c r="L175" t="s">
        <v>112</v>
      </c>
      <c r="M175" t="s">
        <v>275</v>
      </c>
      <c r="N175" t="s">
        <v>114</v>
      </c>
      <c r="O175">
        <v>70.599999999999994</v>
      </c>
      <c r="P175">
        <v>130</v>
      </c>
      <c r="Q175">
        <v>6111</v>
      </c>
      <c r="R175" t="s">
        <v>146</v>
      </c>
      <c r="S175" t="s">
        <v>116</v>
      </c>
      <c r="T175" t="s">
        <v>124</v>
      </c>
      <c r="U175" t="s">
        <v>119</v>
      </c>
      <c r="V175" t="s">
        <v>174</v>
      </c>
      <c r="W175" t="s">
        <v>157</v>
      </c>
      <c r="Y175" t="s">
        <v>120</v>
      </c>
      <c r="AA175">
        <v>1</v>
      </c>
      <c r="AB175" t="s">
        <v>100</v>
      </c>
      <c r="AC175" t="s">
        <v>260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181</v>
      </c>
      <c r="AL175">
        <v>0.44067796610169502</v>
      </c>
      <c r="AM175" t="s">
        <v>177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294</v>
      </c>
      <c r="F176" t="s">
        <v>272</v>
      </c>
      <c r="G176" s="27">
        <v>42573</v>
      </c>
      <c r="H176" t="s">
        <v>145</v>
      </c>
      <c r="I176" t="s">
        <v>273</v>
      </c>
      <c r="J176" t="s">
        <v>274</v>
      </c>
      <c r="K176">
        <v>9</v>
      </c>
      <c r="L176" t="s">
        <v>138</v>
      </c>
      <c r="M176" t="s">
        <v>275</v>
      </c>
      <c r="N176" t="s">
        <v>114</v>
      </c>
      <c r="O176">
        <v>70.599999999999994</v>
      </c>
      <c r="P176">
        <v>130</v>
      </c>
      <c r="Q176">
        <v>6111</v>
      </c>
      <c r="R176" t="s">
        <v>199</v>
      </c>
      <c r="S176" t="s">
        <v>116</v>
      </c>
      <c r="T176" t="s">
        <v>117</v>
      </c>
      <c r="U176" t="s">
        <v>133</v>
      </c>
      <c r="V176" t="s">
        <v>180</v>
      </c>
      <c r="W176" t="s">
        <v>171</v>
      </c>
      <c r="Y176" t="s">
        <v>133</v>
      </c>
      <c r="AA176">
        <v>1</v>
      </c>
      <c r="AB176" t="s">
        <v>100</v>
      </c>
      <c r="AC176" t="s">
        <v>295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136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294</v>
      </c>
      <c r="F177" t="s">
        <v>272</v>
      </c>
      <c r="G177" s="27">
        <v>42573</v>
      </c>
      <c r="H177" t="s">
        <v>145</v>
      </c>
      <c r="I177" t="s">
        <v>273</v>
      </c>
      <c r="J177" t="s">
        <v>274</v>
      </c>
      <c r="K177">
        <v>9</v>
      </c>
      <c r="L177" t="s">
        <v>138</v>
      </c>
      <c r="M177" t="s">
        <v>275</v>
      </c>
      <c r="N177" t="s">
        <v>114</v>
      </c>
      <c r="O177">
        <v>70.599999999999994</v>
      </c>
      <c r="P177">
        <v>130</v>
      </c>
      <c r="Q177">
        <v>6111</v>
      </c>
      <c r="R177" t="s">
        <v>199</v>
      </c>
      <c r="S177" t="s">
        <v>116</v>
      </c>
      <c r="T177" t="s">
        <v>124</v>
      </c>
      <c r="U177" t="s">
        <v>119</v>
      </c>
      <c r="V177" t="s">
        <v>119</v>
      </c>
      <c r="W177" t="s">
        <v>157</v>
      </c>
      <c r="Y177" t="s">
        <v>136</v>
      </c>
      <c r="AA177">
        <v>1</v>
      </c>
      <c r="AB177" t="s">
        <v>99</v>
      </c>
      <c r="AC177" t="s">
        <v>295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180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296</v>
      </c>
      <c r="F178" t="s">
        <v>272</v>
      </c>
      <c r="G178" s="27">
        <v>42573</v>
      </c>
      <c r="H178" t="s">
        <v>145</v>
      </c>
      <c r="I178" t="s">
        <v>273</v>
      </c>
      <c r="J178" t="s">
        <v>274</v>
      </c>
      <c r="K178">
        <v>9</v>
      </c>
      <c r="L178" t="s">
        <v>138</v>
      </c>
      <c r="M178" t="s">
        <v>275</v>
      </c>
      <c r="N178" t="s">
        <v>114</v>
      </c>
      <c r="O178">
        <v>70.599999999999994</v>
      </c>
      <c r="P178">
        <v>130</v>
      </c>
      <c r="Q178">
        <v>6111</v>
      </c>
      <c r="R178" t="s">
        <v>199</v>
      </c>
      <c r="S178" t="s">
        <v>116</v>
      </c>
      <c r="T178" t="s">
        <v>124</v>
      </c>
      <c r="U178" t="s">
        <v>119</v>
      </c>
      <c r="V178" t="s">
        <v>173</v>
      </c>
      <c r="W178" t="s">
        <v>157</v>
      </c>
      <c r="Y178" t="s">
        <v>123</v>
      </c>
      <c r="AA178">
        <v>1</v>
      </c>
      <c r="AB178" t="s">
        <v>99</v>
      </c>
      <c r="AC178" t="s">
        <v>297</v>
      </c>
      <c r="AE178" t="str">
        <f t="shared" si="2"/>
        <v>BussLynch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178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296</v>
      </c>
      <c r="F179" t="s">
        <v>272</v>
      </c>
      <c r="G179" s="27">
        <v>42573</v>
      </c>
      <c r="H179" t="s">
        <v>145</v>
      </c>
      <c r="I179" t="s">
        <v>273</v>
      </c>
      <c r="J179" t="s">
        <v>274</v>
      </c>
      <c r="K179">
        <v>9</v>
      </c>
      <c r="L179" t="s">
        <v>138</v>
      </c>
      <c r="M179" t="s">
        <v>275</v>
      </c>
      <c r="N179" t="s">
        <v>114</v>
      </c>
      <c r="O179">
        <v>70.599999999999994</v>
      </c>
      <c r="P179">
        <v>130</v>
      </c>
      <c r="Q179">
        <v>6111</v>
      </c>
      <c r="R179" t="s">
        <v>199</v>
      </c>
      <c r="S179" t="s">
        <v>116</v>
      </c>
      <c r="T179" t="s">
        <v>117</v>
      </c>
      <c r="U179" t="s">
        <v>133</v>
      </c>
      <c r="V179" t="s">
        <v>132</v>
      </c>
      <c r="W179" t="s">
        <v>171</v>
      </c>
      <c r="Y179" t="s">
        <v>178</v>
      </c>
      <c r="AA179">
        <v>1</v>
      </c>
      <c r="AB179" t="s">
        <v>100</v>
      </c>
      <c r="AC179" t="s">
        <v>297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173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298</v>
      </c>
      <c r="F180" t="s">
        <v>272</v>
      </c>
      <c r="G180" s="27">
        <v>42573</v>
      </c>
      <c r="H180" t="s">
        <v>145</v>
      </c>
      <c r="I180" t="s">
        <v>273</v>
      </c>
      <c r="J180" t="s">
        <v>274</v>
      </c>
      <c r="K180">
        <v>9</v>
      </c>
      <c r="L180" t="s">
        <v>138</v>
      </c>
      <c r="M180" t="s">
        <v>275</v>
      </c>
      <c r="N180" t="s">
        <v>114</v>
      </c>
      <c r="O180">
        <v>70.599999999999994</v>
      </c>
      <c r="P180">
        <v>130</v>
      </c>
      <c r="Q180">
        <v>6111</v>
      </c>
      <c r="R180" t="s">
        <v>199</v>
      </c>
      <c r="S180" t="s">
        <v>116</v>
      </c>
      <c r="T180" t="s">
        <v>117</v>
      </c>
      <c r="U180" t="s">
        <v>133</v>
      </c>
      <c r="V180" t="s">
        <v>229</v>
      </c>
      <c r="W180" t="s">
        <v>171</v>
      </c>
      <c r="Y180" t="s">
        <v>233</v>
      </c>
      <c r="AA180">
        <v>1</v>
      </c>
      <c r="AB180" t="s">
        <v>100</v>
      </c>
      <c r="AC180" t="s">
        <v>299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135</v>
      </c>
      <c r="AL180">
        <v>0.59375</v>
      </c>
      <c r="AM180" t="s">
        <v>234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298</v>
      </c>
      <c r="F181" t="s">
        <v>272</v>
      </c>
      <c r="G181" s="27">
        <v>42573</v>
      </c>
      <c r="H181" t="s">
        <v>145</v>
      </c>
      <c r="I181" t="s">
        <v>273</v>
      </c>
      <c r="J181" t="s">
        <v>274</v>
      </c>
      <c r="K181">
        <v>9</v>
      </c>
      <c r="L181" t="s">
        <v>138</v>
      </c>
      <c r="M181" t="s">
        <v>275</v>
      </c>
      <c r="N181" t="s">
        <v>114</v>
      </c>
      <c r="O181">
        <v>70.599999999999994</v>
      </c>
      <c r="P181">
        <v>130</v>
      </c>
      <c r="Q181">
        <v>6111</v>
      </c>
      <c r="R181" t="s">
        <v>199</v>
      </c>
      <c r="S181" t="s">
        <v>116</v>
      </c>
      <c r="T181" t="s">
        <v>124</v>
      </c>
      <c r="U181" t="s">
        <v>119</v>
      </c>
      <c r="V181" t="s">
        <v>135</v>
      </c>
      <c r="W181" t="s">
        <v>157</v>
      </c>
      <c r="Y181" t="s">
        <v>234</v>
      </c>
      <c r="AA181">
        <v>1</v>
      </c>
      <c r="AB181" t="s">
        <v>99</v>
      </c>
      <c r="AC181" t="s">
        <v>299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229</v>
      </c>
      <c r="AL181">
        <v>0.65476190476190499</v>
      </c>
      <c r="AM181" t="s">
        <v>233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300</v>
      </c>
      <c r="F182" t="s">
        <v>272</v>
      </c>
      <c r="G182" s="27">
        <v>42573</v>
      </c>
      <c r="H182" t="s">
        <v>145</v>
      </c>
      <c r="I182" t="s">
        <v>273</v>
      </c>
      <c r="J182" t="s">
        <v>274</v>
      </c>
      <c r="K182">
        <v>9</v>
      </c>
      <c r="L182" t="s">
        <v>138</v>
      </c>
      <c r="M182" t="s">
        <v>275</v>
      </c>
      <c r="N182" t="s">
        <v>114</v>
      </c>
      <c r="O182">
        <v>70.599999999999994</v>
      </c>
      <c r="P182">
        <v>130</v>
      </c>
      <c r="Q182">
        <v>6111</v>
      </c>
      <c r="R182" t="s">
        <v>199</v>
      </c>
      <c r="S182" t="s">
        <v>116</v>
      </c>
      <c r="T182" t="s">
        <v>124</v>
      </c>
      <c r="U182" t="s">
        <v>119</v>
      </c>
      <c r="V182" t="s">
        <v>230</v>
      </c>
      <c r="W182" t="s">
        <v>157</v>
      </c>
      <c r="Y182" t="s">
        <v>276</v>
      </c>
      <c r="AA182">
        <v>1</v>
      </c>
      <c r="AB182" t="s">
        <v>100</v>
      </c>
      <c r="AC182" t="s">
        <v>301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300</v>
      </c>
      <c r="F183" t="s">
        <v>272</v>
      </c>
      <c r="G183" s="27">
        <v>42573</v>
      </c>
      <c r="H183" t="s">
        <v>145</v>
      </c>
      <c r="I183" t="s">
        <v>273</v>
      </c>
      <c r="J183" t="s">
        <v>274</v>
      </c>
      <c r="K183">
        <v>9</v>
      </c>
      <c r="L183" t="s">
        <v>138</v>
      </c>
      <c r="M183" t="s">
        <v>275</v>
      </c>
      <c r="N183" t="s">
        <v>114</v>
      </c>
      <c r="O183">
        <v>70.599999999999994</v>
      </c>
      <c r="P183">
        <v>130</v>
      </c>
      <c r="Q183">
        <v>6111</v>
      </c>
      <c r="R183" t="s">
        <v>199</v>
      </c>
      <c r="S183" t="s">
        <v>116</v>
      </c>
      <c r="T183" t="s">
        <v>117</v>
      </c>
      <c r="U183" t="s">
        <v>133</v>
      </c>
      <c r="V183" t="s">
        <v>127</v>
      </c>
      <c r="W183" t="s">
        <v>171</v>
      </c>
      <c r="Y183" t="s">
        <v>118</v>
      </c>
      <c r="AA183">
        <v>1</v>
      </c>
      <c r="AB183" t="s">
        <v>99</v>
      </c>
      <c r="AC183" t="s">
        <v>301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230</v>
      </c>
      <c r="AL183">
        <v>0.5</v>
      </c>
      <c r="AM183" t="s">
        <v>276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302</v>
      </c>
      <c r="F184" t="s">
        <v>272</v>
      </c>
      <c r="G184" s="27">
        <v>42573</v>
      </c>
      <c r="H184" t="s">
        <v>145</v>
      </c>
      <c r="I184" t="s">
        <v>273</v>
      </c>
      <c r="J184" t="s">
        <v>274</v>
      </c>
      <c r="K184">
        <v>9</v>
      </c>
      <c r="L184" t="s">
        <v>138</v>
      </c>
      <c r="M184" t="s">
        <v>275</v>
      </c>
      <c r="N184" t="s">
        <v>114</v>
      </c>
      <c r="O184">
        <v>70.599999999999994</v>
      </c>
      <c r="P184">
        <v>130</v>
      </c>
      <c r="Q184">
        <v>6111</v>
      </c>
      <c r="R184" t="s">
        <v>199</v>
      </c>
      <c r="S184" t="s">
        <v>116</v>
      </c>
      <c r="T184" t="s">
        <v>117</v>
      </c>
      <c r="U184" t="s">
        <v>133</v>
      </c>
      <c r="V184" t="s">
        <v>181</v>
      </c>
      <c r="W184" t="s">
        <v>171</v>
      </c>
      <c r="Y184" t="s">
        <v>177</v>
      </c>
      <c r="AA184">
        <v>1</v>
      </c>
      <c r="AB184" t="s">
        <v>99</v>
      </c>
      <c r="AC184" t="s">
        <v>303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174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302</v>
      </c>
      <c r="F185" t="s">
        <v>272</v>
      </c>
      <c r="G185" s="27">
        <v>42573</v>
      </c>
      <c r="H185" t="s">
        <v>145</v>
      </c>
      <c r="I185" t="s">
        <v>273</v>
      </c>
      <c r="J185" t="s">
        <v>274</v>
      </c>
      <c r="K185">
        <v>9</v>
      </c>
      <c r="L185" t="s">
        <v>138</v>
      </c>
      <c r="M185" t="s">
        <v>275</v>
      </c>
      <c r="N185" t="s">
        <v>114</v>
      </c>
      <c r="O185">
        <v>70.599999999999994</v>
      </c>
      <c r="P185">
        <v>130</v>
      </c>
      <c r="Q185">
        <v>6111</v>
      </c>
      <c r="R185" t="s">
        <v>199</v>
      </c>
      <c r="S185" t="s">
        <v>116</v>
      </c>
      <c r="T185" t="s">
        <v>124</v>
      </c>
      <c r="U185" t="s">
        <v>119</v>
      </c>
      <c r="V185" t="s">
        <v>174</v>
      </c>
      <c r="W185" t="s">
        <v>157</v>
      </c>
      <c r="Y185" t="s">
        <v>120</v>
      </c>
      <c r="AA185">
        <v>1</v>
      </c>
      <c r="AB185" t="s">
        <v>100</v>
      </c>
      <c r="AC185" t="s">
        <v>303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181</v>
      </c>
      <c r="AL185">
        <v>0.44067796610169502</v>
      </c>
      <c r="AM185" t="s">
        <v>177</v>
      </c>
      <c r="AN185">
        <v>0.5</v>
      </c>
    </row>
    <row r="186" spans="2:40" ht="15" customHeight="1" x14ac:dyDescent="0.2">
      <c r="B186" t="s">
        <v>304</v>
      </c>
      <c r="D186">
        <v>4</v>
      </c>
      <c r="E186" t="s">
        <v>305</v>
      </c>
      <c r="F186" t="s">
        <v>272</v>
      </c>
      <c r="G186" s="27">
        <v>42573</v>
      </c>
      <c r="H186" t="s">
        <v>145</v>
      </c>
      <c r="I186" t="s">
        <v>273</v>
      </c>
      <c r="J186" t="s">
        <v>274</v>
      </c>
      <c r="K186">
        <v>6</v>
      </c>
      <c r="L186" t="s">
        <v>306</v>
      </c>
      <c r="M186" t="s">
        <v>275</v>
      </c>
      <c r="N186" t="s">
        <v>114</v>
      </c>
      <c r="O186">
        <v>70.599999999999994</v>
      </c>
      <c r="P186">
        <v>130</v>
      </c>
      <c r="Q186">
        <v>6111</v>
      </c>
      <c r="R186" t="s">
        <v>307</v>
      </c>
      <c r="S186" t="s">
        <v>307</v>
      </c>
      <c r="T186" t="s">
        <v>117</v>
      </c>
      <c r="U186" t="s">
        <v>133</v>
      </c>
      <c r="V186" t="s">
        <v>132</v>
      </c>
      <c r="W186" t="s">
        <v>171</v>
      </c>
      <c r="AA186">
        <v>0.5</v>
      </c>
      <c r="AB186" t="s">
        <v>99</v>
      </c>
      <c r="AC186" t="s">
        <v>308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304</v>
      </c>
      <c r="D187">
        <v>4</v>
      </c>
      <c r="E187" t="s">
        <v>305</v>
      </c>
      <c r="F187" t="s">
        <v>272</v>
      </c>
      <c r="G187" s="27">
        <v>42573</v>
      </c>
      <c r="H187" t="s">
        <v>145</v>
      </c>
      <c r="I187" t="s">
        <v>273</v>
      </c>
      <c r="J187" t="s">
        <v>274</v>
      </c>
      <c r="K187">
        <v>6</v>
      </c>
      <c r="L187" t="s">
        <v>306</v>
      </c>
      <c r="M187" t="s">
        <v>275</v>
      </c>
      <c r="N187" t="s">
        <v>114</v>
      </c>
      <c r="O187">
        <v>70.599999999999994</v>
      </c>
      <c r="P187">
        <v>130</v>
      </c>
      <c r="Q187">
        <v>6111</v>
      </c>
      <c r="R187" t="s">
        <v>307</v>
      </c>
      <c r="S187" t="s">
        <v>307</v>
      </c>
      <c r="T187" t="s">
        <v>117</v>
      </c>
      <c r="U187" t="s">
        <v>133</v>
      </c>
      <c r="V187" t="s">
        <v>118</v>
      </c>
      <c r="W187" t="s">
        <v>171</v>
      </c>
      <c r="AA187">
        <v>0.5</v>
      </c>
      <c r="AB187" t="s">
        <v>99</v>
      </c>
      <c r="AC187" t="s">
        <v>308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304</v>
      </c>
      <c r="D188">
        <v>4</v>
      </c>
      <c r="E188" t="s">
        <v>305</v>
      </c>
      <c r="F188" t="s">
        <v>272</v>
      </c>
      <c r="G188" s="27">
        <v>42573</v>
      </c>
      <c r="H188" t="s">
        <v>145</v>
      </c>
      <c r="I188" t="s">
        <v>273</v>
      </c>
      <c r="J188" t="s">
        <v>274</v>
      </c>
      <c r="K188">
        <v>6</v>
      </c>
      <c r="L188" t="s">
        <v>306</v>
      </c>
      <c r="M188" t="s">
        <v>275</v>
      </c>
      <c r="N188" t="s">
        <v>114</v>
      </c>
      <c r="O188">
        <v>70.599999999999994</v>
      </c>
      <c r="P188">
        <v>130</v>
      </c>
      <c r="Q188">
        <v>6111</v>
      </c>
      <c r="R188" t="s">
        <v>307</v>
      </c>
      <c r="S188" t="s">
        <v>307</v>
      </c>
      <c r="T188" t="s">
        <v>117</v>
      </c>
      <c r="U188" t="s">
        <v>133</v>
      </c>
      <c r="V188" t="s">
        <v>177</v>
      </c>
      <c r="W188" t="s">
        <v>171</v>
      </c>
      <c r="AA188">
        <v>0.5</v>
      </c>
      <c r="AB188" t="s">
        <v>99</v>
      </c>
      <c r="AC188" t="s">
        <v>308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304</v>
      </c>
      <c r="D189">
        <v>4</v>
      </c>
      <c r="E189" t="s">
        <v>305</v>
      </c>
      <c r="F189" t="s">
        <v>272</v>
      </c>
      <c r="G189" s="27">
        <v>42573</v>
      </c>
      <c r="H189" t="s">
        <v>145</v>
      </c>
      <c r="I189" t="s">
        <v>273</v>
      </c>
      <c r="J189" t="s">
        <v>274</v>
      </c>
      <c r="K189">
        <v>6</v>
      </c>
      <c r="L189" t="s">
        <v>306</v>
      </c>
      <c r="M189" t="s">
        <v>275</v>
      </c>
      <c r="N189" t="s">
        <v>114</v>
      </c>
      <c r="O189">
        <v>70.599999999999994</v>
      </c>
      <c r="P189">
        <v>130</v>
      </c>
      <c r="Q189">
        <v>6111</v>
      </c>
      <c r="R189" t="s">
        <v>307</v>
      </c>
      <c r="S189" t="s">
        <v>307</v>
      </c>
      <c r="T189" t="s">
        <v>117</v>
      </c>
      <c r="U189" t="s">
        <v>133</v>
      </c>
      <c r="V189" t="s">
        <v>127</v>
      </c>
      <c r="W189" t="s">
        <v>171</v>
      </c>
      <c r="AA189">
        <v>0.5</v>
      </c>
      <c r="AB189" t="s">
        <v>99</v>
      </c>
      <c r="AC189" t="s">
        <v>308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304</v>
      </c>
      <c r="D190">
        <v>4</v>
      </c>
      <c r="E190" t="s">
        <v>305</v>
      </c>
      <c r="F190" t="s">
        <v>272</v>
      </c>
      <c r="G190" s="27">
        <v>42573</v>
      </c>
      <c r="H190" t="s">
        <v>145</v>
      </c>
      <c r="I190" t="s">
        <v>273</v>
      </c>
      <c r="J190" t="s">
        <v>274</v>
      </c>
      <c r="K190">
        <v>6</v>
      </c>
      <c r="L190" t="s">
        <v>306</v>
      </c>
      <c r="M190" t="s">
        <v>275</v>
      </c>
      <c r="N190" t="s">
        <v>114</v>
      </c>
      <c r="O190">
        <v>70.599999999999994</v>
      </c>
      <c r="P190">
        <v>130</v>
      </c>
      <c r="Q190">
        <v>6111</v>
      </c>
      <c r="R190" t="s">
        <v>307</v>
      </c>
      <c r="S190" t="s">
        <v>307</v>
      </c>
      <c r="T190" t="s">
        <v>117</v>
      </c>
      <c r="U190" t="s">
        <v>133</v>
      </c>
      <c r="V190" t="s">
        <v>229</v>
      </c>
      <c r="W190" t="s">
        <v>171</v>
      </c>
      <c r="AA190">
        <v>0.5</v>
      </c>
      <c r="AB190" t="s">
        <v>99</v>
      </c>
      <c r="AC190" t="s">
        <v>308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304</v>
      </c>
      <c r="D191">
        <v>4</v>
      </c>
      <c r="E191" t="s">
        <v>305</v>
      </c>
      <c r="F191" t="s">
        <v>272</v>
      </c>
      <c r="G191" s="27">
        <v>42573</v>
      </c>
      <c r="H191" t="s">
        <v>145</v>
      </c>
      <c r="I191" t="s">
        <v>273</v>
      </c>
      <c r="J191" t="s">
        <v>274</v>
      </c>
      <c r="K191">
        <v>6</v>
      </c>
      <c r="L191" t="s">
        <v>306</v>
      </c>
      <c r="M191" t="s">
        <v>275</v>
      </c>
      <c r="N191" t="s">
        <v>114</v>
      </c>
      <c r="O191">
        <v>70.599999999999994</v>
      </c>
      <c r="P191">
        <v>130</v>
      </c>
      <c r="Q191">
        <v>6111</v>
      </c>
      <c r="R191" t="s">
        <v>307</v>
      </c>
      <c r="S191" t="s">
        <v>307</v>
      </c>
      <c r="T191" t="s">
        <v>117</v>
      </c>
      <c r="U191" t="s">
        <v>133</v>
      </c>
      <c r="V191" t="s">
        <v>180</v>
      </c>
      <c r="W191" t="s">
        <v>171</v>
      </c>
      <c r="AA191">
        <v>0.5</v>
      </c>
      <c r="AB191" t="s">
        <v>99</v>
      </c>
      <c r="AC191" t="s">
        <v>308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304</v>
      </c>
      <c r="D192">
        <v>4</v>
      </c>
      <c r="E192" t="s">
        <v>305</v>
      </c>
      <c r="F192" t="s">
        <v>272</v>
      </c>
      <c r="G192" s="27">
        <v>42573</v>
      </c>
      <c r="H192" t="s">
        <v>145</v>
      </c>
      <c r="I192" t="s">
        <v>273</v>
      </c>
      <c r="J192" t="s">
        <v>274</v>
      </c>
      <c r="K192">
        <v>6</v>
      </c>
      <c r="L192" t="s">
        <v>306</v>
      </c>
      <c r="M192" t="s">
        <v>275</v>
      </c>
      <c r="N192" t="s">
        <v>114</v>
      </c>
      <c r="O192">
        <v>70.599999999999994</v>
      </c>
      <c r="P192">
        <v>130</v>
      </c>
      <c r="Q192">
        <v>6111</v>
      </c>
      <c r="R192" t="s">
        <v>307</v>
      </c>
      <c r="S192" t="s">
        <v>307</v>
      </c>
      <c r="T192" t="s">
        <v>117</v>
      </c>
      <c r="U192" t="s">
        <v>133</v>
      </c>
      <c r="V192" t="s">
        <v>181</v>
      </c>
      <c r="W192" t="s">
        <v>171</v>
      </c>
      <c r="AA192">
        <v>0.5</v>
      </c>
      <c r="AB192" t="s">
        <v>99</v>
      </c>
      <c r="AC192" t="s">
        <v>308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304</v>
      </c>
      <c r="D193">
        <v>4</v>
      </c>
      <c r="E193" t="s">
        <v>305</v>
      </c>
      <c r="F193" t="s">
        <v>272</v>
      </c>
      <c r="G193" s="27">
        <v>42573</v>
      </c>
      <c r="H193" t="s">
        <v>145</v>
      </c>
      <c r="I193" t="s">
        <v>273</v>
      </c>
      <c r="J193" t="s">
        <v>274</v>
      </c>
      <c r="K193">
        <v>6</v>
      </c>
      <c r="L193" t="s">
        <v>306</v>
      </c>
      <c r="M193" t="s">
        <v>275</v>
      </c>
      <c r="N193" t="s">
        <v>114</v>
      </c>
      <c r="O193">
        <v>70.599999999999994</v>
      </c>
      <c r="P193">
        <v>130</v>
      </c>
      <c r="Q193">
        <v>6111</v>
      </c>
      <c r="R193" t="s">
        <v>307</v>
      </c>
      <c r="S193" t="s">
        <v>307</v>
      </c>
      <c r="T193" t="s">
        <v>117</v>
      </c>
      <c r="U193" t="s">
        <v>133</v>
      </c>
      <c r="V193" t="s">
        <v>178</v>
      </c>
      <c r="W193" t="s">
        <v>171</v>
      </c>
      <c r="AA193">
        <v>0.5</v>
      </c>
      <c r="AB193" t="s">
        <v>99</v>
      </c>
      <c r="AC193" t="s">
        <v>308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304</v>
      </c>
      <c r="D194">
        <v>4</v>
      </c>
      <c r="E194" t="s">
        <v>305</v>
      </c>
      <c r="F194" t="s">
        <v>272</v>
      </c>
      <c r="G194" s="27">
        <v>42573</v>
      </c>
      <c r="H194" t="s">
        <v>145</v>
      </c>
      <c r="I194" t="s">
        <v>273</v>
      </c>
      <c r="J194" t="s">
        <v>274</v>
      </c>
      <c r="K194">
        <v>6</v>
      </c>
      <c r="L194" t="s">
        <v>306</v>
      </c>
      <c r="M194" t="s">
        <v>275</v>
      </c>
      <c r="N194" t="s">
        <v>114</v>
      </c>
      <c r="O194">
        <v>70.599999999999994</v>
      </c>
      <c r="P194">
        <v>130</v>
      </c>
      <c r="Q194">
        <v>6111</v>
      </c>
      <c r="R194" t="s">
        <v>307</v>
      </c>
      <c r="S194" t="s">
        <v>307</v>
      </c>
      <c r="T194" t="s">
        <v>117</v>
      </c>
      <c r="U194" t="s">
        <v>133</v>
      </c>
      <c r="V194" t="s">
        <v>233</v>
      </c>
      <c r="W194" t="s">
        <v>171</v>
      </c>
      <c r="AA194">
        <v>0.5</v>
      </c>
      <c r="AB194" t="s">
        <v>99</v>
      </c>
      <c r="AC194" t="s">
        <v>308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304</v>
      </c>
      <c r="D195">
        <v>4</v>
      </c>
      <c r="E195" t="s">
        <v>305</v>
      </c>
      <c r="F195" t="s">
        <v>272</v>
      </c>
      <c r="G195" s="27">
        <v>42573</v>
      </c>
      <c r="H195" t="s">
        <v>145</v>
      </c>
      <c r="I195" t="s">
        <v>273</v>
      </c>
      <c r="J195" t="s">
        <v>274</v>
      </c>
      <c r="K195">
        <v>6</v>
      </c>
      <c r="L195" t="s">
        <v>306</v>
      </c>
      <c r="M195" t="s">
        <v>275</v>
      </c>
      <c r="N195" t="s">
        <v>114</v>
      </c>
      <c r="O195">
        <v>70.599999999999994</v>
      </c>
      <c r="P195">
        <v>130</v>
      </c>
      <c r="Q195">
        <v>6111</v>
      </c>
      <c r="R195" t="s">
        <v>307</v>
      </c>
      <c r="S195" t="s">
        <v>307</v>
      </c>
      <c r="T195" t="s">
        <v>117</v>
      </c>
      <c r="U195" t="s">
        <v>133</v>
      </c>
      <c r="V195" t="s">
        <v>133</v>
      </c>
      <c r="W195" t="s">
        <v>171</v>
      </c>
      <c r="AA195">
        <v>0.5</v>
      </c>
      <c r="AB195" t="s">
        <v>99</v>
      </c>
      <c r="AC195" t="s">
        <v>308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304</v>
      </c>
      <c r="D196">
        <v>4</v>
      </c>
      <c r="E196" t="s">
        <v>305</v>
      </c>
      <c r="F196" t="s">
        <v>272</v>
      </c>
      <c r="G196" s="27">
        <v>42573</v>
      </c>
      <c r="H196" t="s">
        <v>145</v>
      </c>
      <c r="I196" t="s">
        <v>273</v>
      </c>
      <c r="J196" t="s">
        <v>274</v>
      </c>
      <c r="K196">
        <v>6</v>
      </c>
      <c r="L196" t="s">
        <v>306</v>
      </c>
      <c r="M196" t="s">
        <v>275</v>
      </c>
      <c r="N196" t="s">
        <v>114</v>
      </c>
      <c r="O196">
        <v>70.599999999999994</v>
      </c>
      <c r="P196">
        <v>130</v>
      </c>
      <c r="Q196">
        <v>6111</v>
      </c>
      <c r="R196" t="s">
        <v>307</v>
      </c>
      <c r="S196" t="s">
        <v>307</v>
      </c>
      <c r="T196" t="s">
        <v>124</v>
      </c>
      <c r="U196" t="s">
        <v>119</v>
      </c>
      <c r="V196" t="s">
        <v>119</v>
      </c>
      <c r="W196" t="s">
        <v>157</v>
      </c>
      <c r="AA196">
        <v>0.5</v>
      </c>
      <c r="AB196" t="s">
        <v>100</v>
      </c>
      <c r="AC196" t="s">
        <v>308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304</v>
      </c>
      <c r="D197">
        <v>4</v>
      </c>
      <c r="E197" t="s">
        <v>305</v>
      </c>
      <c r="F197" t="s">
        <v>272</v>
      </c>
      <c r="G197" s="27">
        <v>42573</v>
      </c>
      <c r="H197" t="s">
        <v>145</v>
      </c>
      <c r="I197" t="s">
        <v>273</v>
      </c>
      <c r="J197" t="s">
        <v>274</v>
      </c>
      <c r="K197">
        <v>6</v>
      </c>
      <c r="L197" t="s">
        <v>306</v>
      </c>
      <c r="M197" t="s">
        <v>275</v>
      </c>
      <c r="N197" t="s">
        <v>114</v>
      </c>
      <c r="O197">
        <v>70.599999999999994</v>
      </c>
      <c r="P197">
        <v>130</v>
      </c>
      <c r="Q197">
        <v>6111</v>
      </c>
      <c r="R197" t="s">
        <v>307</v>
      </c>
      <c r="S197" t="s">
        <v>307</v>
      </c>
      <c r="T197" t="s">
        <v>124</v>
      </c>
      <c r="U197" t="s">
        <v>119</v>
      </c>
      <c r="V197" t="s">
        <v>230</v>
      </c>
      <c r="W197" t="s">
        <v>157</v>
      </c>
      <c r="AA197">
        <v>0.5</v>
      </c>
      <c r="AB197" t="s">
        <v>100</v>
      </c>
      <c r="AC197" t="s">
        <v>308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304</v>
      </c>
      <c r="D198">
        <v>4</v>
      </c>
      <c r="E198" t="s">
        <v>305</v>
      </c>
      <c r="F198" t="s">
        <v>272</v>
      </c>
      <c r="G198" s="27">
        <v>42573</v>
      </c>
      <c r="H198" t="s">
        <v>145</v>
      </c>
      <c r="I198" t="s">
        <v>273</v>
      </c>
      <c r="J198" t="s">
        <v>274</v>
      </c>
      <c r="K198">
        <v>6</v>
      </c>
      <c r="L198" t="s">
        <v>306</v>
      </c>
      <c r="M198" t="s">
        <v>275</v>
      </c>
      <c r="N198" t="s">
        <v>114</v>
      </c>
      <c r="O198">
        <v>70.599999999999994</v>
      </c>
      <c r="P198">
        <v>130</v>
      </c>
      <c r="Q198">
        <v>6111</v>
      </c>
      <c r="R198" t="s">
        <v>307</v>
      </c>
      <c r="S198" t="s">
        <v>307</v>
      </c>
      <c r="T198" t="s">
        <v>124</v>
      </c>
      <c r="U198" t="s">
        <v>119</v>
      </c>
      <c r="V198" t="s">
        <v>276</v>
      </c>
      <c r="W198" t="s">
        <v>157</v>
      </c>
      <c r="AA198">
        <v>0.5</v>
      </c>
      <c r="AB198" t="s">
        <v>100</v>
      </c>
      <c r="AC198" t="s">
        <v>308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304</v>
      </c>
      <c r="D199">
        <v>4</v>
      </c>
      <c r="E199" t="s">
        <v>305</v>
      </c>
      <c r="F199" t="s">
        <v>272</v>
      </c>
      <c r="G199" s="27">
        <v>42573</v>
      </c>
      <c r="H199" t="s">
        <v>145</v>
      </c>
      <c r="I199" t="s">
        <v>273</v>
      </c>
      <c r="J199" t="s">
        <v>274</v>
      </c>
      <c r="K199">
        <v>6</v>
      </c>
      <c r="L199" t="s">
        <v>306</v>
      </c>
      <c r="M199" t="s">
        <v>275</v>
      </c>
      <c r="N199" t="s">
        <v>114</v>
      </c>
      <c r="O199">
        <v>70.599999999999994</v>
      </c>
      <c r="P199">
        <v>130</v>
      </c>
      <c r="Q199">
        <v>6111</v>
      </c>
      <c r="R199" t="s">
        <v>307</v>
      </c>
      <c r="S199" t="s">
        <v>307</v>
      </c>
      <c r="T199" t="s">
        <v>124</v>
      </c>
      <c r="U199" t="s">
        <v>119</v>
      </c>
      <c r="V199" t="s">
        <v>135</v>
      </c>
      <c r="W199" t="s">
        <v>157</v>
      </c>
      <c r="AA199">
        <v>0.5</v>
      </c>
      <c r="AB199" t="s">
        <v>100</v>
      </c>
      <c r="AC199" t="s">
        <v>308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304</v>
      </c>
      <c r="D200">
        <v>4</v>
      </c>
      <c r="E200" t="s">
        <v>305</v>
      </c>
      <c r="F200" t="s">
        <v>272</v>
      </c>
      <c r="G200" s="27">
        <v>42573</v>
      </c>
      <c r="H200" t="s">
        <v>145</v>
      </c>
      <c r="I200" t="s">
        <v>273</v>
      </c>
      <c r="J200" t="s">
        <v>274</v>
      </c>
      <c r="K200">
        <v>6</v>
      </c>
      <c r="L200" t="s">
        <v>306</v>
      </c>
      <c r="M200" t="s">
        <v>275</v>
      </c>
      <c r="N200" t="s">
        <v>114</v>
      </c>
      <c r="O200">
        <v>70.599999999999994</v>
      </c>
      <c r="P200">
        <v>130</v>
      </c>
      <c r="Q200">
        <v>6111</v>
      </c>
      <c r="R200" t="s">
        <v>307</v>
      </c>
      <c r="S200" t="s">
        <v>307</v>
      </c>
      <c r="T200" t="s">
        <v>124</v>
      </c>
      <c r="U200" t="s">
        <v>119</v>
      </c>
      <c r="V200" t="s">
        <v>120</v>
      </c>
      <c r="W200" t="s">
        <v>157</v>
      </c>
      <c r="AA200">
        <v>0.5</v>
      </c>
      <c r="AB200" t="s">
        <v>100</v>
      </c>
      <c r="AC200" t="s">
        <v>308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304</v>
      </c>
      <c r="D201">
        <v>4</v>
      </c>
      <c r="E201" t="s">
        <v>305</v>
      </c>
      <c r="F201" t="s">
        <v>272</v>
      </c>
      <c r="G201" s="27">
        <v>42573</v>
      </c>
      <c r="H201" t="s">
        <v>145</v>
      </c>
      <c r="I201" t="s">
        <v>273</v>
      </c>
      <c r="J201" t="s">
        <v>274</v>
      </c>
      <c r="K201">
        <v>6</v>
      </c>
      <c r="L201" t="s">
        <v>306</v>
      </c>
      <c r="M201" t="s">
        <v>275</v>
      </c>
      <c r="N201" t="s">
        <v>114</v>
      </c>
      <c r="O201">
        <v>70.599999999999994</v>
      </c>
      <c r="P201">
        <v>130</v>
      </c>
      <c r="Q201">
        <v>6111</v>
      </c>
      <c r="R201" t="s">
        <v>307</v>
      </c>
      <c r="S201" t="s">
        <v>307</v>
      </c>
      <c r="T201" t="s">
        <v>124</v>
      </c>
      <c r="U201" t="s">
        <v>119</v>
      </c>
      <c r="V201" t="s">
        <v>234</v>
      </c>
      <c r="W201" t="s">
        <v>157</v>
      </c>
      <c r="AA201">
        <v>0.5</v>
      </c>
      <c r="AB201" t="s">
        <v>100</v>
      </c>
      <c r="AC201" t="s">
        <v>308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304</v>
      </c>
      <c r="D202">
        <v>4</v>
      </c>
      <c r="E202" t="s">
        <v>305</v>
      </c>
      <c r="F202" t="s">
        <v>272</v>
      </c>
      <c r="G202" s="27">
        <v>42573</v>
      </c>
      <c r="H202" t="s">
        <v>145</v>
      </c>
      <c r="I202" t="s">
        <v>273</v>
      </c>
      <c r="J202" t="s">
        <v>274</v>
      </c>
      <c r="K202">
        <v>6</v>
      </c>
      <c r="L202" t="s">
        <v>306</v>
      </c>
      <c r="M202" t="s">
        <v>275</v>
      </c>
      <c r="N202" t="s">
        <v>114</v>
      </c>
      <c r="O202">
        <v>70.599999999999994</v>
      </c>
      <c r="P202">
        <v>130</v>
      </c>
      <c r="Q202">
        <v>6111</v>
      </c>
      <c r="R202" t="s">
        <v>307</v>
      </c>
      <c r="S202" t="s">
        <v>307</v>
      </c>
      <c r="T202" t="s">
        <v>124</v>
      </c>
      <c r="U202" t="s">
        <v>119</v>
      </c>
      <c r="V202" t="s">
        <v>123</v>
      </c>
      <c r="W202" t="s">
        <v>157</v>
      </c>
      <c r="AA202">
        <v>0.5</v>
      </c>
      <c r="AB202" t="s">
        <v>100</v>
      </c>
      <c r="AC202" t="s">
        <v>308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304</v>
      </c>
      <c r="D203">
        <v>4</v>
      </c>
      <c r="E203" t="s">
        <v>305</v>
      </c>
      <c r="F203" t="s">
        <v>272</v>
      </c>
      <c r="G203" s="27">
        <v>42573</v>
      </c>
      <c r="H203" t="s">
        <v>145</v>
      </c>
      <c r="I203" t="s">
        <v>273</v>
      </c>
      <c r="J203" t="s">
        <v>274</v>
      </c>
      <c r="K203">
        <v>6</v>
      </c>
      <c r="L203" t="s">
        <v>306</v>
      </c>
      <c r="M203" t="s">
        <v>275</v>
      </c>
      <c r="N203" t="s">
        <v>114</v>
      </c>
      <c r="O203">
        <v>70.599999999999994</v>
      </c>
      <c r="P203">
        <v>130</v>
      </c>
      <c r="Q203">
        <v>6111</v>
      </c>
      <c r="R203" t="s">
        <v>307</v>
      </c>
      <c r="S203" t="s">
        <v>307</v>
      </c>
      <c r="T203" t="s">
        <v>124</v>
      </c>
      <c r="U203" t="s">
        <v>119</v>
      </c>
      <c r="V203" t="s">
        <v>174</v>
      </c>
      <c r="W203" t="s">
        <v>157</v>
      </c>
      <c r="AA203">
        <v>0.5</v>
      </c>
      <c r="AB203" t="s">
        <v>100</v>
      </c>
      <c r="AC203" t="s">
        <v>308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304</v>
      </c>
      <c r="D204">
        <v>4</v>
      </c>
      <c r="E204" t="s">
        <v>305</v>
      </c>
      <c r="F204" t="s">
        <v>272</v>
      </c>
      <c r="G204" s="27">
        <v>42573</v>
      </c>
      <c r="H204" t="s">
        <v>145</v>
      </c>
      <c r="I204" t="s">
        <v>273</v>
      </c>
      <c r="J204" t="s">
        <v>274</v>
      </c>
      <c r="K204">
        <v>6</v>
      </c>
      <c r="L204" t="s">
        <v>306</v>
      </c>
      <c r="M204" t="s">
        <v>275</v>
      </c>
      <c r="N204" t="s">
        <v>114</v>
      </c>
      <c r="O204">
        <v>70.599999999999994</v>
      </c>
      <c r="P204">
        <v>130</v>
      </c>
      <c r="Q204">
        <v>6111</v>
      </c>
      <c r="R204" t="s">
        <v>307</v>
      </c>
      <c r="S204" t="s">
        <v>307</v>
      </c>
      <c r="T204" t="s">
        <v>124</v>
      </c>
      <c r="U204" t="s">
        <v>119</v>
      </c>
      <c r="V204" t="s">
        <v>136</v>
      </c>
      <c r="W204" t="s">
        <v>157</v>
      </c>
      <c r="AA204">
        <v>0.5</v>
      </c>
      <c r="AB204" t="s">
        <v>100</v>
      </c>
      <c r="AC204" t="s">
        <v>308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304</v>
      </c>
      <c r="D205">
        <v>4</v>
      </c>
      <c r="E205" t="s">
        <v>305</v>
      </c>
      <c r="F205" t="s">
        <v>272</v>
      </c>
      <c r="G205" s="27">
        <v>42573</v>
      </c>
      <c r="H205" t="s">
        <v>145</v>
      </c>
      <c r="I205" t="s">
        <v>273</v>
      </c>
      <c r="J205" t="s">
        <v>274</v>
      </c>
      <c r="K205">
        <v>6</v>
      </c>
      <c r="L205" t="s">
        <v>306</v>
      </c>
      <c r="M205" t="s">
        <v>275</v>
      </c>
      <c r="N205" t="s">
        <v>114</v>
      </c>
      <c r="O205">
        <v>70.599999999999994</v>
      </c>
      <c r="P205">
        <v>130</v>
      </c>
      <c r="Q205">
        <v>6111</v>
      </c>
      <c r="R205" t="s">
        <v>307</v>
      </c>
      <c r="S205" t="s">
        <v>307</v>
      </c>
      <c r="T205" t="s">
        <v>124</v>
      </c>
      <c r="U205" t="s">
        <v>119</v>
      </c>
      <c r="V205" t="s">
        <v>173</v>
      </c>
      <c r="W205" t="s">
        <v>157</v>
      </c>
      <c r="AA205">
        <v>0.5</v>
      </c>
      <c r="AB205" t="s">
        <v>100</v>
      </c>
      <c r="AC205" t="s">
        <v>308</v>
      </c>
      <c r="AE205" t="str">
        <f t="shared" si="3"/>
        <v>Buss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309</v>
      </c>
      <c r="F206" t="s">
        <v>108</v>
      </c>
      <c r="G206" s="27">
        <v>42574</v>
      </c>
      <c r="H206" t="s">
        <v>109</v>
      </c>
      <c r="I206" t="s">
        <v>273</v>
      </c>
      <c r="J206" t="s">
        <v>274</v>
      </c>
      <c r="K206">
        <v>18</v>
      </c>
      <c r="L206" t="s">
        <v>155</v>
      </c>
      <c r="M206" t="s">
        <v>310</v>
      </c>
      <c r="N206" t="s">
        <v>310</v>
      </c>
      <c r="O206">
        <v>72.3</v>
      </c>
      <c r="P206">
        <v>132</v>
      </c>
      <c r="Q206">
        <v>6517</v>
      </c>
      <c r="R206" t="s">
        <v>158</v>
      </c>
      <c r="S206" t="s">
        <v>159</v>
      </c>
      <c r="T206" t="s">
        <v>117</v>
      </c>
      <c r="U206" t="s">
        <v>133</v>
      </c>
      <c r="V206" t="s">
        <v>229</v>
      </c>
      <c r="W206" t="s">
        <v>114</v>
      </c>
      <c r="AA206">
        <v>2</v>
      </c>
      <c r="AB206" t="s">
        <v>99</v>
      </c>
      <c r="AC206" t="s">
        <v>228</v>
      </c>
      <c r="AD206" t="s">
        <v>135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135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311</v>
      </c>
      <c r="F207" t="s">
        <v>108</v>
      </c>
      <c r="G207" s="27">
        <v>42574</v>
      </c>
      <c r="H207" t="s">
        <v>109</v>
      </c>
      <c r="I207" t="s">
        <v>273</v>
      </c>
      <c r="J207" t="s">
        <v>274</v>
      </c>
      <c r="K207">
        <v>18</v>
      </c>
      <c r="L207" t="s">
        <v>155</v>
      </c>
      <c r="M207" t="s">
        <v>310</v>
      </c>
      <c r="N207" t="s">
        <v>310</v>
      </c>
      <c r="O207">
        <v>72.3</v>
      </c>
      <c r="P207">
        <v>132</v>
      </c>
      <c r="Q207">
        <v>6517</v>
      </c>
      <c r="R207" t="s">
        <v>158</v>
      </c>
      <c r="S207" t="s">
        <v>159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228</v>
      </c>
      <c r="AD207" t="s">
        <v>276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276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312</v>
      </c>
      <c r="F208" t="s">
        <v>108</v>
      </c>
      <c r="G208" s="27">
        <v>42574</v>
      </c>
      <c r="H208" t="s">
        <v>109</v>
      </c>
      <c r="I208" t="s">
        <v>273</v>
      </c>
      <c r="J208" t="s">
        <v>274</v>
      </c>
      <c r="K208">
        <v>18</v>
      </c>
      <c r="L208" t="s">
        <v>155</v>
      </c>
      <c r="M208" t="s">
        <v>310</v>
      </c>
      <c r="N208" t="s">
        <v>310</v>
      </c>
      <c r="O208">
        <v>72.3</v>
      </c>
      <c r="P208">
        <v>132</v>
      </c>
      <c r="Q208">
        <v>6517</v>
      </c>
      <c r="R208" t="s">
        <v>158</v>
      </c>
      <c r="S208" t="s">
        <v>159</v>
      </c>
      <c r="T208" t="s">
        <v>117</v>
      </c>
      <c r="U208" t="s">
        <v>133</v>
      </c>
      <c r="V208" t="s">
        <v>177</v>
      </c>
      <c r="W208" t="s">
        <v>114</v>
      </c>
      <c r="AA208">
        <v>2</v>
      </c>
      <c r="AB208" t="s">
        <v>100</v>
      </c>
      <c r="AC208" t="s">
        <v>313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314</v>
      </c>
      <c r="F209" t="s">
        <v>108</v>
      </c>
      <c r="G209" s="27">
        <v>42574</v>
      </c>
      <c r="H209" t="s">
        <v>109</v>
      </c>
      <c r="I209" t="s">
        <v>273</v>
      </c>
      <c r="J209" t="s">
        <v>274</v>
      </c>
      <c r="K209">
        <v>18</v>
      </c>
      <c r="L209" t="s">
        <v>155</v>
      </c>
      <c r="M209" t="s">
        <v>310</v>
      </c>
      <c r="N209" t="s">
        <v>310</v>
      </c>
      <c r="O209">
        <v>72.3</v>
      </c>
      <c r="P209">
        <v>132</v>
      </c>
      <c r="Q209">
        <v>6517</v>
      </c>
      <c r="R209" t="s">
        <v>158</v>
      </c>
      <c r="S209" t="s">
        <v>159</v>
      </c>
      <c r="T209" t="s">
        <v>117</v>
      </c>
      <c r="U209" t="s">
        <v>133</v>
      </c>
      <c r="V209" t="s">
        <v>181</v>
      </c>
      <c r="W209" t="s">
        <v>114</v>
      </c>
      <c r="AA209">
        <v>2</v>
      </c>
      <c r="AB209" t="s">
        <v>100</v>
      </c>
      <c r="AC209" t="s">
        <v>292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315</v>
      </c>
      <c r="F210" t="s">
        <v>108</v>
      </c>
      <c r="G210" s="27">
        <v>42574</v>
      </c>
      <c r="H210" t="s">
        <v>109</v>
      </c>
      <c r="I210" t="s">
        <v>273</v>
      </c>
      <c r="J210" t="s">
        <v>274</v>
      </c>
      <c r="K210">
        <v>18</v>
      </c>
      <c r="L210" t="s">
        <v>155</v>
      </c>
      <c r="M210" t="s">
        <v>310</v>
      </c>
      <c r="N210" t="s">
        <v>310</v>
      </c>
      <c r="O210">
        <v>72.3</v>
      </c>
      <c r="P210">
        <v>132</v>
      </c>
      <c r="Q210">
        <v>6517</v>
      </c>
      <c r="R210" t="s">
        <v>158</v>
      </c>
      <c r="S210" t="s">
        <v>159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242</v>
      </c>
      <c r="AD210" t="s">
        <v>234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234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316</v>
      </c>
      <c r="F211" t="s">
        <v>108</v>
      </c>
      <c r="G211" s="27">
        <v>42574</v>
      </c>
      <c r="H211" t="s">
        <v>109</v>
      </c>
      <c r="I211" t="s">
        <v>273</v>
      </c>
      <c r="J211" t="s">
        <v>274</v>
      </c>
      <c r="K211">
        <v>18</v>
      </c>
      <c r="L211" t="s">
        <v>155</v>
      </c>
      <c r="M211" t="s">
        <v>310</v>
      </c>
      <c r="N211" t="s">
        <v>310</v>
      </c>
      <c r="O211">
        <v>72.3</v>
      </c>
      <c r="P211">
        <v>132</v>
      </c>
      <c r="Q211">
        <v>6517</v>
      </c>
      <c r="R211" t="s">
        <v>158</v>
      </c>
      <c r="S211" t="s">
        <v>159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317</v>
      </c>
      <c r="AD211" t="s">
        <v>230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230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318</v>
      </c>
      <c r="F212" t="s">
        <v>108</v>
      </c>
      <c r="G212" s="27">
        <v>42574</v>
      </c>
      <c r="H212" t="s">
        <v>109</v>
      </c>
      <c r="I212" t="s">
        <v>273</v>
      </c>
      <c r="J212" t="s">
        <v>274</v>
      </c>
      <c r="K212">
        <v>18</v>
      </c>
      <c r="L212" t="s">
        <v>155</v>
      </c>
      <c r="M212" t="s">
        <v>310</v>
      </c>
      <c r="N212" t="s">
        <v>310</v>
      </c>
      <c r="O212">
        <v>72.3</v>
      </c>
      <c r="P212">
        <v>132</v>
      </c>
      <c r="Q212">
        <v>6517</v>
      </c>
      <c r="R212" t="s">
        <v>158</v>
      </c>
      <c r="S212" t="s">
        <v>159</v>
      </c>
      <c r="T212" t="s">
        <v>117</v>
      </c>
      <c r="U212" t="s">
        <v>133</v>
      </c>
      <c r="V212" t="s">
        <v>178</v>
      </c>
      <c r="W212" t="s">
        <v>114</v>
      </c>
      <c r="AA212">
        <v>2</v>
      </c>
      <c r="AB212" t="s">
        <v>99</v>
      </c>
      <c r="AC212" t="s">
        <v>317</v>
      </c>
      <c r="AD212" t="s">
        <v>136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136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319</v>
      </c>
      <c r="F213" t="s">
        <v>108</v>
      </c>
      <c r="G213" s="27">
        <v>42574</v>
      </c>
      <c r="H213" t="s">
        <v>109</v>
      </c>
      <c r="I213" t="s">
        <v>273</v>
      </c>
      <c r="J213" t="s">
        <v>274</v>
      </c>
      <c r="K213">
        <v>18</v>
      </c>
      <c r="L213" t="s">
        <v>155</v>
      </c>
      <c r="M213" t="s">
        <v>310</v>
      </c>
      <c r="N213" t="s">
        <v>310</v>
      </c>
      <c r="O213">
        <v>72.3</v>
      </c>
      <c r="P213">
        <v>132</v>
      </c>
      <c r="Q213">
        <v>6517</v>
      </c>
      <c r="R213" t="s">
        <v>158</v>
      </c>
      <c r="S213" t="s">
        <v>159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242</v>
      </c>
      <c r="AD213" t="s">
        <v>173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173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320</v>
      </c>
      <c r="F214" t="s">
        <v>108</v>
      </c>
      <c r="G214" s="27">
        <v>42574</v>
      </c>
      <c r="H214" t="s">
        <v>109</v>
      </c>
      <c r="I214" t="s">
        <v>273</v>
      </c>
      <c r="J214" t="s">
        <v>274</v>
      </c>
      <c r="K214">
        <v>18</v>
      </c>
      <c r="L214" t="s">
        <v>155</v>
      </c>
      <c r="M214" t="s">
        <v>310</v>
      </c>
      <c r="N214" t="s">
        <v>310</v>
      </c>
      <c r="O214">
        <v>72.3</v>
      </c>
      <c r="P214">
        <v>132</v>
      </c>
      <c r="Q214">
        <v>6517</v>
      </c>
      <c r="R214" t="s">
        <v>158</v>
      </c>
      <c r="S214" t="s">
        <v>159</v>
      </c>
      <c r="T214" t="s">
        <v>117</v>
      </c>
      <c r="U214" t="s">
        <v>133</v>
      </c>
      <c r="V214" t="s">
        <v>180</v>
      </c>
      <c r="W214" t="s">
        <v>114</v>
      </c>
      <c r="AA214">
        <v>2</v>
      </c>
      <c r="AB214" t="s">
        <v>99</v>
      </c>
      <c r="AC214" t="s">
        <v>317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321</v>
      </c>
      <c r="F215" t="s">
        <v>108</v>
      </c>
      <c r="G215" s="27">
        <v>42574</v>
      </c>
      <c r="H215" t="s">
        <v>109</v>
      </c>
      <c r="I215" t="s">
        <v>273</v>
      </c>
      <c r="J215" t="s">
        <v>274</v>
      </c>
      <c r="K215">
        <v>18</v>
      </c>
      <c r="L215" t="s">
        <v>155</v>
      </c>
      <c r="M215" t="s">
        <v>310</v>
      </c>
      <c r="N215" t="s">
        <v>310</v>
      </c>
      <c r="O215">
        <v>72.3</v>
      </c>
      <c r="P215">
        <v>132</v>
      </c>
      <c r="Q215">
        <v>6517</v>
      </c>
      <c r="R215" t="s">
        <v>158</v>
      </c>
      <c r="S215" t="s">
        <v>159</v>
      </c>
      <c r="T215" t="s">
        <v>117</v>
      </c>
      <c r="U215" t="s">
        <v>133</v>
      </c>
      <c r="V215" t="s">
        <v>233</v>
      </c>
      <c r="W215" t="s">
        <v>114</v>
      </c>
      <c r="AA215">
        <v>2</v>
      </c>
      <c r="AB215" t="s">
        <v>100</v>
      </c>
      <c r="AC215" t="s">
        <v>267</v>
      </c>
      <c r="AD215" t="s">
        <v>174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174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309</v>
      </c>
      <c r="F216" t="s">
        <v>108</v>
      </c>
      <c r="G216" s="27">
        <v>42574</v>
      </c>
      <c r="H216" t="s">
        <v>109</v>
      </c>
      <c r="I216" t="s">
        <v>273</v>
      </c>
      <c r="J216" t="s">
        <v>274</v>
      </c>
      <c r="K216">
        <v>18</v>
      </c>
      <c r="L216" t="s">
        <v>155</v>
      </c>
      <c r="M216" t="s">
        <v>310</v>
      </c>
      <c r="N216" t="s">
        <v>310</v>
      </c>
      <c r="O216">
        <v>72.3</v>
      </c>
      <c r="P216">
        <v>132</v>
      </c>
      <c r="Q216">
        <v>6517</v>
      </c>
      <c r="R216" t="s">
        <v>158</v>
      </c>
      <c r="S216" t="s">
        <v>159</v>
      </c>
      <c r="T216" t="s">
        <v>124</v>
      </c>
      <c r="U216" t="s">
        <v>119</v>
      </c>
      <c r="V216" t="s">
        <v>135</v>
      </c>
      <c r="W216" t="s">
        <v>157</v>
      </c>
      <c r="AA216">
        <v>2</v>
      </c>
      <c r="AB216" t="s">
        <v>100</v>
      </c>
      <c r="AC216" t="s">
        <v>228</v>
      </c>
      <c r="AD216" t="s">
        <v>229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229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311</v>
      </c>
      <c r="F217" t="s">
        <v>108</v>
      </c>
      <c r="G217" s="27">
        <v>42574</v>
      </c>
      <c r="H217" t="s">
        <v>109</v>
      </c>
      <c r="I217" t="s">
        <v>273</v>
      </c>
      <c r="J217" t="s">
        <v>274</v>
      </c>
      <c r="K217">
        <v>18</v>
      </c>
      <c r="L217" t="s">
        <v>155</v>
      </c>
      <c r="M217" t="s">
        <v>310</v>
      </c>
      <c r="N217" t="s">
        <v>310</v>
      </c>
      <c r="O217">
        <v>72.3</v>
      </c>
      <c r="P217">
        <v>132</v>
      </c>
      <c r="Q217">
        <v>6517</v>
      </c>
      <c r="R217" t="s">
        <v>158</v>
      </c>
      <c r="S217" t="s">
        <v>159</v>
      </c>
      <c r="T217" t="s">
        <v>124</v>
      </c>
      <c r="U217" t="s">
        <v>119</v>
      </c>
      <c r="V217" t="s">
        <v>276</v>
      </c>
      <c r="W217" t="s">
        <v>157</v>
      </c>
      <c r="AA217">
        <v>2</v>
      </c>
      <c r="AB217" t="s">
        <v>100</v>
      </c>
      <c r="AC217" t="s">
        <v>228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312</v>
      </c>
      <c r="F218" t="s">
        <v>108</v>
      </c>
      <c r="G218" s="27">
        <v>42574</v>
      </c>
      <c r="H218" t="s">
        <v>109</v>
      </c>
      <c r="I218" t="s">
        <v>273</v>
      </c>
      <c r="J218" t="s">
        <v>274</v>
      </c>
      <c r="K218">
        <v>18</v>
      </c>
      <c r="L218" t="s">
        <v>155</v>
      </c>
      <c r="M218" t="s">
        <v>310</v>
      </c>
      <c r="N218" t="s">
        <v>310</v>
      </c>
      <c r="O218">
        <v>72.3</v>
      </c>
      <c r="P218">
        <v>132</v>
      </c>
      <c r="Q218">
        <v>6517</v>
      </c>
      <c r="R218" t="s">
        <v>158</v>
      </c>
      <c r="S218" t="s">
        <v>159</v>
      </c>
      <c r="T218" t="s">
        <v>124</v>
      </c>
      <c r="U218" t="s">
        <v>119</v>
      </c>
      <c r="V218" t="s">
        <v>119</v>
      </c>
      <c r="W218" t="s">
        <v>157</v>
      </c>
      <c r="AA218">
        <v>2</v>
      </c>
      <c r="AB218" t="s">
        <v>99</v>
      </c>
      <c r="AC218" t="s">
        <v>313</v>
      </c>
      <c r="AD218" t="s">
        <v>177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177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314</v>
      </c>
      <c r="F219" t="s">
        <v>108</v>
      </c>
      <c r="G219" s="27">
        <v>42574</v>
      </c>
      <c r="H219" t="s">
        <v>109</v>
      </c>
      <c r="I219" t="s">
        <v>273</v>
      </c>
      <c r="J219" t="s">
        <v>274</v>
      </c>
      <c r="K219">
        <v>18</v>
      </c>
      <c r="L219" t="s">
        <v>155</v>
      </c>
      <c r="M219" t="s">
        <v>310</v>
      </c>
      <c r="N219" t="s">
        <v>310</v>
      </c>
      <c r="O219">
        <v>72.3</v>
      </c>
      <c r="P219">
        <v>132</v>
      </c>
      <c r="Q219">
        <v>6517</v>
      </c>
      <c r="R219" t="s">
        <v>158</v>
      </c>
      <c r="S219" t="s">
        <v>159</v>
      </c>
      <c r="T219" t="s">
        <v>124</v>
      </c>
      <c r="U219" t="s">
        <v>119</v>
      </c>
      <c r="V219" t="s">
        <v>123</v>
      </c>
      <c r="W219" t="s">
        <v>157</v>
      </c>
      <c r="AA219">
        <v>2</v>
      </c>
      <c r="AB219" t="s">
        <v>99</v>
      </c>
      <c r="AC219" t="s">
        <v>292</v>
      </c>
      <c r="AD219" t="s">
        <v>181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181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315</v>
      </c>
      <c r="F220" t="s">
        <v>108</v>
      </c>
      <c r="G220" s="27">
        <v>42574</v>
      </c>
      <c r="H220" t="s">
        <v>109</v>
      </c>
      <c r="I220" t="s">
        <v>273</v>
      </c>
      <c r="J220" t="s">
        <v>274</v>
      </c>
      <c r="K220">
        <v>18</v>
      </c>
      <c r="L220" t="s">
        <v>155</v>
      </c>
      <c r="M220" t="s">
        <v>310</v>
      </c>
      <c r="N220" t="s">
        <v>310</v>
      </c>
      <c r="O220">
        <v>72.3</v>
      </c>
      <c r="P220">
        <v>132</v>
      </c>
      <c r="Q220">
        <v>6517</v>
      </c>
      <c r="R220" t="s">
        <v>158</v>
      </c>
      <c r="S220" t="s">
        <v>159</v>
      </c>
      <c r="T220" t="s">
        <v>124</v>
      </c>
      <c r="U220" t="s">
        <v>119</v>
      </c>
      <c r="V220" t="s">
        <v>234</v>
      </c>
      <c r="W220" t="s">
        <v>157</v>
      </c>
      <c r="AA220">
        <v>2</v>
      </c>
      <c r="AB220" t="s">
        <v>99</v>
      </c>
      <c r="AC220" t="s">
        <v>242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316</v>
      </c>
      <c r="F221" t="s">
        <v>108</v>
      </c>
      <c r="G221" s="27">
        <v>42574</v>
      </c>
      <c r="H221" t="s">
        <v>109</v>
      </c>
      <c r="I221" t="s">
        <v>273</v>
      </c>
      <c r="J221" t="s">
        <v>274</v>
      </c>
      <c r="K221">
        <v>18</v>
      </c>
      <c r="L221" t="s">
        <v>155</v>
      </c>
      <c r="M221" t="s">
        <v>310</v>
      </c>
      <c r="N221" t="s">
        <v>310</v>
      </c>
      <c r="O221">
        <v>72.3</v>
      </c>
      <c r="P221">
        <v>132</v>
      </c>
      <c r="Q221">
        <v>6517</v>
      </c>
      <c r="R221" t="s">
        <v>158</v>
      </c>
      <c r="S221" t="s">
        <v>159</v>
      </c>
      <c r="T221" t="s">
        <v>124</v>
      </c>
      <c r="U221" t="s">
        <v>119</v>
      </c>
      <c r="V221" t="s">
        <v>230</v>
      </c>
      <c r="W221" t="s">
        <v>157</v>
      </c>
      <c r="AA221">
        <v>2</v>
      </c>
      <c r="AB221" t="s">
        <v>99</v>
      </c>
      <c r="AC221" t="s">
        <v>317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318</v>
      </c>
      <c r="F222" t="s">
        <v>108</v>
      </c>
      <c r="G222" s="27">
        <v>42574</v>
      </c>
      <c r="H222" t="s">
        <v>109</v>
      </c>
      <c r="I222" t="s">
        <v>273</v>
      </c>
      <c r="J222" t="s">
        <v>274</v>
      </c>
      <c r="K222">
        <v>18</v>
      </c>
      <c r="L222" t="s">
        <v>155</v>
      </c>
      <c r="M222" t="s">
        <v>310</v>
      </c>
      <c r="N222" t="s">
        <v>310</v>
      </c>
      <c r="O222">
        <v>72.3</v>
      </c>
      <c r="P222">
        <v>132</v>
      </c>
      <c r="Q222">
        <v>6517</v>
      </c>
      <c r="R222" t="s">
        <v>158</v>
      </c>
      <c r="S222" t="s">
        <v>159</v>
      </c>
      <c r="T222" t="s">
        <v>124</v>
      </c>
      <c r="U222" t="s">
        <v>119</v>
      </c>
      <c r="V222" t="s">
        <v>136</v>
      </c>
      <c r="W222" t="s">
        <v>157</v>
      </c>
      <c r="AA222">
        <v>2</v>
      </c>
      <c r="AB222" t="s">
        <v>100</v>
      </c>
      <c r="AC222" t="s">
        <v>317</v>
      </c>
      <c r="AD222" t="s">
        <v>178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178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319</v>
      </c>
      <c r="F223" t="s">
        <v>108</v>
      </c>
      <c r="G223" s="27">
        <v>42574</v>
      </c>
      <c r="H223" t="s">
        <v>109</v>
      </c>
      <c r="I223" t="s">
        <v>273</v>
      </c>
      <c r="J223" t="s">
        <v>274</v>
      </c>
      <c r="K223">
        <v>18</v>
      </c>
      <c r="L223" t="s">
        <v>155</v>
      </c>
      <c r="M223" t="s">
        <v>310</v>
      </c>
      <c r="N223" t="s">
        <v>310</v>
      </c>
      <c r="O223">
        <v>72.3</v>
      </c>
      <c r="P223">
        <v>132</v>
      </c>
      <c r="Q223">
        <v>6517</v>
      </c>
      <c r="R223" t="s">
        <v>158</v>
      </c>
      <c r="S223" t="s">
        <v>159</v>
      </c>
      <c r="T223" t="s">
        <v>124</v>
      </c>
      <c r="U223" t="s">
        <v>119</v>
      </c>
      <c r="V223" t="s">
        <v>173</v>
      </c>
      <c r="W223" t="s">
        <v>157</v>
      </c>
      <c r="AA223">
        <v>2</v>
      </c>
      <c r="AB223" t="s">
        <v>99</v>
      </c>
      <c r="AC223" t="s">
        <v>242</v>
      </c>
      <c r="AD223" t="s">
        <v>118</v>
      </c>
      <c r="AE223" t="str">
        <f t="shared" si="3"/>
        <v>Buss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320</v>
      </c>
      <c r="F224" t="s">
        <v>108</v>
      </c>
      <c r="G224" s="27">
        <v>42574</v>
      </c>
      <c r="H224" t="s">
        <v>109</v>
      </c>
      <c r="I224" t="s">
        <v>273</v>
      </c>
      <c r="J224" t="s">
        <v>274</v>
      </c>
      <c r="K224">
        <v>18</v>
      </c>
      <c r="L224" t="s">
        <v>155</v>
      </c>
      <c r="M224" t="s">
        <v>310</v>
      </c>
      <c r="N224" t="s">
        <v>310</v>
      </c>
      <c r="O224">
        <v>72.3</v>
      </c>
      <c r="P224">
        <v>132</v>
      </c>
      <c r="Q224">
        <v>6517</v>
      </c>
      <c r="R224" t="s">
        <v>158</v>
      </c>
      <c r="S224" t="s">
        <v>159</v>
      </c>
      <c r="T224" t="s">
        <v>124</v>
      </c>
      <c r="U224" t="s">
        <v>119</v>
      </c>
      <c r="V224" t="s">
        <v>120</v>
      </c>
      <c r="W224" t="s">
        <v>157</v>
      </c>
      <c r="AA224">
        <v>2</v>
      </c>
      <c r="AB224" t="s">
        <v>100</v>
      </c>
      <c r="AC224" t="s">
        <v>317</v>
      </c>
      <c r="AD224" t="s">
        <v>180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180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321</v>
      </c>
      <c r="F225" t="s">
        <v>108</v>
      </c>
      <c r="G225" s="27">
        <v>42574</v>
      </c>
      <c r="H225" t="s">
        <v>109</v>
      </c>
      <c r="I225" t="s">
        <v>273</v>
      </c>
      <c r="J225" t="s">
        <v>274</v>
      </c>
      <c r="K225">
        <v>18</v>
      </c>
      <c r="L225" t="s">
        <v>155</v>
      </c>
      <c r="M225" t="s">
        <v>310</v>
      </c>
      <c r="N225" t="s">
        <v>310</v>
      </c>
      <c r="O225">
        <v>72.3</v>
      </c>
      <c r="P225">
        <v>132</v>
      </c>
      <c r="Q225">
        <v>6517</v>
      </c>
      <c r="R225" t="s">
        <v>158</v>
      </c>
      <c r="S225" t="s">
        <v>159</v>
      </c>
      <c r="T225" t="s">
        <v>124</v>
      </c>
      <c r="U225" t="s">
        <v>119</v>
      </c>
      <c r="V225" t="s">
        <v>174</v>
      </c>
      <c r="W225" t="s">
        <v>157</v>
      </c>
      <c r="AA225">
        <v>2</v>
      </c>
      <c r="AB225" t="s">
        <v>99</v>
      </c>
      <c r="AC225" t="s">
        <v>267</v>
      </c>
      <c r="AD225" t="s">
        <v>233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233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322</v>
      </c>
      <c r="F226" t="s">
        <v>272</v>
      </c>
      <c r="G226" s="27">
        <v>42937</v>
      </c>
      <c r="H226" t="s">
        <v>109</v>
      </c>
      <c r="I226" t="s">
        <v>323</v>
      </c>
      <c r="J226" t="s">
        <v>222</v>
      </c>
      <c r="K226">
        <v>9</v>
      </c>
      <c r="L226" t="s">
        <v>112</v>
      </c>
      <c r="M226" t="s">
        <v>324</v>
      </c>
      <c r="N226" t="s">
        <v>325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229</v>
      </c>
      <c r="W226" t="s">
        <v>114</v>
      </c>
      <c r="Y226" t="s">
        <v>130</v>
      </c>
      <c r="AA226">
        <v>1</v>
      </c>
      <c r="AB226" t="s">
        <v>100</v>
      </c>
      <c r="AC226" t="s">
        <v>308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326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322</v>
      </c>
      <c r="F227" t="s">
        <v>272</v>
      </c>
      <c r="G227" s="27">
        <v>42937</v>
      </c>
      <c r="H227" t="s">
        <v>109</v>
      </c>
      <c r="I227" t="s">
        <v>323</v>
      </c>
      <c r="J227" t="s">
        <v>222</v>
      </c>
      <c r="K227">
        <v>9</v>
      </c>
      <c r="L227" t="s">
        <v>112</v>
      </c>
      <c r="M227" t="s">
        <v>324</v>
      </c>
      <c r="N227" t="s">
        <v>325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178</v>
      </c>
      <c r="V227" t="s">
        <v>326</v>
      </c>
      <c r="W227" t="s">
        <v>157</v>
      </c>
      <c r="Y227" t="s">
        <v>133</v>
      </c>
      <c r="AA227">
        <v>1</v>
      </c>
      <c r="AB227" t="s">
        <v>99</v>
      </c>
      <c r="AC227" t="s">
        <v>308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229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327</v>
      </c>
      <c r="F228" t="s">
        <v>272</v>
      </c>
      <c r="G228" s="27">
        <v>42937</v>
      </c>
      <c r="H228" t="s">
        <v>109</v>
      </c>
      <c r="I228" t="s">
        <v>323</v>
      </c>
      <c r="J228" t="s">
        <v>222</v>
      </c>
      <c r="K228">
        <v>9</v>
      </c>
      <c r="L228" t="s">
        <v>112</v>
      </c>
      <c r="M228" t="s">
        <v>324</v>
      </c>
      <c r="N228" t="s">
        <v>325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178</v>
      </c>
      <c r="V228" t="s">
        <v>119</v>
      </c>
      <c r="W228" t="s">
        <v>157</v>
      </c>
      <c r="Y228" t="s">
        <v>123</v>
      </c>
      <c r="AA228">
        <v>1</v>
      </c>
      <c r="AB228" t="s">
        <v>100</v>
      </c>
      <c r="AC228" t="s">
        <v>228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181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327</v>
      </c>
      <c r="F229" t="s">
        <v>272</v>
      </c>
      <c r="G229" s="27">
        <v>42937</v>
      </c>
      <c r="H229" t="s">
        <v>109</v>
      </c>
      <c r="I229" t="s">
        <v>323</v>
      </c>
      <c r="J229" t="s">
        <v>222</v>
      </c>
      <c r="K229">
        <v>9</v>
      </c>
      <c r="L229" t="s">
        <v>112</v>
      </c>
      <c r="M229" t="s">
        <v>324</v>
      </c>
      <c r="N229" t="s">
        <v>325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181</v>
      </c>
      <c r="W229" t="s">
        <v>114</v>
      </c>
      <c r="Y229" t="s">
        <v>118</v>
      </c>
      <c r="AA229">
        <v>1</v>
      </c>
      <c r="AB229" t="s">
        <v>99</v>
      </c>
      <c r="AC229" t="s">
        <v>228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328</v>
      </c>
      <c r="F230" t="s">
        <v>272</v>
      </c>
      <c r="G230" s="27">
        <v>42937</v>
      </c>
      <c r="H230" t="s">
        <v>109</v>
      </c>
      <c r="I230" t="s">
        <v>323</v>
      </c>
      <c r="J230" t="s">
        <v>222</v>
      </c>
      <c r="K230">
        <v>9</v>
      </c>
      <c r="L230" t="s">
        <v>112</v>
      </c>
      <c r="M230" t="s">
        <v>324</v>
      </c>
      <c r="N230" t="s">
        <v>325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267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135</v>
      </c>
      <c r="AL230">
        <v>0.59375</v>
      </c>
      <c r="AM230" t="s">
        <v>136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328</v>
      </c>
      <c r="F231" t="s">
        <v>272</v>
      </c>
      <c r="G231" s="27">
        <v>42937</v>
      </c>
      <c r="H231" t="s">
        <v>109</v>
      </c>
      <c r="I231" t="s">
        <v>323</v>
      </c>
      <c r="J231" t="s">
        <v>222</v>
      </c>
      <c r="K231">
        <v>9</v>
      </c>
      <c r="L231" t="s">
        <v>112</v>
      </c>
      <c r="M231" t="s">
        <v>324</v>
      </c>
      <c r="N231" t="s">
        <v>325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178</v>
      </c>
      <c r="V231" t="s">
        <v>135</v>
      </c>
      <c r="W231" t="s">
        <v>157</v>
      </c>
      <c r="Y231" t="s">
        <v>136</v>
      </c>
      <c r="AA231">
        <v>1</v>
      </c>
      <c r="AB231" t="s">
        <v>100</v>
      </c>
      <c r="AC231" t="s">
        <v>267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329</v>
      </c>
      <c r="F232" t="s">
        <v>272</v>
      </c>
      <c r="G232" s="27">
        <v>42937</v>
      </c>
      <c r="H232" t="s">
        <v>109</v>
      </c>
      <c r="I232" t="s">
        <v>323</v>
      </c>
      <c r="J232" t="s">
        <v>222</v>
      </c>
      <c r="K232">
        <v>9</v>
      </c>
      <c r="L232" t="s">
        <v>112</v>
      </c>
      <c r="M232" t="s">
        <v>324</v>
      </c>
      <c r="N232" t="s">
        <v>325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178</v>
      </c>
      <c r="V232" t="s">
        <v>178</v>
      </c>
      <c r="W232" t="s">
        <v>157</v>
      </c>
      <c r="Y232" t="s">
        <v>234</v>
      </c>
      <c r="AA232">
        <v>1</v>
      </c>
      <c r="AB232" t="s">
        <v>100</v>
      </c>
      <c r="AC232" t="s">
        <v>242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174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329</v>
      </c>
      <c r="F233" t="s">
        <v>272</v>
      </c>
      <c r="G233" s="27">
        <v>42937</v>
      </c>
      <c r="H233" t="s">
        <v>109</v>
      </c>
      <c r="I233" t="s">
        <v>323</v>
      </c>
      <c r="J233" t="s">
        <v>222</v>
      </c>
      <c r="K233">
        <v>9</v>
      </c>
      <c r="L233" t="s">
        <v>112</v>
      </c>
      <c r="M233" t="s">
        <v>324</v>
      </c>
      <c r="N233" t="s">
        <v>325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174</v>
      </c>
      <c r="W233" t="s">
        <v>114</v>
      </c>
      <c r="Y233" t="s">
        <v>122</v>
      </c>
      <c r="AA233">
        <v>1</v>
      </c>
      <c r="AB233" t="s">
        <v>99</v>
      </c>
      <c r="AC233" t="s">
        <v>242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178</v>
      </c>
      <c r="AL233">
        <v>0.59649122807017496</v>
      </c>
      <c r="AM233" t="s">
        <v>234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330</v>
      </c>
      <c r="F234" t="s">
        <v>272</v>
      </c>
      <c r="G234" s="27">
        <v>42937</v>
      </c>
      <c r="H234" t="s">
        <v>109</v>
      </c>
      <c r="I234" t="s">
        <v>323</v>
      </c>
      <c r="J234" t="s">
        <v>222</v>
      </c>
      <c r="K234">
        <v>9</v>
      </c>
      <c r="L234" t="s">
        <v>112</v>
      </c>
      <c r="M234" t="s">
        <v>324</v>
      </c>
      <c r="N234" t="s">
        <v>325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180</v>
      </c>
      <c r="W234" t="s">
        <v>114</v>
      </c>
      <c r="Y234" t="s">
        <v>276</v>
      </c>
      <c r="AA234">
        <v>1</v>
      </c>
      <c r="AB234" t="s">
        <v>99</v>
      </c>
      <c r="AC234" t="s">
        <v>228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233</v>
      </c>
      <c r="AL234">
        <v>0.52777777777777801</v>
      </c>
      <c r="AM234" t="s">
        <v>230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330</v>
      </c>
      <c r="F235" t="s">
        <v>272</v>
      </c>
      <c r="G235" s="27">
        <v>42937</v>
      </c>
      <c r="H235" t="s">
        <v>109</v>
      </c>
      <c r="I235" t="s">
        <v>323</v>
      </c>
      <c r="J235" t="s">
        <v>222</v>
      </c>
      <c r="K235">
        <v>9</v>
      </c>
      <c r="L235" t="s">
        <v>112</v>
      </c>
      <c r="M235" t="s">
        <v>324</v>
      </c>
      <c r="N235" t="s">
        <v>325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178</v>
      </c>
      <c r="V235" t="s">
        <v>233</v>
      </c>
      <c r="W235" t="s">
        <v>157</v>
      </c>
      <c r="Y235" t="s">
        <v>230</v>
      </c>
      <c r="AA235">
        <v>1</v>
      </c>
      <c r="AB235" t="s">
        <v>100</v>
      </c>
      <c r="AC235" t="s">
        <v>228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180</v>
      </c>
      <c r="AL235">
        <v>0.34745762711864397</v>
      </c>
      <c r="AM235" t="s">
        <v>276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331</v>
      </c>
      <c r="F236" t="s">
        <v>272</v>
      </c>
      <c r="G236" s="27">
        <v>42937</v>
      </c>
      <c r="H236" t="s">
        <v>109</v>
      </c>
      <c r="I236" t="s">
        <v>323</v>
      </c>
      <c r="J236" t="s">
        <v>222</v>
      </c>
      <c r="K236">
        <v>9</v>
      </c>
      <c r="L236" t="s">
        <v>138</v>
      </c>
      <c r="M236" t="s">
        <v>324</v>
      </c>
      <c r="N236" t="s">
        <v>325</v>
      </c>
      <c r="O236">
        <v>71.400000000000006</v>
      </c>
      <c r="P236">
        <v>136</v>
      </c>
      <c r="Q236">
        <v>6251</v>
      </c>
      <c r="R236" t="s">
        <v>191</v>
      </c>
      <c r="S236" t="s">
        <v>116</v>
      </c>
      <c r="T236" t="s">
        <v>117</v>
      </c>
      <c r="U236" t="s">
        <v>130</v>
      </c>
      <c r="V236" t="s">
        <v>229</v>
      </c>
      <c r="W236" t="s">
        <v>114</v>
      </c>
      <c r="Y236" t="s">
        <v>130</v>
      </c>
      <c r="AA236">
        <v>1</v>
      </c>
      <c r="AB236" t="s">
        <v>101</v>
      </c>
      <c r="AC236" t="s">
        <v>140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326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331</v>
      </c>
      <c r="F237" t="s">
        <v>272</v>
      </c>
      <c r="G237" s="27">
        <v>42937</v>
      </c>
      <c r="H237" t="s">
        <v>109</v>
      </c>
      <c r="I237" t="s">
        <v>323</v>
      </c>
      <c r="J237" t="s">
        <v>222</v>
      </c>
      <c r="K237">
        <v>9</v>
      </c>
      <c r="L237" t="s">
        <v>138</v>
      </c>
      <c r="M237" t="s">
        <v>324</v>
      </c>
      <c r="N237" t="s">
        <v>325</v>
      </c>
      <c r="O237">
        <v>71.400000000000006</v>
      </c>
      <c r="P237">
        <v>136</v>
      </c>
      <c r="Q237">
        <v>6251</v>
      </c>
      <c r="R237" t="s">
        <v>191</v>
      </c>
      <c r="S237" t="s">
        <v>116</v>
      </c>
      <c r="T237" t="s">
        <v>124</v>
      </c>
      <c r="U237" t="s">
        <v>178</v>
      </c>
      <c r="V237" t="s">
        <v>326</v>
      </c>
      <c r="W237" t="s">
        <v>157</v>
      </c>
      <c r="Y237" t="s">
        <v>133</v>
      </c>
      <c r="AA237">
        <v>1</v>
      </c>
      <c r="AB237" t="s">
        <v>101</v>
      </c>
      <c r="AC237" t="s">
        <v>140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229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332</v>
      </c>
      <c r="F238" t="s">
        <v>272</v>
      </c>
      <c r="G238" s="27">
        <v>42937</v>
      </c>
      <c r="H238" t="s">
        <v>109</v>
      </c>
      <c r="I238" t="s">
        <v>323</v>
      </c>
      <c r="J238" t="s">
        <v>222</v>
      </c>
      <c r="K238">
        <v>9</v>
      </c>
      <c r="L238" t="s">
        <v>138</v>
      </c>
      <c r="M238" t="s">
        <v>324</v>
      </c>
      <c r="N238" t="s">
        <v>325</v>
      </c>
      <c r="O238">
        <v>71.400000000000006</v>
      </c>
      <c r="P238">
        <v>136</v>
      </c>
      <c r="Q238">
        <v>6251</v>
      </c>
      <c r="R238" t="s">
        <v>191</v>
      </c>
      <c r="S238" t="s">
        <v>116</v>
      </c>
      <c r="T238" t="s">
        <v>124</v>
      </c>
      <c r="U238" t="s">
        <v>178</v>
      </c>
      <c r="V238" t="s">
        <v>119</v>
      </c>
      <c r="W238" t="s">
        <v>157</v>
      </c>
      <c r="Y238" t="s">
        <v>123</v>
      </c>
      <c r="AA238">
        <v>1</v>
      </c>
      <c r="AB238" t="s">
        <v>99</v>
      </c>
      <c r="AC238" t="s">
        <v>292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181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332</v>
      </c>
      <c r="F239" t="s">
        <v>272</v>
      </c>
      <c r="G239" s="27">
        <v>42937</v>
      </c>
      <c r="H239" t="s">
        <v>109</v>
      </c>
      <c r="I239" t="s">
        <v>323</v>
      </c>
      <c r="J239" t="s">
        <v>222</v>
      </c>
      <c r="K239">
        <v>9</v>
      </c>
      <c r="L239" t="s">
        <v>138</v>
      </c>
      <c r="M239" t="s">
        <v>324</v>
      </c>
      <c r="N239" t="s">
        <v>325</v>
      </c>
      <c r="O239">
        <v>71.400000000000006</v>
      </c>
      <c r="P239">
        <v>136</v>
      </c>
      <c r="Q239">
        <v>6251</v>
      </c>
      <c r="R239" t="s">
        <v>191</v>
      </c>
      <c r="S239" t="s">
        <v>116</v>
      </c>
      <c r="T239" t="s">
        <v>117</v>
      </c>
      <c r="U239" t="s">
        <v>130</v>
      </c>
      <c r="V239" t="s">
        <v>181</v>
      </c>
      <c r="W239" t="s">
        <v>114</v>
      </c>
      <c r="Y239" t="s">
        <v>118</v>
      </c>
      <c r="AA239">
        <v>1</v>
      </c>
      <c r="AB239" t="s">
        <v>100</v>
      </c>
      <c r="AC239" t="s">
        <v>292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333</v>
      </c>
      <c r="F240" t="s">
        <v>272</v>
      </c>
      <c r="G240" s="27">
        <v>42937</v>
      </c>
      <c r="H240" t="s">
        <v>109</v>
      </c>
      <c r="I240" t="s">
        <v>323</v>
      </c>
      <c r="J240" t="s">
        <v>222</v>
      </c>
      <c r="K240">
        <v>9</v>
      </c>
      <c r="L240" t="s">
        <v>138</v>
      </c>
      <c r="M240" t="s">
        <v>324</v>
      </c>
      <c r="N240" t="s">
        <v>325</v>
      </c>
      <c r="O240">
        <v>71.400000000000006</v>
      </c>
      <c r="P240">
        <v>136</v>
      </c>
      <c r="Q240">
        <v>6251</v>
      </c>
      <c r="R240" t="s">
        <v>191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334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135</v>
      </c>
      <c r="AL240">
        <v>0.59375</v>
      </c>
      <c r="AM240" t="s">
        <v>136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333</v>
      </c>
      <c r="F241" t="s">
        <v>272</v>
      </c>
      <c r="G241" s="27">
        <v>42937</v>
      </c>
      <c r="H241" t="s">
        <v>109</v>
      </c>
      <c r="I241" t="s">
        <v>323</v>
      </c>
      <c r="J241" t="s">
        <v>222</v>
      </c>
      <c r="K241">
        <v>9</v>
      </c>
      <c r="L241" t="s">
        <v>138</v>
      </c>
      <c r="M241" t="s">
        <v>324</v>
      </c>
      <c r="N241" t="s">
        <v>325</v>
      </c>
      <c r="O241">
        <v>71.400000000000006</v>
      </c>
      <c r="P241">
        <v>136</v>
      </c>
      <c r="Q241">
        <v>6251</v>
      </c>
      <c r="R241" t="s">
        <v>191</v>
      </c>
      <c r="S241" t="s">
        <v>116</v>
      </c>
      <c r="T241" t="s">
        <v>124</v>
      </c>
      <c r="U241" t="s">
        <v>178</v>
      </c>
      <c r="V241" t="s">
        <v>135</v>
      </c>
      <c r="W241" t="s">
        <v>157</v>
      </c>
      <c r="Y241" t="s">
        <v>136</v>
      </c>
      <c r="AA241">
        <v>1</v>
      </c>
      <c r="AB241" t="s">
        <v>100</v>
      </c>
      <c r="AC241" t="s">
        <v>334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335</v>
      </c>
      <c r="F242" t="s">
        <v>272</v>
      </c>
      <c r="G242" s="27">
        <v>42937</v>
      </c>
      <c r="H242" t="s">
        <v>109</v>
      </c>
      <c r="I242" t="s">
        <v>323</v>
      </c>
      <c r="J242" t="s">
        <v>222</v>
      </c>
      <c r="K242">
        <v>9</v>
      </c>
      <c r="L242" t="s">
        <v>138</v>
      </c>
      <c r="M242" t="s">
        <v>324</v>
      </c>
      <c r="N242" t="s">
        <v>325</v>
      </c>
      <c r="O242">
        <v>71.400000000000006</v>
      </c>
      <c r="P242">
        <v>136</v>
      </c>
      <c r="Q242">
        <v>6251</v>
      </c>
      <c r="R242" t="s">
        <v>191</v>
      </c>
      <c r="S242" t="s">
        <v>116</v>
      </c>
      <c r="T242" t="s">
        <v>124</v>
      </c>
      <c r="U242" t="s">
        <v>178</v>
      </c>
      <c r="V242" t="s">
        <v>178</v>
      </c>
      <c r="W242" t="s">
        <v>157</v>
      </c>
      <c r="Y242" t="s">
        <v>234</v>
      </c>
      <c r="AA242">
        <v>1</v>
      </c>
      <c r="AB242" t="s">
        <v>99</v>
      </c>
      <c r="AC242" t="s">
        <v>267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174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335</v>
      </c>
      <c r="F243" t="s">
        <v>272</v>
      </c>
      <c r="G243" s="27">
        <v>42937</v>
      </c>
      <c r="H243" t="s">
        <v>109</v>
      </c>
      <c r="I243" t="s">
        <v>323</v>
      </c>
      <c r="J243" t="s">
        <v>222</v>
      </c>
      <c r="K243">
        <v>9</v>
      </c>
      <c r="L243" t="s">
        <v>138</v>
      </c>
      <c r="M243" t="s">
        <v>324</v>
      </c>
      <c r="N243" t="s">
        <v>325</v>
      </c>
      <c r="O243">
        <v>71.400000000000006</v>
      </c>
      <c r="P243">
        <v>136</v>
      </c>
      <c r="Q243">
        <v>6251</v>
      </c>
      <c r="R243" t="s">
        <v>191</v>
      </c>
      <c r="S243" t="s">
        <v>116</v>
      </c>
      <c r="T243" t="s">
        <v>117</v>
      </c>
      <c r="U243" t="s">
        <v>130</v>
      </c>
      <c r="V243" t="s">
        <v>174</v>
      </c>
      <c r="W243" t="s">
        <v>114</v>
      </c>
      <c r="Y243" t="s">
        <v>122</v>
      </c>
      <c r="AA243">
        <v>1</v>
      </c>
      <c r="AB243" t="s">
        <v>100</v>
      </c>
      <c r="AC243" t="s">
        <v>267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178</v>
      </c>
      <c r="AL243">
        <v>0.59649122807017496</v>
      </c>
      <c r="AM243" t="s">
        <v>234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336</v>
      </c>
      <c r="F244" t="s">
        <v>272</v>
      </c>
      <c r="G244" s="27">
        <v>42937</v>
      </c>
      <c r="H244" t="s">
        <v>109</v>
      </c>
      <c r="I244" t="s">
        <v>323</v>
      </c>
      <c r="J244" t="s">
        <v>222</v>
      </c>
      <c r="K244">
        <v>9</v>
      </c>
      <c r="L244" t="s">
        <v>138</v>
      </c>
      <c r="M244" t="s">
        <v>324</v>
      </c>
      <c r="N244" t="s">
        <v>325</v>
      </c>
      <c r="O244">
        <v>71.400000000000006</v>
      </c>
      <c r="P244">
        <v>136</v>
      </c>
      <c r="Q244">
        <v>6251</v>
      </c>
      <c r="R244" t="s">
        <v>191</v>
      </c>
      <c r="S244" t="s">
        <v>116</v>
      </c>
      <c r="T244" t="s">
        <v>117</v>
      </c>
      <c r="U244" t="s">
        <v>130</v>
      </c>
      <c r="V244" t="s">
        <v>180</v>
      </c>
      <c r="W244" t="s">
        <v>114</v>
      </c>
      <c r="Y244" t="s">
        <v>276</v>
      </c>
      <c r="AA244">
        <v>1</v>
      </c>
      <c r="AB244" t="s">
        <v>100</v>
      </c>
      <c r="AC244" t="s">
        <v>292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233</v>
      </c>
      <c r="AL244">
        <v>0.52777777777777801</v>
      </c>
      <c r="AM244" t="s">
        <v>230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336</v>
      </c>
      <c r="F245" t="s">
        <v>272</v>
      </c>
      <c r="G245" s="27">
        <v>42937</v>
      </c>
      <c r="H245" t="s">
        <v>109</v>
      </c>
      <c r="I245" t="s">
        <v>323</v>
      </c>
      <c r="J245" t="s">
        <v>222</v>
      </c>
      <c r="K245">
        <v>9</v>
      </c>
      <c r="L245" t="s">
        <v>138</v>
      </c>
      <c r="M245" t="s">
        <v>324</v>
      </c>
      <c r="N245" t="s">
        <v>325</v>
      </c>
      <c r="O245">
        <v>71.400000000000006</v>
      </c>
      <c r="P245">
        <v>136</v>
      </c>
      <c r="Q245">
        <v>6251</v>
      </c>
      <c r="R245" t="s">
        <v>191</v>
      </c>
      <c r="S245" t="s">
        <v>116</v>
      </c>
      <c r="T245" t="s">
        <v>124</v>
      </c>
      <c r="U245" t="s">
        <v>178</v>
      </c>
      <c r="V245" t="s">
        <v>233</v>
      </c>
      <c r="W245" t="s">
        <v>157</v>
      </c>
      <c r="Y245" t="s">
        <v>230</v>
      </c>
      <c r="AA245">
        <v>1</v>
      </c>
      <c r="AB245" t="s">
        <v>99</v>
      </c>
      <c r="AC245" t="s">
        <v>292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180</v>
      </c>
      <c r="AL245">
        <v>0.34745762711864397</v>
      </c>
      <c r="AM245" t="s">
        <v>276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337</v>
      </c>
      <c r="F246" t="s">
        <v>272</v>
      </c>
      <c r="G246" s="27">
        <v>42937</v>
      </c>
      <c r="H246" t="s">
        <v>145</v>
      </c>
      <c r="I246" t="s">
        <v>323</v>
      </c>
      <c r="J246" t="s">
        <v>222</v>
      </c>
      <c r="K246">
        <v>9</v>
      </c>
      <c r="L246" t="s">
        <v>112</v>
      </c>
      <c r="M246" t="s">
        <v>324</v>
      </c>
      <c r="N246" t="s">
        <v>325</v>
      </c>
      <c r="O246">
        <v>71.400000000000006</v>
      </c>
      <c r="P246">
        <v>136</v>
      </c>
      <c r="Q246">
        <v>6251</v>
      </c>
      <c r="R246" t="s">
        <v>146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267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337</v>
      </c>
      <c r="F247" t="s">
        <v>272</v>
      </c>
      <c r="G247" s="27">
        <v>42937</v>
      </c>
      <c r="H247" t="s">
        <v>145</v>
      </c>
      <c r="I247" t="s">
        <v>323</v>
      </c>
      <c r="J247" t="s">
        <v>222</v>
      </c>
      <c r="K247">
        <v>9</v>
      </c>
      <c r="L247" t="s">
        <v>112</v>
      </c>
      <c r="M247" t="s">
        <v>324</v>
      </c>
      <c r="N247" t="s">
        <v>325</v>
      </c>
      <c r="O247">
        <v>71.400000000000006</v>
      </c>
      <c r="P247">
        <v>136</v>
      </c>
      <c r="Q247">
        <v>6251</v>
      </c>
      <c r="R247" t="s">
        <v>146</v>
      </c>
      <c r="S247" t="s">
        <v>116</v>
      </c>
      <c r="T247" t="s">
        <v>124</v>
      </c>
      <c r="U247" t="s">
        <v>178</v>
      </c>
      <c r="V247" t="s">
        <v>119</v>
      </c>
      <c r="W247" t="s">
        <v>157</v>
      </c>
      <c r="Y247" t="s">
        <v>133</v>
      </c>
      <c r="AA247">
        <v>1</v>
      </c>
      <c r="AB247" t="s">
        <v>100</v>
      </c>
      <c r="AC247" t="s">
        <v>267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338</v>
      </c>
      <c r="F248" t="s">
        <v>272</v>
      </c>
      <c r="G248" s="27">
        <v>42937</v>
      </c>
      <c r="H248" t="s">
        <v>145</v>
      </c>
      <c r="I248" t="s">
        <v>323</v>
      </c>
      <c r="J248" t="s">
        <v>222</v>
      </c>
      <c r="K248">
        <v>9</v>
      </c>
      <c r="L248" t="s">
        <v>112</v>
      </c>
      <c r="M248" t="s">
        <v>324</v>
      </c>
      <c r="N248" t="s">
        <v>325</v>
      </c>
      <c r="O248">
        <v>71.400000000000006</v>
      </c>
      <c r="P248">
        <v>136</v>
      </c>
      <c r="Q248">
        <v>6251</v>
      </c>
      <c r="R248" t="s">
        <v>146</v>
      </c>
      <c r="S248" t="s">
        <v>116</v>
      </c>
      <c r="T248" t="s">
        <v>124</v>
      </c>
      <c r="U248" t="s">
        <v>178</v>
      </c>
      <c r="V248" t="s">
        <v>135</v>
      </c>
      <c r="W248" t="s">
        <v>157</v>
      </c>
      <c r="Y248" t="s">
        <v>178</v>
      </c>
      <c r="AA248">
        <v>1</v>
      </c>
      <c r="AB248" t="s">
        <v>99</v>
      </c>
      <c r="AC248" t="s">
        <v>260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338</v>
      </c>
      <c r="F249" t="s">
        <v>272</v>
      </c>
      <c r="G249" s="27">
        <v>42937</v>
      </c>
      <c r="H249" t="s">
        <v>145</v>
      </c>
      <c r="I249" t="s">
        <v>323</v>
      </c>
      <c r="J249" t="s">
        <v>222</v>
      </c>
      <c r="K249">
        <v>9</v>
      </c>
      <c r="L249" t="s">
        <v>112</v>
      </c>
      <c r="M249" t="s">
        <v>324</v>
      </c>
      <c r="N249" t="s">
        <v>325</v>
      </c>
      <c r="O249">
        <v>71.400000000000006</v>
      </c>
      <c r="P249">
        <v>136</v>
      </c>
      <c r="Q249">
        <v>6251</v>
      </c>
      <c r="R249" t="s">
        <v>146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260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135</v>
      </c>
      <c r="AL249">
        <v>0.59375</v>
      </c>
      <c r="AM249" t="s">
        <v>178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339</v>
      </c>
      <c r="F250" t="s">
        <v>272</v>
      </c>
      <c r="G250" s="27">
        <v>42937</v>
      </c>
      <c r="H250" t="s">
        <v>145</v>
      </c>
      <c r="I250" t="s">
        <v>323</v>
      </c>
      <c r="J250" t="s">
        <v>222</v>
      </c>
      <c r="K250">
        <v>9</v>
      </c>
      <c r="L250" t="s">
        <v>112</v>
      </c>
      <c r="M250" t="s">
        <v>324</v>
      </c>
      <c r="N250" t="s">
        <v>325</v>
      </c>
      <c r="O250">
        <v>71.400000000000006</v>
      </c>
      <c r="P250">
        <v>136</v>
      </c>
      <c r="Q250">
        <v>6251</v>
      </c>
      <c r="R250" t="s">
        <v>146</v>
      </c>
      <c r="S250" t="s">
        <v>116</v>
      </c>
      <c r="T250" t="s">
        <v>117</v>
      </c>
      <c r="U250" t="s">
        <v>130</v>
      </c>
      <c r="V250" t="s">
        <v>229</v>
      </c>
      <c r="W250" t="s">
        <v>114</v>
      </c>
      <c r="Y250" t="s">
        <v>276</v>
      </c>
      <c r="AA250">
        <v>1</v>
      </c>
      <c r="AB250" t="s">
        <v>99</v>
      </c>
      <c r="AC250" t="s">
        <v>267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234</v>
      </c>
      <c r="AL250">
        <v>0.5</v>
      </c>
      <c r="AM250" t="s">
        <v>136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339</v>
      </c>
      <c r="F251" t="s">
        <v>272</v>
      </c>
      <c r="G251" s="27">
        <v>42937</v>
      </c>
      <c r="H251" t="s">
        <v>145</v>
      </c>
      <c r="I251" t="s">
        <v>323</v>
      </c>
      <c r="J251" t="s">
        <v>222</v>
      </c>
      <c r="K251">
        <v>9</v>
      </c>
      <c r="L251" t="s">
        <v>112</v>
      </c>
      <c r="M251" t="s">
        <v>324</v>
      </c>
      <c r="N251" t="s">
        <v>325</v>
      </c>
      <c r="O251">
        <v>71.400000000000006</v>
      </c>
      <c r="P251">
        <v>136</v>
      </c>
      <c r="Q251">
        <v>6251</v>
      </c>
      <c r="R251" t="s">
        <v>146</v>
      </c>
      <c r="S251" t="s">
        <v>116</v>
      </c>
      <c r="T251" t="s">
        <v>124</v>
      </c>
      <c r="U251" t="s">
        <v>178</v>
      </c>
      <c r="V251" t="s">
        <v>234</v>
      </c>
      <c r="W251" t="s">
        <v>157</v>
      </c>
      <c r="Y251" t="s">
        <v>136</v>
      </c>
      <c r="AA251">
        <v>1</v>
      </c>
      <c r="AB251" t="s">
        <v>100</v>
      </c>
      <c r="AC251" t="s">
        <v>267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229</v>
      </c>
      <c r="AL251">
        <v>0.65476190476190499</v>
      </c>
      <c r="AM251" t="s">
        <v>276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340</v>
      </c>
      <c r="F252" t="s">
        <v>272</v>
      </c>
      <c r="G252" s="27">
        <v>42937</v>
      </c>
      <c r="H252" t="s">
        <v>145</v>
      </c>
      <c r="I252" t="s">
        <v>323</v>
      </c>
      <c r="J252" t="s">
        <v>222</v>
      </c>
      <c r="K252">
        <v>9</v>
      </c>
      <c r="L252" t="s">
        <v>112</v>
      </c>
      <c r="M252" t="s">
        <v>324</v>
      </c>
      <c r="N252" t="s">
        <v>325</v>
      </c>
      <c r="O252">
        <v>71.400000000000006</v>
      </c>
      <c r="P252">
        <v>136</v>
      </c>
      <c r="Q252">
        <v>6251</v>
      </c>
      <c r="R252" t="s">
        <v>146</v>
      </c>
      <c r="S252" t="s">
        <v>116</v>
      </c>
      <c r="T252" t="s">
        <v>124</v>
      </c>
      <c r="U252" t="s">
        <v>178</v>
      </c>
      <c r="V252" t="s">
        <v>326</v>
      </c>
      <c r="W252" t="s">
        <v>157</v>
      </c>
      <c r="Y252" t="s">
        <v>123</v>
      </c>
      <c r="AA252">
        <v>1</v>
      </c>
      <c r="AB252" t="s">
        <v>99</v>
      </c>
      <c r="AC252" t="s">
        <v>292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174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340</v>
      </c>
      <c r="F253" t="s">
        <v>272</v>
      </c>
      <c r="G253" s="27">
        <v>42937</v>
      </c>
      <c r="H253" t="s">
        <v>145</v>
      </c>
      <c r="I253" t="s">
        <v>323</v>
      </c>
      <c r="J253" t="s">
        <v>222</v>
      </c>
      <c r="K253">
        <v>9</v>
      </c>
      <c r="L253" t="s">
        <v>112</v>
      </c>
      <c r="M253" t="s">
        <v>324</v>
      </c>
      <c r="N253" t="s">
        <v>325</v>
      </c>
      <c r="O253">
        <v>71.400000000000006</v>
      </c>
      <c r="P253">
        <v>136</v>
      </c>
      <c r="Q253">
        <v>6251</v>
      </c>
      <c r="R253" t="s">
        <v>146</v>
      </c>
      <c r="S253" t="s">
        <v>116</v>
      </c>
      <c r="T253" t="s">
        <v>117</v>
      </c>
      <c r="U253" t="s">
        <v>130</v>
      </c>
      <c r="V253" t="s">
        <v>174</v>
      </c>
      <c r="W253" t="s">
        <v>114</v>
      </c>
      <c r="Y253" t="s">
        <v>122</v>
      </c>
      <c r="AA253">
        <v>1</v>
      </c>
      <c r="AB253" t="s">
        <v>100</v>
      </c>
      <c r="AC253" t="s">
        <v>292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326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341</v>
      </c>
      <c r="F254" t="s">
        <v>272</v>
      </c>
      <c r="G254" s="27">
        <v>42937</v>
      </c>
      <c r="H254" t="s">
        <v>145</v>
      </c>
      <c r="I254" t="s">
        <v>323</v>
      </c>
      <c r="J254" t="s">
        <v>222</v>
      </c>
      <c r="K254">
        <v>9</v>
      </c>
      <c r="L254" t="s">
        <v>112</v>
      </c>
      <c r="M254" t="s">
        <v>324</v>
      </c>
      <c r="N254" t="s">
        <v>325</v>
      </c>
      <c r="O254">
        <v>71.400000000000006</v>
      </c>
      <c r="P254">
        <v>136</v>
      </c>
      <c r="Q254">
        <v>6251</v>
      </c>
      <c r="R254" t="s">
        <v>146</v>
      </c>
      <c r="S254" t="s">
        <v>116</v>
      </c>
      <c r="T254" t="s">
        <v>117</v>
      </c>
      <c r="U254" t="s">
        <v>130</v>
      </c>
      <c r="V254" t="s">
        <v>233</v>
      </c>
      <c r="W254" t="s">
        <v>157</v>
      </c>
      <c r="Y254" t="s">
        <v>230</v>
      </c>
      <c r="AA254">
        <v>1</v>
      </c>
      <c r="AB254" t="s">
        <v>99</v>
      </c>
      <c r="AC254" t="s">
        <v>260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181</v>
      </c>
      <c r="AL254">
        <v>0.44067796610169502</v>
      </c>
      <c r="AM254" t="s">
        <v>180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341</v>
      </c>
      <c r="F255" t="s">
        <v>272</v>
      </c>
      <c r="G255" s="27">
        <v>42937</v>
      </c>
      <c r="H255" t="s">
        <v>145</v>
      </c>
      <c r="I255" t="s">
        <v>323</v>
      </c>
      <c r="J255" t="s">
        <v>222</v>
      </c>
      <c r="K255">
        <v>9</v>
      </c>
      <c r="L255" t="s">
        <v>112</v>
      </c>
      <c r="M255" t="s">
        <v>324</v>
      </c>
      <c r="N255" t="s">
        <v>325</v>
      </c>
      <c r="O255">
        <v>71.400000000000006</v>
      </c>
      <c r="P255">
        <v>136</v>
      </c>
      <c r="Q255">
        <v>6251</v>
      </c>
      <c r="R255" t="s">
        <v>146</v>
      </c>
      <c r="S255" t="s">
        <v>116</v>
      </c>
      <c r="T255" t="s">
        <v>124</v>
      </c>
      <c r="U255" t="s">
        <v>178</v>
      </c>
      <c r="V255" t="s">
        <v>181</v>
      </c>
      <c r="W255" t="s">
        <v>114</v>
      </c>
      <c r="Y255" t="s">
        <v>180</v>
      </c>
      <c r="AA255">
        <v>1</v>
      </c>
      <c r="AB255" t="s">
        <v>100</v>
      </c>
      <c r="AC255" t="s">
        <v>260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233</v>
      </c>
      <c r="AL255">
        <v>0.52777777777777801</v>
      </c>
      <c r="AM255" t="s">
        <v>230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342</v>
      </c>
      <c r="F256" t="s">
        <v>272</v>
      </c>
      <c r="G256" s="27">
        <v>42937</v>
      </c>
      <c r="H256" t="s">
        <v>145</v>
      </c>
      <c r="I256" t="s">
        <v>323</v>
      </c>
      <c r="J256" t="s">
        <v>222</v>
      </c>
      <c r="K256">
        <v>9</v>
      </c>
      <c r="L256" t="s">
        <v>138</v>
      </c>
      <c r="M256" t="s">
        <v>324</v>
      </c>
      <c r="N256" t="s">
        <v>325</v>
      </c>
      <c r="O256">
        <v>71.400000000000006</v>
      </c>
      <c r="P256">
        <v>136</v>
      </c>
      <c r="Q256">
        <v>6251</v>
      </c>
      <c r="R256" t="s">
        <v>199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343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342</v>
      </c>
      <c r="F257" t="s">
        <v>272</v>
      </c>
      <c r="G257" s="27">
        <v>42937</v>
      </c>
      <c r="H257" t="s">
        <v>145</v>
      </c>
      <c r="I257" t="s">
        <v>323</v>
      </c>
      <c r="J257" t="s">
        <v>222</v>
      </c>
      <c r="K257">
        <v>9</v>
      </c>
      <c r="L257" t="s">
        <v>138</v>
      </c>
      <c r="M257" t="s">
        <v>324</v>
      </c>
      <c r="N257" t="s">
        <v>325</v>
      </c>
      <c r="O257">
        <v>71.400000000000006</v>
      </c>
      <c r="P257">
        <v>136</v>
      </c>
      <c r="Q257">
        <v>6251</v>
      </c>
      <c r="R257" t="s">
        <v>199</v>
      </c>
      <c r="S257" t="s">
        <v>116</v>
      </c>
      <c r="T257" t="s">
        <v>124</v>
      </c>
      <c r="U257" t="s">
        <v>178</v>
      </c>
      <c r="V257" t="s">
        <v>119</v>
      </c>
      <c r="W257" t="s">
        <v>157</v>
      </c>
      <c r="Y257" t="s">
        <v>133</v>
      </c>
      <c r="AA257">
        <v>1</v>
      </c>
      <c r="AB257" t="s">
        <v>99</v>
      </c>
      <c r="AC257" t="s">
        <v>343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344</v>
      </c>
      <c r="F258" t="s">
        <v>272</v>
      </c>
      <c r="G258" s="27">
        <v>42937</v>
      </c>
      <c r="H258" t="s">
        <v>145</v>
      </c>
      <c r="I258" t="s">
        <v>323</v>
      </c>
      <c r="J258" t="s">
        <v>222</v>
      </c>
      <c r="K258">
        <v>9</v>
      </c>
      <c r="L258" t="s">
        <v>138</v>
      </c>
      <c r="M258" t="s">
        <v>324</v>
      </c>
      <c r="N258" t="s">
        <v>325</v>
      </c>
      <c r="O258">
        <v>71.400000000000006</v>
      </c>
      <c r="P258">
        <v>136</v>
      </c>
      <c r="Q258">
        <v>6251</v>
      </c>
      <c r="R258" t="s">
        <v>199</v>
      </c>
      <c r="S258" t="s">
        <v>116</v>
      </c>
      <c r="T258" t="s">
        <v>124</v>
      </c>
      <c r="U258" t="s">
        <v>178</v>
      </c>
      <c r="V258" t="s">
        <v>135</v>
      </c>
      <c r="W258" t="s">
        <v>157</v>
      </c>
      <c r="Y258" t="s">
        <v>178</v>
      </c>
      <c r="AA258">
        <v>1</v>
      </c>
      <c r="AB258" t="s">
        <v>101</v>
      </c>
      <c r="AC258" t="s">
        <v>345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344</v>
      </c>
      <c r="F259" t="s">
        <v>272</v>
      </c>
      <c r="G259" s="27">
        <v>42937</v>
      </c>
      <c r="H259" t="s">
        <v>145</v>
      </c>
      <c r="I259" t="s">
        <v>323</v>
      </c>
      <c r="J259" t="s">
        <v>222</v>
      </c>
      <c r="K259">
        <v>9</v>
      </c>
      <c r="L259" t="s">
        <v>138</v>
      </c>
      <c r="M259" t="s">
        <v>324</v>
      </c>
      <c r="N259" t="s">
        <v>325</v>
      </c>
      <c r="O259">
        <v>71.400000000000006</v>
      </c>
      <c r="P259">
        <v>136</v>
      </c>
      <c r="Q259">
        <v>6251</v>
      </c>
      <c r="R259" t="s">
        <v>199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345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135</v>
      </c>
      <c r="AL259">
        <v>0.59375</v>
      </c>
      <c r="AM259" t="s">
        <v>178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346</v>
      </c>
      <c r="F260" t="s">
        <v>272</v>
      </c>
      <c r="G260" s="27">
        <v>42937</v>
      </c>
      <c r="H260" t="s">
        <v>145</v>
      </c>
      <c r="I260" t="s">
        <v>323</v>
      </c>
      <c r="J260" t="s">
        <v>222</v>
      </c>
      <c r="K260">
        <v>9</v>
      </c>
      <c r="L260" t="s">
        <v>138</v>
      </c>
      <c r="M260" t="s">
        <v>324</v>
      </c>
      <c r="N260" t="s">
        <v>325</v>
      </c>
      <c r="O260">
        <v>71.400000000000006</v>
      </c>
      <c r="P260">
        <v>136</v>
      </c>
      <c r="Q260">
        <v>6251</v>
      </c>
      <c r="R260" t="s">
        <v>199</v>
      </c>
      <c r="S260" t="s">
        <v>116</v>
      </c>
      <c r="T260" t="s">
        <v>117</v>
      </c>
      <c r="U260" t="s">
        <v>130</v>
      </c>
      <c r="V260" t="s">
        <v>229</v>
      </c>
      <c r="W260" t="s">
        <v>114</v>
      </c>
      <c r="Y260" t="s">
        <v>276</v>
      </c>
      <c r="AA260">
        <v>1</v>
      </c>
      <c r="AB260" t="s">
        <v>99</v>
      </c>
      <c r="AC260" t="s">
        <v>347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234</v>
      </c>
      <c r="AL260">
        <v>0.5</v>
      </c>
      <c r="AM260" t="s">
        <v>136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346</v>
      </c>
      <c r="F261" t="s">
        <v>272</v>
      </c>
      <c r="G261" s="27">
        <v>42937</v>
      </c>
      <c r="H261" t="s">
        <v>145</v>
      </c>
      <c r="I261" t="s">
        <v>323</v>
      </c>
      <c r="J261" t="s">
        <v>222</v>
      </c>
      <c r="K261">
        <v>9</v>
      </c>
      <c r="L261" t="s">
        <v>138</v>
      </c>
      <c r="M261" t="s">
        <v>324</v>
      </c>
      <c r="N261" t="s">
        <v>325</v>
      </c>
      <c r="O261">
        <v>71.400000000000006</v>
      </c>
      <c r="P261">
        <v>136</v>
      </c>
      <c r="Q261">
        <v>6251</v>
      </c>
      <c r="R261" t="s">
        <v>199</v>
      </c>
      <c r="S261" t="s">
        <v>116</v>
      </c>
      <c r="T261" t="s">
        <v>124</v>
      </c>
      <c r="U261" t="s">
        <v>178</v>
      </c>
      <c r="V261" t="s">
        <v>234</v>
      </c>
      <c r="W261" t="s">
        <v>157</v>
      </c>
      <c r="Y261" t="s">
        <v>136</v>
      </c>
      <c r="AA261">
        <v>1</v>
      </c>
      <c r="AB261" t="s">
        <v>100</v>
      </c>
      <c r="AC261" t="s">
        <v>347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229</v>
      </c>
      <c r="AL261">
        <v>0.65476190476190499</v>
      </c>
      <c r="AM261" t="s">
        <v>276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348</v>
      </c>
      <c r="F262" t="s">
        <v>272</v>
      </c>
      <c r="G262" s="27">
        <v>42937</v>
      </c>
      <c r="H262" t="s">
        <v>145</v>
      </c>
      <c r="I262" t="s">
        <v>323</v>
      </c>
      <c r="J262" t="s">
        <v>222</v>
      </c>
      <c r="K262">
        <v>9</v>
      </c>
      <c r="L262" t="s">
        <v>138</v>
      </c>
      <c r="M262" t="s">
        <v>324</v>
      </c>
      <c r="N262" t="s">
        <v>325</v>
      </c>
      <c r="O262">
        <v>71.400000000000006</v>
      </c>
      <c r="P262">
        <v>136</v>
      </c>
      <c r="Q262">
        <v>6251</v>
      </c>
      <c r="R262" t="s">
        <v>199</v>
      </c>
      <c r="S262" t="s">
        <v>116</v>
      </c>
      <c r="T262" t="s">
        <v>124</v>
      </c>
      <c r="U262" t="s">
        <v>178</v>
      </c>
      <c r="V262" t="s">
        <v>326</v>
      </c>
      <c r="W262" t="s">
        <v>157</v>
      </c>
      <c r="Y262" t="s">
        <v>123</v>
      </c>
      <c r="AA262">
        <v>1</v>
      </c>
      <c r="AB262" t="s">
        <v>99</v>
      </c>
      <c r="AC262" t="s">
        <v>349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174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348</v>
      </c>
      <c r="F263" t="s">
        <v>272</v>
      </c>
      <c r="G263" s="27">
        <v>42937</v>
      </c>
      <c r="H263" t="s">
        <v>145</v>
      </c>
      <c r="I263" t="s">
        <v>323</v>
      </c>
      <c r="J263" t="s">
        <v>222</v>
      </c>
      <c r="K263">
        <v>9</v>
      </c>
      <c r="L263" t="s">
        <v>138</v>
      </c>
      <c r="M263" t="s">
        <v>324</v>
      </c>
      <c r="N263" t="s">
        <v>325</v>
      </c>
      <c r="O263">
        <v>71.400000000000006</v>
      </c>
      <c r="P263">
        <v>136</v>
      </c>
      <c r="Q263">
        <v>6251</v>
      </c>
      <c r="R263" t="s">
        <v>199</v>
      </c>
      <c r="S263" t="s">
        <v>116</v>
      </c>
      <c r="T263" t="s">
        <v>117</v>
      </c>
      <c r="U263" t="s">
        <v>130</v>
      </c>
      <c r="V263" t="s">
        <v>174</v>
      </c>
      <c r="W263" t="s">
        <v>114</v>
      </c>
      <c r="Y263" t="s">
        <v>122</v>
      </c>
      <c r="AA263">
        <v>1</v>
      </c>
      <c r="AB263" t="s">
        <v>100</v>
      </c>
      <c r="AC263" t="s">
        <v>349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326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350</v>
      </c>
      <c r="F264" t="s">
        <v>272</v>
      </c>
      <c r="G264" s="27">
        <v>42937</v>
      </c>
      <c r="H264" t="s">
        <v>145</v>
      </c>
      <c r="I264" t="s">
        <v>323</v>
      </c>
      <c r="J264" t="s">
        <v>222</v>
      </c>
      <c r="K264">
        <v>9</v>
      </c>
      <c r="L264" t="s">
        <v>138</v>
      </c>
      <c r="M264" t="s">
        <v>324</v>
      </c>
      <c r="N264" t="s">
        <v>325</v>
      </c>
      <c r="O264">
        <v>71.400000000000006</v>
      </c>
      <c r="P264">
        <v>136</v>
      </c>
      <c r="Q264">
        <v>6251</v>
      </c>
      <c r="R264" t="s">
        <v>199</v>
      </c>
      <c r="S264" t="s">
        <v>116</v>
      </c>
      <c r="T264" t="s">
        <v>117</v>
      </c>
      <c r="U264" t="s">
        <v>130</v>
      </c>
      <c r="V264" t="s">
        <v>233</v>
      </c>
      <c r="W264" t="s">
        <v>157</v>
      </c>
      <c r="Y264" t="s">
        <v>230</v>
      </c>
      <c r="AA264">
        <v>1</v>
      </c>
      <c r="AB264" t="s">
        <v>99</v>
      </c>
      <c r="AC264" t="s">
        <v>351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181</v>
      </c>
      <c r="AL264">
        <v>0.44067796610169502</v>
      </c>
      <c r="AM264" t="s">
        <v>180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350</v>
      </c>
      <c r="F265" t="s">
        <v>272</v>
      </c>
      <c r="G265" s="27">
        <v>42937</v>
      </c>
      <c r="H265" t="s">
        <v>145</v>
      </c>
      <c r="I265" t="s">
        <v>323</v>
      </c>
      <c r="J265" t="s">
        <v>222</v>
      </c>
      <c r="K265">
        <v>9</v>
      </c>
      <c r="L265" t="s">
        <v>138</v>
      </c>
      <c r="M265" t="s">
        <v>324</v>
      </c>
      <c r="N265" t="s">
        <v>325</v>
      </c>
      <c r="O265">
        <v>71.400000000000006</v>
      </c>
      <c r="P265">
        <v>136</v>
      </c>
      <c r="Q265">
        <v>6251</v>
      </c>
      <c r="R265" t="s">
        <v>199</v>
      </c>
      <c r="S265" t="s">
        <v>116</v>
      </c>
      <c r="T265" t="s">
        <v>124</v>
      </c>
      <c r="U265" t="s">
        <v>178</v>
      </c>
      <c r="V265" t="s">
        <v>181</v>
      </c>
      <c r="W265" t="s">
        <v>114</v>
      </c>
      <c r="Y265" t="s">
        <v>180</v>
      </c>
      <c r="AA265">
        <v>1</v>
      </c>
      <c r="AB265" t="s">
        <v>100</v>
      </c>
      <c r="AC265" t="s">
        <v>351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233</v>
      </c>
      <c r="AL265">
        <v>0.52777777777777801</v>
      </c>
      <c r="AM265" t="s">
        <v>230</v>
      </c>
      <c r="AN265">
        <v>0.5</v>
      </c>
    </row>
    <row r="266" spans="2:40" ht="15" customHeight="1" x14ac:dyDescent="0.2">
      <c r="B266" t="s">
        <v>304</v>
      </c>
      <c r="D266">
        <v>5</v>
      </c>
      <c r="E266" t="s">
        <v>352</v>
      </c>
      <c r="F266" t="s">
        <v>272</v>
      </c>
      <c r="G266" s="27">
        <v>42937</v>
      </c>
      <c r="H266" t="s">
        <v>145</v>
      </c>
      <c r="I266" t="s">
        <v>323</v>
      </c>
      <c r="J266" t="s">
        <v>222</v>
      </c>
      <c r="K266">
        <v>9</v>
      </c>
      <c r="L266" t="s">
        <v>112</v>
      </c>
      <c r="M266" t="s">
        <v>324</v>
      </c>
      <c r="N266" t="s">
        <v>325</v>
      </c>
      <c r="O266">
        <v>71.400000000000006</v>
      </c>
      <c r="P266">
        <v>136</v>
      </c>
      <c r="Q266">
        <v>6251</v>
      </c>
      <c r="R266" t="s">
        <v>307</v>
      </c>
      <c r="S266" t="s">
        <v>307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267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304</v>
      </c>
      <c r="D267">
        <v>5</v>
      </c>
      <c r="E267" t="s">
        <v>352</v>
      </c>
      <c r="F267" t="s">
        <v>272</v>
      </c>
      <c r="G267" s="27">
        <v>42937</v>
      </c>
      <c r="H267" t="s">
        <v>145</v>
      </c>
      <c r="I267" t="s">
        <v>323</v>
      </c>
      <c r="J267" t="s">
        <v>222</v>
      </c>
      <c r="K267">
        <v>9</v>
      </c>
      <c r="L267" t="s">
        <v>112</v>
      </c>
      <c r="M267" t="s">
        <v>324</v>
      </c>
      <c r="N267" t="s">
        <v>325</v>
      </c>
      <c r="O267">
        <v>71.400000000000006</v>
      </c>
      <c r="P267">
        <v>136</v>
      </c>
      <c r="Q267">
        <v>6251</v>
      </c>
      <c r="R267" t="s">
        <v>307</v>
      </c>
      <c r="S267" t="s">
        <v>307</v>
      </c>
      <c r="T267" t="s">
        <v>117</v>
      </c>
      <c r="U267" t="s">
        <v>130</v>
      </c>
      <c r="V267" t="s">
        <v>229</v>
      </c>
      <c r="W267" t="s">
        <v>114</v>
      </c>
      <c r="AA267">
        <v>0.5</v>
      </c>
      <c r="AB267" t="s">
        <v>100</v>
      </c>
      <c r="AC267" t="s">
        <v>267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304</v>
      </c>
      <c r="D268">
        <v>5</v>
      </c>
      <c r="E268" t="s">
        <v>352</v>
      </c>
      <c r="F268" t="s">
        <v>272</v>
      </c>
      <c r="G268" s="27">
        <v>42937</v>
      </c>
      <c r="H268" t="s">
        <v>145</v>
      </c>
      <c r="I268" t="s">
        <v>323</v>
      </c>
      <c r="J268" t="s">
        <v>222</v>
      </c>
      <c r="K268">
        <v>9</v>
      </c>
      <c r="L268" t="s">
        <v>112</v>
      </c>
      <c r="M268" t="s">
        <v>324</v>
      </c>
      <c r="N268" t="s">
        <v>325</v>
      </c>
      <c r="O268">
        <v>71.400000000000006</v>
      </c>
      <c r="P268">
        <v>136</v>
      </c>
      <c r="Q268">
        <v>6251</v>
      </c>
      <c r="R268" t="s">
        <v>307</v>
      </c>
      <c r="S268" t="s">
        <v>307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267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304</v>
      </c>
      <c r="D269">
        <v>5</v>
      </c>
      <c r="E269" t="s">
        <v>352</v>
      </c>
      <c r="F269" t="s">
        <v>272</v>
      </c>
      <c r="G269" s="27">
        <v>42937</v>
      </c>
      <c r="H269" t="s">
        <v>145</v>
      </c>
      <c r="I269" t="s">
        <v>323</v>
      </c>
      <c r="J269" t="s">
        <v>222</v>
      </c>
      <c r="K269">
        <v>9</v>
      </c>
      <c r="L269" t="s">
        <v>112</v>
      </c>
      <c r="M269" t="s">
        <v>324</v>
      </c>
      <c r="N269" t="s">
        <v>325</v>
      </c>
      <c r="O269">
        <v>71.400000000000006</v>
      </c>
      <c r="P269">
        <v>136</v>
      </c>
      <c r="Q269">
        <v>6251</v>
      </c>
      <c r="R269" t="s">
        <v>307</v>
      </c>
      <c r="S269" t="s">
        <v>307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267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304</v>
      </c>
      <c r="D270">
        <v>5</v>
      </c>
      <c r="E270" t="s">
        <v>352</v>
      </c>
      <c r="F270" t="s">
        <v>272</v>
      </c>
      <c r="G270" s="27">
        <v>42937</v>
      </c>
      <c r="H270" t="s">
        <v>145</v>
      </c>
      <c r="I270" t="s">
        <v>323</v>
      </c>
      <c r="J270" t="s">
        <v>222</v>
      </c>
      <c r="K270">
        <v>9</v>
      </c>
      <c r="L270" t="s">
        <v>112</v>
      </c>
      <c r="M270" t="s">
        <v>324</v>
      </c>
      <c r="N270" t="s">
        <v>325</v>
      </c>
      <c r="O270">
        <v>71.400000000000006</v>
      </c>
      <c r="P270">
        <v>136</v>
      </c>
      <c r="Q270">
        <v>6251</v>
      </c>
      <c r="R270" t="s">
        <v>307</v>
      </c>
      <c r="S270" t="s">
        <v>307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267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304</v>
      </c>
      <c r="D271">
        <v>5</v>
      </c>
      <c r="E271" t="s">
        <v>352</v>
      </c>
      <c r="F271" t="s">
        <v>272</v>
      </c>
      <c r="G271" s="27">
        <v>42937</v>
      </c>
      <c r="H271" t="s">
        <v>145</v>
      </c>
      <c r="I271" t="s">
        <v>323</v>
      </c>
      <c r="J271" t="s">
        <v>222</v>
      </c>
      <c r="K271">
        <v>9</v>
      </c>
      <c r="L271" t="s">
        <v>112</v>
      </c>
      <c r="M271" t="s">
        <v>324</v>
      </c>
      <c r="N271" t="s">
        <v>325</v>
      </c>
      <c r="O271">
        <v>71.400000000000006</v>
      </c>
      <c r="P271">
        <v>136</v>
      </c>
      <c r="Q271">
        <v>6251</v>
      </c>
      <c r="R271" t="s">
        <v>307</v>
      </c>
      <c r="S271" t="s">
        <v>307</v>
      </c>
      <c r="T271" t="s">
        <v>117</v>
      </c>
      <c r="U271" t="s">
        <v>130</v>
      </c>
      <c r="V271" t="s">
        <v>276</v>
      </c>
      <c r="W271" t="s">
        <v>114</v>
      </c>
      <c r="AA271">
        <v>0.5</v>
      </c>
      <c r="AB271" t="s">
        <v>100</v>
      </c>
      <c r="AC271" t="s">
        <v>267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304</v>
      </c>
      <c r="D272">
        <v>5</v>
      </c>
      <c r="E272" t="s">
        <v>352</v>
      </c>
      <c r="F272" t="s">
        <v>272</v>
      </c>
      <c r="G272" s="27">
        <v>42937</v>
      </c>
      <c r="H272" t="s">
        <v>145</v>
      </c>
      <c r="I272" t="s">
        <v>323</v>
      </c>
      <c r="J272" t="s">
        <v>222</v>
      </c>
      <c r="K272">
        <v>9</v>
      </c>
      <c r="L272" t="s">
        <v>112</v>
      </c>
      <c r="M272" t="s">
        <v>324</v>
      </c>
      <c r="N272" t="s">
        <v>325</v>
      </c>
      <c r="O272">
        <v>71.400000000000006</v>
      </c>
      <c r="P272">
        <v>136</v>
      </c>
      <c r="Q272">
        <v>6251</v>
      </c>
      <c r="R272" t="s">
        <v>307</v>
      </c>
      <c r="S272" t="s">
        <v>307</v>
      </c>
      <c r="T272" t="s">
        <v>117</v>
      </c>
      <c r="U272" t="s">
        <v>130</v>
      </c>
      <c r="V272" t="s">
        <v>180</v>
      </c>
      <c r="W272" t="s">
        <v>114</v>
      </c>
      <c r="AA272">
        <v>0.5</v>
      </c>
      <c r="AB272" t="s">
        <v>100</v>
      </c>
      <c r="AC272" t="s">
        <v>267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304</v>
      </c>
      <c r="D273">
        <v>5</v>
      </c>
      <c r="E273" t="s">
        <v>352</v>
      </c>
      <c r="F273" t="s">
        <v>272</v>
      </c>
      <c r="G273" s="27">
        <v>42937</v>
      </c>
      <c r="H273" t="s">
        <v>145</v>
      </c>
      <c r="I273" t="s">
        <v>323</v>
      </c>
      <c r="J273" t="s">
        <v>222</v>
      </c>
      <c r="K273">
        <v>9</v>
      </c>
      <c r="L273" t="s">
        <v>112</v>
      </c>
      <c r="M273" t="s">
        <v>324</v>
      </c>
      <c r="N273" t="s">
        <v>325</v>
      </c>
      <c r="O273">
        <v>71.400000000000006</v>
      </c>
      <c r="P273">
        <v>136</v>
      </c>
      <c r="Q273">
        <v>6251</v>
      </c>
      <c r="R273" t="s">
        <v>307</v>
      </c>
      <c r="S273" t="s">
        <v>307</v>
      </c>
      <c r="T273" t="s">
        <v>117</v>
      </c>
      <c r="U273" t="s">
        <v>130</v>
      </c>
      <c r="V273" t="s">
        <v>174</v>
      </c>
      <c r="W273" t="s">
        <v>114</v>
      </c>
      <c r="AA273">
        <v>0.5</v>
      </c>
      <c r="AB273" t="s">
        <v>100</v>
      </c>
      <c r="AC273" t="s">
        <v>267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304</v>
      </c>
      <c r="D274">
        <v>5</v>
      </c>
      <c r="E274" t="s">
        <v>352</v>
      </c>
      <c r="F274" t="s">
        <v>272</v>
      </c>
      <c r="G274" s="27">
        <v>42937</v>
      </c>
      <c r="H274" t="s">
        <v>145</v>
      </c>
      <c r="I274" t="s">
        <v>323</v>
      </c>
      <c r="J274" t="s">
        <v>222</v>
      </c>
      <c r="K274">
        <v>9</v>
      </c>
      <c r="L274" t="s">
        <v>112</v>
      </c>
      <c r="M274" t="s">
        <v>324</v>
      </c>
      <c r="N274" t="s">
        <v>325</v>
      </c>
      <c r="O274">
        <v>71.400000000000006</v>
      </c>
      <c r="P274">
        <v>136</v>
      </c>
      <c r="Q274">
        <v>6251</v>
      </c>
      <c r="R274" t="s">
        <v>307</v>
      </c>
      <c r="S274" t="s">
        <v>307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267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304</v>
      </c>
      <c r="D275">
        <v>5</v>
      </c>
      <c r="E275" t="s">
        <v>352</v>
      </c>
      <c r="F275" t="s">
        <v>272</v>
      </c>
      <c r="G275" s="27">
        <v>42937</v>
      </c>
      <c r="H275" t="s">
        <v>145</v>
      </c>
      <c r="I275" t="s">
        <v>323</v>
      </c>
      <c r="J275" t="s">
        <v>222</v>
      </c>
      <c r="K275">
        <v>9</v>
      </c>
      <c r="L275" t="s">
        <v>112</v>
      </c>
      <c r="M275" t="s">
        <v>324</v>
      </c>
      <c r="N275" t="s">
        <v>325</v>
      </c>
      <c r="O275">
        <v>71.400000000000006</v>
      </c>
      <c r="P275">
        <v>136</v>
      </c>
      <c r="Q275">
        <v>6251</v>
      </c>
      <c r="R275" t="s">
        <v>307</v>
      </c>
      <c r="S275" t="s">
        <v>307</v>
      </c>
      <c r="T275" t="s">
        <v>117</v>
      </c>
      <c r="U275" t="s">
        <v>130</v>
      </c>
      <c r="V275" t="s">
        <v>181</v>
      </c>
      <c r="W275" t="s">
        <v>114</v>
      </c>
      <c r="AA275">
        <v>0.5</v>
      </c>
      <c r="AB275" t="s">
        <v>100</v>
      </c>
      <c r="AC275" t="s">
        <v>267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304</v>
      </c>
      <c r="D276">
        <v>5</v>
      </c>
      <c r="E276" t="s">
        <v>352</v>
      </c>
      <c r="F276" t="s">
        <v>272</v>
      </c>
      <c r="G276" s="27">
        <v>42937</v>
      </c>
      <c r="H276" t="s">
        <v>145</v>
      </c>
      <c r="I276" t="s">
        <v>323</v>
      </c>
      <c r="J276" t="s">
        <v>222</v>
      </c>
      <c r="K276">
        <v>9</v>
      </c>
      <c r="L276" t="s">
        <v>112</v>
      </c>
      <c r="M276" t="s">
        <v>324</v>
      </c>
      <c r="N276" t="s">
        <v>325</v>
      </c>
      <c r="O276">
        <v>71.400000000000006</v>
      </c>
      <c r="P276">
        <v>136</v>
      </c>
      <c r="Q276">
        <v>6251</v>
      </c>
      <c r="R276" t="s">
        <v>307</v>
      </c>
      <c r="S276" t="s">
        <v>307</v>
      </c>
      <c r="T276" t="s">
        <v>124</v>
      </c>
      <c r="U276" t="s">
        <v>178</v>
      </c>
      <c r="V276" t="s">
        <v>135</v>
      </c>
      <c r="W276" t="s">
        <v>157</v>
      </c>
      <c r="AA276">
        <v>0.5</v>
      </c>
      <c r="AB276" t="s">
        <v>99</v>
      </c>
      <c r="AC276" t="s">
        <v>267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304</v>
      </c>
      <c r="D277">
        <v>5</v>
      </c>
      <c r="E277" t="s">
        <v>352</v>
      </c>
      <c r="F277" t="s">
        <v>272</v>
      </c>
      <c r="G277" s="27">
        <v>42937</v>
      </c>
      <c r="H277" t="s">
        <v>145</v>
      </c>
      <c r="I277" t="s">
        <v>323</v>
      </c>
      <c r="J277" t="s">
        <v>222</v>
      </c>
      <c r="K277">
        <v>9</v>
      </c>
      <c r="L277" t="s">
        <v>112</v>
      </c>
      <c r="M277" t="s">
        <v>324</v>
      </c>
      <c r="N277" t="s">
        <v>325</v>
      </c>
      <c r="O277">
        <v>71.400000000000006</v>
      </c>
      <c r="P277">
        <v>136</v>
      </c>
      <c r="Q277">
        <v>6251</v>
      </c>
      <c r="R277" t="s">
        <v>307</v>
      </c>
      <c r="S277" t="s">
        <v>307</v>
      </c>
      <c r="T277" t="s">
        <v>124</v>
      </c>
      <c r="U277" t="s">
        <v>178</v>
      </c>
      <c r="V277" t="s">
        <v>234</v>
      </c>
      <c r="W277" t="s">
        <v>157</v>
      </c>
      <c r="AA277">
        <v>0.5</v>
      </c>
      <c r="AB277" t="s">
        <v>99</v>
      </c>
      <c r="AC277" t="s">
        <v>267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304</v>
      </c>
      <c r="D278">
        <v>5</v>
      </c>
      <c r="E278" t="s">
        <v>352</v>
      </c>
      <c r="F278" t="s">
        <v>272</v>
      </c>
      <c r="G278" s="27">
        <v>42937</v>
      </c>
      <c r="H278" t="s">
        <v>145</v>
      </c>
      <c r="I278" t="s">
        <v>323</v>
      </c>
      <c r="J278" t="s">
        <v>222</v>
      </c>
      <c r="K278">
        <v>9</v>
      </c>
      <c r="L278" t="s">
        <v>112</v>
      </c>
      <c r="M278" t="s">
        <v>324</v>
      </c>
      <c r="N278" t="s">
        <v>325</v>
      </c>
      <c r="O278">
        <v>71.400000000000006</v>
      </c>
      <c r="P278">
        <v>136</v>
      </c>
      <c r="Q278">
        <v>6251</v>
      </c>
      <c r="R278" t="s">
        <v>307</v>
      </c>
      <c r="S278" t="s">
        <v>307</v>
      </c>
      <c r="T278" t="s">
        <v>124</v>
      </c>
      <c r="U278" t="s">
        <v>178</v>
      </c>
      <c r="V278" t="s">
        <v>230</v>
      </c>
      <c r="W278" t="s">
        <v>157</v>
      </c>
      <c r="AA278">
        <v>0.5</v>
      </c>
      <c r="AB278" t="s">
        <v>99</v>
      </c>
      <c r="AC278" t="s">
        <v>267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304</v>
      </c>
      <c r="D279">
        <v>5</v>
      </c>
      <c r="E279" t="s">
        <v>352</v>
      </c>
      <c r="F279" t="s">
        <v>272</v>
      </c>
      <c r="G279" s="27">
        <v>42937</v>
      </c>
      <c r="H279" t="s">
        <v>145</v>
      </c>
      <c r="I279" t="s">
        <v>323</v>
      </c>
      <c r="J279" t="s">
        <v>222</v>
      </c>
      <c r="K279">
        <v>9</v>
      </c>
      <c r="L279" t="s">
        <v>112</v>
      </c>
      <c r="M279" t="s">
        <v>324</v>
      </c>
      <c r="N279" t="s">
        <v>325</v>
      </c>
      <c r="O279">
        <v>71.400000000000006</v>
      </c>
      <c r="P279">
        <v>136</v>
      </c>
      <c r="Q279">
        <v>6251</v>
      </c>
      <c r="R279" t="s">
        <v>307</v>
      </c>
      <c r="S279" t="s">
        <v>307</v>
      </c>
      <c r="T279" t="s">
        <v>124</v>
      </c>
      <c r="U279" t="s">
        <v>178</v>
      </c>
      <c r="V279" t="s">
        <v>326</v>
      </c>
      <c r="W279" t="s">
        <v>157</v>
      </c>
      <c r="AA279">
        <v>0.5</v>
      </c>
      <c r="AB279" t="s">
        <v>99</v>
      </c>
      <c r="AC279" t="s">
        <v>267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304</v>
      </c>
      <c r="D280">
        <v>5</v>
      </c>
      <c r="E280" t="s">
        <v>352</v>
      </c>
      <c r="F280" t="s">
        <v>272</v>
      </c>
      <c r="G280" s="27">
        <v>42937</v>
      </c>
      <c r="H280" t="s">
        <v>145</v>
      </c>
      <c r="I280" t="s">
        <v>323</v>
      </c>
      <c r="J280" t="s">
        <v>222</v>
      </c>
      <c r="K280">
        <v>9</v>
      </c>
      <c r="L280" t="s">
        <v>112</v>
      </c>
      <c r="M280" t="s">
        <v>324</v>
      </c>
      <c r="N280" t="s">
        <v>325</v>
      </c>
      <c r="O280">
        <v>71.400000000000006</v>
      </c>
      <c r="P280">
        <v>136</v>
      </c>
      <c r="Q280">
        <v>6251</v>
      </c>
      <c r="R280" t="s">
        <v>307</v>
      </c>
      <c r="S280" t="s">
        <v>307</v>
      </c>
      <c r="T280" t="s">
        <v>124</v>
      </c>
      <c r="U280" t="s">
        <v>178</v>
      </c>
      <c r="V280" t="s">
        <v>133</v>
      </c>
      <c r="W280" t="s">
        <v>157</v>
      </c>
      <c r="AA280">
        <v>0.5</v>
      </c>
      <c r="AB280" t="s">
        <v>99</v>
      </c>
      <c r="AC280" t="s">
        <v>267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304</v>
      </c>
      <c r="D281">
        <v>5</v>
      </c>
      <c r="E281" t="s">
        <v>352</v>
      </c>
      <c r="F281" t="s">
        <v>272</v>
      </c>
      <c r="G281" s="27">
        <v>42937</v>
      </c>
      <c r="H281" t="s">
        <v>145</v>
      </c>
      <c r="I281" t="s">
        <v>323</v>
      </c>
      <c r="J281" t="s">
        <v>222</v>
      </c>
      <c r="K281">
        <v>9</v>
      </c>
      <c r="L281" t="s">
        <v>112</v>
      </c>
      <c r="M281" t="s">
        <v>324</v>
      </c>
      <c r="N281" t="s">
        <v>325</v>
      </c>
      <c r="O281">
        <v>71.400000000000006</v>
      </c>
      <c r="P281">
        <v>136</v>
      </c>
      <c r="Q281">
        <v>6251</v>
      </c>
      <c r="R281" t="s">
        <v>307</v>
      </c>
      <c r="S281" t="s">
        <v>307</v>
      </c>
      <c r="T281" t="s">
        <v>124</v>
      </c>
      <c r="U281" t="s">
        <v>178</v>
      </c>
      <c r="V281" t="s">
        <v>119</v>
      </c>
      <c r="W281" t="s">
        <v>157</v>
      </c>
      <c r="AA281">
        <v>0.5</v>
      </c>
      <c r="AB281" t="s">
        <v>99</v>
      </c>
      <c r="AC281" t="s">
        <v>267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304</v>
      </c>
      <c r="D282">
        <v>5</v>
      </c>
      <c r="E282" t="s">
        <v>352</v>
      </c>
      <c r="F282" t="s">
        <v>272</v>
      </c>
      <c r="G282" s="27">
        <v>42937</v>
      </c>
      <c r="H282" t="s">
        <v>145</v>
      </c>
      <c r="I282" t="s">
        <v>323</v>
      </c>
      <c r="J282" t="s">
        <v>222</v>
      </c>
      <c r="K282">
        <v>9</v>
      </c>
      <c r="L282" t="s">
        <v>112</v>
      </c>
      <c r="M282" t="s">
        <v>324</v>
      </c>
      <c r="N282" t="s">
        <v>325</v>
      </c>
      <c r="O282">
        <v>71.400000000000006</v>
      </c>
      <c r="P282">
        <v>136</v>
      </c>
      <c r="Q282">
        <v>6251</v>
      </c>
      <c r="R282" t="s">
        <v>307</v>
      </c>
      <c r="S282" t="s">
        <v>307</v>
      </c>
      <c r="T282" t="s">
        <v>124</v>
      </c>
      <c r="U282" t="s">
        <v>178</v>
      </c>
      <c r="V282" t="s">
        <v>123</v>
      </c>
      <c r="W282" t="s">
        <v>157</v>
      </c>
      <c r="AA282">
        <v>0.5</v>
      </c>
      <c r="AB282" t="s">
        <v>99</v>
      </c>
      <c r="AC282" t="s">
        <v>267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304</v>
      </c>
      <c r="D283">
        <v>5</v>
      </c>
      <c r="E283" t="s">
        <v>352</v>
      </c>
      <c r="F283" t="s">
        <v>272</v>
      </c>
      <c r="G283" s="27">
        <v>42937</v>
      </c>
      <c r="H283" t="s">
        <v>145</v>
      </c>
      <c r="I283" t="s">
        <v>323</v>
      </c>
      <c r="J283" t="s">
        <v>222</v>
      </c>
      <c r="K283">
        <v>9</v>
      </c>
      <c r="L283" t="s">
        <v>112</v>
      </c>
      <c r="M283" t="s">
        <v>324</v>
      </c>
      <c r="N283" t="s">
        <v>325</v>
      </c>
      <c r="O283">
        <v>71.400000000000006</v>
      </c>
      <c r="P283">
        <v>136</v>
      </c>
      <c r="Q283">
        <v>6251</v>
      </c>
      <c r="R283" t="s">
        <v>307</v>
      </c>
      <c r="S283" t="s">
        <v>307</v>
      </c>
      <c r="T283" t="s">
        <v>124</v>
      </c>
      <c r="U283" t="s">
        <v>178</v>
      </c>
      <c r="V283" t="s">
        <v>233</v>
      </c>
      <c r="W283" t="s">
        <v>157</v>
      </c>
      <c r="AA283">
        <v>0.5</v>
      </c>
      <c r="AB283" t="s">
        <v>99</v>
      </c>
      <c r="AC283" t="s">
        <v>267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304</v>
      </c>
      <c r="D284">
        <v>5</v>
      </c>
      <c r="E284" t="s">
        <v>352</v>
      </c>
      <c r="F284" t="s">
        <v>272</v>
      </c>
      <c r="G284" s="27">
        <v>42937</v>
      </c>
      <c r="H284" t="s">
        <v>145</v>
      </c>
      <c r="I284" t="s">
        <v>323</v>
      </c>
      <c r="J284" t="s">
        <v>222</v>
      </c>
      <c r="K284">
        <v>9</v>
      </c>
      <c r="L284" t="s">
        <v>112</v>
      </c>
      <c r="M284" t="s">
        <v>324</v>
      </c>
      <c r="N284" t="s">
        <v>325</v>
      </c>
      <c r="O284">
        <v>71.400000000000006</v>
      </c>
      <c r="P284">
        <v>136</v>
      </c>
      <c r="Q284">
        <v>6251</v>
      </c>
      <c r="R284" t="s">
        <v>307</v>
      </c>
      <c r="S284" t="s">
        <v>307</v>
      </c>
      <c r="T284" t="s">
        <v>124</v>
      </c>
      <c r="U284" t="s">
        <v>178</v>
      </c>
      <c r="V284" t="s">
        <v>178</v>
      </c>
      <c r="W284" t="s">
        <v>157</v>
      </c>
      <c r="AA284">
        <v>0.5</v>
      </c>
      <c r="AB284" t="s">
        <v>99</v>
      </c>
      <c r="AC284" t="s">
        <v>267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304</v>
      </c>
      <c r="D285">
        <v>5</v>
      </c>
      <c r="E285" t="s">
        <v>352</v>
      </c>
      <c r="F285" t="s">
        <v>272</v>
      </c>
      <c r="G285" s="27">
        <v>42937</v>
      </c>
      <c r="H285" t="s">
        <v>145</v>
      </c>
      <c r="I285" t="s">
        <v>323</v>
      </c>
      <c r="J285" t="s">
        <v>222</v>
      </c>
      <c r="K285">
        <v>9</v>
      </c>
      <c r="L285" t="s">
        <v>112</v>
      </c>
      <c r="M285" t="s">
        <v>324</v>
      </c>
      <c r="N285" t="s">
        <v>325</v>
      </c>
      <c r="O285">
        <v>71.400000000000006</v>
      </c>
      <c r="P285">
        <v>136</v>
      </c>
      <c r="Q285">
        <v>6251</v>
      </c>
      <c r="R285" t="s">
        <v>307</v>
      </c>
      <c r="S285" t="s">
        <v>307</v>
      </c>
      <c r="T285" t="s">
        <v>124</v>
      </c>
      <c r="U285" t="s">
        <v>178</v>
      </c>
      <c r="V285" t="s">
        <v>136</v>
      </c>
      <c r="W285" t="s">
        <v>157</v>
      </c>
      <c r="AA285">
        <v>0.5</v>
      </c>
      <c r="AB285" t="s">
        <v>99</v>
      </c>
      <c r="AC285" t="s">
        <v>267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353</v>
      </c>
      <c r="F286" t="s">
        <v>108</v>
      </c>
      <c r="G286" s="27">
        <v>42938</v>
      </c>
      <c r="H286" t="s">
        <v>109</v>
      </c>
      <c r="I286" t="s">
        <v>323</v>
      </c>
      <c r="J286" t="s">
        <v>222</v>
      </c>
      <c r="K286">
        <v>18</v>
      </c>
      <c r="L286" t="s">
        <v>155</v>
      </c>
      <c r="M286" t="s">
        <v>354</v>
      </c>
      <c r="N286" t="s">
        <v>157</v>
      </c>
      <c r="O286">
        <v>72.2</v>
      </c>
      <c r="P286">
        <v>138</v>
      </c>
      <c r="Q286">
        <v>6522</v>
      </c>
      <c r="R286" t="s">
        <v>158</v>
      </c>
      <c r="S286" t="s">
        <v>159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225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355</v>
      </c>
      <c r="F287" t="s">
        <v>108</v>
      </c>
      <c r="G287" s="27">
        <v>42938</v>
      </c>
      <c r="H287" t="s">
        <v>109</v>
      </c>
      <c r="I287" t="s">
        <v>323</v>
      </c>
      <c r="J287" t="s">
        <v>222</v>
      </c>
      <c r="K287">
        <v>18</v>
      </c>
      <c r="L287" t="s">
        <v>155</v>
      </c>
      <c r="M287" t="s">
        <v>354</v>
      </c>
      <c r="N287" t="s">
        <v>157</v>
      </c>
      <c r="O287">
        <v>72.2</v>
      </c>
      <c r="P287">
        <v>138</v>
      </c>
      <c r="Q287">
        <v>6522</v>
      </c>
      <c r="R287" t="s">
        <v>158</v>
      </c>
      <c r="S287" t="s">
        <v>159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267</v>
      </c>
      <c r="AD287" t="s">
        <v>234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234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356</v>
      </c>
      <c r="F288" t="s">
        <v>108</v>
      </c>
      <c r="G288" s="27">
        <v>42938</v>
      </c>
      <c r="H288" t="s">
        <v>109</v>
      </c>
      <c r="I288" t="s">
        <v>323</v>
      </c>
      <c r="J288" t="s">
        <v>222</v>
      </c>
      <c r="K288">
        <v>18</v>
      </c>
      <c r="L288" t="s">
        <v>155</v>
      </c>
      <c r="M288" t="s">
        <v>354</v>
      </c>
      <c r="N288" t="s">
        <v>157</v>
      </c>
      <c r="O288">
        <v>72.2</v>
      </c>
      <c r="P288">
        <v>138</v>
      </c>
      <c r="Q288">
        <v>6522</v>
      </c>
      <c r="R288" t="s">
        <v>158</v>
      </c>
      <c r="S288" t="s">
        <v>159</v>
      </c>
      <c r="T288" t="s">
        <v>117</v>
      </c>
      <c r="U288" t="s">
        <v>130</v>
      </c>
      <c r="V288" t="s">
        <v>229</v>
      </c>
      <c r="W288" t="s">
        <v>114</v>
      </c>
      <c r="AA288">
        <v>2</v>
      </c>
      <c r="AB288" t="s">
        <v>101</v>
      </c>
      <c r="AC288" t="s">
        <v>140</v>
      </c>
      <c r="AD288" t="s">
        <v>230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230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357</v>
      </c>
      <c r="F289" t="s">
        <v>108</v>
      </c>
      <c r="G289" s="27">
        <v>42938</v>
      </c>
      <c r="H289" t="s">
        <v>109</v>
      </c>
      <c r="I289" t="s">
        <v>323</v>
      </c>
      <c r="J289" t="s">
        <v>222</v>
      </c>
      <c r="K289">
        <v>18</v>
      </c>
      <c r="L289" t="s">
        <v>155</v>
      </c>
      <c r="M289" t="s">
        <v>354</v>
      </c>
      <c r="N289" t="s">
        <v>157</v>
      </c>
      <c r="O289">
        <v>72.2</v>
      </c>
      <c r="P289">
        <v>138</v>
      </c>
      <c r="Q289">
        <v>6522</v>
      </c>
      <c r="R289" t="s">
        <v>158</v>
      </c>
      <c r="S289" t="s">
        <v>159</v>
      </c>
      <c r="T289" t="s">
        <v>117</v>
      </c>
      <c r="U289" t="s">
        <v>130</v>
      </c>
      <c r="V289" t="s">
        <v>276</v>
      </c>
      <c r="W289" t="s">
        <v>114</v>
      </c>
      <c r="AA289">
        <v>2</v>
      </c>
      <c r="AB289" t="s">
        <v>100</v>
      </c>
      <c r="AC289" t="s">
        <v>242</v>
      </c>
      <c r="AD289" t="s">
        <v>135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135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358</v>
      </c>
      <c r="F290" t="s">
        <v>108</v>
      </c>
      <c r="G290" s="27">
        <v>42938</v>
      </c>
      <c r="H290" t="s">
        <v>109</v>
      </c>
      <c r="I290" t="s">
        <v>323</v>
      </c>
      <c r="J290" t="s">
        <v>222</v>
      </c>
      <c r="K290">
        <v>18</v>
      </c>
      <c r="L290" t="s">
        <v>155</v>
      </c>
      <c r="M290" t="s">
        <v>354</v>
      </c>
      <c r="N290" t="s">
        <v>157</v>
      </c>
      <c r="O290">
        <v>72.2</v>
      </c>
      <c r="P290">
        <v>138</v>
      </c>
      <c r="Q290">
        <v>6522</v>
      </c>
      <c r="R290" t="s">
        <v>158</v>
      </c>
      <c r="S290" t="s">
        <v>159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267</v>
      </c>
      <c r="AD290" t="s">
        <v>326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326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359</v>
      </c>
      <c r="F291" t="s">
        <v>108</v>
      </c>
      <c r="G291" s="27">
        <v>42938</v>
      </c>
      <c r="H291" t="s">
        <v>109</v>
      </c>
      <c r="I291" t="s">
        <v>323</v>
      </c>
      <c r="J291" t="s">
        <v>222</v>
      </c>
      <c r="K291">
        <v>18</v>
      </c>
      <c r="L291" t="s">
        <v>155</v>
      </c>
      <c r="M291" t="s">
        <v>354</v>
      </c>
      <c r="N291" t="s">
        <v>157</v>
      </c>
      <c r="O291">
        <v>72.2</v>
      </c>
      <c r="P291">
        <v>138</v>
      </c>
      <c r="Q291">
        <v>6522</v>
      </c>
      <c r="R291" t="s">
        <v>158</v>
      </c>
      <c r="S291" t="s">
        <v>159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225</v>
      </c>
      <c r="AD291" t="s">
        <v>136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136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360</v>
      </c>
      <c r="F292" t="s">
        <v>108</v>
      </c>
      <c r="G292" s="27">
        <v>42938</v>
      </c>
      <c r="H292" t="s">
        <v>109</v>
      </c>
      <c r="I292" t="s">
        <v>323</v>
      </c>
      <c r="J292" t="s">
        <v>222</v>
      </c>
      <c r="K292">
        <v>18</v>
      </c>
      <c r="L292" t="s">
        <v>155</v>
      </c>
      <c r="M292" t="s">
        <v>354</v>
      </c>
      <c r="N292" t="s">
        <v>157</v>
      </c>
      <c r="O292">
        <v>72.2</v>
      </c>
      <c r="P292">
        <v>138</v>
      </c>
      <c r="Q292">
        <v>6522</v>
      </c>
      <c r="R292" t="s">
        <v>158</v>
      </c>
      <c r="S292" t="s">
        <v>159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267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361</v>
      </c>
      <c r="F293" t="s">
        <v>108</v>
      </c>
      <c r="G293" s="27">
        <v>42938</v>
      </c>
      <c r="H293" t="s">
        <v>109</v>
      </c>
      <c r="I293" t="s">
        <v>323</v>
      </c>
      <c r="J293" t="s">
        <v>222</v>
      </c>
      <c r="K293">
        <v>18</v>
      </c>
      <c r="L293" t="s">
        <v>155</v>
      </c>
      <c r="M293" t="s">
        <v>354</v>
      </c>
      <c r="N293" t="s">
        <v>157</v>
      </c>
      <c r="O293">
        <v>72.2</v>
      </c>
      <c r="P293">
        <v>138</v>
      </c>
      <c r="Q293">
        <v>6522</v>
      </c>
      <c r="R293" t="s">
        <v>158</v>
      </c>
      <c r="S293" t="s">
        <v>159</v>
      </c>
      <c r="T293" t="s">
        <v>117</v>
      </c>
      <c r="U293" t="s">
        <v>130</v>
      </c>
      <c r="V293" t="s">
        <v>174</v>
      </c>
      <c r="W293" t="s">
        <v>114</v>
      </c>
      <c r="AA293">
        <v>2</v>
      </c>
      <c r="AB293" t="s">
        <v>100</v>
      </c>
      <c r="AC293" t="s">
        <v>308</v>
      </c>
      <c r="AD293" t="s">
        <v>233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233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362</v>
      </c>
      <c r="F294" t="s">
        <v>108</v>
      </c>
      <c r="G294" s="27">
        <v>42938</v>
      </c>
      <c r="H294" t="s">
        <v>109</v>
      </c>
      <c r="I294" t="s">
        <v>323</v>
      </c>
      <c r="J294" t="s">
        <v>222</v>
      </c>
      <c r="K294">
        <v>18</v>
      </c>
      <c r="L294" t="s">
        <v>155</v>
      </c>
      <c r="M294" t="s">
        <v>354</v>
      </c>
      <c r="N294" t="s">
        <v>157</v>
      </c>
      <c r="O294">
        <v>72.2</v>
      </c>
      <c r="P294">
        <v>138</v>
      </c>
      <c r="Q294">
        <v>6522</v>
      </c>
      <c r="R294" t="s">
        <v>158</v>
      </c>
      <c r="S294" t="s">
        <v>159</v>
      </c>
      <c r="T294" t="s">
        <v>117</v>
      </c>
      <c r="U294" t="s">
        <v>130</v>
      </c>
      <c r="V294" t="s">
        <v>181</v>
      </c>
      <c r="W294" t="s">
        <v>114</v>
      </c>
      <c r="AA294">
        <v>2</v>
      </c>
      <c r="AB294" t="s">
        <v>100</v>
      </c>
      <c r="AC294" t="s">
        <v>242</v>
      </c>
      <c r="AD294" t="s">
        <v>178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178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363</v>
      </c>
      <c r="F295" t="s">
        <v>108</v>
      </c>
      <c r="G295" s="27">
        <v>42938</v>
      </c>
      <c r="H295" t="s">
        <v>109</v>
      </c>
      <c r="I295" t="s">
        <v>323</v>
      </c>
      <c r="J295" t="s">
        <v>222</v>
      </c>
      <c r="K295">
        <v>18</v>
      </c>
      <c r="L295" t="s">
        <v>155</v>
      </c>
      <c r="M295" t="s">
        <v>354</v>
      </c>
      <c r="N295" t="s">
        <v>157</v>
      </c>
      <c r="O295">
        <v>72.2</v>
      </c>
      <c r="P295">
        <v>138</v>
      </c>
      <c r="Q295">
        <v>6522</v>
      </c>
      <c r="R295" t="s">
        <v>158</v>
      </c>
      <c r="S295" t="s">
        <v>159</v>
      </c>
      <c r="T295" t="s">
        <v>117</v>
      </c>
      <c r="U295" t="s">
        <v>130</v>
      </c>
      <c r="V295" t="s">
        <v>180</v>
      </c>
      <c r="W295" t="s">
        <v>114</v>
      </c>
      <c r="AA295">
        <v>2</v>
      </c>
      <c r="AB295" t="s">
        <v>100</v>
      </c>
      <c r="AC295" t="s">
        <v>260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353</v>
      </c>
      <c r="F296" t="s">
        <v>108</v>
      </c>
      <c r="G296" s="27">
        <v>42938</v>
      </c>
      <c r="H296" t="s">
        <v>109</v>
      </c>
      <c r="I296" t="s">
        <v>323</v>
      </c>
      <c r="J296" t="s">
        <v>222</v>
      </c>
      <c r="K296">
        <v>18</v>
      </c>
      <c r="L296" t="s">
        <v>155</v>
      </c>
      <c r="M296" t="s">
        <v>354</v>
      </c>
      <c r="N296" t="s">
        <v>157</v>
      </c>
      <c r="O296">
        <v>72.2</v>
      </c>
      <c r="P296">
        <v>138</v>
      </c>
      <c r="Q296">
        <v>6522</v>
      </c>
      <c r="R296" t="s">
        <v>158</v>
      </c>
      <c r="S296" t="s">
        <v>159</v>
      </c>
      <c r="T296" t="s">
        <v>124</v>
      </c>
      <c r="U296" t="s">
        <v>178</v>
      </c>
      <c r="V296" t="s">
        <v>119</v>
      </c>
      <c r="W296" t="s">
        <v>157</v>
      </c>
      <c r="AA296">
        <v>2</v>
      </c>
      <c r="AB296" t="s">
        <v>100</v>
      </c>
      <c r="AC296" t="s">
        <v>225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355</v>
      </c>
      <c r="F297" t="s">
        <v>108</v>
      </c>
      <c r="G297" s="27">
        <v>42938</v>
      </c>
      <c r="H297" t="s">
        <v>109</v>
      </c>
      <c r="I297" t="s">
        <v>323</v>
      </c>
      <c r="J297" t="s">
        <v>222</v>
      </c>
      <c r="K297">
        <v>18</v>
      </c>
      <c r="L297" t="s">
        <v>155</v>
      </c>
      <c r="M297" t="s">
        <v>354</v>
      </c>
      <c r="N297" t="s">
        <v>157</v>
      </c>
      <c r="O297">
        <v>72.2</v>
      </c>
      <c r="P297">
        <v>138</v>
      </c>
      <c r="Q297">
        <v>6522</v>
      </c>
      <c r="R297" t="s">
        <v>158</v>
      </c>
      <c r="S297" t="s">
        <v>159</v>
      </c>
      <c r="T297" t="s">
        <v>124</v>
      </c>
      <c r="U297" t="s">
        <v>178</v>
      </c>
      <c r="V297" t="s">
        <v>234</v>
      </c>
      <c r="W297" t="s">
        <v>157</v>
      </c>
      <c r="AA297">
        <v>2</v>
      </c>
      <c r="AB297" t="s">
        <v>99</v>
      </c>
      <c r="AC297" t="s">
        <v>267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356</v>
      </c>
      <c r="F298" t="s">
        <v>108</v>
      </c>
      <c r="G298" s="27">
        <v>42938</v>
      </c>
      <c r="H298" t="s">
        <v>109</v>
      </c>
      <c r="I298" t="s">
        <v>323</v>
      </c>
      <c r="J298" t="s">
        <v>222</v>
      </c>
      <c r="K298">
        <v>18</v>
      </c>
      <c r="L298" t="s">
        <v>155</v>
      </c>
      <c r="M298" t="s">
        <v>354</v>
      </c>
      <c r="N298" t="s">
        <v>157</v>
      </c>
      <c r="O298">
        <v>72.2</v>
      </c>
      <c r="P298">
        <v>138</v>
      </c>
      <c r="Q298">
        <v>6522</v>
      </c>
      <c r="R298" t="s">
        <v>158</v>
      </c>
      <c r="S298" t="s">
        <v>159</v>
      </c>
      <c r="T298" t="s">
        <v>124</v>
      </c>
      <c r="U298" t="s">
        <v>178</v>
      </c>
      <c r="V298" t="s">
        <v>230</v>
      </c>
      <c r="W298" t="s">
        <v>157</v>
      </c>
      <c r="AA298">
        <v>2</v>
      </c>
      <c r="AB298" t="s">
        <v>101</v>
      </c>
      <c r="AC298" t="s">
        <v>140</v>
      </c>
      <c r="AD298" t="s">
        <v>229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229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357</v>
      </c>
      <c r="F299" t="s">
        <v>108</v>
      </c>
      <c r="G299" s="27">
        <v>42938</v>
      </c>
      <c r="H299" t="s">
        <v>109</v>
      </c>
      <c r="I299" t="s">
        <v>323</v>
      </c>
      <c r="J299" t="s">
        <v>222</v>
      </c>
      <c r="K299">
        <v>18</v>
      </c>
      <c r="L299" t="s">
        <v>155</v>
      </c>
      <c r="M299" t="s">
        <v>354</v>
      </c>
      <c r="N299" t="s">
        <v>157</v>
      </c>
      <c r="O299">
        <v>72.2</v>
      </c>
      <c r="P299">
        <v>138</v>
      </c>
      <c r="Q299">
        <v>6522</v>
      </c>
      <c r="R299" t="s">
        <v>158</v>
      </c>
      <c r="S299" t="s">
        <v>159</v>
      </c>
      <c r="T299" t="s">
        <v>124</v>
      </c>
      <c r="U299" t="s">
        <v>178</v>
      </c>
      <c r="V299" t="s">
        <v>135</v>
      </c>
      <c r="W299" t="s">
        <v>157</v>
      </c>
      <c r="AA299">
        <v>2</v>
      </c>
      <c r="AB299" t="s">
        <v>99</v>
      </c>
      <c r="AC299" t="s">
        <v>242</v>
      </c>
      <c r="AD299" t="s">
        <v>276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276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358</v>
      </c>
      <c r="F300" t="s">
        <v>108</v>
      </c>
      <c r="G300" s="27">
        <v>42938</v>
      </c>
      <c r="H300" t="s">
        <v>109</v>
      </c>
      <c r="I300" t="s">
        <v>323</v>
      </c>
      <c r="J300" t="s">
        <v>222</v>
      </c>
      <c r="K300">
        <v>18</v>
      </c>
      <c r="L300" t="s">
        <v>155</v>
      </c>
      <c r="M300" t="s">
        <v>354</v>
      </c>
      <c r="N300" t="s">
        <v>157</v>
      </c>
      <c r="O300">
        <v>72.2</v>
      </c>
      <c r="P300">
        <v>138</v>
      </c>
      <c r="Q300">
        <v>6522</v>
      </c>
      <c r="R300" t="s">
        <v>158</v>
      </c>
      <c r="S300" t="s">
        <v>159</v>
      </c>
      <c r="T300" t="s">
        <v>124</v>
      </c>
      <c r="U300" t="s">
        <v>178</v>
      </c>
      <c r="V300" t="s">
        <v>326</v>
      </c>
      <c r="W300" t="s">
        <v>157</v>
      </c>
      <c r="AA300">
        <v>2</v>
      </c>
      <c r="AB300" t="s">
        <v>100</v>
      </c>
      <c r="AC300" t="s">
        <v>267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359</v>
      </c>
      <c r="F301" t="s">
        <v>108</v>
      </c>
      <c r="G301" s="27">
        <v>42938</v>
      </c>
      <c r="H301" t="s">
        <v>109</v>
      </c>
      <c r="I301" t="s">
        <v>323</v>
      </c>
      <c r="J301" t="s">
        <v>222</v>
      </c>
      <c r="K301">
        <v>18</v>
      </c>
      <c r="L301" t="s">
        <v>155</v>
      </c>
      <c r="M301" t="s">
        <v>354</v>
      </c>
      <c r="N301" t="s">
        <v>157</v>
      </c>
      <c r="O301">
        <v>72.2</v>
      </c>
      <c r="P301">
        <v>138</v>
      </c>
      <c r="Q301">
        <v>6522</v>
      </c>
      <c r="R301" t="s">
        <v>158</v>
      </c>
      <c r="S301" t="s">
        <v>159</v>
      </c>
      <c r="T301" t="s">
        <v>124</v>
      </c>
      <c r="U301" t="s">
        <v>178</v>
      </c>
      <c r="V301" t="s">
        <v>136</v>
      </c>
      <c r="W301" t="s">
        <v>157</v>
      </c>
      <c r="AA301">
        <v>2</v>
      </c>
      <c r="AB301" t="s">
        <v>100</v>
      </c>
      <c r="AC301" t="s">
        <v>225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360</v>
      </c>
      <c r="F302" t="s">
        <v>108</v>
      </c>
      <c r="G302" s="27">
        <v>42938</v>
      </c>
      <c r="H302" t="s">
        <v>109</v>
      </c>
      <c r="I302" t="s">
        <v>323</v>
      </c>
      <c r="J302" t="s">
        <v>222</v>
      </c>
      <c r="K302">
        <v>18</v>
      </c>
      <c r="L302" t="s">
        <v>155</v>
      </c>
      <c r="M302" t="s">
        <v>354</v>
      </c>
      <c r="N302" t="s">
        <v>157</v>
      </c>
      <c r="O302">
        <v>72.2</v>
      </c>
      <c r="P302">
        <v>138</v>
      </c>
      <c r="Q302">
        <v>6522</v>
      </c>
      <c r="R302" t="s">
        <v>158</v>
      </c>
      <c r="S302" t="s">
        <v>159</v>
      </c>
      <c r="T302" t="s">
        <v>124</v>
      </c>
      <c r="U302" t="s">
        <v>178</v>
      </c>
      <c r="V302" t="s">
        <v>123</v>
      </c>
      <c r="W302" t="s">
        <v>157</v>
      </c>
      <c r="AA302">
        <v>2</v>
      </c>
      <c r="AB302" t="s">
        <v>100</v>
      </c>
      <c r="AC302" t="s">
        <v>267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361</v>
      </c>
      <c r="F303" t="s">
        <v>108</v>
      </c>
      <c r="G303" s="27">
        <v>42938</v>
      </c>
      <c r="H303" t="s">
        <v>109</v>
      </c>
      <c r="I303" t="s">
        <v>323</v>
      </c>
      <c r="J303" t="s">
        <v>222</v>
      </c>
      <c r="K303">
        <v>18</v>
      </c>
      <c r="L303" t="s">
        <v>155</v>
      </c>
      <c r="M303" t="s">
        <v>354</v>
      </c>
      <c r="N303" t="s">
        <v>157</v>
      </c>
      <c r="O303">
        <v>72.2</v>
      </c>
      <c r="P303">
        <v>138</v>
      </c>
      <c r="Q303">
        <v>6522</v>
      </c>
      <c r="R303" t="s">
        <v>158</v>
      </c>
      <c r="S303" t="s">
        <v>159</v>
      </c>
      <c r="T303" t="s">
        <v>124</v>
      </c>
      <c r="U303" t="s">
        <v>178</v>
      </c>
      <c r="V303" t="s">
        <v>233</v>
      </c>
      <c r="W303" t="s">
        <v>157</v>
      </c>
      <c r="AA303">
        <v>2</v>
      </c>
      <c r="AB303" t="s">
        <v>99</v>
      </c>
      <c r="AC303" t="s">
        <v>308</v>
      </c>
      <c r="AD303" t="s">
        <v>174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174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362</v>
      </c>
      <c r="F304" t="s">
        <v>108</v>
      </c>
      <c r="G304" s="27">
        <v>42938</v>
      </c>
      <c r="H304" t="s">
        <v>109</v>
      </c>
      <c r="I304" t="s">
        <v>323</v>
      </c>
      <c r="J304" t="s">
        <v>222</v>
      </c>
      <c r="K304">
        <v>18</v>
      </c>
      <c r="L304" t="s">
        <v>155</v>
      </c>
      <c r="M304" t="s">
        <v>354</v>
      </c>
      <c r="N304" t="s">
        <v>157</v>
      </c>
      <c r="O304">
        <v>72.2</v>
      </c>
      <c r="P304">
        <v>138</v>
      </c>
      <c r="Q304">
        <v>6522</v>
      </c>
      <c r="R304" t="s">
        <v>158</v>
      </c>
      <c r="S304" t="s">
        <v>159</v>
      </c>
      <c r="T304" t="s">
        <v>124</v>
      </c>
      <c r="U304" t="s">
        <v>178</v>
      </c>
      <c r="V304" t="s">
        <v>178</v>
      </c>
      <c r="W304" t="s">
        <v>157</v>
      </c>
      <c r="AA304">
        <v>2</v>
      </c>
      <c r="AB304" t="s">
        <v>99</v>
      </c>
      <c r="AC304" t="s">
        <v>242</v>
      </c>
      <c r="AD304" t="s">
        <v>181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181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363</v>
      </c>
      <c r="F305" t="s">
        <v>108</v>
      </c>
      <c r="G305" s="27">
        <v>42938</v>
      </c>
      <c r="H305" t="s">
        <v>109</v>
      </c>
      <c r="I305" t="s">
        <v>323</v>
      </c>
      <c r="J305" t="s">
        <v>222</v>
      </c>
      <c r="K305">
        <v>18</v>
      </c>
      <c r="L305" t="s">
        <v>155</v>
      </c>
      <c r="M305" t="s">
        <v>354</v>
      </c>
      <c r="N305" t="s">
        <v>157</v>
      </c>
      <c r="O305">
        <v>72.2</v>
      </c>
      <c r="P305">
        <v>138</v>
      </c>
      <c r="Q305">
        <v>6522</v>
      </c>
      <c r="R305" t="s">
        <v>158</v>
      </c>
      <c r="S305" t="s">
        <v>159</v>
      </c>
      <c r="T305" t="s">
        <v>124</v>
      </c>
      <c r="U305" t="s">
        <v>178</v>
      </c>
      <c r="V305" t="s">
        <v>133</v>
      </c>
      <c r="W305" t="s">
        <v>157</v>
      </c>
      <c r="AA305">
        <v>2</v>
      </c>
      <c r="AB305" t="s">
        <v>99</v>
      </c>
      <c r="AC305" t="s">
        <v>260</v>
      </c>
      <c r="AD305" t="s">
        <v>180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180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364</v>
      </c>
      <c r="F306" t="s">
        <v>272</v>
      </c>
      <c r="G306" s="27">
        <v>43308</v>
      </c>
      <c r="H306" t="s">
        <v>109</v>
      </c>
      <c r="I306" t="s">
        <v>365</v>
      </c>
      <c r="J306" t="s">
        <v>274</v>
      </c>
      <c r="K306">
        <v>9</v>
      </c>
      <c r="L306" t="s">
        <v>112</v>
      </c>
      <c r="M306" t="s">
        <v>366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174</v>
      </c>
      <c r="V306" t="s">
        <v>229</v>
      </c>
      <c r="W306" t="s">
        <v>114</v>
      </c>
      <c r="Y306" t="s">
        <v>122</v>
      </c>
      <c r="AA306">
        <v>1</v>
      </c>
      <c r="AB306" t="s">
        <v>99</v>
      </c>
      <c r="AC306" t="s">
        <v>228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178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364</v>
      </c>
      <c r="F307" t="s">
        <v>272</v>
      </c>
      <c r="G307" s="27">
        <v>43308</v>
      </c>
      <c r="H307" t="s">
        <v>109</v>
      </c>
      <c r="I307" t="s">
        <v>365</v>
      </c>
      <c r="J307" t="s">
        <v>274</v>
      </c>
      <c r="K307">
        <v>9</v>
      </c>
      <c r="L307" t="s">
        <v>112</v>
      </c>
      <c r="M307" t="s">
        <v>366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233</v>
      </c>
      <c r="V307" t="s">
        <v>132</v>
      </c>
      <c r="W307" t="s">
        <v>367</v>
      </c>
      <c r="Y307" t="s">
        <v>178</v>
      </c>
      <c r="AA307">
        <v>1</v>
      </c>
      <c r="AB307" t="s">
        <v>100</v>
      </c>
      <c r="AC307" t="s">
        <v>228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229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368</v>
      </c>
      <c r="F308" t="s">
        <v>272</v>
      </c>
      <c r="G308" s="27">
        <v>43308</v>
      </c>
      <c r="H308" t="s">
        <v>109</v>
      </c>
      <c r="I308" t="s">
        <v>365</v>
      </c>
      <c r="J308" t="s">
        <v>274</v>
      </c>
      <c r="K308">
        <v>9</v>
      </c>
      <c r="L308" t="s">
        <v>112</v>
      </c>
      <c r="M308" t="s">
        <v>366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233</v>
      </c>
      <c r="V308" t="s">
        <v>181</v>
      </c>
      <c r="W308" t="s">
        <v>367</v>
      </c>
      <c r="Y308" t="s">
        <v>127</v>
      </c>
      <c r="AA308">
        <v>1</v>
      </c>
      <c r="AB308" t="s">
        <v>99</v>
      </c>
      <c r="AC308" t="s">
        <v>228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174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368</v>
      </c>
      <c r="F309" t="s">
        <v>272</v>
      </c>
      <c r="G309" s="27">
        <v>43308</v>
      </c>
      <c r="H309" t="s">
        <v>109</v>
      </c>
      <c r="I309" t="s">
        <v>365</v>
      </c>
      <c r="J309" t="s">
        <v>274</v>
      </c>
      <c r="K309">
        <v>9</v>
      </c>
      <c r="L309" t="s">
        <v>112</v>
      </c>
      <c r="M309" t="s">
        <v>366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174</v>
      </c>
      <c r="V309" t="s">
        <v>174</v>
      </c>
      <c r="W309" t="s">
        <v>114</v>
      </c>
      <c r="Y309" t="s">
        <v>123</v>
      </c>
      <c r="AA309">
        <v>1</v>
      </c>
      <c r="AB309" t="s">
        <v>100</v>
      </c>
      <c r="AC309" t="s">
        <v>228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181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369</v>
      </c>
      <c r="F310" t="s">
        <v>272</v>
      </c>
      <c r="G310" s="27">
        <v>43308</v>
      </c>
      <c r="H310" t="s">
        <v>109</v>
      </c>
      <c r="I310" t="s">
        <v>365</v>
      </c>
      <c r="J310" t="s">
        <v>274</v>
      </c>
      <c r="K310">
        <v>9</v>
      </c>
      <c r="L310" t="s">
        <v>112</v>
      </c>
      <c r="M310" t="s">
        <v>366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174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228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135</v>
      </c>
      <c r="AL310">
        <v>0.59375</v>
      </c>
      <c r="AM310" t="s">
        <v>230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369</v>
      </c>
      <c r="F311" t="s">
        <v>272</v>
      </c>
      <c r="G311" s="27">
        <v>43308</v>
      </c>
      <c r="H311" t="s">
        <v>109</v>
      </c>
      <c r="I311" t="s">
        <v>365</v>
      </c>
      <c r="J311" t="s">
        <v>274</v>
      </c>
      <c r="K311">
        <v>9</v>
      </c>
      <c r="L311" t="s">
        <v>112</v>
      </c>
      <c r="M311" t="s">
        <v>366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233</v>
      </c>
      <c r="V311" t="s">
        <v>135</v>
      </c>
      <c r="W311" t="s">
        <v>367</v>
      </c>
      <c r="Y311" t="s">
        <v>230</v>
      </c>
      <c r="AA311">
        <v>1</v>
      </c>
      <c r="AB311" t="s">
        <v>100</v>
      </c>
      <c r="AC311" t="s">
        <v>228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370</v>
      </c>
      <c r="F312" t="s">
        <v>272</v>
      </c>
      <c r="G312" s="27">
        <v>43308</v>
      </c>
      <c r="H312" t="s">
        <v>109</v>
      </c>
      <c r="I312" t="s">
        <v>365</v>
      </c>
      <c r="J312" t="s">
        <v>274</v>
      </c>
      <c r="K312">
        <v>9</v>
      </c>
      <c r="L312" t="s">
        <v>112</v>
      </c>
      <c r="M312" t="s">
        <v>366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233</v>
      </c>
      <c r="V312" t="s">
        <v>233</v>
      </c>
      <c r="W312" t="s">
        <v>367</v>
      </c>
      <c r="Y312" t="s">
        <v>130</v>
      </c>
      <c r="AA312">
        <v>1</v>
      </c>
      <c r="AB312" t="s">
        <v>100</v>
      </c>
      <c r="AC312" t="s">
        <v>228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234</v>
      </c>
      <c r="AL312">
        <v>0.5</v>
      </c>
      <c r="AM312" t="s">
        <v>136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370</v>
      </c>
      <c r="F313" t="s">
        <v>272</v>
      </c>
      <c r="G313" s="27">
        <v>43308</v>
      </c>
      <c r="H313" t="s">
        <v>109</v>
      </c>
      <c r="I313" t="s">
        <v>365</v>
      </c>
      <c r="J313" t="s">
        <v>274</v>
      </c>
      <c r="K313">
        <v>9</v>
      </c>
      <c r="L313" t="s">
        <v>112</v>
      </c>
      <c r="M313" t="s">
        <v>366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174</v>
      </c>
      <c r="V313" t="s">
        <v>234</v>
      </c>
      <c r="W313" t="s">
        <v>114</v>
      </c>
      <c r="Y313" t="s">
        <v>136</v>
      </c>
      <c r="AA313">
        <v>1</v>
      </c>
      <c r="AB313" t="s">
        <v>99</v>
      </c>
      <c r="AC313" t="s">
        <v>228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233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371</v>
      </c>
      <c r="F314" t="s">
        <v>272</v>
      </c>
      <c r="G314" s="27">
        <v>43308</v>
      </c>
      <c r="H314" t="s">
        <v>109</v>
      </c>
      <c r="I314" t="s">
        <v>365</v>
      </c>
      <c r="J314" t="s">
        <v>274</v>
      </c>
      <c r="K314">
        <v>9</v>
      </c>
      <c r="L314" t="s">
        <v>112</v>
      </c>
      <c r="M314" t="s">
        <v>366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174</v>
      </c>
      <c r="V314" t="s">
        <v>173</v>
      </c>
      <c r="W314" t="s">
        <v>114</v>
      </c>
      <c r="Y314" t="s">
        <v>133</v>
      </c>
      <c r="AA314">
        <v>1</v>
      </c>
      <c r="AB314" t="s">
        <v>101</v>
      </c>
      <c r="AC314" t="s">
        <v>140</v>
      </c>
      <c r="AE314" t="str">
        <f t="shared" si="4"/>
        <v>BussMangold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180</v>
      </c>
      <c r="AL314">
        <v>0.34745762711864397</v>
      </c>
      <c r="AM314" t="s">
        <v>276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371</v>
      </c>
      <c r="F315" t="s">
        <v>272</v>
      </c>
      <c r="G315" s="27">
        <v>43308</v>
      </c>
      <c r="H315" t="s">
        <v>109</v>
      </c>
      <c r="I315" t="s">
        <v>365</v>
      </c>
      <c r="J315" t="s">
        <v>274</v>
      </c>
      <c r="K315">
        <v>9</v>
      </c>
      <c r="L315" t="s">
        <v>112</v>
      </c>
      <c r="M315" t="s">
        <v>366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233</v>
      </c>
      <c r="V315" t="s">
        <v>180</v>
      </c>
      <c r="W315" t="s">
        <v>367</v>
      </c>
      <c r="Y315" t="s">
        <v>276</v>
      </c>
      <c r="AA315">
        <v>1</v>
      </c>
      <c r="AB315" t="s">
        <v>101</v>
      </c>
      <c r="AC315" t="s">
        <v>140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173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372</v>
      </c>
      <c r="F316" t="s">
        <v>272</v>
      </c>
      <c r="G316" s="27">
        <v>43308</v>
      </c>
      <c r="H316" t="s">
        <v>109</v>
      </c>
      <c r="I316" t="s">
        <v>365</v>
      </c>
      <c r="J316" t="s">
        <v>274</v>
      </c>
      <c r="K316">
        <v>9</v>
      </c>
      <c r="L316" t="s">
        <v>138</v>
      </c>
      <c r="M316" t="s">
        <v>366</v>
      </c>
      <c r="N316" t="s">
        <v>114</v>
      </c>
      <c r="O316">
        <v>70.5</v>
      </c>
      <c r="P316">
        <v>134</v>
      </c>
      <c r="Q316">
        <v>6389</v>
      </c>
      <c r="R316" t="s">
        <v>373</v>
      </c>
      <c r="S316" t="s">
        <v>116</v>
      </c>
      <c r="T316" t="s">
        <v>124</v>
      </c>
      <c r="U316" t="s">
        <v>174</v>
      </c>
      <c r="V316" t="s">
        <v>229</v>
      </c>
      <c r="W316" t="s">
        <v>114</v>
      </c>
      <c r="Y316" t="s">
        <v>122</v>
      </c>
      <c r="AA316">
        <v>1</v>
      </c>
      <c r="AB316" t="s">
        <v>100</v>
      </c>
      <c r="AC316" t="s">
        <v>267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178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372</v>
      </c>
      <c r="F317" t="s">
        <v>272</v>
      </c>
      <c r="G317" s="27">
        <v>43308</v>
      </c>
      <c r="H317" t="s">
        <v>109</v>
      </c>
      <c r="I317" t="s">
        <v>365</v>
      </c>
      <c r="J317" t="s">
        <v>274</v>
      </c>
      <c r="K317">
        <v>9</v>
      </c>
      <c r="L317" t="s">
        <v>138</v>
      </c>
      <c r="M317" t="s">
        <v>366</v>
      </c>
      <c r="N317" t="s">
        <v>114</v>
      </c>
      <c r="O317">
        <v>70.5</v>
      </c>
      <c r="P317">
        <v>134</v>
      </c>
      <c r="Q317">
        <v>6389</v>
      </c>
      <c r="R317" t="s">
        <v>373</v>
      </c>
      <c r="S317" t="s">
        <v>116</v>
      </c>
      <c r="T317" t="s">
        <v>117</v>
      </c>
      <c r="U317" t="s">
        <v>233</v>
      </c>
      <c r="V317" t="s">
        <v>132</v>
      </c>
      <c r="W317" t="s">
        <v>367</v>
      </c>
      <c r="Y317" t="s">
        <v>178</v>
      </c>
      <c r="AA317">
        <v>1</v>
      </c>
      <c r="AB317" t="s">
        <v>99</v>
      </c>
      <c r="AC317" t="s">
        <v>267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229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374</v>
      </c>
      <c r="F318" t="s">
        <v>272</v>
      </c>
      <c r="G318" s="27">
        <v>43308</v>
      </c>
      <c r="H318" t="s">
        <v>109</v>
      </c>
      <c r="I318" t="s">
        <v>365</v>
      </c>
      <c r="J318" t="s">
        <v>274</v>
      </c>
      <c r="K318">
        <v>9</v>
      </c>
      <c r="L318" t="s">
        <v>138</v>
      </c>
      <c r="M318" t="s">
        <v>366</v>
      </c>
      <c r="N318" t="s">
        <v>114</v>
      </c>
      <c r="O318">
        <v>70.5</v>
      </c>
      <c r="P318">
        <v>134</v>
      </c>
      <c r="Q318">
        <v>6389</v>
      </c>
      <c r="R318" t="s">
        <v>373</v>
      </c>
      <c r="S318" t="s">
        <v>116</v>
      </c>
      <c r="T318" t="s">
        <v>117</v>
      </c>
      <c r="U318" t="s">
        <v>233</v>
      </c>
      <c r="V318" t="s">
        <v>181</v>
      </c>
      <c r="W318" t="s">
        <v>367</v>
      </c>
      <c r="Y318" t="s">
        <v>127</v>
      </c>
      <c r="AA318">
        <v>1</v>
      </c>
      <c r="AB318" t="s">
        <v>99</v>
      </c>
      <c r="AC318" t="s">
        <v>242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174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374</v>
      </c>
      <c r="F319" t="s">
        <v>272</v>
      </c>
      <c r="G319" s="27">
        <v>43308</v>
      </c>
      <c r="H319" t="s">
        <v>109</v>
      </c>
      <c r="I319" t="s">
        <v>365</v>
      </c>
      <c r="J319" t="s">
        <v>274</v>
      </c>
      <c r="K319">
        <v>9</v>
      </c>
      <c r="L319" t="s">
        <v>138</v>
      </c>
      <c r="M319" t="s">
        <v>366</v>
      </c>
      <c r="N319" t="s">
        <v>114</v>
      </c>
      <c r="O319">
        <v>70.5</v>
      </c>
      <c r="P319">
        <v>134</v>
      </c>
      <c r="Q319">
        <v>6389</v>
      </c>
      <c r="R319" t="s">
        <v>373</v>
      </c>
      <c r="S319" t="s">
        <v>116</v>
      </c>
      <c r="T319" t="s">
        <v>124</v>
      </c>
      <c r="U319" t="s">
        <v>174</v>
      </c>
      <c r="V319" t="s">
        <v>174</v>
      </c>
      <c r="W319" t="s">
        <v>114</v>
      </c>
      <c r="Y319" t="s">
        <v>123</v>
      </c>
      <c r="AA319">
        <v>1</v>
      </c>
      <c r="AB319" t="s">
        <v>100</v>
      </c>
      <c r="AC319" t="s">
        <v>242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181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375</v>
      </c>
      <c r="F320" t="s">
        <v>272</v>
      </c>
      <c r="G320" s="27">
        <v>43308</v>
      </c>
      <c r="H320" t="s">
        <v>109</v>
      </c>
      <c r="I320" t="s">
        <v>365</v>
      </c>
      <c r="J320" t="s">
        <v>274</v>
      </c>
      <c r="K320">
        <v>9</v>
      </c>
      <c r="L320" t="s">
        <v>138</v>
      </c>
      <c r="M320" t="s">
        <v>366</v>
      </c>
      <c r="N320" t="s">
        <v>114</v>
      </c>
      <c r="O320">
        <v>70.5</v>
      </c>
      <c r="P320">
        <v>134</v>
      </c>
      <c r="Q320">
        <v>6389</v>
      </c>
      <c r="R320" t="s">
        <v>373</v>
      </c>
      <c r="S320" t="s">
        <v>116</v>
      </c>
      <c r="T320" t="s">
        <v>124</v>
      </c>
      <c r="U320" t="s">
        <v>174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292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135</v>
      </c>
      <c r="AL320">
        <v>0.59375</v>
      </c>
      <c r="AM320" t="s">
        <v>230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375</v>
      </c>
      <c r="F321" t="s">
        <v>272</v>
      </c>
      <c r="G321" s="27">
        <v>43308</v>
      </c>
      <c r="H321" t="s">
        <v>109</v>
      </c>
      <c r="I321" t="s">
        <v>365</v>
      </c>
      <c r="J321" t="s">
        <v>274</v>
      </c>
      <c r="K321">
        <v>9</v>
      </c>
      <c r="L321" t="s">
        <v>138</v>
      </c>
      <c r="M321" t="s">
        <v>366</v>
      </c>
      <c r="N321" t="s">
        <v>114</v>
      </c>
      <c r="O321">
        <v>70.5</v>
      </c>
      <c r="P321">
        <v>134</v>
      </c>
      <c r="Q321">
        <v>6389</v>
      </c>
      <c r="R321" t="s">
        <v>373</v>
      </c>
      <c r="S321" t="s">
        <v>116</v>
      </c>
      <c r="T321" t="s">
        <v>117</v>
      </c>
      <c r="U321" t="s">
        <v>233</v>
      </c>
      <c r="V321" t="s">
        <v>135</v>
      </c>
      <c r="W321" t="s">
        <v>367</v>
      </c>
      <c r="Y321" t="s">
        <v>230</v>
      </c>
      <c r="AA321">
        <v>1</v>
      </c>
      <c r="AB321" t="s">
        <v>100</v>
      </c>
      <c r="AC321" t="s">
        <v>292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376</v>
      </c>
      <c r="F322" t="s">
        <v>272</v>
      </c>
      <c r="G322" s="27">
        <v>43308</v>
      </c>
      <c r="H322" t="s">
        <v>109</v>
      </c>
      <c r="I322" t="s">
        <v>365</v>
      </c>
      <c r="J322" t="s">
        <v>274</v>
      </c>
      <c r="K322">
        <v>9</v>
      </c>
      <c r="L322" t="s">
        <v>138</v>
      </c>
      <c r="M322" t="s">
        <v>366</v>
      </c>
      <c r="N322" t="s">
        <v>114</v>
      </c>
      <c r="O322">
        <v>70.5</v>
      </c>
      <c r="P322">
        <v>134</v>
      </c>
      <c r="Q322">
        <v>6389</v>
      </c>
      <c r="R322" t="s">
        <v>373</v>
      </c>
      <c r="S322" t="s">
        <v>116</v>
      </c>
      <c r="T322" t="s">
        <v>117</v>
      </c>
      <c r="U322" t="s">
        <v>233</v>
      </c>
      <c r="V322" t="s">
        <v>233</v>
      </c>
      <c r="W322" t="s">
        <v>367</v>
      </c>
      <c r="Y322" t="s">
        <v>130</v>
      </c>
      <c r="AA322">
        <v>1</v>
      </c>
      <c r="AB322" t="s">
        <v>100</v>
      </c>
      <c r="AC322" t="s">
        <v>242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234</v>
      </c>
      <c r="AL322">
        <v>0.5</v>
      </c>
      <c r="AM322" t="s">
        <v>136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376</v>
      </c>
      <c r="F323" t="s">
        <v>272</v>
      </c>
      <c r="G323" s="27">
        <v>43308</v>
      </c>
      <c r="H323" t="s">
        <v>109</v>
      </c>
      <c r="I323" t="s">
        <v>365</v>
      </c>
      <c r="J323" t="s">
        <v>274</v>
      </c>
      <c r="K323">
        <v>9</v>
      </c>
      <c r="L323" t="s">
        <v>138</v>
      </c>
      <c r="M323" t="s">
        <v>366</v>
      </c>
      <c r="N323" t="s">
        <v>114</v>
      </c>
      <c r="O323">
        <v>70.5</v>
      </c>
      <c r="P323">
        <v>134</v>
      </c>
      <c r="Q323">
        <v>6389</v>
      </c>
      <c r="R323" t="s">
        <v>373</v>
      </c>
      <c r="S323" t="s">
        <v>116</v>
      </c>
      <c r="T323" t="s">
        <v>124</v>
      </c>
      <c r="U323" t="s">
        <v>174</v>
      </c>
      <c r="V323" t="s">
        <v>234</v>
      </c>
      <c r="W323" t="s">
        <v>114</v>
      </c>
      <c r="Y323" t="s">
        <v>136</v>
      </c>
      <c r="AA323">
        <v>1</v>
      </c>
      <c r="AB323" t="s">
        <v>99</v>
      </c>
      <c r="AC323" t="s">
        <v>242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233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377</v>
      </c>
      <c r="F324" t="s">
        <v>272</v>
      </c>
      <c r="G324" s="27">
        <v>43308</v>
      </c>
      <c r="H324" t="s">
        <v>109</v>
      </c>
      <c r="I324" t="s">
        <v>365</v>
      </c>
      <c r="J324" t="s">
        <v>274</v>
      </c>
      <c r="K324">
        <v>9</v>
      </c>
      <c r="L324" t="s">
        <v>138</v>
      </c>
      <c r="M324" t="s">
        <v>366</v>
      </c>
      <c r="N324" t="s">
        <v>114</v>
      </c>
      <c r="O324">
        <v>70.5</v>
      </c>
      <c r="P324">
        <v>134</v>
      </c>
      <c r="Q324">
        <v>6389</v>
      </c>
      <c r="R324" t="s">
        <v>373</v>
      </c>
      <c r="S324" t="s">
        <v>116</v>
      </c>
      <c r="T324" t="s">
        <v>124</v>
      </c>
      <c r="U324" t="s">
        <v>174</v>
      </c>
      <c r="V324" t="s">
        <v>173</v>
      </c>
      <c r="W324" t="s">
        <v>114</v>
      </c>
      <c r="Y324" t="s">
        <v>133</v>
      </c>
      <c r="AA324">
        <v>1</v>
      </c>
      <c r="AB324" t="s">
        <v>100</v>
      </c>
      <c r="AC324" t="s">
        <v>267</v>
      </c>
      <c r="AE324" t="str">
        <f t="shared" si="5"/>
        <v>BussMangold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180</v>
      </c>
      <c r="AL324">
        <v>0.34745762711864397</v>
      </c>
      <c r="AM324" t="s">
        <v>276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377</v>
      </c>
      <c r="F325" t="s">
        <v>272</v>
      </c>
      <c r="G325" s="27">
        <v>43308</v>
      </c>
      <c r="H325" t="s">
        <v>109</v>
      </c>
      <c r="I325" t="s">
        <v>365</v>
      </c>
      <c r="J325" t="s">
        <v>274</v>
      </c>
      <c r="K325">
        <v>9</v>
      </c>
      <c r="L325" t="s">
        <v>138</v>
      </c>
      <c r="M325" t="s">
        <v>366</v>
      </c>
      <c r="N325" t="s">
        <v>114</v>
      </c>
      <c r="O325">
        <v>70.5</v>
      </c>
      <c r="P325">
        <v>134</v>
      </c>
      <c r="Q325">
        <v>6389</v>
      </c>
      <c r="R325" t="s">
        <v>373</v>
      </c>
      <c r="S325" t="s">
        <v>116</v>
      </c>
      <c r="T325" t="s">
        <v>117</v>
      </c>
      <c r="U325" t="s">
        <v>233</v>
      </c>
      <c r="V325" t="s">
        <v>180</v>
      </c>
      <c r="W325" t="s">
        <v>367</v>
      </c>
      <c r="Y325" t="s">
        <v>276</v>
      </c>
      <c r="AA325">
        <v>1</v>
      </c>
      <c r="AB325" t="s">
        <v>99</v>
      </c>
      <c r="AC325" t="s">
        <v>267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173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378</v>
      </c>
      <c r="F326" t="s">
        <v>272</v>
      </c>
      <c r="G326" s="27">
        <v>43308</v>
      </c>
      <c r="H326" t="s">
        <v>145</v>
      </c>
      <c r="I326" t="s">
        <v>365</v>
      </c>
      <c r="J326" t="s">
        <v>274</v>
      </c>
      <c r="K326">
        <v>9</v>
      </c>
      <c r="L326" t="s">
        <v>112</v>
      </c>
      <c r="M326" t="s">
        <v>366</v>
      </c>
      <c r="N326" t="s">
        <v>114</v>
      </c>
      <c r="O326">
        <v>70.5</v>
      </c>
      <c r="P326">
        <v>134</v>
      </c>
      <c r="Q326">
        <v>6389</v>
      </c>
      <c r="R326" t="s">
        <v>146</v>
      </c>
      <c r="S326" t="s">
        <v>116</v>
      </c>
      <c r="T326" t="s">
        <v>124</v>
      </c>
      <c r="U326" t="s">
        <v>174</v>
      </c>
      <c r="V326" t="s">
        <v>229</v>
      </c>
      <c r="W326" t="s">
        <v>114</v>
      </c>
      <c r="Y326" t="s">
        <v>123</v>
      </c>
      <c r="AA326">
        <v>1</v>
      </c>
      <c r="AB326" t="s">
        <v>100</v>
      </c>
      <c r="AC326" t="s">
        <v>267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378</v>
      </c>
      <c r="F327" t="s">
        <v>272</v>
      </c>
      <c r="G327" s="27">
        <v>43308</v>
      </c>
      <c r="H327" t="s">
        <v>145</v>
      </c>
      <c r="I327" t="s">
        <v>365</v>
      </c>
      <c r="J327" t="s">
        <v>274</v>
      </c>
      <c r="K327">
        <v>9</v>
      </c>
      <c r="L327" t="s">
        <v>112</v>
      </c>
      <c r="M327" t="s">
        <v>366</v>
      </c>
      <c r="N327" t="s">
        <v>114</v>
      </c>
      <c r="O327">
        <v>70.5</v>
      </c>
      <c r="P327">
        <v>134</v>
      </c>
      <c r="Q327">
        <v>6389</v>
      </c>
      <c r="R327" t="s">
        <v>146</v>
      </c>
      <c r="S327" t="s">
        <v>116</v>
      </c>
      <c r="T327" t="s">
        <v>117</v>
      </c>
      <c r="U327" t="s">
        <v>233</v>
      </c>
      <c r="V327" t="s">
        <v>127</v>
      </c>
      <c r="W327" t="s">
        <v>367</v>
      </c>
      <c r="Y327" t="s">
        <v>132</v>
      </c>
      <c r="AA327">
        <v>1</v>
      </c>
      <c r="AB327" t="s">
        <v>99</v>
      </c>
      <c r="AC327" t="s">
        <v>267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229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379</v>
      </c>
      <c r="F328" t="s">
        <v>272</v>
      </c>
      <c r="G328" s="27">
        <v>43308</v>
      </c>
      <c r="H328" t="s">
        <v>145</v>
      </c>
      <c r="I328" t="s">
        <v>365</v>
      </c>
      <c r="J328" t="s">
        <v>274</v>
      </c>
      <c r="K328">
        <v>9</v>
      </c>
      <c r="L328" t="s">
        <v>112</v>
      </c>
      <c r="M328" t="s">
        <v>366</v>
      </c>
      <c r="N328" t="s">
        <v>114</v>
      </c>
      <c r="O328">
        <v>70.5</v>
      </c>
      <c r="P328">
        <v>134</v>
      </c>
      <c r="Q328">
        <v>6389</v>
      </c>
      <c r="R328" t="s">
        <v>146</v>
      </c>
      <c r="S328" t="s">
        <v>116</v>
      </c>
      <c r="T328" t="s">
        <v>117</v>
      </c>
      <c r="U328" t="s">
        <v>233</v>
      </c>
      <c r="V328" t="s">
        <v>135</v>
      </c>
      <c r="W328" t="s">
        <v>367</v>
      </c>
      <c r="Y328" t="s">
        <v>178</v>
      </c>
      <c r="AA328">
        <v>1</v>
      </c>
      <c r="AB328" t="s">
        <v>99</v>
      </c>
      <c r="AC328" t="s">
        <v>280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174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379</v>
      </c>
      <c r="F329" t="s">
        <v>272</v>
      </c>
      <c r="G329" s="27">
        <v>43308</v>
      </c>
      <c r="H329" t="s">
        <v>145</v>
      </c>
      <c r="I329" t="s">
        <v>365</v>
      </c>
      <c r="J329" t="s">
        <v>274</v>
      </c>
      <c r="K329">
        <v>9</v>
      </c>
      <c r="L329" t="s">
        <v>112</v>
      </c>
      <c r="M329" t="s">
        <v>366</v>
      </c>
      <c r="N329" t="s">
        <v>114</v>
      </c>
      <c r="O329">
        <v>70.5</v>
      </c>
      <c r="P329">
        <v>134</v>
      </c>
      <c r="Q329">
        <v>6389</v>
      </c>
      <c r="R329" t="s">
        <v>146</v>
      </c>
      <c r="S329" t="s">
        <v>116</v>
      </c>
      <c r="T329" t="s">
        <v>124</v>
      </c>
      <c r="U329" t="s">
        <v>174</v>
      </c>
      <c r="V329" t="s">
        <v>174</v>
      </c>
      <c r="W329" t="s">
        <v>114</v>
      </c>
      <c r="Y329" t="s">
        <v>122</v>
      </c>
      <c r="AA329">
        <v>1</v>
      </c>
      <c r="AB329" t="s">
        <v>100</v>
      </c>
      <c r="AC329" t="s">
        <v>280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135</v>
      </c>
      <c r="AL329">
        <v>0.59375</v>
      </c>
      <c r="AM329" t="s">
        <v>178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380</v>
      </c>
      <c r="F330" t="s">
        <v>272</v>
      </c>
      <c r="G330" s="27">
        <v>43308</v>
      </c>
      <c r="H330" t="s">
        <v>145</v>
      </c>
      <c r="I330" t="s">
        <v>365</v>
      </c>
      <c r="J330" t="s">
        <v>274</v>
      </c>
      <c r="K330">
        <v>9</v>
      </c>
      <c r="L330" t="s">
        <v>112</v>
      </c>
      <c r="M330" t="s">
        <v>366</v>
      </c>
      <c r="N330" t="s">
        <v>114</v>
      </c>
      <c r="O330">
        <v>70.5</v>
      </c>
      <c r="P330">
        <v>134</v>
      </c>
      <c r="Q330">
        <v>6389</v>
      </c>
      <c r="R330" t="s">
        <v>146</v>
      </c>
      <c r="S330" t="s">
        <v>116</v>
      </c>
      <c r="T330" t="s">
        <v>124</v>
      </c>
      <c r="U330" t="s">
        <v>174</v>
      </c>
      <c r="V330" t="s">
        <v>118</v>
      </c>
      <c r="W330" t="s">
        <v>114</v>
      </c>
      <c r="Y330" t="s">
        <v>234</v>
      </c>
      <c r="AA330">
        <v>1</v>
      </c>
      <c r="AB330" t="s">
        <v>99</v>
      </c>
      <c r="AC330" t="s">
        <v>267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181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380</v>
      </c>
      <c r="F331" t="s">
        <v>272</v>
      </c>
      <c r="G331" s="27">
        <v>43308</v>
      </c>
      <c r="H331" t="s">
        <v>145</v>
      </c>
      <c r="I331" t="s">
        <v>365</v>
      </c>
      <c r="J331" t="s">
        <v>274</v>
      </c>
      <c r="K331">
        <v>9</v>
      </c>
      <c r="L331" t="s">
        <v>112</v>
      </c>
      <c r="M331" t="s">
        <v>366</v>
      </c>
      <c r="N331" t="s">
        <v>114</v>
      </c>
      <c r="O331">
        <v>70.5</v>
      </c>
      <c r="P331">
        <v>134</v>
      </c>
      <c r="Q331">
        <v>6389</v>
      </c>
      <c r="R331" t="s">
        <v>146</v>
      </c>
      <c r="S331" t="s">
        <v>116</v>
      </c>
      <c r="T331" t="s">
        <v>117</v>
      </c>
      <c r="U331" t="s">
        <v>233</v>
      </c>
      <c r="V331" t="s">
        <v>181</v>
      </c>
      <c r="W331" t="s">
        <v>367</v>
      </c>
      <c r="Y331" t="s">
        <v>130</v>
      </c>
      <c r="AA331">
        <v>1</v>
      </c>
      <c r="AB331" t="s">
        <v>100</v>
      </c>
      <c r="AC331" t="s">
        <v>267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234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381</v>
      </c>
      <c r="F332" t="s">
        <v>272</v>
      </c>
      <c r="G332" s="27">
        <v>43308</v>
      </c>
      <c r="H332" t="s">
        <v>145</v>
      </c>
      <c r="I332" t="s">
        <v>365</v>
      </c>
      <c r="J332" t="s">
        <v>274</v>
      </c>
      <c r="K332">
        <v>9</v>
      </c>
      <c r="L332" t="s">
        <v>112</v>
      </c>
      <c r="M332" t="s">
        <v>366</v>
      </c>
      <c r="N332" t="s">
        <v>114</v>
      </c>
      <c r="O332">
        <v>70.5</v>
      </c>
      <c r="P332">
        <v>134</v>
      </c>
      <c r="Q332">
        <v>6389</v>
      </c>
      <c r="R332" t="s">
        <v>146</v>
      </c>
      <c r="S332" t="s">
        <v>116</v>
      </c>
      <c r="T332" t="s">
        <v>117</v>
      </c>
      <c r="U332" t="s">
        <v>233</v>
      </c>
      <c r="V332" t="s">
        <v>233</v>
      </c>
      <c r="W332" t="s">
        <v>367</v>
      </c>
      <c r="Y332" t="s">
        <v>276</v>
      </c>
      <c r="AA332">
        <v>1</v>
      </c>
      <c r="AB332" t="s">
        <v>99</v>
      </c>
      <c r="AC332" t="s">
        <v>292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381</v>
      </c>
      <c r="F333" t="s">
        <v>272</v>
      </c>
      <c r="G333" s="27">
        <v>43308</v>
      </c>
      <c r="H333" t="s">
        <v>145</v>
      </c>
      <c r="I333" t="s">
        <v>365</v>
      </c>
      <c r="J333" t="s">
        <v>274</v>
      </c>
      <c r="K333">
        <v>9</v>
      </c>
      <c r="L333" t="s">
        <v>112</v>
      </c>
      <c r="M333" t="s">
        <v>366</v>
      </c>
      <c r="N333" t="s">
        <v>114</v>
      </c>
      <c r="O333">
        <v>70.5</v>
      </c>
      <c r="P333">
        <v>134</v>
      </c>
      <c r="Q333">
        <v>6389</v>
      </c>
      <c r="R333" t="s">
        <v>146</v>
      </c>
      <c r="S333" t="s">
        <v>116</v>
      </c>
      <c r="T333" t="s">
        <v>124</v>
      </c>
      <c r="U333" t="s">
        <v>174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292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233</v>
      </c>
      <c r="AL333">
        <v>0.52777777777777801</v>
      </c>
      <c r="AM333" t="s">
        <v>276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382</v>
      </c>
      <c r="F334" t="s">
        <v>272</v>
      </c>
      <c r="G334" s="27">
        <v>43308</v>
      </c>
      <c r="H334" t="s">
        <v>145</v>
      </c>
      <c r="I334" t="s">
        <v>365</v>
      </c>
      <c r="J334" t="s">
        <v>274</v>
      </c>
      <c r="K334">
        <v>9</v>
      </c>
      <c r="L334" t="s">
        <v>112</v>
      </c>
      <c r="M334" t="s">
        <v>366</v>
      </c>
      <c r="N334" t="s">
        <v>114</v>
      </c>
      <c r="O334">
        <v>70.5</v>
      </c>
      <c r="P334">
        <v>134</v>
      </c>
      <c r="Q334">
        <v>6389</v>
      </c>
      <c r="R334" t="s">
        <v>146</v>
      </c>
      <c r="S334" t="s">
        <v>116</v>
      </c>
      <c r="T334" t="s">
        <v>124</v>
      </c>
      <c r="U334" t="s">
        <v>174</v>
      </c>
      <c r="V334" t="s">
        <v>173</v>
      </c>
      <c r="W334" t="s">
        <v>114</v>
      </c>
      <c r="Y334" t="s">
        <v>136</v>
      </c>
      <c r="AA334">
        <v>1</v>
      </c>
      <c r="AB334" t="s">
        <v>99</v>
      </c>
      <c r="AC334" t="s">
        <v>267</v>
      </c>
      <c r="AE334" t="str">
        <f t="shared" si="5"/>
        <v>BussShively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180</v>
      </c>
      <c r="AL334">
        <v>0.34745762711864397</v>
      </c>
      <c r="AM334" t="s">
        <v>230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382</v>
      </c>
      <c r="F335" t="s">
        <v>272</v>
      </c>
      <c r="G335" s="27">
        <v>43308</v>
      </c>
      <c r="H335" t="s">
        <v>145</v>
      </c>
      <c r="I335" t="s">
        <v>365</v>
      </c>
      <c r="J335" t="s">
        <v>274</v>
      </c>
      <c r="K335">
        <v>9</v>
      </c>
      <c r="L335" t="s">
        <v>112</v>
      </c>
      <c r="M335" t="s">
        <v>366</v>
      </c>
      <c r="N335" t="s">
        <v>114</v>
      </c>
      <c r="O335">
        <v>70.5</v>
      </c>
      <c r="P335">
        <v>134</v>
      </c>
      <c r="Q335">
        <v>6389</v>
      </c>
      <c r="R335" t="s">
        <v>146</v>
      </c>
      <c r="S335" t="s">
        <v>116</v>
      </c>
      <c r="T335" t="s">
        <v>117</v>
      </c>
      <c r="U335" t="s">
        <v>233</v>
      </c>
      <c r="V335" t="s">
        <v>180</v>
      </c>
      <c r="W335" t="s">
        <v>367</v>
      </c>
      <c r="Y335" t="s">
        <v>230</v>
      </c>
      <c r="AA335">
        <v>1</v>
      </c>
      <c r="AB335" t="s">
        <v>100</v>
      </c>
      <c r="AC335" t="s">
        <v>267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173</v>
      </c>
      <c r="AL335">
        <v>0.44827586206896602</v>
      </c>
      <c r="AM335" t="s">
        <v>136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383</v>
      </c>
      <c r="F336" t="s">
        <v>272</v>
      </c>
      <c r="G336" s="27">
        <v>43308</v>
      </c>
      <c r="H336" t="s">
        <v>145</v>
      </c>
      <c r="I336" t="s">
        <v>365</v>
      </c>
      <c r="J336" t="s">
        <v>274</v>
      </c>
      <c r="K336">
        <v>9</v>
      </c>
      <c r="L336" t="s">
        <v>138</v>
      </c>
      <c r="M336" t="s">
        <v>366</v>
      </c>
      <c r="N336" t="s">
        <v>114</v>
      </c>
      <c r="O336">
        <v>70.5</v>
      </c>
      <c r="P336">
        <v>134</v>
      </c>
      <c r="Q336">
        <v>6389</v>
      </c>
      <c r="R336" t="s">
        <v>199</v>
      </c>
      <c r="S336" t="s">
        <v>116</v>
      </c>
      <c r="T336" t="s">
        <v>124</v>
      </c>
      <c r="U336" t="s">
        <v>174</v>
      </c>
      <c r="V336" t="s">
        <v>229</v>
      </c>
      <c r="W336" t="s">
        <v>114</v>
      </c>
      <c r="Y336" t="s">
        <v>123</v>
      </c>
      <c r="AA336">
        <v>1</v>
      </c>
      <c r="AB336" t="s">
        <v>99</v>
      </c>
      <c r="AC336" t="s">
        <v>384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383</v>
      </c>
      <c r="F337" t="s">
        <v>272</v>
      </c>
      <c r="G337" s="27">
        <v>43308</v>
      </c>
      <c r="H337" t="s">
        <v>145</v>
      </c>
      <c r="I337" t="s">
        <v>365</v>
      </c>
      <c r="J337" t="s">
        <v>274</v>
      </c>
      <c r="K337">
        <v>9</v>
      </c>
      <c r="L337" t="s">
        <v>138</v>
      </c>
      <c r="M337" t="s">
        <v>366</v>
      </c>
      <c r="N337" t="s">
        <v>114</v>
      </c>
      <c r="O337">
        <v>70.5</v>
      </c>
      <c r="P337">
        <v>134</v>
      </c>
      <c r="Q337">
        <v>6389</v>
      </c>
      <c r="R337" t="s">
        <v>199</v>
      </c>
      <c r="S337" t="s">
        <v>116</v>
      </c>
      <c r="T337" t="s">
        <v>117</v>
      </c>
      <c r="U337" t="s">
        <v>233</v>
      </c>
      <c r="V337" t="s">
        <v>127</v>
      </c>
      <c r="W337" t="s">
        <v>367</v>
      </c>
      <c r="Y337" t="s">
        <v>132</v>
      </c>
      <c r="AA337">
        <v>1</v>
      </c>
      <c r="AB337" t="s">
        <v>100</v>
      </c>
      <c r="AC337" t="s">
        <v>384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229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385</v>
      </c>
      <c r="F338" t="s">
        <v>272</v>
      </c>
      <c r="G338" s="27">
        <v>43308</v>
      </c>
      <c r="H338" t="s">
        <v>145</v>
      </c>
      <c r="I338" t="s">
        <v>365</v>
      </c>
      <c r="J338" t="s">
        <v>274</v>
      </c>
      <c r="K338">
        <v>9</v>
      </c>
      <c r="L338" t="s">
        <v>138</v>
      </c>
      <c r="M338" t="s">
        <v>366</v>
      </c>
      <c r="N338" t="s">
        <v>114</v>
      </c>
      <c r="O338">
        <v>70.5</v>
      </c>
      <c r="P338">
        <v>134</v>
      </c>
      <c r="Q338">
        <v>6389</v>
      </c>
      <c r="R338" t="s">
        <v>199</v>
      </c>
      <c r="S338" t="s">
        <v>116</v>
      </c>
      <c r="T338" t="s">
        <v>117</v>
      </c>
      <c r="U338" t="s">
        <v>233</v>
      </c>
      <c r="V338" t="s">
        <v>135</v>
      </c>
      <c r="W338" t="s">
        <v>367</v>
      </c>
      <c r="Y338" t="s">
        <v>178</v>
      </c>
      <c r="AA338">
        <v>1</v>
      </c>
      <c r="AB338" t="s">
        <v>99</v>
      </c>
      <c r="AC338" t="s">
        <v>386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174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385</v>
      </c>
      <c r="F339" t="s">
        <v>272</v>
      </c>
      <c r="G339" s="27">
        <v>43308</v>
      </c>
      <c r="H339" t="s">
        <v>145</v>
      </c>
      <c r="I339" t="s">
        <v>365</v>
      </c>
      <c r="J339" t="s">
        <v>274</v>
      </c>
      <c r="K339">
        <v>9</v>
      </c>
      <c r="L339" t="s">
        <v>138</v>
      </c>
      <c r="M339" t="s">
        <v>366</v>
      </c>
      <c r="N339" t="s">
        <v>114</v>
      </c>
      <c r="O339">
        <v>70.5</v>
      </c>
      <c r="P339">
        <v>134</v>
      </c>
      <c r="Q339">
        <v>6389</v>
      </c>
      <c r="R339" t="s">
        <v>199</v>
      </c>
      <c r="S339" t="s">
        <v>116</v>
      </c>
      <c r="T339" t="s">
        <v>124</v>
      </c>
      <c r="U339" t="s">
        <v>174</v>
      </c>
      <c r="V339" t="s">
        <v>174</v>
      </c>
      <c r="W339" t="s">
        <v>114</v>
      </c>
      <c r="Y339" t="s">
        <v>122</v>
      </c>
      <c r="AA339">
        <v>1</v>
      </c>
      <c r="AB339" t="s">
        <v>100</v>
      </c>
      <c r="AC339" t="s">
        <v>386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135</v>
      </c>
      <c r="AL339">
        <v>0.59375</v>
      </c>
      <c r="AM339" t="s">
        <v>178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387</v>
      </c>
      <c r="F340" t="s">
        <v>272</v>
      </c>
      <c r="G340" s="27">
        <v>43308</v>
      </c>
      <c r="H340" t="s">
        <v>145</v>
      </c>
      <c r="I340" t="s">
        <v>365</v>
      </c>
      <c r="J340" t="s">
        <v>274</v>
      </c>
      <c r="K340">
        <v>9</v>
      </c>
      <c r="L340" t="s">
        <v>138</v>
      </c>
      <c r="M340" t="s">
        <v>366</v>
      </c>
      <c r="N340" t="s">
        <v>114</v>
      </c>
      <c r="O340">
        <v>70.5</v>
      </c>
      <c r="P340">
        <v>134</v>
      </c>
      <c r="Q340">
        <v>6389</v>
      </c>
      <c r="R340" t="s">
        <v>199</v>
      </c>
      <c r="S340" t="s">
        <v>116</v>
      </c>
      <c r="T340" t="s">
        <v>124</v>
      </c>
      <c r="U340" t="s">
        <v>174</v>
      </c>
      <c r="V340" t="s">
        <v>118</v>
      </c>
      <c r="W340" t="s">
        <v>114</v>
      </c>
      <c r="Y340" t="s">
        <v>234</v>
      </c>
      <c r="AA340">
        <v>1</v>
      </c>
      <c r="AB340" t="s">
        <v>99</v>
      </c>
      <c r="AC340" t="s">
        <v>388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181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387</v>
      </c>
      <c r="F341" t="s">
        <v>272</v>
      </c>
      <c r="G341" s="27">
        <v>43308</v>
      </c>
      <c r="H341" t="s">
        <v>145</v>
      </c>
      <c r="I341" t="s">
        <v>365</v>
      </c>
      <c r="J341" t="s">
        <v>274</v>
      </c>
      <c r="K341">
        <v>9</v>
      </c>
      <c r="L341" t="s">
        <v>138</v>
      </c>
      <c r="M341" t="s">
        <v>366</v>
      </c>
      <c r="N341" t="s">
        <v>114</v>
      </c>
      <c r="O341">
        <v>70.5</v>
      </c>
      <c r="P341">
        <v>134</v>
      </c>
      <c r="Q341">
        <v>6389</v>
      </c>
      <c r="R341" t="s">
        <v>199</v>
      </c>
      <c r="S341" t="s">
        <v>116</v>
      </c>
      <c r="T341" t="s">
        <v>117</v>
      </c>
      <c r="U341" t="s">
        <v>233</v>
      </c>
      <c r="V341" t="s">
        <v>181</v>
      </c>
      <c r="W341" t="s">
        <v>367</v>
      </c>
      <c r="Y341" t="s">
        <v>130</v>
      </c>
      <c r="AA341">
        <v>1</v>
      </c>
      <c r="AB341" t="s">
        <v>100</v>
      </c>
      <c r="AC341" t="s">
        <v>388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234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389</v>
      </c>
      <c r="F342" t="s">
        <v>272</v>
      </c>
      <c r="G342" s="27">
        <v>43308</v>
      </c>
      <c r="H342" t="s">
        <v>145</v>
      </c>
      <c r="I342" t="s">
        <v>365</v>
      </c>
      <c r="J342" t="s">
        <v>274</v>
      </c>
      <c r="K342">
        <v>9</v>
      </c>
      <c r="L342" t="s">
        <v>138</v>
      </c>
      <c r="M342" t="s">
        <v>366</v>
      </c>
      <c r="N342" t="s">
        <v>114</v>
      </c>
      <c r="O342">
        <v>70.5</v>
      </c>
      <c r="P342">
        <v>134</v>
      </c>
      <c r="Q342">
        <v>6389</v>
      </c>
      <c r="R342" t="s">
        <v>199</v>
      </c>
      <c r="S342" t="s">
        <v>116</v>
      </c>
      <c r="T342" t="s">
        <v>117</v>
      </c>
      <c r="U342" t="s">
        <v>233</v>
      </c>
      <c r="V342" t="s">
        <v>233</v>
      </c>
      <c r="W342" t="s">
        <v>367</v>
      </c>
      <c r="Y342" t="s">
        <v>276</v>
      </c>
      <c r="AA342">
        <v>1</v>
      </c>
      <c r="AB342" t="s">
        <v>99</v>
      </c>
      <c r="AC342" t="s">
        <v>295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389</v>
      </c>
      <c r="F343" t="s">
        <v>272</v>
      </c>
      <c r="G343" s="27">
        <v>43308</v>
      </c>
      <c r="H343" t="s">
        <v>145</v>
      </c>
      <c r="I343" t="s">
        <v>365</v>
      </c>
      <c r="J343" t="s">
        <v>274</v>
      </c>
      <c r="K343">
        <v>9</v>
      </c>
      <c r="L343" t="s">
        <v>138</v>
      </c>
      <c r="M343" t="s">
        <v>366</v>
      </c>
      <c r="N343" t="s">
        <v>114</v>
      </c>
      <c r="O343">
        <v>70.5</v>
      </c>
      <c r="P343">
        <v>134</v>
      </c>
      <c r="Q343">
        <v>6389</v>
      </c>
      <c r="R343" t="s">
        <v>199</v>
      </c>
      <c r="S343" t="s">
        <v>116</v>
      </c>
      <c r="T343" t="s">
        <v>124</v>
      </c>
      <c r="U343" t="s">
        <v>174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295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233</v>
      </c>
      <c r="AL343">
        <v>0.52777777777777801</v>
      </c>
      <c r="AM343" t="s">
        <v>276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390</v>
      </c>
      <c r="F344" t="s">
        <v>272</v>
      </c>
      <c r="G344" s="27">
        <v>43308</v>
      </c>
      <c r="H344" t="s">
        <v>145</v>
      </c>
      <c r="I344" t="s">
        <v>365</v>
      </c>
      <c r="J344" t="s">
        <v>274</v>
      </c>
      <c r="K344">
        <v>9</v>
      </c>
      <c r="L344" t="s">
        <v>138</v>
      </c>
      <c r="M344" t="s">
        <v>366</v>
      </c>
      <c r="N344" t="s">
        <v>114</v>
      </c>
      <c r="O344">
        <v>70.5</v>
      </c>
      <c r="P344">
        <v>134</v>
      </c>
      <c r="Q344">
        <v>6389</v>
      </c>
      <c r="R344" t="s">
        <v>199</v>
      </c>
      <c r="S344" t="s">
        <v>116</v>
      </c>
      <c r="T344" t="s">
        <v>124</v>
      </c>
      <c r="U344" t="s">
        <v>174</v>
      </c>
      <c r="V344" t="s">
        <v>173</v>
      </c>
      <c r="W344" t="s">
        <v>114</v>
      </c>
      <c r="Y344" t="s">
        <v>136</v>
      </c>
      <c r="AA344">
        <v>1</v>
      </c>
      <c r="AB344" t="s">
        <v>100</v>
      </c>
      <c r="AC344" t="s">
        <v>391</v>
      </c>
      <c r="AE344" t="str">
        <f t="shared" si="5"/>
        <v>BussShively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180</v>
      </c>
      <c r="AL344">
        <v>0.34745762711864397</v>
      </c>
      <c r="AM344" t="s">
        <v>230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390</v>
      </c>
      <c r="F345" t="s">
        <v>272</v>
      </c>
      <c r="G345" s="27">
        <v>43308</v>
      </c>
      <c r="H345" t="s">
        <v>145</v>
      </c>
      <c r="I345" t="s">
        <v>365</v>
      </c>
      <c r="J345" t="s">
        <v>274</v>
      </c>
      <c r="K345">
        <v>9</v>
      </c>
      <c r="L345" t="s">
        <v>138</v>
      </c>
      <c r="M345" t="s">
        <v>366</v>
      </c>
      <c r="N345" t="s">
        <v>114</v>
      </c>
      <c r="O345">
        <v>70.5</v>
      </c>
      <c r="P345">
        <v>134</v>
      </c>
      <c r="Q345">
        <v>6389</v>
      </c>
      <c r="R345" t="s">
        <v>199</v>
      </c>
      <c r="S345" t="s">
        <v>116</v>
      </c>
      <c r="T345" t="s">
        <v>117</v>
      </c>
      <c r="U345" t="s">
        <v>233</v>
      </c>
      <c r="V345" t="s">
        <v>180</v>
      </c>
      <c r="W345" t="s">
        <v>367</v>
      </c>
      <c r="Y345" t="s">
        <v>230</v>
      </c>
      <c r="AA345">
        <v>1</v>
      </c>
      <c r="AB345" t="s">
        <v>99</v>
      </c>
      <c r="AC345" t="s">
        <v>391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173</v>
      </c>
      <c r="AL345">
        <v>0.44827586206896602</v>
      </c>
      <c r="AM345" t="s">
        <v>136</v>
      </c>
    </row>
    <row r="346" spans="2:40" ht="15" customHeight="1" x14ac:dyDescent="0.2">
      <c r="B346" t="s">
        <v>304</v>
      </c>
      <c r="D346">
        <v>6</v>
      </c>
      <c r="E346" t="s">
        <v>392</v>
      </c>
      <c r="F346" t="s">
        <v>272</v>
      </c>
      <c r="G346" s="27">
        <v>43308</v>
      </c>
      <c r="H346" t="s">
        <v>145</v>
      </c>
      <c r="I346" t="s">
        <v>365</v>
      </c>
      <c r="J346" t="s">
        <v>274</v>
      </c>
      <c r="K346">
        <v>9</v>
      </c>
      <c r="L346" t="s">
        <v>112</v>
      </c>
      <c r="M346" t="s">
        <v>366</v>
      </c>
      <c r="N346" t="s">
        <v>114</v>
      </c>
      <c r="O346">
        <v>70.5</v>
      </c>
      <c r="P346">
        <v>134</v>
      </c>
      <c r="Q346">
        <v>6389</v>
      </c>
      <c r="R346" t="s">
        <v>307</v>
      </c>
      <c r="S346" t="s">
        <v>307</v>
      </c>
      <c r="T346" t="s">
        <v>124</v>
      </c>
      <c r="U346" t="s">
        <v>174</v>
      </c>
      <c r="V346" t="s">
        <v>229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304</v>
      </c>
      <c r="D347">
        <v>6</v>
      </c>
      <c r="E347" t="s">
        <v>392</v>
      </c>
      <c r="F347" t="s">
        <v>272</v>
      </c>
      <c r="G347" s="27">
        <v>43308</v>
      </c>
      <c r="H347" t="s">
        <v>145</v>
      </c>
      <c r="I347" t="s">
        <v>365</v>
      </c>
      <c r="J347" t="s">
        <v>274</v>
      </c>
      <c r="K347">
        <v>9</v>
      </c>
      <c r="L347" t="s">
        <v>112</v>
      </c>
      <c r="M347" t="s">
        <v>366</v>
      </c>
      <c r="N347" t="s">
        <v>114</v>
      </c>
      <c r="O347">
        <v>70.5</v>
      </c>
      <c r="P347">
        <v>134</v>
      </c>
      <c r="Q347">
        <v>6389</v>
      </c>
      <c r="R347" t="s">
        <v>307</v>
      </c>
      <c r="S347" t="s">
        <v>307</v>
      </c>
      <c r="T347" t="s">
        <v>124</v>
      </c>
      <c r="U347" t="s">
        <v>174</v>
      </c>
      <c r="V347" t="s">
        <v>174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304</v>
      </c>
      <c r="D348">
        <v>6</v>
      </c>
      <c r="E348" t="s">
        <v>392</v>
      </c>
      <c r="F348" t="s">
        <v>272</v>
      </c>
      <c r="G348" s="27">
        <v>43308</v>
      </c>
      <c r="H348" t="s">
        <v>145</v>
      </c>
      <c r="I348" t="s">
        <v>365</v>
      </c>
      <c r="J348" t="s">
        <v>274</v>
      </c>
      <c r="K348">
        <v>9</v>
      </c>
      <c r="L348" t="s">
        <v>112</v>
      </c>
      <c r="M348" t="s">
        <v>366</v>
      </c>
      <c r="N348" t="s">
        <v>114</v>
      </c>
      <c r="O348">
        <v>70.5</v>
      </c>
      <c r="P348">
        <v>134</v>
      </c>
      <c r="Q348">
        <v>6389</v>
      </c>
      <c r="R348" t="s">
        <v>307</v>
      </c>
      <c r="S348" t="s">
        <v>307</v>
      </c>
      <c r="T348" t="s">
        <v>124</v>
      </c>
      <c r="U348" t="s">
        <v>174</v>
      </c>
      <c r="V348" t="s">
        <v>234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304</v>
      </c>
      <c r="D349">
        <v>6</v>
      </c>
      <c r="E349" t="s">
        <v>392</v>
      </c>
      <c r="F349" t="s">
        <v>272</v>
      </c>
      <c r="G349" s="27">
        <v>43308</v>
      </c>
      <c r="H349" t="s">
        <v>145</v>
      </c>
      <c r="I349" t="s">
        <v>365</v>
      </c>
      <c r="J349" t="s">
        <v>274</v>
      </c>
      <c r="K349">
        <v>9</v>
      </c>
      <c r="L349" t="s">
        <v>112</v>
      </c>
      <c r="M349" t="s">
        <v>366</v>
      </c>
      <c r="N349" t="s">
        <v>114</v>
      </c>
      <c r="O349">
        <v>70.5</v>
      </c>
      <c r="P349">
        <v>134</v>
      </c>
      <c r="Q349">
        <v>6389</v>
      </c>
      <c r="R349" t="s">
        <v>307</v>
      </c>
      <c r="S349" t="s">
        <v>307</v>
      </c>
      <c r="T349" t="s">
        <v>124</v>
      </c>
      <c r="U349" t="s">
        <v>174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304</v>
      </c>
      <c r="D350">
        <v>6</v>
      </c>
      <c r="E350" t="s">
        <v>392</v>
      </c>
      <c r="F350" t="s">
        <v>272</v>
      </c>
      <c r="G350" s="27">
        <v>43308</v>
      </c>
      <c r="H350" t="s">
        <v>145</v>
      </c>
      <c r="I350" t="s">
        <v>365</v>
      </c>
      <c r="J350" t="s">
        <v>274</v>
      </c>
      <c r="K350">
        <v>9</v>
      </c>
      <c r="L350" t="s">
        <v>112</v>
      </c>
      <c r="M350" t="s">
        <v>366</v>
      </c>
      <c r="N350" t="s">
        <v>114</v>
      </c>
      <c r="O350">
        <v>70.5</v>
      </c>
      <c r="P350">
        <v>134</v>
      </c>
      <c r="Q350">
        <v>6389</v>
      </c>
      <c r="R350" t="s">
        <v>307</v>
      </c>
      <c r="S350" t="s">
        <v>307</v>
      </c>
      <c r="T350" t="s">
        <v>124</v>
      </c>
      <c r="U350" t="s">
        <v>174</v>
      </c>
      <c r="V350" t="s">
        <v>173</v>
      </c>
      <c r="W350" t="s">
        <v>114</v>
      </c>
      <c r="AA350">
        <v>0.5</v>
      </c>
      <c r="AB350" t="s">
        <v>99</v>
      </c>
      <c r="AE350" t="str">
        <f t="shared" si="5"/>
        <v>Buss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304</v>
      </c>
      <c r="D351">
        <v>6</v>
      </c>
      <c r="E351" t="s">
        <v>392</v>
      </c>
      <c r="F351" t="s">
        <v>272</v>
      </c>
      <c r="G351" s="27">
        <v>43308</v>
      </c>
      <c r="H351" t="s">
        <v>145</v>
      </c>
      <c r="I351" t="s">
        <v>365</v>
      </c>
      <c r="J351" t="s">
        <v>274</v>
      </c>
      <c r="K351">
        <v>9</v>
      </c>
      <c r="L351" t="s">
        <v>112</v>
      </c>
      <c r="M351" t="s">
        <v>366</v>
      </c>
      <c r="N351" t="s">
        <v>114</v>
      </c>
      <c r="O351">
        <v>70.5</v>
      </c>
      <c r="P351">
        <v>134</v>
      </c>
      <c r="Q351">
        <v>6389</v>
      </c>
      <c r="R351" t="s">
        <v>307</v>
      </c>
      <c r="S351" t="s">
        <v>307</v>
      </c>
      <c r="T351" t="s">
        <v>124</v>
      </c>
      <c r="U351" t="s">
        <v>174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304</v>
      </c>
      <c r="D352">
        <v>6</v>
      </c>
      <c r="E352" t="s">
        <v>392</v>
      </c>
      <c r="F352" t="s">
        <v>272</v>
      </c>
      <c r="G352" s="27">
        <v>43308</v>
      </c>
      <c r="H352" t="s">
        <v>145</v>
      </c>
      <c r="I352" t="s">
        <v>365</v>
      </c>
      <c r="J352" t="s">
        <v>274</v>
      </c>
      <c r="K352">
        <v>9</v>
      </c>
      <c r="L352" t="s">
        <v>112</v>
      </c>
      <c r="M352" t="s">
        <v>366</v>
      </c>
      <c r="N352" t="s">
        <v>114</v>
      </c>
      <c r="O352">
        <v>70.5</v>
      </c>
      <c r="P352">
        <v>134</v>
      </c>
      <c r="Q352">
        <v>6389</v>
      </c>
      <c r="R352" t="s">
        <v>307</v>
      </c>
      <c r="S352" t="s">
        <v>307</v>
      </c>
      <c r="T352" t="s">
        <v>124</v>
      </c>
      <c r="U352" t="s">
        <v>174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304</v>
      </c>
      <c r="D353">
        <v>6</v>
      </c>
      <c r="E353" t="s">
        <v>392</v>
      </c>
      <c r="F353" t="s">
        <v>272</v>
      </c>
      <c r="G353" s="27">
        <v>43308</v>
      </c>
      <c r="H353" t="s">
        <v>145</v>
      </c>
      <c r="I353" t="s">
        <v>365</v>
      </c>
      <c r="J353" t="s">
        <v>274</v>
      </c>
      <c r="K353">
        <v>9</v>
      </c>
      <c r="L353" t="s">
        <v>112</v>
      </c>
      <c r="M353" t="s">
        <v>366</v>
      </c>
      <c r="N353" t="s">
        <v>114</v>
      </c>
      <c r="O353">
        <v>70.5</v>
      </c>
      <c r="P353">
        <v>134</v>
      </c>
      <c r="Q353">
        <v>6389</v>
      </c>
      <c r="R353" t="s">
        <v>307</v>
      </c>
      <c r="S353" t="s">
        <v>307</v>
      </c>
      <c r="T353" t="s">
        <v>124</v>
      </c>
      <c r="U353" t="s">
        <v>174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304</v>
      </c>
      <c r="D354">
        <v>6</v>
      </c>
      <c r="E354" t="s">
        <v>392</v>
      </c>
      <c r="F354" t="s">
        <v>272</v>
      </c>
      <c r="G354" s="27">
        <v>43308</v>
      </c>
      <c r="H354" t="s">
        <v>145</v>
      </c>
      <c r="I354" t="s">
        <v>365</v>
      </c>
      <c r="J354" t="s">
        <v>274</v>
      </c>
      <c r="K354">
        <v>9</v>
      </c>
      <c r="L354" t="s">
        <v>112</v>
      </c>
      <c r="M354" t="s">
        <v>366</v>
      </c>
      <c r="N354" t="s">
        <v>114</v>
      </c>
      <c r="O354">
        <v>70.5</v>
      </c>
      <c r="P354">
        <v>134</v>
      </c>
      <c r="Q354">
        <v>6389</v>
      </c>
      <c r="R354" t="s">
        <v>307</v>
      </c>
      <c r="S354" t="s">
        <v>307</v>
      </c>
      <c r="T354" t="s">
        <v>124</v>
      </c>
      <c r="U354" t="s">
        <v>174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304</v>
      </c>
      <c r="D355">
        <v>6</v>
      </c>
      <c r="E355" t="s">
        <v>392</v>
      </c>
      <c r="F355" t="s">
        <v>272</v>
      </c>
      <c r="G355" s="27">
        <v>43308</v>
      </c>
      <c r="H355" t="s">
        <v>145</v>
      </c>
      <c r="I355" t="s">
        <v>365</v>
      </c>
      <c r="J355" t="s">
        <v>274</v>
      </c>
      <c r="K355">
        <v>9</v>
      </c>
      <c r="L355" t="s">
        <v>112</v>
      </c>
      <c r="M355" t="s">
        <v>366</v>
      </c>
      <c r="N355" t="s">
        <v>114</v>
      </c>
      <c r="O355">
        <v>70.5</v>
      </c>
      <c r="P355">
        <v>134</v>
      </c>
      <c r="Q355">
        <v>6389</v>
      </c>
      <c r="R355" t="s">
        <v>307</v>
      </c>
      <c r="S355" t="s">
        <v>307</v>
      </c>
      <c r="T355" t="s">
        <v>124</v>
      </c>
      <c r="U355" t="s">
        <v>174</v>
      </c>
      <c r="V355" t="s">
        <v>136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304</v>
      </c>
      <c r="D356">
        <v>6</v>
      </c>
      <c r="E356" t="s">
        <v>392</v>
      </c>
      <c r="F356" t="s">
        <v>272</v>
      </c>
      <c r="G356" s="27">
        <v>43308</v>
      </c>
      <c r="H356" t="s">
        <v>145</v>
      </c>
      <c r="I356" t="s">
        <v>365</v>
      </c>
      <c r="J356" t="s">
        <v>274</v>
      </c>
      <c r="K356">
        <v>9</v>
      </c>
      <c r="L356" t="s">
        <v>112</v>
      </c>
      <c r="M356" t="s">
        <v>366</v>
      </c>
      <c r="N356" t="s">
        <v>114</v>
      </c>
      <c r="O356">
        <v>70.5</v>
      </c>
      <c r="P356">
        <v>134</v>
      </c>
      <c r="Q356">
        <v>6389</v>
      </c>
      <c r="R356" t="s">
        <v>307</v>
      </c>
      <c r="S356" t="s">
        <v>307</v>
      </c>
      <c r="T356" t="s">
        <v>117</v>
      </c>
      <c r="U356" t="s">
        <v>233</v>
      </c>
      <c r="V356" t="s">
        <v>132</v>
      </c>
      <c r="W356" t="s">
        <v>367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304</v>
      </c>
      <c r="D357">
        <v>6</v>
      </c>
      <c r="E357" t="s">
        <v>392</v>
      </c>
      <c r="F357" t="s">
        <v>272</v>
      </c>
      <c r="G357" s="27">
        <v>43308</v>
      </c>
      <c r="H357" t="s">
        <v>145</v>
      </c>
      <c r="I357" t="s">
        <v>365</v>
      </c>
      <c r="J357" t="s">
        <v>274</v>
      </c>
      <c r="K357">
        <v>9</v>
      </c>
      <c r="L357" t="s">
        <v>112</v>
      </c>
      <c r="M357" t="s">
        <v>366</v>
      </c>
      <c r="N357" t="s">
        <v>114</v>
      </c>
      <c r="O357">
        <v>70.5</v>
      </c>
      <c r="P357">
        <v>134</v>
      </c>
      <c r="Q357">
        <v>6389</v>
      </c>
      <c r="R357" t="s">
        <v>307</v>
      </c>
      <c r="S357" t="s">
        <v>307</v>
      </c>
      <c r="T357" t="s">
        <v>117</v>
      </c>
      <c r="U357" t="s">
        <v>233</v>
      </c>
      <c r="V357" t="s">
        <v>127</v>
      </c>
      <c r="W357" t="s">
        <v>367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304</v>
      </c>
      <c r="D358">
        <v>6</v>
      </c>
      <c r="E358" t="s">
        <v>392</v>
      </c>
      <c r="F358" t="s">
        <v>272</v>
      </c>
      <c r="G358" s="27">
        <v>43308</v>
      </c>
      <c r="H358" t="s">
        <v>145</v>
      </c>
      <c r="I358" t="s">
        <v>365</v>
      </c>
      <c r="J358" t="s">
        <v>274</v>
      </c>
      <c r="K358">
        <v>9</v>
      </c>
      <c r="L358" t="s">
        <v>112</v>
      </c>
      <c r="M358" t="s">
        <v>366</v>
      </c>
      <c r="N358" t="s">
        <v>114</v>
      </c>
      <c r="O358">
        <v>70.5</v>
      </c>
      <c r="P358">
        <v>134</v>
      </c>
      <c r="Q358">
        <v>6389</v>
      </c>
      <c r="R358" t="s">
        <v>307</v>
      </c>
      <c r="S358" t="s">
        <v>307</v>
      </c>
      <c r="T358" t="s">
        <v>117</v>
      </c>
      <c r="U358" t="s">
        <v>233</v>
      </c>
      <c r="V358" t="s">
        <v>135</v>
      </c>
      <c r="W358" t="s">
        <v>367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304</v>
      </c>
      <c r="D359">
        <v>6</v>
      </c>
      <c r="E359" t="s">
        <v>392</v>
      </c>
      <c r="F359" t="s">
        <v>272</v>
      </c>
      <c r="G359" s="27">
        <v>43308</v>
      </c>
      <c r="H359" t="s">
        <v>145</v>
      </c>
      <c r="I359" t="s">
        <v>365</v>
      </c>
      <c r="J359" t="s">
        <v>274</v>
      </c>
      <c r="K359">
        <v>9</v>
      </c>
      <c r="L359" t="s">
        <v>112</v>
      </c>
      <c r="M359" t="s">
        <v>366</v>
      </c>
      <c r="N359" t="s">
        <v>114</v>
      </c>
      <c r="O359">
        <v>70.5</v>
      </c>
      <c r="P359">
        <v>134</v>
      </c>
      <c r="Q359">
        <v>6389</v>
      </c>
      <c r="R359" t="s">
        <v>307</v>
      </c>
      <c r="S359" t="s">
        <v>307</v>
      </c>
      <c r="T359" t="s">
        <v>117</v>
      </c>
      <c r="U359" t="s">
        <v>233</v>
      </c>
      <c r="V359" t="s">
        <v>178</v>
      </c>
      <c r="W359" t="s">
        <v>367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304</v>
      </c>
      <c r="D360">
        <v>6</v>
      </c>
      <c r="E360" t="s">
        <v>392</v>
      </c>
      <c r="F360" t="s">
        <v>272</v>
      </c>
      <c r="G360" s="27">
        <v>43308</v>
      </c>
      <c r="H360" t="s">
        <v>145</v>
      </c>
      <c r="I360" t="s">
        <v>365</v>
      </c>
      <c r="J360" t="s">
        <v>274</v>
      </c>
      <c r="K360">
        <v>9</v>
      </c>
      <c r="L360" t="s">
        <v>112</v>
      </c>
      <c r="M360" t="s">
        <v>366</v>
      </c>
      <c r="N360" t="s">
        <v>114</v>
      </c>
      <c r="O360">
        <v>70.5</v>
      </c>
      <c r="P360">
        <v>134</v>
      </c>
      <c r="Q360">
        <v>6389</v>
      </c>
      <c r="R360" t="s">
        <v>307</v>
      </c>
      <c r="S360" t="s">
        <v>307</v>
      </c>
      <c r="T360" t="s">
        <v>117</v>
      </c>
      <c r="U360" t="s">
        <v>233</v>
      </c>
      <c r="V360" t="s">
        <v>130</v>
      </c>
      <c r="W360" t="s">
        <v>367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304</v>
      </c>
      <c r="D361">
        <v>6</v>
      </c>
      <c r="E361" t="s">
        <v>392</v>
      </c>
      <c r="F361" t="s">
        <v>272</v>
      </c>
      <c r="G361" s="27">
        <v>43308</v>
      </c>
      <c r="H361" t="s">
        <v>145</v>
      </c>
      <c r="I361" t="s">
        <v>365</v>
      </c>
      <c r="J361" t="s">
        <v>274</v>
      </c>
      <c r="K361">
        <v>9</v>
      </c>
      <c r="L361" t="s">
        <v>112</v>
      </c>
      <c r="M361" t="s">
        <v>366</v>
      </c>
      <c r="N361" t="s">
        <v>114</v>
      </c>
      <c r="O361">
        <v>70.5</v>
      </c>
      <c r="P361">
        <v>134</v>
      </c>
      <c r="Q361">
        <v>6389</v>
      </c>
      <c r="R361" t="s">
        <v>307</v>
      </c>
      <c r="S361" t="s">
        <v>307</v>
      </c>
      <c r="T361" t="s">
        <v>117</v>
      </c>
      <c r="U361" t="s">
        <v>233</v>
      </c>
      <c r="V361" t="s">
        <v>181</v>
      </c>
      <c r="W361" t="s">
        <v>367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304</v>
      </c>
      <c r="D362">
        <v>6</v>
      </c>
      <c r="E362" t="s">
        <v>392</v>
      </c>
      <c r="F362" t="s">
        <v>272</v>
      </c>
      <c r="G362" s="27">
        <v>43308</v>
      </c>
      <c r="H362" t="s">
        <v>145</v>
      </c>
      <c r="I362" t="s">
        <v>365</v>
      </c>
      <c r="J362" t="s">
        <v>274</v>
      </c>
      <c r="K362">
        <v>9</v>
      </c>
      <c r="L362" t="s">
        <v>112</v>
      </c>
      <c r="M362" t="s">
        <v>366</v>
      </c>
      <c r="N362" t="s">
        <v>114</v>
      </c>
      <c r="O362">
        <v>70.5</v>
      </c>
      <c r="P362">
        <v>134</v>
      </c>
      <c r="Q362">
        <v>6389</v>
      </c>
      <c r="R362" t="s">
        <v>307</v>
      </c>
      <c r="S362" t="s">
        <v>307</v>
      </c>
      <c r="T362" t="s">
        <v>117</v>
      </c>
      <c r="U362" t="s">
        <v>233</v>
      </c>
      <c r="V362" t="s">
        <v>233</v>
      </c>
      <c r="W362" t="s">
        <v>367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304</v>
      </c>
      <c r="D363">
        <v>6</v>
      </c>
      <c r="E363" t="s">
        <v>392</v>
      </c>
      <c r="F363" t="s">
        <v>272</v>
      </c>
      <c r="G363" s="27">
        <v>43308</v>
      </c>
      <c r="H363" t="s">
        <v>145</v>
      </c>
      <c r="I363" t="s">
        <v>365</v>
      </c>
      <c r="J363" t="s">
        <v>274</v>
      </c>
      <c r="K363">
        <v>9</v>
      </c>
      <c r="L363" t="s">
        <v>112</v>
      </c>
      <c r="M363" t="s">
        <v>366</v>
      </c>
      <c r="N363" t="s">
        <v>114</v>
      </c>
      <c r="O363">
        <v>70.5</v>
      </c>
      <c r="P363">
        <v>134</v>
      </c>
      <c r="Q363">
        <v>6389</v>
      </c>
      <c r="R363" t="s">
        <v>307</v>
      </c>
      <c r="S363" t="s">
        <v>307</v>
      </c>
      <c r="T363" t="s">
        <v>117</v>
      </c>
      <c r="U363" t="s">
        <v>233</v>
      </c>
      <c r="V363" t="s">
        <v>276</v>
      </c>
      <c r="W363" t="s">
        <v>367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304</v>
      </c>
      <c r="D364">
        <v>6</v>
      </c>
      <c r="E364" t="s">
        <v>392</v>
      </c>
      <c r="F364" t="s">
        <v>272</v>
      </c>
      <c r="G364" s="27">
        <v>43308</v>
      </c>
      <c r="H364" t="s">
        <v>145</v>
      </c>
      <c r="I364" t="s">
        <v>365</v>
      </c>
      <c r="J364" t="s">
        <v>274</v>
      </c>
      <c r="K364">
        <v>9</v>
      </c>
      <c r="L364" t="s">
        <v>112</v>
      </c>
      <c r="M364" t="s">
        <v>366</v>
      </c>
      <c r="N364" t="s">
        <v>114</v>
      </c>
      <c r="O364">
        <v>70.5</v>
      </c>
      <c r="P364">
        <v>134</v>
      </c>
      <c r="Q364">
        <v>6389</v>
      </c>
      <c r="R364" t="s">
        <v>307</v>
      </c>
      <c r="S364" t="s">
        <v>307</v>
      </c>
      <c r="T364" t="s">
        <v>117</v>
      </c>
      <c r="U364" t="s">
        <v>233</v>
      </c>
      <c r="V364" t="s">
        <v>230</v>
      </c>
      <c r="W364" t="s">
        <v>367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304</v>
      </c>
      <c r="D365">
        <v>6</v>
      </c>
      <c r="E365" t="s">
        <v>392</v>
      </c>
      <c r="F365" t="s">
        <v>272</v>
      </c>
      <c r="G365" s="27">
        <v>43308</v>
      </c>
      <c r="H365" t="s">
        <v>145</v>
      </c>
      <c r="I365" t="s">
        <v>365</v>
      </c>
      <c r="J365" t="s">
        <v>274</v>
      </c>
      <c r="K365">
        <v>9</v>
      </c>
      <c r="L365" t="s">
        <v>112</v>
      </c>
      <c r="M365" t="s">
        <v>366</v>
      </c>
      <c r="N365" t="s">
        <v>114</v>
      </c>
      <c r="O365">
        <v>70.5</v>
      </c>
      <c r="P365">
        <v>134</v>
      </c>
      <c r="Q365">
        <v>6389</v>
      </c>
      <c r="R365" t="s">
        <v>307</v>
      </c>
      <c r="S365" t="s">
        <v>307</v>
      </c>
      <c r="T365" t="s">
        <v>117</v>
      </c>
      <c r="U365" t="s">
        <v>233</v>
      </c>
      <c r="V365" t="s">
        <v>180</v>
      </c>
      <c r="W365" t="s">
        <v>367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393</v>
      </c>
      <c r="F366" t="s">
        <v>108</v>
      </c>
      <c r="G366" s="27">
        <v>43309</v>
      </c>
      <c r="H366" t="s">
        <v>109</v>
      </c>
      <c r="I366" t="s">
        <v>365</v>
      </c>
      <c r="J366" t="s">
        <v>274</v>
      </c>
      <c r="K366">
        <v>18</v>
      </c>
      <c r="L366" t="s">
        <v>155</v>
      </c>
      <c r="M366" t="s">
        <v>366</v>
      </c>
      <c r="N366" t="s">
        <v>114</v>
      </c>
      <c r="O366">
        <v>70.5</v>
      </c>
      <c r="P366">
        <v>134</v>
      </c>
      <c r="Q366">
        <v>6389</v>
      </c>
      <c r="R366" t="s">
        <v>158</v>
      </c>
      <c r="S366" t="s">
        <v>159</v>
      </c>
      <c r="T366" t="s">
        <v>124</v>
      </c>
      <c r="U366" t="s">
        <v>174</v>
      </c>
      <c r="V366" t="s">
        <v>174</v>
      </c>
      <c r="W366" t="s">
        <v>394</v>
      </c>
      <c r="AA366">
        <v>2</v>
      </c>
      <c r="AB366" t="s">
        <v>100</v>
      </c>
      <c r="AC366" t="s">
        <v>225</v>
      </c>
      <c r="AD366" t="s">
        <v>233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233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395</v>
      </c>
      <c r="F367" t="s">
        <v>108</v>
      </c>
      <c r="G367" s="27">
        <v>43309</v>
      </c>
      <c r="H367" t="s">
        <v>109</v>
      </c>
      <c r="I367" t="s">
        <v>365</v>
      </c>
      <c r="J367" t="s">
        <v>274</v>
      </c>
      <c r="K367">
        <v>18</v>
      </c>
      <c r="L367" t="s">
        <v>155</v>
      </c>
      <c r="M367" t="s">
        <v>366</v>
      </c>
      <c r="N367" t="s">
        <v>114</v>
      </c>
      <c r="O367">
        <v>70.5</v>
      </c>
      <c r="P367">
        <v>134</v>
      </c>
      <c r="Q367">
        <v>6389</v>
      </c>
      <c r="R367" t="s">
        <v>158</v>
      </c>
      <c r="S367" t="s">
        <v>159</v>
      </c>
      <c r="T367" t="s">
        <v>124</v>
      </c>
      <c r="U367" t="s">
        <v>174</v>
      </c>
      <c r="V367" t="s">
        <v>123</v>
      </c>
      <c r="W367" t="s">
        <v>394</v>
      </c>
      <c r="AA367">
        <v>2</v>
      </c>
      <c r="AB367" t="s">
        <v>100</v>
      </c>
      <c r="AC367" t="s">
        <v>242</v>
      </c>
      <c r="AD367" t="s">
        <v>178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178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396</v>
      </c>
      <c r="F368" t="s">
        <v>108</v>
      </c>
      <c r="G368" s="27">
        <v>43309</v>
      </c>
      <c r="H368" t="s">
        <v>109</v>
      </c>
      <c r="I368" t="s">
        <v>365</v>
      </c>
      <c r="J368" t="s">
        <v>274</v>
      </c>
      <c r="K368">
        <v>18</v>
      </c>
      <c r="L368" t="s">
        <v>155</v>
      </c>
      <c r="M368" t="s">
        <v>366</v>
      </c>
      <c r="N368" t="s">
        <v>114</v>
      </c>
      <c r="O368">
        <v>70.5</v>
      </c>
      <c r="P368">
        <v>134</v>
      </c>
      <c r="Q368">
        <v>6389</v>
      </c>
      <c r="R368" t="s">
        <v>158</v>
      </c>
      <c r="S368" t="s">
        <v>159</v>
      </c>
      <c r="T368" t="s">
        <v>124</v>
      </c>
      <c r="U368" t="s">
        <v>174</v>
      </c>
      <c r="V368" t="s">
        <v>122</v>
      </c>
      <c r="W368" t="s">
        <v>394</v>
      </c>
      <c r="AA368">
        <v>2</v>
      </c>
      <c r="AB368" t="s">
        <v>99</v>
      </c>
      <c r="AC368" t="s">
        <v>242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397</v>
      </c>
      <c r="F369" t="s">
        <v>108</v>
      </c>
      <c r="G369" s="27">
        <v>43309</v>
      </c>
      <c r="H369" t="s">
        <v>109</v>
      </c>
      <c r="I369" t="s">
        <v>365</v>
      </c>
      <c r="J369" t="s">
        <v>274</v>
      </c>
      <c r="K369">
        <v>18</v>
      </c>
      <c r="L369" t="s">
        <v>155</v>
      </c>
      <c r="M369" t="s">
        <v>366</v>
      </c>
      <c r="N369" t="s">
        <v>114</v>
      </c>
      <c r="O369">
        <v>70.5</v>
      </c>
      <c r="P369">
        <v>134</v>
      </c>
      <c r="Q369">
        <v>6389</v>
      </c>
      <c r="R369" t="s">
        <v>158</v>
      </c>
      <c r="S369" t="s">
        <v>159</v>
      </c>
      <c r="T369" t="s">
        <v>124</v>
      </c>
      <c r="U369" t="s">
        <v>174</v>
      </c>
      <c r="V369" t="s">
        <v>119</v>
      </c>
      <c r="W369" t="s">
        <v>394</v>
      </c>
      <c r="AA369">
        <v>2</v>
      </c>
      <c r="AB369" t="s">
        <v>99</v>
      </c>
      <c r="AC369" t="s">
        <v>228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398</v>
      </c>
      <c r="F370" t="s">
        <v>108</v>
      </c>
      <c r="G370" s="27">
        <v>43309</v>
      </c>
      <c r="H370" t="s">
        <v>109</v>
      </c>
      <c r="I370" t="s">
        <v>365</v>
      </c>
      <c r="J370" t="s">
        <v>274</v>
      </c>
      <c r="K370">
        <v>18</v>
      </c>
      <c r="L370" t="s">
        <v>155</v>
      </c>
      <c r="M370" t="s">
        <v>366</v>
      </c>
      <c r="N370" t="s">
        <v>114</v>
      </c>
      <c r="O370">
        <v>70.5</v>
      </c>
      <c r="P370">
        <v>134</v>
      </c>
      <c r="Q370">
        <v>6389</v>
      </c>
      <c r="R370" t="s">
        <v>158</v>
      </c>
      <c r="S370" t="s">
        <v>159</v>
      </c>
      <c r="T370" t="s">
        <v>124</v>
      </c>
      <c r="U370" t="s">
        <v>174</v>
      </c>
      <c r="V370" t="s">
        <v>136</v>
      </c>
      <c r="W370" t="s">
        <v>394</v>
      </c>
      <c r="AA370">
        <v>2</v>
      </c>
      <c r="AB370" t="s">
        <v>99</v>
      </c>
      <c r="AC370" t="s">
        <v>225</v>
      </c>
      <c r="AD370" t="s">
        <v>180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180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399</v>
      </c>
      <c r="F371" t="s">
        <v>108</v>
      </c>
      <c r="G371" s="27">
        <v>43309</v>
      </c>
      <c r="H371" t="s">
        <v>109</v>
      </c>
      <c r="I371" t="s">
        <v>365</v>
      </c>
      <c r="J371" t="s">
        <v>274</v>
      </c>
      <c r="K371">
        <v>18</v>
      </c>
      <c r="L371" t="s">
        <v>155</v>
      </c>
      <c r="M371" t="s">
        <v>366</v>
      </c>
      <c r="N371" t="s">
        <v>114</v>
      </c>
      <c r="O371">
        <v>70.5</v>
      </c>
      <c r="P371">
        <v>134</v>
      </c>
      <c r="Q371">
        <v>6389</v>
      </c>
      <c r="R371" t="s">
        <v>158</v>
      </c>
      <c r="S371" t="s">
        <v>159</v>
      </c>
      <c r="T371" t="s">
        <v>124</v>
      </c>
      <c r="U371" t="s">
        <v>174</v>
      </c>
      <c r="V371" t="s">
        <v>173</v>
      </c>
      <c r="W371" t="s">
        <v>394</v>
      </c>
      <c r="AA371">
        <v>2</v>
      </c>
      <c r="AB371" t="s">
        <v>100</v>
      </c>
      <c r="AC371" t="s">
        <v>317</v>
      </c>
      <c r="AD371" t="s">
        <v>276</v>
      </c>
      <c r="AE371" t="str">
        <f t="shared" si="5"/>
        <v>Buss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276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400</v>
      </c>
      <c r="F372" t="s">
        <v>108</v>
      </c>
      <c r="G372" s="27">
        <v>43309</v>
      </c>
      <c r="H372" t="s">
        <v>109</v>
      </c>
      <c r="I372" t="s">
        <v>365</v>
      </c>
      <c r="J372" t="s">
        <v>274</v>
      </c>
      <c r="K372">
        <v>18</v>
      </c>
      <c r="L372" t="s">
        <v>155</v>
      </c>
      <c r="M372" t="s">
        <v>366</v>
      </c>
      <c r="N372" t="s">
        <v>114</v>
      </c>
      <c r="O372">
        <v>70.5</v>
      </c>
      <c r="P372">
        <v>134</v>
      </c>
      <c r="Q372">
        <v>6389</v>
      </c>
      <c r="R372" t="s">
        <v>158</v>
      </c>
      <c r="S372" t="s">
        <v>159</v>
      </c>
      <c r="T372" t="s">
        <v>124</v>
      </c>
      <c r="U372" t="s">
        <v>174</v>
      </c>
      <c r="V372" t="s">
        <v>118</v>
      </c>
      <c r="W372" t="s">
        <v>394</v>
      </c>
      <c r="AA372">
        <v>2</v>
      </c>
      <c r="AB372" t="s">
        <v>99</v>
      </c>
      <c r="AC372" t="s">
        <v>225</v>
      </c>
      <c r="AD372" t="s">
        <v>230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230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401</v>
      </c>
      <c r="F373" t="s">
        <v>108</v>
      </c>
      <c r="G373" s="27">
        <v>43309</v>
      </c>
      <c r="H373" t="s">
        <v>109</v>
      </c>
      <c r="I373" t="s">
        <v>365</v>
      </c>
      <c r="J373" t="s">
        <v>274</v>
      </c>
      <c r="K373">
        <v>18</v>
      </c>
      <c r="L373" t="s">
        <v>155</v>
      </c>
      <c r="M373" t="s">
        <v>366</v>
      </c>
      <c r="N373" t="s">
        <v>114</v>
      </c>
      <c r="O373">
        <v>70.5</v>
      </c>
      <c r="P373">
        <v>134</v>
      </c>
      <c r="Q373">
        <v>6389</v>
      </c>
      <c r="R373" t="s">
        <v>158</v>
      </c>
      <c r="S373" t="s">
        <v>159</v>
      </c>
      <c r="T373" t="s">
        <v>124</v>
      </c>
      <c r="U373" t="s">
        <v>174</v>
      </c>
      <c r="V373" t="s">
        <v>133</v>
      </c>
      <c r="W373" t="s">
        <v>394</v>
      </c>
      <c r="AA373">
        <v>2</v>
      </c>
      <c r="AB373" t="s">
        <v>100</v>
      </c>
      <c r="AC373" t="s">
        <v>402</v>
      </c>
      <c r="AD373" t="s">
        <v>181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181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403</v>
      </c>
      <c r="F374" t="s">
        <v>108</v>
      </c>
      <c r="G374" s="27">
        <v>43309</v>
      </c>
      <c r="H374" t="s">
        <v>109</v>
      </c>
      <c r="I374" t="s">
        <v>365</v>
      </c>
      <c r="J374" t="s">
        <v>274</v>
      </c>
      <c r="K374">
        <v>18</v>
      </c>
      <c r="L374" t="s">
        <v>155</v>
      </c>
      <c r="M374" t="s">
        <v>366</v>
      </c>
      <c r="N374" t="s">
        <v>114</v>
      </c>
      <c r="O374">
        <v>70.5</v>
      </c>
      <c r="P374">
        <v>134</v>
      </c>
      <c r="Q374">
        <v>6389</v>
      </c>
      <c r="R374" t="s">
        <v>158</v>
      </c>
      <c r="S374" t="s">
        <v>159</v>
      </c>
      <c r="T374" t="s">
        <v>124</v>
      </c>
      <c r="U374" t="s">
        <v>174</v>
      </c>
      <c r="V374" t="s">
        <v>229</v>
      </c>
      <c r="W374" t="s">
        <v>394</v>
      </c>
      <c r="AA374">
        <v>2</v>
      </c>
      <c r="AB374" t="s">
        <v>99</v>
      </c>
      <c r="AC374" t="s">
        <v>225</v>
      </c>
      <c r="AD374" t="s">
        <v>135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135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404</v>
      </c>
      <c r="F375" t="s">
        <v>108</v>
      </c>
      <c r="G375" s="27">
        <v>43309</v>
      </c>
      <c r="H375" t="s">
        <v>109</v>
      </c>
      <c r="I375" t="s">
        <v>365</v>
      </c>
      <c r="J375" t="s">
        <v>274</v>
      </c>
      <c r="K375">
        <v>18</v>
      </c>
      <c r="L375" t="s">
        <v>155</v>
      </c>
      <c r="M375" t="s">
        <v>366</v>
      </c>
      <c r="N375" t="s">
        <v>114</v>
      </c>
      <c r="O375">
        <v>70.5</v>
      </c>
      <c r="P375">
        <v>134</v>
      </c>
      <c r="Q375">
        <v>6389</v>
      </c>
      <c r="R375" t="s">
        <v>158</v>
      </c>
      <c r="S375" t="s">
        <v>159</v>
      </c>
      <c r="T375" t="s">
        <v>124</v>
      </c>
      <c r="U375" t="s">
        <v>174</v>
      </c>
      <c r="V375" t="s">
        <v>234</v>
      </c>
      <c r="W375" t="s">
        <v>394</v>
      </c>
      <c r="AA375">
        <v>2</v>
      </c>
      <c r="AB375" t="s">
        <v>101</v>
      </c>
      <c r="AC375" t="s">
        <v>140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393</v>
      </c>
      <c r="F376" t="s">
        <v>108</v>
      </c>
      <c r="G376" s="27">
        <v>43309</v>
      </c>
      <c r="H376" t="s">
        <v>109</v>
      </c>
      <c r="I376" t="s">
        <v>365</v>
      </c>
      <c r="J376" t="s">
        <v>274</v>
      </c>
      <c r="K376">
        <v>18</v>
      </c>
      <c r="L376" t="s">
        <v>155</v>
      </c>
      <c r="M376" t="s">
        <v>366</v>
      </c>
      <c r="N376" t="s">
        <v>114</v>
      </c>
      <c r="O376">
        <v>70.5</v>
      </c>
      <c r="P376">
        <v>134</v>
      </c>
      <c r="Q376">
        <v>6389</v>
      </c>
      <c r="R376" t="s">
        <v>158</v>
      </c>
      <c r="S376" t="s">
        <v>159</v>
      </c>
      <c r="T376" t="s">
        <v>117</v>
      </c>
      <c r="U376" t="s">
        <v>233</v>
      </c>
      <c r="V376" t="s">
        <v>233</v>
      </c>
      <c r="W376" t="s">
        <v>367</v>
      </c>
      <c r="AA376">
        <v>2</v>
      </c>
      <c r="AB376" t="s">
        <v>99</v>
      </c>
      <c r="AC376" t="s">
        <v>225</v>
      </c>
      <c r="AD376" t="s">
        <v>174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174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395</v>
      </c>
      <c r="F377" t="s">
        <v>108</v>
      </c>
      <c r="G377" s="27">
        <v>43309</v>
      </c>
      <c r="H377" t="s">
        <v>109</v>
      </c>
      <c r="I377" t="s">
        <v>365</v>
      </c>
      <c r="J377" t="s">
        <v>274</v>
      </c>
      <c r="K377">
        <v>18</v>
      </c>
      <c r="L377" t="s">
        <v>155</v>
      </c>
      <c r="M377" t="s">
        <v>366</v>
      </c>
      <c r="N377" t="s">
        <v>114</v>
      </c>
      <c r="O377">
        <v>70.5</v>
      </c>
      <c r="P377">
        <v>134</v>
      </c>
      <c r="Q377">
        <v>6389</v>
      </c>
      <c r="R377" t="s">
        <v>158</v>
      </c>
      <c r="S377" t="s">
        <v>159</v>
      </c>
      <c r="T377" t="s">
        <v>117</v>
      </c>
      <c r="U377" t="s">
        <v>233</v>
      </c>
      <c r="V377" t="s">
        <v>178</v>
      </c>
      <c r="W377" t="s">
        <v>367</v>
      </c>
      <c r="AA377">
        <v>2</v>
      </c>
      <c r="AB377" t="s">
        <v>99</v>
      </c>
      <c r="AC377" t="s">
        <v>242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396</v>
      </c>
      <c r="F378" t="s">
        <v>108</v>
      </c>
      <c r="G378" s="27">
        <v>43309</v>
      </c>
      <c r="H378" t="s">
        <v>109</v>
      </c>
      <c r="I378" t="s">
        <v>365</v>
      </c>
      <c r="J378" t="s">
        <v>274</v>
      </c>
      <c r="K378">
        <v>18</v>
      </c>
      <c r="L378" t="s">
        <v>155</v>
      </c>
      <c r="M378" t="s">
        <v>366</v>
      </c>
      <c r="N378" t="s">
        <v>114</v>
      </c>
      <c r="O378">
        <v>70.5</v>
      </c>
      <c r="P378">
        <v>134</v>
      </c>
      <c r="Q378">
        <v>6389</v>
      </c>
      <c r="R378" t="s">
        <v>158</v>
      </c>
      <c r="S378" t="s">
        <v>159</v>
      </c>
      <c r="T378" t="s">
        <v>117</v>
      </c>
      <c r="U378" t="s">
        <v>233</v>
      </c>
      <c r="V378" t="s">
        <v>130</v>
      </c>
      <c r="W378" t="s">
        <v>367</v>
      </c>
      <c r="AA378">
        <v>2</v>
      </c>
      <c r="AB378" t="s">
        <v>100</v>
      </c>
      <c r="AC378" t="s">
        <v>242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397</v>
      </c>
      <c r="F379" t="s">
        <v>108</v>
      </c>
      <c r="G379" s="27">
        <v>43309</v>
      </c>
      <c r="H379" t="s">
        <v>109</v>
      </c>
      <c r="I379" t="s">
        <v>365</v>
      </c>
      <c r="J379" t="s">
        <v>274</v>
      </c>
      <c r="K379">
        <v>18</v>
      </c>
      <c r="L379" t="s">
        <v>155</v>
      </c>
      <c r="M379" t="s">
        <v>366</v>
      </c>
      <c r="N379" t="s">
        <v>114</v>
      </c>
      <c r="O379">
        <v>70.5</v>
      </c>
      <c r="P379">
        <v>134</v>
      </c>
      <c r="Q379">
        <v>6389</v>
      </c>
      <c r="R379" t="s">
        <v>158</v>
      </c>
      <c r="S379" t="s">
        <v>159</v>
      </c>
      <c r="T379" t="s">
        <v>117</v>
      </c>
      <c r="U379" t="s">
        <v>233</v>
      </c>
      <c r="V379" t="s">
        <v>127</v>
      </c>
      <c r="W379" t="s">
        <v>367</v>
      </c>
      <c r="AA379">
        <v>2</v>
      </c>
      <c r="AB379" t="s">
        <v>100</v>
      </c>
      <c r="AC379" t="s">
        <v>228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398</v>
      </c>
      <c r="F380" t="s">
        <v>108</v>
      </c>
      <c r="G380" s="27">
        <v>43309</v>
      </c>
      <c r="H380" t="s">
        <v>109</v>
      </c>
      <c r="I380" t="s">
        <v>365</v>
      </c>
      <c r="J380" t="s">
        <v>274</v>
      </c>
      <c r="K380">
        <v>18</v>
      </c>
      <c r="L380" t="s">
        <v>155</v>
      </c>
      <c r="M380" t="s">
        <v>366</v>
      </c>
      <c r="N380" t="s">
        <v>114</v>
      </c>
      <c r="O380">
        <v>70.5</v>
      </c>
      <c r="P380">
        <v>134</v>
      </c>
      <c r="Q380">
        <v>6389</v>
      </c>
      <c r="R380" t="s">
        <v>158</v>
      </c>
      <c r="S380" t="s">
        <v>159</v>
      </c>
      <c r="T380" t="s">
        <v>117</v>
      </c>
      <c r="U380" t="s">
        <v>233</v>
      </c>
      <c r="V380" t="s">
        <v>180</v>
      </c>
      <c r="W380" t="s">
        <v>367</v>
      </c>
      <c r="AA380">
        <v>2</v>
      </c>
      <c r="AB380" t="s">
        <v>100</v>
      </c>
      <c r="AC380" t="s">
        <v>225</v>
      </c>
      <c r="AD380" t="s">
        <v>136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136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399</v>
      </c>
      <c r="F381" t="s">
        <v>108</v>
      </c>
      <c r="G381" s="27">
        <v>43309</v>
      </c>
      <c r="H381" t="s">
        <v>109</v>
      </c>
      <c r="I381" t="s">
        <v>365</v>
      </c>
      <c r="J381" t="s">
        <v>274</v>
      </c>
      <c r="K381">
        <v>18</v>
      </c>
      <c r="L381" t="s">
        <v>155</v>
      </c>
      <c r="M381" t="s">
        <v>366</v>
      </c>
      <c r="N381" t="s">
        <v>114</v>
      </c>
      <c r="O381">
        <v>70.5</v>
      </c>
      <c r="P381">
        <v>134</v>
      </c>
      <c r="Q381">
        <v>6389</v>
      </c>
      <c r="R381" t="s">
        <v>158</v>
      </c>
      <c r="S381" t="s">
        <v>159</v>
      </c>
      <c r="T381" t="s">
        <v>117</v>
      </c>
      <c r="U381" t="s">
        <v>233</v>
      </c>
      <c r="V381" t="s">
        <v>276</v>
      </c>
      <c r="W381" t="s">
        <v>367</v>
      </c>
      <c r="AA381">
        <v>2</v>
      </c>
      <c r="AB381" t="s">
        <v>99</v>
      </c>
      <c r="AC381" t="s">
        <v>317</v>
      </c>
      <c r="AD381" t="s">
        <v>173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173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400</v>
      </c>
      <c r="F382" t="s">
        <v>108</v>
      </c>
      <c r="G382" s="27">
        <v>43309</v>
      </c>
      <c r="H382" t="s">
        <v>109</v>
      </c>
      <c r="I382" t="s">
        <v>365</v>
      </c>
      <c r="J382" t="s">
        <v>274</v>
      </c>
      <c r="K382">
        <v>18</v>
      </c>
      <c r="L382" t="s">
        <v>155</v>
      </c>
      <c r="M382" t="s">
        <v>366</v>
      </c>
      <c r="N382" t="s">
        <v>114</v>
      </c>
      <c r="O382">
        <v>70.5</v>
      </c>
      <c r="P382">
        <v>134</v>
      </c>
      <c r="Q382">
        <v>6389</v>
      </c>
      <c r="R382" t="s">
        <v>158</v>
      </c>
      <c r="S382" t="s">
        <v>159</v>
      </c>
      <c r="T382" t="s">
        <v>117</v>
      </c>
      <c r="U382" t="s">
        <v>233</v>
      </c>
      <c r="V382" t="s">
        <v>230</v>
      </c>
      <c r="W382" t="s">
        <v>367</v>
      </c>
      <c r="AA382">
        <v>2</v>
      </c>
      <c r="AB382" t="s">
        <v>100</v>
      </c>
      <c r="AC382" t="s">
        <v>225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401</v>
      </c>
      <c r="F383" t="s">
        <v>108</v>
      </c>
      <c r="G383" s="27">
        <v>43309</v>
      </c>
      <c r="H383" t="s">
        <v>109</v>
      </c>
      <c r="I383" t="s">
        <v>365</v>
      </c>
      <c r="J383" t="s">
        <v>274</v>
      </c>
      <c r="K383">
        <v>18</v>
      </c>
      <c r="L383" t="s">
        <v>155</v>
      </c>
      <c r="M383" t="s">
        <v>366</v>
      </c>
      <c r="N383" t="s">
        <v>114</v>
      </c>
      <c r="O383">
        <v>70.5</v>
      </c>
      <c r="P383">
        <v>134</v>
      </c>
      <c r="Q383">
        <v>6389</v>
      </c>
      <c r="R383" t="s">
        <v>158</v>
      </c>
      <c r="S383" t="s">
        <v>159</v>
      </c>
      <c r="T383" t="s">
        <v>117</v>
      </c>
      <c r="U383" t="s">
        <v>233</v>
      </c>
      <c r="V383" t="s">
        <v>181</v>
      </c>
      <c r="W383" t="s">
        <v>367</v>
      </c>
      <c r="AA383">
        <v>2</v>
      </c>
      <c r="AB383" t="s">
        <v>99</v>
      </c>
      <c r="AC383" t="s">
        <v>402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403</v>
      </c>
      <c r="F384" t="s">
        <v>108</v>
      </c>
      <c r="G384" s="27">
        <v>43309</v>
      </c>
      <c r="H384" t="s">
        <v>109</v>
      </c>
      <c r="I384" t="s">
        <v>365</v>
      </c>
      <c r="J384" t="s">
        <v>274</v>
      </c>
      <c r="K384">
        <v>18</v>
      </c>
      <c r="L384" t="s">
        <v>155</v>
      </c>
      <c r="M384" t="s">
        <v>366</v>
      </c>
      <c r="N384" t="s">
        <v>114</v>
      </c>
      <c r="O384">
        <v>70.5</v>
      </c>
      <c r="P384">
        <v>134</v>
      </c>
      <c r="Q384">
        <v>6389</v>
      </c>
      <c r="R384" t="s">
        <v>158</v>
      </c>
      <c r="S384" t="s">
        <v>159</v>
      </c>
      <c r="T384" t="s">
        <v>117</v>
      </c>
      <c r="U384" t="s">
        <v>233</v>
      </c>
      <c r="V384" t="s">
        <v>135</v>
      </c>
      <c r="W384" t="s">
        <v>367</v>
      </c>
      <c r="AA384">
        <v>2</v>
      </c>
      <c r="AB384" t="s">
        <v>100</v>
      </c>
      <c r="AC384" t="s">
        <v>225</v>
      </c>
      <c r="AD384" t="s">
        <v>229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229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404</v>
      </c>
      <c r="F385" t="s">
        <v>108</v>
      </c>
      <c r="G385" s="27">
        <v>43309</v>
      </c>
      <c r="H385" t="s">
        <v>109</v>
      </c>
      <c r="I385" t="s">
        <v>365</v>
      </c>
      <c r="J385" t="s">
        <v>274</v>
      </c>
      <c r="K385">
        <v>18</v>
      </c>
      <c r="L385" t="s">
        <v>155</v>
      </c>
      <c r="M385" t="s">
        <v>366</v>
      </c>
      <c r="N385" t="s">
        <v>114</v>
      </c>
      <c r="O385">
        <v>70.5</v>
      </c>
      <c r="P385">
        <v>134</v>
      </c>
      <c r="Q385">
        <v>6389</v>
      </c>
      <c r="R385" t="s">
        <v>158</v>
      </c>
      <c r="S385" t="s">
        <v>159</v>
      </c>
      <c r="T385" t="s">
        <v>117</v>
      </c>
      <c r="U385" t="s">
        <v>233</v>
      </c>
      <c r="V385" t="s">
        <v>132</v>
      </c>
      <c r="W385" t="s">
        <v>367</v>
      </c>
      <c r="AA385">
        <v>2</v>
      </c>
      <c r="AB385" t="s">
        <v>101</v>
      </c>
      <c r="AC385" t="s">
        <v>140</v>
      </c>
      <c r="AD385" t="s">
        <v>234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234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405</v>
      </c>
      <c r="F386" t="s">
        <v>406</v>
      </c>
      <c r="G386" s="27">
        <v>43685</v>
      </c>
      <c r="H386" t="s">
        <v>145</v>
      </c>
      <c r="I386" t="s">
        <v>407</v>
      </c>
      <c r="J386" t="s">
        <v>408</v>
      </c>
      <c r="K386">
        <v>9</v>
      </c>
      <c r="L386" t="s">
        <v>112</v>
      </c>
      <c r="M386" t="s">
        <v>409</v>
      </c>
      <c r="N386" t="s">
        <v>410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411</v>
      </c>
      <c r="U386" t="s">
        <v>412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242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135</v>
      </c>
      <c r="AL386">
        <v>0.59375</v>
      </c>
      <c r="AM386" t="s">
        <v>174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405</v>
      </c>
      <c r="F387" t="s">
        <v>406</v>
      </c>
      <c r="G387" s="27">
        <v>43685</v>
      </c>
      <c r="H387" t="s">
        <v>145</v>
      </c>
      <c r="I387" t="s">
        <v>407</v>
      </c>
      <c r="J387" t="s">
        <v>408</v>
      </c>
      <c r="K387">
        <v>9</v>
      </c>
      <c r="L387" t="s">
        <v>112</v>
      </c>
      <c r="M387" t="s">
        <v>409</v>
      </c>
      <c r="N387" t="s">
        <v>410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413</v>
      </c>
      <c r="U387" t="s">
        <v>414</v>
      </c>
      <c r="V387" t="s">
        <v>135</v>
      </c>
      <c r="W387" t="s">
        <v>157</v>
      </c>
      <c r="Y387" t="s">
        <v>174</v>
      </c>
      <c r="AA387">
        <v>1</v>
      </c>
      <c r="AB387" t="s">
        <v>100</v>
      </c>
      <c r="AC387" t="s">
        <v>242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415</v>
      </c>
      <c r="F388" t="s">
        <v>406</v>
      </c>
      <c r="G388" s="27">
        <v>43685</v>
      </c>
      <c r="H388" t="s">
        <v>145</v>
      </c>
      <c r="I388" t="s">
        <v>407</v>
      </c>
      <c r="J388" t="s">
        <v>408</v>
      </c>
      <c r="K388">
        <v>9</v>
      </c>
      <c r="L388" t="s">
        <v>112</v>
      </c>
      <c r="M388" t="s">
        <v>409</v>
      </c>
      <c r="N388" t="s">
        <v>410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413</v>
      </c>
      <c r="U388" t="s">
        <v>414</v>
      </c>
      <c r="V388" t="s">
        <v>234</v>
      </c>
      <c r="W388" t="s">
        <v>157</v>
      </c>
      <c r="Y388" t="s">
        <v>136</v>
      </c>
      <c r="AA388">
        <v>1</v>
      </c>
      <c r="AB388" t="s">
        <v>100</v>
      </c>
      <c r="AC388" t="s">
        <v>416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415</v>
      </c>
      <c r="F389" t="s">
        <v>406</v>
      </c>
      <c r="G389" s="27">
        <v>43685</v>
      </c>
      <c r="H389" t="s">
        <v>145</v>
      </c>
      <c r="I389" t="s">
        <v>407</v>
      </c>
      <c r="J389" t="s">
        <v>408</v>
      </c>
      <c r="K389">
        <v>9</v>
      </c>
      <c r="L389" t="s">
        <v>112</v>
      </c>
      <c r="M389" t="s">
        <v>409</v>
      </c>
      <c r="N389" t="s">
        <v>410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411</v>
      </c>
      <c r="U389" t="s">
        <v>412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416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234</v>
      </c>
      <c r="AL389">
        <v>0.5</v>
      </c>
      <c r="AM389" t="s">
        <v>136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417</v>
      </c>
      <c r="F390" t="s">
        <v>406</v>
      </c>
      <c r="G390" s="27">
        <v>43685</v>
      </c>
      <c r="H390" t="s">
        <v>145</v>
      </c>
      <c r="I390" t="s">
        <v>407</v>
      </c>
      <c r="J390" t="s">
        <v>408</v>
      </c>
      <c r="K390">
        <v>9</v>
      </c>
      <c r="L390" t="s">
        <v>112</v>
      </c>
      <c r="M390" t="s">
        <v>409</v>
      </c>
      <c r="N390" t="s">
        <v>410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411</v>
      </c>
      <c r="U390" t="s">
        <v>412</v>
      </c>
      <c r="V390" t="s">
        <v>181</v>
      </c>
      <c r="W390" t="s">
        <v>114</v>
      </c>
      <c r="Y390" t="s">
        <v>123</v>
      </c>
      <c r="AA390">
        <v>1</v>
      </c>
      <c r="AB390" t="s">
        <v>99</v>
      </c>
      <c r="AC390" t="s">
        <v>262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178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417</v>
      </c>
      <c r="F391" t="s">
        <v>406</v>
      </c>
      <c r="G391" s="27">
        <v>43685</v>
      </c>
      <c r="H391" t="s">
        <v>145</v>
      </c>
      <c r="I391" t="s">
        <v>407</v>
      </c>
      <c r="J391" t="s">
        <v>408</v>
      </c>
      <c r="K391">
        <v>9</v>
      </c>
      <c r="L391" t="s">
        <v>112</v>
      </c>
      <c r="M391" t="s">
        <v>409</v>
      </c>
      <c r="N391" t="s">
        <v>410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413</v>
      </c>
      <c r="U391" t="s">
        <v>414</v>
      </c>
      <c r="V391" t="s">
        <v>178</v>
      </c>
      <c r="W391" t="s">
        <v>157</v>
      </c>
      <c r="Y391" t="s">
        <v>122</v>
      </c>
      <c r="AA391">
        <v>1</v>
      </c>
      <c r="AB391" t="s">
        <v>100</v>
      </c>
      <c r="AC391" t="s">
        <v>262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181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418</v>
      </c>
      <c r="F392" t="s">
        <v>406</v>
      </c>
      <c r="G392" s="27">
        <v>43685</v>
      </c>
      <c r="H392" t="s">
        <v>145</v>
      </c>
      <c r="I392" t="s">
        <v>407</v>
      </c>
      <c r="J392" t="s">
        <v>408</v>
      </c>
      <c r="K392">
        <v>9</v>
      </c>
      <c r="L392" t="s">
        <v>112</v>
      </c>
      <c r="M392" t="s">
        <v>409</v>
      </c>
      <c r="N392" t="s">
        <v>410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413</v>
      </c>
      <c r="U392" t="s">
        <v>414</v>
      </c>
      <c r="V392" t="s">
        <v>233</v>
      </c>
      <c r="W392" t="s">
        <v>157</v>
      </c>
      <c r="Y392" t="s">
        <v>276</v>
      </c>
      <c r="AA392">
        <v>1</v>
      </c>
      <c r="AB392" t="s">
        <v>100</v>
      </c>
      <c r="AC392" t="s">
        <v>228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229</v>
      </c>
      <c r="AL392">
        <v>0.65476190476190499</v>
      </c>
      <c r="AM392" t="s">
        <v>230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418</v>
      </c>
      <c r="F393" t="s">
        <v>406</v>
      </c>
      <c r="G393" s="27">
        <v>43685</v>
      </c>
      <c r="H393" t="s">
        <v>145</v>
      </c>
      <c r="I393" t="s">
        <v>407</v>
      </c>
      <c r="J393" t="s">
        <v>408</v>
      </c>
      <c r="K393">
        <v>9</v>
      </c>
      <c r="L393" t="s">
        <v>112</v>
      </c>
      <c r="M393" t="s">
        <v>409</v>
      </c>
      <c r="N393" t="s">
        <v>410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411</v>
      </c>
      <c r="U393" t="s">
        <v>412</v>
      </c>
      <c r="V393" t="s">
        <v>229</v>
      </c>
      <c r="W393" t="s">
        <v>114</v>
      </c>
      <c r="Y393" t="s">
        <v>230</v>
      </c>
      <c r="AA393">
        <v>1</v>
      </c>
      <c r="AB393" t="s">
        <v>99</v>
      </c>
      <c r="AC393" t="s">
        <v>228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233</v>
      </c>
      <c r="AL393">
        <v>0.52777777777777801</v>
      </c>
      <c r="AM393" t="s">
        <v>276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419</v>
      </c>
      <c r="F394" t="s">
        <v>406</v>
      </c>
      <c r="G394" s="27">
        <v>43685</v>
      </c>
      <c r="H394" t="s">
        <v>145</v>
      </c>
      <c r="I394" t="s">
        <v>407</v>
      </c>
      <c r="J394" t="s">
        <v>408</v>
      </c>
      <c r="K394">
        <v>9</v>
      </c>
      <c r="L394" t="s">
        <v>112</v>
      </c>
      <c r="M394" t="s">
        <v>409</v>
      </c>
      <c r="N394" t="s">
        <v>410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411</v>
      </c>
      <c r="U394" t="s">
        <v>412</v>
      </c>
      <c r="V394" t="s">
        <v>173</v>
      </c>
      <c r="W394" t="s">
        <v>114</v>
      </c>
      <c r="Y394" t="s">
        <v>180</v>
      </c>
      <c r="AA394">
        <v>1</v>
      </c>
      <c r="AB394" t="s">
        <v>100</v>
      </c>
      <c r="AC394" t="s">
        <v>242</v>
      </c>
      <c r="AE394" t="str">
        <f t="shared" si="6"/>
        <v>BussConnors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419</v>
      </c>
      <c r="F395" t="s">
        <v>406</v>
      </c>
      <c r="G395" s="27">
        <v>43685</v>
      </c>
      <c r="H395" t="s">
        <v>145</v>
      </c>
      <c r="I395" t="s">
        <v>407</v>
      </c>
      <c r="J395" t="s">
        <v>408</v>
      </c>
      <c r="K395">
        <v>9</v>
      </c>
      <c r="L395" t="s">
        <v>112</v>
      </c>
      <c r="M395" t="s">
        <v>409</v>
      </c>
      <c r="N395" t="s">
        <v>410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413</v>
      </c>
      <c r="U395" t="s">
        <v>414</v>
      </c>
      <c r="V395" t="s">
        <v>133</v>
      </c>
      <c r="W395" t="s">
        <v>157</v>
      </c>
      <c r="Y395" t="s">
        <v>130</v>
      </c>
      <c r="AA395">
        <v>1</v>
      </c>
      <c r="AB395" t="s">
        <v>99</v>
      </c>
      <c r="AC395" t="s">
        <v>242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173</v>
      </c>
      <c r="AL395">
        <v>0.44827586206896602</v>
      </c>
      <c r="AM395" t="s">
        <v>180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420</v>
      </c>
      <c r="F396" t="s">
        <v>406</v>
      </c>
      <c r="G396" s="27">
        <v>43685</v>
      </c>
      <c r="H396" t="s">
        <v>145</v>
      </c>
      <c r="I396" t="s">
        <v>407</v>
      </c>
      <c r="J396" t="s">
        <v>408</v>
      </c>
      <c r="K396">
        <v>9</v>
      </c>
      <c r="L396" t="s">
        <v>138</v>
      </c>
      <c r="M396" t="s">
        <v>409</v>
      </c>
      <c r="N396" t="s">
        <v>410</v>
      </c>
      <c r="O396">
        <v>73.400000000000006</v>
      </c>
      <c r="P396">
        <v>138</v>
      </c>
      <c r="Q396">
        <v>6454</v>
      </c>
      <c r="R396" t="s">
        <v>373</v>
      </c>
      <c r="S396" t="s">
        <v>116</v>
      </c>
      <c r="T396" t="s">
        <v>411</v>
      </c>
      <c r="U396" t="s">
        <v>412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242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135</v>
      </c>
      <c r="AL396">
        <v>0.59375</v>
      </c>
      <c r="AM396" t="s">
        <v>174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420</v>
      </c>
      <c r="F397" t="s">
        <v>406</v>
      </c>
      <c r="G397" s="27">
        <v>43685</v>
      </c>
      <c r="H397" t="s">
        <v>145</v>
      </c>
      <c r="I397" t="s">
        <v>407</v>
      </c>
      <c r="J397" t="s">
        <v>408</v>
      </c>
      <c r="K397">
        <v>9</v>
      </c>
      <c r="L397" t="s">
        <v>138</v>
      </c>
      <c r="M397" t="s">
        <v>409</v>
      </c>
      <c r="N397" t="s">
        <v>410</v>
      </c>
      <c r="O397">
        <v>73.400000000000006</v>
      </c>
      <c r="P397">
        <v>138</v>
      </c>
      <c r="Q397">
        <v>6454</v>
      </c>
      <c r="R397" t="s">
        <v>373</v>
      </c>
      <c r="S397" t="s">
        <v>116</v>
      </c>
      <c r="T397" t="s">
        <v>413</v>
      </c>
      <c r="U397" t="s">
        <v>414</v>
      </c>
      <c r="V397" t="s">
        <v>135</v>
      </c>
      <c r="W397" t="s">
        <v>157</v>
      </c>
      <c r="Y397" t="s">
        <v>174</v>
      </c>
      <c r="AA397">
        <v>1</v>
      </c>
      <c r="AB397" t="s">
        <v>100</v>
      </c>
      <c r="AC397" t="s">
        <v>242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421</v>
      </c>
      <c r="F398" t="s">
        <v>406</v>
      </c>
      <c r="G398" s="27">
        <v>43685</v>
      </c>
      <c r="H398" t="s">
        <v>145</v>
      </c>
      <c r="I398" t="s">
        <v>407</v>
      </c>
      <c r="J398" t="s">
        <v>408</v>
      </c>
      <c r="K398">
        <v>9</v>
      </c>
      <c r="L398" t="s">
        <v>138</v>
      </c>
      <c r="M398" t="s">
        <v>409</v>
      </c>
      <c r="N398" t="s">
        <v>410</v>
      </c>
      <c r="O398">
        <v>73.400000000000006</v>
      </c>
      <c r="P398">
        <v>138</v>
      </c>
      <c r="Q398">
        <v>6454</v>
      </c>
      <c r="R398" t="s">
        <v>373</v>
      </c>
      <c r="S398" t="s">
        <v>116</v>
      </c>
      <c r="T398" t="s">
        <v>413</v>
      </c>
      <c r="U398" t="s">
        <v>414</v>
      </c>
      <c r="V398" t="s">
        <v>234</v>
      </c>
      <c r="W398" t="s">
        <v>157</v>
      </c>
      <c r="Y398" t="s">
        <v>136</v>
      </c>
      <c r="AA398">
        <v>1</v>
      </c>
      <c r="AB398" t="s">
        <v>100</v>
      </c>
      <c r="AC398" t="s">
        <v>242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421</v>
      </c>
      <c r="F399" t="s">
        <v>406</v>
      </c>
      <c r="G399" s="27">
        <v>43685</v>
      </c>
      <c r="H399" t="s">
        <v>145</v>
      </c>
      <c r="I399" t="s">
        <v>407</v>
      </c>
      <c r="J399" t="s">
        <v>408</v>
      </c>
      <c r="K399">
        <v>9</v>
      </c>
      <c r="L399" t="s">
        <v>138</v>
      </c>
      <c r="M399" t="s">
        <v>409</v>
      </c>
      <c r="N399" t="s">
        <v>410</v>
      </c>
      <c r="O399">
        <v>73.400000000000006</v>
      </c>
      <c r="P399">
        <v>138</v>
      </c>
      <c r="Q399">
        <v>6454</v>
      </c>
      <c r="R399" t="s">
        <v>373</v>
      </c>
      <c r="S399" t="s">
        <v>116</v>
      </c>
      <c r="T399" t="s">
        <v>411</v>
      </c>
      <c r="U399" t="s">
        <v>412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242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234</v>
      </c>
      <c r="AL399">
        <v>0.5</v>
      </c>
      <c r="AM399" t="s">
        <v>136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422</v>
      </c>
      <c r="F400" t="s">
        <v>406</v>
      </c>
      <c r="G400" s="27">
        <v>43685</v>
      </c>
      <c r="H400" t="s">
        <v>145</v>
      </c>
      <c r="I400" t="s">
        <v>407</v>
      </c>
      <c r="J400" t="s">
        <v>408</v>
      </c>
      <c r="K400">
        <v>9</v>
      </c>
      <c r="L400" t="s">
        <v>138</v>
      </c>
      <c r="M400" t="s">
        <v>409</v>
      </c>
      <c r="N400" t="s">
        <v>410</v>
      </c>
      <c r="O400">
        <v>73.400000000000006</v>
      </c>
      <c r="P400">
        <v>138</v>
      </c>
      <c r="Q400">
        <v>6454</v>
      </c>
      <c r="R400" t="s">
        <v>373</v>
      </c>
      <c r="S400" t="s">
        <v>116</v>
      </c>
      <c r="T400" t="s">
        <v>411</v>
      </c>
      <c r="U400" t="s">
        <v>412</v>
      </c>
      <c r="V400" t="s">
        <v>181</v>
      </c>
      <c r="W400" t="s">
        <v>114</v>
      </c>
      <c r="Y400" t="s">
        <v>123</v>
      </c>
      <c r="AA400">
        <v>1</v>
      </c>
      <c r="AB400" t="s">
        <v>100</v>
      </c>
      <c r="AC400" t="s">
        <v>225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178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422</v>
      </c>
      <c r="F401" t="s">
        <v>406</v>
      </c>
      <c r="G401" s="27">
        <v>43685</v>
      </c>
      <c r="H401" t="s">
        <v>145</v>
      </c>
      <c r="I401" t="s">
        <v>407</v>
      </c>
      <c r="J401" t="s">
        <v>408</v>
      </c>
      <c r="K401">
        <v>9</v>
      </c>
      <c r="L401" t="s">
        <v>138</v>
      </c>
      <c r="M401" t="s">
        <v>409</v>
      </c>
      <c r="N401" t="s">
        <v>410</v>
      </c>
      <c r="O401">
        <v>73.400000000000006</v>
      </c>
      <c r="P401">
        <v>138</v>
      </c>
      <c r="Q401">
        <v>6454</v>
      </c>
      <c r="R401" t="s">
        <v>373</v>
      </c>
      <c r="S401" t="s">
        <v>116</v>
      </c>
      <c r="T401" t="s">
        <v>413</v>
      </c>
      <c r="U401" t="s">
        <v>414</v>
      </c>
      <c r="V401" t="s">
        <v>178</v>
      </c>
      <c r="W401" t="s">
        <v>157</v>
      </c>
      <c r="Y401" t="s">
        <v>122</v>
      </c>
      <c r="AA401">
        <v>1</v>
      </c>
      <c r="AB401" t="s">
        <v>99</v>
      </c>
      <c r="AC401" t="s">
        <v>225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181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423</v>
      </c>
      <c r="F402" t="s">
        <v>406</v>
      </c>
      <c r="G402" s="27">
        <v>43685</v>
      </c>
      <c r="H402" t="s">
        <v>145</v>
      </c>
      <c r="I402" t="s">
        <v>407</v>
      </c>
      <c r="J402" t="s">
        <v>408</v>
      </c>
      <c r="K402">
        <v>9</v>
      </c>
      <c r="L402" t="s">
        <v>138</v>
      </c>
      <c r="M402" t="s">
        <v>409</v>
      </c>
      <c r="N402" t="s">
        <v>410</v>
      </c>
      <c r="O402">
        <v>73.400000000000006</v>
      </c>
      <c r="P402">
        <v>138</v>
      </c>
      <c r="Q402">
        <v>6454</v>
      </c>
      <c r="R402" t="s">
        <v>373</v>
      </c>
      <c r="S402" t="s">
        <v>116</v>
      </c>
      <c r="T402" t="s">
        <v>413</v>
      </c>
      <c r="U402" t="s">
        <v>414</v>
      </c>
      <c r="V402" t="s">
        <v>233</v>
      </c>
      <c r="W402" t="s">
        <v>157</v>
      </c>
      <c r="Y402" t="s">
        <v>276</v>
      </c>
      <c r="AA402">
        <v>1</v>
      </c>
      <c r="AB402" t="s">
        <v>101</v>
      </c>
      <c r="AC402" t="s">
        <v>140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229</v>
      </c>
      <c r="AL402">
        <v>0.65476190476190499</v>
      </c>
      <c r="AM402" t="s">
        <v>230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423</v>
      </c>
      <c r="F403" t="s">
        <v>406</v>
      </c>
      <c r="G403" s="27">
        <v>43685</v>
      </c>
      <c r="H403" t="s">
        <v>145</v>
      </c>
      <c r="I403" t="s">
        <v>407</v>
      </c>
      <c r="J403" t="s">
        <v>408</v>
      </c>
      <c r="K403">
        <v>9</v>
      </c>
      <c r="L403" t="s">
        <v>138</v>
      </c>
      <c r="M403" t="s">
        <v>409</v>
      </c>
      <c r="N403" t="s">
        <v>410</v>
      </c>
      <c r="O403">
        <v>73.400000000000006</v>
      </c>
      <c r="P403">
        <v>138</v>
      </c>
      <c r="Q403">
        <v>6454</v>
      </c>
      <c r="R403" t="s">
        <v>373</v>
      </c>
      <c r="S403" t="s">
        <v>116</v>
      </c>
      <c r="T403" t="s">
        <v>411</v>
      </c>
      <c r="U403" t="s">
        <v>412</v>
      </c>
      <c r="V403" t="s">
        <v>229</v>
      </c>
      <c r="W403" t="s">
        <v>114</v>
      </c>
      <c r="Y403" t="s">
        <v>230</v>
      </c>
      <c r="AA403">
        <v>1</v>
      </c>
      <c r="AB403" t="s">
        <v>101</v>
      </c>
      <c r="AC403" t="s">
        <v>140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233</v>
      </c>
      <c r="AL403">
        <v>0.52777777777777801</v>
      </c>
      <c r="AM403" t="s">
        <v>276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424</v>
      </c>
      <c r="F404" t="s">
        <v>406</v>
      </c>
      <c r="G404" s="27">
        <v>43685</v>
      </c>
      <c r="H404" t="s">
        <v>145</v>
      </c>
      <c r="I404" t="s">
        <v>407</v>
      </c>
      <c r="J404" t="s">
        <v>408</v>
      </c>
      <c r="K404">
        <v>9</v>
      </c>
      <c r="L404" t="s">
        <v>138</v>
      </c>
      <c r="M404" t="s">
        <v>409</v>
      </c>
      <c r="N404" t="s">
        <v>410</v>
      </c>
      <c r="O404">
        <v>73.400000000000006</v>
      </c>
      <c r="P404">
        <v>138</v>
      </c>
      <c r="Q404">
        <v>6454</v>
      </c>
      <c r="R404" t="s">
        <v>373</v>
      </c>
      <c r="S404" t="s">
        <v>116</v>
      </c>
      <c r="T404" t="s">
        <v>411</v>
      </c>
      <c r="U404" t="s">
        <v>412</v>
      </c>
      <c r="V404" t="s">
        <v>173</v>
      </c>
      <c r="W404" t="s">
        <v>114</v>
      </c>
      <c r="Y404" t="s">
        <v>180</v>
      </c>
      <c r="AA404">
        <v>1</v>
      </c>
      <c r="AB404" t="s">
        <v>101</v>
      </c>
      <c r="AC404" t="s">
        <v>140</v>
      </c>
      <c r="AE404" t="str">
        <f t="shared" si="6"/>
        <v>BussConnors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424</v>
      </c>
      <c r="F405" t="s">
        <v>406</v>
      </c>
      <c r="G405" s="27">
        <v>43685</v>
      </c>
      <c r="H405" t="s">
        <v>145</v>
      </c>
      <c r="I405" t="s">
        <v>407</v>
      </c>
      <c r="J405" t="s">
        <v>408</v>
      </c>
      <c r="K405">
        <v>9</v>
      </c>
      <c r="L405" t="s">
        <v>138</v>
      </c>
      <c r="M405" t="s">
        <v>409</v>
      </c>
      <c r="N405" t="s">
        <v>410</v>
      </c>
      <c r="O405">
        <v>73.400000000000006</v>
      </c>
      <c r="P405">
        <v>138</v>
      </c>
      <c r="Q405">
        <v>6454</v>
      </c>
      <c r="R405" t="s">
        <v>373</v>
      </c>
      <c r="S405" t="s">
        <v>116</v>
      </c>
      <c r="T405" t="s">
        <v>413</v>
      </c>
      <c r="U405" t="s">
        <v>414</v>
      </c>
      <c r="V405" t="s">
        <v>133</v>
      </c>
      <c r="W405" t="s">
        <v>157</v>
      </c>
      <c r="Y405" t="s">
        <v>130</v>
      </c>
      <c r="AA405">
        <v>1</v>
      </c>
      <c r="AB405" t="s">
        <v>101</v>
      </c>
      <c r="AC405" t="s">
        <v>140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173</v>
      </c>
      <c r="AL405">
        <v>0.44827586206896602</v>
      </c>
      <c r="AM405" t="s">
        <v>180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425</v>
      </c>
      <c r="F406" t="s">
        <v>272</v>
      </c>
      <c r="G406" s="27">
        <v>43686</v>
      </c>
      <c r="H406" t="s">
        <v>109</v>
      </c>
      <c r="I406" t="s">
        <v>407</v>
      </c>
      <c r="J406" t="s">
        <v>408</v>
      </c>
      <c r="K406">
        <v>9</v>
      </c>
      <c r="L406" t="s">
        <v>112</v>
      </c>
      <c r="M406" t="s">
        <v>426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411</v>
      </c>
      <c r="U406" t="s">
        <v>412</v>
      </c>
      <c r="V406" t="s">
        <v>181</v>
      </c>
      <c r="W406" t="s">
        <v>157</v>
      </c>
      <c r="Y406" t="s">
        <v>127</v>
      </c>
      <c r="AA406">
        <v>1</v>
      </c>
      <c r="AB406" t="s">
        <v>99</v>
      </c>
      <c r="AC406" t="s">
        <v>416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425</v>
      </c>
      <c r="F407" t="s">
        <v>272</v>
      </c>
      <c r="G407" s="27">
        <v>43686</v>
      </c>
      <c r="H407" t="s">
        <v>109</v>
      </c>
      <c r="I407" t="s">
        <v>407</v>
      </c>
      <c r="J407" t="s">
        <v>408</v>
      </c>
      <c r="K407">
        <v>9</v>
      </c>
      <c r="L407" t="s">
        <v>112</v>
      </c>
      <c r="M407" t="s">
        <v>426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413</v>
      </c>
      <c r="U407" t="s">
        <v>414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416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181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427</v>
      </c>
      <c r="F408" t="s">
        <v>272</v>
      </c>
      <c r="G408" s="27">
        <v>43686</v>
      </c>
      <c r="H408" t="s">
        <v>109</v>
      </c>
      <c r="I408" t="s">
        <v>407</v>
      </c>
      <c r="J408" t="s">
        <v>408</v>
      </c>
      <c r="K408">
        <v>9</v>
      </c>
      <c r="L408" t="s">
        <v>112</v>
      </c>
      <c r="M408" t="s">
        <v>426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413</v>
      </c>
      <c r="U408" t="s">
        <v>414</v>
      </c>
      <c r="V408" t="s">
        <v>135</v>
      </c>
      <c r="W408" t="s">
        <v>114</v>
      </c>
      <c r="Y408" t="s">
        <v>133</v>
      </c>
      <c r="AA408">
        <v>1</v>
      </c>
      <c r="AB408" t="s">
        <v>100</v>
      </c>
      <c r="AC408" t="s">
        <v>225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229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427</v>
      </c>
      <c r="F409" t="s">
        <v>272</v>
      </c>
      <c r="G409" s="27">
        <v>43686</v>
      </c>
      <c r="H409" t="s">
        <v>109</v>
      </c>
      <c r="I409" t="s">
        <v>407</v>
      </c>
      <c r="J409" t="s">
        <v>408</v>
      </c>
      <c r="K409">
        <v>9</v>
      </c>
      <c r="L409" t="s">
        <v>112</v>
      </c>
      <c r="M409" t="s">
        <v>426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411</v>
      </c>
      <c r="U409" t="s">
        <v>412</v>
      </c>
      <c r="V409" t="s">
        <v>229</v>
      </c>
      <c r="W409" t="s">
        <v>157</v>
      </c>
      <c r="Y409" t="s">
        <v>119</v>
      </c>
      <c r="AA409">
        <v>1</v>
      </c>
      <c r="AB409" t="s">
        <v>99</v>
      </c>
      <c r="AC409" t="s">
        <v>225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135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428</v>
      </c>
      <c r="F410" t="s">
        <v>272</v>
      </c>
      <c r="G410" s="27">
        <v>43686</v>
      </c>
      <c r="H410" t="s">
        <v>109</v>
      </c>
      <c r="I410" t="s">
        <v>407</v>
      </c>
      <c r="J410" t="s">
        <v>408</v>
      </c>
      <c r="K410">
        <v>9</v>
      </c>
      <c r="L410" t="s">
        <v>112</v>
      </c>
      <c r="M410" t="s">
        <v>426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411</v>
      </c>
      <c r="U410" t="s">
        <v>412</v>
      </c>
      <c r="V410" t="s">
        <v>173</v>
      </c>
      <c r="W410" t="s">
        <v>157</v>
      </c>
      <c r="Y410" t="s">
        <v>132</v>
      </c>
      <c r="AA410">
        <v>1</v>
      </c>
      <c r="AB410" t="s">
        <v>101</v>
      </c>
      <c r="AC410" t="s">
        <v>140</v>
      </c>
      <c r="AE410" t="str">
        <f t="shared" si="6"/>
        <v>BussFlanders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178</v>
      </c>
      <c r="AL410">
        <v>0.59649122807017496</v>
      </c>
      <c r="AM410" t="s">
        <v>233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428</v>
      </c>
      <c r="F411" t="s">
        <v>272</v>
      </c>
      <c r="G411" s="27">
        <v>43686</v>
      </c>
      <c r="H411" t="s">
        <v>109</v>
      </c>
      <c r="I411" t="s">
        <v>407</v>
      </c>
      <c r="J411" t="s">
        <v>408</v>
      </c>
      <c r="K411">
        <v>9</v>
      </c>
      <c r="L411" t="s">
        <v>112</v>
      </c>
      <c r="M411" t="s">
        <v>426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413</v>
      </c>
      <c r="U411" t="s">
        <v>414</v>
      </c>
      <c r="V411" t="s">
        <v>178</v>
      </c>
      <c r="W411" t="s">
        <v>114</v>
      </c>
      <c r="Y411" t="s">
        <v>233</v>
      </c>
      <c r="AA411">
        <v>1</v>
      </c>
      <c r="AB411" t="s">
        <v>101</v>
      </c>
      <c r="AC411" t="s">
        <v>140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173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429</v>
      </c>
      <c r="F412" t="s">
        <v>272</v>
      </c>
      <c r="G412" s="27">
        <v>43686</v>
      </c>
      <c r="H412" t="s">
        <v>109</v>
      </c>
      <c r="I412" t="s">
        <v>407</v>
      </c>
      <c r="J412" t="s">
        <v>408</v>
      </c>
      <c r="K412">
        <v>9</v>
      </c>
      <c r="L412" t="s">
        <v>112</v>
      </c>
      <c r="M412" t="s">
        <v>426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413</v>
      </c>
      <c r="U412" t="s">
        <v>414</v>
      </c>
      <c r="V412" t="s">
        <v>136</v>
      </c>
      <c r="W412" t="s">
        <v>114</v>
      </c>
      <c r="Y412" t="s">
        <v>276</v>
      </c>
      <c r="AA412">
        <v>1</v>
      </c>
      <c r="AB412" t="s">
        <v>99</v>
      </c>
      <c r="AC412" t="s">
        <v>242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180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429</v>
      </c>
      <c r="F413" t="s">
        <v>272</v>
      </c>
      <c r="G413" s="27">
        <v>43686</v>
      </c>
      <c r="H413" t="s">
        <v>109</v>
      </c>
      <c r="I413" t="s">
        <v>407</v>
      </c>
      <c r="J413" t="s">
        <v>408</v>
      </c>
      <c r="K413">
        <v>9</v>
      </c>
      <c r="L413" t="s">
        <v>112</v>
      </c>
      <c r="M413" t="s">
        <v>426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411</v>
      </c>
      <c r="U413" t="s">
        <v>412</v>
      </c>
      <c r="V413" t="s">
        <v>180</v>
      </c>
      <c r="W413" t="s">
        <v>157</v>
      </c>
      <c r="Y413" t="s">
        <v>118</v>
      </c>
      <c r="AA413">
        <v>1</v>
      </c>
      <c r="AB413" t="s">
        <v>100</v>
      </c>
      <c r="AC413" t="s">
        <v>280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136</v>
      </c>
      <c r="AM413" t="s">
        <v>276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430</v>
      </c>
      <c r="F414" t="s">
        <v>272</v>
      </c>
      <c r="G414" s="27">
        <v>43686</v>
      </c>
      <c r="H414" t="s">
        <v>109</v>
      </c>
      <c r="I414" t="s">
        <v>407</v>
      </c>
      <c r="J414" t="s">
        <v>408</v>
      </c>
      <c r="K414">
        <v>9</v>
      </c>
      <c r="L414" t="s">
        <v>112</v>
      </c>
      <c r="M414" t="s">
        <v>426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411</v>
      </c>
      <c r="U414" t="s">
        <v>412</v>
      </c>
      <c r="V414" t="s">
        <v>123</v>
      </c>
      <c r="W414" t="s">
        <v>157</v>
      </c>
      <c r="Y414" t="s">
        <v>230</v>
      </c>
      <c r="AA414">
        <v>1</v>
      </c>
      <c r="AB414" t="s">
        <v>99</v>
      </c>
      <c r="AC414" t="s">
        <v>431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174</v>
      </c>
      <c r="AL414">
        <v>0.37288135593220301</v>
      </c>
      <c r="AM414" t="s">
        <v>234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430</v>
      </c>
      <c r="F415" t="s">
        <v>272</v>
      </c>
      <c r="G415" s="27">
        <v>43686</v>
      </c>
      <c r="H415" t="s">
        <v>109</v>
      </c>
      <c r="I415" t="s">
        <v>407</v>
      </c>
      <c r="J415" t="s">
        <v>408</v>
      </c>
      <c r="K415">
        <v>9</v>
      </c>
      <c r="L415" t="s">
        <v>112</v>
      </c>
      <c r="M415" t="s">
        <v>426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413</v>
      </c>
      <c r="U415" t="s">
        <v>414</v>
      </c>
      <c r="V415" t="s">
        <v>174</v>
      </c>
      <c r="W415" t="s">
        <v>114</v>
      </c>
      <c r="Y415" t="s">
        <v>234</v>
      </c>
      <c r="AA415">
        <v>1</v>
      </c>
      <c r="AB415" t="s">
        <v>100</v>
      </c>
      <c r="AC415" t="s">
        <v>431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230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432</v>
      </c>
      <c r="F416" t="s">
        <v>272</v>
      </c>
      <c r="G416" s="27">
        <v>43686</v>
      </c>
      <c r="H416" t="s">
        <v>109</v>
      </c>
      <c r="I416" t="s">
        <v>407</v>
      </c>
      <c r="J416" t="s">
        <v>408</v>
      </c>
      <c r="K416">
        <v>9</v>
      </c>
      <c r="L416" t="s">
        <v>138</v>
      </c>
      <c r="M416" t="s">
        <v>426</v>
      </c>
      <c r="N416" t="s">
        <v>114</v>
      </c>
      <c r="O416">
        <v>71.599999999999994</v>
      </c>
      <c r="P416">
        <v>133</v>
      </c>
      <c r="Q416">
        <v>6123</v>
      </c>
      <c r="R416" t="s">
        <v>373</v>
      </c>
      <c r="S416" t="s">
        <v>116</v>
      </c>
      <c r="T416" t="s">
        <v>411</v>
      </c>
      <c r="U416" t="s">
        <v>412</v>
      </c>
      <c r="V416" t="s">
        <v>181</v>
      </c>
      <c r="W416" t="s">
        <v>157</v>
      </c>
      <c r="Y416" t="s">
        <v>127</v>
      </c>
      <c r="AA416">
        <v>1</v>
      </c>
      <c r="AB416" t="s">
        <v>100</v>
      </c>
      <c r="AC416" t="s">
        <v>225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432</v>
      </c>
      <c r="F417" t="s">
        <v>272</v>
      </c>
      <c r="G417" s="27">
        <v>43686</v>
      </c>
      <c r="H417" t="s">
        <v>109</v>
      </c>
      <c r="I417" t="s">
        <v>407</v>
      </c>
      <c r="J417" t="s">
        <v>408</v>
      </c>
      <c r="K417">
        <v>9</v>
      </c>
      <c r="L417" t="s">
        <v>138</v>
      </c>
      <c r="M417" t="s">
        <v>426</v>
      </c>
      <c r="N417" t="s">
        <v>114</v>
      </c>
      <c r="O417">
        <v>71.599999999999994</v>
      </c>
      <c r="P417">
        <v>133</v>
      </c>
      <c r="Q417">
        <v>6123</v>
      </c>
      <c r="R417" t="s">
        <v>373</v>
      </c>
      <c r="S417" t="s">
        <v>116</v>
      </c>
      <c r="T417" t="s">
        <v>413</v>
      </c>
      <c r="U417" t="s">
        <v>414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225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181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433</v>
      </c>
      <c r="F418" t="s">
        <v>272</v>
      </c>
      <c r="G418" s="27">
        <v>43686</v>
      </c>
      <c r="H418" t="s">
        <v>109</v>
      </c>
      <c r="I418" t="s">
        <v>407</v>
      </c>
      <c r="J418" t="s">
        <v>408</v>
      </c>
      <c r="K418">
        <v>9</v>
      </c>
      <c r="L418" t="s">
        <v>138</v>
      </c>
      <c r="M418" t="s">
        <v>426</v>
      </c>
      <c r="N418" t="s">
        <v>114</v>
      </c>
      <c r="O418">
        <v>71.599999999999994</v>
      </c>
      <c r="P418">
        <v>133</v>
      </c>
      <c r="Q418">
        <v>6123</v>
      </c>
      <c r="R418" t="s">
        <v>373</v>
      </c>
      <c r="S418" t="s">
        <v>116</v>
      </c>
      <c r="T418" t="s">
        <v>413</v>
      </c>
      <c r="U418" t="s">
        <v>414</v>
      </c>
      <c r="V418" t="s">
        <v>135</v>
      </c>
      <c r="W418" t="s">
        <v>114</v>
      </c>
      <c r="Y418" t="s">
        <v>133</v>
      </c>
      <c r="AA418">
        <v>1</v>
      </c>
      <c r="AB418" t="s">
        <v>100</v>
      </c>
      <c r="AC418" t="s">
        <v>228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229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433</v>
      </c>
      <c r="F419" t="s">
        <v>272</v>
      </c>
      <c r="G419" s="27">
        <v>43686</v>
      </c>
      <c r="H419" t="s">
        <v>109</v>
      </c>
      <c r="I419" t="s">
        <v>407</v>
      </c>
      <c r="J419" t="s">
        <v>408</v>
      </c>
      <c r="K419">
        <v>9</v>
      </c>
      <c r="L419" t="s">
        <v>138</v>
      </c>
      <c r="M419" t="s">
        <v>426</v>
      </c>
      <c r="N419" t="s">
        <v>114</v>
      </c>
      <c r="O419">
        <v>71.599999999999994</v>
      </c>
      <c r="P419">
        <v>133</v>
      </c>
      <c r="Q419">
        <v>6123</v>
      </c>
      <c r="R419" t="s">
        <v>373</v>
      </c>
      <c r="S419" t="s">
        <v>116</v>
      </c>
      <c r="T419" t="s">
        <v>411</v>
      </c>
      <c r="U419" t="s">
        <v>412</v>
      </c>
      <c r="V419" t="s">
        <v>229</v>
      </c>
      <c r="W419" t="s">
        <v>157</v>
      </c>
      <c r="Y419" t="s">
        <v>119</v>
      </c>
      <c r="AA419">
        <v>1</v>
      </c>
      <c r="AB419" t="s">
        <v>99</v>
      </c>
      <c r="AC419" t="s">
        <v>228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135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434</v>
      </c>
      <c r="F420" t="s">
        <v>272</v>
      </c>
      <c r="G420" s="27">
        <v>43686</v>
      </c>
      <c r="H420" t="s">
        <v>109</v>
      </c>
      <c r="I420" t="s">
        <v>407</v>
      </c>
      <c r="J420" t="s">
        <v>408</v>
      </c>
      <c r="K420">
        <v>9</v>
      </c>
      <c r="L420" t="s">
        <v>138</v>
      </c>
      <c r="M420" t="s">
        <v>426</v>
      </c>
      <c r="N420" t="s">
        <v>114</v>
      </c>
      <c r="O420">
        <v>71.599999999999994</v>
      </c>
      <c r="P420">
        <v>133</v>
      </c>
      <c r="Q420">
        <v>6123</v>
      </c>
      <c r="R420" t="s">
        <v>373</v>
      </c>
      <c r="S420" t="s">
        <v>116</v>
      </c>
      <c r="T420" t="s">
        <v>411</v>
      </c>
      <c r="U420" t="s">
        <v>412</v>
      </c>
      <c r="V420" t="s">
        <v>173</v>
      </c>
      <c r="W420" t="s">
        <v>157</v>
      </c>
      <c r="Y420" t="s">
        <v>132</v>
      </c>
      <c r="AA420">
        <v>1</v>
      </c>
      <c r="AB420" t="s">
        <v>99</v>
      </c>
      <c r="AC420" t="s">
        <v>242</v>
      </c>
      <c r="AE420" t="str">
        <f t="shared" si="6"/>
        <v>BussFlanders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178</v>
      </c>
      <c r="AL420">
        <v>0.59649122807017496</v>
      </c>
      <c r="AM420" t="s">
        <v>233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434</v>
      </c>
      <c r="F421" t="s">
        <v>272</v>
      </c>
      <c r="G421" s="27">
        <v>43686</v>
      </c>
      <c r="H421" t="s">
        <v>109</v>
      </c>
      <c r="I421" t="s">
        <v>407</v>
      </c>
      <c r="J421" t="s">
        <v>408</v>
      </c>
      <c r="K421">
        <v>9</v>
      </c>
      <c r="L421" t="s">
        <v>138</v>
      </c>
      <c r="M421" t="s">
        <v>426</v>
      </c>
      <c r="N421" t="s">
        <v>114</v>
      </c>
      <c r="O421">
        <v>71.599999999999994</v>
      </c>
      <c r="P421">
        <v>133</v>
      </c>
      <c r="Q421">
        <v>6123</v>
      </c>
      <c r="R421" t="s">
        <v>373</v>
      </c>
      <c r="S421" t="s">
        <v>116</v>
      </c>
      <c r="T421" t="s">
        <v>413</v>
      </c>
      <c r="U421" t="s">
        <v>414</v>
      </c>
      <c r="V421" t="s">
        <v>178</v>
      </c>
      <c r="W421" t="s">
        <v>114</v>
      </c>
      <c r="Y421" t="s">
        <v>233</v>
      </c>
      <c r="AA421">
        <v>1</v>
      </c>
      <c r="AB421" t="s">
        <v>100</v>
      </c>
      <c r="AC421" t="s">
        <v>242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173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435</v>
      </c>
      <c r="F422" t="s">
        <v>272</v>
      </c>
      <c r="G422" s="27">
        <v>43686</v>
      </c>
      <c r="H422" t="s">
        <v>109</v>
      </c>
      <c r="I422" t="s">
        <v>407</v>
      </c>
      <c r="J422" t="s">
        <v>408</v>
      </c>
      <c r="K422">
        <v>9</v>
      </c>
      <c r="L422" t="s">
        <v>138</v>
      </c>
      <c r="M422" t="s">
        <v>426</v>
      </c>
      <c r="N422" t="s">
        <v>114</v>
      </c>
      <c r="O422">
        <v>71.599999999999994</v>
      </c>
      <c r="P422">
        <v>133</v>
      </c>
      <c r="Q422">
        <v>6123</v>
      </c>
      <c r="R422" t="s">
        <v>373</v>
      </c>
      <c r="S422" t="s">
        <v>116</v>
      </c>
      <c r="T422" t="s">
        <v>413</v>
      </c>
      <c r="U422" t="s">
        <v>414</v>
      </c>
      <c r="V422" t="s">
        <v>136</v>
      </c>
      <c r="W422" t="s">
        <v>114</v>
      </c>
      <c r="Y422" t="s">
        <v>276</v>
      </c>
      <c r="AA422">
        <v>1</v>
      </c>
      <c r="AB422" t="s">
        <v>101</v>
      </c>
      <c r="AC422" t="s">
        <v>140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180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435</v>
      </c>
      <c r="F423" t="s">
        <v>272</v>
      </c>
      <c r="G423" s="27">
        <v>43686</v>
      </c>
      <c r="H423" t="s">
        <v>109</v>
      </c>
      <c r="I423" t="s">
        <v>407</v>
      </c>
      <c r="J423" t="s">
        <v>408</v>
      </c>
      <c r="K423">
        <v>9</v>
      </c>
      <c r="L423" t="s">
        <v>138</v>
      </c>
      <c r="M423" t="s">
        <v>426</v>
      </c>
      <c r="N423" t="s">
        <v>114</v>
      </c>
      <c r="O423">
        <v>71.599999999999994</v>
      </c>
      <c r="P423">
        <v>133</v>
      </c>
      <c r="Q423">
        <v>6123</v>
      </c>
      <c r="R423" t="s">
        <v>373</v>
      </c>
      <c r="S423" t="s">
        <v>116</v>
      </c>
      <c r="T423" t="s">
        <v>411</v>
      </c>
      <c r="U423" t="s">
        <v>412</v>
      </c>
      <c r="V423" t="s">
        <v>180</v>
      </c>
      <c r="W423" t="s">
        <v>157</v>
      </c>
      <c r="Y423" t="s">
        <v>118</v>
      </c>
      <c r="AA423">
        <v>1</v>
      </c>
      <c r="AB423" t="s">
        <v>101</v>
      </c>
      <c r="AC423" t="s">
        <v>140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136</v>
      </c>
      <c r="AM423" t="s">
        <v>276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436</v>
      </c>
      <c r="F424" t="s">
        <v>272</v>
      </c>
      <c r="G424" s="27">
        <v>43686</v>
      </c>
      <c r="H424" t="s">
        <v>109</v>
      </c>
      <c r="I424" t="s">
        <v>407</v>
      </c>
      <c r="J424" t="s">
        <v>408</v>
      </c>
      <c r="K424">
        <v>9</v>
      </c>
      <c r="L424" t="s">
        <v>138</v>
      </c>
      <c r="M424" t="s">
        <v>426</v>
      </c>
      <c r="N424" t="s">
        <v>114</v>
      </c>
      <c r="O424">
        <v>71.599999999999994</v>
      </c>
      <c r="P424">
        <v>133</v>
      </c>
      <c r="Q424">
        <v>6123</v>
      </c>
      <c r="R424" t="s">
        <v>373</v>
      </c>
      <c r="S424" t="s">
        <v>116</v>
      </c>
      <c r="T424" t="s">
        <v>411</v>
      </c>
      <c r="U424" t="s">
        <v>412</v>
      </c>
      <c r="V424" t="s">
        <v>123</v>
      </c>
      <c r="W424" t="s">
        <v>157</v>
      </c>
      <c r="Y424" t="s">
        <v>230</v>
      </c>
      <c r="AA424">
        <v>1</v>
      </c>
      <c r="AB424" t="s">
        <v>99</v>
      </c>
      <c r="AC424" t="s">
        <v>280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174</v>
      </c>
      <c r="AL424">
        <v>0.37288135593220301</v>
      </c>
      <c r="AM424" t="s">
        <v>234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436</v>
      </c>
      <c r="F425" t="s">
        <v>272</v>
      </c>
      <c r="G425" s="27">
        <v>43686</v>
      </c>
      <c r="H425" t="s">
        <v>109</v>
      </c>
      <c r="I425" t="s">
        <v>407</v>
      </c>
      <c r="J425" t="s">
        <v>408</v>
      </c>
      <c r="K425">
        <v>9</v>
      </c>
      <c r="L425" t="s">
        <v>138</v>
      </c>
      <c r="M425" t="s">
        <v>426</v>
      </c>
      <c r="N425" t="s">
        <v>114</v>
      </c>
      <c r="O425">
        <v>71.599999999999994</v>
      </c>
      <c r="P425">
        <v>133</v>
      </c>
      <c r="Q425">
        <v>6123</v>
      </c>
      <c r="R425" t="s">
        <v>373</v>
      </c>
      <c r="S425" t="s">
        <v>116</v>
      </c>
      <c r="T425" t="s">
        <v>413</v>
      </c>
      <c r="U425" t="s">
        <v>414</v>
      </c>
      <c r="V425" t="s">
        <v>174</v>
      </c>
      <c r="W425" t="s">
        <v>114</v>
      </c>
      <c r="Y425" t="s">
        <v>234</v>
      </c>
      <c r="AA425">
        <v>1</v>
      </c>
      <c r="AB425" t="s">
        <v>100</v>
      </c>
      <c r="AC425" t="s">
        <v>280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230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437</v>
      </c>
      <c r="F426" t="s">
        <v>272</v>
      </c>
      <c r="G426" s="27">
        <v>43686</v>
      </c>
      <c r="H426" t="s">
        <v>145</v>
      </c>
      <c r="I426" t="s">
        <v>407</v>
      </c>
      <c r="J426" t="s">
        <v>408</v>
      </c>
      <c r="K426">
        <v>9</v>
      </c>
      <c r="L426" t="s">
        <v>112</v>
      </c>
      <c r="M426" t="s">
        <v>438</v>
      </c>
      <c r="N426" t="s">
        <v>157</v>
      </c>
      <c r="O426">
        <v>68</v>
      </c>
      <c r="P426">
        <v>113</v>
      </c>
      <c r="Q426">
        <v>5727</v>
      </c>
      <c r="R426" t="s">
        <v>146</v>
      </c>
      <c r="S426" t="s">
        <v>116</v>
      </c>
      <c r="T426" t="s">
        <v>411</v>
      </c>
      <c r="U426" t="s">
        <v>412</v>
      </c>
      <c r="V426" t="s">
        <v>127</v>
      </c>
      <c r="W426" t="s">
        <v>157</v>
      </c>
      <c r="Y426" t="s">
        <v>118</v>
      </c>
      <c r="AA426">
        <v>1</v>
      </c>
      <c r="AB426" t="s">
        <v>99</v>
      </c>
      <c r="AC426" t="s">
        <v>292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135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437</v>
      </c>
      <c r="F427" t="s">
        <v>272</v>
      </c>
      <c r="G427" s="27">
        <v>43686</v>
      </c>
      <c r="H427" t="s">
        <v>145</v>
      </c>
      <c r="I427" t="s">
        <v>407</v>
      </c>
      <c r="J427" t="s">
        <v>408</v>
      </c>
      <c r="K427">
        <v>9</v>
      </c>
      <c r="L427" t="s">
        <v>112</v>
      </c>
      <c r="M427" t="s">
        <v>438</v>
      </c>
      <c r="N427" t="s">
        <v>157</v>
      </c>
      <c r="O427">
        <v>68</v>
      </c>
      <c r="P427">
        <v>113</v>
      </c>
      <c r="Q427">
        <v>5727</v>
      </c>
      <c r="R427" t="s">
        <v>146</v>
      </c>
      <c r="S427" t="s">
        <v>116</v>
      </c>
      <c r="T427" t="s">
        <v>413</v>
      </c>
      <c r="U427" t="s">
        <v>414</v>
      </c>
      <c r="V427" t="s">
        <v>135</v>
      </c>
      <c r="W427" t="s">
        <v>114</v>
      </c>
      <c r="Y427" t="s">
        <v>122</v>
      </c>
      <c r="AA427">
        <v>1</v>
      </c>
      <c r="AB427" t="s">
        <v>100</v>
      </c>
      <c r="AC427" t="s">
        <v>292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439</v>
      </c>
      <c r="F428" t="s">
        <v>272</v>
      </c>
      <c r="G428" s="27">
        <v>43686</v>
      </c>
      <c r="H428" t="s">
        <v>145</v>
      </c>
      <c r="I428" t="s">
        <v>407</v>
      </c>
      <c r="J428" t="s">
        <v>408</v>
      </c>
      <c r="K428">
        <v>9</v>
      </c>
      <c r="L428" t="s">
        <v>112</v>
      </c>
      <c r="M428" t="s">
        <v>438</v>
      </c>
      <c r="N428" t="s">
        <v>157</v>
      </c>
      <c r="O428">
        <v>68</v>
      </c>
      <c r="P428">
        <v>113</v>
      </c>
      <c r="Q428">
        <v>5727</v>
      </c>
      <c r="R428" t="s">
        <v>146</v>
      </c>
      <c r="S428" t="s">
        <v>116</v>
      </c>
      <c r="T428" t="s">
        <v>413</v>
      </c>
      <c r="U428" t="s">
        <v>414</v>
      </c>
      <c r="V428" t="s">
        <v>130</v>
      </c>
      <c r="W428" t="s">
        <v>114</v>
      </c>
      <c r="Y428" t="s">
        <v>136</v>
      </c>
      <c r="AA428">
        <v>1</v>
      </c>
      <c r="AB428" t="s">
        <v>100</v>
      </c>
      <c r="AC428" t="s">
        <v>416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229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439</v>
      </c>
      <c r="F429" t="s">
        <v>272</v>
      </c>
      <c r="G429" s="27">
        <v>43686</v>
      </c>
      <c r="H429" t="s">
        <v>145</v>
      </c>
      <c r="I429" t="s">
        <v>407</v>
      </c>
      <c r="J429" t="s">
        <v>408</v>
      </c>
      <c r="K429">
        <v>9</v>
      </c>
      <c r="L429" t="s">
        <v>112</v>
      </c>
      <c r="M429" t="s">
        <v>438</v>
      </c>
      <c r="N429" t="s">
        <v>157</v>
      </c>
      <c r="O429">
        <v>68</v>
      </c>
      <c r="P429">
        <v>113</v>
      </c>
      <c r="Q429">
        <v>5727</v>
      </c>
      <c r="R429" t="s">
        <v>146</v>
      </c>
      <c r="S429" t="s">
        <v>116</v>
      </c>
      <c r="T429" t="s">
        <v>411</v>
      </c>
      <c r="U429" t="s">
        <v>412</v>
      </c>
      <c r="V429" t="s">
        <v>229</v>
      </c>
      <c r="W429" t="s">
        <v>157</v>
      </c>
      <c r="Y429" t="s">
        <v>123</v>
      </c>
      <c r="AA429">
        <v>1</v>
      </c>
      <c r="AB429" t="s">
        <v>99</v>
      </c>
      <c r="AC429" t="s">
        <v>416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136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440</v>
      </c>
      <c r="F430" t="s">
        <v>272</v>
      </c>
      <c r="G430" s="27">
        <v>43686</v>
      </c>
      <c r="H430" t="s">
        <v>145</v>
      </c>
      <c r="I430" t="s">
        <v>407</v>
      </c>
      <c r="J430" t="s">
        <v>408</v>
      </c>
      <c r="K430">
        <v>9</v>
      </c>
      <c r="L430" t="s">
        <v>112</v>
      </c>
      <c r="M430" t="s">
        <v>438</v>
      </c>
      <c r="N430" t="s">
        <v>157</v>
      </c>
      <c r="O430">
        <v>68</v>
      </c>
      <c r="P430">
        <v>113</v>
      </c>
      <c r="Q430">
        <v>5727</v>
      </c>
      <c r="R430" t="s">
        <v>146</v>
      </c>
      <c r="S430" t="s">
        <v>116</v>
      </c>
      <c r="T430" t="s">
        <v>411</v>
      </c>
      <c r="U430" t="s">
        <v>412</v>
      </c>
      <c r="V430" t="s">
        <v>132</v>
      </c>
      <c r="W430" t="s">
        <v>157</v>
      </c>
      <c r="Y430" t="s">
        <v>230</v>
      </c>
      <c r="AA430">
        <v>1</v>
      </c>
      <c r="AB430" t="s">
        <v>100</v>
      </c>
      <c r="AC430" t="s">
        <v>280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234</v>
      </c>
      <c r="AL430">
        <v>0.5</v>
      </c>
      <c r="AM430" t="s">
        <v>233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440</v>
      </c>
      <c r="F431" t="s">
        <v>272</v>
      </c>
      <c r="G431" s="27">
        <v>43686</v>
      </c>
      <c r="H431" t="s">
        <v>145</v>
      </c>
      <c r="I431" t="s">
        <v>407</v>
      </c>
      <c r="J431" t="s">
        <v>408</v>
      </c>
      <c r="K431">
        <v>9</v>
      </c>
      <c r="L431" t="s">
        <v>112</v>
      </c>
      <c r="M431" t="s">
        <v>438</v>
      </c>
      <c r="N431" t="s">
        <v>157</v>
      </c>
      <c r="O431">
        <v>68</v>
      </c>
      <c r="P431">
        <v>113</v>
      </c>
      <c r="Q431">
        <v>5727</v>
      </c>
      <c r="R431" t="s">
        <v>146</v>
      </c>
      <c r="S431" t="s">
        <v>116</v>
      </c>
      <c r="T431" t="s">
        <v>413</v>
      </c>
      <c r="U431" t="s">
        <v>414</v>
      </c>
      <c r="V431" t="s">
        <v>234</v>
      </c>
      <c r="W431" t="s">
        <v>114</v>
      </c>
      <c r="Y431" t="s">
        <v>233</v>
      </c>
      <c r="AA431">
        <v>1</v>
      </c>
      <c r="AB431" t="s">
        <v>99</v>
      </c>
      <c r="AC431" t="s">
        <v>280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230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441</v>
      </c>
      <c r="F432" t="s">
        <v>272</v>
      </c>
      <c r="G432" s="27">
        <v>43686</v>
      </c>
      <c r="H432" t="s">
        <v>145</v>
      </c>
      <c r="I432" t="s">
        <v>407</v>
      </c>
      <c r="J432" t="s">
        <v>408</v>
      </c>
      <c r="K432">
        <v>9</v>
      </c>
      <c r="L432" t="s">
        <v>112</v>
      </c>
      <c r="M432" t="s">
        <v>438</v>
      </c>
      <c r="N432" t="s">
        <v>157</v>
      </c>
      <c r="O432">
        <v>68</v>
      </c>
      <c r="P432">
        <v>113</v>
      </c>
      <c r="Q432">
        <v>5727</v>
      </c>
      <c r="R432" t="s">
        <v>146</v>
      </c>
      <c r="S432" t="s">
        <v>116</v>
      </c>
      <c r="T432" t="s">
        <v>413</v>
      </c>
      <c r="U432" t="s">
        <v>414</v>
      </c>
      <c r="V432" t="s">
        <v>178</v>
      </c>
      <c r="W432" t="s">
        <v>114</v>
      </c>
      <c r="Y432" t="s">
        <v>276</v>
      </c>
      <c r="AA432">
        <v>1</v>
      </c>
      <c r="AB432" t="s">
        <v>99</v>
      </c>
      <c r="AC432" t="s">
        <v>280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180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441</v>
      </c>
      <c r="F433" t="s">
        <v>272</v>
      </c>
      <c r="G433" s="27">
        <v>43686</v>
      </c>
      <c r="H433" t="s">
        <v>145</v>
      </c>
      <c r="I433" t="s">
        <v>407</v>
      </c>
      <c r="J433" t="s">
        <v>408</v>
      </c>
      <c r="K433">
        <v>9</v>
      </c>
      <c r="L433" t="s">
        <v>112</v>
      </c>
      <c r="M433" t="s">
        <v>438</v>
      </c>
      <c r="N433" t="s">
        <v>157</v>
      </c>
      <c r="O433">
        <v>68</v>
      </c>
      <c r="P433">
        <v>113</v>
      </c>
      <c r="Q433">
        <v>5727</v>
      </c>
      <c r="R433" t="s">
        <v>146</v>
      </c>
      <c r="S433" t="s">
        <v>116</v>
      </c>
      <c r="T433" t="s">
        <v>411</v>
      </c>
      <c r="U433" t="s">
        <v>412</v>
      </c>
      <c r="V433" t="s">
        <v>180</v>
      </c>
      <c r="W433" t="s">
        <v>157</v>
      </c>
      <c r="Y433" t="s">
        <v>119</v>
      </c>
      <c r="AA433">
        <v>1</v>
      </c>
      <c r="AB433" t="s">
        <v>100</v>
      </c>
      <c r="AC433" t="s">
        <v>280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178</v>
      </c>
      <c r="AL433">
        <v>0.59649122807017496</v>
      </c>
      <c r="AM433" t="s">
        <v>276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442</v>
      </c>
      <c r="F434" t="s">
        <v>272</v>
      </c>
      <c r="G434" s="27">
        <v>43686</v>
      </c>
      <c r="H434" t="s">
        <v>145</v>
      </c>
      <c r="I434" t="s">
        <v>407</v>
      </c>
      <c r="J434" t="s">
        <v>408</v>
      </c>
      <c r="K434">
        <v>9</v>
      </c>
      <c r="L434" t="s">
        <v>112</v>
      </c>
      <c r="M434" t="s">
        <v>438</v>
      </c>
      <c r="N434" t="s">
        <v>157</v>
      </c>
      <c r="O434">
        <v>68</v>
      </c>
      <c r="P434">
        <v>113</v>
      </c>
      <c r="Q434">
        <v>5727</v>
      </c>
      <c r="R434" t="s">
        <v>146</v>
      </c>
      <c r="S434" t="s">
        <v>116</v>
      </c>
      <c r="T434" t="s">
        <v>411</v>
      </c>
      <c r="U434" t="s">
        <v>412</v>
      </c>
      <c r="V434" t="s">
        <v>173</v>
      </c>
      <c r="W434" t="s">
        <v>157</v>
      </c>
      <c r="Y434" t="s">
        <v>181</v>
      </c>
      <c r="AA434">
        <v>1</v>
      </c>
      <c r="AB434" t="s">
        <v>100</v>
      </c>
      <c r="AC434" t="s">
        <v>228</v>
      </c>
      <c r="AE434" t="str">
        <f t="shared" si="6"/>
        <v>BussCole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174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442</v>
      </c>
      <c r="F435" t="s">
        <v>272</v>
      </c>
      <c r="G435" s="27">
        <v>43686</v>
      </c>
      <c r="H435" t="s">
        <v>145</v>
      </c>
      <c r="I435" t="s">
        <v>407</v>
      </c>
      <c r="J435" t="s">
        <v>408</v>
      </c>
      <c r="K435">
        <v>9</v>
      </c>
      <c r="L435" t="s">
        <v>112</v>
      </c>
      <c r="M435" t="s">
        <v>438</v>
      </c>
      <c r="N435" t="s">
        <v>157</v>
      </c>
      <c r="O435">
        <v>68</v>
      </c>
      <c r="P435">
        <v>113</v>
      </c>
      <c r="Q435">
        <v>5727</v>
      </c>
      <c r="R435" t="s">
        <v>146</v>
      </c>
      <c r="S435" t="s">
        <v>116</v>
      </c>
      <c r="T435" t="s">
        <v>413</v>
      </c>
      <c r="U435" t="s">
        <v>414</v>
      </c>
      <c r="V435" t="s">
        <v>174</v>
      </c>
      <c r="W435" t="s">
        <v>114</v>
      </c>
      <c r="Y435" t="s">
        <v>133</v>
      </c>
      <c r="AA435">
        <v>1</v>
      </c>
      <c r="AB435" t="s">
        <v>99</v>
      </c>
      <c r="AC435" t="s">
        <v>228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173</v>
      </c>
      <c r="AL435">
        <v>0.44827586206896602</v>
      </c>
      <c r="AM435" t="s">
        <v>181</v>
      </c>
      <c r="AN435">
        <v>0.44067796610169502</v>
      </c>
    </row>
    <row r="436" spans="2:40" ht="15" customHeight="1" x14ac:dyDescent="0.2">
      <c r="B436" t="s">
        <v>304</v>
      </c>
      <c r="D436">
        <v>7</v>
      </c>
      <c r="E436" t="s">
        <v>443</v>
      </c>
      <c r="F436" t="s">
        <v>272</v>
      </c>
      <c r="G436" s="27">
        <v>43686</v>
      </c>
      <c r="H436" t="s">
        <v>145</v>
      </c>
      <c r="I436" t="s">
        <v>407</v>
      </c>
      <c r="J436" t="s">
        <v>408</v>
      </c>
      <c r="K436">
        <v>9</v>
      </c>
      <c r="L436" t="s">
        <v>138</v>
      </c>
      <c r="M436" t="s">
        <v>438</v>
      </c>
      <c r="N436" t="s">
        <v>157</v>
      </c>
      <c r="O436">
        <v>68</v>
      </c>
      <c r="P436">
        <v>113</v>
      </c>
      <c r="Q436">
        <v>5727</v>
      </c>
      <c r="R436" t="s">
        <v>307</v>
      </c>
      <c r="S436" t="s">
        <v>307</v>
      </c>
      <c r="T436" t="s">
        <v>411</v>
      </c>
      <c r="U436" t="s">
        <v>412</v>
      </c>
      <c r="V436" t="s">
        <v>181</v>
      </c>
      <c r="W436" t="s">
        <v>157</v>
      </c>
      <c r="AA436">
        <v>0.5</v>
      </c>
      <c r="AB436" t="s">
        <v>99</v>
      </c>
      <c r="AC436" t="s">
        <v>267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304</v>
      </c>
      <c r="D437">
        <v>7</v>
      </c>
      <c r="E437" t="s">
        <v>443</v>
      </c>
      <c r="F437" t="s">
        <v>272</v>
      </c>
      <c r="G437" s="27">
        <v>43686</v>
      </c>
      <c r="H437" t="s">
        <v>145</v>
      </c>
      <c r="I437" t="s">
        <v>407</v>
      </c>
      <c r="J437" t="s">
        <v>408</v>
      </c>
      <c r="K437">
        <v>9</v>
      </c>
      <c r="L437" t="s">
        <v>138</v>
      </c>
      <c r="M437" t="s">
        <v>438</v>
      </c>
      <c r="N437" t="s">
        <v>157</v>
      </c>
      <c r="O437">
        <v>68</v>
      </c>
      <c r="P437">
        <v>113</v>
      </c>
      <c r="Q437">
        <v>5727</v>
      </c>
      <c r="R437" t="s">
        <v>307</v>
      </c>
      <c r="S437" t="s">
        <v>307</v>
      </c>
      <c r="T437" t="s">
        <v>411</v>
      </c>
      <c r="U437" t="s">
        <v>412</v>
      </c>
      <c r="V437" t="s">
        <v>127</v>
      </c>
      <c r="W437" t="s">
        <v>157</v>
      </c>
      <c r="AA437">
        <v>0.5</v>
      </c>
      <c r="AB437" t="s">
        <v>99</v>
      </c>
      <c r="AC437" t="s">
        <v>267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304</v>
      </c>
      <c r="D438">
        <v>7</v>
      </c>
      <c r="E438" t="s">
        <v>443</v>
      </c>
      <c r="F438" t="s">
        <v>272</v>
      </c>
      <c r="G438" s="27">
        <v>43686</v>
      </c>
      <c r="H438" t="s">
        <v>145</v>
      </c>
      <c r="I438" t="s">
        <v>407</v>
      </c>
      <c r="J438" t="s">
        <v>408</v>
      </c>
      <c r="K438">
        <v>9</v>
      </c>
      <c r="L438" t="s">
        <v>138</v>
      </c>
      <c r="M438" t="s">
        <v>438</v>
      </c>
      <c r="N438" t="s">
        <v>157</v>
      </c>
      <c r="O438">
        <v>68</v>
      </c>
      <c r="P438">
        <v>113</v>
      </c>
      <c r="Q438">
        <v>5727</v>
      </c>
      <c r="R438" t="s">
        <v>307</v>
      </c>
      <c r="S438" t="s">
        <v>307</v>
      </c>
      <c r="T438" t="s">
        <v>411</v>
      </c>
      <c r="U438" t="s">
        <v>412</v>
      </c>
      <c r="V438" t="s">
        <v>229</v>
      </c>
      <c r="W438" t="s">
        <v>157</v>
      </c>
      <c r="AA438">
        <v>0.5</v>
      </c>
      <c r="AB438" t="s">
        <v>99</v>
      </c>
      <c r="AC438" t="s">
        <v>267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304</v>
      </c>
      <c r="D439">
        <v>7</v>
      </c>
      <c r="E439" t="s">
        <v>443</v>
      </c>
      <c r="F439" t="s">
        <v>272</v>
      </c>
      <c r="G439" s="27">
        <v>43686</v>
      </c>
      <c r="H439" t="s">
        <v>145</v>
      </c>
      <c r="I439" t="s">
        <v>407</v>
      </c>
      <c r="J439" t="s">
        <v>408</v>
      </c>
      <c r="K439">
        <v>9</v>
      </c>
      <c r="L439" t="s">
        <v>138</v>
      </c>
      <c r="M439" t="s">
        <v>438</v>
      </c>
      <c r="N439" t="s">
        <v>157</v>
      </c>
      <c r="O439">
        <v>68</v>
      </c>
      <c r="P439">
        <v>113</v>
      </c>
      <c r="Q439">
        <v>5727</v>
      </c>
      <c r="R439" t="s">
        <v>307</v>
      </c>
      <c r="S439" t="s">
        <v>307</v>
      </c>
      <c r="T439" t="s">
        <v>411</v>
      </c>
      <c r="U439" t="s">
        <v>412</v>
      </c>
      <c r="V439" t="s">
        <v>119</v>
      </c>
      <c r="W439" t="s">
        <v>157</v>
      </c>
      <c r="AA439">
        <v>0.5</v>
      </c>
      <c r="AB439" t="s">
        <v>99</v>
      </c>
      <c r="AC439" t="s">
        <v>267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304</v>
      </c>
      <c r="D440">
        <v>7</v>
      </c>
      <c r="E440" t="s">
        <v>443</v>
      </c>
      <c r="F440" t="s">
        <v>272</v>
      </c>
      <c r="G440" s="27">
        <v>43686</v>
      </c>
      <c r="H440" t="s">
        <v>145</v>
      </c>
      <c r="I440" t="s">
        <v>407</v>
      </c>
      <c r="J440" t="s">
        <v>408</v>
      </c>
      <c r="K440">
        <v>9</v>
      </c>
      <c r="L440" t="s">
        <v>138</v>
      </c>
      <c r="M440" t="s">
        <v>438</v>
      </c>
      <c r="N440" t="s">
        <v>157</v>
      </c>
      <c r="O440">
        <v>68</v>
      </c>
      <c r="P440">
        <v>113</v>
      </c>
      <c r="Q440">
        <v>5727</v>
      </c>
      <c r="R440" t="s">
        <v>307</v>
      </c>
      <c r="S440" t="s">
        <v>307</v>
      </c>
      <c r="T440" t="s">
        <v>411</v>
      </c>
      <c r="U440" t="s">
        <v>412</v>
      </c>
      <c r="V440" t="s">
        <v>132</v>
      </c>
      <c r="W440" t="s">
        <v>157</v>
      </c>
      <c r="AA440">
        <v>0.5</v>
      </c>
      <c r="AB440" t="s">
        <v>99</v>
      </c>
      <c r="AC440" t="s">
        <v>267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304</v>
      </c>
      <c r="D441">
        <v>7</v>
      </c>
      <c r="E441" t="s">
        <v>443</v>
      </c>
      <c r="F441" t="s">
        <v>272</v>
      </c>
      <c r="G441" s="27">
        <v>43686</v>
      </c>
      <c r="H441" t="s">
        <v>145</v>
      </c>
      <c r="I441" t="s">
        <v>407</v>
      </c>
      <c r="J441" t="s">
        <v>408</v>
      </c>
      <c r="K441">
        <v>9</v>
      </c>
      <c r="L441" t="s">
        <v>138</v>
      </c>
      <c r="M441" t="s">
        <v>438</v>
      </c>
      <c r="N441" t="s">
        <v>157</v>
      </c>
      <c r="O441">
        <v>68</v>
      </c>
      <c r="P441">
        <v>113</v>
      </c>
      <c r="Q441">
        <v>5727</v>
      </c>
      <c r="R441" t="s">
        <v>307</v>
      </c>
      <c r="S441" t="s">
        <v>307</v>
      </c>
      <c r="T441" t="s">
        <v>411</v>
      </c>
      <c r="U441" t="s">
        <v>412</v>
      </c>
      <c r="V441" t="s">
        <v>173</v>
      </c>
      <c r="W441" t="s">
        <v>157</v>
      </c>
      <c r="AA441">
        <v>0.5</v>
      </c>
      <c r="AB441" t="s">
        <v>99</v>
      </c>
      <c r="AC441" t="s">
        <v>267</v>
      </c>
      <c r="AE441" t="str">
        <f t="shared" si="6"/>
        <v>Buss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304</v>
      </c>
      <c r="D442">
        <v>7</v>
      </c>
      <c r="E442" t="s">
        <v>443</v>
      </c>
      <c r="F442" t="s">
        <v>272</v>
      </c>
      <c r="G442" s="27">
        <v>43686</v>
      </c>
      <c r="H442" t="s">
        <v>145</v>
      </c>
      <c r="I442" t="s">
        <v>407</v>
      </c>
      <c r="J442" t="s">
        <v>408</v>
      </c>
      <c r="K442">
        <v>9</v>
      </c>
      <c r="L442" t="s">
        <v>138</v>
      </c>
      <c r="M442" t="s">
        <v>438</v>
      </c>
      <c r="N442" t="s">
        <v>157</v>
      </c>
      <c r="O442">
        <v>68</v>
      </c>
      <c r="P442">
        <v>113</v>
      </c>
      <c r="Q442">
        <v>5727</v>
      </c>
      <c r="R442" t="s">
        <v>307</v>
      </c>
      <c r="S442" t="s">
        <v>307</v>
      </c>
      <c r="T442" t="s">
        <v>411</v>
      </c>
      <c r="U442" t="s">
        <v>412</v>
      </c>
      <c r="V442" t="s">
        <v>118</v>
      </c>
      <c r="W442" t="s">
        <v>157</v>
      </c>
      <c r="AA442">
        <v>0.5</v>
      </c>
      <c r="AB442" t="s">
        <v>99</v>
      </c>
      <c r="AC442" t="s">
        <v>267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304</v>
      </c>
      <c r="D443">
        <v>7</v>
      </c>
      <c r="E443" t="s">
        <v>443</v>
      </c>
      <c r="F443" t="s">
        <v>272</v>
      </c>
      <c r="G443" s="27">
        <v>43686</v>
      </c>
      <c r="H443" t="s">
        <v>145</v>
      </c>
      <c r="I443" t="s">
        <v>407</v>
      </c>
      <c r="J443" t="s">
        <v>408</v>
      </c>
      <c r="K443">
        <v>9</v>
      </c>
      <c r="L443" t="s">
        <v>138</v>
      </c>
      <c r="M443" t="s">
        <v>438</v>
      </c>
      <c r="N443" t="s">
        <v>157</v>
      </c>
      <c r="O443">
        <v>68</v>
      </c>
      <c r="P443">
        <v>113</v>
      </c>
      <c r="Q443">
        <v>5727</v>
      </c>
      <c r="R443" t="s">
        <v>307</v>
      </c>
      <c r="S443" t="s">
        <v>307</v>
      </c>
      <c r="T443" t="s">
        <v>411</v>
      </c>
      <c r="U443" t="s">
        <v>412</v>
      </c>
      <c r="V443" t="s">
        <v>180</v>
      </c>
      <c r="W443" t="s">
        <v>157</v>
      </c>
      <c r="AA443">
        <v>0.5</v>
      </c>
      <c r="AB443" t="s">
        <v>99</v>
      </c>
      <c r="AC443" t="s">
        <v>267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304</v>
      </c>
      <c r="D444">
        <v>7</v>
      </c>
      <c r="E444" t="s">
        <v>443</v>
      </c>
      <c r="F444" t="s">
        <v>272</v>
      </c>
      <c r="G444" s="27">
        <v>43686</v>
      </c>
      <c r="H444" t="s">
        <v>145</v>
      </c>
      <c r="I444" t="s">
        <v>407</v>
      </c>
      <c r="J444" t="s">
        <v>408</v>
      </c>
      <c r="K444">
        <v>9</v>
      </c>
      <c r="L444" t="s">
        <v>138</v>
      </c>
      <c r="M444" t="s">
        <v>438</v>
      </c>
      <c r="N444" t="s">
        <v>157</v>
      </c>
      <c r="O444">
        <v>68</v>
      </c>
      <c r="P444">
        <v>113</v>
      </c>
      <c r="Q444">
        <v>5727</v>
      </c>
      <c r="R444" t="s">
        <v>307</v>
      </c>
      <c r="S444" t="s">
        <v>307</v>
      </c>
      <c r="T444" t="s">
        <v>411</v>
      </c>
      <c r="U444" t="s">
        <v>412</v>
      </c>
      <c r="V444" t="s">
        <v>123</v>
      </c>
      <c r="W444" t="s">
        <v>157</v>
      </c>
      <c r="AA444">
        <v>0.5</v>
      </c>
      <c r="AB444" t="s">
        <v>99</v>
      </c>
      <c r="AC444" t="s">
        <v>267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304</v>
      </c>
      <c r="D445">
        <v>7</v>
      </c>
      <c r="E445" t="s">
        <v>443</v>
      </c>
      <c r="F445" t="s">
        <v>272</v>
      </c>
      <c r="G445" s="27">
        <v>43686</v>
      </c>
      <c r="H445" t="s">
        <v>145</v>
      </c>
      <c r="I445" t="s">
        <v>407</v>
      </c>
      <c r="J445" t="s">
        <v>408</v>
      </c>
      <c r="K445">
        <v>9</v>
      </c>
      <c r="L445" t="s">
        <v>138</v>
      </c>
      <c r="M445" t="s">
        <v>438</v>
      </c>
      <c r="N445" t="s">
        <v>157</v>
      </c>
      <c r="O445">
        <v>68</v>
      </c>
      <c r="P445">
        <v>113</v>
      </c>
      <c r="Q445">
        <v>5727</v>
      </c>
      <c r="R445" t="s">
        <v>307</v>
      </c>
      <c r="S445" t="s">
        <v>307</v>
      </c>
      <c r="T445" t="s">
        <v>411</v>
      </c>
      <c r="U445" t="s">
        <v>412</v>
      </c>
      <c r="V445" t="s">
        <v>230</v>
      </c>
      <c r="W445" t="s">
        <v>157</v>
      </c>
      <c r="AA445">
        <v>0.5</v>
      </c>
      <c r="AB445" t="s">
        <v>99</v>
      </c>
      <c r="AC445" t="s">
        <v>267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304</v>
      </c>
      <c r="D446">
        <v>7</v>
      </c>
      <c r="E446" t="s">
        <v>443</v>
      </c>
      <c r="F446" t="s">
        <v>272</v>
      </c>
      <c r="G446" s="27">
        <v>43686</v>
      </c>
      <c r="H446" t="s">
        <v>145</v>
      </c>
      <c r="I446" t="s">
        <v>407</v>
      </c>
      <c r="J446" t="s">
        <v>408</v>
      </c>
      <c r="K446">
        <v>9</v>
      </c>
      <c r="L446" t="s">
        <v>138</v>
      </c>
      <c r="M446" t="s">
        <v>438</v>
      </c>
      <c r="N446" t="s">
        <v>157</v>
      </c>
      <c r="O446">
        <v>68</v>
      </c>
      <c r="P446">
        <v>113</v>
      </c>
      <c r="Q446">
        <v>5727</v>
      </c>
      <c r="R446" t="s">
        <v>307</v>
      </c>
      <c r="S446" t="s">
        <v>307</v>
      </c>
      <c r="T446" t="s">
        <v>413</v>
      </c>
      <c r="U446" t="s">
        <v>414</v>
      </c>
      <c r="V446" t="s">
        <v>122</v>
      </c>
      <c r="W446" t="s">
        <v>114</v>
      </c>
      <c r="AA446">
        <v>0.5</v>
      </c>
      <c r="AB446" t="s">
        <v>100</v>
      </c>
      <c r="AC446" t="s">
        <v>267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304</v>
      </c>
      <c r="D447">
        <v>7</v>
      </c>
      <c r="E447" t="s">
        <v>443</v>
      </c>
      <c r="F447" t="s">
        <v>272</v>
      </c>
      <c r="G447" s="27">
        <v>43686</v>
      </c>
      <c r="H447" t="s">
        <v>145</v>
      </c>
      <c r="I447" t="s">
        <v>407</v>
      </c>
      <c r="J447" t="s">
        <v>408</v>
      </c>
      <c r="K447">
        <v>9</v>
      </c>
      <c r="L447" t="s">
        <v>138</v>
      </c>
      <c r="M447" t="s">
        <v>438</v>
      </c>
      <c r="N447" t="s">
        <v>157</v>
      </c>
      <c r="O447">
        <v>68</v>
      </c>
      <c r="P447">
        <v>113</v>
      </c>
      <c r="Q447">
        <v>5727</v>
      </c>
      <c r="R447" t="s">
        <v>307</v>
      </c>
      <c r="S447" t="s">
        <v>307</v>
      </c>
      <c r="T447" t="s">
        <v>413</v>
      </c>
      <c r="U447" t="s">
        <v>414</v>
      </c>
      <c r="V447" t="s">
        <v>130</v>
      </c>
      <c r="W447" t="s">
        <v>114</v>
      </c>
      <c r="AA447">
        <v>0.5</v>
      </c>
      <c r="AB447" t="s">
        <v>100</v>
      </c>
      <c r="AC447" t="s">
        <v>267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304</v>
      </c>
      <c r="D448">
        <v>7</v>
      </c>
      <c r="E448" t="s">
        <v>443</v>
      </c>
      <c r="F448" t="s">
        <v>272</v>
      </c>
      <c r="G448" s="27">
        <v>43686</v>
      </c>
      <c r="H448" t="s">
        <v>145</v>
      </c>
      <c r="I448" t="s">
        <v>407</v>
      </c>
      <c r="J448" t="s">
        <v>408</v>
      </c>
      <c r="K448">
        <v>9</v>
      </c>
      <c r="L448" t="s">
        <v>138</v>
      </c>
      <c r="M448" t="s">
        <v>438</v>
      </c>
      <c r="N448" t="s">
        <v>157</v>
      </c>
      <c r="O448">
        <v>68</v>
      </c>
      <c r="P448">
        <v>113</v>
      </c>
      <c r="Q448">
        <v>5727</v>
      </c>
      <c r="R448" t="s">
        <v>307</v>
      </c>
      <c r="S448" t="s">
        <v>307</v>
      </c>
      <c r="T448" t="s">
        <v>413</v>
      </c>
      <c r="U448" t="s">
        <v>414</v>
      </c>
      <c r="V448" t="s">
        <v>135</v>
      </c>
      <c r="W448" t="s">
        <v>114</v>
      </c>
      <c r="AA448">
        <v>0.5</v>
      </c>
      <c r="AB448" t="s">
        <v>100</v>
      </c>
      <c r="AC448" t="s">
        <v>267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304</v>
      </c>
      <c r="D449">
        <v>7</v>
      </c>
      <c r="E449" t="s">
        <v>443</v>
      </c>
      <c r="F449" t="s">
        <v>272</v>
      </c>
      <c r="G449" s="27">
        <v>43686</v>
      </c>
      <c r="H449" t="s">
        <v>145</v>
      </c>
      <c r="I449" t="s">
        <v>407</v>
      </c>
      <c r="J449" t="s">
        <v>408</v>
      </c>
      <c r="K449">
        <v>9</v>
      </c>
      <c r="L449" t="s">
        <v>138</v>
      </c>
      <c r="M449" t="s">
        <v>438</v>
      </c>
      <c r="N449" t="s">
        <v>157</v>
      </c>
      <c r="O449">
        <v>68</v>
      </c>
      <c r="P449">
        <v>113</v>
      </c>
      <c r="Q449">
        <v>5727</v>
      </c>
      <c r="R449" t="s">
        <v>307</v>
      </c>
      <c r="S449" t="s">
        <v>307</v>
      </c>
      <c r="T449" t="s">
        <v>413</v>
      </c>
      <c r="U449" t="s">
        <v>414</v>
      </c>
      <c r="V449" t="s">
        <v>133</v>
      </c>
      <c r="W449" t="s">
        <v>114</v>
      </c>
      <c r="AA449">
        <v>0.5</v>
      </c>
      <c r="AB449" t="s">
        <v>100</v>
      </c>
      <c r="AC449" t="s">
        <v>267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304</v>
      </c>
      <c r="D450">
        <v>7</v>
      </c>
      <c r="E450" t="s">
        <v>443</v>
      </c>
      <c r="F450" t="s">
        <v>272</v>
      </c>
      <c r="G450" s="27">
        <v>43686</v>
      </c>
      <c r="H450" t="s">
        <v>145</v>
      </c>
      <c r="I450" t="s">
        <v>407</v>
      </c>
      <c r="J450" t="s">
        <v>408</v>
      </c>
      <c r="K450">
        <v>9</v>
      </c>
      <c r="L450" t="s">
        <v>138</v>
      </c>
      <c r="M450" t="s">
        <v>438</v>
      </c>
      <c r="N450" t="s">
        <v>157</v>
      </c>
      <c r="O450">
        <v>68</v>
      </c>
      <c r="P450">
        <v>113</v>
      </c>
      <c r="Q450">
        <v>5727</v>
      </c>
      <c r="R450" t="s">
        <v>307</v>
      </c>
      <c r="S450" t="s">
        <v>307</v>
      </c>
      <c r="T450" t="s">
        <v>413</v>
      </c>
      <c r="U450" t="s">
        <v>414</v>
      </c>
      <c r="V450" t="s">
        <v>178</v>
      </c>
      <c r="W450" t="s">
        <v>114</v>
      </c>
      <c r="AA450">
        <v>0.5</v>
      </c>
      <c r="AB450" t="s">
        <v>100</v>
      </c>
      <c r="AC450" t="s">
        <v>267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304</v>
      </c>
      <c r="D451">
        <v>7</v>
      </c>
      <c r="E451" t="s">
        <v>443</v>
      </c>
      <c r="F451" t="s">
        <v>272</v>
      </c>
      <c r="G451" s="27">
        <v>43686</v>
      </c>
      <c r="H451" t="s">
        <v>145</v>
      </c>
      <c r="I451" t="s">
        <v>407</v>
      </c>
      <c r="J451" t="s">
        <v>408</v>
      </c>
      <c r="K451">
        <v>9</v>
      </c>
      <c r="L451" t="s">
        <v>138</v>
      </c>
      <c r="M451" t="s">
        <v>438</v>
      </c>
      <c r="N451" t="s">
        <v>157</v>
      </c>
      <c r="O451">
        <v>68</v>
      </c>
      <c r="P451">
        <v>113</v>
      </c>
      <c r="Q451">
        <v>5727</v>
      </c>
      <c r="R451" t="s">
        <v>307</v>
      </c>
      <c r="S451" t="s">
        <v>307</v>
      </c>
      <c r="T451" t="s">
        <v>413</v>
      </c>
      <c r="U451" t="s">
        <v>414</v>
      </c>
      <c r="V451" t="s">
        <v>233</v>
      </c>
      <c r="W451" t="s">
        <v>114</v>
      </c>
      <c r="AA451">
        <v>0.5</v>
      </c>
      <c r="AB451" t="s">
        <v>100</v>
      </c>
      <c r="AC451" t="s">
        <v>267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304</v>
      </c>
      <c r="D452">
        <v>7</v>
      </c>
      <c r="E452" t="s">
        <v>443</v>
      </c>
      <c r="F452" t="s">
        <v>272</v>
      </c>
      <c r="G452" s="27">
        <v>43686</v>
      </c>
      <c r="H452" t="s">
        <v>145</v>
      </c>
      <c r="I452" t="s">
        <v>407</v>
      </c>
      <c r="J452" t="s">
        <v>408</v>
      </c>
      <c r="K452">
        <v>9</v>
      </c>
      <c r="L452" t="s">
        <v>138</v>
      </c>
      <c r="M452" t="s">
        <v>438</v>
      </c>
      <c r="N452" t="s">
        <v>157</v>
      </c>
      <c r="O452">
        <v>68</v>
      </c>
      <c r="P452">
        <v>113</v>
      </c>
      <c r="Q452">
        <v>5727</v>
      </c>
      <c r="R452" t="s">
        <v>307</v>
      </c>
      <c r="S452" t="s">
        <v>307</v>
      </c>
      <c r="T452" t="s">
        <v>413</v>
      </c>
      <c r="U452" t="s">
        <v>414</v>
      </c>
      <c r="V452" t="s">
        <v>276</v>
      </c>
      <c r="W452" t="s">
        <v>114</v>
      </c>
      <c r="AA452">
        <v>0.5</v>
      </c>
      <c r="AB452" t="s">
        <v>100</v>
      </c>
      <c r="AC452" t="s">
        <v>267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304</v>
      </c>
      <c r="D453">
        <v>7</v>
      </c>
      <c r="E453" t="s">
        <v>443</v>
      </c>
      <c r="F453" t="s">
        <v>272</v>
      </c>
      <c r="G453" s="27">
        <v>43686</v>
      </c>
      <c r="H453" t="s">
        <v>145</v>
      </c>
      <c r="I453" t="s">
        <v>407</v>
      </c>
      <c r="J453" t="s">
        <v>408</v>
      </c>
      <c r="K453">
        <v>9</v>
      </c>
      <c r="L453" t="s">
        <v>138</v>
      </c>
      <c r="M453" t="s">
        <v>438</v>
      </c>
      <c r="N453" t="s">
        <v>157</v>
      </c>
      <c r="O453">
        <v>68</v>
      </c>
      <c r="P453">
        <v>113</v>
      </c>
      <c r="Q453">
        <v>5727</v>
      </c>
      <c r="R453" t="s">
        <v>307</v>
      </c>
      <c r="S453" t="s">
        <v>307</v>
      </c>
      <c r="T453" t="s">
        <v>413</v>
      </c>
      <c r="U453" t="s">
        <v>414</v>
      </c>
      <c r="V453" t="s">
        <v>136</v>
      </c>
      <c r="W453" t="s">
        <v>114</v>
      </c>
      <c r="AA453">
        <v>0.5</v>
      </c>
      <c r="AB453" t="s">
        <v>100</v>
      </c>
      <c r="AC453" t="s">
        <v>267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304</v>
      </c>
      <c r="D454">
        <v>7</v>
      </c>
      <c r="E454" t="s">
        <v>443</v>
      </c>
      <c r="F454" t="s">
        <v>272</v>
      </c>
      <c r="G454" s="27">
        <v>43686</v>
      </c>
      <c r="H454" t="s">
        <v>145</v>
      </c>
      <c r="I454" t="s">
        <v>407</v>
      </c>
      <c r="J454" t="s">
        <v>408</v>
      </c>
      <c r="K454">
        <v>9</v>
      </c>
      <c r="L454" t="s">
        <v>138</v>
      </c>
      <c r="M454" t="s">
        <v>438</v>
      </c>
      <c r="N454" t="s">
        <v>157</v>
      </c>
      <c r="O454">
        <v>68</v>
      </c>
      <c r="P454">
        <v>113</v>
      </c>
      <c r="Q454">
        <v>5727</v>
      </c>
      <c r="R454" t="s">
        <v>307</v>
      </c>
      <c r="S454" t="s">
        <v>307</v>
      </c>
      <c r="T454" t="s">
        <v>413</v>
      </c>
      <c r="U454" t="s">
        <v>414</v>
      </c>
      <c r="V454" t="s">
        <v>234</v>
      </c>
      <c r="W454" t="s">
        <v>114</v>
      </c>
      <c r="AA454">
        <v>0.5</v>
      </c>
      <c r="AB454" t="s">
        <v>100</v>
      </c>
      <c r="AC454" t="s">
        <v>267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304</v>
      </c>
      <c r="D455">
        <v>7</v>
      </c>
      <c r="E455" t="s">
        <v>443</v>
      </c>
      <c r="F455" t="s">
        <v>272</v>
      </c>
      <c r="G455" s="27">
        <v>43686</v>
      </c>
      <c r="H455" t="s">
        <v>145</v>
      </c>
      <c r="I455" t="s">
        <v>407</v>
      </c>
      <c r="J455" t="s">
        <v>408</v>
      </c>
      <c r="K455">
        <v>9</v>
      </c>
      <c r="L455" t="s">
        <v>138</v>
      </c>
      <c r="M455" t="s">
        <v>438</v>
      </c>
      <c r="N455" t="s">
        <v>157</v>
      </c>
      <c r="O455">
        <v>68</v>
      </c>
      <c r="P455">
        <v>113</v>
      </c>
      <c r="Q455">
        <v>5727</v>
      </c>
      <c r="R455" t="s">
        <v>307</v>
      </c>
      <c r="S455" t="s">
        <v>307</v>
      </c>
      <c r="T455" t="s">
        <v>413</v>
      </c>
      <c r="U455" t="s">
        <v>414</v>
      </c>
      <c r="V455" t="s">
        <v>174</v>
      </c>
      <c r="W455" t="s">
        <v>114</v>
      </c>
      <c r="AA455">
        <v>0.5</v>
      </c>
      <c r="AB455" t="s">
        <v>100</v>
      </c>
      <c r="AC455" t="s">
        <v>267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444</v>
      </c>
      <c r="F456" t="s">
        <v>108</v>
      </c>
      <c r="G456" s="27">
        <v>43687</v>
      </c>
      <c r="H456" t="s">
        <v>109</v>
      </c>
      <c r="I456" t="s">
        <v>407</v>
      </c>
      <c r="J456" t="s">
        <v>408</v>
      </c>
      <c r="K456">
        <v>18</v>
      </c>
      <c r="L456" t="s">
        <v>155</v>
      </c>
      <c r="M456" t="s">
        <v>445</v>
      </c>
      <c r="N456" t="s">
        <v>410</v>
      </c>
      <c r="O456">
        <v>72.099999999999994</v>
      </c>
      <c r="P456">
        <v>136</v>
      </c>
      <c r="Q456">
        <v>6422</v>
      </c>
      <c r="R456" t="s">
        <v>158</v>
      </c>
      <c r="S456" t="s">
        <v>159</v>
      </c>
      <c r="T456" t="s">
        <v>411</v>
      </c>
      <c r="U456" t="s">
        <v>412</v>
      </c>
      <c r="V456" t="s">
        <v>173</v>
      </c>
      <c r="W456" t="s">
        <v>114</v>
      </c>
      <c r="AA456">
        <v>2</v>
      </c>
      <c r="AB456" t="s">
        <v>100</v>
      </c>
      <c r="AC456" t="s">
        <v>267</v>
      </c>
      <c r="AD456" t="s">
        <v>135</v>
      </c>
      <c r="AE456" t="str">
        <f t="shared" si="7"/>
        <v>Buss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135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446</v>
      </c>
      <c r="F457" t="s">
        <v>108</v>
      </c>
      <c r="G457" s="27">
        <v>43687</v>
      </c>
      <c r="H457" t="s">
        <v>109</v>
      </c>
      <c r="I457" t="s">
        <v>407</v>
      </c>
      <c r="J457" t="s">
        <v>408</v>
      </c>
      <c r="K457">
        <v>18</v>
      </c>
      <c r="L457" t="s">
        <v>155</v>
      </c>
      <c r="M457" t="s">
        <v>445</v>
      </c>
      <c r="N457" t="s">
        <v>410</v>
      </c>
      <c r="O457">
        <v>72.099999999999994</v>
      </c>
      <c r="P457">
        <v>136</v>
      </c>
      <c r="Q457">
        <v>6422</v>
      </c>
      <c r="R457" t="s">
        <v>158</v>
      </c>
      <c r="S457" t="s">
        <v>159</v>
      </c>
      <c r="T457" t="s">
        <v>411</v>
      </c>
      <c r="U457" t="s">
        <v>412</v>
      </c>
      <c r="V457" t="s">
        <v>127</v>
      </c>
      <c r="W457" t="s">
        <v>114</v>
      </c>
      <c r="AA457">
        <v>2</v>
      </c>
      <c r="AB457" t="s">
        <v>100</v>
      </c>
      <c r="AC457" t="s">
        <v>267</v>
      </c>
      <c r="AD457" t="s">
        <v>178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178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447</v>
      </c>
      <c r="F458" t="s">
        <v>108</v>
      </c>
      <c r="G458" s="27">
        <v>43687</v>
      </c>
      <c r="H458" t="s">
        <v>109</v>
      </c>
      <c r="I458" t="s">
        <v>407</v>
      </c>
      <c r="J458" t="s">
        <v>408</v>
      </c>
      <c r="K458">
        <v>18</v>
      </c>
      <c r="L458" t="s">
        <v>155</v>
      </c>
      <c r="M458" t="s">
        <v>445</v>
      </c>
      <c r="N458" t="s">
        <v>410</v>
      </c>
      <c r="O458">
        <v>72.099999999999994</v>
      </c>
      <c r="P458">
        <v>136</v>
      </c>
      <c r="Q458">
        <v>6422</v>
      </c>
      <c r="R458" t="s">
        <v>158</v>
      </c>
      <c r="S458" t="s">
        <v>159</v>
      </c>
      <c r="T458" t="s">
        <v>411</v>
      </c>
      <c r="U458" t="s">
        <v>412</v>
      </c>
      <c r="V458" t="s">
        <v>230</v>
      </c>
      <c r="W458" t="s">
        <v>114</v>
      </c>
      <c r="AA458">
        <v>2</v>
      </c>
      <c r="AB458" t="s">
        <v>99</v>
      </c>
      <c r="AC458" t="s">
        <v>292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448</v>
      </c>
      <c r="F459" t="s">
        <v>108</v>
      </c>
      <c r="G459" s="27">
        <v>43687</v>
      </c>
      <c r="H459" t="s">
        <v>109</v>
      </c>
      <c r="I459" t="s">
        <v>407</v>
      </c>
      <c r="J459" t="s">
        <v>408</v>
      </c>
      <c r="K459">
        <v>18</v>
      </c>
      <c r="L459" t="s">
        <v>155</v>
      </c>
      <c r="M459" t="s">
        <v>445</v>
      </c>
      <c r="N459" t="s">
        <v>410</v>
      </c>
      <c r="O459">
        <v>72.099999999999994</v>
      </c>
      <c r="P459">
        <v>136</v>
      </c>
      <c r="Q459">
        <v>6422</v>
      </c>
      <c r="R459" t="s">
        <v>158</v>
      </c>
      <c r="S459" t="s">
        <v>159</v>
      </c>
      <c r="T459" t="s">
        <v>411</v>
      </c>
      <c r="U459" t="s">
        <v>412</v>
      </c>
      <c r="V459" t="s">
        <v>229</v>
      </c>
      <c r="W459" t="s">
        <v>114</v>
      </c>
      <c r="AA459">
        <v>2</v>
      </c>
      <c r="AB459" t="s">
        <v>99</v>
      </c>
      <c r="AC459" t="s">
        <v>267</v>
      </c>
      <c r="AD459" t="s">
        <v>276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276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449</v>
      </c>
      <c r="F460" t="s">
        <v>108</v>
      </c>
      <c r="G460" s="27">
        <v>43687</v>
      </c>
      <c r="H460" t="s">
        <v>109</v>
      </c>
      <c r="I460" t="s">
        <v>407</v>
      </c>
      <c r="J460" t="s">
        <v>408</v>
      </c>
      <c r="K460">
        <v>18</v>
      </c>
      <c r="L460" t="s">
        <v>155</v>
      </c>
      <c r="M460" t="s">
        <v>445</v>
      </c>
      <c r="N460" t="s">
        <v>410</v>
      </c>
      <c r="O460">
        <v>72.099999999999994</v>
      </c>
      <c r="P460">
        <v>136</v>
      </c>
      <c r="Q460">
        <v>6422</v>
      </c>
      <c r="R460" t="s">
        <v>158</v>
      </c>
      <c r="S460" t="s">
        <v>159</v>
      </c>
      <c r="T460" t="s">
        <v>411</v>
      </c>
      <c r="U460" t="s">
        <v>412</v>
      </c>
      <c r="V460" t="s">
        <v>119</v>
      </c>
      <c r="W460" t="s">
        <v>114</v>
      </c>
      <c r="AA460">
        <v>2</v>
      </c>
      <c r="AB460" t="s">
        <v>99</v>
      </c>
      <c r="AC460" t="s">
        <v>242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450</v>
      </c>
      <c r="F461" t="s">
        <v>108</v>
      </c>
      <c r="G461" s="27">
        <v>43687</v>
      </c>
      <c r="H461" t="s">
        <v>109</v>
      </c>
      <c r="I461" t="s">
        <v>407</v>
      </c>
      <c r="J461" t="s">
        <v>408</v>
      </c>
      <c r="K461">
        <v>18</v>
      </c>
      <c r="L461" t="s">
        <v>155</v>
      </c>
      <c r="M461" t="s">
        <v>445</v>
      </c>
      <c r="N461" t="s">
        <v>410</v>
      </c>
      <c r="O461">
        <v>72.099999999999994</v>
      </c>
      <c r="P461">
        <v>136</v>
      </c>
      <c r="Q461">
        <v>6422</v>
      </c>
      <c r="R461" t="s">
        <v>158</v>
      </c>
      <c r="S461" t="s">
        <v>159</v>
      </c>
      <c r="T461" t="s">
        <v>411</v>
      </c>
      <c r="U461" t="s">
        <v>412</v>
      </c>
      <c r="V461" t="s">
        <v>132</v>
      </c>
      <c r="W461" t="s">
        <v>114</v>
      </c>
      <c r="AA461">
        <v>2</v>
      </c>
      <c r="AB461" t="s">
        <v>100</v>
      </c>
      <c r="AC461" t="s">
        <v>267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451</v>
      </c>
      <c r="F462" t="s">
        <v>108</v>
      </c>
      <c r="G462" s="27">
        <v>43687</v>
      </c>
      <c r="H462" t="s">
        <v>109</v>
      </c>
      <c r="I462" t="s">
        <v>407</v>
      </c>
      <c r="J462" t="s">
        <v>408</v>
      </c>
      <c r="K462">
        <v>18</v>
      </c>
      <c r="L462" t="s">
        <v>155</v>
      </c>
      <c r="M462" t="s">
        <v>445</v>
      </c>
      <c r="N462" t="s">
        <v>410</v>
      </c>
      <c r="O462">
        <v>72.099999999999994</v>
      </c>
      <c r="P462">
        <v>136</v>
      </c>
      <c r="Q462">
        <v>6422</v>
      </c>
      <c r="R462" t="s">
        <v>158</v>
      </c>
      <c r="S462" t="s">
        <v>159</v>
      </c>
      <c r="T462" t="s">
        <v>411</v>
      </c>
      <c r="U462" t="s">
        <v>412</v>
      </c>
      <c r="V462" t="s">
        <v>123</v>
      </c>
      <c r="W462" t="s">
        <v>114</v>
      </c>
      <c r="AA462">
        <v>2</v>
      </c>
      <c r="AB462" t="s">
        <v>100</v>
      </c>
      <c r="AC462" t="s">
        <v>317</v>
      </c>
      <c r="AD462" t="s">
        <v>136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136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452</v>
      </c>
      <c r="F463" t="s">
        <v>108</v>
      </c>
      <c r="G463" s="27">
        <v>43687</v>
      </c>
      <c r="H463" t="s">
        <v>109</v>
      </c>
      <c r="I463" t="s">
        <v>407</v>
      </c>
      <c r="J463" t="s">
        <v>408</v>
      </c>
      <c r="K463">
        <v>18</v>
      </c>
      <c r="L463" t="s">
        <v>155</v>
      </c>
      <c r="M463" t="s">
        <v>445</v>
      </c>
      <c r="N463" t="s">
        <v>410</v>
      </c>
      <c r="O463">
        <v>72.099999999999994</v>
      </c>
      <c r="P463">
        <v>136</v>
      </c>
      <c r="Q463">
        <v>6422</v>
      </c>
      <c r="R463" t="s">
        <v>158</v>
      </c>
      <c r="S463" t="s">
        <v>159</v>
      </c>
      <c r="T463" t="s">
        <v>411</v>
      </c>
      <c r="U463" t="s">
        <v>412</v>
      </c>
      <c r="V463" t="s">
        <v>118</v>
      </c>
      <c r="W463" t="s">
        <v>114</v>
      </c>
      <c r="AA463">
        <v>2</v>
      </c>
      <c r="AB463" t="s">
        <v>100</v>
      </c>
      <c r="AC463" t="s">
        <v>242</v>
      </c>
      <c r="AD463" t="s">
        <v>234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234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453</v>
      </c>
      <c r="F464" t="s">
        <v>108</v>
      </c>
      <c r="G464" s="27">
        <v>43687</v>
      </c>
      <c r="H464" t="s">
        <v>109</v>
      </c>
      <c r="I464" t="s">
        <v>407</v>
      </c>
      <c r="J464" t="s">
        <v>408</v>
      </c>
      <c r="K464">
        <v>18</v>
      </c>
      <c r="L464" t="s">
        <v>155</v>
      </c>
      <c r="M464" t="s">
        <v>445</v>
      </c>
      <c r="N464" t="s">
        <v>410</v>
      </c>
      <c r="O464">
        <v>72.099999999999994</v>
      </c>
      <c r="P464">
        <v>136</v>
      </c>
      <c r="Q464">
        <v>6422</v>
      </c>
      <c r="R464" t="s">
        <v>158</v>
      </c>
      <c r="S464" t="s">
        <v>159</v>
      </c>
      <c r="T464" t="s">
        <v>411</v>
      </c>
      <c r="U464" t="s">
        <v>412</v>
      </c>
      <c r="V464" t="s">
        <v>181</v>
      </c>
      <c r="W464" t="s">
        <v>114</v>
      </c>
      <c r="AA464">
        <v>2</v>
      </c>
      <c r="AB464" t="s">
        <v>99</v>
      </c>
      <c r="AC464" t="s">
        <v>242</v>
      </c>
      <c r="AD464" t="s">
        <v>233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233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454</v>
      </c>
      <c r="F465" t="s">
        <v>108</v>
      </c>
      <c r="G465" s="27">
        <v>43687</v>
      </c>
      <c r="H465" t="s">
        <v>109</v>
      </c>
      <c r="I465" t="s">
        <v>407</v>
      </c>
      <c r="J465" t="s">
        <v>408</v>
      </c>
      <c r="K465">
        <v>18</v>
      </c>
      <c r="L465" t="s">
        <v>155</v>
      </c>
      <c r="M465" t="s">
        <v>445</v>
      </c>
      <c r="N465" t="s">
        <v>410</v>
      </c>
      <c r="O465">
        <v>72.099999999999994</v>
      </c>
      <c r="P465">
        <v>136</v>
      </c>
      <c r="Q465">
        <v>6422</v>
      </c>
      <c r="R465" t="s">
        <v>158</v>
      </c>
      <c r="S465" t="s">
        <v>159</v>
      </c>
      <c r="T465" t="s">
        <v>411</v>
      </c>
      <c r="U465" t="s">
        <v>412</v>
      </c>
      <c r="V465" t="s">
        <v>180</v>
      </c>
      <c r="W465" t="s">
        <v>114</v>
      </c>
      <c r="AA465">
        <v>2</v>
      </c>
      <c r="AB465" t="s">
        <v>100</v>
      </c>
      <c r="AC465" t="s">
        <v>260</v>
      </c>
      <c r="AD465" t="s">
        <v>174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174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444</v>
      </c>
      <c r="F466" t="s">
        <v>108</v>
      </c>
      <c r="G466" s="27">
        <v>43687</v>
      </c>
      <c r="H466" t="s">
        <v>109</v>
      </c>
      <c r="I466" t="s">
        <v>407</v>
      </c>
      <c r="J466" t="s">
        <v>408</v>
      </c>
      <c r="K466">
        <v>18</v>
      </c>
      <c r="L466" t="s">
        <v>155</v>
      </c>
      <c r="M466" t="s">
        <v>445</v>
      </c>
      <c r="N466" t="s">
        <v>410</v>
      </c>
      <c r="O466">
        <v>72.099999999999994</v>
      </c>
      <c r="P466">
        <v>136</v>
      </c>
      <c r="Q466">
        <v>6422</v>
      </c>
      <c r="R466" t="s">
        <v>158</v>
      </c>
      <c r="S466" t="s">
        <v>159</v>
      </c>
      <c r="T466" t="s">
        <v>413</v>
      </c>
      <c r="U466" t="s">
        <v>414</v>
      </c>
      <c r="V466" t="s">
        <v>135</v>
      </c>
      <c r="W466" t="s">
        <v>125</v>
      </c>
      <c r="AA466">
        <v>2</v>
      </c>
      <c r="AB466" t="s">
        <v>99</v>
      </c>
      <c r="AC466" t="s">
        <v>267</v>
      </c>
      <c r="AD466" t="s">
        <v>173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173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446</v>
      </c>
      <c r="F467" t="s">
        <v>108</v>
      </c>
      <c r="G467" s="27">
        <v>43687</v>
      </c>
      <c r="H467" t="s">
        <v>109</v>
      </c>
      <c r="I467" t="s">
        <v>407</v>
      </c>
      <c r="J467" t="s">
        <v>408</v>
      </c>
      <c r="K467">
        <v>18</v>
      </c>
      <c r="L467" t="s">
        <v>155</v>
      </c>
      <c r="M467" t="s">
        <v>445</v>
      </c>
      <c r="N467" t="s">
        <v>410</v>
      </c>
      <c r="O467">
        <v>72.099999999999994</v>
      </c>
      <c r="P467">
        <v>136</v>
      </c>
      <c r="Q467">
        <v>6422</v>
      </c>
      <c r="R467" t="s">
        <v>158</v>
      </c>
      <c r="S467" t="s">
        <v>159</v>
      </c>
      <c r="T467" t="s">
        <v>413</v>
      </c>
      <c r="U467" t="s">
        <v>414</v>
      </c>
      <c r="V467" t="s">
        <v>178</v>
      </c>
      <c r="W467" t="s">
        <v>125</v>
      </c>
      <c r="AA467">
        <v>2</v>
      </c>
      <c r="AB467" t="s">
        <v>99</v>
      </c>
      <c r="AC467" t="s">
        <v>267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447</v>
      </c>
      <c r="F468" t="s">
        <v>108</v>
      </c>
      <c r="G468" s="27">
        <v>43687</v>
      </c>
      <c r="H468" t="s">
        <v>109</v>
      </c>
      <c r="I468" t="s">
        <v>407</v>
      </c>
      <c r="J468" t="s">
        <v>408</v>
      </c>
      <c r="K468">
        <v>18</v>
      </c>
      <c r="L468" t="s">
        <v>155</v>
      </c>
      <c r="M468" t="s">
        <v>445</v>
      </c>
      <c r="N468" t="s">
        <v>410</v>
      </c>
      <c r="O468">
        <v>72.099999999999994</v>
      </c>
      <c r="P468">
        <v>136</v>
      </c>
      <c r="Q468">
        <v>6422</v>
      </c>
      <c r="R468" t="s">
        <v>158</v>
      </c>
      <c r="S468" t="s">
        <v>159</v>
      </c>
      <c r="T468" t="s">
        <v>413</v>
      </c>
      <c r="U468" t="s">
        <v>414</v>
      </c>
      <c r="V468" t="s">
        <v>122</v>
      </c>
      <c r="W468" t="s">
        <v>125</v>
      </c>
      <c r="AA468">
        <v>2</v>
      </c>
      <c r="AB468" t="s">
        <v>100</v>
      </c>
      <c r="AC468" t="s">
        <v>292</v>
      </c>
      <c r="AD468" t="s">
        <v>230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230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448</v>
      </c>
      <c r="F469" t="s">
        <v>108</v>
      </c>
      <c r="G469" s="27">
        <v>43687</v>
      </c>
      <c r="H469" t="s">
        <v>109</v>
      </c>
      <c r="I469" t="s">
        <v>407</v>
      </c>
      <c r="J469" t="s">
        <v>408</v>
      </c>
      <c r="K469">
        <v>18</v>
      </c>
      <c r="L469" t="s">
        <v>155</v>
      </c>
      <c r="M469" t="s">
        <v>445</v>
      </c>
      <c r="N469" t="s">
        <v>410</v>
      </c>
      <c r="O469">
        <v>72.099999999999994</v>
      </c>
      <c r="P469">
        <v>136</v>
      </c>
      <c r="Q469">
        <v>6422</v>
      </c>
      <c r="R469" t="s">
        <v>158</v>
      </c>
      <c r="S469" t="s">
        <v>159</v>
      </c>
      <c r="T469" t="s">
        <v>413</v>
      </c>
      <c r="U469" t="s">
        <v>414</v>
      </c>
      <c r="V469" t="s">
        <v>276</v>
      </c>
      <c r="W469" t="s">
        <v>125</v>
      </c>
      <c r="AA469">
        <v>2</v>
      </c>
      <c r="AB469" t="s">
        <v>100</v>
      </c>
      <c r="AC469" t="s">
        <v>267</v>
      </c>
      <c r="AD469" t="s">
        <v>229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229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449</v>
      </c>
      <c r="F470" t="s">
        <v>108</v>
      </c>
      <c r="G470" s="27">
        <v>43687</v>
      </c>
      <c r="H470" t="s">
        <v>109</v>
      </c>
      <c r="I470" t="s">
        <v>407</v>
      </c>
      <c r="J470" t="s">
        <v>408</v>
      </c>
      <c r="K470">
        <v>18</v>
      </c>
      <c r="L470" t="s">
        <v>155</v>
      </c>
      <c r="M470" t="s">
        <v>445</v>
      </c>
      <c r="N470" t="s">
        <v>410</v>
      </c>
      <c r="O470">
        <v>72.099999999999994</v>
      </c>
      <c r="P470">
        <v>136</v>
      </c>
      <c r="Q470">
        <v>6422</v>
      </c>
      <c r="R470" t="s">
        <v>158</v>
      </c>
      <c r="S470" t="s">
        <v>159</v>
      </c>
      <c r="T470" t="s">
        <v>413</v>
      </c>
      <c r="U470" t="s">
        <v>414</v>
      </c>
      <c r="V470" t="s">
        <v>133</v>
      </c>
      <c r="W470" t="s">
        <v>125</v>
      </c>
      <c r="AA470">
        <v>2</v>
      </c>
      <c r="AB470" t="s">
        <v>100</v>
      </c>
      <c r="AC470" t="s">
        <v>242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450</v>
      </c>
      <c r="F471" t="s">
        <v>108</v>
      </c>
      <c r="G471" s="27">
        <v>43687</v>
      </c>
      <c r="H471" t="s">
        <v>109</v>
      </c>
      <c r="I471" t="s">
        <v>407</v>
      </c>
      <c r="J471" t="s">
        <v>408</v>
      </c>
      <c r="K471">
        <v>18</v>
      </c>
      <c r="L471" t="s">
        <v>155</v>
      </c>
      <c r="M471" t="s">
        <v>445</v>
      </c>
      <c r="N471" t="s">
        <v>410</v>
      </c>
      <c r="O471">
        <v>72.099999999999994</v>
      </c>
      <c r="P471">
        <v>136</v>
      </c>
      <c r="Q471">
        <v>6422</v>
      </c>
      <c r="R471" t="s">
        <v>158</v>
      </c>
      <c r="S471" t="s">
        <v>159</v>
      </c>
      <c r="T471" t="s">
        <v>413</v>
      </c>
      <c r="U471" t="s">
        <v>414</v>
      </c>
      <c r="V471" t="s">
        <v>130</v>
      </c>
      <c r="W471" t="s">
        <v>125</v>
      </c>
      <c r="AA471">
        <v>2</v>
      </c>
      <c r="AB471" t="s">
        <v>99</v>
      </c>
      <c r="AC471" t="s">
        <v>267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451</v>
      </c>
      <c r="F472" t="s">
        <v>108</v>
      </c>
      <c r="G472" s="27">
        <v>43687</v>
      </c>
      <c r="H472" t="s">
        <v>109</v>
      </c>
      <c r="I472" t="s">
        <v>407</v>
      </c>
      <c r="J472" t="s">
        <v>408</v>
      </c>
      <c r="K472">
        <v>18</v>
      </c>
      <c r="L472" t="s">
        <v>155</v>
      </c>
      <c r="M472" t="s">
        <v>445</v>
      </c>
      <c r="N472" t="s">
        <v>410</v>
      </c>
      <c r="O472">
        <v>72.099999999999994</v>
      </c>
      <c r="P472">
        <v>136</v>
      </c>
      <c r="Q472">
        <v>6422</v>
      </c>
      <c r="R472" t="s">
        <v>158</v>
      </c>
      <c r="S472" t="s">
        <v>159</v>
      </c>
      <c r="T472" t="s">
        <v>413</v>
      </c>
      <c r="U472" t="s">
        <v>414</v>
      </c>
      <c r="V472" t="s">
        <v>136</v>
      </c>
      <c r="W472" t="s">
        <v>125</v>
      </c>
      <c r="AA472">
        <v>2</v>
      </c>
      <c r="AB472" t="s">
        <v>99</v>
      </c>
      <c r="AC472" t="s">
        <v>317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452</v>
      </c>
      <c r="F473" t="s">
        <v>108</v>
      </c>
      <c r="G473" s="27">
        <v>43687</v>
      </c>
      <c r="H473" t="s">
        <v>109</v>
      </c>
      <c r="I473" t="s">
        <v>407</v>
      </c>
      <c r="J473" t="s">
        <v>408</v>
      </c>
      <c r="K473">
        <v>18</v>
      </c>
      <c r="L473" t="s">
        <v>155</v>
      </c>
      <c r="M473" t="s">
        <v>445</v>
      </c>
      <c r="N473" t="s">
        <v>410</v>
      </c>
      <c r="O473">
        <v>72.099999999999994</v>
      </c>
      <c r="P473">
        <v>136</v>
      </c>
      <c r="Q473">
        <v>6422</v>
      </c>
      <c r="R473" t="s">
        <v>158</v>
      </c>
      <c r="S473" t="s">
        <v>159</v>
      </c>
      <c r="T473" t="s">
        <v>413</v>
      </c>
      <c r="U473" t="s">
        <v>414</v>
      </c>
      <c r="V473" t="s">
        <v>234</v>
      </c>
      <c r="W473" t="s">
        <v>125</v>
      </c>
      <c r="AA473">
        <v>2</v>
      </c>
      <c r="AB473" t="s">
        <v>99</v>
      </c>
      <c r="AC473" t="s">
        <v>242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453</v>
      </c>
      <c r="F474" t="s">
        <v>108</v>
      </c>
      <c r="G474" s="27">
        <v>43687</v>
      </c>
      <c r="H474" t="s">
        <v>109</v>
      </c>
      <c r="I474" t="s">
        <v>407</v>
      </c>
      <c r="J474" t="s">
        <v>408</v>
      </c>
      <c r="K474">
        <v>18</v>
      </c>
      <c r="L474" t="s">
        <v>155</v>
      </c>
      <c r="M474" t="s">
        <v>445</v>
      </c>
      <c r="N474" t="s">
        <v>410</v>
      </c>
      <c r="O474">
        <v>72.099999999999994</v>
      </c>
      <c r="P474">
        <v>136</v>
      </c>
      <c r="Q474">
        <v>6422</v>
      </c>
      <c r="R474" t="s">
        <v>158</v>
      </c>
      <c r="S474" t="s">
        <v>159</v>
      </c>
      <c r="T474" t="s">
        <v>413</v>
      </c>
      <c r="U474" t="s">
        <v>414</v>
      </c>
      <c r="V474" t="s">
        <v>233</v>
      </c>
      <c r="W474" t="s">
        <v>125</v>
      </c>
      <c r="AA474">
        <v>2</v>
      </c>
      <c r="AB474" t="s">
        <v>100</v>
      </c>
      <c r="AC474" t="s">
        <v>242</v>
      </c>
      <c r="AD474" t="s">
        <v>181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181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454</v>
      </c>
      <c r="F475" t="s">
        <v>108</v>
      </c>
      <c r="G475" s="27">
        <v>43687</v>
      </c>
      <c r="H475" t="s">
        <v>109</v>
      </c>
      <c r="I475" t="s">
        <v>407</v>
      </c>
      <c r="J475" t="s">
        <v>408</v>
      </c>
      <c r="K475">
        <v>18</v>
      </c>
      <c r="L475" t="s">
        <v>155</v>
      </c>
      <c r="M475" t="s">
        <v>445</v>
      </c>
      <c r="N475" t="s">
        <v>410</v>
      </c>
      <c r="O475">
        <v>72.099999999999994</v>
      </c>
      <c r="P475">
        <v>136</v>
      </c>
      <c r="Q475">
        <v>6422</v>
      </c>
      <c r="R475" t="s">
        <v>158</v>
      </c>
      <c r="S475" t="s">
        <v>159</v>
      </c>
      <c r="T475" t="s">
        <v>413</v>
      </c>
      <c r="U475" t="s">
        <v>414</v>
      </c>
      <c r="V475" t="s">
        <v>174</v>
      </c>
      <c r="W475" t="s">
        <v>125</v>
      </c>
      <c r="AA475">
        <v>2</v>
      </c>
      <c r="AB475" t="s">
        <v>99</v>
      </c>
      <c r="AC475" t="s">
        <v>260</v>
      </c>
      <c r="AD475" t="s">
        <v>180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180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455</v>
      </c>
      <c r="F476" t="s">
        <v>272</v>
      </c>
      <c r="G476" s="27">
        <v>44414</v>
      </c>
      <c r="H476" t="s">
        <v>109</v>
      </c>
      <c r="I476" t="s">
        <v>456</v>
      </c>
      <c r="J476" t="s">
        <v>274</v>
      </c>
      <c r="K476">
        <v>9</v>
      </c>
      <c r="L476" t="s">
        <v>112</v>
      </c>
      <c r="M476" t="s">
        <v>457</v>
      </c>
      <c r="N476" t="s">
        <v>458</v>
      </c>
      <c r="O476">
        <v>71.400000000000006</v>
      </c>
      <c r="P476">
        <v>130</v>
      </c>
      <c r="Q476">
        <v>6535</v>
      </c>
      <c r="R476" t="s">
        <v>159</v>
      </c>
      <c r="S476" t="s">
        <v>159</v>
      </c>
      <c r="T476" t="s">
        <v>124</v>
      </c>
      <c r="U476" t="s">
        <v>132</v>
      </c>
      <c r="V476" t="s">
        <v>234</v>
      </c>
      <c r="W476" t="s">
        <v>175</v>
      </c>
      <c r="AA476">
        <v>1</v>
      </c>
      <c r="AB476" t="s">
        <v>101</v>
      </c>
      <c r="AC476" t="s">
        <v>140</v>
      </c>
      <c r="AD476" t="s">
        <v>459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459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455</v>
      </c>
      <c r="F477" t="s">
        <v>272</v>
      </c>
      <c r="G477" s="27">
        <v>44414</v>
      </c>
      <c r="H477" t="s">
        <v>109</v>
      </c>
      <c r="I477" t="s">
        <v>456</v>
      </c>
      <c r="J477" t="s">
        <v>274</v>
      </c>
      <c r="K477">
        <v>9</v>
      </c>
      <c r="L477" t="s">
        <v>112</v>
      </c>
      <c r="M477" t="s">
        <v>457</v>
      </c>
      <c r="N477" t="s">
        <v>458</v>
      </c>
      <c r="O477">
        <v>71.400000000000006</v>
      </c>
      <c r="P477">
        <v>130</v>
      </c>
      <c r="Q477">
        <v>6535</v>
      </c>
      <c r="R477" t="s">
        <v>159</v>
      </c>
      <c r="S477" t="s">
        <v>159</v>
      </c>
      <c r="T477" t="s">
        <v>124</v>
      </c>
      <c r="U477" t="s">
        <v>276</v>
      </c>
      <c r="V477" t="s">
        <v>459</v>
      </c>
      <c r="W477" t="s">
        <v>460</v>
      </c>
      <c r="AA477">
        <v>1</v>
      </c>
      <c r="AB477" t="s">
        <v>101</v>
      </c>
      <c r="AC477" t="s">
        <v>140</v>
      </c>
      <c r="AD477" t="s">
        <v>234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234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461</v>
      </c>
      <c r="F478" t="s">
        <v>272</v>
      </c>
      <c r="G478" s="27">
        <v>44414</v>
      </c>
      <c r="H478" t="s">
        <v>109</v>
      </c>
      <c r="I478" t="s">
        <v>456</v>
      </c>
      <c r="J478" t="s">
        <v>274</v>
      </c>
      <c r="K478">
        <v>9</v>
      </c>
      <c r="L478" t="s">
        <v>112</v>
      </c>
      <c r="M478" t="s">
        <v>457</v>
      </c>
      <c r="N478" t="s">
        <v>458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175</v>
      </c>
      <c r="Y478" t="s">
        <v>178</v>
      </c>
      <c r="AA478">
        <v>1</v>
      </c>
      <c r="AB478" t="s">
        <v>100</v>
      </c>
      <c r="AC478" t="s">
        <v>262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462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461</v>
      </c>
      <c r="F479" t="s">
        <v>272</v>
      </c>
      <c r="G479" s="27">
        <v>44414</v>
      </c>
      <c r="H479" t="s">
        <v>109</v>
      </c>
      <c r="I479" t="s">
        <v>456</v>
      </c>
      <c r="J479" t="s">
        <v>274</v>
      </c>
      <c r="K479">
        <v>9</v>
      </c>
      <c r="L479" t="s">
        <v>112</v>
      </c>
      <c r="M479" t="s">
        <v>457</v>
      </c>
      <c r="N479" t="s">
        <v>458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276</v>
      </c>
      <c r="V479" t="s">
        <v>462</v>
      </c>
      <c r="W479" t="s">
        <v>460</v>
      </c>
      <c r="Y479" t="s">
        <v>127</v>
      </c>
      <c r="AA479">
        <v>1</v>
      </c>
      <c r="AB479" t="s">
        <v>99</v>
      </c>
      <c r="AC479" t="s">
        <v>262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178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463</v>
      </c>
      <c r="F480" t="s">
        <v>272</v>
      </c>
      <c r="G480" s="27">
        <v>44414</v>
      </c>
      <c r="H480" t="s">
        <v>109</v>
      </c>
      <c r="I480" t="s">
        <v>456</v>
      </c>
      <c r="J480" t="s">
        <v>274</v>
      </c>
      <c r="K480">
        <v>9</v>
      </c>
      <c r="L480" t="s">
        <v>112</v>
      </c>
      <c r="M480" t="s">
        <v>457</v>
      </c>
      <c r="N480" t="s">
        <v>458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276</v>
      </c>
      <c r="V480" t="s">
        <v>326</v>
      </c>
      <c r="W480" t="s">
        <v>460</v>
      </c>
      <c r="Y480" t="s">
        <v>464</v>
      </c>
      <c r="AA480">
        <v>1</v>
      </c>
      <c r="AB480" t="s">
        <v>99</v>
      </c>
      <c r="AC480" t="s">
        <v>431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465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463</v>
      </c>
      <c r="F481" t="s">
        <v>272</v>
      </c>
      <c r="G481" s="27">
        <v>44414</v>
      </c>
      <c r="H481" t="s">
        <v>109</v>
      </c>
      <c r="I481" t="s">
        <v>456</v>
      </c>
      <c r="J481" t="s">
        <v>274</v>
      </c>
      <c r="K481">
        <v>9</v>
      </c>
      <c r="L481" t="s">
        <v>112</v>
      </c>
      <c r="M481" t="s">
        <v>457</v>
      </c>
      <c r="N481" t="s">
        <v>458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175</v>
      </c>
      <c r="Y481" t="s">
        <v>465</v>
      </c>
      <c r="AA481">
        <v>1</v>
      </c>
      <c r="AB481" t="s">
        <v>100</v>
      </c>
      <c r="AC481" t="s">
        <v>431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326</v>
      </c>
      <c r="AL481">
        <v>0.46551724137931</v>
      </c>
      <c r="AM481" t="s">
        <v>464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466</v>
      </c>
      <c r="F482" t="s">
        <v>272</v>
      </c>
      <c r="G482" s="27">
        <v>44414</v>
      </c>
      <c r="H482" t="s">
        <v>109</v>
      </c>
      <c r="I482" t="s">
        <v>456</v>
      </c>
      <c r="J482" t="s">
        <v>274</v>
      </c>
      <c r="K482">
        <v>9</v>
      </c>
      <c r="L482" t="s">
        <v>112</v>
      </c>
      <c r="M482" t="s">
        <v>457</v>
      </c>
      <c r="N482" t="s">
        <v>458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181</v>
      </c>
      <c r="W482" t="s">
        <v>175</v>
      </c>
      <c r="Y482" t="s">
        <v>174</v>
      </c>
      <c r="AA482">
        <v>1</v>
      </c>
      <c r="AB482" t="s">
        <v>100</v>
      </c>
      <c r="AC482" t="s">
        <v>292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276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466</v>
      </c>
      <c r="F483" t="s">
        <v>272</v>
      </c>
      <c r="G483" s="27">
        <v>44414</v>
      </c>
      <c r="H483" t="s">
        <v>109</v>
      </c>
      <c r="I483" t="s">
        <v>456</v>
      </c>
      <c r="J483" t="s">
        <v>274</v>
      </c>
      <c r="K483">
        <v>9</v>
      </c>
      <c r="L483" t="s">
        <v>112</v>
      </c>
      <c r="M483" t="s">
        <v>457</v>
      </c>
      <c r="N483" t="s">
        <v>458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276</v>
      </c>
      <c r="V483" t="s">
        <v>122</v>
      </c>
      <c r="W483" t="s">
        <v>460</v>
      </c>
      <c r="Y483" t="s">
        <v>276</v>
      </c>
      <c r="AA483">
        <v>1</v>
      </c>
      <c r="AB483" t="s">
        <v>99</v>
      </c>
      <c r="AC483" t="s">
        <v>292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181</v>
      </c>
      <c r="AL483">
        <v>0.44067796610169502</v>
      </c>
      <c r="AM483" t="s">
        <v>174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467</v>
      </c>
      <c r="F484" t="s">
        <v>272</v>
      </c>
      <c r="G484" s="27">
        <v>44414</v>
      </c>
      <c r="H484" t="s">
        <v>109</v>
      </c>
      <c r="I484" t="s">
        <v>456</v>
      </c>
      <c r="J484" t="s">
        <v>274</v>
      </c>
      <c r="K484">
        <v>9</v>
      </c>
      <c r="L484" t="s">
        <v>112</v>
      </c>
      <c r="M484" t="s">
        <v>457</v>
      </c>
      <c r="N484" t="s">
        <v>458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276</v>
      </c>
      <c r="V484" t="s">
        <v>119</v>
      </c>
      <c r="W484" t="s">
        <v>460</v>
      </c>
      <c r="Y484" t="s">
        <v>230</v>
      </c>
      <c r="AA484">
        <v>1</v>
      </c>
      <c r="AB484" t="s">
        <v>99</v>
      </c>
      <c r="AC484" t="s">
        <v>431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468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467</v>
      </c>
      <c r="F485" t="s">
        <v>272</v>
      </c>
      <c r="G485" s="27">
        <v>44414</v>
      </c>
      <c r="H485" t="s">
        <v>109</v>
      </c>
      <c r="I485" t="s">
        <v>456</v>
      </c>
      <c r="J485" t="s">
        <v>274</v>
      </c>
      <c r="K485">
        <v>9</v>
      </c>
      <c r="L485" t="s">
        <v>112</v>
      </c>
      <c r="M485" t="s">
        <v>457</v>
      </c>
      <c r="N485" t="s">
        <v>458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175</v>
      </c>
      <c r="Y485" t="s">
        <v>468</v>
      </c>
      <c r="AA485">
        <v>1</v>
      </c>
      <c r="AB485" t="s">
        <v>100</v>
      </c>
      <c r="AC485" t="s">
        <v>431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230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469</v>
      </c>
      <c r="F486" t="s">
        <v>272</v>
      </c>
      <c r="G486" s="27">
        <v>44414</v>
      </c>
      <c r="H486" t="s">
        <v>109</v>
      </c>
      <c r="I486" t="s">
        <v>456</v>
      </c>
      <c r="J486" t="s">
        <v>274</v>
      </c>
      <c r="K486">
        <v>9</v>
      </c>
      <c r="L486" t="s">
        <v>112</v>
      </c>
      <c r="M486" t="s">
        <v>457</v>
      </c>
      <c r="N486" t="s">
        <v>458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175</v>
      </c>
      <c r="Y486" t="s">
        <v>136</v>
      </c>
      <c r="AA486">
        <v>1</v>
      </c>
      <c r="AB486" t="s">
        <v>100</v>
      </c>
      <c r="AC486" t="s">
        <v>242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135</v>
      </c>
      <c r="AL486">
        <v>0.59375</v>
      </c>
      <c r="AM486" t="s">
        <v>180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469</v>
      </c>
      <c r="F487" t="s">
        <v>272</v>
      </c>
      <c r="G487" s="27">
        <v>44414</v>
      </c>
      <c r="H487" t="s">
        <v>109</v>
      </c>
      <c r="I487" t="s">
        <v>456</v>
      </c>
      <c r="J487" t="s">
        <v>274</v>
      </c>
      <c r="K487">
        <v>9</v>
      </c>
      <c r="L487" t="s">
        <v>112</v>
      </c>
      <c r="M487" t="s">
        <v>457</v>
      </c>
      <c r="N487" t="s">
        <v>458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276</v>
      </c>
      <c r="V487" t="s">
        <v>135</v>
      </c>
      <c r="W487" t="s">
        <v>460</v>
      </c>
      <c r="Y487" t="s">
        <v>180</v>
      </c>
      <c r="AA487">
        <v>1</v>
      </c>
      <c r="AB487" t="s">
        <v>99</v>
      </c>
      <c r="AC487" t="s">
        <v>242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136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470</v>
      </c>
      <c r="F488" t="s">
        <v>272</v>
      </c>
      <c r="G488" s="27">
        <v>44414</v>
      </c>
      <c r="H488" t="s">
        <v>109</v>
      </c>
      <c r="I488" t="s">
        <v>456</v>
      </c>
      <c r="J488" t="s">
        <v>274</v>
      </c>
      <c r="K488">
        <v>9</v>
      </c>
      <c r="L488" t="s">
        <v>138</v>
      </c>
      <c r="M488" t="s">
        <v>457</v>
      </c>
      <c r="N488" t="s">
        <v>458</v>
      </c>
      <c r="O488">
        <v>71.400000000000006</v>
      </c>
      <c r="P488">
        <v>130</v>
      </c>
      <c r="Q488">
        <v>6535</v>
      </c>
      <c r="R488" t="s">
        <v>159</v>
      </c>
      <c r="S488" t="s">
        <v>159</v>
      </c>
      <c r="T488" t="s">
        <v>124</v>
      </c>
      <c r="U488" t="s">
        <v>132</v>
      </c>
      <c r="V488" t="s">
        <v>234</v>
      </c>
      <c r="W488" t="s">
        <v>175</v>
      </c>
      <c r="AA488">
        <v>1</v>
      </c>
      <c r="AB488" t="s">
        <v>99</v>
      </c>
      <c r="AC488" t="s">
        <v>431</v>
      </c>
      <c r="AD488" t="s">
        <v>459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459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470</v>
      </c>
      <c r="F489" t="s">
        <v>272</v>
      </c>
      <c r="G489" s="27">
        <v>44414</v>
      </c>
      <c r="H489" t="s">
        <v>109</v>
      </c>
      <c r="I489" t="s">
        <v>456</v>
      </c>
      <c r="J489" t="s">
        <v>274</v>
      </c>
      <c r="K489">
        <v>9</v>
      </c>
      <c r="L489" t="s">
        <v>138</v>
      </c>
      <c r="M489" t="s">
        <v>457</v>
      </c>
      <c r="N489" t="s">
        <v>458</v>
      </c>
      <c r="O489">
        <v>71.400000000000006</v>
      </c>
      <c r="P489">
        <v>130</v>
      </c>
      <c r="Q489">
        <v>6535</v>
      </c>
      <c r="R489" t="s">
        <v>159</v>
      </c>
      <c r="S489" t="s">
        <v>159</v>
      </c>
      <c r="T489" t="s">
        <v>124</v>
      </c>
      <c r="U489" t="s">
        <v>276</v>
      </c>
      <c r="V489" t="s">
        <v>459</v>
      </c>
      <c r="W489" t="s">
        <v>460</v>
      </c>
      <c r="AA489">
        <v>1</v>
      </c>
      <c r="AB489" t="s">
        <v>100</v>
      </c>
      <c r="AC489" t="s">
        <v>431</v>
      </c>
      <c r="AD489" t="s">
        <v>234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234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471</v>
      </c>
      <c r="F490" t="s">
        <v>272</v>
      </c>
      <c r="G490" s="27">
        <v>44414</v>
      </c>
      <c r="H490" t="s">
        <v>109</v>
      </c>
      <c r="I490" t="s">
        <v>456</v>
      </c>
      <c r="J490" t="s">
        <v>274</v>
      </c>
      <c r="K490">
        <v>9</v>
      </c>
      <c r="L490" t="s">
        <v>138</v>
      </c>
      <c r="M490" t="s">
        <v>457</v>
      </c>
      <c r="N490" t="s">
        <v>458</v>
      </c>
      <c r="O490">
        <v>71.400000000000006</v>
      </c>
      <c r="P490">
        <v>130</v>
      </c>
      <c r="Q490">
        <v>6535</v>
      </c>
      <c r="R490" t="s">
        <v>373</v>
      </c>
      <c r="S490" t="s">
        <v>116</v>
      </c>
      <c r="T490" t="s">
        <v>124</v>
      </c>
      <c r="U490" t="s">
        <v>132</v>
      </c>
      <c r="V490" t="s">
        <v>132</v>
      </c>
      <c r="W490" t="s">
        <v>175</v>
      </c>
      <c r="Y490" t="s">
        <v>178</v>
      </c>
      <c r="AA490">
        <v>1</v>
      </c>
      <c r="AB490" t="s">
        <v>100</v>
      </c>
      <c r="AC490" t="s">
        <v>260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462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471</v>
      </c>
      <c r="F491" t="s">
        <v>272</v>
      </c>
      <c r="G491" s="27">
        <v>44414</v>
      </c>
      <c r="H491" t="s">
        <v>109</v>
      </c>
      <c r="I491" t="s">
        <v>456</v>
      </c>
      <c r="J491" t="s">
        <v>274</v>
      </c>
      <c r="K491">
        <v>9</v>
      </c>
      <c r="L491" t="s">
        <v>138</v>
      </c>
      <c r="M491" t="s">
        <v>457</v>
      </c>
      <c r="N491" t="s">
        <v>458</v>
      </c>
      <c r="O491">
        <v>71.400000000000006</v>
      </c>
      <c r="P491">
        <v>130</v>
      </c>
      <c r="Q491">
        <v>6535</v>
      </c>
      <c r="R491" t="s">
        <v>373</v>
      </c>
      <c r="S491" t="s">
        <v>116</v>
      </c>
      <c r="T491" t="s">
        <v>124</v>
      </c>
      <c r="U491" t="s">
        <v>276</v>
      </c>
      <c r="V491" t="s">
        <v>462</v>
      </c>
      <c r="W491" t="s">
        <v>460</v>
      </c>
      <c r="Y491" t="s">
        <v>127</v>
      </c>
      <c r="AA491">
        <v>1</v>
      </c>
      <c r="AB491" t="s">
        <v>99</v>
      </c>
      <c r="AC491" t="s">
        <v>260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178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472</v>
      </c>
      <c r="F492" t="s">
        <v>272</v>
      </c>
      <c r="G492" s="27">
        <v>44414</v>
      </c>
      <c r="H492" t="s">
        <v>109</v>
      </c>
      <c r="I492" t="s">
        <v>456</v>
      </c>
      <c r="J492" t="s">
        <v>274</v>
      </c>
      <c r="K492">
        <v>9</v>
      </c>
      <c r="L492" t="s">
        <v>138</v>
      </c>
      <c r="M492" t="s">
        <v>457</v>
      </c>
      <c r="N492" t="s">
        <v>458</v>
      </c>
      <c r="O492">
        <v>71.400000000000006</v>
      </c>
      <c r="P492">
        <v>130</v>
      </c>
      <c r="Q492">
        <v>6535</v>
      </c>
      <c r="R492" t="s">
        <v>373</v>
      </c>
      <c r="S492" t="s">
        <v>116</v>
      </c>
      <c r="T492" t="s">
        <v>124</v>
      </c>
      <c r="U492" t="s">
        <v>276</v>
      </c>
      <c r="V492" t="s">
        <v>326</v>
      </c>
      <c r="W492" t="s">
        <v>460</v>
      </c>
      <c r="Y492" t="s">
        <v>464</v>
      </c>
      <c r="AA492">
        <v>1</v>
      </c>
      <c r="AB492" t="s">
        <v>99</v>
      </c>
      <c r="AC492" t="s">
        <v>228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465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472</v>
      </c>
      <c r="F493" t="s">
        <v>272</v>
      </c>
      <c r="G493" s="27">
        <v>44414</v>
      </c>
      <c r="H493" t="s">
        <v>109</v>
      </c>
      <c r="I493" t="s">
        <v>456</v>
      </c>
      <c r="J493" t="s">
        <v>274</v>
      </c>
      <c r="K493">
        <v>9</v>
      </c>
      <c r="L493" t="s">
        <v>138</v>
      </c>
      <c r="M493" t="s">
        <v>457</v>
      </c>
      <c r="N493" t="s">
        <v>458</v>
      </c>
      <c r="O493">
        <v>71.400000000000006</v>
      </c>
      <c r="P493">
        <v>130</v>
      </c>
      <c r="Q493">
        <v>6535</v>
      </c>
      <c r="R493" t="s">
        <v>373</v>
      </c>
      <c r="S493" t="s">
        <v>116</v>
      </c>
      <c r="T493" t="s">
        <v>124</v>
      </c>
      <c r="U493" t="s">
        <v>132</v>
      </c>
      <c r="V493" t="s">
        <v>133</v>
      </c>
      <c r="W493" t="s">
        <v>175</v>
      </c>
      <c r="Y493" t="s">
        <v>465</v>
      </c>
      <c r="AA493">
        <v>1</v>
      </c>
      <c r="AB493" t="s">
        <v>100</v>
      </c>
      <c r="AC493" t="s">
        <v>228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326</v>
      </c>
      <c r="AL493">
        <v>0.46551724137931</v>
      </c>
      <c r="AM493" t="s">
        <v>464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473</v>
      </c>
      <c r="F494" t="s">
        <v>272</v>
      </c>
      <c r="G494" s="27">
        <v>44414</v>
      </c>
      <c r="H494" t="s">
        <v>109</v>
      </c>
      <c r="I494" t="s">
        <v>456</v>
      </c>
      <c r="J494" t="s">
        <v>274</v>
      </c>
      <c r="K494">
        <v>9</v>
      </c>
      <c r="L494" t="s">
        <v>138</v>
      </c>
      <c r="M494" t="s">
        <v>457</v>
      </c>
      <c r="N494" t="s">
        <v>458</v>
      </c>
      <c r="O494">
        <v>71.400000000000006</v>
      </c>
      <c r="P494">
        <v>130</v>
      </c>
      <c r="Q494">
        <v>6535</v>
      </c>
      <c r="R494" t="s">
        <v>373</v>
      </c>
      <c r="S494" t="s">
        <v>116</v>
      </c>
      <c r="T494" t="s">
        <v>124</v>
      </c>
      <c r="U494" t="s">
        <v>132</v>
      </c>
      <c r="V494" t="s">
        <v>181</v>
      </c>
      <c r="W494" t="s">
        <v>175</v>
      </c>
      <c r="Y494" t="s">
        <v>174</v>
      </c>
      <c r="AA494">
        <v>1</v>
      </c>
      <c r="AB494" t="s">
        <v>100</v>
      </c>
      <c r="AC494" t="s">
        <v>260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276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473</v>
      </c>
      <c r="F495" t="s">
        <v>272</v>
      </c>
      <c r="G495" s="27">
        <v>44414</v>
      </c>
      <c r="H495" t="s">
        <v>109</v>
      </c>
      <c r="I495" t="s">
        <v>456</v>
      </c>
      <c r="J495" t="s">
        <v>274</v>
      </c>
      <c r="K495">
        <v>9</v>
      </c>
      <c r="L495" t="s">
        <v>138</v>
      </c>
      <c r="M495" t="s">
        <v>457</v>
      </c>
      <c r="N495" t="s">
        <v>458</v>
      </c>
      <c r="O495">
        <v>71.400000000000006</v>
      </c>
      <c r="P495">
        <v>130</v>
      </c>
      <c r="Q495">
        <v>6535</v>
      </c>
      <c r="R495" t="s">
        <v>373</v>
      </c>
      <c r="S495" t="s">
        <v>116</v>
      </c>
      <c r="T495" t="s">
        <v>124</v>
      </c>
      <c r="U495" t="s">
        <v>276</v>
      </c>
      <c r="V495" t="s">
        <v>122</v>
      </c>
      <c r="W495" t="s">
        <v>460</v>
      </c>
      <c r="Y495" t="s">
        <v>276</v>
      </c>
      <c r="AA495">
        <v>1</v>
      </c>
      <c r="AB495" t="s">
        <v>99</v>
      </c>
      <c r="AC495" t="s">
        <v>260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181</v>
      </c>
      <c r="AL495">
        <v>0.44067796610169502</v>
      </c>
      <c r="AM495" t="s">
        <v>174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474</v>
      </c>
      <c r="F496" t="s">
        <v>272</v>
      </c>
      <c r="G496" s="27">
        <v>44414</v>
      </c>
      <c r="H496" t="s">
        <v>109</v>
      </c>
      <c r="I496" t="s">
        <v>456</v>
      </c>
      <c r="J496" t="s">
        <v>274</v>
      </c>
      <c r="K496">
        <v>9</v>
      </c>
      <c r="L496" t="s">
        <v>138</v>
      </c>
      <c r="M496" t="s">
        <v>457</v>
      </c>
      <c r="N496" t="s">
        <v>458</v>
      </c>
      <c r="O496">
        <v>71.400000000000006</v>
      </c>
      <c r="P496">
        <v>130</v>
      </c>
      <c r="Q496">
        <v>6535</v>
      </c>
      <c r="R496" t="s">
        <v>373</v>
      </c>
      <c r="S496" t="s">
        <v>116</v>
      </c>
      <c r="T496" t="s">
        <v>124</v>
      </c>
      <c r="U496" t="s">
        <v>276</v>
      </c>
      <c r="V496" t="s">
        <v>119</v>
      </c>
      <c r="W496" t="s">
        <v>460</v>
      </c>
      <c r="Y496" t="s">
        <v>230</v>
      </c>
      <c r="AA496">
        <v>1</v>
      </c>
      <c r="AB496" t="s">
        <v>100</v>
      </c>
      <c r="AC496" t="s">
        <v>228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468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474</v>
      </c>
      <c r="F497" t="s">
        <v>272</v>
      </c>
      <c r="G497" s="27">
        <v>44414</v>
      </c>
      <c r="H497" t="s">
        <v>109</v>
      </c>
      <c r="I497" t="s">
        <v>456</v>
      </c>
      <c r="J497" t="s">
        <v>274</v>
      </c>
      <c r="K497">
        <v>9</v>
      </c>
      <c r="L497" t="s">
        <v>138</v>
      </c>
      <c r="M497" t="s">
        <v>457</v>
      </c>
      <c r="N497" t="s">
        <v>458</v>
      </c>
      <c r="O497">
        <v>71.400000000000006</v>
      </c>
      <c r="P497">
        <v>130</v>
      </c>
      <c r="Q497">
        <v>6535</v>
      </c>
      <c r="R497" t="s">
        <v>373</v>
      </c>
      <c r="S497" t="s">
        <v>116</v>
      </c>
      <c r="T497" t="s">
        <v>124</v>
      </c>
      <c r="U497" t="s">
        <v>132</v>
      </c>
      <c r="V497" t="s">
        <v>123</v>
      </c>
      <c r="W497" t="s">
        <v>175</v>
      </c>
      <c r="Y497" t="s">
        <v>468</v>
      </c>
      <c r="AA497">
        <v>1</v>
      </c>
      <c r="AB497" t="s">
        <v>99</v>
      </c>
      <c r="AC497" t="s">
        <v>228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230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475</v>
      </c>
      <c r="F498" t="s">
        <v>272</v>
      </c>
      <c r="G498" s="27">
        <v>44414</v>
      </c>
      <c r="H498" t="s">
        <v>109</v>
      </c>
      <c r="I498" t="s">
        <v>456</v>
      </c>
      <c r="J498" t="s">
        <v>274</v>
      </c>
      <c r="K498">
        <v>9</v>
      </c>
      <c r="L498" t="s">
        <v>138</v>
      </c>
      <c r="M498" t="s">
        <v>457</v>
      </c>
      <c r="N498" t="s">
        <v>458</v>
      </c>
      <c r="O498">
        <v>71.400000000000006</v>
      </c>
      <c r="P498">
        <v>130</v>
      </c>
      <c r="Q498">
        <v>6535</v>
      </c>
      <c r="R498" t="s">
        <v>373</v>
      </c>
      <c r="S498" t="s">
        <v>116</v>
      </c>
      <c r="T498" t="s">
        <v>124</v>
      </c>
      <c r="U498" t="s">
        <v>132</v>
      </c>
      <c r="V498" t="s">
        <v>118</v>
      </c>
      <c r="W498" t="s">
        <v>175</v>
      </c>
      <c r="Y498" t="s">
        <v>136</v>
      </c>
      <c r="AA498">
        <v>1</v>
      </c>
      <c r="AB498" t="s">
        <v>99</v>
      </c>
      <c r="AC498" t="s">
        <v>228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135</v>
      </c>
      <c r="AL498">
        <v>0.59375</v>
      </c>
      <c r="AM498" t="s">
        <v>180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475</v>
      </c>
      <c r="F499" t="s">
        <v>272</v>
      </c>
      <c r="G499" s="27">
        <v>44414</v>
      </c>
      <c r="H499" t="s">
        <v>109</v>
      </c>
      <c r="I499" t="s">
        <v>456</v>
      </c>
      <c r="J499" t="s">
        <v>274</v>
      </c>
      <c r="K499">
        <v>9</v>
      </c>
      <c r="L499" t="s">
        <v>138</v>
      </c>
      <c r="M499" t="s">
        <v>457</v>
      </c>
      <c r="N499" t="s">
        <v>458</v>
      </c>
      <c r="O499">
        <v>71.400000000000006</v>
      </c>
      <c r="P499">
        <v>130</v>
      </c>
      <c r="Q499">
        <v>6535</v>
      </c>
      <c r="R499" t="s">
        <v>373</v>
      </c>
      <c r="S499" t="s">
        <v>116</v>
      </c>
      <c r="T499" t="s">
        <v>124</v>
      </c>
      <c r="U499" t="s">
        <v>276</v>
      </c>
      <c r="V499" t="s">
        <v>135</v>
      </c>
      <c r="W499" t="s">
        <v>460</v>
      </c>
      <c r="Y499" t="s">
        <v>180</v>
      </c>
      <c r="AA499">
        <v>1</v>
      </c>
      <c r="AB499" t="s">
        <v>100</v>
      </c>
      <c r="AC499" t="s">
        <v>228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136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476</v>
      </c>
      <c r="F500" t="s">
        <v>272</v>
      </c>
      <c r="G500" s="27">
        <v>44414</v>
      </c>
      <c r="H500" t="s">
        <v>145</v>
      </c>
      <c r="I500" t="s">
        <v>456</v>
      </c>
      <c r="J500" t="s">
        <v>274</v>
      </c>
      <c r="K500">
        <v>9</v>
      </c>
      <c r="L500" t="s">
        <v>112</v>
      </c>
      <c r="M500" t="s">
        <v>477</v>
      </c>
      <c r="N500" t="s">
        <v>458</v>
      </c>
      <c r="O500">
        <v>70.5</v>
      </c>
      <c r="P500">
        <v>124</v>
      </c>
      <c r="Q500">
        <v>6587</v>
      </c>
      <c r="R500" t="s">
        <v>159</v>
      </c>
      <c r="S500" t="s">
        <v>159</v>
      </c>
      <c r="T500" t="s">
        <v>124</v>
      </c>
      <c r="U500" t="s">
        <v>132</v>
      </c>
      <c r="V500" t="s">
        <v>178</v>
      </c>
      <c r="W500" t="s">
        <v>175</v>
      </c>
      <c r="AA500">
        <v>1</v>
      </c>
      <c r="AB500" t="s">
        <v>101</v>
      </c>
      <c r="AC500" t="s">
        <v>140</v>
      </c>
      <c r="AD500" t="s">
        <v>230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230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476</v>
      </c>
      <c r="F501" t="s">
        <v>272</v>
      </c>
      <c r="G501" s="27">
        <v>44414</v>
      </c>
      <c r="H501" t="s">
        <v>145</v>
      </c>
      <c r="I501" t="s">
        <v>456</v>
      </c>
      <c r="J501" t="s">
        <v>274</v>
      </c>
      <c r="K501">
        <v>9</v>
      </c>
      <c r="L501" t="s">
        <v>112</v>
      </c>
      <c r="M501" t="s">
        <v>477</v>
      </c>
      <c r="N501" t="s">
        <v>458</v>
      </c>
      <c r="O501">
        <v>70.5</v>
      </c>
      <c r="P501">
        <v>124</v>
      </c>
      <c r="Q501">
        <v>6587</v>
      </c>
      <c r="R501" t="s">
        <v>159</v>
      </c>
      <c r="S501" t="s">
        <v>159</v>
      </c>
      <c r="T501" t="s">
        <v>124</v>
      </c>
      <c r="U501" t="s">
        <v>276</v>
      </c>
      <c r="V501" t="s">
        <v>230</v>
      </c>
      <c r="W501" t="s">
        <v>460</v>
      </c>
      <c r="AA501">
        <v>1</v>
      </c>
      <c r="AB501" t="s">
        <v>101</v>
      </c>
      <c r="AC501" t="s">
        <v>140</v>
      </c>
      <c r="AD501" t="s">
        <v>178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178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478</v>
      </c>
      <c r="F502" t="s">
        <v>272</v>
      </c>
      <c r="G502" s="27">
        <v>44414</v>
      </c>
      <c r="H502" t="s">
        <v>145</v>
      </c>
      <c r="I502" t="s">
        <v>456</v>
      </c>
      <c r="J502" t="s">
        <v>274</v>
      </c>
      <c r="K502">
        <v>9</v>
      </c>
      <c r="L502" t="s">
        <v>112</v>
      </c>
      <c r="M502" t="s">
        <v>477</v>
      </c>
      <c r="N502" t="s">
        <v>458</v>
      </c>
      <c r="O502">
        <v>70.5</v>
      </c>
      <c r="P502">
        <v>124</v>
      </c>
      <c r="Q502">
        <v>6587</v>
      </c>
      <c r="R502" t="s">
        <v>146</v>
      </c>
      <c r="S502" t="s">
        <v>116</v>
      </c>
      <c r="T502" t="s">
        <v>124</v>
      </c>
      <c r="U502" t="s">
        <v>132</v>
      </c>
      <c r="V502" t="s">
        <v>234</v>
      </c>
      <c r="W502" t="s">
        <v>175</v>
      </c>
      <c r="Y502" t="s">
        <v>468</v>
      </c>
      <c r="AA502">
        <v>1</v>
      </c>
      <c r="AB502" t="s">
        <v>100</v>
      </c>
      <c r="AC502" t="s">
        <v>267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462</v>
      </c>
      <c r="AL502">
        <v>0.54545454545454497</v>
      </c>
      <c r="AM502" t="s">
        <v>276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478</v>
      </c>
      <c r="F503" t="s">
        <v>272</v>
      </c>
      <c r="G503" s="27">
        <v>44414</v>
      </c>
      <c r="H503" t="s">
        <v>145</v>
      </c>
      <c r="I503" t="s">
        <v>456</v>
      </c>
      <c r="J503" t="s">
        <v>274</v>
      </c>
      <c r="K503">
        <v>9</v>
      </c>
      <c r="L503" t="s">
        <v>112</v>
      </c>
      <c r="M503" t="s">
        <v>477</v>
      </c>
      <c r="N503" t="s">
        <v>458</v>
      </c>
      <c r="O503">
        <v>70.5</v>
      </c>
      <c r="P503">
        <v>124</v>
      </c>
      <c r="Q503">
        <v>6587</v>
      </c>
      <c r="R503" t="s">
        <v>146</v>
      </c>
      <c r="S503" t="s">
        <v>116</v>
      </c>
      <c r="T503" t="s">
        <v>124</v>
      </c>
      <c r="U503" t="s">
        <v>276</v>
      </c>
      <c r="V503" t="s">
        <v>462</v>
      </c>
      <c r="W503" t="s">
        <v>460</v>
      </c>
      <c r="Y503" t="s">
        <v>276</v>
      </c>
      <c r="AA503">
        <v>1</v>
      </c>
      <c r="AB503" t="s">
        <v>99</v>
      </c>
      <c r="AC503" t="s">
        <v>267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234</v>
      </c>
      <c r="AL503">
        <v>0.5</v>
      </c>
      <c r="AM503" t="s">
        <v>468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479</v>
      </c>
      <c r="F504" t="s">
        <v>272</v>
      </c>
      <c r="G504" s="27">
        <v>44414</v>
      </c>
      <c r="H504" t="s">
        <v>145</v>
      </c>
      <c r="I504" t="s">
        <v>456</v>
      </c>
      <c r="J504" t="s">
        <v>274</v>
      </c>
      <c r="K504">
        <v>9</v>
      </c>
      <c r="L504" t="s">
        <v>112</v>
      </c>
      <c r="M504" t="s">
        <v>477</v>
      </c>
      <c r="N504" t="s">
        <v>458</v>
      </c>
      <c r="O504">
        <v>70.5</v>
      </c>
      <c r="P504">
        <v>124</v>
      </c>
      <c r="Q504">
        <v>6587</v>
      </c>
      <c r="R504" t="s">
        <v>146</v>
      </c>
      <c r="S504" t="s">
        <v>116</v>
      </c>
      <c r="T504" t="s">
        <v>124</v>
      </c>
      <c r="U504" t="s">
        <v>276</v>
      </c>
      <c r="V504" t="s">
        <v>135</v>
      </c>
      <c r="W504" t="s">
        <v>460</v>
      </c>
      <c r="Y504" t="s">
        <v>459</v>
      </c>
      <c r="AA504">
        <v>1</v>
      </c>
      <c r="AB504" t="s">
        <v>100</v>
      </c>
      <c r="AC504" t="s">
        <v>228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181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479</v>
      </c>
      <c r="F505" t="s">
        <v>272</v>
      </c>
      <c r="G505" s="27">
        <v>44414</v>
      </c>
      <c r="H505" t="s">
        <v>145</v>
      </c>
      <c r="I505" t="s">
        <v>456</v>
      </c>
      <c r="J505" t="s">
        <v>274</v>
      </c>
      <c r="K505">
        <v>9</v>
      </c>
      <c r="L505" t="s">
        <v>112</v>
      </c>
      <c r="M505" t="s">
        <v>477</v>
      </c>
      <c r="N505" t="s">
        <v>458</v>
      </c>
      <c r="O505">
        <v>70.5</v>
      </c>
      <c r="P505">
        <v>124</v>
      </c>
      <c r="Q505">
        <v>6587</v>
      </c>
      <c r="R505" t="s">
        <v>146</v>
      </c>
      <c r="S505" t="s">
        <v>116</v>
      </c>
      <c r="T505" t="s">
        <v>124</v>
      </c>
      <c r="U505" t="s">
        <v>132</v>
      </c>
      <c r="V505" t="s">
        <v>181</v>
      </c>
      <c r="W505" t="s">
        <v>175</v>
      </c>
      <c r="Y505" t="s">
        <v>118</v>
      </c>
      <c r="AA505">
        <v>1</v>
      </c>
      <c r="AB505" t="s">
        <v>99</v>
      </c>
      <c r="AC505" t="s">
        <v>228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135</v>
      </c>
      <c r="AL505">
        <v>0.59375</v>
      </c>
      <c r="AM505" t="s">
        <v>459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480</v>
      </c>
      <c r="F506" t="s">
        <v>272</v>
      </c>
      <c r="G506" s="27">
        <v>44414</v>
      </c>
      <c r="H506" t="s">
        <v>145</v>
      </c>
      <c r="I506" t="s">
        <v>456</v>
      </c>
      <c r="J506" t="s">
        <v>274</v>
      </c>
      <c r="K506">
        <v>9</v>
      </c>
      <c r="L506" t="s">
        <v>112</v>
      </c>
      <c r="M506" t="s">
        <v>477</v>
      </c>
      <c r="N506" t="s">
        <v>458</v>
      </c>
      <c r="O506">
        <v>70.5</v>
      </c>
      <c r="P506">
        <v>124</v>
      </c>
      <c r="Q506">
        <v>6587</v>
      </c>
      <c r="R506" t="s">
        <v>146</v>
      </c>
      <c r="S506" t="s">
        <v>116</v>
      </c>
      <c r="T506" t="s">
        <v>124</v>
      </c>
      <c r="U506" t="s">
        <v>132</v>
      </c>
      <c r="V506" t="s">
        <v>465</v>
      </c>
      <c r="W506" t="s">
        <v>175</v>
      </c>
      <c r="Y506" t="s">
        <v>136</v>
      </c>
      <c r="AA506">
        <v>1</v>
      </c>
      <c r="AB506" t="s">
        <v>100</v>
      </c>
      <c r="AC506" t="s">
        <v>431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326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480</v>
      </c>
      <c r="F507" t="s">
        <v>272</v>
      </c>
      <c r="G507" s="27">
        <v>44414</v>
      </c>
      <c r="H507" t="s">
        <v>145</v>
      </c>
      <c r="I507" t="s">
        <v>456</v>
      </c>
      <c r="J507" t="s">
        <v>274</v>
      </c>
      <c r="K507">
        <v>9</v>
      </c>
      <c r="L507" t="s">
        <v>112</v>
      </c>
      <c r="M507" t="s">
        <v>477</v>
      </c>
      <c r="N507" t="s">
        <v>458</v>
      </c>
      <c r="O507">
        <v>70.5</v>
      </c>
      <c r="P507">
        <v>124</v>
      </c>
      <c r="Q507">
        <v>6587</v>
      </c>
      <c r="R507" t="s">
        <v>146</v>
      </c>
      <c r="S507" t="s">
        <v>116</v>
      </c>
      <c r="T507" t="s">
        <v>124</v>
      </c>
      <c r="U507" t="s">
        <v>276</v>
      </c>
      <c r="V507" t="s">
        <v>326</v>
      </c>
      <c r="W507" t="s">
        <v>460</v>
      </c>
      <c r="Y507" t="s">
        <v>122</v>
      </c>
      <c r="AA507">
        <v>1</v>
      </c>
      <c r="AB507" t="s">
        <v>99</v>
      </c>
      <c r="AC507" t="s">
        <v>431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465</v>
      </c>
      <c r="AL507">
        <v>0.33333333333333298</v>
      </c>
      <c r="AM507" t="s">
        <v>136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481</v>
      </c>
      <c r="F508" t="s">
        <v>272</v>
      </c>
      <c r="G508" s="27">
        <v>44414</v>
      </c>
      <c r="H508" t="s">
        <v>145</v>
      </c>
      <c r="I508" t="s">
        <v>456</v>
      </c>
      <c r="J508" t="s">
        <v>274</v>
      </c>
      <c r="K508">
        <v>9</v>
      </c>
      <c r="L508" t="s">
        <v>112</v>
      </c>
      <c r="M508" t="s">
        <v>477</v>
      </c>
      <c r="N508" t="s">
        <v>458</v>
      </c>
      <c r="O508">
        <v>70.5</v>
      </c>
      <c r="P508">
        <v>124</v>
      </c>
      <c r="Q508">
        <v>6587</v>
      </c>
      <c r="R508" t="s">
        <v>146</v>
      </c>
      <c r="S508" t="s">
        <v>116</v>
      </c>
      <c r="T508" t="s">
        <v>124</v>
      </c>
      <c r="U508" t="s">
        <v>276</v>
      </c>
      <c r="V508" t="s">
        <v>180</v>
      </c>
      <c r="W508" t="s">
        <v>460</v>
      </c>
      <c r="Y508" t="s">
        <v>464</v>
      </c>
      <c r="AA508">
        <v>1</v>
      </c>
      <c r="AB508" t="s">
        <v>99</v>
      </c>
      <c r="AC508" t="s">
        <v>228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174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481</v>
      </c>
      <c r="F509" t="s">
        <v>272</v>
      </c>
      <c r="G509" s="27">
        <v>44414</v>
      </c>
      <c r="H509" t="s">
        <v>145</v>
      </c>
      <c r="I509" t="s">
        <v>456</v>
      </c>
      <c r="J509" t="s">
        <v>274</v>
      </c>
      <c r="K509">
        <v>9</v>
      </c>
      <c r="L509" t="s">
        <v>112</v>
      </c>
      <c r="M509" t="s">
        <v>477</v>
      </c>
      <c r="N509" t="s">
        <v>458</v>
      </c>
      <c r="O509">
        <v>70.5</v>
      </c>
      <c r="P509">
        <v>124</v>
      </c>
      <c r="Q509">
        <v>6587</v>
      </c>
      <c r="R509" t="s">
        <v>146</v>
      </c>
      <c r="S509" t="s">
        <v>116</v>
      </c>
      <c r="T509" t="s">
        <v>124</v>
      </c>
      <c r="U509" t="s">
        <v>132</v>
      </c>
      <c r="V509" t="s">
        <v>132</v>
      </c>
      <c r="W509" t="s">
        <v>175</v>
      </c>
      <c r="Y509" t="s">
        <v>174</v>
      </c>
      <c r="AA509">
        <v>1</v>
      </c>
      <c r="AB509" t="s">
        <v>100</v>
      </c>
      <c r="AC509" t="s">
        <v>228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180</v>
      </c>
      <c r="AL509">
        <v>0.34745762711864397</v>
      </c>
      <c r="AM509" t="s">
        <v>464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482</v>
      </c>
      <c r="F510" t="s">
        <v>272</v>
      </c>
      <c r="G510" s="27">
        <v>44414</v>
      </c>
      <c r="H510" t="s">
        <v>145</v>
      </c>
      <c r="I510" t="s">
        <v>456</v>
      </c>
      <c r="J510" t="s">
        <v>274</v>
      </c>
      <c r="K510">
        <v>9</v>
      </c>
      <c r="L510" t="s">
        <v>112</v>
      </c>
      <c r="M510" t="s">
        <v>477</v>
      </c>
      <c r="N510" t="s">
        <v>458</v>
      </c>
      <c r="O510">
        <v>70.5</v>
      </c>
      <c r="P510">
        <v>124</v>
      </c>
      <c r="Q510">
        <v>6587</v>
      </c>
      <c r="R510" t="s">
        <v>146</v>
      </c>
      <c r="S510" t="s">
        <v>116</v>
      </c>
      <c r="T510" t="s">
        <v>124</v>
      </c>
      <c r="U510" t="s">
        <v>132</v>
      </c>
      <c r="V510" t="s">
        <v>123</v>
      </c>
      <c r="W510" t="s">
        <v>175</v>
      </c>
      <c r="Y510" t="s">
        <v>133</v>
      </c>
      <c r="AA510">
        <v>1</v>
      </c>
      <c r="AB510" t="s">
        <v>100</v>
      </c>
      <c r="AC510" t="s">
        <v>280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482</v>
      </c>
      <c r="F511" t="s">
        <v>272</v>
      </c>
      <c r="G511" s="27">
        <v>44414</v>
      </c>
      <c r="H511" t="s">
        <v>145</v>
      </c>
      <c r="I511" t="s">
        <v>456</v>
      </c>
      <c r="J511" t="s">
        <v>274</v>
      </c>
      <c r="K511">
        <v>9</v>
      </c>
      <c r="L511" t="s">
        <v>112</v>
      </c>
      <c r="M511" t="s">
        <v>477</v>
      </c>
      <c r="N511" t="s">
        <v>458</v>
      </c>
      <c r="O511">
        <v>70.5</v>
      </c>
      <c r="P511">
        <v>124</v>
      </c>
      <c r="Q511">
        <v>6587</v>
      </c>
      <c r="R511" t="s">
        <v>146</v>
      </c>
      <c r="S511" t="s">
        <v>116</v>
      </c>
      <c r="T511" t="s">
        <v>124</v>
      </c>
      <c r="U511" t="s">
        <v>276</v>
      </c>
      <c r="V511" t="s">
        <v>127</v>
      </c>
      <c r="W511" t="s">
        <v>460</v>
      </c>
      <c r="Y511" t="s">
        <v>119</v>
      </c>
      <c r="AA511">
        <v>1</v>
      </c>
      <c r="AB511" t="s">
        <v>99</v>
      </c>
      <c r="AC511" t="s">
        <v>280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483</v>
      </c>
      <c r="F512" t="s">
        <v>272</v>
      </c>
      <c r="G512" s="27">
        <v>44414</v>
      </c>
      <c r="H512" t="s">
        <v>145</v>
      </c>
      <c r="I512" t="s">
        <v>456</v>
      </c>
      <c r="J512" t="s">
        <v>274</v>
      </c>
      <c r="K512">
        <v>9</v>
      </c>
      <c r="L512" t="s">
        <v>138</v>
      </c>
      <c r="M512" t="s">
        <v>477</v>
      </c>
      <c r="N512" t="s">
        <v>458</v>
      </c>
      <c r="O512">
        <v>70.5</v>
      </c>
      <c r="P512">
        <v>124</v>
      </c>
      <c r="Q512">
        <v>6587</v>
      </c>
      <c r="R512" t="s">
        <v>159</v>
      </c>
      <c r="S512" t="s">
        <v>159</v>
      </c>
      <c r="T512" t="s">
        <v>124</v>
      </c>
      <c r="U512" t="s">
        <v>132</v>
      </c>
      <c r="V512" t="s">
        <v>178</v>
      </c>
      <c r="W512" t="s">
        <v>175</v>
      </c>
      <c r="AA512">
        <v>1</v>
      </c>
      <c r="AB512" t="s">
        <v>100</v>
      </c>
      <c r="AC512" t="s">
        <v>280</v>
      </c>
      <c r="AD512" t="s">
        <v>230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230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483</v>
      </c>
      <c r="F513" t="s">
        <v>272</v>
      </c>
      <c r="G513" s="27">
        <v>44414</v>
      </c>
      <c r="H513" t="s">
        <v>145</v>
      </c>
      <c r="I513" t="s">
        <v>456</v>
      </c>
      <c r="J513" t="s">
        <v>274</v>
      </c>
      <c r="K513">
        <v>9</v>
      </c>
      <c r="L513" t="s">
        <v>138</v>
      </c>
      <c r="M513" t="s">
        <v>477</v>
      </c>
      <c r="N513" t="s">
        <v>458</v>
      </c>
      <c r="O513">
        <v>70.5</v>
      </c>
      <c r="P513">
        <v>124</v>
      </c>
      <c r="Q513">
        <v>6587</v>
      </c>
      <c r="R513" t="s">
        <v>159</v>
      </c>
      <c r="S513" t="s">
        <v>159</v>
      </c>
      <c r="T513" t="s">
        <v>124</v>
      </c>
      <c r="U513" t="s">
        <v>276</v>
      </c>
      <c r="V513" t="s">
        <v>230</v>
      </c>
      <c r="W513" t="s">
        <v>460</v>
      </c>
      <c r="AA513">
        <v>1</v>
      </c>
      <c r="AB513" t="s">
        <v>99</v>
      </c>
      <c r="AC513" t="s">
        <v>280</v>
      </c>
      <c r="AD513" t="s">
        <v>178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178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484</v>
      </c>
      <c r="F514" t="s">
        <v>272</v>
      </c>
      <c r="G514" s="27">
        <v>44414</v>
      </c>
      <c r="H514" t="s">
        <v>145</v>
      </c>
      <c r="I514" t="s">
        <v>456</v>
      </c>
      <c r="J514" t="s">
        <v>274</v>
      </c>
      <c r="K514">
        <v>9</v>
      </c>
      <c r="L514" t="s">
        <v>138</v>
      </c>
      <c r="M514" t="s">
        <v>477</v>
      </c>
      <c r="N514" t="s">
        <v>458</v>
      </c>
      <c r="O514">
        <v>70.5</v>
      </c>
      <c r="P514">
        <v>124</v>
      </c>
      <c r="Q514">
        <v>6587</v>
      </c>
      <c r="R514" t="s">
        <v>199</v>
      </c>
      <c r="S514" t="s">
        <v>116</v>
      </c>
      <c r="T514" t="s">
        <v>124</v>
      </c>
      <c r="U514" t="s">
        <v>132</v>
      </c>
      <c r="V514" t="s">
        <v>234</v>
      </c>
      <c r="W514" t="s">
        <v>175</v>
      </c>
      <c r="Y514" t="s">
        <v>468</v>
      </c>
      <c r="AA514">
        <v>1</v>
      </c>
      <c r="AB514" t="s">
        <v>99</v>
      </c>
      <c r="AC514" t="s">
        <v>228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462</v>
      </c>
      <c r="AL514">
        <v>0.54545454545454497</v>
      </c>
      <c r="AM514" t="s">
        <v>276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484</v>
      </c>
      <c r="F515" t="s">
        <v>272</v>
      </c>
      <c r="G515" s="27">
        <v>44414</v>
      </c>
      <c r="H515" t="s">
        <v>145</v>
      </c>
      <c r="I515" t="s">
        <v>456</v>
      </c>
      <c r="J515" t="s">
        <v>274</v>
      </c>
      <c r="K515">
        <v>9</v>
      </c>
      <c r="L515" t="s">
        <v>138</v>
      </c>
      <c r="M515" t="s">
        <v>477</v>
      </c>
      <c r="N515" t="s">
        <v>458</v>
      </c>
      <c r="O515">
        <v>70.5</v>
      </c>
      <c r="P515">
        <v>124</v>
      </c>
      <c r="Q515">
        <v>6587</v>
      </c>
      <c r="R515" t="s">
        <v>199</v>
      </c>
      <c r="S515" t="s">
        <v>116</v>
      </c>
      <c r="T515" t="s">
        <v>124</v>
      </c>
      <c r="U515" t="s">
        <v>276</v>
      </c>
      <c r="V515" t="s">
        <v>462</v>
      </c>
      <c r="W515" t="s">
        <v>460</v>
      </c>
      <c r="Y515" t="s">
        <v>276</v>
      </c>
      <c r="AA515">
        <v>1</v>
      </c>
      <c r="AB515" t="s">
        <v>100</v>
      </c>
      <c r="AC515" t="s">
        <v>228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234</v>
      </c>
      <c r="AL515">
        <v>0.5</v>
      </c>
      <c r="AM515" t="s">
        <v>468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485</v>
      </c>
      <c r="F516" t="s">
        <v>272</v>
      </c>
      <c r="G516" s="27">
        <v>44414</v>
      </c>
      <c r="H516" t="s">
        <v>145</v>
      </c>
      <c r="I516" t="s">
        <v>456</v>
      </c>
      <c r="J516" t="s">
        <v>274</v>
      </c>
      <c r="K516">
        <v>9</v>
      </c>
      <c r="L516" t="s">
        <v>138</v>
      </c>
      <c r="M516" t="s">
        <v>477</v>
      </c>
      <c r="N516" t="s">
        <v>458</v>
      </c>
      <c r="O516">
        <v>70.5</v>
      </c>
      <c r="P516">
        <v>124</v>
      </c>
      <c r="Q516">
        <v>6587</v>
      </c>
      <c r="R516" t="s">
        <v>199</v>
      </c>
      <c r="S516" t="s">
        <v>116</v>
      </c>
      <c r="T516" t="s">
        <v>124</v>
      </c>
      <c r="U516" t="s">
        <v>276</v>
      </c>
      <c r="V516" t="s">
        <v>135</v>
      </c>
      <c r="W516" t="s">
        <v>460</v>
      </c>
      <c r="Y516" t="s">
        <v>459</v>
      </c>
      <c r="AA516">
        <v>1</v>
      </c>
      <c r="AB516" t="s">
        <v>99</v>
      </c>
      <c r="AC516" t="s">
        <v>228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181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485</v>
      </c>
      <c r="F517" t="s">
        <v>272</v>
      </c>
      <c r="G517" s="27">
        <v>44414</v>
      </c>
      <c r="H517" t="s">
        <v>145</v>
      </c>
      <c r="I517" t="s">
        <v>456</v>
      </c>
      <c r="J517" t="s">
        <v>274</v>
      </c>
      <c r="K517">
        <v>9</v>
      </c>
      <c r="L517" t="s">
        <v>138</v>
      </c>
      <c r="M517" t="s">
        <v>477</v>
      </c>
      <c r="N517" t="s">
        <v>458</v>
      </c>
      <c r="O517">
        <v>70.5</v>
      </c>
      <c r="P517">
        <v>124</v>
      </c>
      <c r="Q517">
        <v>6587</v>
      </c>
      <c r="R517" t="s">
        <v>199</v>
      </c>
      <c r="S517" t="s">
        <v>116</v>
      </c>
      <c r="T517" t="s">
        <v>124</v>
      </c>
      <c r="U517" t="s">
        <v>132</v>
      </c>
      <c r="V517" t="s">
        <v>181</v>
      </c>
      <c r="W517" t="s">
        <v>175</v>
      </c>
      <c r="Y517" t="s">
        <v>118</v>
      </c>
      <c r="AA517">
        <v>1</v>
      </c>
      <c r="AB517" t="s">
        <v>100</v>
      </c>
      <c r="AC517" t="s">
        <v>228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135</v>
      </c>
      <c r="AL517">
        <v>0.59375</v>
      </c>
      <c r="AM517" t="s">
        <v>459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486</v>
      </c>
      <c r="F518" t="s">
        <v>272</v>
      </c>
      <c r="G518" s="27">
        <v>44414</v>
      </c>
      <c r="H518" t="s">
        <v>145</v>
      </c>
      <c r="I518" t="s">
        <v>456</v>
      </c>
      <c r="J518" t="s">
        <v>274</v>
      </c>
      <c r="K518">
        <v>9</v>
      </c>
      <c r="L518" t="s">
        <v>138</v>
      </c>
      <c r="M518" t="s">
        <v>477</v>
      </c>
      <c r="N518" t="s">
        <v>458</v>
      </c>
      <c r="O518">
        <v>70.5</v>
      </c>
      <c r="P518">
        <v>124</v>
      </c>
      <c r="Q518">
        <v>6587</v>
      </c>
      <c r="R518" t="s">
        <v>199</v>
      </c>
      <c r="S518" t="s">
        <v>116</v>
      </c>
      <c r="T518" t="s">
        <v>124</v>
      </c>
      <c r="U518" t="s">
        <v>132</v>
      </c>
      <c r="V518" t="s">
        <v>465</v>
      </c>
      <c r="W518" t="s">
        <v>175</v>
      </c>
      <c r="Y518" t="s">
        <v>136</v>
      </c>
      <c r="AA518">
        <v>1</v>
      </c>
      <c r="AB518" t="s">
        <v>99</v>
      </c>
      <c r="AC518" t="s">
        <v>225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326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486</v>
      </c>
      <c r="F519" t="s">
        <v>272</v>
      </c>
      <c r="G519" s="27">
        <v>44414</v>
      </c>
      <c r="H519" t="s">
        <v>145</v>
      </c>
      <c r="I519" t="s">
        <v>456</v>
      </c>
      <c r="J519" t="s">
        <v>274</v>
      </c>
      <c r="K519">
        <v>9</v>
      </c>
      <c r="L519" t="s">
        <v>138</v>
      </c>
      <c r="M519" t="s">
        <v>477</v>
      </c>
      <c r="N519" t="s">
        <v>458</v>
      </c>
      <c r="O519">
        <v>70.5</v>
      </c>
      <c r="P519">
        <v>124</v>
      </c>
      <c r="Q519">
        <v>6587</v>
      </c>
      <c r="R519" t="s">
        <v>199</v>
      </c>
      <c r="S519" t="s">
        <v>116</v>
      </c>
      <c r="T519" t="s">
        <v>124</v>
      </c>
      <c r="U519" t="s">
        <v>276</v>
      </c>
      <c r="V519" t="s">
        <v>326</v>
      </c>
      <c r="W519" t="s">
        <v>460</v>
      </c>
      <c r="Y519" t="s">
        <v>122</v>
      </c>
      <c r="AA519">
        <v>1</v>
      </c>
      <c r="AB519" t="s">
        <v>100</v>
      </c>
      <c r="AC519" t="s">
        <v>225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465</v>
      </c>
      <c r="AL519">
        <v>0.33333333333333298</v>
      </c>
      <c r="AM519" t="s">
        <v>136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487</v>
      </c>
      <c r="F520" t="s">
        <v>272</v>
      </c>
      <c r="G520" s="27">
        <v>44414</v>
      </c>
      <c r="H520" t="s">
        <v>145</v>
      </c>
      <c r="I520" t="s">
        <v>456</v>
      </c>
      <c r="J520" t="s">
        <v>274</v>
      </c>
      <c r="K520">
        <v>9</v>
      </c>
      <c r="L520" t="s">
        <v>138</v>
      </c>
      <c r="M520" t="s">
        <v>477</v>
      </c>
      <c r="N520" t="s">
        <v>458</v>
      </c>
      <c r="O520">
        <v>70.5</v>
      </c>
      <c r="P520">
        <v>124</v>
      </c>
      <c r="Q520">
        <v>6587</v>
      </c>
      <c r="R520" t="s">
        <v>199</v>
      </c>
      <c r="S520" t="s">
        <v>116</v>
      </c>
      <c r="T520" t="s">
        <v>124</v>
      </c>
      <c r="U520" t="s">
        <v>276</v>
      </c>
      <c r="V520" t="s">
        <v>180</v>
      </c>
      <c r="W520" t="s">
        <v>460</v>
      </c>
      <c r="Y520" t="s">
        <v>464</v>
      </c>
      <c r="AA520">
        <v>1</v>
      </c>
      <c r="AB520" t="s">
        <v>101</v>
      </c>
      <c r="AC520" t="s">
        <v>140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174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487</v>
      </c>
      <c r="F521" t="s">
        <v>272</v>
      </c>
      <c r="G521" s="27">
        <v>44414</v>
      </c>
      <c r="H521" t="s">
        <v>145</v>
      </c>
      <c r="I521" t="s">
        <v>456</v>
      </c>
      <c r="J521" t="s">
        <v>274</v>
      </c>
      <c r="K521">
        <v>9</v>
      </c>
      <c r="L521" t="s">
        <v>138</v>
      </c>
      <c r="M521" t="s">
        <v>477</v>
      </c>
      <c r="N521" t="s">
        <v>458</v>
      </c>
      <c r="O521">
        <v>70.5</v>
      </c>
      <c r="P521">
        <v>124</v>
      </c>
      <c r="Q521">
        <v>6587</v>
      </c>
      <c r="R521" t="s">
        <v>199</v>
      </c>
      <c r="S521" t="s">
        <v>116</v>
      </c>
      <c r="T521" t="s">
        <v>124</v>
      </c>
      <c r="U521" t="s">
        <v>132</v>
      </c>
      <c r="V521" t="s">
        <v>132</v>
      </c>
      <c r="W521" t="s">
        <v>175</v>
      </c>
      <c r="Y521" t="s">
        <v>174</v>
      </c>
      <c r="AA521">
        <v>1</v>
      </c>
      <c r="AB521" t="s">
        <v>101</v>
      </c>
      <c r="AC521" t="s">
        <v>140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180</v>
      </c>
      <c r="AL521">
        <v>0.34745762711864397</v>
      </c>
      <c r="AM521" t="s">
        <v>464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488</v>
      </c>
      <c r="F522" t="s">
        <v>272</v>
      </c>
      <c r="G522" s="27">
        <v>44414</v>
      </c>
      <c r="H522" t="s">
        <v>145</v>
      </c>
      <c r="I522" t="s">
        <v>456</v>
      </c>
      <c r="J522" t="s">
        <v>274</v>
      </c>
      <c r="K522">
        <v>9</v>
      </c>
      <c r="L522" t="s">
        <v>138</v>
      </c>
      <c r="M522" t="s">
        <v>477</v>
      </c>
      <c r="N522" t="s">
        <v>458</v>
      </c>
      <c r="O522">
        <v>70.5</v>
      </c>
      <c r="P522">
        <v>124</v>
      </c>
      <c r="Q522">
        <v>6587</v>
      </c>
      <c r="R522" t="s">
        <v>199</v>
      </c>
      <c r="S522" t="s">
        <v>116</v>
      </c>
      <c r="T522" t="s">
        <v>124</v>
      </c>
      <c r="U522" t="s">
        <v>132</v>
      </c>
      <c r="V522" t="s">
        <v>123</v>
      </c>
      <c r="W522" t="s">
        <v>175</v>
      </c>
      <c r="Y522" t="s">
        <v>133</v>
      </c>
      <c r="AA522">
        <v>1</v>
      </c>
      <c r="AB522" t="s">
        <v>101</v>
      </c>
      <c r="AC522" t="s">
        <v>140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488</v>
      </c>
      <c r="F523" t="s">
        <v>272</v>
      </c>
      <c r="G523" s="27">
        <v>44414</v>
      </c>
      <c r="H523" t="s">
        <v>145</v>
      </c>
      <c r="I523" t="s">
        <v>456</v>
      </c>
      <c r="J523" t="s">
        <v>274</v>
      </c>
      <c r="K523">
        <v>9</v>
      </c>
      <c r="L523" t="s">
        <v>138</v>
      </c>
      <c r="M523" t="s">
        <v>477</v>
      </c>
      <c r="N523" t="s">
        <v>458</v>
      </c>
      <c r="O523">
        <v>70.5</v>
      </c>
      <c r="P523">
        <v>124</v>
      </c>
      <c r="Q523">
        <v>6587</v>
      </c>
      <c r="R523" t="s">
        <v>199</v>
      </c>
      <c r="S523" t="s">
        <v>116</v>
      </c>
      <c r="T523" t="s">
        <v>124</v>
      </c>
      <c r="U523" t="s">
        <v>276</v>
      </c>
      <c r="V523" t="s">
        <v>127</v>
      </c>
      <c r="W523" t="s">
        <v>460</v>
      </c>
      <c r="Y523" t="s">
        <v>119</v>
      </c>
      <c r="AA523">
        <v>1</v>
      </c>
      <c r="AB523" t="s">
        <v>101</v>
      </c>
      <c r="AC523" t="s">
        <v>140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304</v>
      </c>
      <c r="D524">
        <v>8</v>
      </c>
      <c r="E524" t="s">
        <v>489</v>
      </c>
      <c r="F524" t="s">
        <v>272</v>
      </c>
      <c r="G524" s="27">
        <v>44414</v>
      </c>
      <c r="H524" t="s">
        <v>145</v>
      </c>
      <c r="I524" t="s">
        <v>456</v>
      </c>
      <c r="J524" t="s">
        <v>274</v>
      </c>
      <c r="K524">
        <v>9</v>
      </c>
      <c r="L524" t="s">
        <v>138</v>
      </c>
      <c r="M524" t="s">
        <v>490</v>
      </c>
      <c r="N524" t="s">
        <v>491</v>
      </c>
      <c r="R524" t="s">
        <v>307</v>
      </c>
      <c r="S524" t="s">
        <v>307</v>
      </c>
      <c r="T524" t="s">
        <v>124</v>
      </c>
      <c r="U524" t="s">
        <v>132</v>
      </c>
      <c r="V524" t="s">
        <v>178</v>
      </c>
      <c r="W524" t="s">
        <v>175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304</v>
      </c>
      <c r="D525">
        <v>8</v>
      </c>
      <c r="E525" t="s">
        <v>489</v>
      </c>
      <c r="F525" t="s">
        <v>272</v>
      </c>
      <c r="G525" s="27">
        <v>44414</v>
      </c>
      <c r="H525" t="s">
        <v>145</v>
      </c>
      <c r="I525" t="s">
        <v>456</v>
      </c>
      <c r="J525" t="s">
        <v>274</v>
      </c>
      <c r="K525">
        <v>9</v>
      </c>
      <c r="L525" t="s">
        <v>138</v>
      </c>
      <c r="M525" t="s">
        <v>490</v>
      </c>
      <c r="N525" t="s">
        <v>491</v>
      </c>
      <c r="R525" t="s">
        <v>307</v>
      </c>
      <c r="S525" t="s">
        <v>307</v>
      </c>
      <c r="T525" t="s">
        <v>124</v>
      </c>
      <c r="U525" t="s">
        <v>132</v>
      </c>
      <c r="V525" t="s">
        <v>234</v>
      </c>
      <c r="W525" t="s">
        <v>175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304</v>
      </c>
      <c r="D526">
        <v>8</v>
      </c>
      <c r="E526" t="s">
        <v>489</v>
      </c>
      <c r="F526" t="s">
        <v>272</v>
      </c>
      <c r="G526" s="27">
        <v>44414</v>
      </c>
      <c r="H526" t="s">
        <v>145</v>
      </c>
      <c r="I526" t="s">
        <v>456</v>
      </c>
      <c r="J526" t="s">
        <v>274</v>
      </c>
      <c r="K526">
        <v>9</v>
      </c>
      <c r="L526" t="s">
        <v>138</v>
      </c>
      <c r="M526" t="s">
        <v>490</v>
      </c>
      <c r="N526" t="s">
        <v>491</v>
      </c>
      <c r="R526" t="s">
        <v>307</v>
      </c>
      <c r="S526" t="s">
        <v>307</v>
      </c>
      <c r="T526" t="s">
        <v>124</v>
      </c>
      <c r="U526" t="s">
        <v>132</v>
      </c>
      <c r="V526" t="s">
        <v>468</v>
      </c>
      <c r="W526" t="s">
        <v>175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304</v>
      </c>
      <c r="D527">
        <v>8</v>
      </c>
      <c r="E527" t="s">
        <v>489</v>
      </c>
      <c r="F527" t="s">
        <v>272</v>
      </c>
      <c r="G527" s="27">
        <v>44414</v>
      </c>
      <c r="H527" t="s">
        <v>145</v>
      </c>
      <c r="I527" t="s">
        <v>456</v>
      </c>
      <c r="J527" t="s">
        <v>274</v>
      </c>
      <c r="K527">
        <v>9</v>
      </c>
      <c r="L527" t="s">
        <v>138</v>
      </c>
      <c r="M527" t="s">
        <v>490</v>
      </c>
      <c r="N527" t="s">
        <v>491</v>
      </c>
      <c r="R527" t="s">
        <v>307</v>
      </c>
      <c r="S527" t="s">
        <v>307</v>
      </c>
      <c r="T527" t="s">
        <v>124</v>
      </c>
      <c r="U527" t="s">
        <v>132</v>
      </c>
      <c r="V527" t="s">
        <v>118</v>
      </c>
      <c r="W527" t="s">
        <v>175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304</v>
      </c>
      <c r="D528">
        <v>8</v>
      </c>
      <c r="E528" t="s">
        <v>489</v>
      </c>
      <c r="F528" t="s">
        <v>272</v>
      </c>
      <c r="G528" s="27">
        <v>44414</v>
      </c>
      <c r="H528" t="s">
        <v>145</v>
      </c>
      <c r="I528" t="s">
        <v>456</v>
      </c>
      <c r="J528" t="s">
        <v>274</v>
      </c>
      <c r="K528">
        <v>17</v>
      </c>
      <c r="L528" t="s">
        <v>112</v>
      </c>
      <c r="M528" t="s">
        <v>490</v>
      </c>
      <c r="N528" t="s">
        <v>491</v>
      </c>
      <c r="R528" t="s">
        <v>307</v>
      </c>
      <c r="S528" t="s">
        <v>307</v>
      </c>
      <c r="T528" t="s">
        <v>124</v>
      </c>
      <c r="U528" t="s">
        <v>132</v>
      </c>
      <c r="V528" t="s">
        <v>181</v>
      </c>
      <c r="W528" t="s">
        <v>175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304</v>
      </c>
      <c r="D529">
        <v>8</v>
      </c>
      <c r="E529" t="s">
        <v>489</v>
      </c>
      <c r="F529" t="s">
        <v>272</v>
      </c>
      <c r="G529" s="27">
        <v>44414</v>
      </c>
      <c r="H529" t="s">
        <v>145</v>
      </c>
      <c r="I529" t="s">
        <v>456</v>
      </c>
      <c r="J529" t="s">
        <v>274</v>
      </c>
      <c r="K529">
        <v>17</v>
      </c>
      <c r="L529" t="s">
        <v>112</v>
      </c>
      <c r="M529" t="s">
        <v>490</v>
      </c>
      <c r="N529" t="s">
        <v>491</v>
      </c>
      <c r="R529" t="s">
        <v>307</v>
      </c>
      <c r="S529" t="s">
        <v>307</v>
      </c>
      <c r="T529" t="s">
        <v>124</v>
      </c>
      <c r="U529" t="s">
        <v>132</v>
      </c>
      <c r="V529" t="s">
        <v>465</v>
      </c>
      <c r="W529" t="s">
        <v>175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304</v>
      </c>
      <c r="D530">
        <v>8</v>
      </c>
      <c r="E530" t="s">
        <v>489</v>
      </c>
      <c r="F530" t="s">
        <v>272</v>
      </c>
      <c r="G530" s="27">
        <v>44414</v>
      </c>
      <c r="H530" t="s">
        <v>145</v>
      </c>
      <c r="I530" t="s">
        <v>456</v>
      </c>
      <c r="J530" t="s">
        <v>274</v>
      </c>
      <c r="K530">
        <v>17</v>
      </c>
      <c r="L530" t="s">
        <v>112</v>
      </c>
      <c r="M530" t="s">
        <v>490</v>
      </c>
      <c r="N530" t="s">
        <v>491</v>
      </c>
      <c r="R530" t="s">
        <v>307</v>
      </c>
      <c r="S530" t="s">
        <v>307</v>
      </c>
      <c r="T530" t="s">
        <v>124</v>
      </c>
      <c r="U530" t="s">
        <v>132</v>
      </c>
      <c r="V530" t="s">
        <v>136</v>
      </c>
      <c r="W530" t="s">
        <v>175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304</v>
      </c>
      <c r="D531">
        <v>8</v>
      </c>
      <c r="E531" t="s">
        <v>489</v>
      </c>
      <c r="F531" t="s">
        <v>272</v>
      </c>
      <c r="G531" s="27">
        <v>44414</v>
      </c>
      <c r="H531" t="s">
        <v>145</v>
      </c>
      <c r="I531" t="s">
        <v>456</v>
      </c>
      <c r="J531" t="s">
        <v>274</v>
      </c>
      <c r="K531">
        <v>17</v>
      </c>
      <c r="L531" t="s">
        <v>112</v>
      </c>
      <c r="M531" t="s">
        <v>490</v>
      </c>
      <c r="N531" t="s">
        <v>491</v>
      </c>
      <c r="R531" t="s">
        <v>307</v>
      </c>
      <c r="S531" t="s">
        <v>307</v>
      </c>
      <c r="T531" t="s">
        <v>124</v>
      </c>
      <c r="U531" t="s">
        <v>132</v>
      </c>
      <c r="V531" t="s">
        <v>132</v>
      </c>
      <c r="W531" t="s">
        <v>175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304</v>
      </c>
      <c r="D532">
        <v>8</v>
      </c>
      <c r="E532" t="s">
        <v>489</v>
      </c>
      <c r="F532" t="s">
        <v>272</v>
      </c>
      <c r="G532" s="27">
        <v>44414</v>
      </c>
      <c r="H532" t="s">
        <v>145</v>
      </c>
      <c r="I532" t="s">
        <v>456</v>
      </c>
      <c r="J532" t="s">
        <v>274</v>
      </c>
      <c r="K532">
        <v>17</v>
      </c>
      <c r="L532" t="s">
        <v>112</v>
      </c>
      <c r="M532" t="s">
        <v>490</v>
      </c>
      <c r="N532" t="s">
        <v>491</v>
      </c>
      <c r="R532" t="s">
        <v>307</v>
      </c>
      <c r="S532" t="s">
        <v>307</v>
      </c>
      <c r="T532" t="s">
        <v>124</v>
      </c>
      <c r="U532" t="s">
        <v>132</v>
      </c>
      <c r="V532" t="s">
        <v>174</v>
      </c>
      <c r="W532" t="s">
        <v>175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304</v>
      </c>
      <c r="D533">
        <v>8</v>
      </c>
      <c r="E533" t="s">
        <v>489</v>
      </c>
      <c r="F533" t="s">
        <v>272</v>
      </c>
      <c r="G533" s="27">
        <v>44414</v>
      </c>
      <c r="H533" t="s">
        <v>145</v>
      </c>
      <c r="I533" t="s">
        <v>456</v>
      </c>
      <c r="J533" t="s">
        <v>274</v>
      </c>
      <c r="K533">
        <v>17</v>
      </c>
      <c r="L533" t="s">
        <v>112</v>
      </c>
      <c r="M533" t="s">
        <v>490</v>
      </c>
      <c r="N533" t="s">
        <v>491</v>
      </c>
      <c r="R533" t="s">
        <v>307</v>
      </c>
      <c r="S533" t="s">
        <v>307</v>
      </c>
      <c r="T533" t="s">
        <v>124</v>
      </c>
      <c r="U533" t="s">
        <v>132</v>
      </c>
      <c r="V533" t="s">
        <v>123</v>
      </c>
      <c r="W533" t="s">
        <v>175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304</v>
      </c>
      <c r="D534">
        <v>8</v>
      </c>
      <c r="E534" t="s">
        <v>489</v>
      </c>
      <c r="F534" t="s">
        <v>272</v>
      </c>
      <c r="G534" s="27">
        <v>44414</v>
      </c>
      <c r="H534" t="s">
        <v>145</v>
      </c>
      <c r="I534" t="s">
        <v>456</v>
      </c>
      <c r="J534" t="s">
        <v>274</v>
      </c>
      <c r="K534">
        <v>17</v>
      </c>
      <c r="L534" t="s">
        <v>112</v>
      </c>
      <c r="M534" t="s">
        <v>490</v>
      </c>
      <c r="N534" t="s">
        <v>491</v>
      </c>
      <c r="R534" t="s">
        <v>307</v>
      </c>
      <c r="S534" t="s">
        <v>307</v>
      </c>
      <c r="T534" t="s">
        <v>124</v>
      </c>
      <c r="U534" t="s">
        <v>132</v>
      </c>
      <c r="V534" t="s">
        <v>133</v>
      </c>
      <c r="W534" t="s">
        <v>175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304</v>
      </c>
      <c r="D535">
        <v>8</v>
      </c>
      <c r="E535" t="s">
        <v>489</v>
      </c>
      <c r="F535" t="s">
        <v>272</v>
      </c>
      <c r="G535" s="27">
        <v>44414</v>
      </c>
      <c r="H535" t="s">
        <v>145</v>
      </c>
      <c r="I535" t="s">
        <v>456</v>
      </c>
      <c r="J535" t="s">
        <v>274</v>
      </c>
      <c r="K535">
        <v>17</v>
      </c>
      <c r="L535" t="s">
        <v>112</v>
      </c>
      <c r="M535" t="s">
        <v>490</v>
      </c>
      <c r="N535" t="s">
        <v>491</v>
      </c>
      <c r="R535" t="s">
        <v>307</v>
      </c>
      <c r="S535" t="s">
        <v>307</v>
      </c>
      <c r="T535" t="s">
        <v>124</v>
      </c>
      <c r="U535" t="s">
        <v>276</v>
      </c>
      <c r="V535" t="s">
        <v>230</v>
      </c>
      <c r="W535" t="s">
        <v>460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304</v>
      </c>
      <c r="D536">
        <v>8</v>
      </c>
      <c r="E536" t="s">
        <v>489</v>
      </c>
      <c r="F536" t="s">
        <v>272</v>
      </c>
      <c r="G536" s="27">
        <v>44414</v>
      </c>
      <c r="H536" t="s">
        <v>145</v>
      </c>
      <c r="I536" t="s">
        <v>456</v>
      </c>
      <c r="J536" t="s">
        <v>274</v>
      </c>
      <c r="K536">
        <v>17</v>
      </c>
      <c r="L536" t="s">
        <v>112</v>
      </c>
      <c r="M536" t="s">
        <v>490</v>
      </c>
      <c r="N536" t="s">
        <v>491</v>
      </c>
      <c r="R536" t="s">
        <v>307</v>
      </c>
      <c r="S536" t="s">
        <v>307</v>
      </c>
      <c r="T536" t="s">
        <v>124</v>
      </c>
      <c r="U536" t="s">
        <v>276</v>
      </c>
      <c r="V536" t="s">
        <v>276</v>
      </c>
      <c r="W536" t="s">
        <v>460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304</v>
      </c>
      <c r="D537">
        <v>8</v>
      </c>
      <c r="E537" t="s">
        <v>489</v>
      </c>
      <c r="F537" t="s">
        <v>272</v>
      </c>
      <c r="G537" s="27">
        <v>44414</v>
      </c>
      <c r="H537" t="s">
        <v>145</v>
      </c>
      <c r="I537" t="s">
        <v>456</v>
      </c>
      <c r="J537" t="s">
        <v>274</v>
      </c>
      <c r="K537">
        <v>17</v>
      </c>
      <c r="L537" t="s">
        <v>112</v>
      </c>
      <c r="M537" t="s">
        <v>490</v>
      </c>
      <c r="N537" t="s">
        <v>491</v>
      </c>
      <c r="R537" t="s">
        <v>307</v>
      </c>
      <c r="S537" t="s">
        <v>307</v>
      </c>
      <c r="T537" t="s">
        <v>124</v>
      </c>
      <c r="U537" t="s">
        <v>276</v>
      </c>
      <c r="V537" t="s">
        <v>462</v>
      </c>
      <c r="W537" t="s">
        <v>460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304</v>
      </c>
      <c r="D538">
        <v>8</v>
      </c>
      <c r="E538" t="s">
        <v>489</v>
      </c>
      <c r="F538" t="s">
        <v>272</v>
      </c>
      <c r="G538" s="27">
        <v>44414</v>
      </c>
      <c r="H538" t="s">
        <v>145</v>
      </c>
      <c r="I538" t="s">
        <v>456</v>
      </c>
      <c r="J538" t="s">
        <v>274</v>
      </c>
      <c r="K538">
        <v>17</v>
      </c>
      <c r="L538" t="s">
        <v>112</v>
      </c>
      <c r="M538" t="s">
        <v>490</v>
      </c>
      <c r="N538" t="s">
        <v>491</v>
      </c>
      <c r="R538" t="s">
        <v>307</v>
      </c>
      <c r="S538" t="s">
        <v>307</v>
      </c>
      <c r="T538" t="s">
        <v>124</v>
      </c>
      <c r="U538" t="s">
        <v>276</v>
      </c>
      <c r="V538" t="s">
        <v>459</v>
      </c>
      <c r="W538" t="s">
        <v>460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304</v>
      </c>
      <c r="D539">
        <v>8</v>
      </c>
      <c r="E539" t="s">
        <v>489</v>
      </c>
      <c r="F539" t="s">
        <v>272</v>
      </c>
      <c r="G539" s="27">
        <v>44414</v>
      </c>
      <c r="H539" t="s">
        <v>145</v>
      </c>
      <c r="I539" t="s">
        <v>456</v>
      </c>
      <c r="J539" t="s">
        <v>274</v>
      </c>
      <c r="K539">
        <v>17</v>
      </c>
      <c r="L539" t="s">
        <v>112</v>
      </c>
      <c r="M539" t="s">
        <v>490</v>
      </c>
      <c r="N539" t="s">
        <v>491</v>
      </c>
      <c r="R539" t="s">
        <v>307</v>
      </c>
      <c r="S539" t="s">
        <v>307</v>
      </c>
      <c r="T539" t="s">
        <v>124</v>
      </c>
      <c r="U539" t="s">
        <v>276</v>
      </c>
      <c r="V539" t="s">
        <v>135</v>
      </c>
      <c r="W539" t="s">
        <v>460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304</v>
      </c>
      <c r="D540">
        <v>8</v>
      </c>
      <c r="E540" t="s">
        <v>489</v>
      </c>
      <c r="F540" t="s">
        <v>272</v>
      </c>
      <c r="G540" s="27">
        <v>44414</v>
      </c>
      <c r="H540" t="s">
        <v>145</v>
      </c>
      <c r="I540" t="s">
        <v>456</v>
      </c>
      <c r="J540" t="s">
        <v>274</v>
      </c>
      <c r="K540">
        <v>17</v>
      </c>
      <c r="L540" t="s">
        <v>112</v>
      </c>
      <c r="M540" t="s">
        <v>490</v>
      </c>
      <c r="N540" t="s">
        <v>491</v>
      </c>
      <c r="R540" t="s">
        <v>307</v>
      </c>
      <c r="S540" t="s">
        <v>307</v>
      </c>
      <c r="T540" t="s">
        <v>124</v>
      </c>
      <c r="U540" t="s">
        <v>276</v>
      </c>
      <c r="V540" t="s">
        <v>326</v>
      </c>
      <c r="W540" t="s">
        <v>460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304</v>
      </c>
      <c r="D541">
        <v>8</v>
      </c>
      <c r="E541" t="s">
        <v>489</v>
      </c>
      <c r="F541" t="s">
        <v>272</v>
      </c>
      <c r="G541" s="27">
        <v>44414</v>
      </c>
      <c r="H541" t="s">
        <v>145</v>
      </c>
      <c r="I541" t="s">
        <v>456</v>
      </c>
      <c r="J541" t="s">
        <v>274</v>
      </c>
      <c r="K541">
        <v>17</v>
      </c>
      <c r="L541" t="s">
        <v>112</v>
      </c>
      <c r="M541" t="s">
        <v>490</v>
      </c>
      <c r="N541" t="s">
        <v>491</v>
      </c>
      <c r="R541" t="s">
        <v>307</v>
      </c>
      <c r="S541" t="s">
        <v>307</v>
      </c>
      <c r="T541" t="s">
        <v>124</v>
      </c>
      <c r="U541" t="s">
        <v>276</v>
      </c>
      <c r="V541" t="s">
        <v>122</v>
      </c>
      <c r="W541" t="s">
        <v>460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304</v>
      </c>
      <c r="D542">
        <v>8</v>
      </c>
      <c r="E542" t="s">
        <v>489</v>
      </c>
      <c r="F542" t="s">
        <v>272</v>
      </c>
      <c r="G542" s="27">
        <v>44414</v>
      </c>
      <c r="H542" t="s">
        <v>145</v>
      </c>
      <c r="I542" t="s">
        <v>456</v>
      </c>
      <c r="J542" t="s">
        <v>274</v>
      </c>
      <c r="K542">
        <v>17</v>
      </c>
      <c r="L542" t="s">
        <v>112</v>
      </c>
      <c r="M542" t="s">
        <v>490</v>
      </c>
      <c r="N542" t="s">
        <v>491</v>
      </c>
      <c r="R542" t="s">
        <v>307</v>
      </c>
      <c r="S542" t="s">
        <v>307</v>
      </c>
      <c r="T542" t="s">
        <v>124</v>
      </c>
      <c r="U542" t="s">
        <v>276</v>
      </c>
      <c r="V542" t="s">
        <v>464</v>
      </c>
      <c r="W542" t="s">
        <v>460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304</v>
      </c>
      <c r="D543">
        <v>8</v>
      </c>
      <c r="E543" t="s">
        <v>489</v>
      </c>
      <c r="F543" t="s">
        <v>272</v>
      </c>
      <c r="G543" s="27">
        <v>44414</v>
      </c>
      <c r="H543" t="s">
        <v>145</v>
      </c>
      <c r="I543" t="s">
        <v>456</v>
      </c>
      <c r="J543" t="s">
        <v>274</v>
      </c>
      <c r="K543">
        <v>17</v>
      </c>
      <c r="L543" t="s">
        <v>112</v>
      </c>
      <c r="M543" t="s">
        <v>490</v>
      </c>
      <c r="N543" t="s">
        <v>491</v>
      </c>
      <c r="R543" t="s">
        <v>307</v>
      </c>
      <c r="S543" t="s">
        <v>307</v>
      </c>
      <c r="T543" t="s">
        <v>124</v>
      </c>
      <c r="U543" t="s">
        <v>276</v>
      </c>
      <c r="V543" t="s">
        <v>180</v>
      </c>
      <c r="W543" t="s">
        <v>460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304</v>
      </c>
      <c r="D544">
        <v>8</v>
      </c>
      <c r="E544" t="s">
        <v>489</v>
      </c>
      <c r="F544" t="s">
        <v>272</v>
      </c>
      <c r="G544" s="27">
        <v>44414</v>
      </c>
      <c r="H544" t="s">
        <v>145</v>
      </c>
      <c r="I544" t="s">
        <v>456</v>
      </c>
      <c r="J544" t="s">
        <v>274</v>
      </c>
      <c r="K544">
        <v>17</v>
      </c>
      <c r="L544" t="s">
        <v>112</v>
      </c>
      <c r="M544" t="s">
        <v>490</v>
      </c>
      <c r="N544" t="s">
        <v>491</v>
      </c>
      <c r="R544" t="s">
        <v>307</v>
      </c>
      <c r="S544" t="s">
        <v>307</v>
      </c>
      <c r="T544" t="s">
        <v>124</v>
      </c>
      <c r="U544" t="s">
        <v>276</v>
      </c>
      <c r="V544" t="s">
        <v>127</v>
      </c>
      <c r="W544" t="s">
        <v>460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304</v>
      </c>
      <c r="D545">
        <v>8</v>
      </c>
      <c r="E545" t="s">
        <v>489</v>
      </c>
      <c r="F545" t="s">
        <v>272</v>
      </c>
      <c r="G545" s="27">
        <v>44414</v>
      </c>
      <c r="H545" t="s">
        <v>145</v>
      </c>
      <c r="I545" t="s">
        <v>456</v>
      </c>
      <c r="J545" t="s">
        <v>274</v>
      </c>
      <c r="K545">
        <v>17</v>
      </c>
      <c r="L545" t="s">
        <v>112</v>
      </c>
      <c r="M545" t="s">
        <v>490</v>
      </c>
      <c r="N545" t="s">
        <v>491</v>
      </c>
      <c r="R545" t="s">
        <v>307</v>
      </c>
      <c r="S545" t="s">
        <v>307</v>
      </c>
      <c r="T545" t="s">
        <v>124</v>
      </c>
      <c r="U545" t="s">
        <v>276</v>
      </c>
      <c r="V545" t="s">
        <v>119</v>
      </c>
      <c r="W545" t="s">
        <v>460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492</v>
      </c>
      <c r="F546" t="s">
        <v>154</v>
      </c>
      <c r="G546" s="27">
        <v>44430</v>
      </c>
      <c r="H546" t="s">
        <v>145</v>
      </c>
      <c r="I546" t="s">
        <v>493</v>
      </c>
      <c r="J546" t="s">
        <v>222</v>
      </c>
      <c r="K546">
        <v>18</v>
      </c>
      <c r="L546" t="s">
        <v>155</v>
      </c>
      <c r="M546" t="s">
        <v>494</v>
      </c>
      <c r="R546" t="s">
        <v>158</v>
      </c>
      <c r="S546" t="s">
        <v>159</v>
      </c>
      <c r="T546" t="s">
        <v>124</v>
      </c>
      <c r="U546" t="s">
        <v>132</v>
      </c>
      <c r="V546" t="s">
        <v>174</v>
      </c>
      <c r="AA546">
        <v>2</v>
      </c>
      <c r="AB546" t="s">
        <v>99</v>
      </c>
      <c r="AC546" t="s">
        <v>262</v>
      </c>
      <c r="AD546" t="s">
        <v>326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326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495</v>
      </c>
      <c r="F547" t="s">
        <v>154</v>
      </c>
      <c r="G547" s="27">
        <v>44451</v>
      </c>
      <c r="H547" t="s">
        <v>109</v>
      </c>
      <c r="I547" t="s">
        <v>496</v>
      </c>
      <c r="J547" t="s">
        <v>222</v>
      </c>
      <c r="K547">
        <v>18</v>
      </c>
      <c r="L547" t="s">
        <v>155</v>
      </c>
      <c r="M547" t="s">
        <v>497</v>
      </c>
      <c r="R547" t="s">
        <v>158</v>
      </c>
      <c r="S547" t="s">
        <v>159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225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498</v>
      </c>
      <c r="F548" t="s">
        <v>154</v>
      </c>
      <c r="G548" s="27">
        <v>44451</v>
      </c>
      <c r="H548" t="s">
        <v>109</v>
      </c>
      <c r="I548" t="s">
        <v>496</v>
      </c>
      <c r="J548" t="s">
        <v>222</v>
      </c>
      <c r="K548">
        <v>18</v>
      </c>
      <c r="L548" t="s">
        <v>155</v>
      </c>
      <c r="M548" t="s">
        <v>497</v>
      </c>
      <c r="R548" t="s">
        <v>158</v>
      </c>
      <c r="S548" t="s">
        <v>159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225</v>
      </c>
      <c r="AD548" t="s">
        <v>230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230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499</v>
      </c>
      <c r="F549" t="s">
        <v>154</v>
      </c>
      <c r="G549" s="27">
        <v>44451</v>
      </c>
      <c r="H549" t="s">
        <v>109</v>
      </c>
      <c r="I549" t="s">
        <v>496</v>
      </c>
      <c r="J549" t="s">
        <v>222</v>
      </c>
      <c r="K549">
        <v>18</v>
      </c>
      <c r="L549" t="s">
        <v>155</v>
      </c>
      <c r="M549" t="s">
        <v>497</v>
      </c>
      <c r="R549" t="s">
        <v>158</v>
      </c>
      <c r="S549" t="s">
        <v>159</v>
      </c>
      <c r="T549" t="s">
        <v>124</v>
      </c>
      <c r="U549" t="s">
        <v>132</v>
      </c>
      <c r="V549" t="s">
        <v>234</v>
      </c>
      <c r="AA549">
        <v>2</v>
      </c>
      <c r="AB549" t="s">
        <v>100</v>
      </c>
      <c r="AC549" t="s">
        <v>242</v>
      </c>
      <c r="AD549" t="s">
        <v>135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135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500</v>
      </c>
      <c r="F550" t="s">
        <v>154</v>
      </c>
      <c r="G550" s="27">
        <v>44451</v>
      </c>
      <c r="H550" t="s">
        <v>109</v>
      </c>
      <c r="I550" t="s">
        <v>496</v>
      </c>
      <c r="J550" t="s">
        <v>222</v>
      </c>
      <c r="K550">
        <v>18</v>
      </c>
      <c r="L550" t="s">
        <v>155</v>
      </c>
      <c r="M550" t="s">
        <v>497</v>
      </c>
      <c r="R550" t="s">
        <v>158</v>
      </c>
      <c r="S550" t="s">
        <v>159</v>
      </c>
      <c r="T550" t="s">
        <v>124</v>
      </c>
      <c r="U550" t="s">
        <v>132</v>
      </c>
      <c r="V550" t="s">
        <v>181</v>
      </c>
      <c r="AA550">
        <v>2</v>
      </c>
      <c r="AB550" t="s">
        <v>99</v>
      </c>
      <c r="AC550" t="s">
        <v>262</v>
      </c>
      <c r="AD550" t="s">
        <v>180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180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501</v>
      </c>
      <c r="F551" t="s">
        <v>154</v>
      </c>
      <c r="G551" s="27">
        <v>44451</v>
      </c>
      <c r="H551" t="s">
        <v>109</v>
      </c>
      <c r="I551" t="s">
        <v>496</v>
      </c>
      <c r="J551" t="s">
        <v>222</v>
      </c>
      <c r="K551">
        <v>18</v>
      </c>
      <c r="L551" t="s">
        <v>155</v>
      </c>
      <c r="M551" t="s">
        <v>497</v>
      </c>
      <c r="R551" t="s">
        <v>158</v>
      </c>
      <c r="S551" t="s">
        <v>159</v>
      </c>
      <c r="T551" t="s">
        <v>124</v>
      </c>
      <c r="U551" t="s">
        <v>132</v>
      </c>
      <c r="V551" t="s">
        <v>136</v>
      </c>
      <c r="AA551">
        <v>2</v>
      </c>
      <c r="AB551" t="s">
        <v>100</v>
      </c>
      <c r="AC551" t="s">
        <v>308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502</v>
      </c>
      <c r="F552" t="s">
        <v>154</v>
      </c>
      <c r="G552" s="27">
        <v>44451</v>
      </c>
      <c r="H552" t="s">
        <v>109</v>
      </c>
      <c r="I552" t="s">
        <v>503</v>
      </c>
      <c r="J552" t="s">
        <v>222</v>
      </c>
      <c r="K552">
        <v>18</v>
      </c>
      <c r="L552" t="s">
        <v>155</v>
      </c>
      <c r="M552" t="s">
        <v>504</v>
      </c>
      <c r="R552" t="s">
        <v>158</v>
      </c>
      <c r="S552" t="s">
        <v>159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431</v>
      </c>
      <c r="AD552" t="s">
        <v>276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276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505</v>
      </c>
      <c r="F553" t="s">
        <v>154</v>
      </c>
      <c r="G553" s="27">
        <v>44821</v>
      </c>
      <c r="H553" t="s">
        <v>109</v>
      </c>
      <c r="I553" t="s">
        <v>506</v>
      </c>
      <c r="J553" t="s">
        <v>408</v>
      </c>
      <c r="K553">
        <v>18</v>
      </c>
      <c r="L553" t="s">
        <v>155</v>
      </c>
      <c r="M553" t="s">
        <v>507</v>
      </c>
      <c r="R553" t="s">
        <v>158</v>
      </c>
      <c r="S553" t="s">
        <v>159</v>
      </c>
      <c r="T553" t="s">
        <v>124</v>
      </c>
      <c r="U553" t="s">
        <v>132</v>
      </c>
      <c r="V553" t="s">
        <v>465</v>
      </c>
      <c r="AA553">
        <v>2</v>
      </c>
      <c r="AB553" t="s">
        <v>100</v>
      </c>
      <c r="AC553" t="s">
        <v>431</v>
      </c>
      <c r="AD553" t="s">
        <v>464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464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492</v>
      </c>
      <c r="F554" t="s">
        <v>154</v>
      </c>
      <c r="G554" s="27">
        <v>44430</v>
      </c>
      <c r="H554" t="s">
        <v>145</v>
      </c>
      <c r="I554" t="s">
        <v>493</v>
      </c>
      <c r="J554" t="s">
        <v>222</v>
      </c>
      <c r="K554">
        <v>18</v>
      </c>
      <c r="L554" t="s">
        <v>155</v>
      </c>
      <c r="M554" t="s">
        <v>494</v>
      </c>
      <c r="R554" t="s">
        <v>158</v>
      </c>
      <c r="S554" t="s">
        <v>159</v>
      </c>
      <c r="T554" t="s">
        <v>124</v>
      </c>
      <c r="U554" t="s">
        <v>276</v>
      </c>
      <c r="V554" t="s">
        <v>326</v>
      </c>
      <c r="AA554">
        <v>2</v>
      </c>
      <c r="AB554" t="s">
        <v>100</v>
      </c>
      <c r="AC554" t="s">
        <v>262</v>
      </c>
      <c r="AD554" t="s">
        <v>174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174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495</v>
      </c>
      <c r="F555" t="s">
        <v>154</v>
      </c>
      <c r="G555" s="27">
        <v>44451</v>
      </c>
      <c r="H555" t="s">
        <v>109</v>
      </c>
      <c r="I555" t="s">
        <v>496</v>
      </c>
      <c r="J555" t="s">
        <v>222</v>
      </c>
      <c r="K555">
        <v>18</v>
      </c>
      <c r="L555" t="s">
        <v>155</v>
      </c>
      <c r="M555" t="s">
        <v>497</v>
      </c>
      <c r="R555" t="s">
        <v>158</v>
      </c>
      <c r="S555" t="s">
        <v>159</v>
      </c>
      <c r="T555" t="s">
        <v>124</v>
      </c>
      <c r="U555" t="s">
        <v>276</v>
      </c>
      <c r="V555" t="s">
        <v>127</v>
      </c>
      <c r="AA555">
        <v>2</v>
      </c>
      <c r="AB555" t="s">
        <v>100</v>
      </c>
      <c r="AC555" t="s">
        <v>225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498</v>
      </c>
      <c r="F556" t="s">
        <v>154</v>
      </c>
      <c r="G556" s="27">
        <v>44451</v>
      </c>
      <c r="H556" t="s">
        <v>109</v>
      </c>
      <c r="I556" t="s">
        <v>496</v>
      </c>
      <c r="J556" t="s">
        <v>222</v>
      </c>
      <c r="K556">
        <v>18</v>
      </c>
      <c r="L556" t="s">
        <v>155</v>
      </c>
      <c r="M556" t="s">
        <v>497</v>
      </c>
      <c r="R556" t="s">
        <v>158</v>
      </c>
      <c r="S556" t="s">
        <v>159</v>
      </c>
      <c r="T556" t="s">
        <v>124</v>
      </c>
      <c r="U556" t="s">
        <v>276</v>
      </c>
      <c r="V556" t="s">
        <v>230</v>
      </c>
      <c r="AA556">
        <v>2</v>
      </c>
      <c r="AB556" t="s">
        <v>99</v>
      </c>
      <c r="AC556" t="s">
        <v>225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499</v>
      </c>
      <c r="F557" t="s">
        <v>154</v>
      </c>
      <c r="G557" s="27">
        <v>44451</v>
      </c>
      <c r="H557" t="s">
        <v>109</v>
      </c>
      <c r="I557" t="s">
        <v>496</v>
      </c>
      <c r="J557" t="s">
        <v>222</v>
      </c>
      <c r="K557">
        <v>18</v>
      </c>
      <c r="L557" t="s">
        <v>155</v>
      </c>
      <c r="M557" t="s">
        <v>497</v>
      </c>
      <c r="R557" t="s">
        <v>158</v>
      </c>
      <c r="S557" t="s">
        <v>159</v>
      </c>
      <c r="T557" t="s">
        <v>124</v>
      </c>
      <c r="U557" t="s">
        <v>276</v>
      </c>
      <c r="V557" t="s">
        <v>135</v>
      </c>
      <c r="AA557">
        <v>2</v>
      </c>
      <c r="AB557" t="s">
        <v>99</v>
      </c>
      <c r="AC557" t="s">
        <v>242</v>
      </c>
      <c r="AD557" t="s">
        <v>234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234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500</v>
      </c>
      <c r="F558" t="s">
        <v>154</v>
      </c>
      <c r="G558" s="27">
        <v>44451</v>
      </c>
      <c r="H558" t="s">
        <v>109</v>
      </c>
      <c r="I558" t="s">
        <v>496</v>
      </c>
      <c r="J558" t="s">
        <v>222</v>
      </c>
      <c r="K558">
        <v>18</v>
      </c>
      <c r="L558" t="s">
        <v>155</v>
      </c>
      <c r="M558" t="s">
        <v>497</v>
      </c>
      <c r="R558" t="s">
        <v>158</v>
      </c>
      <c r="S558" t="s">
        <v>159</v>
      </c>
      <c r="T558" t="s">
        <v>124</v>
      </c>
      <c r="U558" t="s">
        <v>276</v>
      </c>
      <c r="V558" t="s">
        <v>180</v>
      </c>
      <c r="AA558">
        <v>2</v>
      </c>
      <c r="AB558" t="s">
        <v>100</v>
      </c>
      <c r="AC558" t="s">
        <v>262</v>
      </c>
      <c r="AD558" t="s">
        <v>181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181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501</v>
      </c>
      <c r="F559" t="s">
        <v>154</v>
      </c>
      <c r="G559" s="27">
        <v>44451</v>
      </c>
      <c r="H559" t="s">
        <v>109</v>
      </c>
      <c r="I559" t="s">
        <v>496</v>
      </c>
      <c r="J559" t="s">
        <v>222</v>
      </c>
      <c r="K559">
        <v>18</v>
      </c>
      <c r="L559" t="s">
        <v>155</v>
      </c>
      <c r="M559" t="s">
        <v>497</v>
      </c>
      <c r="R559" t="s">
        <v>158</v>
      </c>
      <c r="S559" t="s">
        <v>159</v>
      </c>
      <c r="T559" t="s">
        <v>124</v>
      </c>
      <c r="U559" t="s">
        <v>276</v>
      </c>
      <c r="V559" t="s">
        <v>119</v>
      </c>
      <c r="AA559">
        <v>2</v>
      </c>
      <c r="AB559" t="s">
        <v>99</v>
      </c>
      <c r="AC559" t="s">
        <v>308</v>
      </c>
      <c r="AD559" t="s">
        <v>136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136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502</v>
      </c>
      <c r="F560" t="s">
        <v>154</v>
      </c>
      <c r="G560" s="27">
        <v>44451</v>
      </c>
      <c r="H560" t="s">
        <v>109</v>
      </c>
      <c r="I560" t="s">
        <v>503</v>
      </c>
      <c r="J560" t="s">
        <v>222</v>
      </c>
      <c r="K560">
        <v>18</v>
      </c>
      <c r="L560" t="s">
        <v>155</v>
      </c>
      <c r="M560" t="s">
        <v>504</v>
      </c>
      <c r="R560" t="s">
        <v>158</v>
      </c>
      <c r="S560" t="s">
        <v>159</v>
      </c>
      <c r="T560" t="s">
        <v>124</v>
      </c>
      <c r="U560" t="s">
        <v>276</v>
      </c>
      <c r="V560" t="s">
        <v>276</v>
      </c>
      <c r="AA560">
        <v>2</v>
      </c>
      <c r="AB560" t="s">
        <v>100</v>
      </c>
      <c r="AC560" t="s">
        <v>431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508</v>
      </c>
      <c r="F561" t="s">
        <v>272</v>
      </c>
      <c r="G561" s="27">
        <v>44757</v>
      </c>
      <c r="H561" t="s">
        <v>109</v>
      </c>
      <c r="I561" t="s">
        <v>221</v>
      </c>
      <c r="J561" t="s">
        <v>222</v>
      </c>
      <c r="K561">
        <v>9</v>
      </c>
      <c r="L561" t="s">
        <v>112</v>
      </c>
      <c r="M561" t="s">
        <v>223</v>
      </c>
      <c r="N561" t="s">
        <v>171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229</v>
      </c>
      <c r="V561" t="s">
        <v>135</v>
      </c>
      <c r="W561" t="s">
        <v>157</v>
      </c>
      <c r="Y561" t="s">
        <v>464</v>
      </c>
      <c r="AA561">
        <v>1</v>
      </c>
      <c r="AB561" t="s">
        <v>99</v>
      </c>
      <c r="AC561" t="s">
        <v>308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508</v>
      </c>
      <c r="F562" t="s">
        <v>272</v>
      </c>
      <c r="G562" s="27">
        <v>44757</v>
      </c>
      <c r="H562" t="s">
        <v>109</v>
      </c>
      <c r="I562" t="s">
        <v>221</v>
      </c>
      <c r="J562" t="s">
        <v>222</v>
      </c>
      <c r="K562">
        <v>9</v>
      </c>
      <c r="L562" t="s">
        <v>112</v>
      </c>
      <c r="M562" t="s">
        <v>223</v>
      </c>
      <c r="N562" t="s">
        <v>171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230</v>
      </c>
      <c r="V562" t="s">
        <v>127</v>
      </c>
      <c r="W562" t="s">
        <v>157</v>
      </c>
      <c r="Y562" t="s">
        <v>118</v>
      </c>
      <c r="AA562">
        <v>1</v>
      </c>
      <c r="AB562" t="s">
        <v>100</v>
      </c>
      <c r="AC562" t="s">
        <v>308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135</v>
      </c>
      <c r="AL562">
        <v>0.59375</v>
      </c>
      <c r="AM562" t="s">
        <v>464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509</v>
      </c>
      <c r="F563" t="s">
        <v>272</v>
      </c>
      <c r="G563" s="27">
        <v>44757</v>
      </c>
      <c r="H563" t="s">
        <v>109</v>
      </c>
      <c r="I563" t="s">
        <v>221</v>
      </c>
      <c r="J563" t="s">
        <v>222</v>
      </c>
      <c r="K563">
        <v>9</v>
      </c>
      <c r="L563" t="s">
        <v>112</v>
      </c>
      <c r="M563" t="s">
        <v>223</v>
      </c>
      <c r="N563" t="s">
        <v>171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230</v>
      </c>
      <c r="V563" t="s">
        <v>462</v>
      </c>
      <c r="W563" t="s">
        <v>157</v>
      </c>
      <c r="Y563" t="s">
        <v>230</v>
      </c>
      <c r="AA563">
        <v>1</v>
      </c>
      <c r="AB563" t="s">
        <v>100</v>
      </c>
      <c r="AC563" t="s">
        <v>225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326</v>
      </c>
      <c r="AL563">
        <v>0.46551724137931</v>
      </c>
      <c r="AM563" t="s">
        <v>136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509</v>
      </c>
      <c r="F564" t="s">
        <v>272</v>
      </c>
      <c r="G564" s="27">
        <v>44757</v>
      </c>
      <c r="H564" t="s">
        <v>109</v>
      </c>
      <c r="I564" t="s">
        <v>221</v>
      </c>
      <c r="J564" t="s">
        <v>222</v>
      </c>
      <c r="K564">
        <v>9</v>
      </c>
      <c r="L564" t="s">
        <v>112</v>
      </c>
      <c r="M564" t="s">
        <v>223</v>
      </c>
      <c r="N564" t="s">
        <v>171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229</v>
      </c>
      <c r="V564" t="s">
        <v>326</v>
      </c>
      <c r="W564" t="s">
        <v>157</v>
      </c>
      <c r="Y564" t="s">
        <v>136</v>
      </c>
      <c r="AA564">
        <v>1</v>
      </c>
      <c r="AB564" t="s">
        <v>99</v>
      </c>
      <c r="AC564" t="s">
        <v>225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462</v>
      </c>
      <c r="AL564">
        <v>0.54545454545454497</v>
      </c>
      <c r="AM564" t="s">
        <v>230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510</v>
      </c>
      <c r="F565" t="s">
        <v>272</v>
      </c>
      <c r="G565" s="27">
        <v>44757</v>
      </c>
      <c r="H565" t="s">
        <v>109</v>
      </c>
      <c r="I565" t="s">
        <v>221</v>
      </c>
      <c r="J565" t="s">
        <v>222</v>
      </c>
      <c r="K565">
        <v>9</v>
      </c>
      <c r="L565" t="s">
        <v>112</v>
      </c>
      <c r="M565" t="s">
        <v>223</v>
      </c>
      <c r="N565" t="s">
        <v>171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229</v>
      </c>
      <c r="V565" t="s">
        <v>180</v>
      </c>
      <c r="W565" t="s">
        <v>157</v>
      </c>
      <c r="Y565" t="s">
        <v>234</v>
      </c>
      <c r="AA565">
        <v>1</v>
      </c>
      <c r="AB565" t="s">
        <v>100</v>
      </c>
      <c r="AC565" t="s">
        <v>242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459</v>
      </c>
      <c r="AL565">
        <v>0.65909090909090895</v>
      </c>
      <c r="AM565" t="s">
        <v>178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510</v>
      </c>
      <c r="F566" t="s">
        <v>272</v>
      </c>
      <c r="G566" s="27">
        <v>44757</v>
      </c>
      <c r="H566" t="s">
        <v>109</v>
      </c>
      <c r="I566" t="s">
        <v>221</v>
      </c>
      <c r="J566" t="s">
        <v>222</v>
      </c>
      <c r="K566">
        <v>9</v>
      </c>
      <c r="L566" t="s">
        <v>112</v>
      </c>
      <c r="M566" t="s">
        <v>223</v>
      </c>
      <c r="N566" t="s">
        <v>171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230</v>
      </c>
      <c r="V566" t="s">
        <v>459</v>
      </c>
      <c r="W566" t="s">
        <v>157</v>
      </c>
      <c r="Y566" t="s">
        <v>178</v>
      </c>
      <c r="AA566">
        <v>1</v>
      </c>
      <c r="AB566" t="s">
        <v>99</v>
      </c>
      <c r="AC566" t="s">
        <v>242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180</v>
      </c>
      <c r="AL566">
        <v>0.34745762711864397</v>
      </c>
      <c r="AM566" t="s">
        <v>234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511</v>
      </c>
      <c r="F567" t="s">
        <v>272</v>
      </c>
      <c r="G567" s="27">
        <v>44757</v>
      </c>
      <c r="H567" t="s">
        <v>109</v>
      </c>
      <c r="I567" t="s">
        <v>221</v>
      </c>
      <c r="J567" t="s">
        <v>222</v>
      </c>
      <c r="K567">
        <v>9</v>
      </c>
      <c r="L567" t="s">
        <v>112</v>
      </c>
      <c r="M567" t="s">
        <v>223</v>
      </c>
      <c r="N567" t="s">
        <v>171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230</v>
      </c>
      <c r="V567" t="s">
        <v>174</v>
      </c>
      <c r="W567" t="s">
        <v>157</v>
      </c>
      <c r="Y567" t="s">
        <v>276</v>
      </c>
      <c r="AA567">
        <v>1</v>
      </c>
      <c r="AB567" t="s">
        <v>100</v>
      </c>
      <c r="AC567" t="s">
        <v>242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511</v>
      </c>
      <c r="F568" t="s">
        <v>272</v>
      </c>
      <c r="G568" s="27">
        <v>44757</v>
      </c>
      <c r="H568" t="s">
        <v>109</v>
      </c>
      <c r="I568" t="s">
        <v>221</v>
      </c>
      <c r="J568" t="s">
        <v>222</v>
      </c>
      <c r="K568">
        <v>9</v>
      </c>
      <c r="L568" t="s">
        <v>112</v>
      </c>
      <c r="M568" t="s">
        <v>223</v>
      </c>
      <c r="N568" t="s">
        <v>171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229</v>
      </c>
      <c r="V568" t="s">
        <v>122</v>
      </c>
      <c r="W568" t="s">
        <v>157</v>
      </c>
      <c r="Y568" t="s">
        <v>123</v>
      </c>
      <c r="AA568">
        <v>1</v>
      </c>
      <c r="AB568" t="s">
        <v>99</v>
      </c>
      <c r="AC568" t="s">
        <v>242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174</v>
      </c>
      <c r="AL568">
        <v>0.37288135593220301</v>
      </c>
      <c r="AM568" t="s">
        <v>276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512</v>
      </c>
      <c r="F569" t="s">
        <v>272</v>
      </c>
      <c r="G569" s="27">
        <v>44757</v>
      </c>
      <c r="H569" t="s">
        <v>109</v>
      </c>
      <c r="I569" t="s">
        <v>221</v>
      </c>
      <c r="J569" t="s">
        <v>222</v>
      </c>
      <c r="K569">
        <v>9</v>
      </c>
      <c r="L569" t="s">
        <v>112</v>
      </c>
      <c r="M569" t="s">
        <v>223</v>
      </c>
      <c r="N569" t="s">
        <v>171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229</v>
      </c>
      <c r="V569" t="s">
        <v>132</v>
      </c>
      <c r="W569" t="s">
        <v>157</v>
      </c>
      <c r="Y569" t="s">
        <v>181</v>
      </c>
      <c r="AA569">
        <v>1</v>
      </c>
      <c r="AB569" t="s">
        <v>100</v>
      </c>
      <c r="AC569" t="s">
        <v>416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512</v>
      </c>
      <c r="F570" t="s">
        <v>272</v>
      </c>
      <c r="G570" s="27">
        <v>44757</v>
      </c>
      <c r="H570" t="s">
        <v>109</v>
      </c>
      <c r="I570" t="s">
        <v>221</v>
      </c>
      <c r="J570" t="s">
        <v>222</v>
      </c>
      <c r="K570">
        <v>9</v>
      </c>
      <c r="L570" t="s">
        <v>112</v>
      </c>
      <c r="M570" t="s">
        <v>223</v>
      </c>
      <c r="N570" t="s">
        <v>171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230</v>
      </c>
      <c r="V570" t="s">
        <v>119</v>
      </c>
      <c r="W570" t="s">
        <v>157</v>
      </c>
      <c r="Y570" t="s">
        <v>130</v>
      </c>
      <c r="AA570">
        <v>1</v>
      </c>
      <c r="AB570" t="s">
        <v>99</v>
      </c>
      <c r="AC570" t="s">
        <v>308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181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513</v>
      </c>
      <c r="F571" t="s">
        <v>272</v>
      </c>
      <c r="G571" s="27">
        <v>44757</v>
      </c>
      <c r="H571" t="s">
        <v>109</v>
      </c>
      <c r="I571" t="s">
        <v>221</v>
      </c>
      <c r="J571" t="s">
        <v>222</v>
      </c>
      <c r="K571">
        <v>9</v>
      </c>
      <c r="L571" t="s">
        <v>138</v>
      </c>
      <c r="M571" t="s">
        <v>223</v>
      </c>
      <c r="N571" t="s">
        <v>171</v>
      </c>
      <c r="O571">
        <v>70.5</v>
      </c>
      <c r="P571">
        <v>134</v>
      </c>
      <c r="Q571">
        <v>6389</v>
      </c>
      <c r="R571" t="s">
        <v>373</v>
      </c>
      <c r="S571" t="s">
        <v>116</v>
      </c>
      <c r="U571" t="s">
        <v>229</v>
      </c>
      <c r="V571" t="s">
        <v>135</v>
      </c>
      <c r="W571" t="s">
        <v>157</v>
      </c>
      <c r="Y571" t="s">
        <v>464</v>
      </c>
      <c r="AA571">
        <v>1</v>
      </c>
      <c r="AB571" t="s">
        <v>99</v>
      </c>
      <c r="AC571" t="s">
        <v>228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513</v>
      </c>
      <c r="F572" t="s">
        <v>272</v>
      </c>
      <c r="G572" s="27">
        <v>44757</v>
      </c>
      <c r="H572" t="s">
        <v>109</v>
      </c>
      <c r="I572" t="s">
        <v>221</v>
      </c>
      <c r="J572" t="s">
        <v>222</v>
      </c>
      <c r="K572">
        <v>9</v>
      </c>
      <c r="L572" t="s">
        <v>138</v>
      </c>
      <c r="M572" t="s">
        <v>223</v>
      </c>
      <c r="N572" t="s">
        <v>171</v>
      </c>
      <c r="O572">
        <v>70.5</v>
      </c>
      <c r="P572">
        <v>134</v>
      </c>
      <c r="Q572">
        <v>6389</v>
      </c>
      <c r="R572" t="s">
        <v>373</v>
      </c>
      <c r="S572" t="s">
        <v>116</v>
      </c>
      <c r="U572" t="s">
        <v>230</v>
      </c>
      <c r="V572" t="s">
        <v>127</v>
      </c>
      <c r="W572" t="s">
        <v>157</v>
      </c>
      <c r="Y572" t="s">
        <v>118</v>
      </c>
      <c r="AA572">
        <v>1</v>
      </c>
      <c r="AB572" t="s">
        <v>100</v>
      </c>
      <c r="AC572" t="s">
        <v>228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135</v>
      </c>
      <c r="AL572">
        <v>0.59375</v>
      </c>
      <c r="AM572" t="s">
        <v>464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514</v>
      </c>
      <c r="F573" t="s">
        <v>272</v>
      </c>
      <c r="G573" s="27">
        <v>44757</v>
      </c>
      <c r="H573" t="s">
        <v>109</v>
      </c>
      <c r="I573" t="s">
        <v>221</v>
      </c>
      <c r="J573" t="s">
        <v>222</v>
      </c>
      <c r="K573">
        <v>9</v>
      </c>
      <c r="L573" t="s">
        <v>138</v>
      </c>
      <c r="M573" t="s">
        <v>223</v>
      </c>
      <c r="N573" t="s">
        <v>171</v>
      </c>
      <c r="O573">
        <v>70.5</v>
      </c>
      <c r="P573">
        <v>134</v>
      </c>
      <c r="Q573">
        <v>6389</v>
      </c>
      <c r="R573" t="s">
        <v>373</v>
      </c>
      <c r="S573" t="s">
        <v>116</v>
      </c>
      <c r="U573" t="s">
        <v>230</v>
      </c>
      <c r="V573" t="s">
        <v>462</v>
      </c>
      <c r="W573" t="s">
        <v>157</v>
      </c>
      <c r="Y573" t="s">
        <v>230</v>
      </c>
      <c r="AA573">
        <v>1</v>
      </c>
      <c r="AB573" t="s">
        <v>99</v>
      </c>
      <c r="AC573" t="s">
        <v>228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326</v>
      </c>
      <c r="AL573">
        <v>0.46551724137931</v>
      </c>
      <c r="AM573" t="s">
        <v>136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514</v>
      </c>
      <c r="F574" t="s">
        <v>272</v>
      </c>
      <c r="G574" s="27">
        <v>44757</v>
      </c>
      <c r="H574" t="s">
        <v>109</v>
      </c>
      <c r="I574" t="s">
        <v>221</v>
      </c>
      <c r="J574" t="s">
        <v>222</v>
      </c>
      <c r="K574">
        <v>9</v>
      </c>
      <c r="L574" t="s">
        <v>138</v>
      </c>
      <c r="M574" t="s">
        <v>223</v>
      </c>
      <c r="N574" t="s">
        <v>171</v>
      </c>
      <c r="O574">
        <v>70.5</v>
      </c>
      <c r="P574">
        <v>134</v>
      </c>
      <c r="Q574">
        <v>6389</v>
      </c>
      <c r="R574" t="s">
        <v>373</v>
      </c>
      <c r="S574" t="s">
        <v>116</v>
      </c>
      <c r="U574" t="s">
        <v>229</v>
      </c>
      <c r="V574" t="s">
        <v>326</v>
      </c>
      <c r="W574" t="s">
        <v>157</v>
      </c>
      <c r="Y574" t="s">
        <v>136</v>
      </c>
      <c r="AA574">
        <v>1</v>
      </c>
      <c r="AB574" t="s">
        <v>100</v>
      </c>
      <c r="AC574" t="s">
        <v>228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462</v>
      </c>
      <c r="AL574">
        <v>0.54545454545454497</v>
      </c>
      <c r="AM574" t="s">
        <v>230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515</v>
      </c>
      <c r="F575" t="s">
        <v>272</v>
      </c>
      <c r="G575" s="27">
        <v>44757</v>
      </c>
      <c r="H575" t="s">
        <v>109</v>
      </c>
      <c r="I575" t="s">
        <v>221</v>
      </c>
      <c r="J575" t="s">
        <v>222</v>
      </c>
      <c r="K575">
        <v>9</v>
      </c>
      <c r="L575" t="s">
        <v>138</v>
      </c>
      <c r="M575" t="s">
        <v>223</v>
      </c>
      <c r="N575" t="s">
        <v>171</v>
      </c>
      <c r="O575">
        <v>70.5</v>
      </c>
      <c r="P575">
        <v>134</v>
      </c>
      <c r="Q575">
        <v>6389</v>
      </c>
      <c r="R575" t="s">
        <v>373</v>
      </c>
      <c r="S575" t="s">
        <v>116</v>
      </c>
      <c r="U575" t="s">
        <v>229</v>
      </c>
      <c r="V575" t="s">
        <v>180</v>
      </c>
      <c r="W575" t="s">
        <v>157</v>
      </c>
      <c r="Y575" t="s">
        <v>234</v>
      </c>
      <c r="AA575">
        <v>1</v>
      </c>
      <c r="AB575" t="s">
        <v>100</v>
      </c>
      <c r="AC575" t="s">
        <v>228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459</v>
      </c>
      <c r="AL575">
        <v>0.65909090909090895</v>
      </c>
      <c r="AM575" t="s">
        <v>178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515</v>
      </c>
      <c r="F576" t="s">
        <v>272</v>
      </c>
      <c r="G576" s="27">
        <v>44757</v>
      </c>
      <c r="H576" t="s">
        <v>109</v>
      </c>
      <c r="I576" t="s">
        <v>221</v>
      </c>
      <c r="J576" t="s">
        <v>222</v>
      </c>
      <c r="K576">
        <v>9</v>
      </c>
      <c r="L576" t="s">
        <v>138</v>
      </c>
      <c r="M576" t="s">
        <v>223</v>
      </c>
      <c r="N576" t="s">
        <v>171</v>
      </c>
      <c r="O576">
        <v>70.5</v>
      </c>
      <c r="P576">
        <v>134</v>
      </c>
      <c r="Q576">
        <v>6389</v>
      </c>
      <c r="R576" t="s">
        <v>373</v>
      </c>
      <c r="S576" t="s">
        <v>116</v>
      </c>
      <c r="U576" t="s">
        <v>230</v>
      </c>
      <c r="V576" t="s">
        <v>459</v>
      </c>
      <c r="W576" t="s">
        <v>157</v>
      </c>
      <c r="Y576" t="s">
        <v>178</v>
      </c>
      <c r="AA576">
        <v>1</v>
      </c>
      <c r="AB576" t="s">
        <v>99</v>
      </c>
      <c r="AC576" t="s">
        <v>228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180</v>
      </c>
      <c r="AL576">
        <v>0.34745762711864397</v>
      </c>
      <c r="AM576" t="s">
        <v>234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516</v>
      </c>
      <c r="F577" t="s">
        <v>272</v>
      </c>
      <c r="G577" s="27">
        <v>44757</v>
      </c>
      <c r="H577" t="s">
        <v>109</v>
      </c>
      <c r="I577" t="s">
        <v>221</v>
      </c>
      <c r="J577" t="s">
        <v>222</v>
      </c>
      <c r="K577">
        <v>9</v>
      </c>
      <c r="L577" t="s">
        <v>138</v>
      </c>
      <c r="M577" t="s">
        <v>223</v>
      </c>
      <c r="N577" t="s">
        <v>171</v>
      </c>
      <c r="O577">
        <v>70.5</v>
      </c>
      <c r="P577">
        <v>134</v>
      </c>
      <c r="Q577">
        <v>6389</v>
      </c>
      <c r="R577" t="s">
        <v>373</v>
      </c>
      <c r="S577" t="s">
        <v>116</v>
      </c>
      <c r="U577" t="s">
        <v>230</v>
      </c>
      <c r="V577" t="s">
        <v>174</v>
      </c>
      <c r="W577" t="s">
        <v>157</v>
      </c>
      <c r="Y577" t="s">
        <v>276</v>
      </c>
      <c r="AA577">
        <v>1</v>
      </c>
      <c r="AB577" t="s">
        <v>100</v>
      </c>
      <c r="AC577" t="s">
        <v>225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516</v>
      </c>
      <c r="F578" t="s">
        <v>272</v>
      </c>
      <c r="G578" s="27">
        <v>44757</v>
      </c>
      <c r="H578" t="s">
        <v>109</v>
      </c>
      <c r="I578" t="s">
        <v>221</v>
      </c>
      <c r="J578" t="s">
        <v>222</v>
      </c>
      <c r="K578">
        <v>9</v>
      </c>
      <c r="L578" t="s">
        <v>138</v>
      </c>
      <c r="M578" t="s">
        <v>223</v>
      </c>
      <c r="N578" t="s">
        <v>171</v>
      </c>
      <c r="O578">
        <v>70.5</v>
      </c>
      <c r="P578">
        <v>134</v>
      </c>
      <c r="Q578">
        <v>6389</v>
      </c>
      <c r="R578" t="s">
        <v>373</v>
      </c>
      <c r="S578" t="s">
        <v>116</v>
      </c>
      <c r="U578" t="s">
        <v>229</v>
      </c>
      <c r="V578" t="s">
        <v>122</v>
      </c>
      <c r="W578" t="s">
        <v>157</v>
      </c>
      <c r="Y578" t="s">
        <v>123</v>
      </c>
      <c r="AA578">
        <v>1</v>
      </c>
      <c r="AB578" t="s">
        <v>99</v>
      </c>
      <c r="AC578" t="s">
        <v>225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174</v>
      </c>
      <c r="AL578">
        <v>0.37288135593220301</v>
      </c>
      <c r="AM578" t="s">
        <v>276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517</v>
      </c>
      <c r="F579" t="s">
        <v>272</v>
      </c>
      <c r="G579" s="27">
        <v>44757</v>
      </c>
      <c r="H579" t="s">
        <v>109</v>
      </c>
      <c r="I579" t="s">
        <v>221</v>
      </c>
      <c r="J579" t="s">
        <v>222</v>
      </c>
      <c r="K579">
        <v>9</v>
      </c>
      <c r="L579" t="s">
        <v>138</v>
      </c>
      <c r="M579" t="s">
        <v>223</v>
      </c>
      <c r="N579" t="s">
        <v>171</v>
      </c>
      <c r="O579">
        <v>70.5</v>
      </c>
      <c r="P579">
        <v>134</v>
      </c>
      <c r="Q579">
        <v>6389</v>
      </c>
      <c r="R579" t="s">
        <v>373</v>
      </c>
      <c r="S579" t="s">
        <v>116</v>
      </c>
      <c r="U579" t="s">
        <v>229</v>
      </c>
      <c r="V579" t="s">
        <v>132</v>
      </c>
      <c r="W579" t="s">
        <v>157</v>
      </c>
      <c r="Y579" t="s">
        <v>181</v>
      </c>
      <c r="AA579">
        <v>1</v>
      </c>
      <c r="AB579" t="s">
        <v>99</v>
      </c>
      <c r="AC579" t="s">
        <v>242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517</v>
      </c>
      <c r="F580" t="s">
        <v>272</v>
      </c>
      <c r="G580" s="27">
        <v>44757</v>
      </c>
      <c r="H580" t="s">
        <v>109</v>
      </c>
      <c r="I580" t="s">
        <v>221</v>
      </c>
      <c r="J580" t="s">
        <v>222</v>
      </c>
      <c r="K580">
        <v>9</v>
      </c>
      <c r="L580" t="s">
        <v>138</v>
      </c>
      <c r="M580" t="s">
        <v>223</v>
      </c>
      <c r="N580" t="s">
        <v>171</v>
      </c>
      <c r="O580">
        <v>70.5</v>
      </c>
      <c r="P580">
        <v>134</v>
      </c>
      <c r="Q580">
        <v>6389</v>
      </c>
      <c r="R580" t="s">
        <v>373</v>
      </c>
      <c r="S580" t="s">
        <v>116</v>
      </c>
      <c r="U580" t="s">
        <v>230</v>
      </c>
      <c r="V580" t="s">
        <v>119</v>
      </c>
      <c r="W580" t="s">
        <v>157</v>
      </c>
      <c r="Y580" t="s">
        <v>130</v>
      </c>
      <c r="AA580">
        <v>1</v>
      </c>
      <c r="AB580" t="s">
        <v>100</v>
      </c>
      <c r="AC580" t="s">
        <v>242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181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518</v>
      </c>
      <c r="F581" t="s">
        <v>272</v>
      </c>
      <c r="G581" s="27">
        <v>44757</v>
      </c>
      <c r="H581" t="s">
        <v>145</v>
      </c>
      <c r="I581" t="s">
        <v>221</v>
      </c>
      <c r="J581" t="s">
        <v>222</v>
      </c>
      <c r="K581">
        <v>9</v>
      </c>
      <c r="L581" t="s">
        <v>112</v>
      </c>
      <c r="M581" t="s">
        <v>223</v>
      </c>
      <c r="N581" t="s">
        <v>171</v>
      </c>
      <c r="O581">
        <v>70.5</v>
      </c>
      <c r="P581">
        <v>134</v>
      </c>
      <c r="Q581">
        <v>6389</v>
      </c>
      <c r="R581" t="s">
        <v>146</v>
      </c>
      <c r="S581" t="s">
        <v>116</v>
      </c>
      <c r="U581" t="s">
        <v>229</v>
      </c>
      <c r="V581" t="s">
        <v>234</v>
      </c>
      <c r="W581" t="s">
        <v>157</v>
      </c>
      <c r="Y581" t="s">
        <v>464</v>
      </c>
      <c r="AA581">
        <v>1</v>
      </c>
      <c r="AB581" t="s">
        <v>99</v>
      </c>
      <c r="AC581" t="s">
        <v>242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230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518</v>
      </c>
      <c r="F582" t="s">
        <v>272</v>
      </c>
      <c r="G582" s="27">
        <v>44757</v>
      </c>
      <c r="H582" t="s">
        <v>145</v>
      </c>
      <c r="I582" t="s">
        <v>221</v>
      </c>
      <c r="J582" t="s">
        <v>222</v>
      </c>
      <c r="K582">
        <v>9</v>
      </c>
      <c r="L582" t="s">
        <v>112</v>
      </c>
      <c r="M582" t="s">
        <v>223</v>
      </c>
      <c r="N582" t="s">
        <v>171</v>
      </c>
      <c r="O582">
        <v>70.5</v>
      </c>
      <c r="P582">
        <v>134</v>
      </c>
      <c r="Q582">
        <v>6389</v>
      </c>
      <c r="R582" t="s">
        <v>146</v>
      </c>
      <c r="S582" t="s">
        <v>116</v>
      </c>
      <c r="U582" t="s">
        <v>230</v>
      </c>
      <c r="V582" t="s">
        <v>127</v>
      </c>
      <c r="W582" t="s">
        <v>157</v>
      </c>
      <c r="Y582" t="s">
        <v>230</v>
      </c>
      <c r="AA582">
        <v>1</v>
      </c>
      <c r="AB582" t="s">
        <v>100</v>
      </c>
      <c r="AC582" t="s">
        <v>242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234</v>
      </c>
      <c r="AL582">
        <v>0.5</v>
      </c>
      <c r="AM582" t="s">
        <v>464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519</v>
      </c>
      <c r="F583" t="s">
        <v>272</v>
      </c>
      <c r="G583" s="27">
        <v>44757</v>
      </c>
      <c r="H583" t="s">
        <v>145</v>
      </c>
      <c r="I583" t="s">
        <v>221</v>
      </c>
      <c r="J583" t="s">
        <v>222</v>
      </c>
      <c r="K583">
        <v>9</v>
      </c>
      <c r="L583" t="s">
        <v>112</v>
      </c>
      <c r="M583" t="s">
        <v>223</v>
      </c>
      <c r="N583" t="s">
        <v>171</v>
      </c>
      <c r="O583">
        <v>70.5</v>
      </c>
      <c r="P583">
        <v>134</v>
      </c>
      <c r="Q583">
        <v>6389</v>
      </c>
      <c r="R583" t="s">
        <v>146</v>
      </c>
      <c r="S583" t="s">
        <v>116</v>
      </c>
      <c r="U583" t="s">
        <v>230</v>
      </c>
      <c r="V583" t="s">
        <v>178</v>
      </c>
      <c r="W583" t="s">
        <v>157</v>
      </c>
      <c r="Y583" t="s">
        <v>130</v>
      </c>
      <c r="AA583">
        <v>1</v>
      </c>
      <c r="AB583" t="s">
        <v>99</v>
      </c>
      <c r="AC583" t="s">
        <v>242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326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519</v>
      </c>
      <c r="F584" t="s">
        <v>272</v>
      </c>
      <c r="G584" s="27">
        <v>44757</v>
      </c>
      <c r="H584" t="s">
        <v>145</v>
      </c>
      <c r="I584" t="s">
        <v>221</v>
      </c>
      <c r="J584" t="s">
        <v>222</v>
      </c>
      <c r="K584">
        <v>9</v>
      </c>
      <c r="L584" t="s">
        <v>112</v>
      </c>
      <c r="M584" t="s">
        <v>223</v>
      </c>
      <c r="N584" t="s">
        <v>171</v>
      </c>
      <c r="O584">
        <v>70.5</v>
      </c>
      <c r="P584">
        <v>134</v>
      </c>
      <c r="Q584">
        <v>6389</v>
      </c>
      <c r="R584" t="s">
        <v>146</v>
      </c>
      <c r="S584" t="s">
        <v>116</v>
      </c>
      <c r="U584" t="s">
        <v>229</v>
      </c>
      <c r="V584" t="s">
        <v>326</v>
      </c>
      <c r="W584" t="s">
        <v>157</v>
      </c>
      <c r="Y584" t="s">
        <v>132</v>
      </c>
      <c r="AA584">
        <v>1</v>
      </c>
      <c r="AB584" t="s">
        <v>100</v>
      </c>
      <c r="AC584" t="s">
        <v>242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178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520</v>
      </c>
      <c r="F585" t="s">
        <v>272</v>
      </c>
      <c r="G585" s="27">
        <v>44757</v>
      </c>
      <c r="H585" t="s">
        <v>145</v>
      </c>
      <c r="I585" t="s">
        <v>221</v>
      </c>
      <c r="J585" t="s">
        <v>222</v>
      </c>
      <c r="K585">
        <v>9</v>
      </c>
      <c r="L585" t="s">
        <v>112</v>
      </c>
      <c r="M585" t="s">
        <v>223</v>
      </c>
      <c r="N585" t="s">
        <v>171</v>
      </c>
      <c r="O585">
        <v>70.5</v>
      </c>
      <c r="P585">
        <v>134</v>
      </c>
      <c r="Q585">
        <v>6389</v>
      </c>
      <c r="R585" t="s">
        <v>146</v>
      </c>
      <c r="S585" t="s">
        <v>116</v>
      </c>
      <c r="U585" t="s">
        <v>229</v>
      </c>
      <c r="V585" t="s">
        <v>181</v>
      </c>
      <c r="W585" t="s">
        <v>157</v>
      </c>
      <c r="Y585" t="s">
        <v>123</v>
      </c>
      <c r="AA585">
        <v>1</v>
      </c>
      <c r="AB585" t="s">
        <v>101</v>
      </c>
      <c r="AC585" t="s">
        <v>140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276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520</v>
      </c>
      <c r="F586" t="s">
        <v>272</v>
      </c>
      <c r="G586" s="27">
        <v>44757</v>
      </c>
      <c r="H586" t="s">
        <v>145</v>
      </c>
      <c r="I586" t="s">
        <v>221</v>
      </c>
      <c r="J586" t="s">
        <v>222</v>
      </c>
      <c r="K586">
        <v>9</v>
      </c>
      <c r="L586" t="s">
        <v>112</v>
      </c>
      <c r="M586" t="s">
        <v>223</v>
      </c>
      <c r="N586" t="s">
        <v>171</v>
      </c>
      <c r="O586">
        <v>70.5</v>
      </c>
      <c r="P586">
        <v>134</v>
      </c>
      <c r="Q586">
        <v>6389</v>
      </c>
      <c r="R586" t="s">
        <v>146</v>
      </c>
      <c r="S586" t="s">
        <v>116</v>
      </c>
      <c r="U586" t="s">
        <v>230</v>
      </c>
      <c r="V586" t="s">
        <v>118</v>
      </c>
      <c r="W586" t="s">
        <v>157</v>
      </c>
      <c r="Y586" t="s">
        <v>276</v>
      </c>
      <c r="AA586">
        <v>1</v>
      </c>
      <c r="AB586" t="s">
        <v>101</v>
      </c>
      <c r="AC586" t="s">
        <v>140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181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521</v>
      </c>
      <c r="F587" t="s">
        <v>272</v>
      </c>
      <c r="G587" s="27">
        <v>44757</v>
      </c>
      <c r="H587" t="s">
        <v>145</v>
      </c>
      <c r="I587" t="s">
        <v>221</v>
      </c>
      <c r="J587" t="s">
        <v>222</v>
      </c>
      <c r="K587">
        <v>9</v>
      </c>
      <c r="L587" t="s">
        <v>112</v>
      </c>
      <c r="M587" t="s">
        <v>223</v>
      </c>
      <c r="N587" t="s">
        <v>171</v>
      </c>
      <c r="O587">
        <v>70.5</v>
      </c>
      <c r="P587">
        <v>134</v>
      </c>
      <c r="Q587">
        <v>6389</v>
      </c>
      <c r="R587" t="s">
        <v>146</v>
      </c>
      <c r="S587" t="s">
        <v>116</v>
      </c>
      <c r="U587" t="s">
        <v>230</v>
      </c>
      <c r="V587" t="s">
        <v>462</v>
      </c>
      <c r="W587" t="s">
        <v>157</v>
      </c>
      <c r="Y587" t="s">
        <v>119</v>
      </c>
      <c r="AA587">
        <v>1</v>
      </c>
      <c r="AB587" t="s">
        <v>101</v>
      </c>
      <c r="AC587" t="s">
        <v>140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135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521</v>
      </c>
      <c r="F588" t="s">
        <v>272</v>
      </c>
      <c r="G588" s="27">
        <v>44757</v>
      </c>
      <c r="H588" t="s">
        <v>145</v>
      </c>
      <c r="I588" t="s">
        <v>221</v>
      </c>
      <c r="J588" t="s">
        <v>222</v>
      </c>
      <c r="K588">
        <v>9</v>
      </c>
      <c r="L588" t="s">
        <v>112</v>
      </c>
      <c r="M588" t="s">
        <v>223</v>
      </c>
      <c r="N588" t="s">
        <v>171</v>
      </c>
      <c r="O588">
        <v>70.5</v>
      </c>
      <c r="P588">
        <v>134</v>
      </c>
      <c r="Q588">
        <v>6389</v>
      </c>
      <c r="R588" t="s">
        <v>146</v>
      </c>
      <c r="S588" t="s">
        <v>116</v>
      </c>
      <c r="U588" t="s">
        <v>229</v>
      </c>
      <c r="V588" t="s">
        <v>135</v>
      </c>
      <c r="W588" t="s">
        <v>157</v>
      </c>
      <c r="Y588" t="s">
        <v>122</v>
      </c>
      <c r="AA588">
        <v>1</v>
      </c>
      <c r="AB588" t="s">
        <v>101</v>
      </c>
      <c r="AC588" t="s">
        <v>140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462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522</v>
      </c>
      <c r="F589" t="s">
        <v>272</v>
      </c>
      <c r="G589" s="27">
        <v>44757</v>
      </c>
      <c r="H589" t="s">
        <v>145</v>
      </c>
      <c r="I589" t="s">
        <v>221</v>
      </c>
      <c r="J589" t="s">
        <v>222</v>
      </c>
      <c r="K589">
        <v>9</v>
      </c>
      <c r="L589" t="s">
        <v>112</v>
      </c>
      <c r="M589" t="s">
        <v>223</v>
      </c>
      <c r="N589" t="s">
        <v>171</v>
      </c>
      <c r="O589">
        <v>70.5</v>
      </c>
      <c r="P589">
        <v>134</v>
      </c>
      <c r="Q589">
        <v>6389</v>
      </c>
      <c r="R589" t="s">
        <v>146</v>
      </c>
      <c r="S589" t="s">
        <v>116</v>
      </c>
      <c r="U589" t="s">
        <v>229</v>
      </c>
      <c r="V589" t="s">
        <v>180</v>
      </c>
      <c r="W589" t="s">
        <v>157</v>
      </c>
      <c r="Y589" t="s">
        <v>136</v>
      </c>
      <c r="AA589">
        <v>1</v>
      </c>
      <c r="AB589" t="s">
        <v>100</v>
      </c>
      <c r="AC589" t="s">
        <v>260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459</v>
      </c>
      <c r="AL589">
        <v>0.65909090909090895</v>
      </c>
      <c r="AM589" t="s">
        <v>174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522</v>
      </c>
      <c r="F590" t="s">
        <v>272</v>
      </c>
      <c r="G590" s="27">
        <v>44757</v>
      </c>
      <c r="H590" t="s">
        <v>145</v>
      </c>
      <c r="I590" t="s">
        <v>221</v>
      </c>
      <c r="J590" t="s">
        <v>222</v>
      </c>
      <c r="K590">
        <v>9</v>
      </c>
      <c r="L590" t="s">
        <v>112</v>
      </c>
      <c r="M590" t="s">
        <v>223</v>
      </c>
      <c r="N590" t="s">
        <v>171</v>
      </c>
      <c r="O590">
        <v>70.5</v>
      </c>
      <c r="P590">
        <v>134</v>
      </c>
      <c r="Q590">
        <v>6389</v>
      </c>
      <c r="R590" t="s">
        <v>146</v>
      </c>
      <c r="S590" t="s">
        <v>116</v>
      </c>
      <c r="U590" t="s">
        <v>230</v>
      </c>
      <c r="V590" t="s">
        <v>459</v>
      </c>
      <c r="W590" t="s">
        <v>157</v>
      </c>
      <c r="Y590" t="s">
        <v>174</v>
      </c>
      <c r="AA590">
        <v>1</v>
      </c>
      <c r="AB590" t="s">
        <v>99</v>
      </c>
      <c r="AC590" t="s">
        <v>260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180</v>
      </c>
      <c r="AL590">
        <v>0.34745762711864397</v>
      </c>
      <c r="AM590" t="s">
        <v>136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523</v>
      </c>
      <c r="F591" t="s">
        <v>272</v>
      </c>
      <c r="G591" s="27">
        <v>44757</v>
      </c>
      <c r="H591" t="s">
        <v>145</v>
      </c>
      <c r="I591" t="s">
        <v>221</v>
      </c>
      <c r="J591" t="s">
        <v>222</v>
      </c>
      <c r="K591">
        <v>9</v>
      </c>
      <c r="L591" t="s">
        <v>138</v>
      </c>
      <c r="M591" t="s">
        <v>223</v>
      </c>
      <c r="N591" t="s">
        <v>171</v>
      </c>
      <c r="O591">
        <v>70.5</v>
      </c>
      <c r="P591">
        <v>134</v>
      </c>
      <c r="Q591">
        <v>6389</v>
      </c>
      <c r="R591" t="s">
        <v>199</v>
      </c>
      <c r="S591" t="s">
        <v>116</v>
      </c>
      <c r="U591" t="s">
        <v>229</v>
      </c>
      <c r="V591" t="s">
        <v>234</v>
      </c>
      <c r="W591" t="s">
        <v>157</v>
      </c>
      <c r="Y591" t="s">
        <v>464</v>
      </c>
      <c r="AA591">
        <v>1</v>
      </c>
      <c r="AB591" t="s">
        <v>99</v>
      </c>
      <c r="AC591" t="s">
        <v>242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230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523</v>
      </c>
      <c r="F592" t="s">
        <v>272</v>
      </c>
      <c r="G592" s="27">
        <v>44757</v>
      </c>
      <c r="H592" t="s">
        <v>145</v>
      </c>
      <c r="I592" t="s">
        <v>221</v>
      </c>
      <c r="J592" t="s">
        <v>222</v>
      </c>
      <c r="K592">
        <v>9</v>
      </c>
      <c r="L592" t="s">
        <v>138</v>
      </c>
      <c r="M592" t="s">
        <v>223</v>
      </c>
      <c r="N592" t="s">
        <v>171</v>
      </c>
      <c r="O592">
        <v>70.5</v>
      </c>
      <c r="P592">
        <v>134</v>
      </c>
      <c r="Q592">
        <v>6389</v>
      </c>
      <c r="R592" t="s">
        <v>199</v>
      </c>
      <c r="S592" t="s">
        <v>116</v>
      </c>
      <c r="U592" t="s">
        <v>230</v>
      </c>
      <c r="V592" t="s">
        <v>127</v>
      </c>
      <c r="W592" t="s">
        <v>157</v>
      </c>
      <c r="Y592" t="s">
        <v>230</v>
      </c>
      <c r="AA592">
        <v>1</v>
      </c>
      <c r="AB592" t="s">
        <v>100</v>
      </c>
      <c r="AC592" t="s">
        <v>242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234</v>
      </c>
      <c r="AL592">
        <v>0.5</v>
      </c>
      <c r="AM592" t="s">
        <v>464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524</v>
      </c>
      <c r="F593" t="s">
        <v>272</v>
      </c>
      <c r="G593" s="27">
        <v>44757</v>
      </c>
      <c r="H593" t="s">
        <v>145</v>
      </c>
      <c r="I593" t="s">
        <v>221</v>
      </c>
      <c r="J593" t="s">
        <v>222</v>
      </c>
      <c r="K593">
        <v>9</v>
      </c>
      <c r="L593" t="s">
        <v>138</v>
      </c>
      <c r="M593" t="s">
        <v>223</v>
      </c>
      <c r="N593" t="s">
        <v>171</v>
      </c>
      <c r="O593">
        <v>70.5</v>
      </c>
      <c r="P593">
        <v>134</v>
      </c>
      <c r="Q593">
        <v>6389</v>
      </c>
      <c r="R593" t="s">
        <v>199</v>
      </c>
      <c r="S593" t="s">
        <v>116</v>
      </c>
      <c r="U593" t="s">
        <v>230</v>
      </c>
      <c r="V593" t="s">
        <v>178</v>
      </c>
      <c r="W593" t="s">
        <v>157</v>
      </c>
      <c r="Y593" t="s">
        <v>130</v>
      </c>
      <c r="AA593">
        <v>1</v>
      </c>
      <c r="AB593" t="s">
        <v>99</v>
      </c>
      <c r="AC593" t="s">
        <v>242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326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524</v>
      </c>
      <c r="F594" t="s">
        <v>272</v>
      </c>
      <c r="G594" s="27">
        <v>44757</v>
      </c>
      <c r="H594" t="s">
        <v>145</v>
      </c>
      <c r="I594" t="s">
        <v>221</v>
      </c>
      <c r="J594" t="s">
        <v>222</v>
      </c>
      <c r="K594">
        <v>9</v>
      </c>
      <c r="L594" t="s">
        <v>138</v>
      </c>
      <c r="M594" t="s">
        <v>223</v>
      </c>
      <c r="N594" t="s">
        <v>171</v>
      </c>
      <c r="O594">
        <v>70.5</v>
      </c>
      <c r="P594">
        <v>134</v>
      </c>
      <c r="Q594">
        <v>6389</v>
      </c>
      <c r="R594" t="s">
        <v>199</v>
      </c>
      <c r="S594" t="s">
        <v>116</v>
      </c>
      <c r="U594" t="s">
        <v>229</v>
      </c>
      <c r="V594" t="s">
        <v>326</v>
      </c>
      <c r="W594" t="s">
        <v>157</v>
      </c>
      <c r="Y594" t="s">
        <v>132</v>
      </c>
      <c r="AA594">
        <v>1</v>
      </c>
      <c r="AB594" t="s">
        <v>100</v>
      </c>
      <c r="AC594" t="s">
        <v>242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178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525</v>
      </c>
      <c r="F595" t="s">
        <v>272</v>
      </c>
      <c r="G595" s="27">
        <v>44757</v>
      </c>
      <c r="H595" t="s">
        <v>145</v>
      </c>
      <c r="I595" t="s">
        <v>221</v>
      </c>
      <c r="J595" t="s">
        <v>222</v>
      </c>
      <c r="K595">
        <v>9</v>
      </c>
      <c r="L595" t="s">
        <v>138</v>
      </c>
      <c r="M595" t="s">
        <v>223</v>
      </c>
      <c r="N595" t="s">
        <v>171</v>
      </c>
      <c r="O595">
        <v>70.5</v>
      </c>
      <c r="P595">
        <v>134</v>
      </c>
      <c r="Q595">
        <v>6389</v>
      </c>
      <c r="R595" t="s">
        <v>199</v>
      </c>
      <c r="S595" t="s">
        <v>116</v>
      </c>
      <c r="U595" t="s">
        <v>229</v>
      </c>
      <c r="V595" t="s">
        <v>181</v>
      </c>
      <c r="W595" t="s">
        <v>157</v>
      </c>
      <c r="Y595" t="s">
        <v>123</v>
      </c>
      <c r="AA595">
        <v>1</v>
      </c>
      <c r="AB595" t="s">
        <v>99</v>
      </c>
      <c r="AC595" t="s">
        <v>267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276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525</v>
      </c>
      <c r="F596" t="s">
        <v>272</v>
      </c>
      <c r="G596" s="27">
        <v>44757</v>
      </c>
      <c r="H596" t="s">
        <v>145</v>
      </c>
      <c r="I596" t="s">
        <v>221</v>
      </c>
      <c r="J596" t="s">
        <v>222</v>
      </c>
      <c r="K596">
        <v>9</v>
      </c>
      <c r="L596" t="s">
        <v>138</v>
      </c>
      <c r="M596" t="s">
        <v>223</v>
      </c>
      <c r="N596" t="s">
        <v>171</v>
      </c>
      <c r="O596">
        <v>70.5</v>
      </c>
      <c r="P596">
        <v>134</v>
      </c>
      <c r="Q596">
        <v>6389</v>
      </c>
      <c r="R596" t="s">
        <v>199</v>
      </c>
      <c r="S596" t="s">
        <v>116</v>
      </c>
      <c r="U596" t="s">
        <v>230</v>
      </c>
      <c r="V596" t="s">
        <v>118</v>
      </c>
      <c r="W596" t="s">
        <v>157</v>
      </c>
      <c r="Y596" t="s">
        <v>276</v>
      </c>
      <c r="AA596">
        <v>1</v>
      </c>
      <c r="AB596" t="s">
        <v>100</v>
      </c>
      <c r="AC596" t="s">
        <v>267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181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526</v>
      </c>
      <c r="F597" t="s">
        <v>272</v>
      </c>
      <c r="G597" s="27">
        <v>44757</v>
      </c>
      <c r="H597" t="s">
        <v>145</v>
      </c>
      <c r="I597" t="s">
        <v>221</v>
      </c>
      <c r="J597" t="s">
        <v>222</v>
      </c>
      <c r="K597">
        <v>9</v>
      </c>
      <c r="L597" t="s">
        <v>138</v>
      </c>
      <c r="M597" t="s">
        <v>223</v>
      </c>
      <c r="N597" t="s">
        <v>171</v>
      </c>
      <c r="O597">
        <v>70.5</v>
      </c>
      <c r="P597">
        <v>134</v>
      </c>
      <c r="Q597">
        <v>6389</v>
      </c>
      <c r="R597" t="s">
        <v>199</v>
      </c>
      <c r="S597" t="s">
        <v>116</v>
      </c>
      <c r="U597" t="s">
        <v>230</v>
      </c>
      <c r="V597" t="s">
        <v>462</v>
      </c>
      <c r="W597" t="s">
        <v>157</v>
      </c>
      <c r="Y597" t="s">
        <v>119</v>
      </c>
      <c r="AA597">
        <v>1</v>
      </c>
      <c r="AB597" t="s">
        <v>100</v>
      </c>
      <c r="AC597" t="s">
        <v>527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135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526</v>
      </c>
      <c r="F598" t="s">
        <v>272</v>
      </c>
      <c r="G598" s="27">
        <v>44757</v>
      </c>
      <c r="H598" t="s">
        <v>145</v>
      </c>
      <c r="I598" t="s">
        <v>221</v>
      </c>
      <c r="J598" t="s">
        <v>222</v>
      </c>
      <c r="K598">
        <v>9</v>
      </c>
      <c r="L598" t="s">
        <v>138</v>
      </c>
      <c r="M598" t="s">
        <v>223</v>
      </c>
      <c r="N598" t="s">
        <v>171</v>
      </c>
      <c r="O598">
        <v>70.5</v>
      </c>
      <c r="P598">
        <v>134</v>
      </c>
      <c r="Q598">
        <v>6389</v>
      </c>
      <c r="R598" t="s">
        <v>199</v>
      </c>
      <c r="S598" t="s">
        <v>116</v>
      </c>
      <c r="U598" t="s">
        <v>229</v>
      </c>
      <c r="V598" t="s">
        <v>135</v>
      </c>
      <c r="W598" t="s">
        <v>157</v>
      </c>
      <c r="Y598" t="s">
        <v>122</v>
      </c>
      <c r="AA598">
        <v>1</v>
      </c>
      <c r="AB598" t="s">
        <v>99</v>
      </c>
      <c r="AC598" t="s">
        <v>308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462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528</v>
      </c>
      <c r="F599" t="s">
        <v>272</v>
      </c>
      <c r="G599" s="27">
        <v>44757</v>
      </c>
      <c r="H599" t="s">
        <v>145</v>
      </c>
      <c r="I599" t="s">
        <v>221</v>
      </c>
      <c r="J599" t="s">
        <v>222</v>
      </c>
      <c r="K599">
        <v>9</v>
      </c>
      <c r="L599" t="s">
        <v>138</v>
      </c>
      <c r="M599" t="s">
        <v>223</v>
      </c>
      <c r="N599" t="s">
        <v>171</v>
      </c>
      <c r="O599">
        <v>70.5</v>
      </c>
      <c r="P599">
        <v>134</v>
      </c>
      <c r="Q599">
        <v>6389</v>
      </c>
      <c r="R599" t="s">
        <v>199</v>
      </c>
      <c r="S599" t="s">
        <v>116</v>
      </c>
      <c r="U599" t="s">
        <v>229</v>
      </c>
      <c r="V599" t="s">
        <v>180</v>
      </c>
      <c r="W599" t="s">
        <v>157</v>
      </c>
      <c r="Y599" t="s">
        <v>136</v>
      </c>
      <c r="AA599">
        <v>1</v>
      </c>
      <c r="AB599" t="s">
        <v>100</v>
      </c>
      <c r="AC599" t="s">
        <v>308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459</v>
      </c>
      <c r="AL599">
        <v>0.65909090909090895</v>
      </c>
      <c r="AM599" t="s">
        <v>174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528</v>
      </c>
      <c r="F600" t="s">
        <v>272</v>
      </c>
      <c r="G600" s="27">
        <v>44757</v>
      </c>
      <c r="H600" t="s">
        <v>145</v>
      </c>
      <c r="I600" t="s">
        <v>221</v>
      </c>
      <c r="J600" t="s">
        <v>222</v>
      </c>
      <c r="K600">
        <v>9</v>
      </c>
      <c r="L600" t="s">
        <v>138</v>
      </c>
      <c r="M600" t="s">
        <v>223</v>
      </c>
      <c r="N600" t="s">
        <v>171</v>
      </c>
      <c r="O600">
        <v>70.5</v>
      </c>
      <c r="P600">
        <v>134</v>
      </c>
      <c r="Q600">
        <v>6389</v>
      </c>
      <c r="R600" t="s">
        <v>199</v>
      </c>
      <c r="S600" t="s">
        <v>116</v>
      </c>
      <c r="U600" t="s">
        <v>230</v>
      </c>
      <c r="V600" t="s">
        <v>459</v>
      </c>
      <c r="W600" t="s">
        <v>157</v>
      </c>
      <c r="Y600" t="s">
        <v>174</v>
      </c>
      <c r="AA600">
        <v>1</v>
      </c>
      <c r="AB600" t="s">
        <v>99</v>
      </c>
      <c r="AC600" t="s">
        <v>308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180</v>
      </c>
      <c r="AL600">
        <v>0.34745762711864397</v>
      </c>
      <c r="AM600" t="s">
        <v>136</v>
      </c>
    </row>
    <row r="601" spans="2:40" ht="15" customHeight="1" x14ac:dyDescent="0.2">
      <c r="B601" t="s">
        <v>304</v>
      </c>
      <c r="D601">
        <v>9</v>
      </c>
      <c r="E601" t="s">
        <v>529</v>
      </c>
      <c r="F601" t="s">
        <v>272</v>
      </c>
      <c r="G601" s="27">
        <v>44757</v>
      </c>
      <c r="H601" t="s">
        <v>145</v>
      </c>
      <c r="I601" t="s">
        <v>221</v>
      </c>
      <c r="J601" t="s">
        <v>222</v>
      </c>
      <c r="K601">
        <v>9</v>
      </c>
      <c r="L601" t="s">
        <v>112</v>
      </c>
      <c r="M601" t="s">
        <v>223</v>
      </c>
      <c r="N601" t="s">
        <v>171</v>
      </c>
      <c r="O601">
        <v>70.5</v>
      </c>
      <c r="P601">
        <v>134</v>
      </c>
      <c r="Q601">
        <v>6389</v>
      </c>
      <c r="R601" t="s">
        <v>307</v>
      </c>
      <c r="S601" t="s">
        <v>307</v>
      </c>
      <c r="U601" t="s">
        <v>229</v>
      </c>
      <c r="V601" t="s">
        <v>130</v>
      </c>
      <c r="W601" t="s">
        <v>157</v>
      </c>
      <c r="AA601">
        <v>0.5</v>
      </c>
      <c r="AB601" t="s">
        <v>99</v>
      </c>
      <c r="AC601" t="s">
        <v>267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304</v>
      </c>
      <c r="D602">
        <v>9</v>
      </c>
      <c r="E602" t="s">
        <v>529</v>
      </c>
      <c r="F602" t="s">
        <v>272</v>
      </c>
      <c r="G602" s="27">
        <v>44757</v>
      </c>
      <c r="H602" t="s">
        <v>145</v>
      </c>
      <c r="I602" t="s">
        <v>221</v>
      </c>
      <c r="J602" t="s">
        <v>222</v>
      </c>
      <c r="K602">
        <v>9</v>
      </c>
      <c r="L602" t="s">
        <v>112</v>
      </c>
      <c r="M602" t="s">
        <v>223</v>
      </c>
      <c r="N602" t="s">
        <v>171</v>
      </c>
      <c r="O602">
        <v>70.5</v>
      </c>
      <c r="P602">
        <v>134</v>
      </c>
      <c r="Q602">
        <v>6389</v>
      </c>
      <c r="R602" t="s">
        <v>307</v>
      </c>
      <c r="S602" t="s">
        <v>307</v>
      </c>
      <c r="U602" t="s">
        <v>229</v>
      </c>
      <c r="V602" t="s">
        <v>118</v>
      </c>
      <c r="W602" t="s">
        <v>157</v>
      </c>
      <c r="AA602">
        <v>0.5</v>
      </c>
      <c r="AB602" t="s">
        <v>99</v>
      </c>
      <c r="AC602" t="s">
        <v>267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304</v>
      </c>
      <c r="D603">
        <v>9</v>
      </c>
      <c r="E603" t="s">
        <v>529</v>
      </c>
      <c r="F603" t="s">
        <v>272</v>
      </c>
      <c r="G603" s="27">
        <v>44757</v>
      </c>
      <c r="H603" t="s">
        <v>145</v>
      </c>
      <c r="I603" t="s">
        <v>221</v>
      </c>
      <c r="J603" t="s">
        <v>222</v>
      </c>
      <c r="K603">
        <v>9</v>
      </c>
      <c r="L603" t="s">
        <v>112</v>
      </c>
      <c r="M603" t="s">
        <v>223</v>
      </c>
      <c r="N603" t="s">
        <v>171</v>
      </c>
      <c r="O603">
        <v>70.5</v>
      </c>
      <c r="P603">
        <v>134</v>
      </c>
      <c r="Q603">
        <v>6389</v>
      </c>
      <c r="R603" t="s">
        <v>307</v>
      </c>
      <c r="S603" t="s">
        <v>307</v>
      </c>
      <c r="U603" t="s">
        <v>229</v>
      </c>
      <c r="V603" t="s">
        <v>276</v>
      </c>
      <c r="W603" t="s">
        <v>157</v>
      </c>
      <c r="AA603">
        <v>0.5</v>
      </c>
      <c r="AB603" t="s">
        <v>99</v>
      </c>
      <c r="AC603" t="s">
        <v>267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304</v>
      </c>
      <c r="D604">
        <v>9</v>
      </c>
      <c r="E604" t="s">
        <v>529</v>
      </c>
      <c r="F604" t="s">
        <v>272</v>
      </c>
      <c r="G604" s="27">
        <v>44757</v>
      </c>
      <c r="H604" t="s">
        <v>145</v>
      </c>
      <c r="I604" t="s">
        <v>221</v>
      </c>
      <c r="J604" t="s">
        <v>222</v>
      </c>
      <c r="K604">
        <v>9</v>
      </c>
      <c r="L604" t="s">
        <v>112</v>
      </c>
      <c r="M604" t="s">
        <v>223</v>
      </c>
      <c r="N604" t="s">
        <v>171</v>
      </c>
      <c r="O604">
        <v>70.5</v>
      </c>
      <c r="P604">
        <v>134</v>
      </c>
      <c r="Q604">
        <v>6389</v>
      </c>
      <c r="R604" t="s">
        <v>307</v>
      </c>
      <c r="S604" t="s">
        <v>307</v>
      </c>
      <c r="U604" t="s">
        <v>229</v>
      </c>
      <c r="V604" t="s">
        <v>230</v>
      </c>
      <c r="W604" t="s">
        <v>157</v>
      </c>
      <c r="AA604">
        <v>0.5</v>
      </c>
      <c r="AB604" t="s">
        <v>99</v>
      </c>
      <c r="AC604" t="s">
        <v>267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304</v>
      </c>
      <c r="D605">
        <v>9</v>
      </c>
      <c r="E605" t="s">
        <v>529</v>
      </c>
      <c r="F605" t="s">
        <v>272</v>
      </c>
      <c r="G605" s="27">
        <v>44757</v>
      </c>
      <c r="H605" t="s">
        <v>145</v>
      </c>
      <c r="I605" t="s">
        <v>221</v>
      </c>
      <c r="J605" t="s">
        <v>222</v>
      </c>
      <c r="K605">
        <v>9</v>
      </c>
      <c r="L605" t="s">
        <v>112</v>
      </c>
      <c r="M605" t="s">
        <v>223</v>
      </c>
      <c r="N605" t="s">
        <v>171</v>
      </c>
      <c r="O605">
        <v>70.5</v>
      </c>
      <c r="P605">
        <v>134</v>
      </c>
      <c r="Q605">
        <v>6389</v>
      </c>
      <c r="R605" t="s">
        <v>307</v>
      </c>
      <c r="S605" t="s">
        <v>307</v>
      </c>
      <c r="U605" t="s">
        <v>229</v>
      </c>
      <c r="V605" t="s">
        <v>119</v>
      </c>
      <c r="W605" t="s">
        <v>157</v>
      </c>
      <c r="AA605">
        <v>0.5</v>
      </c>
      <c r="AB605" t="s">
        <v>99</v>
      </c>
      <c r="AC605" t="s">
        <v>267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304</v>
      </c>
      <c r="D606">
        <v>9</v>
      </c>
      <c r="E606" t="s">
        <v>529</v>
      </c>
      <c r="F606" t="s">
        <v>272</v>
      </c>
      <c r="G606" s="27">
        <v>44757</v>
      </c>
      <c r="H606" t="s">
        <v>145</v>
      </c>
      <c r="I606" t="s">
        <v>221</v>
      </c>
      <c r="J606" t="s">
        <v>222</v>
      </c>
      <c r="K606">
        <v>9</v>
      </c>
      <c r="L606" t="s">
        <v>112</v>
      </c>
      <c r="M606" t="s">
        <v>223</v>
      </c>
      <c r="N606" t="s">
        <v>171</v>
      </c>
      <c r="O606">
        <v>70.5</v>
      </c>
      <c r="P606">
        <v>134</v>
      </c>
      <c r="Q606">
        <v>6389</v>
      </c>
      <c r="R606" t="s">
        <v>307</v>
      </c>
      <c r="S606" t="s">
        <v>307</v>
      </c>
      <c r="U606" t="s">
        <v>229</v>
      </c>
      <c r="V606" t="s">
        <v>178</v>
      </c>
      <c r="W606" t="s">
        <v>157</v>
      </c>
      <c r="AA606">
        <v>0.5</v>
      </c>
      <c r="AB606" t="s">
        <v>99</v>
      </c>
      <c r="AC606" t="s">
        <v>267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304</v>
      </c>
      <c r="D607">
        <v>9</v>
      </c>
      <c r="E607" t="s">
        <v>529</v>
      </c>
      <c r="F607" t="s">
        <v>272</v>
      </c>
      <c r="G607" s="27">
        <v>44757</v>
      </c>
      <c r="H607" t="s">
        <v>145</v>
      </c>
      <c r="I607" t="s">
        <v>221</v>
      </c>
      <c r="J607" t="s">
        <v>222</v>
      </c>
      <c r="K607">
        <v>9</v>
      </c>
      <c r="L607" t="s">
        <v>112</v>
      </c>
      <c r="M607" t="s">
        <v>223</v>
      </c>
      <c r="N607" t="s">
        <v>171</v>
      </c>
      <c r="O607">
        <v>70.5</v>
      </c>
      <c r="P607">
        <v>134</v>
      </c>
      <c r="Q607">
        <v>6389</v>
      </c>
      <c r="R607" t="s">
        <v>307</v>
      </c>
      <c r="S607" t="s">
        <v>307</v>
      </c>
      <c r="U607" t="s">
        <v>229</v>
      </c>
      <c r="V607" t="s">
        <v>462</v>
      </c>
      <c r="W607" t="s">
        <v>157</v>
      </c>
      <c r="AA607">
        <v>0.5</v>
      </c>
      <c r="AB607" t="s">
        <v>99</v>
      </c>
      <c r="AC607" t="s">
        <v>267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304</v>
      </c>
      <c r="D608">
        <v>9</v>
      </c>
      <c r="E608" t="s">
        <v>529</v>
      </c>
      <c r="F608" t="s">
        <v>272</v>
      </c>
      <c r="G608" s="27">
        <v>44757</v>
      </c>
      <c r="H608" t="s">
        <v>145</v>
      </c>
      <c r="I608" t="s">
        <v>221</v>
      </c>
      <c r="J608" t="s">
        <v>222</v>
      </c>
      <c r="K608">
        <v>9</v>
      </c>
      <c r="L608" t="s">
        <v>112</v>
      </c>
      <c r="M608" t="s">
        <v>223</v>
      </c>
      <c r="N608" t="s">
        <v>171</v>
      </c>
      <c r="O608">
        <v>70.5</v>
      </c>
      <c r="P608">
        <v>134</v>
      </c>
      <c r="Q608">
        <v>6389</v>
      </c>
      <c r="R608" t="s">
        <v>307</v>
      </c>
      <c r="S608" t="s">
        <v>307</v>
      </c>
      <c r="U608" t="s">
        <v>229</v>
      </c>
      <c r="V608" t="s">
        <v>127</v>
      </c>
      <c r="W608" t="s">
        <v>157</v>
      </c>
      <c r="AA608">
        <v>0.5</v>
      </c>
      <c r="AB608" t="s">
        <v>99</v>
      </c>
      <c r="AC608" t="s">
        <v>267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304</v>
      </c>
      <c r="D609">
        <v>9</v>
      </c>
      <c r="E609" t="s">
        <v>529</v>
      </c>
      <c r="F609" t="s">
        <v>272</v>
      </c>
      <c r="G609" s="27">
        <v>44757</v>
      </c>
      <c r="H609" t="s">
        <v>145</v>
      </c>
      <c r="I609" t="s">
        <v>221</v>
      </c>
      <c r="J609" t="s">
        <v>222</v>
      </c>
      <c r="K609">
        <v>9</v>
      </c>
      <c r="L609" t="s">
        <v>112</v>
      </c>
      <c r="M609" t="s">
        <v>223</v>
      </c>
      <c r="N609" t="s">
        <v>171</v>
      </c>
      <c r="O609">
        <v>70.5</v>
      </c>
      <c r="P609">
        <v>134</v>
      </c>
      <c r="Q609">
        <v>6389</v>
      </c>
      <c r="R609" t="s">
        <v>307</v>
      </c>
      <c r="S609" t="s">
        <v>307</v>
      </c>
      <c r="U609" t="s">
        <v>229</v>
      </c>
      <c r="V609" t="s">
        <v>459</v>
      </c>
      <c r="W609" t="s">
        <v>157</v>
      </c>
      <c r="AA609">
        <v>0.5</v>
      </c>
      <c r="AB609" t="s">
        <v>99</v>
      </c>
      <c r="AC609" t="s">
        <v>267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304</v>
      </c>
      <c r="D610">
        <v>9</v>
      </c>
      <c r="E610" t="s">
        <v>529</v>
      </c>
      <c r="F610" t="s">
        <v>272</v>
      </c>
      <c r="G610" s="27">
        <v>44757</v>
      </c>
      <c r="H610" t="s">
        <v>145</v>
      </c>
      <c r="I610" t="s">
        <v>221</v>
      </c>
      <c r="J610" t="s">
        <v>222</v>
      </c>
      <c r="K610">
        <v>9</v>
      </c>
      <c r="L610" t="s">
        <v>112</v>
      </c>
      <c r="M610" t="s">
        <v>223</v>
      </c>
      <c r="N610" t="s">
        <v>171</v>
      </c>
      <c r="O610">
        <v>70.5</v>
      </c>
      <c r="P610">
        <v>134</v>
      </c>
      <c r="Q610">
        <v>6389</v>
      </c>
      <c r="R610" t="s">
        <v>307</v>
      </c>
      <c r="S610" t="s">
        <v>307</v>
      </c>
      <c r="U610" t="s">
        <v>229</v>
      </c>
      <c r="V610" t="s">
        <v>174</v>
      </c>
      <c r="W610" t="s">
        <v>157</v>
      </c>
      <c r="AA610">
        <v>0.5</v>
      </c>
      <c r="AB610" t="s">
        <v>99</v>
      </c>
      <c r="AC610" t="s">
        <v>267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304</v>
      </c>
      <c r="D611">
        <v>9</v>
      </c>
      <c r="E611" t="s">
        <v>529</v>
      </c>
      <c r="F611" t="s">
        <v>272</v>
      </c>
      <c r="G611" s="27">
        <v>44757</v>
      </c>
      <c r="H611" t="s">
        <v>145</v>
      </c>
      <c r="I611" t="s">
        <v>221</v>
      </c>
      <c r="J611" t="s">
        <v>222</v>
      </c>
      <c r="K611">
        <v>9</v>
      </c>
      <c r="L611" t="s">
        <v>112</v>
      </c>
      <c r="M611" t="s">
        <v>223</v>
      </c>
      <c r="N611" t="s">
        <v>171</v>
      </c>
      <c r="O611">
        <v>70.5</v>
      </c>
      <c r="P611">
        <v>134</v>
      </c>
      <c r="Q611">
        <v>6389</v>
      </c>
      <c r="R611" t="s">
        <v>307</v>
      </c>
      <c r="S611" t="s">
        <v>307</v>
      </c>
      <c r="U611" t="s">
        <v>230</v>
      </c>
      <c r="V611" t="s">
        <v>234</v>
      </c>
      <c r="W611" t="s">
        <v>157</v>
      </c>
      <c r="AA611">
        <v>0.5</v>
      </c>
      <c r="AB611" t="s">
        <v>100</v>
      </c>
      <c r="AC611" t="s">
        <v>267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304</v>
      </c>
      <c r="D612">
        <v>9</v>
      </c>
      <c r="E612" t="s">
        <v>529</v>
      </c>
      <c r="F612" t="s">
        <v>272</v>
      </c>
      <c r="G612" s="27">
        <v>44757</v>
      </c>
      <c r="H612" t="s">
        <v>145</v>
      </c>
      <c r="I612" t="s">
        <v>221</v>
      </c>
      <c r="J612" t="s">
        <v>222</v>
      </c>
      <c r="K612">
        <v>9</v>
      </c>
      <c r="L612" t="s">
        <v>112</v>
      </c>
      <c r="M612" t="s">
        <v>223</v>
      </c>
      <c r="N612" t="s">
        <v>171</v>
      </c>
      <c r="O612">
        <v>70.5</v>
      </c>
      <c r="P612">
        <v>134</v>
      </c>
      <c r="Q612">
        <v>6389</v>
      </c>
      <c r="R612" t="s">
        <v>307</v>
      </c>
      <c r="S612" t="s">
        <v>307</v>
      </c>
      <c r="U612" t="s">
        <v>230</v>
      </c>
      <c r="V612" t="s">
        <v>132</v>
      </c>
      <c r="W612" t="s">
        <v>157</v>
      </c>
      <c r="AA612">
        <v>0.5</v>
      </c>
      <c r="AB612" t="s">
        <v>100</v>
      </c>
      <c r="AC612" t="s">
        <v>267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304</v>
      </c>
      <c r="D613">
        <v>9</v>
      </c>
      <c r="E613" t="s">
        <v>529</v>
      </c>
      <c r="F613" t="s">
        <v>272</v>
      </c>
      <c r="G613" s="27">
        <v>44757</v>
      </c>
      <c r="H613" t="s">
        <v>145</v>
      </c>
      <c r="I613" t="s">
        <v>221</v>
      </c>
      <c r="J613" t="s">
        <v>222</v>
      </c>
      <c r="K613">
        <v>9</v>
      </c>
      <c r="L613" t="s">
        <v>112</v>
      </c>
      <c r="M613" t="s">
        <v>223</v>
      </c>
      <c r="N613" t="s">
        <v>171</v>
      </c>
      <c r="O613">
        <v>70.5</v>
      </c>
      <c r="P613">
        <v>134</v>
      </c>
      <c r="Q613">
        <v>6389</v>
      </c>
      <c r="R613" t="s">
        <v>307</v>
      </c>
      <c r="S613" t="s">
        <v>307</v>
      </c>
      <c r="U613" t="s">
        <v>230</v>
      </c>
      <c r="V613" t="s">
        <v>135</v>
      </c>
      <c r="W613" t="s">
        <v>157</v>
      </c>
      <c r="AA613">
        <v>0.5</v>
      </c>
      <c r="AB613" t="s">
        <v>100</v>
      </c>
      <c r="AC613" t="s">
        <v>267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304</v>
      </c>
      <c r="D614">
        <v>9</v>
      </c>
      <c r="E614" t="s">
        <v>529</v>
      </c>
      <c r="F614" t="s">
        <v>272</v>
      </c>
      <c r="G614" s="27">
        <v>44757</v>
      </c>
      <c r="H614" t="s">
        <v>145</v>
      </c>
      <c r="I614" t="s">
        <v>221</v>
      </c>
      <c r="J614" t="s">
        <v>222</v>
      </c>
      <c r="K614">
        <v>9</v>
      </c>
      <c r="L614" t="s">
        <v>112</v>
      </c>
      <c r="M614" t="s">
        <v>223</v>
      </c>
      <c r="N614" t="s">
        <v>171</v>
      </c>
      <c r="O614">
        <v>70.5</v>
      </c>
      <c r="P614">
        <v>134</v>
      </c>
      <c r="Q614">
        <v>6389</v>
      </c>
      <c r="R614" t="s">
        <v>307</v>
      </c>
      <c r="S614" t="s">
        <v>307</v>
      </c>
      <c r="U614" t="s">
        <v>230</v>
      </c>
      <c r="V614" t="s">
        <v>123</v>
      </c>
      <c r="W614" t="s">
        <v>157</v>
      </c>
      <c r="AA614">
        <v>0.5</v>
      </c>
      <c r="AB614" t="s">
        <v>100</v>
      </c>
      <c r="AC614" t="s">
        <v>267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304</v>
      </c>
      <c r="D615">
        <v>9</v>
      </c>
      <c r="E615" t="s">
        <v>529</v>
      </c>
      <c r="F615" t="s">
        <v>272</v>
      </c>
      <c r="G615" s="27">
        <v>44757</v>
      </c>
      <c r="H615" t="s">
        <v>145</v>
      </c>
      <c r="I615" t="s">
        <v>221</v>
      </c>
      <c r="J615" t="s">
        <v>222</v>
      </c>
      <c r="K615">
        <v>9</v>
      </c>
      <c r="L615" t="s">
        <v>112</v>
      </c>
      <c r="M615" t="s">
        <v>223</v>
      </c>
      <c r="N615" t="s">
        <v>171</v>
      </c>
      <c r="O615">
        <v>70.5</v>
      </c>
      <c r="P615">
        <v>134</v>
      </c>
      <c r="Q615">
        <v>6389</v>
      </c>
      <c r="R615" t="s">
        <v>307</v>
      </c>
      <c r="S615" t="s">
        <v>307</v>
      </c>
      <c r="U615" t="s">
        <v>230</v>
      </c>
      <c r="V615" t="s">
        <v>464</v>
      </c>
      <c r="W615" t="s">
        <v>157</v>
      </c>
      <c r="AA615">
        <v>0.5</v>
      </c>
      <c r="AB615" t="s">
        <v>100</v>
      </c>
      <c r="AC615" t="s">
        <v>267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304</v>
      </c>
      <c r="D616">
        <v>9</v>
      </c>
      <c r="E616" t="s">
        <v>529</v>
      </c>
      <c r="F616" t="s">
        <v>272</v>
      </c>
      <c r="G616" s="27">
        <v>44757</v>
      </c>
      <c r="H616" t="s">
        <v>145</v>
      </c>
      <c r="I616" t="s">
        <v>221</v>
      </c>
      <c r="J616" t="s">
        <v>222</v>
      </c>
      <c r="K616">
        <v>9</v>
      </c>
      <c r="L616" t="s">
        <v>112</v>
      </c>
      <c r="M616" t="s">
        <v>223</v>
      </c>
      <c r="N616" t="s">
        <v>171</v>
      </c>
      <c r="O616">
        <v>70.5</v>
      </c>
      <c r="P616">
        <v>134</v>
      </c>
      <c r="Q616">
        <v>6389</v>
      </c>
      <c r="R616" t="s">
        <v>307</v>
      </c>
      <c r="S616" t="s">
        <v>307</v>
      </c>
      <c r="U616" t="s">
        <v>230</v>
      </c>
      <c r="V616" t="s">
        <v>326</v>
      </c>
      <c r="W616" t="s">
        <v>157</v>
      </c>
      <c r="AA616">
        <v>0.5</v>
      </c>
      <c r="AB616" t="s">
        <v>100</v>
      </c>
      <c r="AC616" t="s">
        <v>267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304</v>
      </c>
      <c r="D617">
        <v>9</v>
      </c>
      <c r="E617" t="s">
        <v>529</v>
      </c>
      <c r="F617" t="s">
        <v>272</v>
      </c>
      <c r="G617" s="27">
        <v>44757</v>
      </c>
      <c r="H617" t="s">
        <v>145</v>
      </c>
      <c r="I617" t="s">
        <v>221</v>
      </c>
      <c r="J617" t="s">
        <v>222</v>
      </c>
      <c r="K617">
        <v>9</v>
      </c>
      <c r="L617" t="s">
        <v>112</v>
      </c>
      <c r="M617" t="s">
        <v>223</v>
      </c>
      <c r="N617" t="s">
        <v>171</v>
      </c>
      <c r="O617">
        <v>70.5</v>
      </c>
      <c r="P617">
        <v>134</v>
      </c>
      <c r="Q617">
        <v>6389</v>
      </c>
      <c r="R617" t="s">
        <v>307</v>
      </c>
      <c r="S617" t="s">
        <v>307</v>
      </c>
      <c r="U617" t="s">
        <v>230</v>
      </c>
      <c r="V617" t="s">
        <v>136</v>
      </c>
      <c r="W617" t="s">
        <v>157</v>
      </c>
      <c r="AA617">
        <v>0.5</v>
      </c>
      <c r="AB617" t="s">
        <v>100</v>
      </c>
      <c r="AC617" t="s">
        <v>267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304</v>
      </c>
      <c r="D618">
        <v>9</v>
      </c>
      <c r="E618" t="s">
        <v>529</v>
      </c>
      <c r="F618" t="s">
        <v>272</v>
      </c>
      <c r="G618" s="27">
        <v>44757</v>
      </c>
      <c r="H618" t="s">
        <v>145</v>
      </c>
      <c r="I618" t="s">
        <v>221</v>
      </c>
      <c r="J618" t="s">
        <v>222</v>
      </c>
      <c r="K618">
        <v>9</v>
      </c>
      <c r="L618" t="s">
        <v>112</v>
      </c>
      <c r="M618" t="s">
        <v>223</v>
      </c>
      <c r="N618" t="s">
        <v>171</v>
      </c>
      <c r="O618">
        <v>70.5</v>
      </c>
      <c r="P618">
        <v>134</v>
      </c>
      <c r="Q618">
        <v>6389</v>
      </c>
      <c r="R618" t="s">
        <v>307</v>
      </c>
      <c r="S618" t="s">
        <v>307</v>
      </c>
      <c r="U618" t="s">
        <v>230</v>
      </c>
      <c r="V618" t="s">
        <v>181</v>
      </c>
      <c r="W618" t="s">
        <v>157</v>
      </c>
      <c r="AA618">
        <v>0.5</v>
      </c>
      <c r="AB618" t="s">
        <v>100</v>
      </c>
      <c r="AC618" t="s">
        <v>267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304</v>
      </c>
      <c r="D619">
        <v>9</v>
      </c>
      <c r="E619" t="s">
        <v>529</v>
      </c>
      <c r="F619" t="s">
        <v>272</v>
      </c>
      <c r="G619" s="27">
        <v>44757</v>
      </c>
      <c r="H619" t="s">
        <v>145</v>
      </c>
      <c r="I619" t="s">
        <v>221</v>
      </c>
      <c r="J619" t="s">
        <v>222</v>
      </c>
      <c r="K619">
        <v>9</v>
      </c>
      <c r="L619" t="s">
        <v>112</v>
      </c>
      <c r="M619" t="s">
        <v>223</v>
      </c>
      <c r="N619" t="s">
        <v>171</v>
      </c>
      <c r="O619">
        <v>70.5</v>
      </c>
      <c r="P619">
        <v>134</v>
      </c>
      <c r="Q619">
        <v>6389</v>
      </c>
      <c r="R619" t="s">
        <v>307</v>
      </c>
      <c r="S619" t="s">
        <v>307</v>
      </c>
      <c r="U619" t="s">
        <v>230</v>
      </c>
      <c r="V619" t="s">
        <v>122</v>
      </c>
      <c r="W619" t="s">
        <v>157</v>
      </c>
      <c r="AA619">
        <v>0.5</v>
      </c>
      <c r="AB619" t="s">
        <v>100</v>
      </c>
      <c r="AC619" t="s">
        <v>267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304</v>
      </c>
      <c r="D620">
        <v>9</v>
      </c>
      <c r="E620" t="s">
        <v>529</v>
      </c>
      <c r="F620" t="s">
        <v>272</v>
      </c>
      <c r="G620" s="27">
        <v>44757</v>
      </c>
      <c r="H620" t="s">
        <v>145</v>
      </c>
      <c r="I620" t="s">
        <v>221</v>
      </c>
      <c r="J620" t="s">
        <v>222</v>
      </c>
      <c r="K620">
        <v>9</v>
      </c>
      <c r="L620" t="s">
        <v>112</v>
      </c>
      <c r="M620" t="s">
        <v>223</v>
      </c>
      <c r="N620" t="s">
        <v>171</v>
      </c>
      <c r="O620">
        <v>70.5</v>
      </c>
      <c r="P620">
        <v>134</v>
      </c>
      <c r="Q620">
        <v>6389</v>
      </c>
      <c r="R620" t="s">
        <v>307</v>
      </c>
      <c r="S620" t="s">
        <v>307</v>
      </c>
      <c r="U620" t="s">
        <v>230</v>
      </c>
      <c r="V620" t="s">
        <v>180</v>
      </c>
      <c r="W620" t="s">
        <v>157</v>
      </c>
      <c r="AA620">
        <v>0.5</v>
      </c>
      <c r="AB620" t="s">
        <v>100</v>
      </c>
      <c r="AC620" t="s">
        <v>267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530</v>
      </c>
      <c r="F621" t="s">
        <v>108</v>
      </c>
      <c r="G621" s="27">
        <v>44758</v>
      </c>
      <c r="H621" t="s">
        <v>109</v>
      </c>
      <c r="I621" t="s">
        <v>221</v>
      </c>
      <c r="J621" t="s">
        <v>222</v>
      </c>
      <c r="K621">
        <v>18</v>
      </c>
      <c r="L621" t="s">
        <v>155</v>
      </c>
      <c r="M621" t="s">
        <v>223</v>
      </c>
      <c r="N621" t="s">
        <v>171</v>
      </c>
      <c r="O621">
        <v>70.5</v>
      </c>
      <c r="P621">
        <v>134</v>
      </c>
      <c r="Q621">
        <v>6389</v>
      </c>
      <c r="R621" t="s">
        <v>158</v>
      </c>
      <c r="S621" t="s">
        <v>159</v>
      </c>
      <c r="U621" t="s">
        <v>229</v>
      </c>
      <c r="V621" t="s">
        <v>123</v>
      </c>
      <c r="AA621">
        <v>2</v>
      </c>
      <c r="AB621" t="s">
        <v>99</v>
      </c>
      <c r="AC621" t="s">
        <v>228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531</v>
      </c>
      <c r="F622" t="s">
        <v>108</v>
      </c>
      <c r="G622" s="27">
        <v>44758</v>
      </c>
      <c r="H622" t="s">
        <v>109</v>
      </c>
      <c r="I622" t="s">
        <v>221</v>
      </c>
      <c r="J622" t="s">
        <v>222</v>
      </c>
      <c r="K622">
        <v>18</v>
      </c>
      <c r="L622" t="s">
        <v>155</v>
      </c>
      <c r="M622" t="s">
        <v>223</v>
      </c>
      <c r="N622" t="s">
        <v>171</v>
      </c>
      <c r="O622">
        <v>70.5</v>
      </c>
      <c r="P622">
        <v>134</v>
      </c>
      <c r="Q622">
        <v>6389</v>
      </c>
      <c r="R622" t="s">
        <v>158</v>
      </c>
      <c r="S622" t="s">
        <v>159</v>
      </c>
      <c r="U622" t="s">
        <v>229</v>
      </c>
      <c r="V622" t="s">
        <v>181</v>
      </c>
      <c r="AA622">
        <v>2</v>
      </c>
      <c r="AB622" t="s">
        <v>100</v>
      </c>
      <c r="AC622" t="s">
        <v>267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532</v>
      </c>
      <c r="F623" t="s">
        <v>108</v>
      </c>
      <c r="G623" s="27">
        <v>44758</v>
      </c>
      <c r="H623" t="s">
        <v>109</v>
      </c>
      <c r="I623" t="s">
        <v>221</v>
      </c>
      <c r="J623" t="s">
        <v>222</v>
      </c>
      <c r="K623">
        <v>18</v>
      </c>
      <c r="L623" t="s">
        <v>155</v>
      </c>
      <c r="M623" t="s">
        <v>223</v>
      </c>
      <c r="N623" t="s">
        <v>171</v>
      </c>
      <c r="O623">
        <v>70.5</v>
      </c>
      <c r="P623">
        <v>134</v>
      </c>
      <c r="Q623">
        <v>6389</v>
      </c>
      <c r="R623" t="s">
        <v>158</v>
      </c>
      <c r="S623" t="s">
        <v>159</v>
      </c>
      <c r="U623" t="s">
        <v>229</v>
      </c>
      <c r="V623" t="s">
        <v>136</v>
      </c>
      <c r="AA623">
        <v>2</v>
      </c>
      <c r="AB623" t="s">
        <v>100</v>
      </c>
      <c r="AC623" t="s">
        <v>308</v>
      </c>
      <c r="AD623" t="s">
        <v>230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230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533</v>
      </c>
      <c r="F624" t="s">
        <v>108</v>
      </c>
      <c r="G624" s="27">
        <v>44758</v>
      </c>
      <c r="H624" t="s">
        <v>109</v>
      </c>
      <c r="I624" t="s">
        <v>221</v>
      </c>
      <c r="J624" t="s">
        <v>222</v>
      </c>
      <c r="K624">
        <v>18</v>
      </c>
      <c r="L624" t="s">
        <v>155</v>
      </c>
      <c r="M624" t="s">
        <v>223</v>
      </c>
      <c r="N624" t="s">
        <v>171</v>
      </c>
      <c r="O624">
        <v>70.5</v>
      </c>
      <c r="P624">
        <v>134</v>
      </c>
      <c r="Q624">
        <v>6389</v>
      </c>
      <c r="R624" t="s">
        <v>158</v>
      </c>
      <c r="S624" t="s">
        <v>159</v>
      </c>
      <c r="U624" t="s">
        <v>229</v>
      </c>
      <c r="V624" t="s">
        <v>464</v>
      </c>
      <c r="AA624">
        <v>2</v>
      </c>
      <c r="AB624" t="s">
        <v>99</v>
      </c>
      <c r="AC624" t="s">
        <v>534</v>
      </c>
      <c r="AD624" t="s">
        <v>178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178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535</v>
      </c>
      <c r="F625" t="s">
        <v>108</v>
      </c>
      <c r="G625" s="27">
        <v>44758</v>
      </c>
      <c r="H625" t="s">
        <v>109</v>
      </c>
      <c r="I625" t="s">
        <v>221</v>
      </c>
      <c r="J625" t="s">
        <v>222</v>
      </c>
      <c r="K625">
        <v>18</v>
      </c>
      <c r="L625" t="s">
        <v>155</v>
      </c>
      <c r="M625" t="s">
        <v>223</v>
      </c>
      <c r="N625" t="s">
        <v>171</v>
      </c>
      <c r="O625">
        <v>70.5</v>
      </c>
      <c r="P625">
        <v>134</v>
      </c>
      <c r="Q625">
        <v>6389</v>
      </c>
      <c r="R625" t="s">
        <v>158</v>
      </c>
      <c r="S625" t="s">
        <v>159</v>
      </c>
      <c r="U625" t="s">
        <v>229</v>
      </c>
      <c r="V625" t="s">
        <v>135</v>
      </c>
      <c r="AA625">
        <v>2</v>
      </c>
      <c r="AB625" t="s">
        <v>100</v>
      </c>
      <c r="AC625" t="s">
        <v>317</v>
      </c>
      <c r="AD625" t="s">
        <v>276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276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536</v>
      </c>
      <c r="F626" t="s">
        <v>108</v>
      </c>
      <c r="G626" s="27">
        <v>44758</v>
      </c>
      <c r="H626" t="s">
        <v>109</v>
      </c>
      <c r="I626" t="s">
        <v>221</v>
      </c>
      <c r="J626" t="s">
        <v>222</v>
      </c>
      <c r="K626">
        <v>18</v>
      </c>
      <c r="L626" t="s">
        <v>155</v>
      </c>
      <c r="M626" t="s">
        <v>223</v>
      </c>
      <c r="N626" t="s">
        <v>171</v>
      </c>
      <c r="O626">
        <v>70.5</v>
      </c>
      <c r="P626">
        <v>134</v>
      </c>
      <c r="Q626">
        <v>6389</v>
      </c>
      <c r="R626" t="s">
        <v>158</v>
      </c>
      <c r="S626" t="s">
        <v>159</v>
      </c>
      <c r="U626" t="s">
        <v>229</v>
      </c>
      <c r="V626" t="s">
        <v>234</v>
      </c>
      <c r="AA626">
        <v>2</v>
      </c>
      <c r="AB626" t="s">
        <v>99</v>
      </c>
      <c r="AC626" t="s">
        <v>225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537</v>
      </c>
      <c r="F627" t="s">
        <v>108</v>
      </c>
      <c r="G627" s="27">
        <v>44758</v>
      </c>
      <c r="H627" t="s">
        <v>109</v>
      </c>
      <c r="I627" t="s">
        <v>221</v>
      </c>
      <c r="J627" t="s">
        <v>222</v>
      </c>
      <c r="K627">
        <v>18</v>
      </c>
      <c r="L627" t="s">
        <v>155</v>
      </c>
      <c r="M627" t="s">
        <v>223</v>
      </c>
      <c r="N627" t="s">
        <v>171</v>
      </c>
      <c r="O627">
        <v>70.5</v>
      </c>
      <c r="P627">
        <v>134</v>
      </c>
      <c r="Q627">
        <v>6389</v>
      </c>
      <c r="R627" t="s">
        <v>158</v>
      </c>
      <c r="S627" t="s">
        <v>159</v>
      </c>
      <c r="U627" t="s">
        <v>229</v>
      </c>
      <c r="V627" t="s">
        <v>122</v>
      </c>
      <c r="AA627">
        <v>2</v>
      </c>
      <c r="AB627" t="s">
        <v>100</v>
      </c>
      <c r="AC627" t="s">
        <v>267</v>
      </c>
      <c r="AD627" t="s">
        <v>174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174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538</v>
      </c>
      <c r="F628" t="s">
        <v>108</v>
      </c>
      <c r="G628" s="27">
        <v>44758</v>
      </c>
      <c r="H628" t="s">
        <v>109</v>
      </c>
      <c r="I628" t="s">
        <v>221</v>
      </c>
      <c r="J628" t="s">
        <v>222</v>
      </c>
      <c r="K628">
        <v>18</v>
      </c>
      <c r="L628" t="s">
        <v>155</v>
      </c>
      <c r="M628" t="s">
        <v>223</v>
      </c>
      <c r="N628" t="s">
        <v>171</v>
      </c>
      <c r="O628">
        <v>70.5</v>
      </c>
      <c r="P628">
        <v>134</v>
      </c>
      <c r="Q628">
        <v>6389</v>
      </c>
      <c r="R628" t="s">
        <v>158</v>
      </c>
      <c r="S628" t="s">
        <v>159</v>
      </c>
      <c r="U628" t="s">
        <v>229</v>
      </c>
      <c r="V628" t="s">
        <v>132</v>
      </c>
      <c r="AA628">
        <v>2</v>
      </c>
      <c r="AB628" t="s">
        <v>101</v>
      </c>
      <c r="AC628" t="s">
        <v>140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539</v>
      </c>
      <c r="F629" t="s">
        <v>108</v>
      </c>
      <c r="G629" s="27">
        <v>44758</v>
      </c>
      <c r="H629" t="s">
        <v>109</v>
      </c>
      <c r="I629" t="s">
        <v>221</v>
      </c>
      <c r="J629" t="s">
        <v>222</v>
      </c>
      <c r="K629">
        <v>18</v>
      </c>
      <c r="L629" t="s">
        <v>155</v>
      </c>
      <c r="M629" t="s">
        <v>223</v>
      </c>
      <c r="N629" t="s">
        <v>171</v>
      </c>
      <c r="O629">
        <v>70.5</v>
      </c>
      <c r="P629">
        <v>134</v>
      </c>
      <c r="Q629">
        <v>6389</v>
      </c>
      <c r="R629" t="s">
        <v>158</v>
      </c>
      <c r="S629" t="s">
        <v>159</v>
      </c>
      <c r="U629" t="s">
        <v>229</v>
      </c>
      <c r="V629" t="s">
        <v>326</v>
      </c>
      <c r="AA629">
        <v>2</v>
      </c>
      <c r="AB629" t="s">
        <v>99</v>
      </c>
      <c r="AC629" t="s">
        <v>317</v>
      </c>
      <c r="AD629" t="s">
        <v>459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459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540</v>
      </c>
      <c r="F630" t="s">
        <v>108</v>
      </c>
      <c r="G630" s="27">
        <v>44758</v>
      </c>
      <c r="H630" t="s">
        <v>109</v>
      </c>
      <c r="I630" t="s">
        <v>221</v>
      </c>
      <c r="J630" t="s">
        <v>222</v>
      </c>
      <c r="K630">
        <v>18</v>
      </c>
      <c r="L630" t="s">
        <v>155</v>
      </c>
      <c r="M630" t="s">
        <v>223</v>
      </c>
      <c r="N630" t="s">
        <v>171</v>
      </c>
      <c r="O630">
        <v>70.5</v>
      </c>
      <c r="P630">
        <v>134</v>
      </c>
      <c r="Q630">
        <v>6389</v>
      </c>
      <c r="R630" t="s">
        <v>158</v>
      </c>
      <c r="S630" t="s">
        <v>159</v>
      </c>
      <c r="U630" t="s">
        <v>229</v>
      </c>
      <c r="V630" t="s">
        <v>180</v>
      </c>
      <c r="AA630">
        <v>2</v>
      </c>
      <c r="AB630" t="s">
        <v>101</v>
      </c>
      <c r="AC630" t="s">
        <v>140</v>
      </c>
      <c r="AD630" t="s">
        <v>462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462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530</v>
      </c>
      <c r="F631" t="s">
        <v>108</v>
      </c>
      <c r="G631" s="27">
        <v>44758</v>
      </c>
      <c r="H631" t="s">
        <v>109</v>
      </c>
      <c r="I631" t="s">
        <v>221</v>
      </c>
      <c r="J631" t="s">
        <v>222</v>
      </c>
      <c r="K631">
        <v>18</v>
      </c>
      <c r="L631" t="s">
        <v>155</v>
      </c>
      <c r="M631" t="s">
        <v>223</v>
      </c>
      <c r="N631" t="s">
        <v>171</v>
      </c>
      <c r="O631">
        <v>70.5</v>
      </c>
      <c r="P631">
        <v>134</v>
      </c>
      <c r="Q631">
        <v>6389</v>
      </c>
      <c r="R631" t="s">
        <v>158</v>
      </c>
      <c r="S631" t="s">
        <v>159</v>
      </c>
      <c r="U631" t="s">
        <v>230</v>
      </c>
      <c r="V631" t="s">
        <v>118</v>
      </c>
      <c r="AA631">
        <v>2</v>
      </c>
      <c r="AB631" t="s">
        <v>100</v>
      </c>
      <c r="AC631" t="s">
        <v>228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531</v>
      </c>
      <c r="F632" t="s">
        <v>108</v>
      </c>
      <c r="G632" s="27">
        <v>44758</v>
      </c>
      <c r="H632" t="s">
        <v>109</v>
      </c>
      <c r="I632" t="s">
        <v>221</v>
      </c>
      <c r="J632" t="s">
        <v>222</v>
      </c>
      <c r="K632">
        <v>18</v>
      </c>
      <c r="L632" t="s">
        <v>155</v>
      </c>
      <c r="M632" t="s">
        <v>223</v>
      </c>
      <c r="N632" t="s">
        <v>171</v>
      </c>
      <c r="O632">
        <v>70.5</v>
      </c>
      <c r="P632">
        <v>134</v>
      </c>
      <c r="Q632">
        <v>6389</v>
      </c>
      <c r="R632" t="s">
        <v>158</v>
      </c>
      <c r="S632" t="s">
        <v>159</v>
      </c>
      <c r="U632" t="s">
        <v>230</v>
      </c>
      <c r="V632" t="s">
        <v>127</v>
      </c>
      <c r="AA632">
        <v>2</v>
      </c>
      <c r="AB632" t="s">
        <v>99</v>
      </c>
      <c r="AC632" t="s">
        <v>267</v>
      </c>
      <c r="AD632" t="s">
        <v>181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181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532</v>
      </c>
      <c r="F633" t="s">
        <v>108</v>
      </c>
      <c r="G633" s="27">
        <v>44758</v>
      </c>
      <c r="H633" t="s">
        <v>109</v>
      </c>
      <c r="I633" t="s">
        <v>221</v>
      </c>
      <c r="J633" t="s">
        <v>222</v>
      </c>
      <c r="K633">
        <v>18</v>
      </c>
      <c r="L633" t="s">
        <v>155</v>
      </c>
      <c r="M633" t="s">
        <v>223</v>
      </c>
      <c r="N633" t="s">
        <v>171</v>
      </c>
      <c r="O633">
        <v>70.5</v>
      </c>
      <c r="P633">
        <v>134</v>
      </c>
      <c r="Q633">
        <v>6389</v>
      </c>
      <c r="R633" t="s">
        <v>158</v>
      </c>
      <c r="S633" t="s">
        <v>159</v>
      </c>
      <c r="U633" t="s">
        <v>230</v>
      </c>
      <c r="V633" t="s">
        <v>230</v>
      </c>
      <c r="AA633">
        <v>2</v>
      </c>
      <c r="AB633" t="s">
        <v>99</v>
      </c>
      <c r="AC633" t="s">
        <v>308</v>
      </c>
      <c r="AD633" t="s">
        <v>136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136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533</v>
      </c>
      <c r="F634" t="s">
        <v>108</v>
      </c>
      <c r="G634" s="27">
        <v>44758</v>
      </c>
      <c r="H634" t="s">
        <v>109</v>
      </c>
      <c r="I634" t="s">
        <v>221</v>
      </c>
      <c r="J634" t="s">
        <v>222</v>
      </c>
      <c r="K634">
        <v>18</v>
      </c>
      <c r="L634" t="s">
        <v>155</v>
      </c>
      <c r="M634" t="s">
        <v>223</v>
      </c>
      <c r="N634" t="s">
        <v>171</v>
      </c>
      <c r="O634">
        <v>70.5</v>
      </c>
      <c r="P634">
        <v>134</v>
      </c>
      <c r="Q634">
        <v>6389</v>
      </c>
      <c r="R634" t="s">
        <v>158</v>
      </c>
      <c r="S634" t="s">
        <v>159</v>
      </c>
      <c r="U634" t="s">
        <v>230</v>
      </c>
      <c r="V634" t="s">
        <v>178</v>
      </c>
      <c r="AA634">
        <v>2</v>
      </c>
      <c r="AB634" t="s">
        <v>100</v>
      </c>
      <c r="AC634" t="s">
        <v>534</v>
      </c>
      <c r="AD634" t="s">
        <v>464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464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535</v>
      </c>
      <c r="F635" t="s">
        <v>108</v>
      </c>
      <c r="G635" s="27">
        <v>44758</v>
      </c>
      <c r="H635" t="s">
        <v>109</v>
      </c>
      <c r="I635" t="s">
        <v>221</v>
      </c>
      <c r="J635" t="s">
        <v>222</v>
      </c>
      <c r="K635">
        <v>18</v>
      </c>
      <c r="L635" t="s">
        <v>155</v>
      </c>
      <c r="M635" t="s">
        <v>223</v>
      </c>
      <c r="N635" t="s">
        <v>171</v>
      </c>
      <c r="O635">
        <v>70.5</v>
      </c>
      <c r="P635">
        <v>134</v>
      </c>
      <c r="Q635">
        <v>6389</v>
      </c>
      <c r="R635" t="s">
        <v>158</v>
      </c>
      <c r="S635" t="s">
        <v>159</v>
      </c>
      <c r="U635" t="s">
        <v>230</v>
      </c>
      <c r="V635" t="s">
        <v>276</v>
      </c>
      <c r="AA635">
        <v>2</v>
      </c>
      <c r="AB635" t="s">
        <v>99</v>
      </c>
      <c r="AC635" t="s">
        <v>317</v>
      </c>
      <c r="AD635" t="s">
        <v>135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135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536</v>
      </c>
      <c r="F636" t="s">
        <v>108</v>
      </c>
      <c r="G636" s="27">
        <v>44758</v>
      </c>
      <c r="H636" t="s">
        <v>109</v>
      </c>
      <c r="I636" t="s">
        <v>221</v>
      </c>
      <c r="J636" t="s">
        <v>222</v>
      </c>
      <c r="K636">
        <v>18</v>
      </c>
      <c r="L636" t="s">
        <v>155</v>
      </c>
      <c r="M636" t="s">
        <v>223</v>
      </c>
      <c r="N636" t="s">
        <v>171</v>
      </c>
      <c r="O636">
        <v>70.5</v>
      </c>
      <c r="P636">
        <v>134</v>
      </c>
      <c r="Q636">
        <v>6389</v>
      </c>
      <c r="R636" t="s">
        <v>158</v>
      </c>
      <c r="S636" t="s">
        <v>159</v>
      </c>
      <c r="U636" t="s">
        <v>230</v>
      </c>
      <c r="V636" t="s">
        <v>119</v>
      </c>
      <c r="AA636">
        <v>2</v>
      </c>
      <c r="AB636" t="s">
        <v>100</v>
      </c>
      <c r="AC636" t="s">
        <v>225</v>
      </c>
      <c r="AD636" t="s">
        <v>234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234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537</v>
      </c>
      <c r="F637" t="s">
        <v>108</v>
      </c>
      <c r="G637" s="27">
        <v>44758</v>
      </c>
      <c r="H637" t="s">
        <v>109</v>
      </c>
      <c r="I637" t="s">
        <v>221</v>
      </c>
      <c r="J637" t="s">
        <v>222</v>
      </c>
      <c r="K637">
        <v>18</v>
      </c>
      <c r="L637" t="s">
        <v>155</v>
      </c>
      <c r="M637" t="s">
        <v>223</v>
      </c>
      <c r="N637" t="s">
        <v>171</v>
      </c>
      <c r="O637">
        <v>70.5</v>
      </c>
      <c r="P637">
        <v>134</v>
      </c>
      <c r="Q637">
        <v>6389</v>
      </c>
      <c r="R637" t="s">
        <v>158</v>
      </c>
      <c r="S637" t="s">
        <v>159</v>
      </c>
      <c r="U637" t="s">
        <v>230</v>
      </c>
      <c r="V637" t="s">
        <v>174</v>
      </c>
      <c r="AA637">
        <v>2</v>
      </c>
      <c r="AB637" t="s">
        <v>99</v>
      </c>
      <c r="AC637" t="s">
        <v>267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538</v>
      </c>
      <c r="F638" t="s">
        <v>108</v>
      </c>
      <c r="G638" s="27">
        <v>44758</v>
      </c>
      <c r="H638" t="s">
        <v>109</v>
      </c>
      <c r="I638" t="s">
        <v>221</v>
      </c>
      <c r="J638" t="s">
        <v>222</v>
      </c>
      <c r="K638">
        <v>18</v>
      </c>
      <c r="L638" t="s">
        <v>155</v>
      </c>
      <c r="M638" t="s">
        <v>223</v>
      </c>
      <c r="N638" t="s">
        <v>171</v>
      </c>
      <c r="O638">
        <v>70.5</v>
      </c>
      <c r="P638">
        <v>134</v>
      </c>
      <c r="Q638">
        <v>6389</v>
      </c>
      <c r="R638" t="s">
        <v>158</v>
      </c>
      <c r="S638" t="s">
        <v>159</v>
      </c>
      <c r="U638" t="s">
        <v>230</v>
      </c>
      <c r="V638" t="s">
        <v>130</v>
      </c>
      <c r="AA638">
        <v>2</v>
      </c>
      <c r="AB638" t="s">
        <v>101</v>
      </c>
      <c r="AC638" t="s">
        <v>140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539</v>
      </c>
      <c r="F639" t="s">
        <v>108</v>
      </c>
      <c r="G639" s="27">
        <v>44758</v>
      </c>
      <c r="H639" t="s">
        <v>109</v>
      </c>
      <c r="I639" t="s">
        <v>221</v>
      </c>
      <c r="J639" t="s">
        <v>222</v>
      </c>
      <c r="K639">
        <v>18</v>
      </c>
      <c r="L639" t="s">
        <v>155</v>
      </c>
      <c r="M639" t="s">
        <v>223</v>
      </c>
      <c r="N639" t="s">
        <v>171</v>
      </c>
      <c r="O639">
        <v>70.5</v>
      </c>
      <c r="P639">
        <v>134</v>
      </c>
      <c r="Q639">
        <v>6389</v>
      </c>
      <c r="R639" t="s">
        <v>158</v>
      </c>
      <c r="S639" t="s">
        <v>159</v>
      </c>
      <c r="U639" t="s">
        <v>230</v>
      </c>
      <c r="V639" t="s">
        <v>459</v>
      </c>
      <c r="AA639">
        <v>2</v>
      </c>
      <c r="AB639" t="s">
        <v>100</v>
      </c>
      <c r="AC639" t="s">
        <v>317</v>
      </c>
      <c r="AD639" t="s">
        <v>326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326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540</v>
      </c>
      <c r="F640" t="s">
        <v>108</v>
      </c>
      <c r="G640" s="27">
        <v>44758</v>
      </c>
      <c r="H640" t="s">
        <v>109</v>
      </c>
      <c r="I640" t="s">
        <v>221</v>
      </c>
      <c r="J640" t="s">
        <v>222</v>
      </c>
      <c r="K640">
        <v>18</v>
      </c>
      <c r="L640" t="s">
        <v>155</v>
      </c>
      <c r="M640" t="s">
        <v>223</v>
      </c>
      <c r="N640" t="s">
        <v>171</v>
      </c>
      <c r="O640">
        <v>70.5</v>
      </c>
      <c r="P640">
        <v>134</v>
      </c>
      <c r="Q640">
        <v>6389</v>
      </c>
      <c r="R640" t="s">
        <v>158</v>
      </c>
      <c r="S640" t="s">
        <v>159</v>
      </c>
      <c r="U640" t="s">
        <v>230</v>
      </c>
      <c r="V640" t="s">
        <v>462</v>
      </c>
      <c r="AA640">
        <v>2</v>
      </c>
      <c r="AB640" t="s">
        <v>101</v>
      </c>
      <c r="AC640" t="s">
        <v>140</v>
      </c>
      <c r="AD640" t="s">
        <v>180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180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541</v>
      </c>
      <c r="F641" t="s">
        <v>406</v>
      </c>
      <c r="G641" s="27">
        <v>45141</v>
      </c>
      <c r="H641" t="s">
        <v>145</v>
      </c>
      <c r="I641" t="s">
        <v>542</v>
      </c>
      <c r="J641" t="s">
        <v>543</v>
      </c>
      <c r="K641">
        <v>9</v>
      </c>
      <c r="L641" t="s">
        <v>112</v>
      </c>
      <c r="M641" t="s">
        <v>544</v>
      </c>
      <c r="N641" t="s">
        <v>171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413</v>
      </c>
      <c r="U641" t="s">
        <v>234</v>
      </c>
      <c r="V641" t="s">
        <v>180</v>
      </c>
      <c r="W641" t="s">
        <v>545</v>
      </c>
      <c r="Y641" t="s">
        <v>133</v>
      </c>
      <c r="AA641">
        <v>1</v>
      </c>
      <c r="AB641" t="s">
        <v>100</v>
      </c>
      <c r="AC641" t="s">
        <v>225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181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541</v>
      </c>
      <c r="F642" t="s">
        <v>406</v>
      </c>
      <c r="G642" s="27">
        <v>45141</v>
      </c>
      <c r="H642" t="s">
        <v>145</v>
      </c>
      <c r="I642" t="s">
        <v>542</v>
      </c>
      <c r="J642" t="s">
        <v>543</v>
      </c>
      <c r="K642">
        <v>9</v>
      </c>
      <c r="L642" t="s">
        <v>112</v>
      </c>
      <c r="M642" t="s">
        <v>544</v>
      </c>
      <c r="N642" t="s">
        <v>171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413</v>
      </c>
      <c r="U642" t="s">
        <v>181</v>
      </c>
      <c r="V642" t="s">
        <v>181</v>
      </c>
      <c r="W642" t="s">
        <v>546</v>
      </c>
      <c r="Y642" t="s">
        <v>122</v>
      </c>
      <c r="AA642">
        <v>1</v>
      </c>
      <c r="AB642" t="s">
        <v>99</v>
      </c>
      <c r="AC642" t="s">
        <v>225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180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547</v>
      </c>
      <c r="F643" t="s">
        <v>406</v>
      </c>
      <c r="G643" s="27">
        <v>45141</v>
      </c>
      <c r="H643" t="s">
        <v>145</v>
      </c>
      <c r="I643" t="s">
        <v>542</v>
      </c>
      <c r="J643" t="s">
        <v>543</v>
      </c>
      <c r="K643">
        <v>9</v>
      </c>
      <c r="L643" t="s">
        <v>112</v>
      </c>
      <c r="M643" t="s">
        <v>544</v>
      </c>
      <c r="N643" t="s">
        <v>171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413</v>
      </c>
      <c r="U643" t="s">
        <v>181</v>
      </c>
      <c r="V643" t="s">
        <v>127</v>
      </c>
      <c r="W643" t="s">
        <v>546</v>
      </c>
      <c r="Y643" t="s">
        <v>119</v>
      </c>
      <c r="AA643">
        <v>1</v>
      </c>
      <c r="AB643" t="s">
        <v>100</v>
      </c>
      <c r="AC643" t="s">
        <v>431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230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547</v>
      </c>
      <c r="F644" t="s">
        <v>406</v>
      </c>
      <c r="G644" s="27">
        <v>45141</v>
      </c>
      <c r="H644" t="s">
        <v>145</v>
      </c>
      <c r="I644" t="s">
        <v>542</v>
      </c>
      <c r="J644" t="s">
        <v>543</v>
      </c>
      <c r="K644">
        <v>9</v>
      </c>
      <c r="L644" t="s">
        <v>112</v>
      </c>
      <c r="M644" t="s">
        <v>544</v>
      </c>
      <c r="N644" t="s">
        <v>171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413</v>
      </c>
      <c r="U644" t="s">
        <v>234</v>
      </c>
      <c r="V644" t="s">
        <v>118</v>
      </c>
      <c r="W644" t="s">
        <v>545</v>
      </c>
      <c r="Y644" t="s">
        <v>230</v>
      </c>
      <c r="AA644">
        <v>1</v>
      </c>
      <c r="AB644" t="s">
        <v>99</v>
      </c>
      <c r="AC644" t="s">
        <v>431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548</v>
      </c>
      <c r="F645" t="s">
        <v>406</v>
      </c>
      <c r="G645" s="27">
        <v>45141</v>
      </c>
      <c r="H645" t="s">
        <v>145</v>
      </c>
      <c r="I645" t="s">
        <v>542</v>
      </c>
      <c r="J645" t="s">
        <v>543</v>
      </c>
      <c r="K645">
        <v>9</v>
      </c>
      <c r="L645" t="s">
        <v>112</v>
      </c>
      <c r="M645" t="s">
        <v>544</v>
      </c>
      <c r="N645" t="s">
        <v>171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413</v>
      </c>
      <c r="U645" t="s">
        <v>234</v>
      </c>
      <c r="V645" t="s">
        <v>178</v>
      </c>
      <c r="W645" t="s">
        <v>545</v>
      </c>
      <c r="Y645" t="s">
        <v>276</v>
      </c>
      <c r="AA645">
        <v>1</v>
      </c>
      <c r="AB645" t="s">
        <v>100</v>
      </c>
      <c r="AC645" t="s">
        <v>225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548</v>
      </c>
      <c r="F646" t="s">
        <v>406</v>
      </c>
      <c r="G646" s="27">
        <v>45141</v>
      </c>
      <c r="H646" t="s">
        <v>145</v>
      </c>
      <c r="I646" t="s">
        <v>542</v>
      </c>
      <c r="J646" t="s">
        <v>543</v>
      </c>
      <c r="K646">
        <v>9</v>
      </c>
      <c r="L646" t="s">
        <v>112</v>
      </c>
      <c r="M646" t="s">
        <v>544</v>
      </c>
      <c r="N646" t="s">
        <v>171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413</v>
      </c>
      <c r="U646" t="s">
        <v>181</v>
      </c>
      <c r="V646" t="s">
        <v>132</v>
      </c>
      <c r="W646" t="s">
        <v>546</v>
      </c>
      <c r="Y646" t="s">
        <v>123</v>
      </c>
      <c r="AA646">
        <v>1</v>
      </c>
      <c r="AB646" t="s">
        <v>99</v>
      </c>
      <c r="AC646" t="s">
        <v>225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178</v>
      </c>
      <c r="AL646">
        <v>0.59649122807017496</v>
      </c>
      <c r="AM646" t="s">
        <v>276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549</v>
      </c>
      <c r="F647" t="s">
        <v>406</v>
      </c>
      <c r="G647" s="27">
        <v>45141</v>
      </c>
      <c r="H647" t="s">
        <v>145</v>
      </c>
      <c r="I647" t="s">
        <v>542</v>
      </c>
      <c r="J647" t="s">
        <v>543</v>
      </c>
      <c r="K647">
        <v>9</v>
      </c>
      <c r="L647" t="s">
        <v>112</v>
      </c>
      <c r="M647" t="s">
        <v>544</v>
      </c>
      <c r="N647" t="s">
        <v>171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413</v>
      </c>
      <c r="U647" t="s">
        <v>181</v>
      </c>
      <c r="V647" t="s">
        <v>135</v>
      </c>
      <c r="W647" t="s">
        <v>546</v>
      </c>
      <c r="Y647" t="s">
        <v>550</v>
      </c>
      <c r="AA647">
        <v>1</v>
      </c>
      <c r="AB647" t="s">
        <v>101</v>
      </c>
      <c r="AC647" t="s">
        <v>140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229</v>
      </c>
      <c r="AL647">
        <v>0.65476190476190499</v>
      </c>
      <c r="AM647" t="s">
        <v>234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549</v>
      </c>
      <c r="F648" t="s">
        <v>406</v>
      </c>
      <c r="G648" s="27">
        <v>45141</v>
      </c>
      <c r="H648" t="s">
        <v>145</v>
      </c>
      <c r="I648" t="s">
        <v>542</v>
      </c>
      <c r="J648" t="s">
        <v>543</v>
      </c>
      <c r="K648">
        <v>9</v>
      </c>
      <c r="L648" t="s">
        <v>112</v>
      </c>
      <c r="M648" t="s">
        <v>544</v>
      </c>
      <c r="N648" t="s">
        <v>171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413</v>
      </c>
      <c r="U648" t="s">
        <v>234</v>
      </c>
      <c r="V648" t="s">
        <v>229</v>
      </c>
      <c r="W648" t="s">
        <v>545</v>
      </c>
      <c r="Y648" t="s">
        <v>234</v>
      </c>
      <c r="AA648">
        <v>1</v>
      </c>
      <c r="AB648" t="s">
        <v>101</v>
      </c>
      <c r="AC648" t="s">
        <v>140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135</v>
      </c>
      <c r="AL648">
        <v>0.59375</v>
      </c>
      <c r="AM648" t="s">
        <v>550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551</v>
      </c>
      <c r="F649" t="s">
        <v>406</v>
      </c>
      <c r="G649" s="27">
        <v>45141</v>
      </c>
      <c r="H649" t="s">
        <v>145</v>
      </c>
      <c r="I649" t="s">
        <v>542</v>
      </c>
      <c r="J649" t="s">
        <v>543</v>
      </c>
      <c r="K649">
        <v>9</v>
      </c>
      <c r="L649" t="s">
        <v>112</v>
      </c>
      <c r="M649" t="s">
        <v>544</v>
      </c>
      <c r="N649" t="s">
        <v>171</v>
      </c>
      <c r="O649">
        <v>72.8</v>
      </c>
      <c r="P649">
        <v>131</v>
      </c>
      <c r="Q649">
        <v>6692</v>
      </c>
      <c r="R649" t="s">
        <v>552</v>
      </c>
      <c r="S649" t="s">
        <v>116</v>
      </c>
      <c r="T649" t="s">
        <v>413</v>
      </c>
      <c r="U649" t="s">
        <v>234</v>
      </c>
      <c r="V649" t="s">
        <v>174</v>
      </c>
      <c r="W649" t="s">
        <v>545</v>
      </c>
      <c r="Y649" t="s">
        <v>459</v>
      </c>
      <c r="AA649">
        <v>1</v>
      </c>
      <c r="AB649" t="s">
        <v>100</v>
      </c>
      <c r="AC649" t="s">
        <v>553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326</v>
      </c>
      <c r="AL649">
        <v>0.46551724137931</v>
      </c>
      <c r="AM649" t="s">
        <v>464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551</v>
      </c>
      <c r="F650" t="s">
        <v>406</v>
      </c>
      <c r="G650" s="27">
        <v>45141</v>
      </c>
      <c r="H650" t="s">
        <v>145</v>
      </c>
      <c r="I650" t="s">
        <v>542</v>
      </c>
      <c r="J650" t="s">
        <v>543</v>
      </c>
      <c r="K650">
        <v>9</v>
      </c>
      <c r="L650" t="s">
        <v>112</v>
      </c>
      <c r="M650" t="s">
        <v>544</v>
      </c>
      <c r="N650" t="s">
        <v>171</v>
      </c>
      <c r="O650">
        <v>72.8</v>
      </c>
      <c r="P650">
        <v>131</v>
      </c>
      <c r="Q650">
        <v>6692</v>
      </c>
      <c r="R650" t="s">
        <v>552</v>
      </c>
      <c r="S650" t="s">
        <v>116</v>
      </c>
      <c r="T650" t="s">
        <v>413</v>
      </c>
      <c r="U650" t="s">
        <v>181</v>
      </c>
      <c r="V650" t="s">
        <v>326</v>
      </c>
      <c r="W650" t="s">
        <v>546</v>
      </c>
      <c r="Y650" t="s">
        <v>464</v>
      </c>
      <c r="AA650">
        <v>1</v>
      </c>
      <c r="AB650" t="s">
        <v>99</v>
      </c>
      <c r="AC650" t="s">
        <v>553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174</v>
      </c>
      <c r="AL650">
        <v>0.37288135593220301</v>
      </c>
      <c r="AM650" t="s">
        <v>459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554</v>
      </c>
      <c r="F651" t="s">
        <v>406</v>
      </c>
      <c r="G651" s="27">
        <v>45141</v>
      </c>
      <c r="H651" t="s">
        <v>145</v>
      </c>
      <c r="I651" t="s">
        <v>542</v>
      </c>
      <c r="J651" t="s">
        <v>543</v>
      </c>
      <c r="K651">
        <v>9</v>
      </c>
      <c r="L651" t="s">
        <v>138</v>
      </c>
      <c r="M651" t="s">
        <v>544</v>
      </c>
      <c r="N651" t="s">
        <v>171</v>
      </c>
      <c r="O651">
        <v>72.8</v>
      </c>
      <c r="P651">
        <v>131</v>
      </c>
      <c r="Q651">
        <v>6692</v>
      </c>
      <c r="R651" t="s">
        <v>146</v>
      </c>
      <c r="S651" t="s">
        <v>116</v>
      </c>
      <c r="T651" t="s">
        <v>413</v>
      </c>
      <c r="U651" t="s">
        <v>234</v>
      </c>
      <c r="V651" t="s">
        <v>180</v>
      </c>
      <c r="W651" t="s">
        <v>545</v>
      </c>
      <c r="Y651" t="s">
        <v>133</v>
      </c>
      <c r="AA651">
        <v>1</v>
      </c>
      <c r="AB651" t="s">
        <v>101</v>
      </c>
      <c r="AC651" t="s">
        <v>140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181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554</v>
      </c>
      <c r="F652" t="s">
        <v>406</v>
      </c>
      <c r="G652" s="27">
        <v>45141</v>
      </c>
      <c r="H652" t="s">
        <v>145</v>
      </c>
      <c r="I652" t="s">
        <v>542</v>
      </c>
      <c r="J652" t="s">
        <v>543</v>
      </c>
      <c r="K652">
        <v>9</v>
      </c>
      <c r="L652" t="s">
        <v>138</v>
      </c>
      <c r="M652" t="s">
        <v>544</v>
      </c>
      <c r="N652" t="s">
        <v>171</v>
      </c>
      <c r="O652">
        <v>72.8</v>
      </c>
      <c r="P652">
        <v>131</v>
      </c>
      <c r="Q652">
        <v>6692</v>
      </c>
      <c r="R652" t="s">
        <v>146</v>
      </c>
      <c r="S652" t="s">
        <v>116</v>
      </c>
      <c r="T652" t="s">
        <v>413</v>
      </c>
      <c r="U652" t="s">
        <v>181</v>
      </c>
      <c r="V652" t="s">
        <v>181</v>
      </c>
      <c r="W652" t="s">
        <v>546</v>
      </c>
      <c r="Y652" t="s">
        <v>122</v>
      </c>
      <c r="AA652">
        <v>1</v>
      </c>
      <c r="AB652" t="s">
        <v>101</v>
      </c>
      <c r="AC652" t="s">
        <v>140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180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555</v>
      </c>
      <c r="F653" t="s">
        <v>406</v>
      </c>
      <c r="G653" s="27">
        <v>45141</v>
      </c>
      <c r="H653" t="s">
        <v>145</v>
      </c>
      <c r="I653" t="s">
        <v>542</v>
      </c>
      <c r="J653" t="s">
        <v>543</v>
      </c>
      <c r="K653">
        <v>9</v>
      </c>
      <c r="L653" t="s">
        <v>138</v>
      </c>
      <c r="M653" t="s">
        <v>544</v>
      </c>
      <c r="N653" t="s">
        <v>171</v>
      </c>
      <c r="O653">
        <v>72.8</v>
      </c>
      <c r="P653">
        <v>131</v>
      </c>
      <c r="Q653">
        <v>6692</v>
      </c>
      <c r="R653" t="s">
        <v>146</v>
      </c>
      <c r="S653" t="s">
        <v>116</v>
      </c>
      <c r="T653" t="s">
        <v>413</v>
      </c>
      <c r="U653" t="s">
        <v>181</v>
      </c>
      <c r="V653" t="s">
        <v>127</v>
      </c>
      <c r="W653" t="s">
        <v>546</v>
      </c>
      <c r="Y653" t="s">
        <v>119</v>
      </c>
      <c r="AA653">
        <v>1</v>
      </c>
      <c r="AB653" t="s">
        <v>99</v>
      </c>
      <c r="AC653" t="s">
        <v>308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230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555</v>
      </c>
      <c r="F654" t="s">
        <v>406</v>
      </c>
      <c r="G654" s="27">
        <v>45141</v>
      </c>
      <c r="H654" t="s">
        <v>145</v>
      </c>
      <c r="I654" t="s">
        <v>542</v>
      </c>
      <c r="J654" t="s">
        <v>543</v>
      </c>
      <c r="K654">
        <v>9</v>
      </c>
      <c r="L654" t="s">
        <v>138</v>
      </c>
      <c r="M654" t="s">
        <v>544</v>
      </c>
      <c r="N654" t="s">
        <v>171</v>
      </c>
      <c r="O654">
        <v>72.8</v>
      </c>
      <c r="P654">
        <v>131</v>
      </c>
      <c r="Q654">
        <v>6692</v>
      </c>
      <c r="R654" t="s">
        <v>146</v>
      </c>
      <c r="S654" t="s">
        <v>116</v>
      </c>
      <c r="T654" t="s">
        <v>413</v>
      </c>
      <c r="U654" t="s">
        <v>234</v>
      </c>
      <c r="V654" t="s">
        <v>118</v>
      </c>
      <c r="W654" t="s">
        <v>545</v>
      </c>
      <c r="Y654" t="s">
        <v>230</v>
      </c>
      <c r="AA654">
        <v>1</v>
      </c>
      <c r="AB654" t="s">
        <v>100</v>
      </c>
      <c r="AC654" t="s">
        <v>308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556</v>
      </c>
      <c r="F655" t="s">
        <v>406</v>
      </c>
      <c r="G655" s="27">
        <v>45141</v>
      </c>
      <c r="H655" t="s">
        <v>145</v>
      </c>
      <c r="I655" t="s">
        <v>542</v>
      </c>
      <c r="J655" t="s">
        <v>543</v>
      </c>
      <c r="K655">
        <v>9</v>
      </c>
      <c r="L655" t="s">
        <v>138</v>
      </c>
      <c r="M655" t="s">
        <v>544</v>
      </c>
      <c r="N655" t="s">
        <v>171</v>
      </c>
      <c r="O655">
        <v>72.8</v>
      </c>
      <c r="P655">
        <v>131</v>
      </c>
      <c r="Q655">
        <v>6692</v>
      </c>
      <c r="R655" t="s">
        <v>146</v>
      </c>
      <c r="S655" t="s">
        <v>116</v>
      </c>
      <c r="T655" t="s">
        <v>413</v>
      </c>
      <c r="U655" t="s">
        <v>234</v>
      </c>
      <c r="V655" t="s">
        <v>178</v>
      </c>
      <c r="W655" t="s">
        <v>545</v>
      </c>
      <c r="Y655" t="s">
        <v>276</v>
      </c>
      <c r="AA655">
        <v>1</v>
      </c>
      <c r="AB655" t="s">
        <v>100</v>
      </c>
      <c r="AC655" t="s">
        <v>225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556</v>
      </c>
      <c r="F656" t="s">
        <v>406</v>
      </c>
      <c r="G656" s="27">
        <v>45141</v>
      </c>
      <c r="H656" t="s">
        <v>145</v>
      </c>
      <c r="I656" t="s">
        <v>542</v>
      </c>
      <c r="J656" t="s">
        <v>543</v>
      </c>
      <c r="K656">
        <v>9</v>
      </c>
      <c r="L656" t="s">
        <v>138</v>
      </c>
      <c r="M656" t="s">
        <v>544</v>
      </c>
      <c r="N656" t="s">
        <v>171</v>
      </c>
      <c r="O656">
        <v>72.8</v>
      </c>
      <c r="P656">
        <v>131</v>
      </c>
      <c r="Q656">
        <v>6692</v>
      </c>
      <c r="R656" t="s">
        <v>146</v>
      </c>
      <c r="S656" t="s">
        <v>116</v>
      </c>
      <c r="T656" t="s">
        <v>413</v>
      </c>
      <c r="U656" t="s">
        <v>181</v>
      </c>
      <c r="V656" t="s">
        <v>132</v>
      </c>
      <c r="W656" t="s">
        <v>546</v>
      </c>
      <c r="Y656" t="s">
        <v>123</v>
      </c>
      <c r="AA656">
        <v>1</v>
      </c>
      <c r="AB656" t="s">
        <v>99</v>
      </c>
      <c r="AC656" t="s">
        <v>225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178</v>
      </c>
      <c r="AL656">
        <v>0.59649122807017496</v>
      </c>
      <c r="AM656" t="s">
        <v>276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557</v>
      </c>
      <c r="F657" t="s">
        <v>406</v>
      </c>
      <c r="G657" s="27">
        <v>45141</v>
      </c>
      <c r="H657" t="s">
        <v>145</v>
      </c>
      <c r="I657" t="s">
        <v>542</v>
      </c>
      <c r="J657" t="s">
        <v>543</v>
      </c>
      <c r="K657">
        <v>9</v>
      </c>
      <c r="L657" t="s">
        <v>138</v>
      </c>
      <c r="M657" t="s">
        <v>544</v>
      </c>
      <c r="N657" t="s">
        <v>171</v>
      </c>
      <c r="O657">
        <v>72.8</v>
      </c>
      <c r="P657">
        <v>131</v>
      </c>
      <c r="Q657">
        <v>6692</v>
      </c>
      <c r="R657" t="s">
        <v>146</v>
      </c>
      <c r="S657" t="s">
        <v>116</v>
      </c>
      <c r="T657" t="s">
        <v>413</v>
      </c>
      <c r="U657" t="s">
        <v>181</v>
      </c>
      <c r="V657" t="s">
        <v>135</v>
      </c>
      <c r="W657" t="s">
        <v>546</v>
      </c>
      <c r="Y657" t="s">
        <v>550</v>
      </c>
      <c r="AA657">
        <v>1</v>
      </c>
      <c r="AB657" t="s">
        <v>101</v>
      </c>
      <c r="AC657" t="s">
        <v>140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229</v>
      </c>
      <c r="AL657">
        <v>0.65476190476190499</v>
      </c>
      <c r="AM657" t="s">
        <v>234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557</v>
      </c>
      <c r="F658" t="s">
        <v>406</v>
      </c>
      <c r="G658" s="27">
        <v>45141</v>
      </c>
      <c r="H658" t="s">
        <v>145</v>
      </c>
      <c r="I658" t="s">
        <v>542</v>
      </c>
      <c r="J658" t="s">
        <v>543</v>
      </c>
      <c r="K658">
        <v>9</v>
      </c>
      <c r="L658" t="s">
        <v>138</v>
      </c>
      <c r="M658" t="s">
        <v>544</v>
      </c>
      <c r="N658" t="s">
        <v>171</v>
      </c>
      <c r="O658">
        <v>72.8</v>
      </c>
      <c r="P658">
        <v>131</v>
      </c>
      <c r="Q658">
        <v>6692</v>
      </c>
      <c r="R658" t="s">
        <v>146</v>
      </c>
      <c r="S658" t="s">
        <v>116</v>
      </c>
      <c r="T658" t="s">
        <v>413</v>
      </c>
      <c r="U658" t="s">
        <v>234</v>
      </c>
      <c r="V658" t="s">
        <v>229</v>
      </c>
      <c r="W658" t="s">
        <v>545</v>
      </c>
      <c r="Y658" t="s">
        <v>234</v>
      </c>
      <c r="AA658">
        <v>1</v>
      </c>
      <c r="AB658" t="s">
        <v>101</v>
      </c>
      <c r="AC658" t="s">
        <v>140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135</v>
      </c>
      <c r="AL658">
        <v>0.59375</v>
      </c>
      <c r="AM658" t="s">
        <v>550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558</v>
      </c>
      <c r="F659" t="s">
        <v>406</v>
      </c>
      <c r="G659" s="27">
        <v>45141</v>
      </c>
      <c r="H659" t="s">
        <v>145</v>
      </c>
      <c r="I659" t="s">
        <v>542</v>
      </c>
      <c r="J659" t="s">
        <v>543</v>
      </c>
      <c r="K659">
        <v>9</v>
      </c>
      <c r="L659" t="s">
        <v>138</v>
      </c>
      <c r="M659" t="s">
        <v>544</v>
      </c>
      <c r="N659" t="s">
        <v>171</v>
      </c>
      <c r="O659">
        <v>72.8</v>
      </c>
      <c r="P659">
        <v>131</v>
      </c>
      <c r="Q659">
        <v>6692</v>
      </c>
      <c r="R659" t="s">
        <v>146</v>
      </c>
      <c r="S659" t="s">
        <v>116</v>
      </c>
      <c r="T659" t="s">
        <v>413</v>
      </c>
      <c r="U659" t="s">
        <v>234</v>
      </c>
      <c r="V659" t="s">
        <v>459</v>
      </c>
      <c r="W659" t="s">
        <v>545</v>
      </c>
      <c r="Y659" t="s">
        <v>174</v>
      </c>
      <c r="AA659">
        <v>1</v>
      </c>
      <c r="AB659" t="s">
        <v>101</v>
      </c>
      <c r="AC659" t="s">
        <v>140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326</v>
      </c>
      <c r="AL659">
        <v>0.46551724137931</v>
      </c>
      <c r="AM659" t="s">
        <v>464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558</v>
      </c>
      <c r="F660" t="s">
        <v>406</v>
      </c>
      <c r="G660" s="27">
        <v>45141</v>
      </c>
      <c r="H660" t="s">
        <v>145</v>
      </c>
      <c r="I660" t="s">
        <v>542</v>
      </c>
      <c r="J660" t="s">
        <v>543</v>
      </c>
      <c r="K660">
        <v>9</v>
      </c>
      <c r="L660" t="s">
        <v>138</v>
      </c>
      <c r="M660" t="s">
        <v>544</v>
      </c>
      <c r="N660" t="s">
        <v>171</v>
      </c>
      <c r="O660">
        <v>72.8</v>
      </c>
      <c r="P660">
        <v>131</v>
      </c>
      <c r="Q660">
        <v>6692</v>
      </c>
      <c r="R660" t="s">
        <v>146</v>
      </c>
      <c r="S660" t="s">
        <v>116</v>
      </c>
      <c r="T660" t="s">
        <v>413</v>
      </c>
      <c r="U660" t="s">
        <v>181</v>
      </c>
      <c r="V660" t="s">
        <v>326</v>
      </c>
      <c r="W660" t="s">
        <v>546</v>
      </c>
      <c r="Y660" t="s">
        <v>464</v>
      </c>
      <c r="AA660">
        <v>1</v>
      </c>
      <c r="AB660" t="s">
        <v>101</v>
      </c>
      <c r="AC660" t="s">
        <v>140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459</v>
      </c>
      <c r="AL660">
        <v>0.65909090909090895</v>
      </c>
      <c r="AM660" t="s">
        <v>174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559</v>
      </c>
      <c r="F661" t="s">
        <v>272</v>
      </c>
      <c r="G661" s="27">
        <v>45142</v>
      </c>
      <c r="H661" t="s">
        <v>109</v>
      </c>
      <c r="I661" t="s">
        <v>542</v>
      </c>
      <c r="J661" t="s">
        <v>543</v>
      </c>
      <c r="K661">
        <v>9</v>
      </c>
      <c r="L661" t="s">
        <v>112</v>
      </c>
      <c r="M661" t="s">
        <v>560</v>
      </c>
      <c r="N661" t="s">
        <v>171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413</v>
      </c>
      <c r="U661" t="s">
        <v>234</v>
      </c>
      <c r="V661" t="s">
        <v>133</v>
      </c>
      <c r="W661" t="s">
        <v>561</v>
      </c>
      <c r="Y661" t="s">
        <v>276</v>
      </c>
      <c r="AA661">
        <v>1</v>
      </c>
      <c r="AB661" t="s">
        <v>99</v>
      </c>
      <c r="AC661" t="s">
        <v>228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181</v>
      </c>
      <c r="AL661">
        <v>0.44067796610169502</v>
      </c>
      <c r="AM661" t="s">
        <v>550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559</v>
      </c>
      <c r="F662" t="s">
        <v>272</v>
      </c>
      <c r="G662" s="27">
        <v>45142</v>
      </c>
      <c r="H662" t="s">
        <v>109</v>
      </c>
      <c r="I662" t="s">
        <v>542</v>
      </c>
      <c r="J662" t="s">
        <v>543</v>
      </c>
      <c r="K662">
        <v>9</v>
      </c>
      <c r="L662" t="s">
        <v>112</v>
      </c>
      <c r="M662" t="s">
        <v>560</v>
      </c>
      <c r="N662" t="s">
        <v>171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413</v>
      </c>
      <c r="U662" t="s">
        <v>181</v>
      </c>
      <c r="V662" t="s">
        <v>181</v>
      </c>
      <c r="W662" t="s">
        <v>562</v>
      </c>
      <c r="Y662" t="s">
        <v>550</v>
      </c>
      <c r="AA662">
        <v>1</v>
      </c>
      <c r="AB662" t="s">
        <v>100</v>
      </c>
      <c r="AC662" t="s">
        <v>228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276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563</v>
      </c>
      <c r="F663" t="s">
        <v>272</v>
      </c>
      <c r="G663" s="27">
        <v>45142</v>
      </c>
      <c r="H663" t="s">
        <v>109</v>
      </c>
      <c r="I663" t="s">
        <v>542</v>
      </c>
      <c r="J663" t="s">
        <v>543</v>
      </c>
      <c r="K663">
        <v>9</v>
      </c>
      <c r="L663" t="s">
        <v>112</v>
      </c>
      <c r="M663" t="s">
        <v>560</v>
      </c>
      <c r="N663" t="s">
        <v>171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413</v>
      </c>
      <c r="U663" t="s">
        <v>181</v>
      </c>
      <c r="V663" t="s">
        <v>326</v>
      </c>
      <c r="W663" t="s">
        <v>562</v>
      </c>
      <c r="Y663" t="s">
        <v>122</v>
      </c>
      <c r="AA663">
        <v>1</v>
      </c>
      <c r="AB663" t="s">
        <v>100</v>
      </c>
      <c r="AC663" t="s">
        <v>267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180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563</v>
      </c>
      <c r="F664" t="s">
        <v>272</v>
      </c>
      <c r="G664" s="27">
        <v>45142</v>
      </c>
      <c r="H664" t="s">
        <v>109</v>
      </c>
      <c r="I664" t="s">
        <v>542</v>
      </c>
      <c r="J664" t="s">
        <v>543</v>
      </c>
      <c r="K664">
        <v>9</v>
      </c>
      <c r="L664" t="s">
        <v>112</v>
      </c>
      <c r="M664" t="s">
        <v>560</v>
      </c>
      <c r="N664" t="s">
        <v>171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413</v>
      </c>
      <c r="U664" t="s">
        <v>234</v>
      </c>
      <c r="V664" t="s">
        <v>180</v>
      </c>
      <c r="W664" t="s">
        <v>561</v>
      </c>
      <c r="Y664" t="s">
        <v>118</v>
      </c>
      <c r="AA664">
        <v>1</v>
      </c>
      <c r="AB664" t="s">
        <v>99</v>
      </c>
      <c r="AC664" t="s">
        <v>267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326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564</v>
      </c>
      <c r="F665" t="s">
        <v>272</v>
      </c>
      <c r="G665" s="27">
        <v>45142</v>
      </c>
      <c r="H665" t="s">
        <v>109</v>
      </c>
      <c r="I665" t="s">
        <v>542</v>
      </c>
      <c r="J665" t="s">
        <v>543</v>
      </c>
      <c r="K665">
        <v>9</v>
      </c>
      <c r="L665" t="s">
        <v>112</v>
      </c>
      <c r="M665" t="s">
        <v>560</v>
      </c>
      <c r="N665" t="s">
        <v>171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413</v>
      </c>
      <c r="U665" t="s">
        <v>234</v>
      </c>
      <c r="V665" t="s">
        <v>459</v>
      </c>
      <c r="W665" t="s">
        <v>561</v>
      </c>
      <c r="Y665" t="s">
        <v>229</v>
      </c>
      <c r="AA665">
        <v>1</v>
      </c>
      <c r="AB665" t="s">
        <v>99</v>
      </c>
      <c r="AC665" t="s">
        <v>292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464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564</v>
      </c>
      <c r="F666" t="s">
        <v>272</v>
      </c>
      <c r="G666" s="27">
        <v>45142</v>
      </c>
      <c r="H666" t="s">
        <v>109</v>
      </c>
      <c r="I666" t="s">
        <v>542</v>
      </c>
      <c r="J666" t="s">
        <v>543</v>
      </c>
      <c r="K666">
        <v>9</v>
      </c>
      <c r="L666" t="s">
        <v>112</v>
      </c>
      <c r="M666" t="s">
        <v>560</v>
      </c>
      <c r="N666" t="s">
        <v>171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413</v>
      </c>
      <c r="U666" t="s">
        <v>181</v>
      </c>
      <c r="V666" t="s">
        <v>123</v>
      </c>
      <c r="W666" t="s">
        <v>562</v>
      </c>
      <c r="Y666" t="s">
        <v>464</v>
      </c>
      <c r="AA666">
        <v>1</v>
      </c>
      <c r="AB666" t="s">
        <v>100</v>
      </c>
      <c r="AC666" t="s">
        <v>292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459</v>
      </c>
      <c r="AL666">
        <v>0.65909090909090895</v>
      </c>
      <c r="AM666" t="s">
        <v>229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565</v>
      </c>
      <c r="F667" t="s">
        <v>272</v>
      </c>
      <c r="G667" s="27">
        <v>45142</v>
      </c>
      <c r="H667" t="s">
        <v>109</v>
      </c>
      <c r="I667" t="s">
        <v>542</v>
      </c>
      <c r="J667" t="s">
        <v>543</v>
      </c>
      <c r="K667">
        <v>9</v>
      </c>
      <c r="L667" t="s">
        <v>112</v>
      </c>
      <c r="M667" t="s">
        <v>560</v>
      </c>
      <c r="N667" t="s">
        <v>171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413</v>
      </c>
      <c r="U667" t="s">
        <v>181</v>
      </c>
      <c r="V667" t="s">
        <v>135</v>
      </c>
      <c r="W667" t="s">
        <v>562</v>
      </c>
      <c r="Y667" t="s">
        <v>119</v>
      </c>
      <c r="AA667">
        <v>1</v>
      </c>
      <c r="AB667" t="s">
        <v>99</v>
      </c>
      <c r="AC667" t="s">
        <v>267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234</v>
      </c>
      <c r="AL667">
        <v>0.5</v>
      </c>
      <c r="AM667" t="s">
        <v>174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565</v>
      </c>
      <c r="F668" t="s">
        <v>272</v>
      </c>
      <c r="G668" s="27">
        <v>45142</v>
      </c>
      <c r="H668" t="s">
        <v>109</v>
      </c>
      <c r="I668" t="s">
        <v>542</v>
      </c>
      <c r="J668" t="s">
        <v>543</v>
      </c>
      <c r="K668">
        <v>9</v>
      </c>
      <c r="L668" t="s">
        <v>112</v>
      </c>
      <c r="M668" t="s">
        <v>560</v>
      </c>
      <c r="N668" t="s">
        <v>171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413</v>
      </c>
      <c r="U668" t="s">
        <v>234</v>
      </c>
      <c r="V668" t="s">
        <v>234</v>
      </c>
      <c r="W668" t="s">
        <v>561</v>
      </c>
      <c r="Y668" t="s">
        <v>174</v>
      </c>
      <c r="AA668">
        <v>1</v>
      </c>
      <c r="AB668" t="s">
        <v>100</v>
      </c>
      <c r="AC668" t="s">
        <v>267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135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566</v>
      </c>
      <c r="F669" t="s">
        <v>272</v>
      </c>
      <c r="G669" s="27">
        <v>45142</v>
      </c>
      <c r="H669" t="s">
        <v>109</v>
      </c>
      <c r="I669" t="s">
        <v>542</v>
      </c>
      <c r="J669" t="s">
        <v>543</v>
      </c>
      <c r="K669">
        <v>9</v>
      </c>
      <c r="L669" t="s">
        <v>112</v>
      </c>
      <c r="M669" t="s">
        <v>560</v>
      </c>
      <c r="N669" t="s">
        <v>171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413</v>
      </c>
      <c r="U669" t="s">
        <v>234</v>
      </c>
      <c r="V669" t="s">
        <v>178</v>
      </c>
      <c r="W669" t="s">
        <v>561</v>
      </c>
      <c r="Y669" t="s">
        <v>230</v>
      </c>
      <c r="AA669">
        <v>1</v>
      </c>
      <c r="AB669" t="s">
        <v>100</v>
      </c>
      <c r="AC669" t="s">
        <v>242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566</v>
      </c>
      <c r="F670" t="s">
        <v>272</v>
      </c>
      <c r="G670" s="27">
        <v>45142</v>
      </c>
      <c r="H670" t="s">
        <v>109</v>
      </c>
      <c r="I670" t="s">
        <v>542</v>
      </c>
      <c r="J670" t="s">
        <v>543</v>
      </c>
      <c r="K670">
        <v>9</v>
      </c>
      <c r="L670" t="s">
        <v>112</v>
      </c>
      <c r="M670" t="s">
        <v>560</v>
      </c>
      <c r="N670" t="s">
        <v>171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413</v>
      </c>
      <c r="U670" t="s">
        <v>181</v>
      </c>
      <c r="V670" t="s">
        <v>127</v>
      </c>
      <c r="W670" t="s">
        <v>562</v>
      </c>
      <c r="Y670" t="s">
        <v>132</v>
      </c>
      <c r="AA670">
        <v>1</v>
      </c>
      <c r="AB670" t="s">
        <v>99</v>
      </c>
      <c r="AC670" t="s">
        <v>242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178</v>
      </c>
      <c r="AL670">
        <v>0.59649122807017496</v>
      </c>
      <c r="AM670" t="s">
        <v>230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567</v>
      </c>
      <c r="F671" t="s">
        <v>272</v>
      </c>
      <c r="G671" s="27">
        <v>45142</v>
      </c>
      <c r="H671" t="s">
        <v>109</v>
      </c>
      <c r="I671" t="s">
        <v>542</v>
      </c>
      <c r="J671" t="s">
        <v>543</v>
      </c>
      <c r="K671">
        <v>9</v>
      </c>
      <c r="L671" t="s">
        <v>138</v>
      </c>
      <c r="M671" t="s">
        <v>568</v>
      </c>
      <c r="N671" t="s">
        <v>171</v>
      </c>
      <c r="O671">
        <v>73.599999999999994</v>
      </c>
      <c r="P671">
        <v>135</v>
      </c>
      <c r="Q671">
        <v>6705</v>
      </c>
      <c r="R671" t="s">
        <v>373</v>
      </c>
      <c r="S671" t="s">
        <v>116</v>
      </c>
      <c r="T671" t="s">
        <v>413</v>
      </c>
      <c r="U671" t="s">
        <v>234</v>
      </c>
      <c r="V671" t="s">
        <v>133</v>
      </c>
      <c r="W671" t="s">
        <v>561</v>
      </c>
      <c r="Y671" t="s">
        <v>276</v>
      </c>
      <c r="AA671">
        <v>1</v>
      </c>
      <c r="AB671" t="s">
        <v>99</v>
      </c>
      <c r="AC671" t="s">
        <v>242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181</v>
      </c>
      <c r="AL671">
        <v>0.44067796610169502</v>
      </c>
      <c r="AM671" t="s">
        <v>550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567</v>
      </c>
      <c r="F672" t="s">
        <v>272</v>
      </c>
      <c r="G672" s="27">
        <v>45142</v>
      </c>
      <c r="H672" t="s">
        <v>109</v>
      </c>
      <c r="I672" t="s">
        <v>542</v>
      </c>
      <c r="J672" t="s">
        <v>543</v>
      </c>
      <c r="K672">
        <v>9</v>
      </c>
      <c r="L672" t="s">
        <v>138</v>
      </c>
      <c r="M672" t="s">
        <v>568</v>
      </c>
      <c r="N672" t="s">
        <v>171</v>
      </c>
      <c r="O672">
        <v>73.599999999999994</v>
      </c>
      <c r="P672">
        <v>135</v>
      </c>
      <c r="Q672">
        <v>6705</v>
      </c>
      <c r="R672" t="s">
        <v>373</v>
      </c>
      <c r="S672" t="s">
        <v>116</v>
      </c>
      <c r="T672" t="s">
        <v>413</v>
      </c>
      <c r="U672" t="s">
        <v>181</v>
      </c>
      <c r="V672" t="s">
        <v>181</v>
      </c>
      <c r="W672" t="s">
        <v>562</v>
      </c>
      <c r="Y672" t="s">
        <v>550</v>
      </c>
      <c r="AA672">
        <v>1</v>
      </c>
      <c r="AB672" t="s">
        <v>100</v>
      </c>
      <c r="AC672" t="s">
        <v>242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276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569</v>
      </c>
      <c r="F673" t="s">
        <v>272</v>
      </c>
      <c r="G673" s="27">
        <v>45142</v>
      </c>
      <c r="H673" t="s">
        <v>109</v>
      </c>
      <c r="I673" t="s">
        <v>542</v>
      </c>
      <c r="J673" t="s">
        <v>543</v>
      </c>
      <c r="K673">
        <v>9</v>
      </c>
      <c r="L673" t="s">
        <v>138</v>
      </c>
      <c r="M673" t="s">
        <v>568</v>
      </c>
      <c r="N673" t="s">
        <v>171</v>
      </c>
      <c r="O673">
        <v>73.599999999999994</v>
      </c>
      <c r="P673">
        <v>135</v>
      </c>
      <c r="Q673">
        <v>6705</v>
      </c>
      <c r="R673" t="s">
        <v>373</v>
      </c>
      <c r="S673" t="s">
        <v>116</v>
      </c>
      <c r="T673" t="s">
        <v>413</v>
      </c>
      <c r="U673" t="s">
        <v>181</v>
      </c>
      <c r="V673" t="s">
        <v>326</v>
      </c>
      <c r="W673" t="s">
        <v>562</v>
      </c>
      <c r="Y673" t="s">
        <v>122</v>
      </c>
      <c r="AA673">
        <v>1</v>
      </c>
      <c r="AB673" t="s">
        <v>101</v>
      </c>
      <c r="AC673" t="s">
        <v>140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180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569</v>
      </c>
      <c r="F674" t="s">
        <v>272</v>
      </c>
      <c r="G674" s="27">
        <v>45142</v>
      </c>
      <c r="H674" t="s">
        <v>109</v>
      </c>
      <c r="I674" t="s">
        <v>542</v>
      </c>
      <c r="J674" t="s">
        <v>543</v>
      </c>
      <c r="K674">
        <v>9</v>
      </c>
      <c r="L674" t="s">
        <v>138</v>
      </c>
      <c r="M674" t="s">
        <v>568</v>
      </c>
      <c r="N674" t="s">
        <v>171</v>
      </c>
      <c r="O674">
        <v>73.599999999999994</v>
      </c>
      <c r="P674">
        <v>135</v>
      </c>
      <c r="Q674">
        <v>6705</v>
      </c>
      <c r="R674" t="s">
        <v>373</v>
      </c>
      <c r="S674" t="s">
        <v>116</v>
      </c>
      <c r="T674" t="s">
        <v>413</v>
      </c>
      <c r="U674" t="s">
        <v>234</v>
      </c>
      <c r="V674" t="s">
        <v>180</v>
      </c>
      <c r="W674" t="s">
        <v>561</v>
      </c>
      <c r="Y674" t="s">
        <v>118</v>
      </c>
      <c r="AA674">
        <v>1</v>
      </c>
      <c r="AB674" t="s">
        <v>101</v>
      </c>
      <c r="AC674" t="s">
        <v>140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326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570</v>
      </c>
      <c r="F675" t="s">
        <v>272</v>
      </c>
      <c r="G675" s="27">
        <v>45142</v>
      </c>
      <c r="H675" t="s">
        <v>109</v>
      </c>
      <c r="I675" t="s">
        <v>542</v>
      </c>
      <c r="J675" t="s">
        <v>543</v>
      </c>
      <c r="K675">
        <v>9</v>
      </c>
      <c r="L675" t="s">
        <v>138</v>
      </c>
      <c r="M675" t="s">
        <v>568</v>
      </c>
      <c r="N675" t="s">
        <v>171</v>
      </c>
      <c r="O675">
        <v>73.599999999999994</v>
      </c>
      <c r="P675">
        <v>135</v>
      </c>
      <c r="Q675">
        <v>6705</v>
      </c>
      <c r="R675" t="s">
        <v>373</v>
      </c>
      <c r="S675" t="s">
        <v>116</v>
      </c>
      <c r="T675" t="s">
        <v>413</v>
      </c>
      <c r="U675" t="s">
        <v>234</v>
      </c>
      <c r="V675" t="s">
        <v>459</v>
      </c>
      <c r="W675" t="s">
        <v>561</v>
      </c>
      <c r="Y675" t="s">
        <v>229</v>
      </c>
      <c r="AA675">
        <v>1</v>
      </c>
      <c r="AB675" t="s">
        <v>101</v>
      </c>
      <c r="AC675" t="s">
        <v>140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464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570</v>
      </c>
      <c r="F676" t="s">
        <v>272</v>
      </c>
      <c r="G676" s="27">
        <v>45142</v>
      </c>
      <c r="H676" t="s">
        <v>109</v>
      </c>
      <c r="I676" t="s">
        <v>542</v>
      </c>
      <c r="J676" t="s">
        <v>543</v>
      </c>
      <c r="K676">
        <v>9</v>
      </c>
      <c r="L676" t="s">
        <v>138</v>
      </c>
      <c r="M676" t="s">
        <v>568</v>
      </c>
      <c r="N676" t="s">
        <v>171</v>
      </c>
      <c r="O676">
        <v>73.599999999999994</v>
      </c>
      <c r="P676">
        <v>135</v>
      </c>
      <c r="Q676">
        <v>6705</v>
      </c>
      <c r="R676" t="s">
        <v>373</v>
      </c>
      <c r="S676" t="s">
        <v>116</v>
      </c>
      <c r="T676" t="s">
        <v>413</v>
      </c>
      <c r="U676" t="s">
        <v>181</v>
      </c>
      <c r="V676" t="s">
        <v>123</v>
      </c>
      <c r="W676" t="s">
        <v>562</v>
      </c>
      <c r="Y676" t="s">
        <v>464</v>
      </c>
      <c r="AA676">
        <v>1</v>
      </c>
      <c r="AB676" t="s">
        <v>101</v>
      </c>
      <c r="AC676" t="s">
        <v>140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459</v>
      </c>
      <c r="AL676">
        <v>0.65909090909090895</v>
      </c>
      <c r="AM676" t="s">
        <v>229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571</v>
      </c>
      <c r="F677" t="s">
        <v>272</v>
      </c>
      <c r="G677" s="27">
        <v>45142</v>
      </c>
      <c r="H677" t="s">
        <v>109</v>
      </c>
      <c r="I677" t="s">
        <v>542</v>
      </c>
      <c r="J677" t="s">
        <v>543</v>
      </c>
      <c r="K677">
        <v>9</v>
      </c>
      <c r="L677" t="s">
        <v>138</v>
      </c>
      <c r="M677" t="s">
        <v>568</v>
      </c>
      <c r="N677" t="s">
        <v>171</v>
      </c>
      <c r="O677">
        <v>73.599999999999994</v>
      </c>
      <c r="P677">
        <v>135</v>
      </c>
      <c r="Q677">
        <v>6705</v>
      </c>
      <c r="R677" t="s">
        <v>373</v>
      </c>
      <c r="S677" t="s">
        <v>116</v>
      </c>
      <c r="T677" t="s">
        <v>413</v>
      </c>
      <c r="U677" t="s">
        <v>181</v>
      </c>
      <c r="V677" t="s">
        <v>135</v>
      </c>
      <c r="W677" t="s">
        <v>562</v>
      </c>
      <c r="Y677" t="s">
        <v>119</v>
      </c>
      <c r="AA677">
        <v>1</v>
      </c>
      <c r="AB677" t="s">
        <v>99</v>
      </c>
      <c r="AC677" t="s">
        <v>242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234</v>
      </c>
      <c r="AL677">
        <v>0.5</v>
      </c>
      <c r="AM677" t="s">
        <v>174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571</v>
      </c>
      <c r="F678" t="s">
        <v>272</v>
      </c>
      <c r="G678" s="27">
        <v>45142</v>
      </c>
      <c r="H678" t="s">
        <v>109</v>
      </c>
      <c r="I678" t="s">
        <v>542</v>
      </c>
      <c r="J678" t="s">
        <v>543</v>
      </c>
      <c r="K678">
        <v>9</v>
      </c>
      <c r="L678" t="s">
        <v>138</v>
      </c>
      <c r="M678" t="s">
        <v>568</v>
      </c>
      <c r="N678" t="s">
        <v>171</v>
      </c>
      <c r="O678">
        <v>73.599999999999994</v>
      </c>
      <c r="P678">
        <v>135</v>
      </c>
      <c r="Q678">
        <v>6705</v>
      </c>
      <c r="R678" t="s">
        <v>373</v>
      </c>
      <c r="S678" t="s">
        <v>116</v>
      </c>
      <c r="T678" t="s">
        <v>413</v>
      </c>
      <c r="U678" t="s">
        <v>234</v>
      </c>
      <c r="V678" t="s">
        <v>234</v>
      </c>
      <c r="W678" t="s">
        <v>561</v>
      </c>
      <c r="Y678" t="s">
        <v>174</v>
      </c>
      <c r="AA678">
        <v>1</v>
      </c>
      <c r="AB678" t="s">
        <v>100</v>
      </c>
      <c r="AC678" t="s">
        <v>242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135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572</v>
      </c>
      <c r="F679" t="s">
        <v>272</v>
      </c>
      <c r="G679" s="27">
        <v>45142</v>
      </c>
      <c r="H679" t="s">
        <v>109</v>
      </c>
      <c r="I679" t="s">
        <v>542</v>
      </c>
      <c r="J679" t="s">
        <v>543</v>
      </c>
      <c r="K679">
        <v>9</v>
      </c>
      <c r="L679" t="s">
        <v>138</v>
      </c>
      <c r="M679" t="s">
        <v>568</v>
      </c>
      <c r="N679" t="s">
        <v>171</v>
      </c>
      <c r="O679">
        <v>73.599999999999994</v>
      </c>
      <c r="P679">
        <v>135</v>
      </c>
      <c r="Q679">
        <v>6705</v>
      </c>
      <c r="R679" t="s">
        <v>373</v>
      </c>
      <c r="S679" t="s">
        <v>116</v>
      </c>
      <c r="T679" t="s">
        <v>413</v>
      </c>
      <c r="U679" t="s">
        <v>234</v>
      </c>
      <c r="V679" t="s">
        <v>178</v>
      </c>
      <c r="W679" t="s">
        <v>561</v>
      </c>
      <c r="Y679" t="s">
        <v>230</v>
      </c>
      <c r="AA679">
        <v>1</v>
      </c>
      <c r="AB679" t="s">
        <v>100</v>
      </c>
      <c r="AC679" t="s">
        <v>225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572</v>
      </c>
      <c r="F680" t="s">
        <v>272</v>
      </c>
      <c r="G680" s="27">
        <v>45142</v>
      </c>
      <c r="H680" t="s">
        <v>109</v>
      </c>
      <c r="I680" t="s">
        <v>542</v>
      </c>
      <c r="J680" t="s">
        <v>543</v>
      </c>
      <c r="K680">
        <v>9</v>
      </c>
      <c r="L680" t="s">
        <v>138</v>
      </c>
      <c r="M680" t="s">
        <v>568</v>
      </c>
      <c r="N680" t="s">
        <v>171</v>
      </c>
      <c r="O680">
        <v>73.599999999999994</v>
      </c>
      <c r="P680">
        <v>135</v>
      </c>
      <c r="Q680">
        <v>6705</v>
      </c>
      <c r="R680" t="s">
        <v>373</v>
      </c>
      <c r="S680" t="s">
        <v>116</v>
      </c>
      <c r="T680" t="s">
        <v>413</v>
      </c>
      <c r="U680" t="s">
        <v>181</v>
      </c>
      <c r="V680" t="s">
        <v>127</v>
      </c>
      <c r="W680" t="s">
        <v>562</v>
      </c>
      <c r="Y680" t="s">
        <v>132</v>
      </c>
      <c r="AA680">
        <v>1</v>
      </c>
      <c r="AB680" t="s">
        <v>99</v>
      </c>
      <c r="AC680" t="s">
        <v>225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178</v>
      </c>
      <c r="AL680">
        <v>0.59649122807017496</v>
      </c>
      <c r="AM680" t="s">
        <v>230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573</v>
      </c>
      <c r="F681" t="s">
        <v>272</v>
      </c>
      <c r="G681" s="27">
        <v>45142</v>
      </c>
      <c r="H681" t="s">
        <v>145</v>
      </c>
      <c r="I681" t="s">
        <v>542</v>
      </c>
      <c r="J681" t="s">
        <v>543</v>
      </c>
      <c r="K681">
        <v>9</v>
      </c>
      <c r="L681" t="s">
        <v>112</v>
      </c>
      <c r="M681" t="s">
        <v>574</v>
      </c>
      <c r="N681" t="s">
        <v>171</v>
      </c>
      <c r="O681">
        <v>36.1</v>
      </c>
      <c r="P681">
        <v>125</v>
      </c>
      <c r="Q681">
        <v>2959</v>
      </c>
      <c r="R681" t="s">
        <v>139</v>
      </c>
      <c r="S681" t="s">
        <v>116</v>
      </c>
      <c r="T681" t="s">
        <v>413</v>
      </c>
      <c r="U681" t="s">
        <v>234</v>
      </c>
      <c r="V681" t="s">
        <v>174</v>
      </c>
      <c r="W681" t="s">
        <v>561</v>
      </c>
      <c r="Y681" t="s">
        <v>276</v>
      </c>
      <c r="AA681">
        <v>1</v>
      </c>
      <c r="AB681" t="s">
        <v>99</v>
      </c>
      <c r="AC681" t="s">
        <v>242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326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573</v>
      </c>
      <c r="F682" t="s">
        <v>272</v>
      </c>
      <c r="G682" s="27">
        <v>45142</v>
      </c>
      <c r="H682" t="s">
        <v>145</v>
      </c>
      <c r="I682" t="s">
        <v>542</v>
      </c>
      <c r="J682" t="s">
        <v>543</v>
      </c>
      <c r="K682">
        <v>9</v>
      </c>
      <c r="L682" t="s">
        <v>112</v>
      </c>
      <c r="M682" t="s">
        <v>574</v>
      </c>
      <c r="N682" t="s">
        <v>171</v>
      </c>
      <c r="O682">
        <v>36.1</v>
      </c>
      <c r="P682">
        <v>125</v>
      </c>
      <c r="Q682">
        <v>2959</v>
      </c>
      <c r="R682" t="s">
        <v>139</v>
      </c>
      <c r="S682" t="s">
        <v>116</v>
      </c>
      <c r="T682" t="s">
        <v>413</v>
      </c>
      <c r="U682" t="s">
        <v>181</v>
      </c>
      <c r="V682" t="s">
        <v>326</v>
      </c>
      <c r="W682" t="s">
        <v>562</v>
      </c>
      <c r="Y682" t="s">
        <v>127</v>
      </c>
      <c r="AA682">
        <v>1</v>
      </c>
      <c r="AB682" t="s">
        <v>100</v>
      </c>
      <c r="AC682" t="s">
        <v>242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174</v>
      </c>
      <c r="AL682">
        <v>0.37288135593220301</v>
      </c>
      <c r="AM682" t="s">
        <v>276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575</v>
      </c>
      <c r="F683" t="s">
        <v>272</v>
      </c>
      <c r="G683" s="27">
        <v>45142</v>
      </c>
      <c r="H683" t="s">
        <v>145</v>
      </c>
      <c r="I683" t="s">
        <v>542</v>
      </c>
      <c r="J683" t="s">
        <v>543</v>
      </c>
      <c r="K683">
        <v>9</v>
      </c>
      <c r="L683" t="s">
        <v>112</v>
      </c>
      <c r="M683" t="s">
        <v>574</v>
      </c>
      <c r="N683" t="s">
        <v>171</v>
      </c>
      <c r="O683">
        <v>36.1</v>
      </c>
      <c r="P683">
        <v>125</v>
      </c>
      <c r="Q683">
        <v>2959</v>
      </c>
      <c r="R683" t="s">
        <v>139</v>
      </c>
      <c r="S683" t="s">
        <v>116</v>
      </c>
      <c r="T683" t="s">
        <v>413</v>
      </c>
      <c r="U683" t="s">
        <v>181</v>
      </c>
      <c r="V683" t="s">
        <v>122</v>
      </c>
      <c r="W683" t="s">
        <v>562</v>
      </c>
      <c r="Y683" t="s">
        <v>123</v>
      </c>
      <c r="AA683">
        <v>1</v>
      </c>
      <c r="AB683" t="s">
        <v>99</v>
      </c>
      <c r="AC683" t="s">
        <v>308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178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575</v>
      </c>
      <c r="F684" t="s">
        <v>272</v>
      </c>
      <c r="G684" s="27">
        <v>45142</v>
      </c>
      <c r="H684" t="s">
        <v>145</v>
      </c>
      <c r="I684" t="s">
        <v>542</v>
      </c>
      <c r="J684" t="s">
        <v>543</v>
      </c>
      <c r="K684">
        <v>9</v>
      </c>
      <c r="L684" t="s">
        <v>112</v>
      </c>
      <c r="M684" t="s">
        <v>574</v>
      </c>
      <c r="N684" t="s">
        <v>171</v>
      </c>
      <c r="O684">
        <v>36.1</v>
      </c>
      <c r="P684">
        <v>125</v>
      </c>
      <c r="Q684">
        <v>2959</v>
      </c>
      <c r="R684" t="s">
        <v>139</v>
      </c>
      <c r="S684" t="s">
        <v>116</v>
      </c>
      <c r="T684" t="s">
        <v>413</v>
      </c>
      <c r="U684" t="s">
        <v>234</v>
      </c>
      <c r="V684" t="s">
        <v>178</v>
      </c>
      <c r="W684" t="s">
        <v>561</v>
      </c>
      <c r="Y684" t="s">
        <v>133</v>
      </c>
      <c r="AA684">
        <v>1</v>
      </c>
      <c r="AB684" t="s">
        <v>100</v>
      </c>
      <c r="AC684" t="s">
        <v>416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576</v>
      </c>
      <c r="F685" t="s">
        <v>272</v>
      </c>
      <c r="G685" s="27">
        <v>45142</v>
      </c>
      <c r="H685" t="s">
        <v>145</v>
      </c>
      <c r="I685" t="s">
        <v>542</v>
      </c>
      <c r="J685" t="s">
        <v>543</v>
      </c>
      <c r="K685">
        <v>9</v>
      </c>
      <c r="L685" t="s">
        <v>112</v>
      </c>
      <c r="M685" t="s">
        <v>574</v>
      </c>
      <c r="N685" t="s">
        <v>171</v>
      </c>
      <c r="O685">
        <v>36.1</v>
      </c>
      <c r="P685">
        <v>125</v>
      </c>
      <c r="Q685">
        <v>2959</v>
      </c>
      <c r="R685" t="s">
        <v>139</v>
      </c>
      <c r="S685" t="s">
        <v>116</v>
      </c>
      <c r="T685" t="s">
        <v>413</v>
      </c>
      <c r="U685" t="s">
        <v>234</v>
      </c>
      <c r="V685" t="s">
        <v>229</v>
      </c>
      <c r="W685" t="s">
        <v>561</v>
      </c>
      <c r="Y685" t="s">
        <v>118</v>
      </c>
      <c r="AA685">
        <v>1</v>
      </c>
      <c r="AB685" t="s">
        <v>99</v>
      </c>
      <c r="AC685" t="s">
        <v>242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576</v>
      </c>
      <c r="F686" t="s">
        <v>272</v>
      </c>
      <c r="G686" s="27">
        <v>45142</v>
      </c>
      <c r="H686" t="s">
        <v>145</v>
      </c>
      <c r="I686" t="s">
        <v>542</v>
      </c>
      <c r="J686" t="s">
        <v>543</v>
      </c>
      <c r="K686">
        <v>9</v>
      </c>
      <c r="L686" t="s">
        <v>112</v>
      </c>
      <c r="M686" t="s">
        <v>574</v>
      </c>
      <c r="N686" t="s">
        <v>171</v>
      </c>
      <c r="O686">
        <v>36.1</v>
      </c>
      <c r="P686">
        <v>125</v>
      </c>
      <c r="Q686">
        <v>2959</v>
      </c>
      <c r="R686" t="s">
        <v>139</v>
      </c>
      <c r="S686" t="s">
        <v>116</v>
      </c>
      <c r="T686" t="s">
        <v>413</v>
      </c>
      <c r="U686" t="s">
        <v>181</v>
      </c>
      <c r="V686" t="s">
        <v>132</v>
      </c>
      <c r="W686" t="s">
        <v>562</v>
      </c>
      <c r="Y686" t="s">
        <v>119</v>
      </c>
      <c r="AA686">
        <v>1</v>
      </c>
      <c r="AB686" t="s">
        <v>100</v>
      </c>
      <c r="AC686" t="s">
        <v>242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229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577</v>
      </c>
      <c r="F687" t="s">
        <v>272</v>
      </c>
      <c r="G687" s="27">
        <v>45142</v>
      </c>
      <c r="H687" t="s">
        <v>145</v>
      </c>
      <c r="I687" t="s">
        <v>542</v>
      </c>
      <c r="J687" t="s">
        <v>543</v>
      </c>
      <c r="K687">
        <v>9</v>
      </c>
      <c r="L687" t="s">
        <v>112</v>
      </c>
      <c r="M687" t="s">
        <v>574</v>
      </c>
      <c r="N687" t="s">
        <v>171</v>
      </c>
      <c r="O687">
        <v>36.1</v>
      </c>
      <c r="P687">
        <v>125</v>
      </c>
      <c r="Q687">
        <v>2959</v>
      </c>
      <c r="R687" t="s">
        <v>139</v>
      </c>
      <c r="S687" t="s">
        <v>116</v>
      </c>
      <c r="T687" t="s">
        <v>413</v>
      </c>
      <c r="U687" t="s">
        <v>181</v>
      </c>
      <c r="V687" t="s">
        <v>181</v>
      </c>
      <c r="W687" t="s">
        <v>562</v>
      </c>
      <c r="Y687" t="s">
        <v>135</v>
      </c>
      <c r="AA687">
        <v>1</v>
      </c>
      <c r="AB687" t="s">
        <v>99</v>
      </c>
      <c r="AC687" t="s">
        <v>225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234</v>
      </c>
      <c r="AL687">
        <v>0.5</v>
      </c>
      <c r="AM687" t="s">
        <v>230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577</v>
      </c>
      <c r="F688" t="s">
        <v>272</v>
      </c>
      <c r="G688" s="27">
        <v>45142</v>
      </c>
      <c r="H688" t="s">
        <v>145</v>
      </c>
      <c r="I688" t="s">
        <v>542</v>
      </c>
      <c r="J688" t="s">
        <v>543</v>
      </c>
      <c r="K688">
        <v>9</v>
      </c>
      <c r="L688" t="s">
        <v>112</v>
      </c>
      <c r="M688" t="s">
        <v>574</v>
      </c>
      <c r="N688" t="s">
        <v>171</v>
      </c>
      <c r="O688">
        <v>36.1</v>
      </c>
      <c r="P688">
        <v>125</v>
      </c>
      <c r="Q688">
        <v>2959</v>
      </c>
      <c r="R688" t="s">
        <v>139</v>
      </c>
      <c r="S688" t="s">
        <v>116</v>
      </c>
      <c r="T688" t="s">
        <v>413</v>
      </c>
      <c r="U688" t="s">
        <v>234</v>
      </c>
      <c r="V688" t="s">
        <v>234</v>
      </c>
      <c r="W688" t="s">
        <v>561</v>
      </c>
      <c r="Y688" t="s">
        <v>230</v>
      </c>
      <c r="AA688">
        <v>1</v>
      </c>
      <c r="AB688" t="s">
        <v>100</v>
      </c>
      <c r="AC688" t="s">
        <v>225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181</v>
      </c>
      <c r="AL688">
        <v>0.44067796610169502</v>
      </c>
      <c r="AM688" t="s">
        <v>135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578</v>
      </c>
      <c r="F689" t="s">
        <v>272</v>
      </c>
      <c r="G689" s="27">
        <v>45142</v>
      </c>
      <c r="H689" t="s">
        <v>145</v>
      </c>
      <c r="I689" t="s">
        <v>542</v>
      </c>
      <c r="J689" t="s">
        <v>543</v>
      </c>
      <c r="K689">
        <v>9</v>
      </c>
      <c r="L689" t="s">
        <v>112</v>
      </c>
      <c r="M689" t="s">
        <v>574</v>
      </c>
      <c r="N689" t="s">
        <v>171</v>
      </c>
      <c r="O689">
        <v>36.1</v>
      </c>
      <c r="P689">
        <v>125</v>
      </c>
      <c r="Q689">
        <v>2959</v>
      </c>
      <c r="R689" t="s">
        <v>139</v>
      </c>
      <c r="S689" t="s">
        <v>116</v>
      </c>
      <c r="T689" t="s">
        <v>413</v>
      </c>
      <c r="U689" t="s">
        <v>234</v>
      </c>
      <c r="V689" t="s">
        <v>180</v>
      </c>
      <c r="W689" t="s">
        <v>561</v>
      </c>
      <c r="Y689" t="s">
        <v>459</v>
      </c>
      <c r="AA689">
        <v>1</v>
      </c>
      <c r="AB689" t="s">
        <v>99</v>
      </c>
      <c r="AC689" t="s">
        <v>228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550</v>
      </c>
      <c r="AL689">
        <v>0.33333333333333298</v>
      </c>
      <c r="AM689" t="s">
        <v>464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578</v>
      </c>
      <c r="F690" t="s">
        <v>272</v>
      </c>
      <c r="G690" s="27">
        <v>45142</v>
      </c>
      <c r="H690" t="s">
        <v>145</v>
      </c>
      <c r="I690" t="s">
        <v>542</v>
      </c>
      <c r="J690" t="s">
        <v>543</v>
      </c>
      <c r="K690">
        <v>9</v>
      </c>
      <c r="L690" t="s">
        <v>112</v>
      </c>
      <c r="M690" t="s">
        <v>574</v>
      </c>
      <c r="N690" t="s">
        <v>171</v>
      </c>
      <c r="O690">
        <v>36.1</v>
      </c>
      <c r="P690">
        <v>125</v>
      </c>
      <c r="Q690">
        <v>2959</v>
      </c>
      <c r="R690" t="s">
        <v>139</v>
      </c>
      <c r="S690" t="s">
        <v>116</v>
      </c>
      <c r="T690" t="s">
        <v>413</v>
      </c>
      <c r="U690" t="s">
        <v>181</v>
      </c>
      <c r="V690" t="s">
        <v>550</v>
      </c>
      <c r="W690" t="s">
        <v>562</v>
      </c>
      <c r="Y690" t="s">
        <v>464</v>
      </c>
      <c r="AA690">
        <v>1</v>
      </c>
      <c r="AB690" t="s">
        <v>100</v>
      </c>
      <c r="AC690" t="s">
        <v>228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180</v>
      </c>
      <c r="AL690">
        <v>0.34745762711864397</v>
      </c>
      <c r="AM690" t="s">
        <v>459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579</v>
      </c>
      <c r="F691" t="s">
        <v>108</v>
      </c>
      <c r="G691" s="27">
        <v>45143</v>
      </c>
      <c r="H691" t="s">
        <v>109</v>
      </c>
      <c r="I691" t="s">
        <v>542</v>
      </c>
      <c r="J691" t="s">
        <v>543</v>
      </c>
      <c r="K691">
        <v>18</v>
      </c>
      <c r="L691" t="s">
        <v>155</v>
      </c>
      <c r="M691" t="s">
        <v>580</v>
      </c>
      <c r="N691" t="s">
        <v>581</v>
      </c>
      <c r="O691">
        <v>70.2</v>
      </c>
      <c r="P691">
        <v>130</v>
      </c>
      <c r="Q691">
        <v>5675</v>
      </c>
      <c r="R691" t="s">
        <v>158</v>
      </c>
      <c r="S691" t="s">
        <v>159</v>
      </c>
      <c r="T691" t="s">
        <v>413</v>
      </c>
      <c r="U691" t="s">
        <v>234</v>
      </c>
      <c r="V691" t="s">
        <v>118</v>
      </c>
      <c r="W691" t="s">
        <v>582</v>
      </c>
      <c r="AA691">
        <v>2</v>
      </c>
      <c r="AB691" t="s">
        <v>99</v>
      </c>
      <c r="AC691" t="s">
        <v>267</v>
      </c>
      <c r="AD691" t="s">
        <v>326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326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583</v>
      </c>
      <c r="F692" t="s">
        <v>108</v>
      </c>
      <c r="G692" s="27">
        <v>45143</v>
      </c>
      <c r="H692" t="s">
        <v>109</v>
      </c>
      <c r="I692" t="s">
        <v>542</v>
      </c>
      <c r="J692" t="s">
        <v>543</v>
      </c>
      <c r="K692">
        <v>18</v>
      </c>
      <c r="L692" t="s">
        <v>155</v>
      </c>
      <c r="M692" t="s">
        <v>580</v>
      </c>
      <c r="N692" t="s">
        <v>581</v>
      </c>
      <c r="O692">
        <v>70.2</v>
      </c>
      <c r="P692">
        <v>130</v>
      </c>
      <c r="Q692">
        <v>5675</v>
      </c>
      <c r="R692" t="s">
        <v>158</v>
      </c>
      <c r="S692" t="s">
        <v>159</v>
      </c>
      <c r="T692" t="s">
        <v>413</v>
      </c>
      <c r="U692" t="s">
        <v>234</v>
      </c>
      <c r="V692" t="s">
        <v>230</v>
      </c>
      <c r="W692" t="s">
        <v>582</v>
      </c>
      <c r="AA692">
        <v>2</v>
      </c>
      <c r="AB692" t="s">
        <v>100</v>
      </c>
      <c r="AC692" t="s">
        <v>584</v>
      </c>
      <c r="AD692" t="s">
        <v>135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135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585</v>
      </c>
      <c r="F693" t="s">
        <v>108</v>
      </c>
      <c r="G693" s="27">
        <v>45143</v>
      </c>
      <c r="H693" t="s">
        <v>109</v>
      </c>
      <c r="I693" t="s">
        <v>542</v>
      </c>
      <c r="J693" t="s">
        <v>543</v>
      </c>
      <c r="K693">
        <v>18</v>
      </c>
      <c r="L693" t="s">
        <v>155</v>
      </c>
      <c r="M693" t="s">
        <v>580</v>
      </c>
      <c r="N693" t="s">
        <v>581</v>
      </c>
      <c r="O693">
        <v>70.2</v>
      </c>
      <c r="P693">
        <v>130</v>
      </c>
      <c r="Q693">
        <v>5675</v>
      </c>
      <c r="R693" t="s">
        <v>158</v>
      </c>
      <c r="S693" t="s">
        <v>159</v>
      </c>
      <c r="T693" t="s">
        <v>413</v>
      </c>
      <c r="U693" t="s">
        <v>234</v>
      </c>
      <c r="V693" t="s">
        <v>459</v>
      </c>
      <c r="W693" t="s">
        <v>582</v>
      </c>
      <c r="AA693">
        <v>2</v>
      </c>
      <c r="AB693" t="s">
        <v>99</v>
      </c>
      <c r="AC693" t="s">
        <v>402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586</v>
      </c>
      <c r="F694" t="s">
        <v>108</v>
      </c>
      <c r="G694" s="27">
        <v>45143</v>
      </c>
      <c r="H694" t="s">
        <v>109</v>
      </c>
      <c r="I694" t="s">
        <v>542</v>
      </c>
      <c r="J694" t="s">
        <v>543</v>
      </c>
      <c r="K694">
        <v>18</v>
      </c>
      <c r="L694" t="s">
        <v>155</v>
      </c>
      <c r="M694" t="s">
        <v>580</v>
      </c>
      <c r="N694" t="s">
        <v>581</v>
      </c>
      <c r="O694">
        <v>70.2</v>
      </c>
      <c r="P694">
        <v>130</v>
      </c>
      <c r="Q694">
        <v>5675</v>
      </c>
      <c r="R694" t="s">
        <v>158</v>
      </c>
      <c r="S694" t="s">
        <v>159</v>
      </c>
      <c r="T694" t="s">
        <v>413</v>
      </c>
      <c r="U694" t="s">
        <v>234</v>
      </c>
      <c r="V694" t="s">
        <v>174</v>
      </c>
      <c r="W694" t="s">
        <v>582</v>
      </c>
      <c r="AA694">
        <v>2</v>
      </c>
      <c r="AB694" t="s">
        <v>100</v>
      </c>
      <c r="AC694" t="s">
        <v>225</v>
      </c>
      <c r="AD694" t="s">
        <v>550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550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587</v>
      </c>
      <c r="F695" t="s">
        <v>108</v>
      </c>
      <c r="G695" s="27">
        <v>45143</v>
      </c>
      <c r="H695" t="s">
        <v>109</v>
      </c>
      <c r="I695" t="s">
        <v>542</v>
      </c>
      <c r="J695" t="s">
        <v>543</v>
      </c>
      <c r="K695">
        <v>18</v>
      </c>
      <c r="L695" t="s">
        <v>155</v>
      </c>
      <c r="M695" t="s">
        <v>580</v>
      </c>
      <c r="N695" t="s">
        <v>581</v>
      </c>
      <c r="O695">
        <v>70.2</v>
      </c>
      <c r="P695">
        <v>130</v>
      </c>
      <c r="Q695">
        <v>5675</v>
      </c>
      <c r="R695" t="s">
        <v>158</v>
      </c>
      <c r="S695" t="s">
        <v>159</v>
      </c>
      <c r="T695" t="s">
        <v>413</v>
      </c>
      <c r="U695" t="s">
        <v>234</v>
      </c>
      <c r="V695" t="s">
        <v>229</v>
      </c>
      <c r="W695" t="s">
        <v>582</v>
      </c>
      <c r="AA695">
        <v>2</v>
      </c>
      <c r="AB695" t="s">
        <v>99</v>
      </c>
      <c r="AC695" t="s">
        <v>292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588</v>
      </c>
      <c r="F696" t="s">
        <v>108</v>
      </c>
      <c r="G696" s="27">
        <v>45143</v>
      </c>
      <c r="H696" t="s">
        <v>109</v>
      </c>
      <c r="I696" t="s">
        <v>542</v>
      </c>
      <c r="J696" t="s">
        <v>543</v>
      </c>
      <c r="K696">
        <v>18</v>
      </c>
      <c r="L696" t="s">
        <v>155</v>
      </c>
      <c r="M696" t="s">
        <v>580</v>
      </c>
      <c r="N696" t="s">
        <v>581</v>
      </c>
      <c r="O696">
        <v>70.2</v>
      </c>
      <c r="P696">
        <v>130</v>
      </c>
      <c r="Q696">
        <v>5675</v>
      </c>
      <c r="R696" t="s">
        <v>158</v>
      </c>
      <c r="S696" t="s">
        <v>159</v>
      </c>
      <c r="T696" t="s">
        <v>413</v>
      </c>
      <c r="U696" t="s">
        <v>234</v>
      </c>
      <c r="V696" t="s">
        <v>234</v>
      </c>
      <c r="W696" t="s">
        <v>582</v>
      </c>
      <c r="AA696">
        <v>2</v>
      </c>
      <c r="AB696" t="s">
        <v>99</v>
      </c>
      <c r="AC696" t="s">
        <v>225</v>
      </c>
      <c r="AD696" t="s">
        <v>464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464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589</v>
      </c>
      <c r="F697" t="s">
        <v>108</v>
      </c>
      <c r="G697" s="27">
        <v>45143</v>
      </c>
      <c r="H697" t="s">
        <v>109</v>
      </c>
      <c r="I697" t="s">
        <v>542</v>
      </c>
      <c r="J697" t="s">
        <v>543</v>
      </c>
      <c r="K697">
        <v>18</v>
      </c>
      <c r="L697" t="s">
        <v>155</v>
      </c>
      <c r="M697" t="s">
        <v>580</v>
      </c>
      <c r="N697" t="s">
        <v>581</v>
      </c>
      <c r="O697">
        <v>70.2</v>
      </c>
      <c r="P697">
        <v>130</v>
      </c>
      <c r="Q697">
        <v>5675</v>
      </c>
      <c r="R697" t="s">
        <v>158</v>
      </c>
      <c r="S697" t="s">
        <v>159</v>
      </c>
      <c r="T697" t="s">
        <v>413</v>
      </c>
      <c r="U697" t="s">
        <v>234</v>
      </c>
      <c r="V697" t="s">
        <v>180</v>
      </c>
      <c r="W697" t="s">
        <v>582</v>
      </c>
      <c r="AA697">
        <v>2</v>
      </c>
      <c r="AB697" t="s">
        <v>100</v>
      </c>
      <c r="AC697" t="s">
        <v>242</v>
      </c>
      <c r="AD697" t="s">
        <v>181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181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590</v>
      </c>
      <c r="F698" t="s">
        <v>108</v>
      </c>
      <c r="G698" s="27">
        <v>45143</v>
      </c>
      <c r="H698" t="s">
        <v>109</v>
      </c>
      <c r="I698" t="s">
        <v>542</v>
      </c>
      <c r="J698" t="s">
        <v>543</v>
      </c>
      <c r="K698">
        <v>18</v>
      </c>
      <c r="L698" t="s">
        <v>155</v>
      </c>
      <c r="M698" t="s">
        <v>580</v>
      </c>
      <c r="N698" t="s">
        <v>581</v>
      </c>
      <c r="O698">
        <v>70.2</v>
      </c>
      <c r="P698">
        <v>130</v>
      </c>
      <c r="Q698">
        <v>5675</v>
      </c>
      <c r="R698" t="s">
        <v>158</v>
      </c>
      <c r="S698" t="s">
        <v>159</v>
      </c>
      <c r="T698" t="s">
        <v>413</v>
      </c>
      <c r="U698" t="s">
        <v>234</v>
      </c>
      <c r="V698" t="s">
        <v>276</v>
      </c>
      <c r="W698" t="s">
        <v>582</v>
      </c>
      <c r="AA698">
        <v>2</v>
      </c>
      <c r="AB698" t="s">
        <v>99</v>
      </c>
      <c r="AC698" t="s">
        <v>242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591</v>
      </c>
      <c r="F699" t="s">
        <v>108</v>
      </c>
      <c r="G699" s="27">
        <v>45143</v>
      </c>
      <c r="H699" t="s">
        <v>109</v>
      </c>
      <c r="I699" t="s">
        <v>542</v>
      </c>
      <c r="J699" t="s">
        <v>543</v>
      </c>
      <c r="K699">
        <v>18</v>
      </c>
      <c r="L699" t="s">
        <v>155</v>
      </c>
      <c r="M699" t="s">
        <v>580</v>
      </c>
      <c r="N699" t="s">
        <v>581</v>
      </c>
      <c r="O699">
        <v>70.2</v>
      </c>
      <c r="P699">
        <v>130</v>
      </c>
      <c r="Q699">
        <v>5675</v>
      </c>
      <c r="R699" t="s">
        <v>158</v>
      </c>
      <c r="S699" t="s">
        <v>159</v>
      </c>
      <c r="T699" t="s">
        <v>413</v>
      </c>
      <c r="U699" t="s">
        <v>234</v>
      </c>
      <c r="V699" t="s">
        <v>133</v>
      </c>
      <c r="W699" t="s">
        <v>582</v>
      </c>
      <c r="AA699">
        <v>2</v>
      </c>
      <c r="AB699" t="s">
        <v>101</v>
      </c>
      <c r="AC699" t="s">
        <v>140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592</v>
      </c>
      <c r="F700" t="s">
        <v>108</v>
      </c>
      <c r="G700" s="27">
        <v>45143</v>
      </c>
      <c r="H700" t="s">
        <v>109</v>
      </c>
      <c r="I700" t="s">
        <v>542</v>
      </c>
      <c r="J700" t="s">
        <v>543</v>
      </c>
      <c r="K700">
        <v>18</v>
      </c>
      <c r="L700" t="s">
        <v>155</v>
      </c>
      <c r="M700" t="s">
        <v>580</v>
      </c>
      <c r="N700" t="s">
        <v>581</v>
      </c>
      <c r="O700">
        <v>70.2</v>
      </c>
      <c r="P700">
        <v>130</v>
      </c>
      <c r="Q700">
        <v>5675</v>
      </c>
      <c r="R700" t="s">
        <v>158</v>
      </c>
      <c r="S700" t="s">
        <v>159</v>
      </c>
      <c r="T700" t="s">
        <v>413</v>
      </c>
      <c r="U700" t="s">
        <v>234</v>
      </c>
      <c r="V700" t="s">
        <v>178</v>
      </c>
      <c r="W700" t="s">
        <v>582</v>
      </c>
      <c r="AA700">
        <v>2</v>
      </c>
      <c r="AB700" t="s">
        <v>100</v>
      </c>
      <c r="AC700" t="s">
        <v>225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579</v>
      </c>
      <c r="F701" t="s">
        <v>108</v>
      </c>
      <c r="G701" s="27">
        <v>45143</v>
      </c>
      <c r="H701" t="s">
        <v>109</v>
      </c>
      <c r="I701" t="s">
        <v>542</v>
      </c>
      <c r="J701" t="s">
        <v>543</v>
      </c>
      <c r="K701">
        <v>18</v>
      </c>
      <c r="L701" t="s">
        <v>155</v>
      </c>
      <c r="M701" t="s">
        <v>580</v>
      </c>
      <c r="N701" t="s">
        <v>581</v>
      </c>
      <c r="O701">
        <v>70.2</v>
      </c>
      <c r="P701">
        <v>130</v>
      </c>
      <c r="Q701">
        <v>5675</v>
      </c>
      <c r="R701" t="s">
        <v>158</v>
      </c>
      <c r="S701" t="s">
        <v>159</v>
      </c>
      <c r="T701" t="s">
        <v>413</v>
      </c>
      <c r="U701" t="s">
        <v>181</v>
      </c>
      <c r="V701" t="s">
        <v>326</v>
      </c>
      <c r="W701" t="s">
        <v>171</v>
      </c>
      <c r="AA701">
        <v>2</v>
      </c>
      <c r="AB701" t="s">
        <v>100</v>
      </c>
      <c r="AC701" t="s">
        <v>267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583</v>
      </c>
      <c r="F702" t="s">
        <v>108</v>
      </c>
      <c r="G702" s="27">
        <v>45143</v>
      </c>
      <c r="H702" t="s">
        <v>109</v>
      </c>
      <c r="I702" t="s">
        <v>542</v>
      </c>
      <c r="J702" t="s">
        <v>543</v>
      </c>
      <c r="K702">
        <v>18</v>
      </c>
      <c r="L702" t="s">
        <v>155</v>
      </c>
      <c r="M702" t="s">
        <v>580</v>
      </c>
      <c r="N702" t="s">
        <v>581</v>
      </c>
      <c r="O702">
        <v>70.2</v>
      </c>
      <c r="P702">
        <v>130</v>
      </c>
      <c r="Q702">
        <v>5675</v>
      </c>
      <c r="R702" t="s">
        <v>158</v>
      </c>
      <c r="S702" t="s">
        <v>159</v>
      </c>
      <c r="T702" t="s">
        <v>413</v>
      </c>
      <c r="U702" t="s">
        <v>181</v>
      </c>
      <c r="V702" t="s">
        <v>135</v>
      </c>
      <c r="W702" t="s">
        <v>171</v>
      </c>
      <c r="AA702">
        <v>2</v>
      </c>
      <c r="AB702" t="s">
        <v>99</v>
      </c>
      <c r="AC702" t="s">
        <v>584</v>
      </c>
      <c r="AD702" t="s">
        <v>230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230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585</v>
      </c>
      <c r="F703" t="s">
        <v>108</v>
      </c>
      <c r="G703" s="27">
        <v>45143</v>
      </c>
      <c r="H703" t="s">
        <v>109</v>
      </c>
      <c r="I703" t="s">
        <v>542</v>
      </c>
      <c r="J703" t="s">
        <v>543</v>
      </c>
      <c r="K703">
        <v>18</v>
      </c>
      <c r="L703" t="s">
        <v>155</v>
      </c>
      <c r="M703" t="s">
        <v>580</v>
      </c>
      <c r="N703" t="s">
        <v>581</v>
      </c>
      <c r="O703">
        <v>70.2</v>
      </c>
      <c r="P703">
        <v>130</v>
      </c>
      <c r="Q703">
        <v>5675</v>
      </c>
      <c r="R703" t="s">
        <v>158</v>
      </c>
      <c r="S703" t="s">
        <v>159</v>
      </c>
      <c r="T703" t="s">
        <v>413</v>
      </c>
      <c r="U703" t="s">
        <v>181</v>
      </c>
      <c r="V703" t="s">
        <v>122</v>
      </c>
      <c r="W703" t="s">
        <v>171</v>
      </c>
      <c r="AA703">
        <v>2</v>
      </c>
      <c r="AB703" t="s">
        <v>100</v>
      </c>
      <c r="AC703" t="s">
        <v>402</v>
      </c>
      <c r="AD703" t="s">
        <v>459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459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586</v>
      </c>
      <c r="F704" t="s">
        <v>108</v>
      </c>
      <c r="G704" s="27">
        <v>45143</v>
      </c>
      <c r="H704" t="s">
        <v>109</v>
      </c>
      <c r="I704" t="s">
        <v>542</v>
      </c>
      <c r="J704" t="s">
        <v>543</v>
      </c>
      <c r="K704">
        <v>18</v>
      </c>
      <c r="L704" t="s">
        <v>155</v>
      </c>
      <c r="M704" t="s">
        <v>580</v>
      </c>
      <c r="N704" t="s">
        <v>581</v>
      </c>
      <c r="O704">
        <v>70.2</v>
      </c>
      <c r="P704">
        <v>130</v>
      </c>
      <c r="Q704">
        <v>5675</v>
      </c>
      <c r="R704" t="s">
        <v>158</v>
      </c>
      <c r="S704" t="s">
        <v>159</v>
      </c>
      <c r="T704" t="s">
        <v>413</v>
      </c>
      <c r="U704" t="s">
        <v>181</v>
      </c>
      <c r="V704" t="s">
        <v>550</v>
      </c>
      <c r="W704" t="s">
        <v>171</v>
      </c>
      <c r="AA704">
        <v>2</v>
      </c>
      <c r="AB704" t="s">
        <v>99</v>
      </c>
      <c r="AC704" t="s">
        <v>225</v>
      </c>
      <c r="AD704" t="s">
        <v>174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174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587</v>
      </c>
      <c r="F705" t="s">
        <v>108</v>
      </c>
      <c r="G705" s="27">
        <v>45143</v>
      </c>
      <c r="H705" t="s">
        <v>109</v>
      </c>
      <c r="I705" t="s">
        <v>542</v>
      </c>
      <c r="J705" t="s">
        <v>543</v>
      </c>
      <c r="K705">
        <v>18</v>
      </c>
      <c r="L705" t="s">
        <v>155</v>
      </c>
      <c r="M705" t="s">
        <v>580</v>
      </c>
      <c r="N705" t="s">
        <v>581</v>
      </c>
      <c r="O705">
        <v>70.2</v>
      </c>
      <c r="P705">
        <v>130</v>
      </c>
      <c r="Q705">
        <v>5675</v>
      </c>
      <c r="R705" t="s">
        <v>158</v>
      </c>
      <c r="S705" t="s">
        <v>159</v>
      </c>
      <c r="T705" t="s">
        <v>413</v>
      </c>
      <c r="U705" t="s">
        <v>181</v>
      </c>
      <c r="V705" t="s">
        <v>132</v>
      </c>
      <c r="W705" t="s">
        <v>171</v>
      </c>
      <c r="AA705">
        <v>2</v>
      </c>
      <c r="AB705" t="s">
        <v>100</v>
      </c>
      <c r="AC705" t="s">
        <v>292</v>
      </c>
      <c r="AD705" t="s">
        <v>229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229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588</v>
      </c>
      <c r="F706" t="s">
        <v>108</v>
      </c>
      <c r="G706" s="27">
        <v>45143</v>
      </c>
      <c r="H706" t="s">
        <v>109</v>
      </c>
      <c r="I706" t="s">
        <v>542</v>
      </c>
      <c r="J706" t="s">
        <v>543</v>
      </c>
      <c r="K706">
        <v>18</v>
      </c>
      <c r="L706" t="s">
        <v>155</v>
      </c>
      <c r="M706" t="s">
        <v>580</v>
      </c>
      <c r="N706" t="s">
        <v>581</v>
      </c>
      <c r="O706">
        <v>70.2</v>
      </c>
      <c r="P706">
        <v>130</v>
      </c>
      <c r="Q706">
        <v>5675</v>
      </c>
      <c r="R706" t="s">
        <v>158</v>
      </c>
      <c r="S706" t="s">
        <v>159</v>
      </c>
      <c r="T706" t="s">
        <v>413</v>
      </c>
      <c r="U706" t="s">
        <v>181</v>
      </c>
      <c r="V706" t="s">
        <v>464</v>
      </c>
      <c r="W706" t="s">
        <v>171</v>
      </c>
      <c r="AA706">
        <v>2</v>
      </c>
      <c r="AB706" t="s">
        <v>100</v>
      </c>
      <c r="AC706" t="s">
        <v>225</v>
      </c>
      <c r="AD706" t="s">
        <v>234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234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589</v>
      </c>
      <c r="F707" t="s">
        <v>108</v>
      </c>
      <c r="G707" s="27">
        <v>45143</v>
      </c>
      <c r="H707" t="s">
        <v>109</v>
      </c>
      <c r="I707" t="s">
        <v>542</v>
      </c>
      <c r="J707" t="s">
        <v>543</v>
      </c>
      <c r="K707">
        <v>18</v>
      </c>
      <c r="L707" t="s">
        <v>155</v>
      </c>
      <c r="M707" t="s">
        <v>580</v>
      </c>
      <c r="N707" t="s">
        <v>581</v>
      </c>
      <c r="O707">
        <v>70.2</v>
      </c>
      <c r="P707">
        <v>130</v>
      </c>
      <c r="Q707">
        <v>5675</v>
      </c>
      <c r="R707" t="s">
        <v>158</v>
      </c>
      <c r="S707" t="s">
        <v>159</v>
      </c>
      <c r="T707" t="s">
        <v>413</v>
      </c>
      <c r="U707" t="s">
        <v>181</v>
      </c>
      <c r="V707" t="s">
        <v>181</v>
      </c>
      <c r="W707" t="s">
        <v>171</v>
      </c>
      <c r="AA707">
        <v>2</v>
      </c>
      <c r="AB707" t="s">
        <v>99</v>
      </c>
      <c r="AC707" t="s">
        <v>242</v>
      </c>
      <c r="AD707" t="s">
        <v>180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180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590</v>
      </c>
      <c r="F708" t="s">
        <v>108</v>
      </c>
      <c r="G708" s="27">
        <v>45143</v>
      </c>
      <c r="H708" t="s">
        <v>109</v>
      </c>
      <c r="I708" t="s">
        <v>542</v>
      </c>
      <c r="J708" t="s">
        <v>543</v>
      </c>
      <c r="K708">
        <v>18</v>
      </c>
      <c r="L708" t="s">
        <v>155</v>
      </c>
      <c r="M708" t="s">
        <v>580</v>
      </c>
      <c r="N708" t="s">
        <v>581</v>
      </c>
      <c r="O708">
        <v>70.2</v>
      </c>
      <c r="P708">
        <v>130</v>
      </c>
      <c r="Q708">
        <v>5675</v>
      </c>
      <c r="R708" t="s">
        <v>158</v>
      </c>
      <c r="S708" t="s">
        <v>159</v>
      </c>
      <c r="T708" t="s">
        <v>413</v>
      </c>
      <c r="U708" t="s">
        <v>181</v>
      </c>
      <c r="V708" t="s">
        <v>123</v>
      </c>
      <c r="W708" t="s">
        <v>171</v>
      </c>
      <c r="AA708">
        <v>2</v>
      </c>
      <c r="AB708" t="s">
        <v>100</v>
      </c>
      <c r="AC708" t="s">
        <v>242</v>
      </c>
      <c r="AD708" t="s">
        <v>276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276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591</v>
      </c>
      <c r="F709" t="s">
        <v>108</v>
      </c>
      <c r="G709" s="27">
        <v>45143</v>
      </c>
      <c r="H709" t="s">
        <v>109</v>
      </c>
      <c r="I709" t="s">
        <v>542</v>
      </c>
      <c r="J709" t="s">
        <v>543</v>
      </c>
      <c r="K709">
        <v>18</v>
      </c>
      <c r="L709" t="s">
        <v>155</v>
      </c>
      <c r="M709" t="s">
        <v>580</v>
      </c>
      <c r="N709" t="s">
        <v>581</v>
      </c>
      <c r="O709">
        <v>70.2</v>
      </c>
      <c r="P709">
        <v>130</v>
      </c>
      <c r="Q709">
        <v>5675</v>
      </c>
      <c r="R709" t="s">
        <v>158</v>
      </c>
      <c r="S709" t="s">
        <v>159</v>
      </c>
      <c r="T709" t="s">
        <v>413</v>
      </c>
      <c r="U709" t="s">
        <v>181</v>
      </c>
      <c r="V709" t="s">
        <v>127</v>
      </c>
      <c r="W709" t="s">
        <v>171</v>
      </c>
      <c r="AA709">
        <v>2</v>
      </c>
      <c r="AB709" t="s">
        <v>101</v>
      </c>
      <c r="AC709" t="s">
        <v>140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592</v>
      </c>
      <c r="F710" t="s">
        <v>108</v>
      </c>
      <c r="G710" s="27">
        <v>45143</v>
      </c>
      <c r="H710" t="s">
        <v>109</v>
      </c>
      <c r="I710" t="s">
        <v>542</v>
      </c>
      <c r="J710" t="s">
        <v>543</v>
      </c>
      <c r="K710">
        <v>18</v>
      </c>
      <c r="L710" t="s">
        <v>155</v>
      </c>
      <c r="M710" t="s">
        <v>580</v>
      </c>
      <c r="N710" t="s">
        <v>581</v>
      </c>
      <c r="O710">
        <v>70.2</v>
      </c>
      <c r="P710">
        <v>130</v>
      </c>
      <c r="Q710">
        <v>5675</v>
      </c>
      <c r="R710" t="s">
        <v>158</v>
      </c>
      <c r="S710" t="s">
        <v>159</v>
      </c>
      <c r="T710" t="s">
        <v>413</v>
      </c>
      <c r="U710" t="s">
        <v>181</v>
      </c>
      <c r="V710" t="s">
        <v>119</v>
      </c>
      <c r="W710" t="s">
        <v>171</v>
      </c>
      <c r="AA710">
        <v>2</v>
      </c>
      <c r="AB710" t="s">
        <v>99</v>
      </c>
      <c r="AC710" t="s">
        <v>225</v>
      </c>
      <c r="AD710" t="s">
        <v>178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178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593</v>
      </c>
      <c r="F711" t="s">
        <v>272</v>
      </c>
      <c r="G711" s="27">
        <v>45583</v>
      </c>
      <c r="H711" t="s">
        <v>109</v>
      </c>
      <c r="I711" t="s">
        <v>594</v>
      </c>
      <c r="J711" t="s">
        <v>222</v>
      </c>
      <c r="K711">
        <v>9</v>
      </c>
      <c r="L711" t="s">
        <v>112</v>
      </c>
      <c r="M711" t="s">
        <v>595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180</v>
      </c>
      <c r="V711" t="s">
        <v>132</v>
      </c>
      <c r="W711" t="s">
        <v>157</v>
      </c>
      <c r="Y711" t="s">
        <v>119</v>
      </c>
      <c r="AA711">
        <v>1</v>
      </c>
      <c r="AB711" t="s">
        <v>100</v>
      </c>
      <c r="AC711" t="s">
        <v>596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174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593</v>
      </c>
      <c r="F712" t="s">
        <v>272</v>
      </c>
      <c r="G712" s="27">
        <v>45583</v>
      </c>
      <c r="H712" t="s">
        <v>109</v>
      </c>
      <c r="I712" t="s">
        <v>594</v>
      </c>
      <c r="J712" t="s">
        <v>222</v>
      </c>
      <c r="K712">
        <v>9</v>
      </c>
      <c r="L712" t="s">
        <v>112</v>
      </c>
      <c r="M712" t="s">
        <v>595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459</v>
      </c>
      <c r="V712" t="s">
        <v>174</v>
      </c>
      <c r="W712" t="s">
        <v>157</v>
      </c>
      <c r="Y712" t="s">
        <v>130</v>
      </c>
      <c r="AA712">
        <v>1</v>
      </c>
      <c r="AB712" t="s">
        <v>99</v>
      </c>
      <c r="AC712" t="s">
        <v>431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597</v>
      </c>
      <c r="F713" t="s">
        <v>272</v>
      </c>
      <c r="G713" s="27">
        <v>45583</v>
      </c>
      <c r="H713" t="s">
        <v>109</v>
      </c>
      <c r="I713" t="s">
        <v>594</v>
      </c>
      <c r="J713" t="s">
        <v>222</v>
      </c>
      <c r="K713">
        <v>9</v>
      </c>
      <c r="L713" t="s">
        <v>112</v>
      </c>
      <c r="M713" t="s">
        <v>595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459</v>
      </c>
      <c r="V713" t="s">
        <v>229</v>
      </c>
      <c r="W713" t="s">
        <v>157</v>
      </c>
      <c r="Y713" t="s">
        <v>233</v>
      </c>
      <c r="AA713">
        <v>1</v>
      </c>
      <c r="AB713" t="s">
        <v>99</v>
      </c>
      <c r="AC713" t="s">
        <v>228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181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597</v>
      </c>
      <c r="F714" t="s">
        <v>272</v>
      </c>
      <c r="G714" s="27">
        <v>45583</v>
      </c>
      <c r="H714" t="s">
        <v>109</v>
      </c>
      <c r="I714" t="s">
        <v>594</v>
      </c>
      <c r="J714" t="s">
        <v>222</v>
      </c>
      <c r="K714">
        <v>9</v>
      </c>
      <c r="L714" t="s">
        <v>112</v>
      </c>
      <c r="M714" t="s">
        <v>595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180</v>
      </c>
      <c r="V714" t="s">
        <v>181</v>
      </c>
      <c r="W714" t="s">
        <v>157</v>
      </c>
      <c r="Y714" t="s">
        <v>123</v>
      </c>
      <c r="AA714">
        <v>1</v>
      </c>
      <c r="AB714" t="s">
        <v>100</v>
      </c>
      <c r="AC714" t="s">
        <v>228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229</v>
      </c>
      <c r="AL714">
        <v>0.65476190476190499</v>
      </c>
      <c r="AM714" t="s">
        <v>233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598</v>
      </c>
      <c r="F715" t="s">
        <v>272</v>
      </c>
      <c r="G715" s="27">
        <v>45583</v>
      </c>
      <c r="H715" t="s">
        <v>109</v>
      </c>
      <c r="I715" t="s">
        <v>594</v>
      </c>
      <c r="J715" t="s">
        <v>222</v>
      </c>
      <c r="K715">
        <v>9</v>
      </c>
      <c r="L715" t="s">
        <v>112</v>
      </c>
      <c r="M715" t="s">
        <v>595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180</v>
      </c>
      <c r="V715" t="s">
        <v>180</v>
      </c>
      <c r="W715" t="s">
        <v>157</v>
      </c>
      <c r="Y715" t="s">
        <v>118</v>
      </c>
      <c r="AA715">
        <v>1</v>
      </c>
      <c r="AB715" t="s">
        <v>99</v>
      </c>
      <c r="AC715" t="s">
        <v>228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135</v>
      </c>
      <c r="AL715">
        <v>0.59375</v>
      </c>
      <c r="AM715" t="s">
        <v>459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598</v>
      </c>
      <c r="F716" t="s">
        <v>272</v>
      </c>
      <c r="G716" s="27">
        <v>45583</v>
      </c>
      <c r="H716" t="s">
        <v>109</v>
      </c>
      <c r="I716" t="s">
        <v>594</v>
      </c>
      <c r="J716" t="s">
        <v>222</v>
      </c>
      <c r="K716">
        <v>9</v>
      </c>
      <c r="L716" t="s">
        <v>112</v>
      </c>
      <c r="M716" t="s">
        <v>595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459</v>
      </c>
      <c r="V716" t="s">
        <v>135</v>
      </c>
      <c r="W716" t="s">
        <v>157</v>
      </c>
      <c r="Y716" t="s">
        <v>459</v>
      </c>
      <c r="AA716">
        <v>1</v>
      </c>
      <c r="AB716" t="s">
        <v>100</v>
      </c>
      <c r="AC716" t="s">
        <v>228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180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599</v>
      </c>
      <c r="F717" t="s">
        <v>272</v>
      </c>
      <c r="G717" s="27">
        <v>45583</v>
      </c>
      <c r="H717" t="s">
        <v>109</v>
      </c>
      <c r="I717" t="s">
        <v>594</v>
      </c>
      <c r="J717" t="s">
        <v>222</v>
      </c>
      <c r="K717">
        <v>9</v>
      </c>
      <c r="L717" t="s">
        <v>112</v>
      </c>
      <c r="M717" t="s">
        <v>595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459</v>
      </c>
      <c r="V717" t="s">
        <v>136</v>
      </c>
      <c r="W717" t="s">
        <v>157</v>
      </c>
      <c r="Y717" t="s">
        <v>230</v>
      </c>
      <c r="AA717">
        <v>1</v>
      </c>
      <c r="AB717" t="s">
        <v>100</v>
      </c>
      <c r="AC717" t="s">
        <v>600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326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599</v>
      </c>
      <c r="F718" t="s">
        <v>272</v>
      </c>
      <c r="G718" s="27">
        <v>45583</v>
      </c>
      <c r="H718" t="s">
        <v>109</v>
      </c>
      <c r="I718" t="s">
        <v>594</v>
      </c>
      <c r="J718" t="s">
        <v>222</v>
      </c>
      <c r="K718">
        <v>9</v>
      </c>
      <c r="L718" t="s">
        <v>112</v>
      </c>
      <c r="M718" t="s">
        <v>595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180</v>
      </c>
      <c r="V718" t="s">
        <v>326</v>
      </c>
      <c r="W718" t="s">
        <v>157</v>
      </c>
      <c r="Y718" t="s">
        <v>122</v>
      </c>
      <c r="AA718">
        <v>1</v>
      </c>
      <c r="AB718" t="s">
        <v>99</v>
      </c>
      <c r="AC718" t="s">
        <v>431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136</v>
      </c>
      <c r="AM718" t="s">
        <v>230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601</v>
      </c>
      <c r="F719" t="s">
        <v>272</v>
      </c>
      <c r="G719" s="27">
        <v>45583</v>
      </c>
      <c r="H719" t="s">
        <v>109</v>
      </c>
      <c r="I719" t="s">
        <v>594</v>
      </c>
      <c r="J719" t="s">
        <v>222</v>
      </c>
      <c r="K719">
        <v>9</v>
      </c>
      <c r="L719" t="s">
        <v>112</v>
      </c>
      <c r="M719" t="s">
        <v>595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180</v>
      </c>
      <c r="V719" t="s">
        <v>133</v>
      </c>
      <c r="W719" t="s">
        <v>157</v>
      </c>
      <c r="Y719" t="s">
        <v>276</v>
      </c>
      <c r="AA719">
        <v>1</v>
      </c>
      <c r="AB719" t="s">
        <v>101</v>
      </c>
      <c r="AC719" t="s">
        <v>140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178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601</v>
      </c>
      <c r="F720" t="s">
        <v>272</v>
      </c>
      <c r="G720" s="27">
        <v>45583</v>
      </c>
      <c r="H720" t="s">
        <v>109</v>
      </c>
      <c r="I720" t="s">
        <v>594</v>
      </c>
      <c r="J720" t="s">
        <v>222</v>
      </c>
      <c r="K720">
        <v>9</v>
      </c>
      <c r="L720" t="s">
        <v>112</v>
      </c>
      <c r="M720" t="s">
        <v>595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459</v>
      </c>
      <c r="V720" t="s">
        <v>127</v>
      </c>
      <c r="W720" t="s">
        <v>157</v>
      </c>
      <c r="Y720" t="s">
        <v>178</v>
      </c>
      <c r="AA720">
        <v>1</v>
      </c>
      <c r="AB720" t="s">
        <v>101</v>
      </c>
      <c r="AC720" t="s">
        <v>140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276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602</v>
      </c>
      <c r="F721" t="s">
        <v>272</v>
      </c>
      <c r="G721" s="27">
        <v>45583</v>
      </c>
      <c r="H721" t="s">
        <v>109</v>
      </c>
      <c r="I721" t="s">
        <v>594</v>
      </c>
      <c r="J721" t="s">
        <v>222</v>
      </c>
      <c r="K721">
        <v>9</v>
      </c>
      <c r="L721" t="s">
        <v>138</v>
      </c>
      <c r="M721" t="s">
        <v>595</v>
      </c>
      <c r="N721" t="s">
        <v>114</v>
      </c>
      <c r="P721">
        <v>139</v>
      </c>
      <c r="Q721">
        <v>6307</v>
      </c>
      <c r="R721" t="s">
        <v>373</v>
      </c>
      <c r="S721" t="s">
        <v>116</v>
      </c>
      <c r="U721" t="s">
        <v>180</v>
      </c>
      <c r="V721" t="s">
        <v>132</v>
      </c>
      <c r="W721" t="s">
        <v>157</v>
      </c>
      <c r="Y721" t="s">
        <v>119</v>
      </c>
      <c r="AA721">
        <v>1</v>
      </c>
      <c r="AB721" t="s">
        <v>100</v>
      </c>
      <c r="AC721" t="s">
        <v>596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174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602</v>
      </c>
      <c r="F722" t="s">
        <v>272</v>
      </c>
      <c r="G722" s="27">
        <v>45583</v>
      </c>
      <c r="H722" t="s">
        <v>109</v>
      </c>
      <c r="I722" t="s">
        <v>594</v>
      </c>
      <c r="J722" t="s">
        <v>222</v>
      </c>
      <c r="K722">
        <v>9</v>
      </c>
      <c r="L722" t="s">
        <v>138</v>
      </c>
      <c r="M722" t="s">
        <v>595</v>
      </c>
      <c r="N722" t="s">
        <v>114</v>
      </c>
      <c r="P722">
        <v>139</v>
      </c>
      <c r="Q722">
        <v>6307</v>
      </c>
      <c r="R722" t="s">
        <v>373</v>
      </c>
      <c r="S722" t="s">
        <v>116</v>
      </c>
      <c r="U722" t="s">
        <v>459</v>
      </c>
      <c r="V722" t="s">
        <v>174</v>
      </c>
      <c r="W722" t="s">
        <v>157</v>
      </c>
      <c r="Y722" t="s">
        <v>130</v>
      </c>
      <c r="AA722">
        <v>1</v>
      </c>
      <c r="AB722" t="s">
        <v>99</v>
      </c>
      <c r="AC722" t="s">
        <v>267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603</v>
      </c>
      <c r="F723" t="s">
        <v>272</v>
      </c>
      <c r="G723" s="27">
        <v>45583</v>
      </c>
      <c r="H723" t="s">
        <v>109</v>
      </c>
      <c r="I723" t="s">
        <v>594</v>
      </c>
      <c r="J723" t="s">
        <v>222</v>
      </c>
      <c r="K723">
        <v>9</v>
      </c>
      <c r="L723" t="s">
        <v>138</v>
      </c>
      <c r="M723" t="s">
        <v>595</v>
      </c>
      <c r="N723" t="s">
        <v>114</v>
      </c>
      <c r="P723">
        <v>139</v>
      </c>
      <c r="Q723">
        <v>6307</v>
      </c>
      <c r="R723" t="s">
        <v>373</v>
      </c>
      <c r="S723" t="s">
        <v>116</v>
      </c>
      <c r="U723" t="s">
        <v>459</v>
      </c>
      <c r="V723" t="s">
        <v>229</v>
      </c>
      <c r="W723" t="s">
        <v>157</v>
      </c>
      <c r="Y723" t="s">
        <v>233</v>
      </c>
      <c r="AA723">
        <v>1</v>
      </c>
      <c r="AB723" t="s">
        <v>99</v>
      </c>
      <c r="AC723" t="s">
        <v>267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181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603</v>
      </c>
      <c r="F724" t="s">
        <v>272</v>
      </c>
      <c r="G724" s="27">
        <v>45583</v>
      </c>
      <c r="H724" t="s">
        <v>109</v>
      </c>
      <c r="I724" t="s">
        <v>594</v>
      </c>
      <c r="J724" t="s">
        <v>222</v>
      </c>
      <c r="K724">
        <v>9</v>
      </c>
      <c r="L724" t="s">
        <v>138</v>
      </c>
      <c r="M724" t="s">
        <v>595</v>
      </c>
      <c r="N724" t="s">
        <v>114</v>
      </c>
      <c r="P724">
        <v>139</v>
      </c>
      <c r="Q724">
        <v>6307</v>
      </c>
      <c r="R724" t="s">
        <v>373</v>
      </c>
      <c r="S724" t="s">
        <v>116</v>
      </c>
      <c r="U724" t="s">
        <v>180</v>
      </c>
      <c r="V724" t="s">
        <v>181</v>
      </c>
      <c r="W724" t="s">
        <v>157</v>
      </c>
      <c r="Y724" t="s">
        <v>123</v>
      </c>
      <c r="AA724">
        <v>1</v>
      </c>
      <c r="AB724" t="s">
        <v>100</v>
      </c>
      <c r="AC724" t="s">
        <v>596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229</v>
      </c>
      <c r="AL724">
        <v>0.65476190476190499</v>
      </c>
      <c r="AM724" t="s">
        <v>233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604</v>
      </c>
      <c r="F725" t="s">
        <v>272</v>
      </c>
      <c r="G725" s="27">
        <v>45583</v>
      </c>
      <c r="H725" t="s">
        <v>109</v>
      </c>
      <c r="I725" t="s">
        <v>594</v>
      </c>
      <c r="J725" t="s">
        <v>222</v>
      </c>
      <c r="K725">
        <v>9</v>
      </c>
      <c r="L725" t="s">
        <v>138</v>
      </c>
      <c r="M725" t="s">
        <v>595</v>
      </c>
      <c r="N725" t="s">
        <v>114</v>
      </c>
      <c r="P725">
        <v>139</v>
      </c>
      <c r="Q725">
        <v>6307</v>
      </c>
      <c r="R725" t="s">
        <v>373</v>
      </c>
      <c r="S725" t="s">
        <v>116</v>
      </c>
      <c r="U725" t="s">
        <v>180</v>
      </c>
      <c r="V725" t="s">
        <v>180</v>
      </c>
      <c r="W725" t="s">
        <v>157</v>
      </c>
      <c r="Y725" t="s">
        <v>118</v>
      </c>
      <c r="AA725">
        <v>1</v>
      </c>
      <c r="AB725" t="s">
        <v>100</v>
      </c>
      <c r="AC725" t="s">
        <v>228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135</v>
      </c>
      <c r="AL725">
        <v>0.59375</v>
      </c>
      <c r="AM725" t="s">
        <v>459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604</v>
      </c>
      <c r="F726" t="s">
        <v>272</v>
      </c>
      <c r="G726" s="27">
        <v>45583</v>
      </c>
      <c r="H726" t="s">
        <v>109</v>
      </c>
      <c r="I726" t="s">
        <v>594</v>
      </c>
      <c r="J726" t="s">
        <v>222</v>
      </c>
      <c r="K726">
        <v>9</v>
      </c>
      <c r="L726" t="s">
        <v>138</v>
      </c>
      <c r="M726" t="s">
        <v>595</v>
      </c>
      <c r="N726" t="s">
        <v>114</v>
      </c>
      <c r="P726">
        <v>139</v>
      </c>
      <c r="Q726">
        <v>6307</v>
      </c>
      <c r="R726" t="s">
        <v>373</v>
      </c>
      <c r="S726" t="s">
        <v>116</v>
      </c>
      <c r="U726" t="s">
        <v>459</v>
      </c>
      <c r="V726" t="s">
        <v>135</v>
      </c>
      <c r="W726" t="s">
        <v>157</v>
      </c>
      <c r="Y726" t="s">
        <v>459</v>
      </c>
      <c r="AA726">
        <v>1</v>
      </c>
      <c r="AB726" t="s">
        <v>99</v>
      </c>
      <c r="AC726" t="s">
        <v>228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180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605</v>
      </c>
      <c r="F727" t="s">
        <v>272</v>
      </c>
      <c r="G727" s="27">
        <v>45583</v>
      </c>
      <c r="H727" t="s">
        <v>109</v>
      </c>
      <c r="I727" t="s">
        <v>594</v>
      </c>
      <c r="J727" t="s">
        <v>222</v>
      </c>
      <c r="K727">
        <v>9</v>
      </c>
      <c r="L727" t="s">
        <v>138</v>
      </c>
      <c r="M727" t="s">
        <v>595</v>
      </c>
      <c r="N727" t="s">
        <v>114</v>
      </c>
      <c r="P727">
        <v>139</v>
      </c>
      <c r="Q727">
        <v>6307</v>
      </c>
      <c r="R727" t="s">
        <v>373</v>
      </c>
      <c r="S727" t="s">
        <v>116</v>
      </c>
      <c r="U727" t="s">
        <v>459</v>
      </c>
      <c r="V727" t="s">
        <v>136</v>
      </c>
      <c r="W727" t="s">
        <v>157</v>
      </c>
      <c r="Y727" t="s">
        <v>230</v>
      </c>
      <c r="AA727">
        <v>1</v>
      </c>
      <c r="AB727" t="s">
        <v>101</v>
      </c>
      <c r="AC727" t="s">
        <v>140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326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605</v>
      </c>
      <c r="F728" t="s">
        <v>272</v>
      </c>
      <c r="G728" s="27">
        <v>45583</v>
      </c>
      <c r="H728" t="s">
        <v>109</v>
      </c>
      <c r="I728" t="s">
        <v>594</v>
      </c>
      <c r="J728" t="s">
        <v>222</v>
      </c>
      <c r="K728">
        <v>9</v>
      </c>
      <c r="L728" t="s">
        <v>138</v>
      </c>
      <c r="M728" t="s">
        <v>595</v>
      </c>
      <c r="N728" t="s">
        <v>114</v>
      </c>
      <c r="P728">
        <v>139</v>
      </c>
      <c r="Q728">
        <v>6307</v>
      </c>
      <c r="R728" t="s">
        <v>373</v>
      </c>
      <c r="S728" t="s">
        <v>116</v>
      </c>
      <c r="U728" t="s">
        <v>180</v>
      </c>
      <c r="V728" t="s">
        <v>326</v>
      </c>
      <c r="W728" t="s">
        <v>157</v>
      </c>
      <c r="Y728" t="s">
        <v>122</v>
      </c>
      <c r="AA728">
        <v>1</v>
      </c>
      <c r="AB728" t="s">
        <v>101</v>
      </c>
      <c r="AC728" t="s">
        <v>140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136</v>
      </c>
      <c r="AM728" t="s">
        <v>230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606</v>
      </c>
      <c r="F729" t="s">
        <v>272</v>
      </c>
      <c r="G729" s="27">
        <v>45583</v>
      </c>
      <c r="H729" t="s">
        <v>109</v>
      </c>
      <c r="I729" t="s">
        <v>594</v>
      </c>
      <c r="J729" t="s">
        <v>222</v>
      </c>
      <c r="K729">
        <v>9</v>
      </c>
      <c r="L729" t="s">
        <v>138</v>
      </c>
      <c r="M729" t="s">
        <v>595</v>
      </c>
      <c r="N729" t="s">
        <v>114</v>
      </c>
      <c r="P729">
        <v>139</v>
      </c>
      <c r="Q729">
        <v>6307</v>
      </c>
      <c r="R729" t="s">
        <v>373</v>
      </c>
      <c r="S729" t="s">
        <v>116</v>
      </c>
      <c r="U729" t="s">
        <v>180</v>
      </c>
      <c r="V729" t="s">
        <v>133</v>
      </c>
      <c r="W729" t="s">
        <v>157</v>
      </c>
      <c r="Y729" t="s">
        <v>276</v>
      </c>
      <c r="AA729">
        <v>1</v>
      </c>
      <c r="AB729" t="s">
        <v>100</v>
      </c>
      <c r="AC729" t="s">
        <v>228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178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606</v>
      </c>
      <c r="F730" t="s">
        <v>272</v>
      </c>
      <c r="G730" s="27">
        <v>45583</v>
      </c>
      <c r="H730" t="s">
        <v>109</v>
      </c>
      <c r="I730" t="s">
        <v>594</v>
      </c>
      <c r="J730" t="s">
        <v>222</v>
      </c>
      <c r="K730">
        <v>9</v>
      </c>
      <c r="L730" t="s">
        <v>138</v>
      </c>
      <c r="M730" t="s">
        <v>595</v>
      </c>
      <c r="N730" t="s">
        <v>114</v>
      </c>
      <c r="P730">
        <v>139</v>
      </c>
      <c r="Q730">
        <v>6307</v>
      </c>
      <c r="R730" t="s">
        <v>373</v>
      </c>
      <c r="S730" t="s">
        <v>116</v>
      </c>
      <c r="U730" t="s">
        <v>459</v>
      </c>
      <c r="V730" t="s">
        <v>127</v>
      </c>
      <c r="W730" t="s">
        <v>157</v>
      </c>
      <c r="Y730" t="s">
        <v>178</v>
      </c>
      <c r="AA730">
        <v>1</v>
      </c>
      <c r="AB730" t="s">
        <v>99</v>
      </c>
      <c r="AC730" t="s">
        <v>228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276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607</v>
      </c>
      <c r="F731" t="s">
        <v>272</v>
      </c>
      <c r="G731" s="27">
        <v>45583</v>
      </c>
      <c r="H731" t="s">
        <v>145</v>
      </c>
      <c r="I731" t="s">
        <v>594</v>
      </c>
      <c r="J731" t="s">
        <v>222</v>
      </c>
      <c r="K731">
        <v>9</v>
      </c>
      <c r="L731" t="s">
        <v>112</v>
      </c>
      <c r="M731" t="s">
        <v>608</v>
      </c>
      <c r="N731" t="s">
        <v>114</v>
      </c>
      <c r="P731">
        <v>123</v>
      </c>
      <c r="Q731">
        <v>5155</v>
      </c>
      <c r="R731" t="s">
        <v>146</v>
      </c>
      <c r="S731" t="s">
        <v>116</v>
      </c>
      <c r="U731" t="s">
        <v>180</v>
      </c>
      <c r="V731" t="s">
        <v>119</v>
      </c>
      <c r="Y731" t="s">
        <v>118</v>
      </c>
      <c r="AA731">
        <v>1</v>
      </c>
      <c r="AB731" t="s">
        <v>101</v>
      </c>
      <c r="AC731" t="s">
        <v>140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135</v>
      </c>
      <c r="AL731">
        <v>0.59375</v>
      </c>
      <c r="AM731" t="s">
        <v>178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607</v>
      </c>
      <c r="F732" t="s">
        <v>272</v>
      </c>
      <c r="G732" s="27">
        <v>45583</v>
      </c>
      <c r="H732" t="s">
        <v>145</v>
      </c>
      <c r="I732" t="s">
        <v>594</v>
      </c>
      <c r="J732" t="s">
        <v>222</v>
      </c>
      <c r="K732">
        <v>9</v>
      </c>
      <c r="L732" t="s">
        <v>112</v>
      </c>
      <c r="M732" t="s">
        <v>608</v>
      </c>
      <c r="N732" t="s">
        <v>114</v>
      </c>
      <c r="P732">
        <v>123</v>
      </c>
      <c r="Q732">
        <v>5155</v>
      </c>
      <c r="R732" t="s">
        <v>146</v>
      </c>
      <c r="S732" t="s">
        <v>116</v>
      </c>
      <c r="U732" t="s">
        <v>459</v>
      </c>
      <c r="V732" t="s">
        <v>135</v>
      </c>
      <c r="Y732" t="s">
        <v>178</v>
      </c>
      <c r="AA732">
        <v>1</v>
      </c>
      <c r="AB732" t="s">
        <v>101</v>
      </c>
      <c r="AC732" t="s">
        <v>140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609</v>
      </c>
      <c r="F733" t="s">
        <v>272</v>
      </c>
      <c r="G733" s="27">
        <v>45583</v>
      </c>
      <c r="H733" t="s">
        <v>145</v>
      </c>
      <c r="I733" t="s">
        <v>594</v>
      </c>
      <c r="J733" t="s">
        <v>222</v>
      </c>
      <c r="K733">
        <v>9</v>
      </c>
      <c r="L733" t="s">
        <v>112</v>
      </c>
      <c r="M733" t="s">
        <v>608</v>
      </c>
      <c r="N733" t="s">
        <v>114</v>
      </c>
      <c r="P733">
        <v>123</v>
      </c>
      <c r="Q733">
        <v>5155</v>
      </c>
      <c r="R733" t="s">
        <v>146</v>
      </c>
      <c r="S733" t="s">
        <v>116</v>
      </c>
      <c r="U733" t="s">
        <v>459</v>
      </c>
      <c r="V733" t="s">
        <v>130</v>
      </c>
      <c r="Y733" t="s">
        <v>136</v>
      </c>
      <c r="AA733">
        <v>1</v>
      </c>
      <c r="AB733" t="s">
        <v>100</v>
      </c>
      <c r="AC733" t="s">
        <v>228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180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609</v>
      </c>
      <c r="F734" t="s">
        <v>272</v>
      </c>
      <c r="G734" s="27">
        <v>45583</v>
      </c>
      <c r="H734" t="s">
        <v>145</v>
      </c>
      <c r="I734" t="s">
        <v>594</v>
      </c>
      <c r="J734" t="s">
        <v>222</v>
      </c>
      <c r="K734">
        <v>9</v>
      </c>
      <c r="L734" t="s">
        <v>112</v>
      </c>
      <c r="M734" t="s">
        <v>608</v>
      </c>
      <c r="N734" t="s">
        <v>114</v>
      </c>
      <c r="P734">
        <v>123</v>
      </c>
      <c r="Q734">
        <v>5155</v>
      </c>
      <c r="R734" t="s">
        <v>146</v>
      </c>
      <c r="S734" t="s">
        <v>116</v>
      </c>
      <c r="U734" t="s">
        <v>180</v>
      </c>
      <c r="V734" t="s">
        <v>180</v>
      </c>
      <c r="Y734" t="s">
        <v>132</v>
      </c>
      <c r="AA734">
        <v>1</v>
      </c>
      <c r="AB734" t="s">
        <v>99</v>
      </c>
      <c r="AC734" t="s">
        <v>228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136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610</v>
      </c>
      <c r="F735" t="s">
        <v>272</v>
      </c>
      <c r="G735" s="27">
        <v>45583</v>
      </c>
      <c r="H735" t="s">
        <v>145</v>
      </c>
      <c r="I735" t="s">
        <v>594</v>
      </c>
      <c r="J735" t="s">
        <v>222</v>
      </c>
      <c r="K735">
        <v>9</v>
      </c>
      <c r="L735" t="s">
        <v>112</v>
      </c>
      <c r="M735" t="s">
        <v>608</v>
      </c>
      <c r="N735" t="s">
        <v>114</v>
      </c>
      <c r="P735">
        <v>123</v>
      </c>
      <c r="Q735">
        <v>5155</v>
      </c>
      <c r="R735" t="s">
        <v>146</v>
      </c>
      <c r="S735" t="s">
        <v>116</v>
      </c>
      <c r="U735" t="s">
        <v>180</v>
      </c>
      <c r="V735" t="s">
        <v>122</v>
      </c>
      <c r="Y735" t="s">
        <v>123</v>
      </c>
      <c r="AA735">
        <v>1</v>
      </c>
      <c r="AB735" t="s">
        <v>99</v>
      </c>
      <c r="AC735" t="s">
        <v>228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174</v>
      </c>
      <c r="AL735">
        <v>0.37288135593220301</v>
      </c>
      <c r="AM735" t="s">
        <v>229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610</v>
      </c>
      <c r="F736" t="s">
        <v>272</v>
      </c>
      <c r="G736" s="27">
        <v>45583</v>
      </c>
      <c r="H736" t="s">
        <v>145</v>
      </c>
      <c r="I736" t="s">
        <v>594</v>
      </c>
      <c r="J736" t="s">
        <v>222</v>
      </c>
      <c r="K736">
        <v>9</v>
      </c>
      <c r="L736" t="s">
        <v>112</v>
      </c>
      <c r="M736" t="s">
        <v>608</v>
      </c>
      <c r="N736" t="s">
        <v>114</v>
      </c>
      <c r="P736">
        <v>123</v>
      </c>
      <c r="Q736">
        <v>5155</v>
      </c>
      <c r="R736" t="s">
        <v>146</v>
      </c>
      <c r="S736" t="s">
        <v>116</v>
      </c>
      <c r="U736" t="s">
        <v>459</v>
      </c>
      <c r="V736" t="s">
        <v>174</v>
      </c>
      <c r="Y736" t="s">
        <v>229</v>
      </c>
      <c r="AA736">
        <v>1</v>
      </c>
      <c r="AB736" t="s">
        <v>100</v>
      </c>
      <c r="AC736" t="s">
        <v>228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611</v>
      </c>
      <c r="F737" t="s">
        <v>272</v>
      </c>
      <c r="G737" s="27">
        <v>45583</v>
      </c>
      <c r="H737" t="s">
        <v>145</v>
      </c>
      <c r="I737" t="s">
        <v>594</v>
      </c>
      <c r="J737" t="s">
        <v>222</v>
      </c>
      <c r="K737">
        <v>9</v>
      </c>
      <c r="L737" t="s">
        <v>112</v>
      </c>
      <c r="M737" t="s">
        <v>608</v>
      </c>
      <c r="N737" t="s">
        <v>114</v>
      </c>
      <c r="P737">
        <v>123</v>
      </c>
      <c r="Q737">
        <v>5155</v>
      </c>
      <c r="R737" t="s">
        <v>146</v>
      </c>
      <c r="S737" t="s">
        <v>116</v>
      </c>
      <c r="U737" t="s">
        <v>459</v>
      </c>
      <c r="V737" t="s">
        <v>459</v>
      </c>
      <c r="Y737" t="s">
        <v>127</v>
      </c>
      <c r="AA737">
        <v>1</v>
      </c>
      <c r="AB737" t="s">
        <v>99</v>
      </c>
      <c r="AC737" t="s">
        <v>431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326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611</v>
      </c>
      <c r="F738" t="s">
        <v>272</v>
      </c>
      <c r="G738" s="27">
        <v>45583</v>
      </c>
      <c r="H738" t="s">
        <v>145</v>
      </c>
      <c r="I738" t="s">
        <v>594</v>
      </c>
      <c r="J738" t="s">
        <v>222</v>
      </c>
      <c r="K738">
        <v>9</v>
      </c>
      <c r="L738" t="s">
        <v>112</v>
      </c>
      <c r="M738" t="s">
        <v>608</v>
      </c>
      <c r="N738" t="s">
        <v>114</v>
      </c>
      <c r="P738">
        <v>123</v>
      </c>
      <c r="Q738">
        <v>5155</v>
      </c>
      <c r="R738" t="s">
        <v>146</v>
      </c>
      <c r="S738" t="s">
        <v>116</v>
      </c>
      <c r="U738" t="s">
        <v>180</v>
      </c>
      <c r="V738" t="s">
        <v>326</v>
      </c>
      <c r="Y738" t="s">
        <v>133</v>
      </c>
      <c r="AA738">
        <v>1</v>
      </c>
      <c r="AB738" t="s">
        <v>100</v>
      </c>
      <c r="AC738" t="s">
        <v>596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459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612</v>
      </c>
      <c r="F739" t="s">
        <v>272</v>
      </c>
      <c r="G739" s="27">
        <v>45583</v>
      </c>
      <c r="H739" t="s">
        <v>145</v>
      </c>
      <c r="I739" t="s">
        <v>594</v>
      </c>
      <c r="J739" t="s">
        <v>222</v>
      </c>
      <c r="K739">
        <v>9</v>
      </c>
      <c r="L739" t="s">
        <v>112</v>
      </c>
      <c r="M739" t="s">
        <v>608</v>
      </c>
      <c r="N739" t="s">
        <v>114</v>
      </c>
      <c r="P739">
        <v>123</v>
      </c>
      <c r="Q739">
        <v>5155</v>
      </c>
      <c r="R739" t="s">
        <v>146</v>
      </c>
      <c r="S739" t="s">
        <v>116</v>
      </c>
      <c r="U739" t="s">
        <v>180</v>
      </c>
      <c r="V739" t="s">
        <v>181</v>
      </c>
      <c r="Y739" t="s">
        <v>276</v>
      </c>
      <c r="AA739">
        <v>1</v>
      </c>
      <c r="AB739" t="s">
        <v>99</v>
      </c>
      <c r="AC739" t="s">
        <v>228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233</v>
      </c>
      <c r="AL739">
        <v>0.52777777777777801</v>
      </c>
      <c r="AM739" t="s">
        <v>230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612</v>
      </c>
      <c r="F740" t="s">
        <v>272</v>
      </c>
      <c r="G740" s="27">
        <v>45583</v>
      </c>
      <c r="H740" t="s">
        <v>145</v>
      </c>
      <c r="I740" t="s">
        <v>594</v>
      </c>
      <c r="J740" t="s">
        <v>222</v>
      </c>
      <c r="K740">
        <v>9</v>
      </c>
      <c r="L740" t="s">
        <v>112</v>
      </c>
      <c r="M740" t="s">
        <v>608</v>
      </c>
      <c r="N740" t="s">
        <v>114</v>
      </c>
      <c r="P740">
        <v>123</v>
      </c>
      <c r="Q740">
        <v>5155</v>
      </c>
      <c r="R740" t="s">
        <v>146</v>
      </c>
      <c r="S740" t="s">
        <v>116</v>
      </c>
      <c r="U740" t="s">
        <v>459</v>
      </c>
      <c r="V740" t="s">
        <v>233</v>
      </c>
      <c r="Y740" t="s">
        <v>230</v>
      </c>
      <c r="AA740">
        <v>1</v>
      </c>
      <c r="AB740" t="s">
        <v>100</v>
      </c>
      <c r="AC740" t="s">
        <v>228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181</v>
      </c>
      <c r="AL740">
        <v>0.44067796610169502</v>
      </c>
      <c r="AM740" t="s">
        <v>276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613</v>
      </c>
      <c r="F741" t="s">
        <v>272</v>
      </c>
      <c r="G741" s="27">
        <v>45583</v>
      </c>
      <c r="H741" t="s">
        <v>145</v>
      </c>
      <c r="I741" t="s">
        <v>594</v>
      </c>
      <c r="J741" t="s">
        <v>222</v>
      </c>
      <c r="K741">
        <v>9</v>
      </c>
      <c r="L741" t="s">
        <v>138</v>
      </c>
      <c r="M741" t="s">
        <v>608</v>
      </c>
      <c r="N741" t="s">
        <v>114</v>
      </c>
      <c r="P741">
        <v>123</v>
      </c>
      <c r="Q741">
        <v>5155</v>
      </c>
      <c r="R741" t="s">
        <v>139</v>
      </c>
      <c r="S741" t="s">
        <v>116</v>
      </c>
      <c r="U741" t="s">
        <v>180</v>
      </c>
      <c r="V741" t="s">
        <v>119</v>
      </c>
      <c r="Y741" t="s">
        <v>118</v>
      </c>
      <c r="AA741">
        <v>1</v>
      </c>
      <c r="AB741" t="s">
        <v>100</v>
      </c>
      <c r="AC741" t="s">
        <v>228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135</v>
      </c>
      <c r="AL741">
        <v>0.59375</v>
      </c>
      <c r="AM741" t="s">
        <v>178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613</v>
      </c>
      <c r="F742" t="s">
        <v>272</v>
      </c>
      <c r="G742" s="27">
        <v>45583</v>
      </c>
      <c r="H742" t="s">
        <v>145</v>
      </c>
      <c r="I742" t="s">
        <v>594</v>
      </c>
      <c r="J742" t="s">
        <v>222</v>
      </c>
      <c r="K742">
        <v>9</v>
      </c>
      <c r="L742" t="s">
        <v>138</v>
      </c>
      <c r="M742" t="s">
        <v>608</v>
      </c>
      <c r="N742" t="s">
        <v>114</v>
      </c>
      <c r="P742">
        <v>123</v>
      </c>
      <c r="Q742">
        <v>5155</v>
      </c>
      <c r="R742" t="s">
        <v>139</v>
      </c>
      <c r="S742" t="s">
        <v>116</v>
      </c>
      <c r="U742" t="s">
        <v>459</v>
      </c>
      <c r="V742" t="s">
        <v>135</v>
      </c>
      <c r="Y742" t="s">
        <v>178</v>
      </c>
      <c r="AA742">
        <v>1</v>
      </c>
      <c r="AB742" t="s">
        <v>99</v>
      </c>
      <c r="AC742" t="s">
        <v>228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614</v>
      </c>
      <c r="F743" t="s">
        <v>272</v>
      </c>
      <c r="G743" s="27">
        <v>45583</v>
      </c>
      <c r="H743" t="s">
        <v>145</v>
      </c>
      <c r="I743" t="s">
        <v>594</v>
      </c>
      <c r="J743" t="s">
        <v>222</v>
      </c>
      <c r="K743">
        <v>9</v>
      </c>
      <c r="L743" t="s">
        <v>138</v>
      </c>
      <c r="M743" t="s">
        <v>608</v>
      </c>
      <c r="N743" t="s">
        <v>114</v>
      </c>
      <c r="P743">
        <v>123</v>
      </c>
      <c r="Q743">
        <v>5155</v>
      </c>
      <c r="R743" t="s">
        <v>139</v>
      </c>
      <c r="S743" t="s">
        <v>116</v>
      </c>
      <c r="U743" t="s">
        <v>459</v>
      </c>
      <c r="V743" t="s">
        <v>130</v>
      </c>
      <c r="Y743" t="s">
        <v>136</v>
      </c>
      <c r="AA743">
        <v>1</v>
      </c>
      <c r="AB743" t="s">
        <v>101</v>
      </c>
      <c r="AC743" t="s">
        <v>140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180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614</v>
      </c>
      <c r="F744" t="s">
        <v>272</v>
      </c>
      <c r="G744" s="27">
        <v>45583</v>
      </c>
      <c r="H744" t="s">
        <v>145</v>
      </c>
      <c r="I744" t="s">
        <v>594</v>
      </c>
      <c r="J744" t="s">
        <v>222</v>
      </c>
      <c r="K744">
        <v>9</v>
      </c>
      <c r="L744" t="s">
        <v>138</v>
      </c>
      <c r="M744" t="s">
        <v>608</v>
      </c>
      <c r="N744" t="s">
        <v>114</v>
      </c>
      <c r="P744">
        <v>123</v>
      </c>
      <c r="Q744">
        <v>5155</v>
      </c>
      <c r="R744" t="s">
        <v>139</v>
      </c>
      <c r="S744" t="s">
        <v>116</v>
      </c>
      <c r="U744" t="s">
        <v>180</v>
      </c>
      <c r="V744" t="s">
        <v>180</v>
      </c>
      <c r="Y744" t="s">
        <v>132</v>
      </c>
      <c r="AA744">
        <v>1</v>
      </c>
      <c r="AB744" t="s">
        <v>101</v>
      </c>
      <c r="AC744" t="s">
        <v>140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136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615</v>
      </c>
      <c r="F745" t="s">
        <v>272</v>
      </c>
      <c r="G745" s="27">
        <v>45583</v>
      </c>
      <c r="H745" t="s">
        <v>145</v>
      </c>
      <c r="I745" t="s">
        <v>594</v>
      </c>
      <c r="J745" t="s">
        <v>222</v>
      </c>
      <c r="K745">
        <v>9</v>
      </c>
      <c r="L745" t="s">
        <v>138</v>
      </c>
      <c r="M745" t="s">
        <v>608</v>
      </c>
      <c r="N745" t="s">
        <v>114</v>
      </c>
      <c r="P745">
        <v>123</v>
      </c>
      <c r="Q745">
        <v>5155</v>
      </c>
      <c r="R745" t="s">
        <v>139</v>
      </c>
      <c r="S745" t="s">
        <v>116</v>
      </c>
      <c r="U745" t="s">
        <v>180</v>
      </c>
      <c r="V745" t="s">
        <v>122</v>
      </c>
      <c r="Y745" t="s">
        <v>123</v>
      </c>
      <c r="AA745">
        <v>1</v>
      </c>
      <c r="AB745" t="s">
        <v>99</v>
      </c>
      <c r="AC745" t="s">
        <v>228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174</v>
      </c>
      <c r="AL745">
        <v>0.37288135593220301</v>
      </c>
      <c r="AM745" t="s">
        <v>229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615</v>
      </c>
      <c r="F746" t="s">
        <v>272</v>
      </c>
      <c r="G746" s="27">
        <v>45583</v>
      </c>
      <c r="H746" t="s">
        <v>145</v>
      </c>
      <c r="I746" t="s">
        <v>594</v>
      </c>
      <c r="J746" t="s">
        <v>222</v>
      </c>
      <c r="K746">
        <v>9</v>
      </c>
      <c r="L746" t="s">
        <v>138</v>
      </c>
      <c r="M746" t="s">
        <v>608</v>
      </c>
      <c r="N746" t="s">
        <v>114</v>
      </c>
      <c r="P746">
        <v>123</v>
      </c>
      <c r="Q746">
        <v>5155</v>
      </c>
      <c r="R746" t="s">
        <v>139</v>
      </c>
      <c r="S746" t="s">
        <v>116</v>
      </c>
      <c r="U746" t="s">
        <v>459</v>
      </c>
      <c r="V746" t="s">
        <v>174</v>
      </c>
      <c r="Y746" t="s">
        <v>229</v>
      </c>
      <c r="AA746">
        <v>1</v>
      </c>
      <c r="AB746" t="s">
        <v>100</v>
      </c>
      <c r="AC746" t="s">
        <v>228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616</v>
      </c>
      <c r="F747" t="s">
        <v>272</v>
      </c>
      <c r="G747" s="27">
        <v>45583</v>
      </c>
      <c r="H747" t="s">
        <v>145</v>
      </c>
      <c r="I747" t="s">
        <v>594</v>
      </c>
      <c r="J747" t="s">
        <v>222</v>
      </c>
      <c r="K747">
        <v>9</v>
      </c>
      <c r="L747" t="s">
        <v>138</v>
      </c>
      <c r="M747" t="s">
        <v>608</v>
      </c>
      <c r="N747" t="s">
        <v>114</v>
      </c>
      <c r="P747">
        <v>123</v>
      </c>
      <c r="Q747">
        <v>5155</v>
      </c>
      <c r="R747" t="s">
        <v>139</v>
      </c>
      <c r="S747" t="s">
        <v>116</v>
      </c>
      <c r="U747" t="s">
        <v>459</v>
      </c>
      <c r="V747" t="s">
        <v>459</v>
      </c>
      <c r="Y747" t="s">
        <v>127</v>
      </c>
      <c r="AA747">
        <v>1</v>
      </c>
      <c r="AB747" t="s">
        <v>100</v>
      </c>
      <c r="AC747" t="s">
        <v>600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326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616</v>
      </c>
      <c r="F748" t="s">
        <v>272</v>
      </c>
      <c r="G748" s="27">
        <v>45583</v>
      </c>
      <c r="H748" t="s">
        <v>145</v>
      </c>
      <c r="I748" t="s">
        <v>594</v>
      </c>
      <c r="J748" t="s">
        <v>222</v>
      </c>
      <c r="K748">
        <v>9</v>
      </c>
      <c r="L748" t="s">
        <v>138</v>
      </c>
      <c r="M748" t="s">
        <v>608</v>
      </c>
      <c r="N748" t="s">
        <v>114</v>
      </c>
      <c r="P748">
        <v>123</v>
      </c>
      <c r="Q748">
        <v>5155</v>
      </c>
      <c r="R748" t="s">
        <v>139</v>
      </c>
      <c r="S748" t="s">
        <v>116</v>
      </c>
      <c r="U748" t="s">
        <v>180</v>
      </c>
      <c r="V748" t="s">
        <v>326</v>
      </c>
      <c r="Y748" t="s">
        <v>133</v>
      </c>
      <c r="AA748">
        <v>1</v>
      </c>
      <c r="AB748" t="s">
        <v>99</v>
      </c>
      <c r="AC748" t="s">
        <v>431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459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617</v>
      </c>
      <c r="F749" t="s">
        <v>272</v>
      </c>
      <c r="G749" s="27">
        <v>45583</v>
      </c>
      <c r="H749" t="s">
        <v>145</v>
      </c>
      <c r="I749" t="s">
        <v>594</v>
      </c>
      <c r="J749" t="s">
        <v>222</v>
      </c>
      <c r="K749">
        <v>9</v>
      </c>
      <c r="L749" t="s">
        <v>138</v>
      </c>
      <c r="M749" t="s">
        <v>608</v>
      </c>
      <c r="N749" t="s">
        <v>114</v>
      </c>
      <c r="P749">
        <v>123</v>
      </c>
      <c r="Q749">
        <v>5155</v>
      </c>
      <c r="R749" t="s">
        <v>139</v>
      </c>
      <c r="S749" t="s">
        <v>116</v>
      </c>
      <c r="U749" t="s">
        <v>180</v>
      </c>
      <c r="V749" t="s">
        <v>181</v>
      </c>
      <c r="Y749" t="s">
        <v>276</v>
      </c>
      <c r="AA749">
        <v>1</v>
      </c>
      <c r="AB749" t="s">
        <v>101</v>
      </c>
      <c r="AC749" t="s">
        <v>140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233</v>
      </c>
      <c r="AL749">
        <v>0.52777777777777801</v>
      </c>
      <c r="AM749" t="s">
        <v>230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617</v>
      </c>
      <c r="F750" t="s">
        <v>272</v>
      </c>
      <c r="G750" s="27">
        <v>45583</v>
      </c>
      <c r="H750" t="s">
        <v>145</v>
      </c>
      <c r="I750" t="s">
        <v>594</v>
      </c>
      <c r="J750" t="s">
        <v>222</v>
      </c>
      <c r="K750">
        <v>9</v>
      </c>
      <c r="L750" t="s">
        <v>138</v>
      </c>
      <c r="M750" t="s">
        <v>608</v>
      </c>
      <c r="N750" t="s">
        <v>114</v>
      </c>
      <c r="P750">
        <v>123</v>
      </c>
      <c r="Q750">
        <v>5155</v>
      </c>
      <c r="R750" t="s">
        <v>139</v>
      </c>
      <c r="S750" t="s">
        <v>116</v>
      </c>
      <c r="U750" t="s">
        <v>459</v>
      </c>
      <c r="V750" t="s">
        <v>233</v>
      </c>
      <c r="Y750" t="s">
        <v>230</v>
      </c>
      <c r="AA750">
        <v>1</v>
      </c>
      <c r="AB750" t="s">
        <v>101</v>
      </c>
      <c r="AC750" t="s">
        <v>140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181</v>
      </c>
      <c r="AL750">
        <v>0.44067796610169502</v>
      </c>
      <c r="AM750" t="s">
        <v>276</v>
      </c>
      <c r="AN750">
        <v>0.51041666666666696</v>
      </c>
    </row>
    <row r="751" spans="2:40" ht="15" customHeight="1" x14ac:dyDescent="0.2">
      <c r="B751" t="s">
        <v>304</v>
      </c>
      <c r="D751">
        <v>11</v>
      </c>
      <c r="E751" t="s">
        <v>618</v>
      </c>
      <c r="F751" t="s">
        <v>272</v>
      </c>
      <c r="G751" s="27">
        <v>45584</v>
      </c>
      <c r="H751" t="s">
        <v>145</v>
      </c>
      <c r="I751" t="s">
        <v>594</v>
      </c>
      <c r="J751" t="s">
        <v>222</v>
      </c>
      <c r="K751">
        <v>9</v>
      </c>
      <c r="L751" t="s">
        <v>112</v>
      </c>
      <c r="M751" t="s">
        <v>619</v>
      </c>
      <c r="N751" t="s">
        <v>114</v>
      </c>
      <c r="R751" t="s">
        <v>307</v>
      </c>
      <c r="S751" t="s">
        <v>307</v>
      </c>
      <c r="U751" t="s">
        <v>180</v>
      </c>
      <c r="V751" t="s">
        <v>132</v>
      </c>
      <c r="W751" t="s">
        <v>620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304</v>
      </c>
      <c r="D752">
        <v>11</v>
      </c>
      <c r="E752" t="s">
        <v>618</v>
      </c>
      <c r="F752" t="s">
        <v>272</v>
      </c>
      <c r="G752" s="27">
        <v>45584</v>
      </c>
      <c r="H752" t="s">
        <v>145</v>
      </c>
      <c r="I752" t="s">
        <v>594</v>
      </c>
      <c r="J752" t="s">
        <v>222</v>
      </c>
      <c r="K752">
        <v>9</v>
      </c>
      <c r="L752" t="s">
        <v>112</v>
      </c>
      <c r="M752" t="s">
        <v>619</v>
      </c>
      <c r="N752" t="s">
        <v>114</v>
      </c>
      <c r="R752" t="s">
        <v>307</v>
      </c>
      <c r="S752" t="s">
        <v>307</v>
      </c>
      <c r="U752" t="s">
        <v>180</v>
      </c>
      <c r="V752" t="s">
        <v>119</v>
      </c>
      <c r="W752" t="s">
        <v>620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304</v>
      </c>
      <c r="D753">
        <v>11</v>
      </c>
      <c r="E753" t="s">
        <v>618</v>
      </c>
      <c r="F753" t="s">
        <v>272</v>
      </c>
      <c r="G753" s="27">
        <v>45584</v>
      </c>
      <c r="H753" t="s">
        <v>145</v>
      </c>
      <c r="I753" t="s">
        <v>594</v>
      </c>
      <c r="J753" t="s">
        <v>222</v>
      </c>
      <c r="K753">
        <v>9</v>
      </c>
      <c r="L753" t="s">
        <v>112</v>
      </c>
      <c r="M753" t="s">
        <v>619</v>
      </c>
      <c r="N753" t="s">
        <v>114</v>
      </c>
      <c r="R753" t="s">
        <v>307</v>
      </c>
      <c r="S753" t="s">
        <v>307</v>
      </c>
      <c r="U753" t="s">
        <v>180</v>
      </c>
      <c r="V753" t="s">
        <v>181</v>
      </c>
      <c r="W753" t="s">
        <v>620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304</v>
      </c>
      <c r="D754">
        <v>11</v>
      </c>
      <c r="E754" t="s">
        <v>618</v>
      </c>
      <c r="F754" t="s">
        <v>272</v>
      </c>
      <c r="G754" s="27">
        <v>45584</v>
      </c>
      <c r="H754" t="s">
        <v>145</v>
      </c>
      <c r="I754" t="s">
        <v>594</v>
      </c>
      <c r="J754" t="s">
        <v>222</v>
      </c>
      <c r="K754">
        <v>9</v>
      </c>
      <c r="L754" t="s">
        <v>112</v>
      </c>
      <c r="M754" t="s">
        <v>619</v>
      </c>
      <c r="N754" t="s">
        <v>114</v>
      </c>
      <c r="R754" t="s">
        <v>307</v>
      </c>
      <c r="S754" t="s">
        <v>307</v>
      </c>
      <c r="U754" t="s">
        <v>180</v>
      </c>
      <c r="V754" t="s">
        <v>123</v>
      </c>
      <c r="W754" t="s">
        <v>620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304</v>
      </c>
      <c r="D755">
        <v>11</v>
      </c>
      <c r="E755" t="s">
        <v>618</v>
      </c>
      <c r="F755" t="s">
        <v>272</v>
      </c>
      <c r="G755" s="27">
        <v>45584</v>
      </c>
      <c r="H755" t="s">
        <v>145</v>
      </c>
      <c r="I755" t="s">
        <v>594</v>
      </c>
      <c r="J755" t="s">
        <v>222</v>
      </c>
      <c r="K755">
        <v>9</v>
      </c>
      <c r="L755" t="s">
        <v>112</v>
      </c>
      <c r="M755" t="s">
        <v>619</v>
      </c>
      <c r="N755" t="s">
        <v>114</v>
      </c>
      <c r="R755" t="s">
        <v>307</v>
      </c>
      <c r="S755" t="s">
        <v>307</v>
      </c>
      <c r="U755" t="s">
        <v>180</v>
      </c>
      <c r="V755" t="s">
        <v>180</v>
      </c>
      <c r="W755" t="s">
        <v>620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304</v>
      </c>
      <c r="D756">
        <v>11</v>
      </c>
      <c r="E756" t="s">
        <v>618</v>
      </c>
      <c r="F756" t="s">
        <v>272</v>
      </c>
      <c r="G756" s="27">
        <v>45584</v>
      </c>
      <c r="H756" t="s">
        <v>145</v>
      </c>
      <c r="I756" t="s">
        <v>594</v>
      </c>
      <c r="J756" t="s">
        <v>222</v>
      </c>
      <c r="K756">
        <v>9</v>
      </c>
      <c r="L756" t="s">
        <v>112</v>
      </c>
      <c r="M756" t="s">
        <v>619</v>
      </c>
      <c r="N756" t="s">
        <v>114</v>
      </c>
      <c r="R756" t="s">
        <v>307</v>
      </c>
      <c r="S756" t="s">
        <v>307</v>
      </c>
      <c r="U756" t="s">
        <v>180</v>
      </c>
      <c r="V756" t="s">
        <v>118</v>
      </c>
      <c r="W756" t="s">
        <v>620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304</v>
      </c>
      <c r="D757">
        <v>11</v>
      </c>
      <c r="E757" t="s">
        <v>618</v>
      </c>
      <c r="F757" t="s">
        <v>272</v>
      </c>
      <c r="G757" s="27">
        <v>45584</v>
      </c>
      <c r="H757" t="s">
        <v>145</v>
      </c>
      <c r="I757" t="s">
        <v>594</v>
      </c>
      <c r="J757" t="s">
        <v>222</v>
      </c>
      <c r="K757">
        <v>9</v>
      </c>
      <c r="L757" t="s">
        <v>112</v>
      </c>
      <c r="M757" t="s">
        <v>619</v>
      </c>
      <c r="N757" t="s">
        <v>114</v>
      </c>
      <c r="R757" t="s">
        <v>307</v>
      </c>
      <c r="S757" t="s">
        <v>307</v>
      </c>
      <c r="U757" t="s">
        <v>180</v>
      </c>
      <c r="V757" t="s">
        <v>326</v>
      </c>
      <c r="W757" t="s">
        <v>620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304</v>
      </c>
      <c r="D758">
        <v>11</v>
      </c>
      <c r="E758" t="s">
        <v>618</v>
      </c>
      <c r="F758" t="s">
        <v>272</v>
      </c>
      <c r="G758" s="27">
        <v>45584</v>
      </c>
      <c r="H758" t="s">
        <v>145</v>
      </c>
      <c r="I758" t="s">
        <v>594</v>
      </c>
      <c r="J758" t="s">
        <v>222</v>
      </c>
      <c r="K758">
        <v>9</v>
      </c>
      <c r="L758" t="s">
        <v>112</v>
      </c>
      <c r="M758" t="s">
        <v>619</v>
      </c>
      <c r="N758" t="s">
        <v>114</v>
      </c>
      <c r="R758" t="s">
        <v>307</v>
      </c>
      <c r="S758" t="s">
        <v>307</v>
      </c>
      <c r="U758" t="s">
        <v>180</v>
      </c>
      <c r="V758" t="s">
        <v>122</v>
      </c>
      <c r="W758" t="s">
        <v>620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304</v>
      </c>
      <c r="D759">
        <v>11</v>
      </c>
      <c r="E759" t="s">
        <v>618</v>
      </c>
      <c r="F759" t="s">
        <v>272</v>
      </c>
      <c r="G759" s="27">
        <v>45584</v>
      </c>
      <c r="H759" t="s">
        <v>145</v>
      </c>
      <c r="I759" t="s">
        <v>594</v>
      </c>
      <c r="J759" t="s">
        <v>222</v>
      </c>
      <c r="K759">
        <v>9</v>
      </c>
      <c r="L759" t="s">
        <v>112</v>
      </c>
      <c r="M759" t="s">
        <v>619</v>
      </c>
      <c r="N759" t="s">
        <v>114</v>
      </c>
      <c r="R759" t="s">
        <v>307</v>
      </c>
      <c r="S759" t="s">
        <v>307</v>
      </c>
      <c r="U759" t="s">
        <v>180</v>
      </c>
      <c r="V759" t="s">
        <v>133</v>
      </c>
      <c r="W759" t="s">
        <v>620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304</v>
      </c>
      <c r="D760">
        <v>11</v>
      </c>
      <c r="E760" t="s">
        <v>618</v>
      </c>
      <c r="F760" t="s">
        <v>272</v>
      </c>
      <c r="G760" s="27">
        <v>45584</v>
      </c>
      <c r="H760" t="s">
        <v>145</v>
      </c>
      <c r="I760" t="s">
        <v>594</v>
      </c>
      <c r="J760" t="s">
        <v>222</v>
      </c>
      <c r="K760">
        <v>9</v>
      </c>
      <c r="L760" t="s">
        <v>112</v>
      </c>
      <c r="M760" t="s">
        <v>619</v>
      </c>
      <c r="N760" t="s">
        <v>114</v>
      </c>
      <c r="R760" t="s">
        <v>307</v>
      </c>
      <c r="S760" t="s">
        <v>307</v>
      </c>
      <c r="U760" t="s">
        <v>180</v>
      </c>
      <c r="V760" t="s">
        <v>276</v>
      </c>
      <c r="W760" t="s">
        <v>620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304</v>
      </c>
      <c r="D761">
        <v>11</v>
      </c>
      <c r="E761" t="s">
        <v>618</v>
      </c>
      <c r="F761" t="s">
        <v>272</v>
      </c>
      <c r="G761" s="27">
        <v>45584</v>
      </c>
      <c r="H761" t="s">
        <v>145</v>
      </c>
      <c r="I761" t="s">
        <v>594</v>
      </c>
      <c r="J761" t="s">
        <v>222</v>
      </c>
      <c r="K761">
        <v>9</v>
      </c>
      <c r="L761" t="s">
        <v>112</v>
      </c>
      <c r="M761" t="s">
        <v>619</v>
      </c>
      <c r="N761" t="s">
        <v>114</v>
      </c>
      <c r="R761" t="s">
        <v>307</v>
      </c>
      <c r="S761" t="s">
        <v>307</v>
      </c>
      <c r="U761" t="s">
        <v>459</v>
      </c>
      <c r="V761" t="s">
        <v>174</v>
      </c>
      <c r="W761" t="s">
        <v>621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304</v>
      </c>
      <c r="D762">
        <v>11</v>
      </c>
      <c r="E762" t="s">
        <v>618</v>
      </c>
      <c r="F762" t="s">
        <v>272</v>
      </c>
      <c r="G762" s="27">
        <v>45584</v>
      </c>
      <c r="H762" t="s">
        <v>145</v>
      </c>
      <c r="I762" t="s">
        <v>594</v>
      </c>
      <c r="J762" t="s">
        <v>222</v>
      </c>
      <c r="K762">
        <v>9</v>
      </c>
      <c r="L762" t="s">
        <v>112</v>
      </c>
      <c r="M762" t="s">
        <v>619</v>
      </c>
      <c r="N762" t="s">
        <v>114</v>
      </c>
      <c r="R762" t="s">
        <v>307</v>
      </c>
      <c r="S762" t="s">
        <v>307</v>
      </c>
      <c r="U762" t="s">
        <v>459</v>
      </c>
      <c r="V762" t="s">
        <v>130</v>
      </c>
      <c r="W762" t="s">
        <v>621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304</v>
      </c>
      <c r="D763">
        <v>11</v>
      </c>
      <c r="E763" t="s">
        <v>618</v>
      </c>
      <c r="F763" t="s">
        <v>272</v>
      </c>
      <c r="G763" s="27">
        <v>45584</v>
      </c>
      <c r="H763" t="s">
        <v>145</v>
      </c>
      <c r="I763" t="s">
        <v>594</v>
      </c>
      <c r="J763" t="s">
        <v>222</v>
      </c>
      <c r="K763">
        <v>9</v>
      </c>
      <c r="L763" t="s">
        <v>112</v>
      </c>
      <c r="M763" t="s">
        <v>619</v>
      </c>
      <c r="N763" t="s">
        <v>114</v>
      </c>
      <c r="R763" t="s">
        <v>307</v>
      </c>
      <c r="S763" t="s">
        <v>307</v>
      </c>
      <c r="U763" t="s">
        <v>459</v>
      </c>
      <c r="V763" t="s">
        <v>229</v>
      </c>
      <c r="W763" t="s">
        <v>621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304</v>
      </c>
      <c r="D764">
        <v>11</v>
      </c>
      <c r="E764" t="s">
        <v>618</v>
      </c>
      <c r="F764" t="s">
        <v>272</v>
      </c>
      <c r="G764" s="27">
        <v>45584</v>
      </c>
      <c r="H764" t="s">
        <v>145</v>
      </c>
      <c r="I764" t="s">
        <v>594</v>
      </c>
      <c r="J764" t="s">
        <v>222</v>
      </c>
      <c r="K764">
        <v>9</v>
      </c>
      <c r="L764" t="s">
        <v>112</v>
      </c>
      <c r="M764" t="s">
        <v>619</v>
      </c>
      <c r="N764" t="s">
        <v>114</v>
      </c>
      <c r="R764" t="s">
        <v>307</v>
      </c>
      <c r="S764" t="s">
        <v>307</v>
      </c>
      <c r="U764" t="s">
        <v>459</v>
      </c>
      <c r="V764" t="s">
        <v>233</v>
      </c>
      <c r="W764" t="s">
        <v>621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304</v>
      </c>
      <c r="D765">
        <v>11</v>
      </c>
      <c r="E765" t="s">
        <v>618</v>
      </c>
      <c r="F765" t="s">
        <v>272</v>
      </c>
      <c r="G765" s="27">
        <v>45584</v>
      </c>
      <c r="H765" t="s">
        <v>145</v>
      </c>
      <c r="I765" t="s">
        <v>594</v>
      </c>
      <c r="J765" t="s">
        <v>222</v>
      </c>
      <c r="K765">
        <v>9</v>
      </c>
      <c r="L765" t="s">
        <v>112</v>
      </c>
      <c r="M765" t="s">
        <v>619</v>
      </c>
      <c r="N765" t="s">
        <v>114</v>
      </c>
      <c r="R765" t="s">
        <v>307</v>
      </c>
      <c r="S765" t="s">
        <v>307</v>
      </c>
      <c r="U765" t="s">
        <v>459</v>
      </c>
      <c r="V765" t="s">
        <v>135</v>
      </c>
      <c r="W765" t="s">
        <v>621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304</v>
      </c>
      <c r="D766">
        <v>11</v>
      </c>
      <c r="E766" t="s">
        <v>618</v>
      </c>
      <c r="F766" t="s">
        <v>272</v>
      </c>
      <c r="G766" s="27">
        <v>45584</v>
      </c>
      <c r="H766" t="s">
        <v>145</v>
      </c>
      <c r="I766" t="s">
        <v>594</v>
      </c>
      <c r="J766" t="s">
        <v>222</v>
      </c>
      <c r="K766">
        <v>9</v>
      </c>
      <c r="L766" t="s">
        <v>112</v>
      </c>
      <c r="M766" t="s">
        <v>619</v>
      </c>
      <c r="N766" t="s">
        <v>114</v>
      </c>
      <c r="R766" t="s">
        <v>307</v>
      </c>
      <c r="S766" t="s">
        <v>307</v>
      </c>
      <c r="U766" t="s">
        <v>459</v>
      </c>
      <c r="V766" t="s">
        <v>459</v>
      </c>
      <c r="W766" t="s">
        <v>621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304</v>
      </c>
      <c r="D767">
        <v>11</v>
      </c>
      <c r="E767" t="s">
        <v>618</v>
      </c>
      <c r="F767" t="s">
        <v>272</v>
      </c>
      <c r="G767" s="27">
        <v>45584</v>
      </c>
      <c r="H767" t="s">
        <v>145</v>
      </c>
      <c r="I767" t="s">
        <v>594</v>
      </c>
      <c r="J767" t="s">
        <v>222</v>
      </c>
      <c r="K767">
        <v>9</v>
      </c>
      <c r="L767" t="s">
        <v>112</v>
      </c>
      <c r="M767" t="s">
        <v>619</v>
      </c>
      <c r="N767" t="s">
        <v>114</v>
      </c>
      <c r="R767" t="s">
        <v>307</v>
      </c>
      <c r="S767" t="s">
        <v>307</v>
      </c>
      <c r="U767" t="s">
        <v>459</v>
      </c>
      <c r="V767" t="s">
        <v>136</v>
      </c>
      <c r="W767" t="s">
        <v>621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304</v>
      </c>
      <c r="D768">
        <v>11</v>
      </c>
      <c r="E768" t="s">
        <v>618</v>
      </c>
      <c r="F768" t="s">
        <v>272</v>
      </c>
      <c r="G768" s="27">
        <v>45584</v>
      </c>
      <c r="H768" t="s">
        <v>145</v>
      </c>
      <c r="I768" t="s">
        <v>594</v>
      </c>
      <c r="J768" t="s">
        <v>222</v>
      </c>
      <c r="K768">
        <v>9</v>
      </c>
      <c r="L768" t="s">
        <v>112</v>
      </c>
      <c r="M768" t="s">
        <v>619</v>
      </c>
      <c r="N768" t="s">
        <v>114</v>
      </c>
      <c r="R768" t="s">
        <v>307</v>
      </c>
      <c r="S768" t="s">
        <v>307</v>
      </c>
      <c r="U768" t="s">
        <v>459</v>
      </c>
      <c r="V768" t="s">
        <v>230</v>
      </c>
      <c r="W768" t="s">
        <v>621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304</v>
      </c>
      <c r="D769">
        <v>11</v>
      </c>
      <c r="E769" t="s">
        <v>618</v>
      </c>
      <c r="F769" t="s">
        <v>272</v>
      </c>
      <c r="G769" s="27">
        <v>45584</v>
      </c>
      <c r="H769" t="s">
        <v>145</v>
      </c>
      <c r="I769" t="s">
        <v>594</v>
      </c>
      <c r="J769" t="s">
        <v>222</v>
      </c>
      <c r="K769">
        <v>9</v>
      </c>
      <c r="L769" t="s">
        <v>112</v>
      </c>
      <c r="M769" t="s">
        <v>619</v>
      </c>
      <c r="N769" t="s">
        <v>114</v>
      </c>
      <c r="R769" t="s">
        <v>307</v>
      </c>
      <c r="S769" t="s">
        <v>307</v>
      </c>
      <c r="U769" t="s">
        <v>459</v>
      </c>
      <c r="V769" t="s">
        <v>127</v>
      </c>
      <c r="W769" t="s">
        <v>621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304</v>
      </c>
      <c r="D770">
        <v>11</v>
      </c>
      <c r="E770" t="s">
        <v>618</v>
      </c>
      <c r="F770" t="s">
        <v>272</v>
      </c>
      <c r="G770" s="27">
        <v>45584</v>
      </c>
      <c r="H770" t="s">
        <v>145</v>
      </c>
      <c r="I770" t="s">
        <v>594</v>
      </c>
      <c r="J770" t="s">
        <v>222</v>
      </c>
      <c r="K770">
        <v>9</v>
      </c>
      <c r="L770" t="s">
        <v>112</v>
      </c>
      <c r="M770" t="s">
        <v>619</v>
      </c>
      <c r="N770" t="s">
        <v>114</v>
      </c>
      <c r="R770" t="s">
        <v>307</v>
      </c>
      <c r="S770" t="s">
        <v>307</v>
      </c>
      <c r="U770" t="s">
        <v>459</v>
      </c>
      <c r="V770" t="s">
        <v>178</v>
      </c>
      <c r="W770" t="s">
        <v>621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622</v>
      </c>
      <c r="F771" t="s">
        <v>108</v>
      </c>
      <c r="G771" s="27">
        <v>45584</v>
      </c>
      <c r="H771" t="s">
        <v>109</v>
      </c>
      <c r="I771" t="s">
        <v>594</v>
      </c>
      <c r="J771" t="s">
        <v>222</v>
      </c>
      <c r="K771">
        <v>18</v>
      </c>
      <c r="L771" t="s">
        <v>155</v>
      </c>
      <c r="M771" t="s">
        <v>623</v>
      </c>
      <c r="N771" t="s">
        <v>114</v>
      </c>
      <c r="P771">
        <v>137</v>
      </c>
      <c r="Q771">
        <v>6439</v>
      </c>
      <c r="R771" t="s">
        <v>158</v>
      </c>
      <c r="S771" t="s">
        <v>159</v>
      </c>
      <c r="U771" t="s">
        <v>180</v>
      </c>
      <c r="V771" t="s">
        <v>123</v>
      </c>
      <c r="W771" t="s">
        <v>620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624</v>
      </c>
      <c r="F772" t="s">
        <v>108</v>
      </c>
      <c r="G772" s="27">
        <v>45584</v>
      </c>
      <c r="H772" t="s">
        <v>109</v>
      </c>
      <c r="I772" t="s">
        <v>594</v>
      </c>
      <c r="J772" t="s">
        <v>222</v>
      </c>
      <c r="K772">
        <v>18</v>
      </c>
      <c r="L772" t="s">
        <v>155</v>
      </c>
      <c r="M772" t="s">
        <v>623</v>
      </c>
      <c r="N772" t="s">
        <v>114</v>
      </c>
      <c r="P772">
        <v>137</v>
      </c>
      <c r="Q772">
        <v>6439</v>
      </c>
      <c r="R772" t="s">
        <v>158</v>
      </c>
      <c r="S772" t="s">
        <v>159</v>
      </c>
      <c r="U772" t="s">
        <v>180</v>
      </c>
      <c r="V772" t="s">
        <v>122</v>
      </c>
      <c r="W772" t="s">
        <v>620</v>
      </c>
      <c r="AA772">
        <v>2</v>
      </c>
      <c r="AB772" t="s">
        <v>99</v>
      </c>
      <c r="AD772" t="s">
        <v>229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229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625</v>
      </c>
      <c r="F773" t="s">
        <v>108</v>
      </c>
      <c r="G773" s="27">
        <v>45584</v>
      </c>
      <c r="H773" t="s">
        <v>109</v>
      </c>
      <c r="I773" t="s">
        <v>594</v>
      </c>
      <c r="J773" t="s">
        <v>222</v>
      </c>
      <c r="K773">
        <v>18</v>
      </c>
      <c r="L773" t="s">
        <v>155</v>
      </c>
      <c r="M773" t="s">
        <v>623</v>
      </c>
      <c r="N773" t="s">
        <v>114</v>
      </c>
      <c r="P773">
        <v>137</v>
      </c>
      <c r="Q773">
        <v>6439</v>
      </c>
      <c r="R773" t="s">
        <v>158</v>
      </c>
      <c r="S773" t="s">
        <v>159</v>
      </c>
      <c r="U773" t="s">
        <v>180</v>
      </c>
      <c r="V773" t="s">
        <v>119</v>
      </c>
      <c r="W773" t="s">
        <v>620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626</v>
      </c>
      <c r="F774" t="s">
        <v>108</v>
      </c>
      <c r="G774" s="27">
        <v>45584</v>
      </c>
      <c r="H774" t="s">
        <v>109</v>
      </c>
      <c r="I774" t="s">
        <v>594</v>
      </c>
      <c r="J774" t="s">
        <v>222</v>
      </c>
      <c r="K774">
        <v>18</v>
      </c>
      <c r="L774" t="s">
        <v>155</v>
      </c>
      <c r="M774" t="s">
        <v>623</v>
      </c>
      <c r="N774" t="s">
        <v>114</v>
      </c>
      <c r="P774">
        <v>137</v>
      </c>
      <c r="Q774">
        <v>6439</v>
      </c>
      <c r="R774" t="s">
        <v>158</v>
      </c>
      <c r="S774" t="s">
        <v>159</v>
      </c>
      <c r="U774" t="s">
        <v>180</v>
      </c>
      <c r="V774" t="s">
        <v>118</v>
      </c>
      <c r="W774" t="s">
        <v>620</v>
      </c>
      <c r="AA774">
        <v>2</v>
      </c>
      <c r="AB774" t="s">
        <v>101</v>
      </c>
      <c r="AD774" t="s">
        <v>230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230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627</v>
      </c>
      <c r="F775" t="s">
        <v>108</v>
      </c>
      <c r="G775" s="27">
        <v>45584</v>
      </c>
      <c r="H775" t="s">
        <v>109</v>
      </c>
      <c r="I775" t="s">
        <v>594</v>
      </c>
      <c r="J775" t="s">
        <v>222</v>
      </c>
      <c r="K775">
        <v>18</v>
      </c>
      <c r="L775" t="s">
        <v>155</v>
      </c>
      <c r="M775" t="s">
        <v>623</v>
      </c>
      <c r="N775" t="s">
        <v>114</v>
      </c>
      <c r="P775">
        <v>137</v>
      </c>
      <c r="Q775">
        <v>6439</v>
      </c>
      <c r="R775" t="s">
        <v>158</v>
      </c>
      <c r="S775" t="s">
        <v>159</v>
      </c>
      <c r="U775" t="s">
        <v>180</v>
      </c>
      <c r="V775" t="s">
        <v>180</v>
      </c>
      <c r="W775" t="s">
        <v>620</v>
      </c>
      <c r="AA775">
        <v>2</v>
      </c>
      <c r="AB775" t="s">
        <v>100</v>
      </c>
      <c r="AD775" t="s">
        <v>174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174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628</v>
      </c>
      <c r="F776" t="s">
        <v>108</v>
      </c>
      <c r="G776" s="27">
        <v>45584</v>
      </c>
      <c r="H776" t="s">
        <v>109</v>
      </c>
      <c r="I776" t="s">
        <v>594</v>
      </c>
      <c r="J776" t="s">
        <v>222</v>
      </c>
      <c r="K776">
        <v>18</v>
      </c>
      <c r="L776" t="s">
        <v>155</v>
      </c>
      <c r="M776" t="s">
        <v>623</v>
      </c>
      <c r="N776" t="s">
        <v>114</v>
      </c>
      <c r="P776">
        <v>137</v>
      </c>
      <c r="Q776">
        <v>6439</v>
      </c>
      <c r="R776" t="s">
        <v>158</v>
      </c>
      <c r="S776" t="s">
        <v>159</v>
      </c>
      <c r="U776" t="s">
        <v>180</v>
      </c>
      <c r="V776" t="s">
        <v>276</v>
      </c>
      <c r="W776" t="s">
        <v>620</v>
      </c>
      <c r="AA776">
        <v>2</v>
      </c>
      <c r="AB776" t="s">
        <v>99</v>
      </c>
      <c r="AD776" t="s">
        <v>178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178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629</v>
      </c>
      <c r="F777" t="s">
        <v>108</v>
      </c>
      <c r="G777" s="27">
        <v>45584</v>
      </c>
      <c r="H777" t="s">
        <v>109</v>
      </c>
      <c r="I777" t="s">
        <v>594</v>
      </c>
      <c r="J777" t="s">
        <v>222</v>
      </c>
      <c r="K777">
        <v>18</v>
      </c>
      <c r="L777" t="s">
        <v>155</v>
      </c>
      <c r="M777" t="s">
        <v>623</v>
      </c>
      <c r="N777" t="s">
        <v>114</v>
      </c>
      <c r="P777">
        <v>137</v>
      </c>
      <c r="Q777">
        <v>6439</v>
      </c>
      <c r="R777" t="s">
        <v>158</v>
      </c>
      <c r="S777" t="s">
        <v>159</v>
      </c>
      <c r="U777" t="s">
        <v>180</v>
      </c>
      <c r="V777" t="s">
        <v>181</v>
      </c>
      <c r="W777" t="s">
        <v>620</v>
      </c>
      <c r="AA777">
        <v>2</v>
      </c>
      <c r="AB777" t="s">
        <v>99</v>
      </c>
      <c r="AD777" t="s">
        <v>136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136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630</v>
      </c>
      <c r="F778" t="s">
        <v>108</v>
      </c>
      <c r="G778" s="27">
        <v>45584</v>
      </c>
      <c r="H778" t="s">
        <v>109</v>
      </c>
      <c r="I778" t="s">
        <v>594</v>
      </c>
      <c r="J778" t="s">
        <v>222</v>
      </c>
      <c r="K778">
        <v>18</v>
      </c>
      <c r="L778" t="s">
        <v>155</v>
      </c>
      <c r="M778" t="s">
        <v>623</v>
      </c>
      <c r="N778" t="s">
        <v>114</v>
      </c>
      <c r="P778">
        <v>137</v>
      </c>
      <c r="Q778">
        <v>6439</v>
      </c>
      <c r="R778" t="s">
        <v>158</v>
      </c>
      <c r="S778" t="s">
        <v>159</v>
      </c>
      <c r="U778" t="s">
        <v>180</v>
      </c>
      <c r="V778" t="s">
        <v>133</v>
      </c>
      <c r="W778" t="s">
        <v>620</v>
      </c>
      <c r="AA778">
        <v>2</v>
      </c>
      <c r="AB778" t="s">
        <v>100</v>
      </c>
      <c r="AD778" t="s">
        <v>459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459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631</v>
      </c>
      <c r="F779" t="s">
        <v>108</v>
      </c>
      <c r="G779" s="27">
        <v>45584</v>
      </c>
      <c r="H779" t="s">
        <v>109</v>
      </c>
      <c r="I779" t="s">
        <v>594</v>
      </c>
      <c r="J779" t="s">
        <v>222</v>
      </c>
      <c r="K779">
        <v>18</v>
      </c>
      <c r="L779" t="s">
        <v>155</v>
      </c>
      <c r="M779" t="s">
        <v>623</v>
      </c>
      <c r="N779" t="s">
        <v>114</v>
      </c>
      <c r="P779">
        <v>137</v>
      </c>
      <c r="Q779">
        <v>6439</v>
      </c>
      <c r="R779" t="s">
        <v>158</v>
      </c>
      <c r="S779" t="s">
        <v>159</v>
      </c>
      <c r="U779" t="s">
        <v>180</v>
      </c>
      <c r="V779" t="s">
        <v>132</v>
      </c>
      <c r="W779" t="s">
        <v>620</v>
      </c>
      <c r="AA779">
        <v>2</v>
      </c>
      <c r="AB779" t="s">
        <v>100</v>
      </c>
      <c r="AD779" t="s">
        <v>233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233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632</v>
      </c>
      <c r="F780" t="s">
        <v>108</v>
      </c>
      <c r="G780" s="27">
        <v>45584</v>
      </c>
      <c r="H780" t="s">
        <v>109</v>
      </c>
      <c r="I780" t="s">
        <v>594</v>
      </c>
      <c r="J780" t="s">
        <v>222</v>
      </c>
      <c r="K780">
        <v>18</v>
      </c>
      <c r="L780" t="s">
        <v>155</v>
      </c>
      <c r="M780" t="s">
        <v>623</v>
      </c>
      <c r="N780" t="s">
        <v>114</v>
      </c>
      <c r="P780">
        <v>137</v>
      </c>
      <c r="Q780">
        <v>6439</v>
      </c>
      <c r="R780" t="s">
        <v>158</v>
      </c>
      <c r="S780" t="s">
        <v>159</v>
      </c>
      <c r="U780" t="s">
        <v>180</v>
      </c>
      <c r="V780" t="s">
        <v>326</v>
      </c>
      <c r="W780" t="s">
        <v>620</v>
      </c>
      <c r="AA780">
        <v>2</v>
      </c>
      <c r="AB780" t="s">
        <v>100</v>
      </c>
      <c r="AD780" t="s">
        <v>135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135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622</v>
      </c>
      <c r="F781" t="s">
        <v>108</v>
      </c>
      <c r="G781" s="27">
        <v>45584</v>
      </c>
      <c r="H781" t="s">
        <v>109</v>
      </c>
      <c r="I781" t="s">
        <v>594</v>
      </c>
      <c r="J781" t="s">
        <v>222</v>
      </c>
      <c r="K781">
        <v>18</v>
      </c>
      <c r="L781" t="s">
        <v>155</v>
      </c>
      <c r="M781" t="s">
        <v>623</v>
      </c>
      <c r="N781" t="s">
        <v>114</v>
      </c>
      <c r="P781">
        <v>137</v>
      </c>
      <c r="Q781">
        <v>6439</v>
      </c>
      <c r="R781" t="s">
        <v>158</v>
      </c>
      <c r="S781" t="s">
        <v>159</v>
      </c>
      <c r="U781" t="s">
        <v>459</v>
      </c>
      <c r="V781" t="s">
        <v>130</v>
      </c>
      <c r="W781" t="s">
        <v>621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624</v>
      </c>
      <c r="F782" t="s">
        <v>108</v>
      </c>
      <c r="G782" s="27">
        <v>45584</v>
      </c>
      <c r="H782" t="s">
        <v>109</v>
      </c>
      <c r="I782" t="s">
        <v>594</v>
      </c>
      <c r="J782" t="s">
        <v>222</v>
      </c>
      <c r="K782">
        <v>18</v>
      </c>
      <c r="L782" t="s">
        <v>155</v>
      </c>
      <c r="M782" t="s">
        <v>623</v>
      </c>
      <c r="N782" t="s">
        <v>114</v>
      </c>
      <c r="P782">
        <v>137</v>
      </c>
      <c r="Q782">
        <v>6439</v>
      </c>
      <c r="R782" t="s">
        <v>158</v>
      </c>
      <c r="S782" t="s">
        <v>159</v>
      </c>
      <c r="U782" t="s">
        <v>459</v>
      </c>
      <c r="V782" t="s">
        <v>229</v>
      </c>
      <c r="W782" t="s">
        <v>621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625</v>
      </c>
      <c r="F783" t="s">
        <v>108</v>
      </c>
      <c r="G783" s="27">
        <v>45584</v>
      </c>
      <c r="H783" t="s">
        <v>109</v>
      </c>
      <c r="I783" t="s">
        <v>594</v>
      </c>
      <c r="J783" t="s">
        <v>222</v>
      </c>
      <c r="K783">
        <v>18</v>
      </c>
      <c r="L783" t="s">
        <v>155</v>
      </c>
      <c r="M783" t="s">
        <v>623</v>
      </c>
      <c r="N783" t="s">
        <v>114</v>
      </c>
      <c r="P783">
        <v>137</v>
      </c>
      <c r="Q783">
        <v>6439</v>
      </c>
      <c r="R783" t="s">
        <v>158</v>
      </c>
      <c r="S783" t="s">
        <v>159</v>
      </c>
      <c r="U783" t="s">
        <v>459</v>
      </c>
      <c r="V783" t="s">
        <v>127</v>
      </c>
      <c r="W783" t="s">
        <v>621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626</v>
      </c>
      <c r="F784" t="s">
        <v>108</v>
      </c>
      <c r="G784" s="27">
        <v>45584</v>
      </c>
      <c r="H784" t="s">
        <v>109</v>
      </c>
      <c r="I784" t="s">
        <v>594</v>
      </c>
      <c r="J784" t="s">
        <v>222</v>
      </c>
      <c r="K784">
        <v>18</v>
      </c>
      <c r="L784" t="s">
        <v>155</v>
      </c>
      <c r="M784" t="s">
        <v>623</v>
      </c>
      <c r="N784" t="s">
        <v>114</v>
      </c>
      <c r="P784">
        <v>137</v>
      </c>
      <c r="Q784">
        <v>6439</v>
      </c>
      <c r="R784" t="s">
        <v>158</v>
      </c>
      <c r="S784" t="s">
        <v>159</v>
      </c>
      <c r="U784" t="s">
        <v>459</v>
      </c>
      <c r="V784" t="s">
        <v>230</v>
      </c>
      <c r="W784" t="s">
        <v>621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627</v>
      </c>
      <c r="F785" t="s">
        <v>108</v>
      </c>
      <c r="G785" s="27">
        <v>45584</v>
      </c>
      <c r="H785" t="s">
        <v>109</v>
      </c>
      <c r="I785" t="s">
        <v>594</v>
      </c>
      <c r="J785" t="s">
        <v>222</v>
      </c>
      <c r="K785">
        <v>18</v>
      </c>
      <c r="L785" t="s">
        <v>155</v>
      </c>
      <c r="M785" t="s">
        <v>623</v>
      </c>
      <c r="N785" t="s">
        <v>114</v>
      </c>
      <c r="P785">
        <v>137</v>
      </c>
      <c r="Q785">
        <v>6439</v>
      </c>
      <c r="R785" t="s">
        <v>158</v>
      </c>
      <c r="S785" t="s">
        <v>159</v>
      </c>
      <c r="U785" t="s">
        <v>459</v>
      </c>
      <c r="V785" t="s">
        <v>174</v>
      </c>
      <c r="W785" t="s">
        <v>621</v>
      </c>
      <c r="AA785">
        <v>2</v>
      </c>
      <c r="AB785" t="s">
        <v>99</v>
      </c>
      <c r="AD785" t="s">
        <v>180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180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628</v>
      </c>
      <c r="F786" t="s">
        <v>108</v>
      </c>
      <c r="G786" s="27">
        <v>45584</v>
      </c>
      <c r="H786" t="s">
        <v>109</v>
      </c>
      <c r="I786" t="s">
        <v>594</v>
      </c>
      <c r="J786" t="s">
        <v>222</v>
      </c>
      <c r="K786">
        <v>18</v>
      </c>
      <c r="L786" t="s">
        <v>155</v>
      </c>
      <c r="M786" t="s">
        <v>623</v>
      </c>
      <c r="N786" t="s">
        <v>114</v>
      </c>
      <c r="P786">
        <v>137</v>
      </c>
      <c r="Q786">
        <v>6439</v>
      </c>
      <c r="R786" t="s">
        <v>158</v>
      </c>
      <c r="S786" t="s">
        <v>159</v>
      </c>
      <c r="U786" t="s">
        <v>459</v>
      </c>
      <c r="V786" t="s">
        <v>178</v>
      </c>
      <c r="W786" t="s">
        <v>621</v>
      </c>
      <c r="AA786">
        <v>2</v>
      </c>
      <c r="AB786" t="s">
        <v>100</v>
      </c>
      <c r="AD786" t="s">
        <v>276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276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629</v>
      </c>
      <c r="F787" t="s">
        <v>108</v>
      </c>
      <c r="G787" s="27">
        <v>45584</v>
      </c>
      <c r="H787" t="s">
        <v>109</v>
      </c>
      <c r="I787" t="s">
        <v>594</v>
      </c>
      <c r="J787" t="s">
        <v>222</v>
      </c>
      <c r="K787">
        <v>18</v>
      </c>
      <c r="L787" t="s">
        <v>155</v>
      </c>
      <c r="M787" t="s">
        <v>623</v>
      </c>
      <c r="N787" t="s">
        <v>114</v>
      </c>
      <c r="P787">
        <v>137</v>
      </c>
      <c r="Q787">
        <v>6439</v>
      </c>
      <c r="R787" t="s">
        <v>158</v>
      </c>
      <c r="S787" t="s">
        <v>159</v>
      </c>
      <c r="U787" t="s">
        <v>459</v>
      </c>
      <c r="V787" t="s">
        <v>136</v>
      </c>
      <c r="W787" t="s">
        <v>621</v>
      </c>
      <c r="AA787">
        <v>2</v>
      </c>
      <c r="AB787" t="s">
        <v>100</v>
      </c>
      <c r="AD787" t="s">
        <v>181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181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630</v>
      </c>
      <c r="F788" t="s">
        <v>108</v>
      </c>
      <c r="G788" s="27">
        <v>45584</v>
      </c>
      <c r="H788" t="s">
        <v>109</v>
      </c>
      <c r="I788" t="s">
        <v>594</v>
      </c>
      <c r="J788" t="s">
        <v>222</v>
      </c>
      <c r="K788">
        <v>18</v>
      </c>
      <c r="L788" t="s">
        <v>155</v>
      </c>
      <c r="M788" t="s">
        <v>623</v>
      </c>
      <c r="N788" t="s">
        <v>114</v>
      </c>
      <c r="P788">
        <v>137</v>
      </c>
      <c r="Q788">
        <v>6439</v>
      </c>
      <c r="R788" t="s">
        <v>158</v>
      </c>
      <c r="S788" t="s">
        <v>159</v>
      </c>
      <c r="U788" t="s">
        <v>459</v>
      </c>
      <c r="V788" t="s">
        <v>459</v>
      </c>
      <c r="W788" t="s">
        <v>621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631</v>
      </c>
      <c r="F789" t="s">
        <v>108</v>
      </c>
      <c r="G789" s="27">
        <v>45584</v>
      </c>
      <c r="H789" t="s">
        <v>109</v>
      </c>
      <c r="I789" t="s">
        <v>594</v>
      </c>
      <c r="J789" t="s">
        <v>222</v>
      </c>
      <c r="K789">
        <v>18</v>
      </c>
      <c r="L789" t="s">
        <v>155</v>
      </c>
      <c r="M789" t="s">
        <v>623</v>
      </c>
      <c r="N789" t="s">
        <v>114</v>
      </c>
      <c r="P789">
        <v>137</v>
      </c>
      <c r="Q789">
        <v>6439</v>
      </c>
      <c r="R789" t="s">
        <v>158</v>
      </c>
      <c r="S789" t="s">
        <v>159</v>
      </c>
      <c r="U789" t="s">
        <v>459</v>
      </c>
      <c r="V789" t="s">
        <v>233</v>
      </c>
      <c r="W789" t="s">
        <v>621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632</v>
      </c>
      <c r="F790" t="s">
        <v>108</v>
      </c>
      <c r="G790" s="27">
        <v>45584</v>
      </c>
      <c r="H790" t="s">
        <v>109</v>
      </c>
      <c r="I790" t="s">
        <v>594</v>
      </c>
      <c r="J790" t="s">
        <v>222</v>
      </c>
      <c r="K790">
        <v>18</v>
      </c>
      <c r="L790" t="s">
        <v>155</v>
      </c>
      <c r="M790" t="s">
        <v>623</v>
      </c>
      <c r="N790" t="s">
        <v>114</v>
      </c>
      <c r="P790">
        <v>137</v>
      </c>
      <c r="Q790">
        <v>6439</v>
      </c>
      <c r="R790" t="s">
        <v>158</v>
      </c>
      <c r="S790" t="s">
        <v>159</v>
      </c>
      <c r="U790" t="s">
        <v>459</v>
      </c>
      <c r="V790" t="s">
        <v>135</v>
      </c>
      <c r="W790" t="s">
        <v>621</v>
      </c>
      <c r="AA790">
        <v>2</v>
      </c>
      <c r="AB790" t="s">
        <v>99</v>
      </c>
      <c r="AD790" t="s">
        <v>326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326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633</v>
      </c>
      <c r="F791" t="s">
        <v>406</v>
      </c>
      <c r="G791" s="27">
        <v>45876</v>
      </c>
      <c r="H791" t="s">
        <v>145</v>
      </c>
      <c r="I791" t="s">
        <v>634</v>
      </c>
      <c r="J791" t="s">
        <v>543</v>
      </c>
      <c r="K791">
        <v>9</v>
      </c>
      <c r="L791" t="s">
        <v>112</v>
      </c>
      <c r="M791" t="s">
        <v>635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413</v>
      </c>
      <c r="U791" t="s">
        <v>135</v>
      </c>
      <c r="V791" t="s">
        <v>230</v>
      </c>
      <c r="Y791" t="s">
        <v>462</v>
      </c>
      <c r="AA791">
        <v>1</v>
      </c>
      <c r="AB791" t="s">
        <v>100</v>
      </c>
      <c r="AC791" t="s">
        <v>636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637</v>
      </c>
      <c r="F792" t="s">
        <v>406</v>
      </c>
      <c r="G792" s="27">
        <v>45876</v>
      </c>
      <c r="H792" t="s">
        <v>145</v>
      </c>
      <c r="I792" t="s">
        <v>634</v>
      </c>
      <c r="J792" t="s">
        <v>543</v>
      </c>
      <c r="K792">
        <v>9</v>
      </c>
      <c r="L792" t="s">
        <v>112</v>
      </c>
      <c r="M792" t="s">
        <v>635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413</v>
      </c>
      <c r="U792" t="s">
        <v>135</v>
      </c>
      <c r="V792" t="s">
        <v>326</v>
      </c>
      <c r="Y792" t="s">
        <v>465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638</v>
      </c>
      <c r="F793" t="s">
        <v>406</v>
      </c>
      <c r="G793" s="27">
        <v>45876</v>
      </c>
      <c r="H793" t="s">
        <v>145</v>
      </c>
      <c r="I793" t="s">
        <v>634</v>
      </c>
      <c r="J793" t="s">
        <v>543</v>
      </c>
      <c r="K793">
        <v>9</v>
      </c>
      <c r="L793" t="s">
        <v>112</v>
      </c>
      <c r="M793" t="s">
        <v>635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413</v>
      </c>
      <c r="U793" t="s">
        <v>135</v>
      </c>
      <c r="V793" t="s">
        <v>135</v>
      </c>
      <c r="Y793" t="s">
        <v>550</v>
      </c>
      <c r="AA793">
        <v>1</v>
      </c>
      <c r="AB793" t="s">
        <v>99</v>
      </c>
      <c r="AC793" t="s">
        <v>225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464</v>
      </c>
      <c r="AM793" t="s">
        <v>136</v>
      </c>
    </row>
    <row r="794" spans="2:39" ht="15" customHeight="1" x14ac:dyDescent="0.2">
      <c r="B794">
        <v>4</v>
      </c>
      <c r="D794">
        <v>12</v>
      </c>
      <c r="E794" t="s">
        <v>639</v>
      </c>
      <c r="F794" t="s">
        <v>406</v>
      </c>
      <c r="G794" s="27">
        <v>45876</v>
      </c>
      <c r="H794" t="s">
        <v>145</v>
      </c>
      <c r="I794" t="s">
        <v>634</v>
      </c>
      <c r="J794" t="s">
        <v>543</v>
      </c>
      <c r="K794">
        <v>9</v>
      </c>
      <c r="L794" t="s">
        <v>112</v>
      </c>
      <c r="M794" t="s">
        <v>635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413</v>
      </c>
      <c r="U794" t="s">
        <v>135</v>
      </c>
      <c r="V794" t="s">
        <v>127</v>
      </c>
      <c r="Y794" t="s">
        <v>174</v>
      </c>
      <c r="AA794">
        <v>1</v>
      </c>
      <c r="AB794" t="s">
        <v>99</v>
      </c>
      <c r="AC794" t="s">
        <v>640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178</v>
      </c>
      <c r="AM794" t="s">
        <v>641</v>
      </c>
    </row>
    <row r="795" spans="2:39" ht="15" customHeight="1" x14ac:dyDescent="0.2">
      <c r="B795">
        <v>5</v>
      </c>
      <c r="D795">
        <v>12</v>
      </c>
      <c r="E795" t="s">
        <v>642</v>
      </c>
      <c r="F795" t="s">
        <v>406</v>
      </c>
      <c r="G795" s="27">
        <v>45876</v>
      </c>
      <c r="H795" t="s">
        <v>145</v>
      </c>
      <c r="I795" t="s">
        <v>634</v>
      </c>
      <c r="J795" t="s">
        <v>543</v>
      </c>
      <c r="K795">
        <v>9</v>
      </c>
      <c r="L795" t="s">
        <v>112</v>
      </c>
      <c r="M795" t="s">
        <v>635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413</v>
      </c>
      <c r="U795" t="s">
        <v>135</v>
      </c>
      <c r="V795" t="s">
        <v>118</v>
      </c>
      <c r="Y795" t="s">
        <v>459</v>
      </c>
      <c r="AA795">
        <v>1</v>
      </c>
      <c r="AB795" t="s">
        <v>100</v>
      </c>
      <c r="AC795" t="s">
        <v>228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643</v>
      </c>
      <c r="F796" t="s">
        <v>406</v>
      </c>
      <c r="G796" s="27">
        <v>45876</v>
      </c>
      <c r="H796" t="s">
        <v>145</v>
      </c>
      <c r="I796" t="s">
        <v>634</v>
      </c>
      <c r="J796" t="s">
        <v>543</v>
      </c>
      <c r="K796">
        <v>9</v>
      </c>
      <c r="L796" t="s">
        <v>138</v>
      </c>
      <c r="M796" t="s">
        <v>635</v>
      </c>
      <c r="N796" t="s">
        <v>114</v>
      </c>
      <c r="P796">
        <v>128</v>
      </c>
      <c r="Q796">
        <v>6678</v>
      </c>
      <c r="R796" t="s">
        <v>373</v>
      </c>
      <c r="S796" t="s">
        <v>116</v>
      </c>
      <c r="T796" t="s">
        <v>413</v>
      </c>
      <c r="U796" t="s">
        <v>135</v>
      </c>
      <c r="V796" t="s">
        <v>230</v>
      </c>
      <c r="Y796" t="s">
        <v>462</v>
      </c>
      <c r="AA796">
        <v>1</v>
      </c>
      <c r="AB796" t="s">
        <v>101</v>
      </c>
      <c r="AC796" t="s">
        <v>140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644</v>
      </c>
      <c r="F797" t="s">
        <v>406</v>
      </c>
      <c r="G797" s="27">
        <v>45876</v>
      </c>
      <c r="H797" t="s">
        <v>145</v>
      </c>
      <c r="I797" t="s">
        <v>634</v>
      </c>
      <c r="J797" t="s">
        <v>543</v>
      </c>
      <c r="K797">
        <v>9</v>
      </c>
      <c r="L797" t="s">
        <v>138</v>
      </c>
      <c r="M797" t="s">
        <v>635</v>
      </c>
      <c r="N797" t="s">
        <v>114</v>
      </c>
      <c r="P797">
        <v>128</v>
      </c>
      <c r="Q797">
        <v>6678</v>
      </c>
      <c r="R797" t="s">
        <v>373</v>
      </c>
      <c r="S797" t="s">
        <v>116</v>
      </c>
      <c r="T797" t="s">
        <v>413</v>
      </c>
      <c r="U797" t="s">
        <v>135</v>
      </c>
      <c r="V797" t="s">
        <v>326</v>
      </c>
      <c r="Y797" t="s">
        <v>465</v>
      </c>
      <c r="AA797">
        <v>1</v>
      </c>
      <c r="AB797" t="s">
        <v>101</v>
      </c>
      <c r="AC797" t="s">
        <v>140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645</v>
      </c>
      <c r="F798" t="s">
        <v>406</v>
      </c>
      <c r="G798" s="27">
        <v>45876</v>
      </c>
      <c r="H798" t="s">
        <v>145</v>
      </c>
      <c r="I798" t="s">
        <v>634</v>
      </c>
      <c r="J798" t="s">
        <v>543</v>
      </c>
      <c r="K798">
        <v>9</v>
      </c>
      <c r="L798" t="s">
        <v>138</v>
      </c>
      <c r="M798" t="s">
        <v>635</v>
      </c>
      <c r="N798" t="s">
        <v>114</v>
      </c>
      <c r="P798">
        <v>128</v>
      </c>
      <c r="Q798">
        <v>6678</v>
      </c>
      <c r="R798" t="s">
        <v>373</v>
      </c>
      <c r="S798" t="s">
        <v>116</v>
      </c>
      <c r="T798" t="s">
        <v>413</v>
      </c>
      <c r="U798" t="s">
        <v>135</v>
      </c>
      <c r="V798" t="s">
        <v>135</v>
      </c>
      <c r="Y798" t="s">
        <v>550</v>
      </c>
      <c r="AA798">
        <v>1</v>
      </c>
      <c r="AB798" t="s">
        <v>99</v>
      </c>
      <c r="AC798" t="s">
        <v>225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464</v>
      </c>
      <c r="AM798" t="s">
        <v>136</v>
      </c>
    </row>
    <row r="799" spans="2:39" ht="15" customHeight="1" x14ac:dyDescent="0.2">
      <c r="B799">
        <v>9</v>
      </c>
      <c r="D799">
        <v>12</v>
      </c>
      <c r="E799" t="s">
        <v>646</v>
      </c>
      <c r="F799" t="s">
        <v>406</v>
      </c>
      <c r="G799" s="27">
        <v>45876</v>
      </c>
      <c r="H799" t="s">
        <v>145</v>
      </c>
      <c r="I799" t="s">
        <v>634</v>
      </c>
      <c r="J799" t="s">
        <v>543</v>
      </c>
      <c r="K799">
        <v>9</v>
      </c>
      <c r="L799" t="s">
        <v>138</v>
      </c>
      <c r="M799" t="s">
        <v>635</v>
      </c>
      <c r="N799" t="s">
        <v>114</v>
      </c>
      <c r="P799">
        <v>128</v>
      </c>
      <c r="Q799">
        <v>6678</v>
      </c>
      <c r="R799" t="s">
        <v>373</v>
      </c>
      <c r="S799" t="s">
        <v>116</v>
      </c>
      <c r="T799" t="s">
        <v>413</v>
      </c>
      <c r="U799" t="s">
        <v>135</v>
      </c>
      <c r="V799" t="s">
        <v>127</v>
      </c>
      <c r="Y799" t="s">
        <v>174</v>
      </c>
      <c r="AA799">
        <v>1</v>
      </c>
      <c r="AB799" t="s">
        <v>99</v>
      </c>
      <c r="AC799" t="s">
        <v>640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178</v>
      </c>
      <c r="AM799" t="s">
        <v>641</v>
      </c>
    </row>
    <row r="800" spans="2:39" ht="15" customHeight="1" x14ac:dyDescent="0.2">
      <c r="B800">
        <v>10</v>
      </c>
      <c r="D800">
        <v>12</v>
      </c>
      <c r="E800" t="s">
        <v>647</v>
      </c>
      <c r="F800" t="s">
        <v>406</v>
      </c>
      <c r="G800" s="27">
        <v>45876</v>
      </c>
      <c r="H800" t="s">
        <v>145</v>
      </c>
      <c r="I800" t="s">
        <v>634</v>
      </c>
      <c r="J800" t="s">
        <v>543</v>
      </c>
      <c r="K800">
        <v>9</v>
      </c>
      <c r="L800" t="s">
        <v>138</v>
      </c>
      <c r="M800" t="s">
        <v>635</v>
      </c>
      <c r="N800" t="s">
        <v>114</v>
      </c>
      <c r="P800">
        <v>128</v>
      </c>
      <c r="Q800">
        <v>6678</v>
      </c>
      <c r="R800" t="s">
        <v>373</v>
      </c>
      <c r="S800" t="s">
        <v>116</v>
      </c>
      <c r="T800" t="s">
        <v>413</v>
      </c>
      <c r="U800" t="s">
        <v>135</v>
      </c>
      <c r="V800" t="s">
        <v>118</v>
      </c>
      <c r="Y800" t="s">
        <v>459</v>
      </c>
      <c r="AA800">
        <v>1</v>
      </c>
      <c r="AB800" t="s">
        <v>99</v>
      </c>
      <c r="AC800" t="s">
        <v>280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648</v>
      </c>
      <c r="F801" t="s">
        <v>272</v>
      </c>
      <c r="G801" s="27">
        <v>45877</v>
      </c>
      <c r="H801" t="s">
        <v>109</v>
      </c>
      <c r="I801" t="s">
        <v>634</v>
      </c>
      <c r="J801" t="s">
        <v>543</v>
      </c>
      <c r="K801">
        <v>9</v>
      </c>
      <c r="L801" t="s">
        <v>112</v>
      </c>
      <c r="M801" t="s">
        <v>649</v>
      </c>
      <c r="N801" t="s">
        <v>157</v>
      </c>
      <c r="P801">
        <v>130</v>
      </c>
      <c r="Q801">
        <v>6290</v>
      </c>
      <c r="R801" t="s">
        <v>146</v>
      </c>
      <c r="S801" t="s">
        <v>116</v>
      </c>
      <c r="T801" t="s">
        <v>413</v>
      </c>
      <c r="U801" t="s">
        <v>135</v>
      </c>
      <c r="V801" t="s">
        <v>465</v>
      </c>
      <c r="Y801" t="s">
        <v>230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464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650</v>
      </c>
      <c r="F802" t="s">
        <v>272</v>
      </c>
      <c r="G802" s="27">
        <v>45877</v>
      </c>
      <c r="H802" t="s">
        <v>109</v>
      </c>
      <c r="I802" t="s">
        <v>634</v>
      </c>
      <c r="J802" t="s">
        <v>543</v>
      </c>
      <c r="K802">
        <v>9</v>
      </c>
      <c r="L802" t="s">
        <v>112</v>
      </c>
      <c r="M802" t="s">
        <v>649</v>
      </c>
      <c r="N802" t="s">
        <v>157</v>
      </c>
      <c r="P802">
        <v>130</v>
      </c>
      <c r="Q802">
        <v>6290</v>
      </c>
      <c r="R802" t="s">
        <v>146</v>
      </c>
      <c r="S802" t="s">
        <v>116</v>
      </c>
      <c r="T802" t="s">
        <v>413</v>
      </c>
      <c r="U802" t="s">
        <v>135</v>
      </c>
      <c r="V802" t="s">
        <v>462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651</v>
      </c>
      <c r="F803" t="s">
        <v>272</v>
      </c>
      <c r="G803" s="27">
        <v>45877</v>
      </c>
      <c r="H803" t="s">
        <v>109</v>
      </c>
      <c r="I803" t="s">
        <v>634</v>
      </c>
      <c r="J803" t="s">
        <v>543</v>
      </c>
      <c r="K803">
        <v>9</v>
      </c>
      <c r="L803" t="s">
        <v>112</v>
      </c>
      <c r="M803" t="s">
        <v>649</v>
      </c>
      <c r="N803" t="s">
        <v>157</v>
      </c>
      <c r="P803">
        <v>130</v>
      </c>
      <c r="Q803">
        <v>6290</v>
      </c>
      <c r="R803" t="s">
        <v>146</v>
      </c>
      <c r="S803" t="s">
        <v>116</v>
      </c>
      <c r="T803" t="s">
        <v>413</v>
      </c>
      <c r="U803" t="s">
        <v>135</v>
      </c>
      <c r="V803" t="s">
        <v>550</v>
      </c>
      <c r="Y803" t="s">
        <v>459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178</v>
      </c>
    </row>
    <row r="804" spans="2:39" ht="15" customHeight="1" x14ac:dyDescent="0.2">
      <c r="B804">
        <v>14</v>
      </c>
      <c r="D804">
        <v>12</v>
      </c>
      <c r="E804" t="s">
        <v>652</v>
      </c>
      <c r="F804" t="s">
        <v>272</v>
      </c>
      <c r="G804" s="27">
        <v>45877</v>
      </c>
      <c r="H804" t="s">
        <v>109</v>
      </c>
      <c r="I804" t="s">
        <v>634</v>
      </c>
      <c r="J804" t="s">
        <v>543</v>
      </c>
      <c r="K804">
        <v>9</v>
      </c>
      <c r="L804" t="s">
        <v>112</v>
      </c>
      <c r="M804" t="s">
        <v>649</v>
      </c>
      <c r="N804" t="s">
        <v>157</v>
      </c>
      <c r="P804">
        <v>130</v>
      </c>
      <c r="Q804">
        <v>6290</v>
      </c>
      <c r="R804" t="s">
        <v>146</v>
      </c>
      <c r="S804" t="s">
        <v>116</v>
      </c>
      <c r="T804" t="s">
        <v>413</v>
      </c>
      <c r="U804" t="s">
        <v>135</v>
      </c>
      <c r="V804" t="s">
        <v>174</v>
      </c>
      <c r="Y804" t="s">
        <v>326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136</v>
      </c>
    </row>
    <row r="805" spans="2:39" ht="15" customHeight="1" x14ac:dyDescent="0.2">
      <c r="B805">
        <v>15</v>
      </c>
      <c r="D805">
        <v>12</v>
      </c>
      <c r="E805" t="s">
        <v>653</v>
      </c>
      <c r="F805" t="s">
        <v>272</v>
      </c>
      <c r="G805" s="27">
        <v>45877</v>
      </c>
      <c r="H805" t="s">
        <v>109</v>
      </c>
      <c r="I805" t="s">
        <v>634</v>
      </c>
      <c r="J805" t="s">
        <v>543</v>
      </c>
      <c r="K805">
        <v>9</v>
      </c>
      <c r="L805" t="s">
        <v>112</v>
      </c>
      <c r="M805" t="s">
        <v>649</v>
      </c>
      <c r="N805" t="s">
        <v>157</v>
      </c>
      <c r="P805">
        <v>130</v>
      </c>
      <c r="Q805">
        <v>6290</v>
      </c>
      <c r="R805" t="s">
        <v>146</v>
      </c>
      <c r="S805" t="s">
        <v>116</v>
      </c>
      <c r="T805" t="s">
        <v>413</v>
      </c>
      <c r="U805" t="s">
        <v>135</v>
      </c>
      <c r="V805" t="s">
        <v>118</v>
      </c>
      <c r="Y805" t="s">
        <v>135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641</v>
      </c>
    </row>
    <row r="806" spans="2:39" ht="15" customHeight="1" x14ac:dyDescent="0.2">
      <c r="B806">
        <v>16</v>
      </c>
      <c r="D806">
        <v>12</v>
      </c>
      <c r="E806" t="s">
        <v>654</v>
      </c>
      <c r="F806" t="s">
        <v>272</v>
      </c>
      <c r="G806" s="27">
        <v>45877</v>
      </c>
      <c r="H806" t="s">
        <v>109</v>
      </c>
      <c r="I806" t="s">
        <v>634</v>
      </c>
      <c r="J806" t="s">
        <v>543</v>
      </c>
      <c r="K806">
        <v>9</v>
      </c>
      <c r="L806" t="s">
        <v>138</v>
      </c>
      <c r="M806" t="s">
        <v>649</v>
      </c>
      <c r="N806" t="s">
        <v>157</v>
      </c>
      <c r="P806">
        <v>130</v>
      </c>
      <c r="Q806">
        <v>6290</v>
      </c>
      <c r="R806" t="s">
        <v>139</v>
      </c>
      <c r="S806" t="s">
        <v>116</v>
      </c>
      <c r="T806" t="s">
        <v>413</v>
      </c>
      <c r="U806" t="s">
        <v>135</v>
      </c>
      <c r="V806" t="s">
        <v>465</v>
      </c>
      <c r="Y806" t="s">
        <v>230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464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655</v>
      </c>
      <c r="F807" t="s">
        <v>272</v>
      </c>
      <c r="G807" s="27">
        <v>45877</v>
      </c>
      <c r="H807" t="s">
        <v>109</v>
      </c>
      <c r="I807" t="s">
        <v>634</v>
      </c>
      <c r="J807" t="s">
        <v>543</v>
      </c>
      <c r="K807">
        <v>9</v>
      </c>
      <c r="L807" t="s">
        <v>138</v>
      </c>
      <c r="M807" t="s">
        <v>649</v>
      </c>
      <c r="N807" t="s">
        <v>157</v>
      </c>
      <c r="P807">
        <v>130</v>
      </c>
      <c r="Q807">
        <v>6290</v>
      </c>
      <c r="R807" t="s">
        <v>139</v>
      </c>
      <c r="S807" t="s">
        <v>116</v>
      </c>
      <c r="T807" t="s">
        <v>413</v>
      </c>
      <c r="U807" t="s">
        <v>135</v>
      </c>
      <c r="V807" t="s">
        <v>462</v>
      </c>
      <c r="Y807" t="s">
        <v>127</v>
      </c>
      <c r="AA807">
        <v>1</v>
      </c>
      <c r="AB807" t="s">
        <v>101</v>
      </c>
      <c r="AC807" t="s">
        <v>140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656</v>
      </c>
      <c r="F808" t="s">
        <v>272</v>
      </c>
      <c r="G808" s="27">
        <v>45877</v>
      </c>
      <c r="H808" t="s">
        <v>109</v>
      </c>
      <c r="I808" t="s">
        <v>634</v>
      </c>
      <c r="J808" t="s">
        <v>543</v>
      </c>
      <c r="K808">
        <v>9</v>
      </c>
      <c r="L808" t="s">
        <v>138</v>
      </c>
      <c r="M808" t="s">
        <v>649</v>
      </c>
      <c r="N808" t="s">
        <v>157</v>
      </c>
      <c r="P808">
        <v>130</v>
      </c>
      <c r="Q808">
        <v>6290</v>
      </c>
      <c r="R808" t="s">
        <v>139</v>
      </c>
      <c r="S808" t="s">
        <v>116</v>
      </c>
      <c r="T808" t="s">
        <v>413</v>
      </c>
      <c r="U808" t="s">
        <v>135</v>
      </c>
      <c r="V808" t="s">
        <v>550</v>
      </c>
      <c r="Y808" t="s">
        <v>459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178</v>
      </c>
    </row>
    <row r="809" spans="2:39" ht="15" customHeight="1" x14ac:dyDescent="0.2">
      <c r="B809">
        <v>19</v>
      </c>
      <c r="D809">
        <v>12</v>
      </c>
      <c r="E809" t="s">
        <v>657</v>
      </c>
      <c r="F809" t="s">
        <v>272</v>
      </c>
      <c r="G809" s="27">
        <v>45877</v>
      </c>
      <c r="H809" t="s">
        <v>109</v>
      </c>
      <c r="I809" t="s">
        <v>634</v>
      </c>
      <c r="J809" t="s">
        <v>543</v>
      </c>
      <c r="K809">
        <v>9</v>
      </c>
      <c r="L809" t="s">
        <v>138</v>
      </c>
      <c r="M809" t="s">
        <v>649</v>
      </c>
      <c r="N809" t="s">
        <v>157</v>
      </c>
      <c r="P809">
        <v>130</v>
      </c>
      <c r="Q809">
        <v>6290</v>
      </c>
      <c r="R809" t="s">
        <v>139</v>
      </c>
      <c r="S809" t="s">
        <v>116</v>
      </c>
      <c r="T809" t="s">
        <v>413</v>
      </c>
      <c r="U809" t="s">
        <v>135</v>
      </c>
      <c r="V809" t="s">
        <v>174</v>
      </c>
      <c r="Y809" t="s">
        <v>326</v>
      </c>
      <c r="AA809">
        <v>1</v>
      </c>
      <c r="AB809" t="s">
        <v>101</v>
      </c>
      <c r="AC809" t="s">
        <v>140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136</v>
      </c>
    </row>
    <row r="810" spans="2:39" ht="15" customHeight="1" x14ac:dyDescent="0.2">
      <c r="B810">
        <v>20</v>
      </c>
      <c r="D810">
        <v>12</v>
      </c>
      <c r="E810" t="s">
        <v>658</v>
      </c>
      <c r="F810" t="s">
        <v>272</v>
      </c>
      <c r="G810" s="27">
        <v>45877</v>
      </c>
      <c r="H810" t="s">
        <v>109</v>
      </c>
      <c r="I810" t="s">
        <v>634</v>
      </c>
      <c r="J810" t="s">
        <v>543</v>
      </c>
      <c r="K810">
        <v>9</v>
      </c>
      <c r="L810" t="s">
        <v>138</v>
      </c>
      <c r="M810" t="s">
        <v>649</v>
      </c>
      <c r="N810" t="s">
        <v>157</v>
      </c>
      <c r="P810">
        <v>130</v>
      </c>
      <c r="Q810">
        <v>6290</v>
      </c>
      <c r="R810" t="s">
        <v>139</v>
      </c>
      <c r="S810" t="s">
        <v>116</v>
      </c>
      <c r="T810" t="s">
        <v>413</v>
      </c>
      <c r="U810" t="s">
        <v>135</v>
      </c>
      <c r="V810" t="s">
        <v>118</v>
      </c>
      <c r="Y810" t="s">
        <v>135</v>
      </c>
      <c r="AA810">
        <v>1</v>
      </c>
      <c r="AB810" t="s">
        <v>101</v>
      </c>
      <c r="AC810" t="s">
        <v>140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641</v>
      </c>
    </row>
    <row r="811" spans="2:39" ht="15" customHeight="1" x14ac:dyDescent="0.2">
      <c r="B811">
        <v>26</v>
      </c>
      <c r="D811">
        <v>12</v>
      </c>
      <c r="E811" t="s">
        <v>659</v>
      </c>
      <c r="F811" t="s">
        <v>272</v>
      </c>
      <c r="G811" s="27">
        <v>45877</v>
      </c>
      <c r="H811" t="s">
        <v>145</v>
      </c>
      <c r="I811" t="s">
        <v>634</v>
      </c>
      <c r="J811" t="s">
        <v>543</v>
      </c>
      <c r="K811">
        <v>9</v>
      </c>
      <c r="L811" t="s">
        <v>138</v>
      </c>
      <c r="M811" t="s">
        <v>660</v>
      </c>
      <c r="N811" t="s">
        <v>114</v>
      </c>
      <c r="P811">
        <v>131</v>
      </c>
      <c r="Q811">
        <v>6383</v>
      </c>
      <c r="R811" t="s">
        <v>373</v>
      </c>
      <c r="S811" t="s">
        <v>116</v>
      </c>
      <c r="T811" t="s">
        <v>413</v>
      </c>
      <c r="U811" t="s">
        <v>135</v>
      </c>
      <c r="V811" t="s">
        <v>459</v>
      </c>
      <c r="Y811" t="s">
        <v>230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661</v>
      </c>
      <c r="F812" t="s">
        <v>272</v>
      </c>
      <c r="G812" s="27">
        <v>45877</v>
      </c>
      <c r="H812" t="s">
        <v>145</v>
      </c>
      <c r="I812" t="s">
        <v>634</v>
      </c>
      <c r="J812" t="s">
        <v>543</v>
      </c>
      <c r="K812">
        <v>9</v>
      </c>
      <c r="L812" t="s">
        <v>138</v>
      </c>
      <c r="M812" t="s">
        <v>660</v>
      </c>
      <c r="N812" t="s">
        <v>114</v>
      </c>
      <c r="P812">
        <v>131</v>
      </c>
      <c r="Q812">
        <v>6383</v>
      </c>
      <c r="R812" t="s">
        <v>373</v>
      </c>
      <c r="S812" t="s">
        <v>116</v>
      </c>
      <c r="T812" t="s">
        <v>413</v>
      </c>
      <c r="U812" t="s">
        <v>135</v>
      </c>
      <c r="V812" t="s">
        <v>174</v>
      </c>
      <c r="Y812" t="s">
        <v>465</v>
      </c>
      <c r="AA812">
        <v>1</v>
      </c>
      <c r="AB812" t="s">
        <v>101</v>
      </c>
      <c r="AC812" t="s">
        <v>140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641</v>
      </c>
    </row>
    <row r="813" spans="2:39" ht="15" customHeight="1" x14ac:dyDescent="0.2">
      <c r="B813">
        <v>28</v>
      </c>
      <c r="D813">
        <v>12</v>
      </c>
      <c r="E813" t="s">
        <v>662</v>
      </c>
      <c r="F813" t="s">
        <v>272</v>
      </c>
      <c r="G813" s="27">
        <v>45877</v>
      </c>
      <c r="H813" t="s">
        <v>145</v>
      </c>
      <c r="I813" t="s">
        <v>634</v>
      </c>
      <c r="J813" t="s">
        <v>543</v>
      </c>
      <c r="K813">
        <v>9</v>
      </c>
      <c r="L813" t="s">
        <v>138</v>
      </c>
      <c r="M813" t="s">
        <v>660</v>
      </c>
      <c r="N813" t="s">
        <v>114</v>
      </c>
      <c r="P813">
        <v>131</v>
      </c>
      <c r="Q813">
        <v>6383</v>
      </c>
      <c r="R813" t="s">
        <v>373</v>
      </c>
      <c r="S813" t="s">
        <v>116</v>
      </c>
      <c r="T813" t="s">
        <v>413</v>
      </c>
      <c r="U813" t="s">
        <v>135</v>
      </c>
      <c r="V813" t="s">
        <v>135</v>
      </c>
      <c r="Y813" t="s">
        <v>127</v>
      </c>
      <c r="AA813">
        <v>1</v>
      </c>
      <c r="AB813" t="s">
        <v>99</v>
      </c>
      <c r="AC813" t="s">
        <v>242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136</v>
      </c>
      <c r="AM813" t="s">
        <v>178</v>
      </c>
    </row>
    <row r="814" spans="2:39" ht="15" customHeight="1" x14ac:dyDescent="0.2">
      <c r="B814">
        <v>29</v>
      </c>
      <c r="D814">
        <v>12</v>
      </c>
      <c r="E814" t="s">
        <v>663</v>
      </c>
      <c r="F814" t="s">
        <v>272</v>
      </c>
      <c r="G814" s="27">
        <v>45877</v>
      </c>
      <c r="H814" t="s">
        <v>145</v>
      </c>
      <c r="I814" t="s">
        <v>634</v>
      </c>
      <c r="J814" t="s">
        <v>543</v>
      </c>
      <c r="K814">
        <v>9</v>
      </c>
      <c r="L814" t="s">
        <v>138</v>
      </c>
      <c r="M814" t="s">
        <v>660</v>
      </c>
      <c r="N814" t="s">
        <v>114</v>
      </c>
      <c r="P814">
        <v>131</v>
      </c>
      <c r="Q814">
        <v>6383</v>
      </c>
      <c r="R814" t="s">
        <v>373</v>
      </c>
      <c r="S814" t="s">
        <v>116</v>
      </c>
      <c r="T814" t="s">
        <v>413</v>
      </c>
      <c r="U814" t="s">
        <v>135</v>
      </c>
      <c r="V814" t="s">
        <v>462</v>
      </c>
      <c r="Y814" t="s">
        <v>326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664</v>
      </c>
      <c r="F815" t="s">
        <v>272</v>
      </c>
      <c r="G815" s="27">
        <v>45877</v>
      </c>
      <c r="H815" t="s">
        <v>145</v>
      </c>
      <c r="I815" t="s">
        <v>634</v>
      </c>
      <c r="J815" t="s">
        <v>543</v>
      </c>
      <c r="K815">
        <v>9</v>
      </c>
      <c r="L815" t="s">
        <v>138</v>
      </c>
      <c r="M815" t="s">
        <v>660</v>
      </c>
      <c r="N815" t="s">
        <v>114</v>
      </c>
      <c r="P815">
        <v>131</v>
      </c>
      <c r="Q815">
        <v>6383</v>
      </c>
      <c r="R815" t="s">
        <v>373</v>
      </c>
      <c r="S815" t="s">
        <v>116</v>
      </c>
      <c r="T815" t="s">
        <v>413</v>
      </c>
      <c r="U815" t="s">
        <v>135</v>
      </c>
      <c r="V815" t="s">
        <v>550</v>
      </c>
      <c r="Y815" t="s">
        <v>118</v>
      </c>
      <c r="AA815">
        <v>1</v>
      </c>
      <c r="AB815" t="s">
        <v>100</v>
      </c>
      <c r="AC815" t="s">
        <v>228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464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665</v>
      </c>
      <c r="F816" t="s">
        <v>272</v>
      </c>
      <c r="G816" s="27">
        <v>45877</v>
      </c>
      <c r="H816" t="s">
        <v>145</v>
      </c>
      <c r="I816" t="s">
        <v>634</v>
      </c>
      <c r="J816" t="s">
        <v>543</v>
      </c>
      <c r="K816">
        <v>9</v>
      </c>
      <c r="L816" t="s">
        <v>112</v>
      </c>
      <c r="M816" t="s">
        <v>660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413</v>
      </c>
      <c r="U816" t="s">
        <v>135</v>
      </c>
      <c r="V816" t="s">
        <v>459</v>
      </c>
      <c r="Y816" t="s">
        <v>230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666</v>
      </c>
      <c r="F817" t="s">
        <v>272</v>
      </c>
      <c r="G817" s="27">
        <v>45877</v>
      </c>
      <c r="H817" t="s">
        <v>145</v>
      </c>
      <c r="I817" t="s">
        <v>634</v>
      </c>
      <c r="J817" t="s">
        <v>543</v>
      </c>
      <c r="K817">
        <v>9</v>
      </c>
      <c r="L817" t="s">
        <v>112</v>
      </c>
      <c r="M817" t="s">
        <v>660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413</v>
      </c>
      <c r="U817" t="s">
        <v>135</v>
      </c>
      <c r="V817" t="s">
        <v>174</v>
      </c>
      <c r="Y817" t="s">
        <v>465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641</v>
      </c>
    </row>
    <row r="818" spans="2:39" ht="15" customHeight="1" x14ac:dyDescent="0.2">
      <c r="B818">
        <v>23</v>
      </c>
      <c r="D818">
        <v>12</v>
      </c>
      <c r="E818" t="s">
        <v>667</v>
      </c>
      <c r="F818" t="s">
        <v>272</v>
      </c>
      <c r="G818" s="27">
        <v>45877</v>
      </c>
      <c r="H818" t="s">
        <v>145</v>
      </c>
      <c r="I818" t="s">
        <v>634</v>
      </c>
      <c r="J818" t="s">
        <v>543</v>
      </c>
      <c r="K818">
        <v>9</v>
      </c>
      <c r="L818" t="s">
        <v>112</v>
      </c>
      <c r="M818" t="s">
        <v>660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413</v>
      </c>
      <c r="U818" t="s">
        <v>135</v>
      </c>
      <c r="V818" t="s">
        <v>135</v>
      </c>
      <c r="Y818" t="s">
        <v>127</v>
      </c>
      <c r="AA818">
        <v>1</v>
      </c>
      <c r="AB818" t="s">
        <v>100</v>
      </c>
      <c r="AC818" t="s">
        <v>636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136</v>
      </c>
      <c r="AM818" t="s">
        <v>178</v>
      </c>
    </row>
    <row r="819" spans="2:39" ht="15" customHeight="1" x14ac:dyDescent="0.2">
      <c r="B819">
        <v>24</v>
      </c>
      <c r="D819">
        <v>12</v>
      </c>
      <c r="E819" t="s">
        <v>668</v>
      </c>
      <c r="F819" t="s">
        <v>272</v>
      </c>
      <c r="G819" s="27">
        <v>45877</v>
      </c>
      <c r="H819" t="s">
        <v>145</v>
      </c>
      <c r="I819" t="s">
        <v>634</v>
      </c>
      <c r="J819" t="s">
        <v>543</v>
      </c>
      <c r="K819">
        <v>9</v>
      </c>
      <c r="L819" t="s">
        <v>112</v>
      </c>
      <c r="M819" t="s">
        <v>660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413</v>
      </c>
      <c r="U819" t="s">
        <v>135</v>
      </c>
      <c r="V819" t="s">
        <v>462</v>
      </c>
      <c r="Y819" t="s">
        <v>326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669</v>
      </c>
      <c r="F820" t="s">
        <v>272</v>
      </c>
      <c r="G820" s="27">
        <v>45877</v>
      </c>
      <c r="H820" t="s">
        <v>145</v>
      </c>
      <c r="I820" t="s">
        <v>634</v>
      </c>
      <c r="J820" t="s">
        <v>543</v>
      </c>
      <c r="K820">
        <v>9</v>
      </c>
      <c r="L820" t="s">
        <v>112</v>
      </c>
      <c r="M820" t="s">
        <v>660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413</v>
      </c>
      <c r="U820" t="s">
        <v>135</v>
      </c>
      <c r="V820" t="s">
        <v>550</v>
      </c>
      <c r="Y820" t="s">
        <v>118</v>
      </c>
      <c r="AA820">
        <v>1</v>
      </c>
      <c r="AB820" t="s">
        <v>99</v>
      </c>
      <c r="AC820" t="s">
        <v>228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464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670</v>
      </c>
      <c r="F821" t="s">
        <v>108</v>
      </c>
      <c r="G821" s="27">
        <v>45878</v>
      </c>
      <c r="H821" t="s">
        <v>145</v>
      </c>
      <c r="I821" t="s">
        <v>634</v>
      </c>
      <c r="J821" t="s">
        <v>543</v>
      </c>
      <c r="K821">
        <v>18</v>
      </c>
      <c r="L821" t="s">
        <v>155</v>
      </c>
      <c r="M821" t="s">
        <v>671</v>
      </c>
      <c r="N821" t="s">
        <v>114</v>
      </c>
      <c r="P821">
        <v>132</v>
      </c>
      <c r="Q821">
        <v>6272</v>
      </c>
      <c r="R821" t="s">
        <v>158</v>
      </c>
      <c r="S821" t="s">
        <v>159</v>
      </c>
      <c r="T821" t="s">
        <v>413</v>
      </c>
      <c r="U821" t="s">
        <v>135</v>
      </c>
      <c r="V821" t="s">
        <v>135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672</v>
      </c>
      <c r="F822" t="s">
        <v>108</v>
      </c>
      <c r="G822" s="27">
        <v>45878</v>
      </c>
      <c r="H822" t="s">
        <v>145</v>
      </c>
      <c r="I822" t="s">
        <v>634</v>
      </c>
      <c r="J822" t="s">
        <v>543</v>
      </c>
      <c r="K822">
        <v>18</v>
      </c>
      <c r="L822" t="s">
        <v>155</v>
      </c>
      <c r="M822" t="s">
        <v>671</v>
      </c>
      <c r="N822" t="s">
        <v>114</v>
      </c>
      <c r="P822">
        <v>132</v>
      </c>
      <c r="Q822">
        <v>6272</v>
      </c>
      <c r="R822" t="s">
        <v>158</v>
      </c>
      <c r="S822" t="s">
        <v>159</v>
      </c>
      <c r="T822" t="s">
        <v>413</v>
      </c>
      <c r="U822" t="s">
        <v>135</v>
      </c>
      <c r="V822" t="s">
        <v>459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673</v>
      </c>
      <c r="F823" t="s">
        <v>108</v>
      </c>
      <c r="G823" s="27">
        <v>45878</v>
      </c>
      <c r="H823" t="s">
        <v>145</v>
      </c>
      <c r="I823" t="s">
        <v>634</v>
      </c>
      <c r="J823" t="s">
        <v>543</v>
      </c>
      <c r="K823">
        <v>18</v>
      </c>
      <c r="L823" t="s">
        <v>155</v>
      </c>
      <c r="M823" t="s">
        <v>671</v>
      </c>
      <c r="N823" t="s">
        <v>114</v>
      </c>
      <c r="P823">
        <v>132</v>
      </c>
      <c r="Q823">
        <v>6272</v>
      </c>
      <c r="R823" t="s">
        <v>158</v>
      </c>
      <c r="S823" t="s">
        <v>159</v>
      </c>
      <c r="T823" t="s">
        <v>413</v>
      </c>
      <c r="U823" t="s">
        <v>135</v>
      </c>
      <c r="V823" t="s">
        <v>550</v>
      </c>
      <c r="AA823">
        <v>2</v>
      </c>
      <c r="AB823" t="s">
        <v>99</v>
      </c>
      <c r="AD823" t="s">
        <v>136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674</v>
      </c>
      <c r="F824" t="s">
        <v>108</v>
      </c>
      <c r="G824" s="27">
        <v>45878</v>
      </c>
      <c r="H824" t="s">
        <v>145</v>
      </c>
      <c r="I824" t="s">
        <v>634</v>
      </c>
      <c r="J824" t="s">
        <v>543</v>
      </c>
      <c r="K824">
        <v>18</v>
      </c>
      <c r="L824" t="s">
        <v>155</v>
      </c>
      <c r="M824" t="s">
        <v>671</v>
      </c>
      <c r="N824" t="s">
        <v>114</v>
      </c>
      <c r="P824">
        <v>132</v>
      </c>
      <c r="Q824">
        <v>6272</v>
      </c>
      <c r="R824" t="s">
        <v>158</v>
      </c>
      <c r="S824" t="s">
        <v>159</v>
      </c>
      <c r="T824" t="s">
        <v>413</v>
      </c>
      <c r="U824" t="s">
        <v>135</v>
      </c>
      <c r="V824" t="s">
        <v>465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675</v>
      </c>
      <c r="F825" t="s">
        <v>108</v>
      </c>
      <c r="G825" s="27">
        <v>45878</v>
      </c>
      <c r="H825" t="s">
        <v>145</v>
      </c>
      <c r="I825" t="s">
        <v>634</v>
      </c>
      <c r="J825" t="s">
        <v>543</v>
      </c>
      <c r="K825">
        <v>18</v>
      </c>
      <c r="L825" t="s">
        <v>155</v>
      </c>
      <c r="M825" t="s">
        <v>671</v>
      </c>
      <c r="N825" t="s">
        <v>114</v>
      </c>
      <c r="P825">
        <v>132</v>
      </c>
      <c r="Q825">
        <v>6272</v>
      </c>
      <c r="R825" t="s">
        <v>158</v>
      </c>
      <c r="S825" t="s">
        <v>159</v>
      </c>
      <c r="T825" t="s">
        <v>413</v>
      </c>
      <c r="U825" t="s">
        <v>135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676</v>
      </c>
      <c r="F826" t="s">
        <v>108</v>
      </c>
      <c r="G826" s="27">
        <v>45878</v>
      </c>
      <c r="H826" t="s">
        <v>145</v>
      </c>
      <c r="I826" t="s">
        <v>634</v>
      </c>
      <c r="J826" t="s">
        <v>543</v>
      </c>
      <c r="K826">
        <v>18</v>
      </c>
      <c r="L826" t="s">
        <v>155</v>
      </c>
      <c r="M826" t="s">
        <v>671</v>
      </c>
      <c r="N826" t="s">
        <v>114</v>
      </c>
      <c r="P826">
        <v>132</v>
      </c>
      <c r="Q826">
        <v>6272</v>
      </c>
      <c r="R826" t="s">
        <v>158</v>
      </c>
      <c r="S826" t="s">
        <v>159</v>
      </c>
      <c r="T826" t="s">
        <v>413</v>
      </c>
      <c r="U826" t="s">
        <v>135</v>
      </c>
      <c r="V826" t="s">
        <v>462</v>
      </c>
      <c r="AA826">
        <v>2</v>
      </c>
      <c r="AB826" t="s">
        <v>100</v>
      </c>
      <c r="AD826" t="s">
        <v>641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677</v>
      </c>
      <c r="F827" t="s">
        <v>108</v>
      </c>
      <c r="G827" s="27">
        <v>45878</v>
      </c>
      <c r="H827" t="s">
        <v>145</v>
      </c>
      <c r="I827" t="s">
        <v>634</v>
      </c>
      <c r="J827" t="s">
        <v>543</v>
      </c>
      <c r="K827">
        <v>18</v>
      </c>
      <c r="L827" t="s">
        <v>155</v>
      </c>
      <c r="M827" t="s">
        <v>671</v>
      </c>
      <c r="N827" t="s">
        <v>114</v>
      </c>
      <c r="P827">
        <v>132</v>
      </c>
      <c r="Q827">
        <v>6272</v>
      </c>
      <c r="R827" t="s">
        <v>158</v>
      </c>
      <c r="S827" t="s">
        <v>159</v>
      </c>
      <c r="T827" t="s">
        <v>413</v>
      </c>
      <c r="U827" t="s">
        <v>135</v>
      </c>
      <c r="V827" t="s">
        <v>174</v>
      </c>
      <c r="AA827">
        <v>2</v>
      </c>
      <c r="AB827" t="s">
        <v>100</v>
      </c>
      <c r="AD827" t="s">
        <v>178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678</v>
      </c>
      <c r="F828" t="s">
        <v>108</v>
      </c>
      <c r="G828" s="27">
        <v>45878</v>
      </c>
      <c r="H828" t="s">
        <v>145</v>
      </c>
      <c r="I828" t="s">
        <v>634</v>
      </c>
      <c r="J828" t="s">
        <v>543</v>
      </c>
      <c r="K828">
        <v>18</v>
      </c>
      <c r="L828" t="s">
        <v>155</v>
      </c>
      <c r="M828" t="s">
        <v>671</v>
      </c>
      <c r="N828" t="s">
        <v>114</v>
      </c>
      <c r="P828">
        <v>132</v>
      </c>
      <c r="Q828">
        <v>6272</v>
      </c>
      <c r="R828" t="s">
        <v>158</v>
      </c>
      <c r="S828" t="s">
        <v>159</v>
      </c>
      <c r="T828" t="s">
        <v>413</v>
      </c>
      <c r="U828" t="s">
        <v>135</v>
      </c>
      <c r="V828" t="s">
        <v>230</v>
      </c>
      <c r="AA828">
        <v>2</v>
      </c>
      <c r="AB828" t="s">
        <v>100</v>
      </c>
      <c r="AD828" t="s">
        <v>464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679</v>
      </c>
      <c r="F829" t="s">
        <v>108</v>
      </c>
      <c r="G829" s="27">
        <v>45878</v>
      </c>
      <c r="H829" t="s">
        <v>145</v>
      </c>
      <c r="I829" t="s">
        <v>634</v>
      </c>
      <c r="J829" t="s">
        <v>543</v>
      </c>
      <c r="K829">
        <v>18</v>
      </c>
      <c r="L829" t="s">
        <v>155</v>
      </c>
      <c r="M829" t="s">
        <v>671</v>
      </c>
      <c r="N829" t="s">
        <v>114</v>
      </c>
      <c r="P829">
        <v>132</v>
      </c>
      <c r="Q829">
        <v>6272</v>
      </c>
      <c r="R829" t="s">
        <v>158</v>
      </c>
      <c r="S829" t="s">
        <v>159</v>
      </c>
      <c r="T829" t="s">
        <v>413</v>
      </c>
      <c r="U829" t="s">
        <v>135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680</v>
      </c>
      <c r="F830" t="s">
        <v>108</v>
      </c>
      <c r="G830" s="27">
        <v>45878</v>
      </c>
      <c r="H830" t="s">
        <v>145</v>
      </c>
      <c r="I830" t="s">
        <v>634</v>
      </c>
      <c r="J830" t="s">
        <v>543</v>
      </c>
      <c r="K830">
        <v>18</v>
      </c>
      <c r="L830" t="s">
        <v>155</v>
      </c>
      <c r="M830" t="s">
        <v>671</v>
      </c>
      <c r="N830" t="s">
        <v>114</v>
      </c>
      <c r="P830">
        <v>132</v>
      </c>
      <c r="Q830">
        <v>6272</v>
      </c>
      <c r="R830" t="s">
        <v>158</v>
      </c>
      <c r="S830" t="s">
        <v>159</v>
      </c>
      <c r="T830" t="s">
        <v>413</v>
      </c>
      <c r="U830" t="s">
        <v>135</v>
      </c>
      <c r="V830" t="s">
        <v>326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633</v>
      </c>
      <c r="F831" t="s">
        <v>406</v>
      </c>
      <c r="G831" s="27">
        <v>45876</v>
      </c>
      <c r="H831" t="s">
        <v>145</v>
      </c>
      <c r="I831" t="s">
        <v>634</v>
      </c>
      <c r="J831" t="s">
        <v>543</v>
      </c>
      <c r="K831">
        <v>9</v>
      </c>
      <c r="L831" t="s">
        <v>112</v>
      </c>
      <c r="M831" t="s">
        <v>635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413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636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230</v>
      </c>
      <c r="AM831" t="s">
        <v>462</v>
      </c>
    </row>
    <row r="832" spans="2:39" ht="15" customHeight="1" x14ac:dyDescent="0.2">
      <c r="B832">
        <v>2</v>
      </c>
      <c r="D832">
        <v>12</v>
      </c>
      <c r="E832" t="s">
        <v>637</v>
      </c>
      <c r="F832" t="s">
        <v>406</v>
      </c>
      <c r="G832" s="27">
        <v>45876</v>
      </c>
      <c r="H832" t="s">
        <v>145</v>
      </c>
      <c r="I832" t="s">
        <v>634</v>
      </c>
      <c r="J832" t="s">
        <v>543</v>
      </c>
      <c r="K832">
        <v>9</v>
      </c>
      <c r="L832" t="s">
        <v>112</v>
      </c>
      <c r="M832" t="s">
        <v>635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413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326</v>
      </c>
      <c r="AM832" t="s">
        <v>465</v>
      </c>
    </row>
    <row r="833" spans="2:39" ht="15" customHeight="1" x14ac:dyDescent="0.2">
      <c r="B833">
        <v>3</v>
      </c>
      <c r="D833">
        <v>12</v>
      </c>
      <c r="E833" t="s">
        <v>638</v>
      </c>
      <c r="F833" t="s">
        <v>406</v>
      </c>
      <c r="G833" s="27">
        <v>45876</v>
      </c>
      <c r="H833" t="s">
        <v>145</v>
      </c>
      <c r="I833" t="s">
        <v>634</v>
      </c>
      <c r="J833" t="s">
        <v>543</v>
      </c>
      <c r="K833">
        <v>9</v>
      </c>
      <c r="L833" t="s">
        <v>112</v>
      </c>
      <c r="M833" t="s">
        <v>635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413</v>
      </c>
      <c r="U833" t="s">
        <v>119</v>
      </c>
      <c r="V833" t="s">
        <v>464</v>
      </c>
      <c r="Y833" t="s">
        <v>136</v>
      </c>
      <c r="AA833">
        <v>1</v>
      </c>
      <c r="AB833" t="s">
        <v>100</v>
      </c>
      <c r="AC833" t="s">
        <v>225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135</v>
      </c>
      <c r="AM833" t="s">
        <v>550</v>
      </c>
    </row>
    <row r="834" spans="2:39" ht="15" customHeight="1" x14ac:dyDescent="0.2">
      <c r="B834">
        <v>4</v>
      </c>
      <c r="D834">
        <v>12</v>
      </c>
      <c r="E834" t="s">
        <v>639</v>
      </c>
      <c r="F834" t="s">
        <v>406</v>
      </c>
      <c r="G834" s="27">
        <v>45876</v>
      </c>
      <c r="H834" t="s">
        <v>145</v>
      </c>
      <c r="I834" t="s">
        <v>634</v>
      </c>
      <c r="J834" t="s">
        <v>543</v>
      </c>
      <c r="K834">
        <v>9</v>
      </c>
      <c r="L834" t="s">
        <v>112</v>
      </c>
      <c r="M834" t="s">
        <v>635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413</v>
      </c>
      <c r="U834" t="s">
        <v>119</v>
      </c>
      <c r="V834" t="s">
        <v>178</v>
      </c>
      <c r="Y834" t="s">
        <v>641</v>
      </c>
      <c r="AA834">
        <v>1</v>
      </c>
      <c r="AB834" t="s">
        <v>100</v>
      </c>
      <c r="AC834" t="s">
        <v>640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174</v>
      </c>
    </row>
    <row r="835" spans="2:39" ht="15" customHeight="1" x14ac:dyDescent="0.2">
      <c r="B835">
        <v>5</v>
      </c>
      <c r="D835">
        <v>12</v>
      </c>
      <c r="E835" t="s">
        <v>642</v>
      </c>
      <c r="F835" t="s">
        <v>406</v>
      </c>
      <c r="G835" s="27">
        <v>45876</v>
      </c>
      <c r="H835" t="s">
        <v>145</v>
      </c>
      <c r="I835" t="s">
        <v>634</v>
      </c>
      <c r="J835" t="s">
        <v>543</v>
      </c>
      <c r="K835">
        <v>9</v>
      </c>
      <c r="L835" t="s">
        <v>112</v>
      </c>
      <c r="M835" t="s">
        <v>635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413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228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459</v>
      </c>
    </row>
    <row r="836" spans="2:39" ht="15" customHeight="1" x14ac:dyDescent="0.2">
      <c r="B836">
        <v>6</v>
      </c>
      <c r="D836">
        <v>12</v>
      </c>
      <c r="E836" t="s">
        <v>643</v>
      </c>
      <c r="F836" t="s">
        <v>406</v>
      </c>
      <c r="G836" s="27">
        <v>45876</v>
      </c>
      <c r="H836" t="s">
        <v>145</v>
      </c>
      <c r="I836" t="s">
        <v>634</v>
      </c>
      <c r="J836" t="s">
        <v>543</v>
      </c>
      <c r="K836">
        <v>9</v>
      </c>
      <c r="L836" t="s">
        <v>138</v>
      </c>
      <c r="M836" t="s">
        <v>635</v>
      </c>
      <c r="N836" t="s">
        <v>114</v>
      </c>
      <c r="P836">
        <v>128</v>
      </c>
      <c r="Q836">
        <v>6678</v>
      </c>
      <c r="R836" t="s">
        <v>373</v>
      </c>
      <c r="S836" t="s">
        <v>116</v>
      </c>
      <c r="T836" t="s">
        <v>413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140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230</v>
      </c>
      <c r="AM836" t="s">
        <v>462</v>
      </c>
    </row>
    <row r="837" spans="2:39" ht="15" customHeight="1" x14ac:dyDescent="0.2">
      <c r="B837">
        <v>7</v>
      </c>
      <c r="D837">
        <v>12</v>
      </c>
      <c r="E837" t="s">
        <v>644</v>
      </c>
      <c r="F837" t="s">
        <v>406</v>
      </c>
      <c r="G837" s="27">
        <v>45876</v>
      </c>
      <c r="H837" t="s">
        <v>145</v>
      </c>
      <c r="I837" t="s">
        <v>634</v>
      </c>
      <c r="J837" t="s">
        <v>543</v>
      </c>
      <c r="K837">
        <v>9</v>
      </c>
      <c r="L837" t="s">
        <v>138</v>
      </c>
      <c r="M837" t="s">
        <v>635</v>
      </c>
      <c r="N837" t="s">
        <v>114</v>
      </c>
      <c r="P837">
        <v>128</v>
      </c>
      <c r="Q837">
        <v>6678</v>
      </c>
      <c r="R837" t="s">
        <v>373</v>
      </c>
      <c r="S837" t="s">
        <v>116</v>
      </c>
      <c r="T837" t="s">
        <v>413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140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326</v>
      </c>
      <c r="AM837" t="s">
        <v>465</v>
      </c>
    </row>
    <row r="838" spans="2:39" ht="15" customHeight="1" x14ac:dyDescent="0.2">
      <c r="B838">
        <v>8</v>
      </c>
      <c r="D838">
        <v>12</v>
      </c>
      <c r="E838" t="s">
        <v>645</v>
      </c>
      <c r="F838" t="s">
        <v>406</v>
      </c>
      <c r="G838" s="27">
        <v>45876</v>
      </c>
      <c r="H838" t="s">
        <v>145</v>
      </c>
      <c r="I838" t="s">
        <v>634</v>
      </c>
      <c r="J838" t="s">
        <v>543</v>
      </c>
      <c r="K838">
        <v>9</v>
      </c>
      <c r="L838" t="s">
        <v>138</v>
      </c>
      <c r="M838" t="s">
        <v>635</v>
      </c>
      <c r="N838" t="s">
        <v>114</v>
      </c>
      <c r="P838">
        <v>128</v>
      </c>
      <c r="Q838">
        <v>6678</v>
      </c>
      <c r="R838" t="s">
        <v>373</v>
      </c>
      <c r="S838" t="s">
        <v>116</v>
      </c>
      <c r="T838" t="s">
        <v>413</v>
      </c>
      <c r="U838" t="s">
        <v>119</v>
      </c>
      <c r="V838" t="s">
        <v>464</v>
      </c>
      <c r="Y838" t="s">
        <v>136</v>
      </c>
      <c r="AA838">
        <v>1</v>
      </c>
      <c r="AB838" t="s">
        <v>100</v>
      </c>
      <c r="AC838" t="s">
        <v>225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135</v>
      </c>
      <c r="AM838" t="s">
        <v>550</v>
      </c>
    </row>
    <row r="839" spans="2:39" ht="15" customHeight="1" x14ac:dyDescent="0.2">
      <c r="B839">
        <v>9</v>
      </c>
      <c r="D839">
        <v>12</v>
      </c>
      <c r="E839" t="s">
        <v>646</v>
      </c>
      <c r="F839" t="s">
        <v>406</v>
      </c>
      <c r="G839" s="27">
        <v>45876</v>
      </c>
      <c r="H839" t="s">
        <v>145</v>
      </c>
      <c r="I839" t="s">
        <v>634</v>
      </c>
      <c r="J839" t="s">
        <v>543</v>
      </c>
      <c r="K839">
        <v>9</v>
      </c>
      <c r="L839" t="s">
        <v>138</v>
      </c>
      <c r="M839" t="s">
        <v>635</v>
      </c>
      <c r="N839" t="s">
        <v>114</v>
      </c>
      <c r="P839">
        <v>128</v>
      </c>
      <c r="Q839">
        <v>6678</v>
      </c>
      <c r="R839" t="s">
        <v>373</v>
      </c>
      <c r="S839" t="s">
        <v>116</v>
      </c>
      <c r="T839" t="s">
        <v>413</v>
      </c>
      <c r="U839" t="s">
        <v>119</v>
      </c>
      <c r="V839" t="s">
        <v>178</v>
      </c>
      <c r="Y839" t="s">
        <v>641</v>
      </c>
      <c r="AA839">
        <v>1</v>
      </c>
      <c r="AB839" t="s">
        <v>100</v>
      </c>
      <c r="AC839" t="s">
        <v>640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174</v>
      </c>
    </row>
    <row r="840" spans="2:39" ht="15" customHeight="1" x14ac:dyDescent="0.2">
      <c r="B840">
        <v>10</v>
      </c>
      <c r="D840">
        <v>12</v>
      </c>
      <c r="E840" t="s">
        <v>647</v>
      </c>
      <c r="F840" t="s">
        <v>406</v>
      </c>
      <c r="G840" s="27">
        <v>45876</v>
      </c>
      <c r="H840" t="s">
        <v>145</v>
      </c>
      <c r="I840" t="s">
        <v>634</v>
      </c>
      <c r="J840" t="s">
        <v>543</v>
      </c>
      <c r="K840">
        <v>9</v>
      </c>
      <c r="L840" t="s">
        <v>138</v>
      </c>
      <c r="M840" t="s">
        <v>635</v>
      </c>
      <c r="N840" t="s">
        <v>114</v>
      </c>
      <c r="P840">
        <v>128</v>
      </c>
      <c r="Q840">
        <v>6678</v>
      </c>
      <c r="R840" t="s">
        <v>373</v>
      </c>
      <c r="S840" t="s">
        <v>116</v>
      </c>
      <c r="T840" t="s">
        <v>413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280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459</v>
      </c>
    </row>
    <row r="841" spans="2:39" ht="15" customHeight="1" x14ac:dyDescent="0.2">
      <c r="B841">
        <v>11</v>
      </c>
      <c r="D841">
        <v>12</v>
      </c>
      <c r="E841" t="s">
        <v>648</v>
      </c>
      <c r="F841" t="s">
        <v>272</v>
      </c>
      <c r="G841" s="27">
        <v>45877</v>
      </c>
      <c r="H841" t="s">
        <v>109</v>
      </c>
      <c r="I841" t="s">
        <v>634</v>
      </c>
      <c r="J841" t="s">
        <v>543</v>
      </c>
      <c r="K841">
        <v>9</v>
      </c>
      <c r="L841" t="s">
        <v>112</v>
      </c>
      <c r="M841" t="s">
        <v>649</v>
      </c>
      <c r="N841" t="s">
        <v>157</v>
      </c>
      <c r="P841">
        <v>130</v>
      </c>
      <c r="Q841">
        <v>6290</v>
      </c>
      <c r="R841" t="s">
        <v>146</v>
      </c>
      <c r="S841" t="s">
        <v>116</v>
      </c>
      <c r="T841" t="s">
        <v>413</v>
      </c>
      <c r="U841" t="s">
        <v>119</v>
      </c>
      <c r="V841" t="s">
        <v>464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465</v>
      </c>
      <c r="AM841" t="s">
        <v>230</v>
      </c>
    </row>
    <row r="842" spans="2:39" ht="15" customHeight="1" x14ac:dyDescent="0.2">
      <c r="B842">
        <v>12</v>
      </c>
      <c r="D842">
        <v>12</v>
      </c>
      <c r="E842" t="s">
        <v>650</v>
      </c>
      <c r="F842" t="s">
        <v>272</v>
      </c>
      <c r="G842" s="27">
        <v>45877</v>
      </c>
      <c r="H842" t="s">
        <v>109</v>
      </c>
      <c r="I842" t="s">
        <v>634</v>
      </c>
      <c r="J842" t="s">
        <v>543</v>
      </c>
      <c r="K842">
        <v>9</v>
      </c>
      <c r="L842" t="s">
        <v>112</v>
      </c>
      <c r="M842" t="s">
        <v>649</v>
      </c>
      <c r="N842" t="s">
        <v>157</v>
      </c>
      <c r="P842">
        <v>130</v>
      </c>
      <c r="Q842">
        <v>6290</v>
      </c>
      <c r="R842" t="s">
        <v>146</v>
      </c>
      <c r="S842" t="s">
        <v>116</v>
      </c>
      <c r="T842" t="s">
        <v>413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462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651</v>
      </c>
      <c r="F843" t="s">
        <v>272</v>
      </c>
      <c r="G843" s="27">
        <v>45877</v>
      </c>
      <c r="H843" t="s">
        <v>109</v>
      </c>
      <c r="I843" t="s">
        <v>634</v>
      </c>
      <c r="J843" t="s">
        <v>543</v>
      </c>
      <c r="K843">
        <v>9</v>
      </c>
      <c r="L843" t="s">
        <v>112</v>
      </c>
      <c r="M843" t="s">
        <v>649</v>
      </c>
      <c r="N843" t="s">
        <v>157</v>
      </c>
      <c r="P843">
        <v>130</v>
      </c>
      <c r="Q843">
        <v>6290</v>
      </c>
      <c r="R843" t="s">
        <v>146</v>
      </c>
      <c r="S843" t="s">
        <v>116</v>
      </c>
      <c r="T843" t="s">
        <v>413</v>
      </c>
      <c r="U843" t="s">
        <v>119</v>
      </c>
      <c r="V843" t="s">
        <v>119</v>
      </c>
      <c r="Y843" t="s">
        <v>178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550</v>
      </c>
      <c r="AM843" t="s">
        <v>459</v>
      </c>
    </row>
    <row r="844" spans="2:39" ht="15" customHeight="1" x14ac:dyDescent="0.2">
      <c r="B844">
        <v>14</v>
      </c>
      <c r="D844">
        <v>12</v>
      </c>
      <c r="E844" t="s">
        <v>652</v>
      </c>
      <c r="F844" t="s">
        <v>272</v>
      </c>
      <c r="G844" s="27">
        <v>45877</v>
      </c>
      <c r="H844" t="s">
        <v>109</v>
      </c>
      <c r="I844" t="s">
        <v>634</v>
      </c>
      <c r="J844" t="s">
        <v>543</v>
      </c>
      <c r="K844">
        <v>9</v>
      </c>
      <c r="L844" t="s">
        <v>112</v>
      </c>
      <c r="M844" t="s">
        <v>649</v>
      </c>
      <c r="N844" t="s">
        <v>157</v>
      </c>
      <c r="P844">
        <v>130</v>
      </c>
      <c r="Q844">
        <v>6290</v>
      </c>
      <c r="R844" t="s">
        <v>146</v>
      </c>
      <c r="S844" t="s">
        <v>116</v>
      </c>
      <c r="T844" t="s">
        <v>413</v>
      </c>
      <c r="U844" t="s">
        <v>119</v>
      </c>
      <c r="V844" t="s">
        <v>122</v>
      </c>
      <c r="Y844" t="s">
        <v>136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174</v>
      </c>
      <c r="AM844" t="s">
        <v>326</v>
      </c>
    </row>
    <row r="845" spans="2:39" ht="15" customHeight="1" x14ac:dyDescent="0.2">
      <c r="B845">
        <v>15</v>
      </c>
      <c r="D845">
        <v>12</v>
      </c>
      <c r="E845" t="s">
        <v>653</v>
      </c>
      <c r="F845" t="s">
        <v>272</v>
      </c>
      <c r="G845" s="27">
        <v>45877</v>
      </c>
      <c r="H845" t="s">
        <v>109</v>
      </c>
      <c r="I845" t="s">
        <v>634</v>
      </c>
      <c r="J845" t="s">
        <v>543</v>
      </c>
      <c r="K845">
        <v>9</v>
      </c>
      <c r="L845" t="s">
        <v>112</v>
      </c>
      <c r="M845" t="s">
        <v>649</v>
      </c>
      <c r="N845" t="s">
        <v>157</v>
      </c>
      <c r="P845">
        <v>130</v>
      </c>
      <c r="Q845">
        <v>6290</v>
      </c>
      <c r="R845" t="s">
        <v>146</v>
      </c>
      <c r="S845" t="s">
        <v>116</v>
      </c>
      <c r="T845" t="s">
        <v>413</v>
      </c>
      <c r="U845" t="s">
        <v>119</v>
      </c>
      <c r="V845" t="s">
        <v>123</v>
      </c>
      <c r="Y845" t="s">
        <v>641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135</v>
      </c>
    </row>
    <row r="846" spans="2:39" ht="15" customHeight="1" x14ac:dyDescent="0.2">
      <c r="B846">
        <v>16</v>
      </c>
      <c r="D846">
        <v>12</v>
      </c>
      <c r="E846" t="s">
        <v>654</v>
      </c>
      <c r="F846" t="s">
        <v>272</v>
      </c>
      <c r="G846" s="27">
        <v>45877</v>
      </c>
      <c r="H846" t="s">
        <v>109</v>
      </c>
      <c r="I846" t="s">
        <v>634</v>
      </c>
      <c r="J846" t="s">
        <v>543</v>
      </c>
      <c r="K846">
        <v>9</v>
      </c>
      <c r="L846" t="s">
        <v>138</v>
      </c>
      <c r="M846" t="s">
        <v>649</v>
      </c>
      <c r="N846" t="s">
        <v>157</v>
      </c>
      <c r="P846">
        <v>130</v>
      </c>
      <c r="Q846">
        <v>6290</v>
      </c>
      <c r="R846" t="s">
        <v>139</v>
      </c>
      <c r="S846" t="s">
        <v>116</v>
      </c>
      <c r="T846" t="s">
        <v>413</v>
      </c>
      <c r="U846" t="s">
        <v>119</v>
      </c>
      <c r="V846" t="s">
        <v>464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465</v>
      </c>
      <c r="AM846" t="s">
        <v>230</v>
      </c>
    </row>
    <row r="847" spans="2:39" ht="15" customHeight="1" x14ac:dyDescent="0.2">
      <c r="B847">
        <v>17</v>
      </c>
      <c r="D847">
        <v>12</v>
      </c>
      <c r="E847" t="s">
        <v>655</v>
      </c>
      <c r="F847" t="s">
        <v>272</v>
      </c>
      <c r="G847" s="27">
        <v>45877</v>
      </c>
      <c r="H847" t="s">
        <v>109</v>
      </c>
      <c r="I847" t="s">
        <v>634</v>
      </c>
      <c r="J847" t="s">
        <v>543</v>
      </c>
      <c r="K847">
        <v>9</v>
      </c>
      <c r="L847" t="s">
        <v>138</v>
      </c>
      <c r="M847" t="s">
        <v>649</v>
      </c>
      <c r="N847" t="s">
        <v>157</v>
      </c>
      <c r="P847">
        <v>130</v>
      </c>
      <c r="Q847">
        <v>6290</v>
      </c>
      <c r="R847" t="s">
        <v>139</v>
      </c>
      <c r="S847" t="s">
        <v>116</v>
      </c>
      <c r="T847" t="s">
        <v>413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140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462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656</v>
      </c>
      <c r="F848" t="s">
        <v>272</v>
      </c>
      <c r="G848" s="27">
        <v>45877</v>
      </c>
      <c r="H848" t="s">
        <v>109</v>
      </c>
      <c r="I848" t="s">
        <v>634</v>
      </c>
      <c r="J848" t="s">
        <v>543</v>
      </c>
      <c r="K848">
        <v>9</v>
      </c>
      <c r="L848" t="s">
        <v>138</v>
      </c>
      <c r="M848" t="s">
        <v>649</v>
      </c>
      <c r="N848" t="s">
        <v>157</v>
      </c>
      <c r="P848">
        <v>130</v>
      </c>
      <c r="Q848">
        <v>6290</v>
      </c>
      <c r="R848" t="s">
        <v>139</v>
      </c>
      <c r="S848" t="s">
        <v>116</v>
      </c>
      <c r="T848" t="s">
        <v>413</v>
      </c>
      <c r="U848" t="s">
        <v>119</v>
      </c>
      <c r="V848" t="s">
        <v>119</v>
      </c>
      <c r="Y848" t="s">
        <v>178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550</v>
      </c>
      <c r="AM848" t="s">
        <v>459</v>
      </c>
    </row>
    <row r="849" spans="2:39" ht="15" customHeight="1" x14ac:dyDescent="0.2">
      <c r="B849">
        <v>19</v>
      </c>
      <c r="D849">
        <v>12</v>
      </c>
      <c r="E849" t="s">
        <v>657</v>
      </c>
      <c r="F849" t="s">
        <v>272</v>
      </c>
      <c r="G849" s="27">
        <v>45877</v>
      </c>
      <c r="H849" t="s">
        <v>109</v>
      </c>
      <c r="I849" t="s">
        <v>634</v>
      </c>
      <c r="J849" t="s">
        <v>543</v>
      </c>
      <c r="K849">
        <v>9</v>
      </c>
      <c r="L849" t="s">
        <v>138</v>
      </c>
      <c r="M849" t="s">
        <v>649</v>
      </c>
      <c r="N849" t="s">
        <v>157</v>
      </c>
      <c r="P849">
        <v>130</v>
      </c>
      <c r="Q849">
        <v>6290</v>
      </c>
      <c r="R849" t="s">
        <v>139</v>
      </c>
      <c r="S849" t="s">
        <v>116</v>
      </c>
      <c r="T849" t="s">
        <v>413</v>
      </c>
      <c r="U849" t="s">
        <v>119</v>
      </c>
      <c r="V849" t="s">
        <v>122</v>
      </c>
      <c r="Y849" t="s">
        <v>136</v>
      </c>
      <c r="AA849">
        <v>1</v>
      </c>
      <c r="AB849" t="s">
        <v>101</v>
      </c>
      <c r="AC849" t="s">
        <v>140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174</v>
      </c>
      <c r="AM849" t="s">
        <v>326</v>
      </c>
    </row>
    <row r="850" spans="2:39" ht="15" customHeight="1" x14ac:dyDescent="0.2">
      <c r="B850">
        <v>20</v>
      </c>
      <c r="D850">
        <v>12</v>
      </c>
      <c r="E850" t="s">
        <v>658</v>
      </c>
      <c r="F850" t="s">
        <v>272</v>
      </c>
      <c r="G850" s="27">
        <v>45877</v>
      </c>
      <c r="H850" t="s">
        <v>109</v>
      </c>
      <c r="I850" t="s">
        <v>634</v>
      </c>
      <c r="J850" t="s">
        <v>543</v>
      </c>
      <c r="K850">
        <v>9</v>
      </c>
      <c r="L850" t="s">
        <v>138</v>
      </c>
      <c r="M850" t="s">
        <v>649</v>
      </c>
      <c r="N850" t="s">
        <v>157</v>
      </c>
      <c r="P850">
        <v>130</v>
      </c>
      <c r="Q850">
        <v>6290</v>
      </c>
      <c r="R850" t="s">
        <v>139</v>
      </c>
      <c r="S850" t="s">
        <v>116</v>
      </c>
      <c r="T850" t="s">
        <v>413</v>
      </c>
      <c r="U850" t="s">
        <v>119</v>
      </c>
      <c r="V850" t="s">
        <v>123</v>
      </c>
      <c r="Y850" t="s">
        <v>641</v>
      </c>
      <c r="AA850">
        <v>1</v>
      </c>
      <c r="AB850" t="s">
        <v>101</v>
      </c>
      <c r="AC850" t="s">
        <v>140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135</v>
      </c>
    </row>
    <row r="851" spans="2:39" ht="15" customHeight="1" x14ac:dyDescent="0.2">
      <c r="B851">
        <v>26</v>
      </c>
      <c r="D851">
        <v>12</v>
      </c>
      <c r="E851" t="s">
        <v>659</v>
      </c>
      <c r="F851" t="s">
        <v>272</v>
      </c>
      <c r="G851" s="27">
        <v>45877</v>
      </c>
      <c r="H851" t="s">
        <v>145</v>
      </c>
      <c r="I851" t="s">
        <v>634</v>
      </c>
      <c r="J851" t="s">
        <v>543</v>
      </c>
      <c r="K851">
        <v>9</v>
      </c>
      <c r="L851" t="s">
        <v>138</v>
      </c>
      <c r="M851" t="s">
        <v>660</v>
      </c>
      <c r="N851" t="s">
        <v>114</v>
      </c>
      <c r="P851">
        <v>131</v>
      </c>
      <c r="Q851">
        <v>6383</v>
      </c>
      <c r="R851" t="s">
        <v>373</v>
      </c>
      <c r="S851" t="s">
        <v>116</v>
      </c>
      <c r="T851" t="s">
        <v>413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459</v>
      </c>
      <c r="AM851" t="s">
        <v>230</v>
      </c>
    </row>
    <row r="852" spans="2:39" ht="15" customHeight="1" x14ac:dyDescent="0.2">
      <c r="B852">
        <v>27</v>
      </c>
      <c r="D852">
        <v>12</v>
      </c>
      <c r="E852" t="s">
        <v>661</v>
      </c>
      <c r="F852" t="s">
        <v>272</v>
      </c>
      <c r="G852" s="27">
        <v>45877</v>
      </c>
      <c r="H852" t="s">
        <v>145</v>
      </c>
      <c r="I852" t="s">
        <v>634</v>
      </c>
      <c r="J852" t="s">
        <v>543</v>
      </c>
      <c r="K852">
        <v>9</v>
      </c>
      <c r="L852" t="s">
        <v>138</v>
      </c>
      <c r="M852" t="s">
        <v>660</v>
      </c>
      <c r="N852" t="s">
        <v>114</v>
      </c>
      <c r="P852">
        <v>131</v>
      </c>
      <c r="Q852">
        <v>6383</v>
      </c>
      <c r="R852" t="s">
        <v>373</v>
      </c>
      <c r="S852" t="s">
        <v>116</v>
      </c>
      <c r="T852" t="s">
        <v>413</v>
      </c>
      <c r="U852" t="s">
        <v>119</v>
      </c>
      <c r="V852" t="s">
        <v>119</v>
      </c>
      <c r="Y852" t="s">
        <v>641</v>
      </c>
      <c r="AA852">
        <v>1</v>
      </c>
      <c r="AB852" t="s">
        <v>101</v>
      </c>
      <c r="AC852" t="s">
        <v>140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174</v>
      </c>
      <c r="AM852" t="s">
        <v>465</v>
      </c>
    </row>
    <row r="853" spans="2:39" ht="15" customHeight="1" x14ac:dyDescent="0.2">
      <c r="B853">
        <v>28</v>
      </c>
      <c r="D853">
        <v>12</v>
      </c>
      <c r="E853" t="s">
        <v>662</v>
      </c>
      <c r="F853" t="s">
        <v>272</v>
      </c>
      <c r="G853" s="27">
        <v>45877</v>
      </c>
      <c r="H853" t="s">
        <v>145</v>
      </c>
      <c r="I853" t="s">
        <v>634</v>
      </c>
      <c r="J853" t="s">
        <v>543</v>
      </c>
      <c r="K853">
        <v>9</v>
      </c>
      <c r="L853" t="s">
        <v>138</v>
      </c>
      <c r="M853" t="s">
        <v>660</v>
      </c>
      <c r="N853" t="s">
        <v>114</v>
      </c>
      <c r="P853">
        <v>131</v>
      </c>
      <c r="Q853">
        <v>6383</v>
      </c>
      <c r="R853" t="s">
        <v>373</v>
      </c>
      <c r="S853" t="s">
        <v>116</v>
      </c>
      <c r="T853" t="s">
        <v>413</v>
      </c>
      <c r="U853" t="s">
        <v>119</v>
      </c>
      <c r="V853" t="s">
        <v>136</v>
      </c>
      <c r="Y853" t="s">
        <v>178</v>
      </c>
      <c r="AA853">
        <v>1</v>
      </c>
      <c r="AB853" t="s">
        <v>100</v>
      </c>
      <c r="AC853" t="s">
        <v>242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135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663</v>
      </c>
      <c r="F854" t="s">
        <v>272</v>
      </c>
      <c r="G854" s="27">
        <v>45877</v>
      </c>
      <c r="H854" t="s">
        <v>145</v>
      </c>
      <c r="I854" t="s">
        <v>634</v>
      </c>
      <c r="J854" t="s">
        <v>543</v>
      </c>
      <c r="K854">
        <v>9</v>
      </c>
      <c r="L854" t="s">
        <v>138</v>
      </c>
      <c r="M854" t="s">
        <v>660</v>
      </c>
      <c r="N854" t="s">
        <v>114</v>
      </c>
      <c r="P854">
        <v>131</v>
      </c>
      <c r="Q854">
        <v>6383</v>
      </c>
      <c r="R854" t="s">
        <v>373</v>
      </c>
      <c r="S854" t="s">
        <v>116</v>
      </c>
      <c r="T854" t="s">
        <v>413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462</v>
      </c>
      <c r="AM854" t="s">
        <v>326</v>
      </c>
    </row>
    <row r="855" spans="2:39" ht="15" customHeight="1" x14ac:dyDescent="0.2">
      <c r="B855">
        <v>30</v>
      </c>
      <c r="D855">
        <v>12</v>
      </c>
      <c r="E855" t="s">
        <v>664</v>
      </c>
      <c r="F855" t="s">
        <v>272</v>
      </c>
      <c r="G855" s="27">
        <v>45877</v>
      </c>
      <c r="H855" t="s">
        <v>145</v>
      </c>
      <c r="I855" t="s">
        <v>634</v>
      </c>
      <c r="J855" t="s">
        <v>543</v>
      </c>
      <c r="K855">
        <v>9</v>
      </c>
      <c r="L855" t="s">
        <v>138</v>
      </c>
      <c r="M855" t="s">
        <v>660</v>
      </c>
      <c r="N855" t="s">
        <v>114</v>
      </c>
      <c r="P855">
        <v>131</v>
      </c>
      <c r="Q855">
        <v>6383</v>
      </c>
      <c r="R855" t="s">
        <v>373</v>
      </c>
      <c r="S855" t="s">
        <v>116</v>
      </c>
      <c r="T855" t="s">
        <v>413</v>
      </c>
      <c r="U855" t="s">
        <v>119</v>
      </c>
      <c r="V855" t="s">
        <v>464</v>
      </c>
      <c r="Y855" t="s">
        <v>123</v>
      </c>
      <c r="AA855">
        <v>1</v>
      </c>
      <c r="AB855" t="s">
        <v>99</v>
      </c>
      <c r="AC855" t="s">
        <v>228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550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665</v>
      </c>
      <c r="F856" t="s">
        <v>272</v>
      </c>
      <c r="G856" s="27">
        <v>45877</v>
      </c>
      <c r="H856" t="s">
        <v>145</v>
      </c>
      <c r="I856" t="s">
        <v>634</v>
      </c>
      <c r="J856" t="s">
        <v>543</v>
      </c>
      <c r="K856">
        <v>9</v>
      </c>
      <c r="L856" t="s">
        <v>112</v>
      </c>
      <c r="M856" t="s">
        <v>660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413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459</v>
      </c>
      <c r="AM856" t="s">
        <v>230</v>
      </c>
    </row>
    <row r="857" spans="2:39" ht="15" customHeight="1" x14ac:dyDescent="0.2">
      <c r="B857">
        <v>22</v>
      </c>
      <c r="D857">
        <v>12</v>
      </c>
      <c r="E857" t="s">
        <v>666</v>
      </c>
      <c r="F857" t="s">
        <v>272</v>
      </c>
      <c r="G857" s="27">
        <v>45877</v>
      </c>
      <c r="H857" t="s">
        <v>145</v>
      </c>
      <c r="I857" t="s">
        <v>634</v>
      </c>
      <c r="J857" t="s">
        <v>543</v>
      </c>
      <c r="K857">
        <v>9</v>
      </c>
      <c r="L857" t="s">
        <v>112</v>
      </c>
      <c r="M857" t="s">
        <v>660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413</v>
      </c>
      <c r="U857" t="s">
        <v>119</v>
      </c>
      <c r="V857" t="s">
        <v>119</v>
      </c>
      <c r="Y857" t="s">
        <v>641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174</v>
      </c>
      <c r="AM857" t="s">
        <v>465</v>
      </c>
    </row>
    <row r="858" spans="2:39" ht="15" customHeight="1" x14ac:dyDescent="0.2">
      <c r="B858">
        <v>23</v>
      </c>
      <c r="D858">
        <v>12</v>
      </c>
      <c r="E858" t="s">
        <v>667</v>
      </c>
      <c r="F858" t="s">
        <v>272</v>
      </c>
      <c r="G858" s="27">
        <v>45877</v>
      </c>
      <c r="H858" t="s">
        <v>145</v>
      </c>
      <c r="I858" t="s">
        <v>634</v>
      </c>
      <c r="J858" t="s">
        <v>543</v>
      </c>
      <c r="K858">
        <v>9</v>
      </c>
      <c r="L858" t="s">
        <v>112</v>
      </c>
      <c r="M858" t="s">
        <v>660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413</v>
      </c>
      <c r="U858" t="s">
        <v>119</v>
      </c>
      <c r="V858" t="s">
        <v>136</v>
      </c>
      <c r="Y858" t="s">
        <v>178</v>
      </c>
      <c r="AA858">
        <v>1</v>
      </c>
      <c r="AB858" t="s">
        <v>99</v>
      </c>
      <c r="AC858" t="s">
        <v>636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135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668</v>
      </c>
      <c r="F859" t="s">
        <v>272</v>
      </c>
      <c r="G859" s="27">
        <v>45877</v>
      </c>
      <c r="H859" t="s">
        <v>145</v>
      </c>
      <c r="I859" t="s">
        <v>634</v>
      </c>
      <c r="J859" t="s">
        <v>543</v>
      </c>
      <c r="K859">
        <v>9</v>
      </c>
      <c r="L859" t="s">
        <v>112</v>
      </c>
      <c r="M859" t="s">
        <v>660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413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462</v>
      </c>
      <c r="AM859" t="s">
        <v>326</v>
      </c>
    </row>
    <row r="860" spans="2:39" ht="15" customHeight="1" x14ac:dyDescent="0.2">
      <c r="B860">
        <v>25</v>
      </c>
      <c r="D860">
        <v>12</v>
      </c>
      <c r="E860" t="s">
        <v>669</v>
      </c>
      <c r="F860" t="s">
        <v>272</v>
      </c>
      <c r="G860" s="27">
        <v>45877</v>
      </c>
      <c r="H860" t="s">
        <v>145</v>
      </c>
      <c r="I860" t="s">
        <v>634</v>
      </c>
      <c r="J860" t="s">
        <v>543</v>
      </c>
      <c r="K860">
        <v>9</v>
      </c>
      <c r="L860" t="s">
        <v>112</v>
      </c>
      <c r="M860" t="s">
        <v>660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413</v>
      </c>
      <c r="U860" t="s">
        <v>119</v>
      </c>
      <c r="V860" t="s">
        <v>464</v>
      </c>
      <c r="Y860" t="s">
        <v>123</v>
      </c>
      <c r="AA860">
        <v>1</v>
      </c>
      <c r="AB860" t="s">
        <v>100</v>
      </c>
      <c r="AC860" t="s">
        <v>228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550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670</v>
      </c>
      <c r="F861" t="s">
        <v>108</v>
      </c>
      <c r="G861" s="27">
        <v>45878</v>
      </c>
      <c r="H861" t="s">
        <v>145</v>
      </c>
      <c r="I861" t="s">
        <v>634</v>
      </c>
      <c r="J861" t="s">
        <v>543</v>
      </c>
      <c r="K861">
        <v>18</v>
      </c>
      <c r="L861" t="s">
        <v>155</v>
      </c>
      <c r="M861" t="s">
        <v>671</v>
      </c>
      <c r="N861" t="s">
        <v>114</v>
      </c>
      <c r="P861">
        <v>132</v>
      </c>
      <c r="Q861">
        <v>6272</v>
      </c>
      <c r="R861" t="s">
        <v>158</v>
      </c>
      <c r="S861" t="s">
        <v>159</v>
      </c>
      <c r="T861" t="s">
        <v>413</v>
      </c>
      <c r="U861" t="s">
        <v>119</v>
      </c>
      <c r="V861" t="s">
        <v>119</v>
      </c>
      <c r="AA861">
        <v>2</v>
      </c>
      <c r="AB861" t="s">
        <v>100</v>
      </c>
      <c r="AD861" t="s">
        <v>135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672</v>
      </c>
      <c r="F862" t="s">
        <v>108</v>
      </c>
      <c r="G862" s="27">
        <v>45878</v>
      </c>
      <c r="H862" t="s">
        <v>145</v>
      </c>
      <c r="I862" t="s">
        <v>634</v>
      </c>
      <c r="J862" t="s">
        <v>543</v>
      </c>
      <c r="K862">
        <v>18</v>
      </c>
      <c r="L862" t="s">
        <v>155</v>
      </c>
      <c r="M862" t="s">
        <v>671</v>
      </c>
      <c r="N862" t="s">
        <v>114</v>
      </c>
      <c r="P862">
        <v>132</v>
      </c>
      <c r="Q862">
        <v>6272</v>
      </c>
      <c r="R862" t="s">
        <v>158</v>
      </c>
      <c r="S862" t="s">
        <v>159</v>
      </c>
      <c r="T862" t="s">
        <v>413</v>
      </c>
      <c r="U862" t="s">
        <v>119</v>
      </c>
      <c r="V862" t="s">
        <v>123</v>
      </c>
      <c r="AA862">
        <v>2</v>
      </c>
      <c r="AB862" t="s">
        <v>100</v>
      </c>
      <c r="AD862" t="s">
        <v>459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673</v>
      </c>
      <c r="F863" t="s">
        <v>108</v>
      </c>
      <c r="G863" s="27">
        <v>45878</v>
      </c>
      <c r="H863" t="s">
        <v>145</v>
      </c>
      <c r="I863" t="s">
        <v>634</v>
      </c>
      <c r="J863" t="s">
        <v>543</v>
      </c>
      <c r="K863">
        <v>18</v>
      </c>
      <c r="L863" t="s">
        <v>155</v>
      </c>
      <c r="M863" t="s">
        <v>671</v>
      </c>
      <c r="N863" t="s">
        <v>114</v>
      </c>
      <c r="P863">
        <v>132</v>
      </c>
      <c r="Q863">
        <v>6272</v>
      </c>
      <c r="R863" t="s">
        <v>158</v>
      </c>
      <c r="S863" t="s">
        <v>159</v>
      </c>
      <c r="T863" t="s">
        <v>413</v>
      </c>
      <c r="U863" t="s">
        <v>119</v>
      </c>
      <c r="V863" t="s">
        <v>136</v>
      </c>
      <c r="AA863">
        <v>2</v>
      </c>
      <c r="AB863" t="s">
        <v>100</v>
      </c>
      <c r="AD863" t="s">
        <v>550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674</v>
      </c>
      <c r="F864" t="s">
        <v>108</v>
      </c>
      <c r="G864" s="27">
        <v>45878</v>
      </c>
      <c r="H864" t="s">
        <v>145</v>
      </c>
      <c r="I864" t="s">
        <v>634</v>
      </c>
      <c r="J864" t="s">
        <v>543</v>
      </c>
      <c r="K864">
        <v>18</v>
      </c>
      <c r="L864" t="s">
        <v>155</v>
      </c>
      <c r="M864" t="s">
        <v>671</v>
      </c>
      <c r="N864" t="s">
        <v>114</v>
      </c>
      <c r="P864">
        <v>132</v>
      </c>
      <c r="Q864">
        <v>6272</v>
      </c>
      <c r="R864" t="s">
        <v>158</v>
      </c>
      <c r="S864" t="s">
        <v>159</v>
      </c>
      <c r="T864" t="s">
        <v>413</v>
      </c>
      <c r="U864" t="s">
        <v>119</v>
      </c>
      <c r="V864" t="s">
        <v>132</v>
      </c>
      <c r="AA864">
        <v>2</v>
      </c>
      <c r="AB864" t="s">
        <v>99</v>
      </c>
      <c r="AD864" t="s">
        <v>465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675</v>
      </c>
      <c r="F865" t="s">
        <v>108</v>
      </c>
      <c r="G865" s="27">
        <v>45878</v>
      </c>
      <c r="H865" t="s">
        <v>145</v>
      </c>
      <c r="I865" t="s">
        <v>634</v>
      </c>
      <c r="J865" t="s">
        <v>543</v>
      </c>
      <c r="K865">
        <v>18</v>
      </c>
      <c r="L865" t="s">
        <v>155</v>
      </c>
      <c r="M865" t="s">
        <v>671</v>
      </c>
      <c r="N865" t="s">
        <v>114</v>
      </c>
      <c r="P865">
        <v>132</v>
      </c>
      <c r="Q865">
        <v>6272</v>
      </c>
      <c r="R865" t="s">
        <v>158</v>
      </c>
      <c r="S865" t="s">
        <v>159</v>
      </c>
      <c r="T865" t="s">
        <v>413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676</v>
      </c>
      <c r="F866" t="s">
        <v>108</v>
      </c>
      <c r="G866" s="27">
        <v>45878</v>
      </c>
      <c r="H866" t="s">
        <v>145</v>
      </c>
      <c r="I866" t="s">
        <v>634</v>
      </c>
      <c r="J866" t="s">
        <v>543</v>
      </c>
      <c r="K866">
        <v>18</v>
      </c>
      <c r="L866" t="s">
        <v>155</v>
      </c>
      <c r="M866" t="s">
        <v>671</v>
      </c>
      <c r="N866" t="s">
        <v>114</v>
      </c>
      <c r="P866">
        <v>132</v>
      </c>
      <c r="Q866">
        <v>6272</v>
      </c>
      <c r="R866" t="s">
        <v>158</v>
      </c>
      <c r="S866" t="s">
        <v>159</v>
      </c>
      <c r="T866" t="s">
        <v>413</v>
      </c>
      <c r="U866" t="s">
        <v>119</v>
      </c>
      <c r="V866" t="s">
        <v>641</v>
      </c>
      <c r="AA866">
        <v>2</v>
      </c>
      <c r="AB866" t="s">
        <v>99</v>
      </c>
      <c r="AD866" t="s">
        <v>462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677</v>
      </c>
      <c r="F867" t="s">
        <v>108</v>
      </c>
      <c r="G867" s="27">
        <v>45878</v>
      </c>
      <c r="H867" t="s">
        <v>145</v>
      </c>
      <c r="I867" t="s">
        <v>634</v>
      </c>
      <c r="J867" t="s">
        <v>543</v>
      </c>
      <c r="K867">
        <v>18</v>
      </c>
      <c r="L867" t="s">
        <v>155</v>
      </c>
      <c r="M867" t="s">
        <v>671</v>
      </c>
      <c r="N867" t="s">
        <v>114</v>
      </c>
      <c r="P867">
        <v>132</v>
      </c>
      <c r="Q867">
        <v>6272</v>
      </c>
      <c r="R867" t="s">
        <v>158</v>
      </c>
      <c r="S867" t="s">
        <v>159</v>
      </c>
      <c r="T867" t="s">
        <v>413</v>
      </c>
      <c r="U867" t="s">
        <v>119</v>
      </c>
      <c r="V867" t="s">
        <v>178</v>
      </c>
      <c r="AA867">
        <v>2</v>
      </c>
      <c r="AB867" t="s">
        <v>99</v>
      </c>
      <c r="AD867" t="s">
        <v>174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678</v>
      </c>
      <c r="F868" t="s">
        <v>108</v>
      </c>
      <c r="G868" s="27">
        <v>45878</v>
      </c>
      <c r="H868" t="s">
        <v>145</v>
      </c>
      <c r="I868" t="s">
        <v>634</v>
      </c>
      <c r="J868" t="s">
        <v>543</v>
      </c>
      <c r="K868">
        <v>18</v>
      </c>
      <c r="L868" t="s">
        <v>155</v>
      </c>
      <c r="M868" t="s">
        <v>671</v>
      </c>
      <c r="N868" t="s">
        <v>114</v>
      </c>
      <c r="P868">
        <v>132</v>
      </c>
      <c r="Q868">
        <v>6272</v>
      </c>
      <c r="R868" t="s">
        <v>158</v>
      </c>
      <c r="S868" t="s">
        <v>159</v>
      </c>
      <c r="T868" t="s">
        <v>413</v>
      </c>
      <c r="U868" t="s">
        <v>119</v>
      </c>
      <c r="V868" t="s">
        <v>464</v>
      </c>
      <c r="AA868">
        <v>2</v>
      </c>
      <c r="AB868" t="s">
        <v>99</v>
      </c>
      <c r="AD868" t="s">
        <v>230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679</v>
      </c>
      <c r="F869" t="s">
        <v>108</v>
      </c>
      <c r="G869" s="27">
        <v>45878</v>
      </c>
      <c r="H869" t="s">
        <v>145</v>
      </c>
      <c r="I869" t="s">
        <v>634</v>
      </c>
      <c r="J869" t="s">
        <v>543</v>
      </c>
      <c r="K869">
        <v>18</v>
      </c>
      <c r="L869" t="s">
        <v>155</v>
      </c>
      <c r="M869" t="s">
        <v>671</v>
      </c>
      <c r="N869" t="s">
        <v>114</v>
      </c>
      <c r="P869">
        <v>132</v>
      </c>
      <c r="Q869">
        <v>6272</v>
      </c>
      <c r="R869" t="s">
        <v>158</v>
      </c>
      <c r="S869" t="s">
        <v>159</v>
      </c>
      <c r="T869" t="s">
        <v>413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680</v>
      </c>
      <c r="F870" t="s">
        <v>108</v>
      </c>
      <c r="G870" s="27">
        <v>45878</v>
      </c>
      <c r="H870" t="s">
        <v>145</v>
      </c>
      <c r="I870" t="s">
        <v>634</v>
      </c>
      <c r="J870" t="s">
        <v>543</v>
      </c>
      <c r="K870">
        <v>18</v>
      </c>
      <c r="L870" t="s">
        <v>155</v>
      </c>
      <c r="M870" t="s">
        <v>671</v>
      </c>
      <c r="N870" t="s">
        <v>114</v>
      </c>
      <c r="P870">
        <v>132</v>
      </c>
      <c r="Q870">
        <v>6272</v>
      </c>
      <c r="R870" t="s">
        <v>158</v>
      </c>
      <c r="S870" t="s">
        <v>159</v>
      </c>
      <c r="T870" t="s">
        <v>413</v>
      </c>
      <c r="U870" t="s">
        <v>119</v>
      </c>
      <c r="V870" t="s">
        <v>133</v>
      </c>
      <c r="AA870">
        <v>2</v>
      </c>
      <c r="AB870" t="s">
        <v>100</v>
      </c>
      <c r="AD870" t="s">
        <v>326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505</v>
      </c>
      <c r="F871" t="s">
        <v>154</v>
      </c>
      <c r="G871" s="27">
        <v>44821</v>
      </c>
      <c r="H871" t="s">
        <v>109</v>
      </c>
      <c r="I871" t="s">
        <v>506</v>
      </c>
      <c r="J871" t="s">
        <v>408</v>
      </c>
      <c r="K871">
        <v>18</v>
      </c>
      <c r="L871" t="s">
        <v>155</v>
      </c>
      <c r="M871" t="s">
        <v>507</v>
      </c>
      <c r="R871" t="s">
        <v>158</v>
      </c>
      <c r="S871" t="s">
        <v>159</v>
      </c>
      <c r="T871" t="s">
        <v>124</v>
      </c>
      <c r="U871" t="s">
        <v>276</v>
      </c>
      <c r="V871" t="s">
        <v>464</v>
      </c>
      <c r="AA871">
        <v>2</v>
      </c>
      <c r="AB871" t="s">
        <v>99</v>
      </c>
      <c r="AC871" t="s">
        <v>431</v>
      </c>
      <c r="AD871" t="s">
        <v>465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465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681</v>
      </c>
      <c r="F872" t="s">
        <v>154</v>
      </c>
      <c r="G872" s="27">
        <v>46193</v>
      </c>
      <c r="H872" t="s">
        <v>109</v>
      </c>
      <c r="I872" t="s">
        <v>682</v>
      </c>
      <c r="J872" t="s">
        <v>222</v>
      </c>
      <c r="K872">
        <v>18</v>
      </c>
      <c r="L872" t="s">
        <v>155</v>
      </c>
      <c r="M872" t="s">
        <v>683</v>
      </c>
      <c r="R872" t="s">
        <v>158</v>
      </c>
      <c r="S872" t="s">
        <v>159</v>
      </c>
      <c r="T872" t="s">
        <v>124</v>
      </c>
      <c r="U872" t="s">
        <v>276</v>
      </c>
      <c r="V872" t="s">
        <v>122</v>
      </c>
      <c r="AA872">
        <v>2</v>
      </c>
      <c r="AB872" t="s">
        <v>99</v>
      </c>
      <c r="AC872" t="s">
        <v>260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681</v>
      </c>
      <c r="F873" t="s">
        <v>154</v>
      </c>
      <c r="G873" s="27">
        <v>46193</v>
      </c>
      <c r="H873" t="s">
        <v>109</v>
      </c>
      <c r="I873" t="s">
        <v>682</v>
      </c>
      <c r="J873" t="s">
        <v>222</v>
      </c>
      <c r="K873">
        <v>18</v>
      </c>
      <c r="L873" t="s">
        <v>155</v>
      </c>
      <c r="M873" t="s">
        <v>683</v>
      </c>
      <c r="R873" t="s">
        <v>158</v>
      </c>
      <c r="S873" t="s">
        <v>159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260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zoomScaleNormal="100" workbookViewId="0">
      <selection activeCell="Q27" sqref="Q27"/>
    </sheetView>
  </sheetViews>
  <sheetFormatPr baseColWidth="10" defaultColWidth="8.83203125" defaultRowHeight="16" x14ac:dyDescent="0.2"/>
  <cols>
    <col min="1" max="1" width="8.83203125" style="28"/>
    <col min="2" max="2" width="10.33203125" style="28" customWidth="1"/>
    <col min="3" max="4" width="7.6640625" style="28" customWidth="1"/>
    <col min="5" max="5" width="8" style="28" customWidth="1"/>
    <col min="6" max="6" width="7.6640625" style="28" customWidth="1"/>
    <col min="7" max="7" width="7.83203125" style="28" customWidth="1"/>
    <col min="8" max="8" width="7.5" style="28" customWidth="1"/>
    <col min="9" max="9" width="7.1640625" style="28" customWidth="1"/>
    <col min="10" max="11" width="7.5" style="28" customWidth="1"/>
    <col min="12" max="13" width="7.33203125" style="28" customWidth="1"/>
    <col min="14" max="14" width="8" style="28" customWidth="1"/>
    <col min="15" max="16" width="8.83203125" style="28"/>
    <col min="17" max="18" width="10" style="28" customWidth="1"/>
    <col min="19" max="16384" width="8.83203125" style="28"/>
  </cols>
  <sheetData>
    <row r="1" spans="1:21" ht="15.75" customHeight="1" x14ac:dyDescent="0.2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</row>
    <row r="2" spans="1:21" ht="15.75" customHeight="1" x14ac:dyDescent="0.2">
      <c r="A2" s="29"/>
      <c r="B2" s="30" t="s">
        <v>684</v>
      </c>
      <c r="C2" s="31" t="s">
        <v>685</v>
      </c>
      <c r="D2" s="31" t="s">
        <v>686</v>
      </c>
      <c r="E2" s="31" t="s">
        <v>687</v>
      </c>
      <c r="F2" s="31" t="s">
        <v>688</v>
      </c>
      <c r="G2" s="31" t="s">
        <v>689</v>
      </c>
      <c r="H2" s="31" t="s">
        <v>690</v>
      </c>
      <c r="I2" s="31" t="s">
        <v>691</v>
      </c>
      <c r="J2" s="31" t="s">
        <v>692</v>
      </c>
      <c r="K2" s="31" t="s">
        <v>693</v>
      </c>
      <c r="L2" s="31" t="s">
        <v>694</v>
      </c>
      <c r="M2" s="31" t="s">
        <v>695</v>
      </c>
      <c r="N2" s="31" t="s">
        <v>696</v>
      </c>
      <c r="O2" s="32" t="s">
        <v>697</v>
      </c>
      <c r="P2" s="31" t="s">
        <v>698</v>
      </c>
      <c r="Q2" s="31" t="s">
        <v>699</v>
      </c>
      <c r="R2" s="31" t="s">
        <v>700</v>
      </c>
      <c r="S2" s="29"/>
      <c r="T2" s="29"/>
      <c r="U2" s="29"/>
    </row>
    <row r="3" spans="1:21" ht="15.75" customHeight="1" x14ac:dyDescent="0.2">
      <c r="A3" s="29"/>
      <c r="B3" s="29" t="s">
        <v>123</v>
      </c>
      <c r="C3" s="33">
        <v>1</v>
      </c>
      <c r="D3" s="33">
        <v>1</v>
      </c>
      <c r="E3" s="33">
        <v>1</v>
      </c>
      <c r="F3" s="33">
        <v>1</v>
      </c>
      <c r="G3" s="33">
        <v>1</v>
      </c>
      <c r="H3" s="33">
        <v>1</v>
      </c>
      <c r="I3" s="33">
        <v>1</v>
      </c>
      <c r="J3" s="33">
        <v>0</v>
      </c>
      <c r="K3" s="33">
        <v>1</v>
      </c>
      <c r="L3" s="33">
        <v>1</v>
      </c>
      <c r="M3" s="33">
        <v>0</v>
      </c>
      <c r="N3" s="33">
        <v>1</v>
      </c>
      <c r="O3" s="33">
        <f t="shared" ref="O3:O32" si="0">SUM(C3:N3)</f>
        <v>10</v>
      </c>
      <c r="P3" s="33">
        <v>12</v>
      </c>
      <c r="Q3" s="34">
        <f t="shared" ref="Q3:Q32" si="1">O3/P3</f>
        <v>0.83333333333333337</v>
      </c>
      <c r="R3" s="33">
        <f t="shared" ref="R3:R32" si="2">P3-O3</f>
        <v>2</v>
      </c>
      <c r="S3" s="29"/>
      <c r="T3" s="29"/>
      <c r="U3" s="29"/>
    </row>
    <row r="4" spans="1:21" ht="15.75" customHeight="1" x14ac:dyDescent="0.2">
      <c r="A4" s="29"/>
      <c r="B4" s="29" t="s">
        <v>701</v>
      </c>
      <c r="C4" s="33">
        <v>1</v>
      </c>
      <c r="D4" s="33">
        <v>1</v>
      </c>
      <c r="E4" s="33">
        <v>1</v>
      </c>
      <c r="F4" s="33">
        <v>1</v>
      </c>
      <c r="G4" s="33">
        <v>1</v>
      </c>
      <c r="H4" s="33">
        <v>0</v>
      </c>
      <c r="I4" s="33">
        <v>0</v>
      </c>
      <c r="J4" s="33">
        <v>1</v>
      </c>
      <c r="K4" s="33">
        <v>1</v>
      </c>
      <c r="L4" s="33">
        <v>1</v>
      </c>
      <c r="M4" s="33">
        <v>1</v>
      </c>
      <c r="N4" s="33">
        <v>0</v>
      </c>
      <c r="O4" s="33">
        <f t="shared" si="0"/>
        <v>9</v>
      </c>
      <c r="P4" s="33">
        <v>12</v>
      </c>
      <c r="Q4" s="34">
        <f t="shared" si="1"/>
        <v>0.75</v>
      </c>
      <c r="R4" s="33">
        <f t="shared" si="2"/>
        <v>3</v>
      </c>
      <c r="S4" s="29"/>
      <c r="T4" s="29"/>
      <c r="U4" s="29"/>
    </row>
    <row r="5" spans="1:21" ht="15.75" customHeight="1" x14ac:dyDescent="0.2">
      <c r="A5" s="29"/>
      <c r="B5" s="29" t="s">
        <v>119</v>
      </c>
      <c r="C5" s="33">
        <v>0</v>
      </c>
      <c r="D5" s="33">
        <v>1</v>
      </c>
      <c r="E5" s="33">
        <v>0</v>
      </c>
      <c r="F5" s="33">
        <v>1</v>
      </c>
      <c r="G5" s="33">
        <v>1</v>
      </c>
      <c r="H5" s="33">
        <v>1</v>
      </c>
      <c r="I5" s="33">
        <v>1</v>
      </c>
      <c r="J5" s="33">
        <v>1</v>
      </c>
      <c r="K5" s="33">
        <v>0</v>
      </c>
      <c r="L5" s="33">
        <v>1</v>
      </c>
      <c r="M5" s="33">
        <v>0</v>
      </c>
      <c r="N5" s="33">
        <v>1</v>
      </c>
      <c r="O5" s="33">
        <f t="shared" si="0"/>
        <v>8</v>
      </c>
      <c r="P5" s="33">
        <v>12</v>
      </c>
      <c r="Q5" s="34">
        <f t="shared" si="1"/>
        <v>0.66666666666666663</v>
      </c>
      <c r="R5" s="33">
        <f t="shared" si="2"/>
        <v>4</v>
      </c>
      <c r="S5" s="29"/>
      <c r="T5" s="29"/>
      <c r="U5" s="29"/>
    </row>
    <row r="6" spans="1:21" ht="15.75" customHeight="1" x14ac:dyDescent="0.2">
      <c r="A6" s="29"/>
      <c r="B6" s="29" t="s">
        <v>122</v>
      </c>
      <c r="C6" s="33">
        <v>1</v>
      </c>
      <c r="D6" s="33">
        <v>1</v>
      </c>
      <c r="E6" s="33">
        <v>1</v>
      </c>
      <c r="F6" s="33" t="s">
        <v>702</v>
      </c>
      <c r="G6" s="33">
        <v>0</v>
      </c>
      <c r="H6" s="33">
        <v>1</v>
      </c>
      <c r="I6" s="33">
        <v>0</v>
      </c>
      <c r="J6" s="33">
        <v>1</v>
      </c>
      <c r="K6" s="33">
        <v>1</v>
      </c>
      <c r="L6" s="33">
        <v>1</v>
      </c>
      <c r="M6" s="33">
        <v>0</v>
      </c>
      <c r="N6" s="33">
        <v>1</v>
      </c>
      <c r="O6" s="33">
        <f t="shared" si="0"/>
        <v>8</v>
      </c>
      <c r="P6" s="33">
        <v>11</v>
      </c>
      <c r="Q6" s="34">
        <f t="shared" si="1"/>
        <v>0.72727272727272729</v>
      </c>
      <c r="R6" s="33">
        <f t="shared" si="2"/>
        <v>3</v>
      </c>
      <c r="S6" s="29"/>
      <c r="T6" s="29"/>
      <c r="U6" s="29"/>
    </row>
    <row r="7" spans="1:21" ht="15.75" customHeight="1" x14ac:dyDescent="0.2">
      <c r="A7" s="29"/>
      <c r="B7" s="29" t="s">
        <v>136</v>
      </c>
      <c r="C7" s="33">
        <v>1</v>
      </c>
      <c r="D7" s="33">
        <v>0</v>
      </c>
      <c r="E7" s="33">
        <v>0</v>
      </c>
      <c r="F7" s="33">
        <v>1</v>
      </c>
      <c r="G7" s="33">
        <v>1</v>
      </c>
      <c r="H7" s="33">
        <v>1</v>
      </c>
      <c r="I7" s="33">
        <v>0</v>
      </c>
      <c r="J7" s="33">
        <v>0</v>
      </c>
      <c r="K7" s="33">
        <v>1</v>
      </c>
      <c r="L7" s="33" t="s">
        <v>702</v>
      </c>
      <c r="M7" s="33">
        <v>1</v>
      </c>
      <c r="N7" s="33">
        <v>1</v>
      </c>
      <c r="O7" s="33">
        <f t="shared" si="0"/>
        <v>7</v>
      </c>
      <c r="P7" s="33">
        <v>11</v>
      </c>
      <c r="Q7" s="34">
        <f t="shared" si="1"/>
        <v>0.63636363636363635</v>
      </c>
      <c r="R7" s="33">
        <f t="shared" si="2"/>
        <v>4</v>
      </c>
      <c r="S7" s="29"/>
      <c r="T7" s="29"/>
      <c r="U7" s="29"/>
    </row>
    <row r="8" spans="1:21" ht="15.75" customHeight="1" x14ac:dyDescent="0.2">
      <c r="A8" s="29"/>
      <c r="B8" s="29" t="s">
        <v>230</v>
      </c>
      <c r="C8" s="33" t="s">
        <v>702</v>
      </c>
      <c r="D8" s="33" t="s">
        <v>702</v>
      </c>
      <c r="E8" s="33">
        <v>1</v>
      </c>
      <c r="F8" s="33">
        <v>1</v>
      </c>
      <c r="G8" s="33">
        <v>1</v>
      </c>
      <c r="H8" s="33">
        <v>0</v>
      </c>
      <c r="I8" s="33">
        <v>1</v>
      </c>
      <c r="J8" s="33">
        <v>1</v>
      </c>
      <c r="K8" s="33">
        <v>0</v>
      </c>
      <c r="L8" s="33">
        <v>0</v>
      </c>
      <c r="M8" s="33">
        <v>1</v>
      </c>
      <c r="N8" s="33">
        <v>0</v>
      </c>
      <c r="O8" s="33">
        <f t="shared" si="0"/>
        <v>6</v>
      </c>
      <c r="P8" s="33">
        <v>10</v>
      </c>
      <c r="Q8" s="34">
        <f t="shared" si="1"/>
        <v>0.6</v>
      </c>
      <c r="R8" s="33">
        <f t="shared" si="2"/>
        <v>4</v>
      </c>
      <c r="S8" s="29"/>
      <c r="T8" s="29"/>
      <c r="U8" s="29"/>
    </row>
    <row r="9" spans="1:21" ht="15.75" customHeight="1" x14ac:dyDescent="0.2">
      <c r="A9" s="29"/>
      <c r="B9" s="29" t="s">
        <v>234</v>
      </c>
      <c r="C9" s="33" t="s">
        <v>702</v>
      </c>
      <c r="D9" s="33" t="s">
        <v>702</v>
      </c>
      <c r="E9" s="33">
        <v>1</v>
      </c>
      <c r="F9" s="33">
        <v>1</v>
      </c>
      <c r="G9" s="33">
        <v>1</v>
      </c>
      <c r="H9" s="33">
        <v>1</v>
      </c>
      <c r="I9" s="33">
        <v>0</v>
      </c>
      <c r="J9" s="33">
        <v>0</v>
      </c>
      <c r="K9" s="33">
        <v>1</v>
      </c>
      <c r="L9" s="33">
        <v>0</v>
      </c>
      <c r="M9" s="33" t="s">
        <v>702</v>
      </c>
      <c r="N9" s="33" t="s">
        <v>702</v>
      </c>
      <c r="O9" s="33">
        <f t="shared" si="0"/>
        <v>5</v>
      </c>
      <c r="P9" s="33">
        <v>8</v>
      </c>
      <c r="Q9" s="34">
        <f t="shared" si="1"/>
        <v>0.625</v>
      </c>
      <c r="R9" s="33">
        <f t="shared" si="2"/>
        <v>3</v>
      </c>
      <c r="S9" s="29"/>
      <c r="T9" s="29"/>
      <c r="U9" s="29"/>
    </row>
    <row r="10" spans="1:21" ht="15.75" customHeight="1" x14ac:dyDescent="0.2">
      <c r="A10" s="29"/>
      <c r="B10" s="29" t="s">
        <v>132</v>
      </c>
      <c r="C10" s="33">
        <v>0</v>
      </c>
      <c r="D10" s="33">
        <v>1</v>
      </c>
      <c r="E10" s="33">
        <v>0</v>
      </c>
      <c r="F10" s="33">
        <v>0</v>
      </c>
      <c r="G10" s="33">
        <v>0</v>
      </c>
      <c r="H10" s="33">
        <v>0</v>
      </c>
      <c r="I10" s="33">
        <v>1</v>
      </c>
      <c r="J10" s="33">
        <v>0</v>
      </c>
      <c r="K10" s="33">
        <v>1</v>
      </c>
      <c r="L10" s="33">
        <v>1</v>
      </c>
      <c r="M10" s="33">
        <v>0</v>
      </c>
      <c r="N10" s="33">
        <v>1</v>
      </c>
      <c r="O10" s="33">
        <f t="shared" si="0"/>
        <v>5</v>
      </c>
      <c r="P10" s="33">
        <v>12</v>
      </c>
      <c r="Q10" s="34">
        <f t="shared" si="1"/>
        <v>0.41666666666666669</v>
      </c>
      <c r="R10" s="33">
        <f t="shared" si="2"/>
        <v>7</v>
      </c>
      <c r="S10" s="29"/>
      <c r="T10" s="29"/>
      <c r="U10" s="29"/>
    </row>
    <row r="11" spans="1:21" ht="15.75" customHeight="1" x14ac:dyDescent="0.2">
      <c r="A11" s="29"/>
      <c r="B11" s="29" t="s">
        <v>174</v>
      </c>
      <c r="C11" s="33" t="s">
        <v>702</v>
      </c>
      <c r="D11" s="33">
        <v>0</v>
      </c>
      <c r="E11" s="33">
        <v>1</v>
      </c>
      <c r="F11" s="33">
        <v>1</v>
      </c>
      <c r="G11" s="33">
        <v>0</v>
      </c>
      <c r="H11" s="33">
        <v>1</v>
      </c>
      <c r="I11" s="33">
        <v>0</v>
      </c>
      <c r="J11" s="33">
        <v>0</v>
      </c>
      <c r="K11" s="33">
        <v>0</v>
      </c>
      <c r="L11" s="33">
        <v>0</v>
      </c>
      <c r="M11" s="33">
        <v>1</v>
      </c>
      <c r="N11" s="33">
        <v>0</v>
      </c>
      <c r="O11" s="33">
        <f t="shared" si="0"/>
        <v>4</v>
      </c>
      <c r="P11" s="33">
        <v>11</v>
      </c>
      <c r="Q11" s="34">
        <f t="shared" si="1"/>
        <v>0.36363636363636365</v>
      </c>
      <c r="R11" s="33">
        <f t="shared" si="2"/>
        <v>7</v>
      </c>
      <c r="S11" s="29"/>
      <c r="T11" s="29"/>
      <c r="U11" s="29"/>
    </row>
    <row r="12" spans="1:21" ht="15.75" customHeight="1" x14ac:dyDescent="0.2">
      <c r="A12" s="29"/>
      <c r="B12" s="29" t="s">
        <v>180</v>
      </c>
      <c r="C12" s="33" t="s">
        <v>702</v>
      </c>
      <c r="D12" s="33">
        <v>1</v>
      </c>
      <c r="E12" s="33">
        <v>0</v>
      </c>
      <c r="F12" s="33">
        <v>0</v>
      </c>
      <c r="G12" s="33">
        <v>0</v>
      </c>
      <c r="H12" s="33">
        <v>0</v>
      </c>
      <c r="I12" s="33">
        <v>1</v>
      </c>
      <c r="J12" s="33">
        <v>1</v>
      </c>
      <c r="K12" s="33">
        <v>1</v>
      </c>
      <c r="L12" s="33">
        <v>0</v>
      </c>
      <c r="M12" s="33">
        <v>0</v>
      </c>
      <c r="N12" s="33" t="s">
        <v>702</v>
      </c>
      <c r="O12" s="33">
        <f t="shared" si="0"/>
        <v>4</v>
      </c>
      <c r="P12" s="33">
        <v>10</v>
      </c>
      <c r="Q12" s="34">
        <f t="shared" si="1"/>
        <v>0.4</v>
      </c>
      <c r="R12" s="33">
        <f t="shared" si="2"/>
        <v>6</v>
      </c>
      <c r="S12" s="29"/>
      <c r="T12" s="29"/>
      <c r="U12" s="29"/>
    </row>
    <row r="13" spans="1:21" ht="15.75" customHeight="1" x14ac:dyDescent="0.2">
      <c r="A13" s="29"/>
      <c r="B13" s="29" t="s">
        <v>181</v>
      </c>
      <c r="C13" s="33" t="s">
        <v>702</v>
      </c>
      <c r="D13" s="33">
        <v>0</v>
      </c>
      <c r="E13" s="33">
        <v>1</v>
      </c>
      <c r="F13" s="33">
        <v>0</v>
      </c>
      <c r="G13" s="33">
        <v>0</v>
      </c>
      <c r="H13" s="33">
        <v>0</v>
      </c>
      <c r="I13" s="33">
        <v>1</v>
      </c>
      <c r="J13" s="33">
        <v>0</v>
      </c>
      <c r="K13" s="33">
        <v>1</v>
      </c>
      <c r="L13" s="33">
        <v>1</v>
      </c>
      <c r="M13" s="33">
        <v>0</v>
      </c>
      <c r="N13" s="33" t="s">
        <v>702</v>
      </c>
      <c r="O13" s="33">
        <f t="shared" si="0"/>
        <v>4</v>
      </c>
      <c r="P13" s="33">
        <v>10</v>
      </c>
      <c r="Q13" s="34">
        <f t="shared" si="1"/>
        <v>0.4</v>
      </c>
      <c r="R13" s="33">
        <f t="shared" si="2"/>
        <v>6</v>
      </c>
      <c r="S13" s="29"/>
      <c r="T13" s="29"/>
      <c r="U13" s="29"/>
    </row>
    <row r="14" spans="1:21" ht="15.75" customHeight="1" x14ac:dyDescent="0.2">
      <c r="A14" s="29"/>
      <c r="B14" s="29" t="s">
        <v>326</v>
      </c>
      <c r="C14" s="33" t="s">
        <v>702</v>
      </c>
      <c r="D14" s="33" t="s">
        <v>702</v>
      </c>
      <c r="E14" s="33" t="s">
        <v>702</v>
      </c>
      <c r="F14" s="33" t="s">
        <v>702</v>
      </c>
      <c r="G14" s="33">
        <v>1</v>
      </c>
      <c r="H14" s="33" t="s">
        <v>702</v>
      </c>
      <c r="I14" s="33" t="s">
        <v>702</v>
      </c>
      <c r="J14" s="33">
        <v>1</v>
      </c>
      <c r="K14" s="33">
        <v>1</v>
      </c>
      <c r="L14" s="33">
        <v>1</v>
      </c>
      <c r="M14" s="33">
        <v>0</v>
      </c>
      <c r="N14" s="33">
        <v>0</v>
      </c>
      <c r="O14" s="33">
        <f t="shared" si="0"/>
        <v>4</v>
      </c>
      <c r="P14" s="33">
        <v>6</v>
      </c>
      <c r="Q14" s="34">
        <f t="shared" si="1"/>
        <v>0.66666666666666663</v>
      </c>
      <c r="R14" s="33">
        <f t="shared" si="2"/>
        <v>2</v>
      </c>
      <c r="S14" s="29"/>
      <c r="T14" s="29"/>
      <c r="U14" s="29"/>
    </row>
    <row r="15" spans="1:21" ht="15.75" customHeight="1" x14ac:dyDescent="0.2">
      <c r="A15" s="29"/>
      <c r="B15" s="29" t="s">
        <v>229</v>
      </c>
      <c r="C15" s="33" t="s">
        <v>702</v>
      </c>
      <c r="D15" s="33" t="s">
        <v>702</v>
      </c>
      <c r="E15" s="33">
        <v>1</v>
      </c>
      <c r="F15" s="33">
        <v>0</v>
      </c>
      <c r="G15" s="33">
        <v>0</v>
      </c>
      <c r="H15" s="33">
        <v>1</v>
      </c>
      <c r="I15" s="33">
        <v>1</v>
      </c>
      <c r="J15" s="33" t="s">
        <v>702</v>
      </c>
      <c r="K15" s="33" t="s">
        <v>702</v>
      </c>
      <c r="L15" s="33">
        <v>0</v>
      </c>
      <c r="M15" s="33">
        <v>1</v>
      </c>
      <c r="N15" s="33" t="s">
        <v>702</v>
      </c>
      <c r="O15" s="33">
        <f t="shared" si="0"/>
        <v>4</v>
      </c>
      <c r="P15" s="33">
        <v>7</v>
      </c>
      <c r="Q15" s="34">
        <f t="shared" si="1"/>
        <v>0.5714285714285714</v>
      </c>
      <c r="R15" s="33">
        <f t="shared" si="2"/>
        <v>3</v>
      </c>
      <c r="S15" s="29"/>
      <c r="T15" s="29"/>
      <c r="U15" s="29"/>
    </row>
    <row r="16" spans="1:21" ht="15.75" customHeight="1" x14ac:dyDescent="0.2">
      <c r="A16" s="29"/>
      <c r="B16" s="29" t="s">
        <v>127</v>
      </c>
      <c r="C16" s="33">
        <v>0</v>
      </c>
      <c r="D16" s="33">
        <v>0</v>
      </c>
      <c r="E16" s="33">
        <v>0</v>
      </c>
      <c r="F16" s="33">
        <v>0</v>
      </c>
      <c r="G16" s="33">
        <v>0</v>
      </c>
      <c r="H16" s="33">
        <v>0</v>
      </c>
      <c r="I16" s="33">
        <v>1</v>
      </c>
      <c r="J16" s="33">
        <v>1</v>
      </c>
      <c r="K16" s="33">
        <v>0</v>
      </c>
      <c r="L16" s="33">
        <v>1</v>
      </c>
      <c r="M16" s="33">
        <v>1</v>
      </c>
      <c r="N16" s="33">
        <v>0</v>
      </c>
      <c r="O16" s="33">
        <f t="shared" si="0"/>
        <v>4</v>
      </c>
      <c r="P16" s="33">
        <v>12</v>
      </c>
      <c r="Q16" s="34">
        <f t="shared" si="1"/>
        <v>0.33333333333333331</v>
      </c>
      <c r="R16" s="33">
        <f t="shared" si="2"/>
        <v>8</v>
      </c>
      <c r="S16" s="29"/>
      <c r="T16" s="29"/>
      <c r="U16" s="29"/>
    </row>
    <row r="17" spans="1:21" ht="15.75" customHeight="1" x14ac:dyDescent="0.2">
      <c r="A17" s="29"/>
      <c r="B17" s="29" t="s">
        <v>464</v>
      </c>
      <c r="C17" s="33" t="s">
        <v>702</v>
      </c>
      <c r="D17" s="33" t="s">
        <v>702</v>
      </c>
      <c r="E17" s="33" t="s">
        <v>702</v>
      </c>
      <c r="F17" s="33" t="s">
        <v>702</v>
      </c>
      <c r="G17" s="33" t="s">
        <v>702</v>
      </c>
      <c r="H17" s="33" t="s">
        <v>702</v>
      </c>
      <c r="I17" s="33" t="s">
        <v>702</v>
      </c>
      <c r="J17" s="33">
        <v>1</v>
      </c>
      <c r="K17" s="33">
        <v>1</v>
      </c>
      <c r="L17" s="33">
        <v>1</v>
      </c>
      <c r="M17" s="33" t="s">
        <v>702</v>
      </c>
      <c r="N17" s="33">
        <v>1</v>
      </c>
      <c r="O17" s="33">
        <f t="shared" si="0"/>
        <v>4</v>
      </c>
      <c r="P17" s="33">
        <v>4</v>
      </c>
      <c r="Q17" s="34">
        <f t="shared" si="1"/>
        <v>1</v>
      </c>
      <c r="R17" s="33">
        <f t="shared" si="2"/>
        <v>0</v>
      </c>
      <c r="S17" s="29"/>
      <c r="T17" s="29"/>
      <c r="U17" s="29"/>
    </row>
    <row r="18" spans="1:21" ht="15.75" customHeight="1" x14ac:dyDescent="0.2">
      <c r="A18" s="29"/>
      <c r="B18" s="29" t="s">
        <v>178</v>
      </c>
      <c r="C18" s="33" t="s">
        <v>702</v>
      </c>
      <c r="D18" s="33">
        <v>1</v>
      </c>
      <c r="E18" s="33">
        <v>0</v>
      </c>
      <c r="F18" s="33">
        <v>0</v>
      </c>
      <c r="G18" s="33">
        <v>1</v>
      </c>
      <c r="H18" s="33">
        <v>0</v>
      </c>
      <c r="I18" s="33">
        <v>0</v>
      </c>
      <c r="J18" s="33">
        <v>0</v>
      </c>
      <c r="K18" s="33">
        <v>0</v>
      </c>
      <c r="L18" s="33">
        <v>0</v>
      </c>
      <c r="M18" s="33">
        <v>1</v>
      </c>
      <c r="N18" s="33">
        <v>1</v>
      </c>
      <c r="O18" s="33">
        <f t="shared" si="0"/>
        <v>4</v>
      </c>
      <c r="P18" s="33">
        <v>11</v>
      </c>
      <c r="Q18" s="34">
        <f t="shared" si="1"/>
        <v>0.36363636363636365</v>
      </c>
      <c r="R18" s="33">
        <f t="shared" si="2"/>
        <v>7</v>
      </c>
      <c r="S18" s="29"/>
      <c r="T18" s="29"/>
      <c r="U18" s="29"/>
    </row>
    <row r="19" spans="1:21" ht="15.75" customHeight="1" x14ac:dyDescent="0.2">
      <c r="A19" s="29"/>
      <c r="B19" s="29" t="s">
        <v>703</v>
      </c>
      <c r="C19" s="33" t="s">
        <v>702</v>
      </c>
      <c r="D19" s="33">
        <v>0</v>
      </c>
      <c r="E19" s="33">
        <v>0</v>
      </c>
      <c r="F19" s="33">
        <v>1</v>
      </c>
      <c r="G19" s="33">
        <v>0</v>
      </c>
      <c r="H19" s="33">
        <v>1</v>
      </c>
      <c r="I19" s="33">
        <v>1</v>
      </c>
      <c r="J19" s="33" t="s">
        <v>702</v>
      </c>
      <c r="K19" s="33" t="s">
        <v>702</v>
      </c>
      <c r="L19" s="33" t="s">
        <v>702</v>
      </c>
      <c r="M19" s="33" t="s">
        <v>702</v>
      </c>
      <c r="N19" s="33" t="s">
        <v>702</v>
      </c>
      <c r="O19" s="33">
        <f t="shared" si="0"/>
        <v>3</v>
      </c>
      <c r="P19" s="33">
        <v>6</v>
      </c>
      <c r="Q19" s="34">
        <f t="shared" si="1"/>
        <v>0.5</v>
      </c>
      <c r="R19" s="33">
        <f t="shared" si="2"/>
        <v>3</v>
      </c>
      <c r="S19" s="29"/>
      <c r="T19" s="29"/>
      <c r="U19" s="29"/>
    </row>
    <row r="20" spans="1:21" ht="15.75" customHeight="1" x14ac:dyDescent="0.2">
      <c r="A20" s="29"/>
      <c r="B20" s="29" t="s">
        <v>118</v>
      </c>
      <c r="C20" s="33">
        <v>0</v>
      </c>
      <c r="D20" s="33">
        <v>1</v>
      </c>
      <c r="E20" s="33">
        <v>0</v>
      </c>
      <c r="F20" s="33">
        <v>0</v>
      </c>
      <c r="G20" s="33">
        <v>0</v>
      </c>
      <c r="H20" s="33">
        <v>1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>
        <v>0</v>
      </c>
      <c r="O20" s="33">
        <f t="shared" si="0"/>
        <v>3</v>
      </c>
      <c r="P20" s="33">
        <v>12</v>
      </c>
      <c r="Q20" s="34">
        <f t="shared" si="1"/>
        <v>0.25</v>
      </c>
      <c r="R20" s="33">
        <f t="shared" si="2"/>
        <v>9</v>
      </c>
      <c r="S20" s="29"/>
      <c r="T20" s="29"/>
      <c r="U20" s="29"/>
    </row>
    <row r="21" spans="1:21" ht="15.75" customHeight="1" x14ac:dyDescent="0.2">
      <c r="A21" s="29"/>
      <c r="B21" s="29" t="s">
        <v>133</v>
      </c>
      <c r="C21" s="33">
        <v>0</v>
      </c>
      <c r="D21" s="33">
        <v>0</v>
      </c>
      <c r="E21" s="33">
        <v>0</v>
      </c>
      <c r="F21" s="33">
        <v>0</v>
      </c>
      <c r="G21" s="33">
        <v>1</v>
      </c>
      <c r="H21" s="33">
        <v>1</v>
      </c>
      <c r="I21" s="33">
        <v>0</v>
      </c>
      <c r="J21" s="33">
        <v>0</v>
      </c>
      <c r="K21" s="33" t="s">
        <v>702</v>
      </c>
      <c r="L21" s="33">
        <v>0</v>
      </c>
      <c r="M21" s="33">
        <v>0</v>
      </c>
      <c r="N21" s="33">
        <v>1</v>
      </c>
      <c r="O21" s="33">
        <f t="shared" si="0"/>
        <v>3</v>
      </c>
      <c r="P21" s="33">
        <v>11</v>
      </c>
      <c r="Q21" s="34">
        <f t="shared" si="1"/>
        <v>0.27272727272727271</v>
      </c>
      <c r="R21" s="33">
        <f t="shared" si="2"/>
        <v>8</v>
      </c>
      <c r="S21" s="29"/>
      <c r="T21" s="29"/>
      <c r="U21" s="29"/>
    </row>
    <row r="22" spans="1:21" ht="15.75" customHeight="1" x14ac:dyDescent="0.2">
      <c r="A22" s="29"/>
      <c r="B22" s="29" t="s">
        <v>130</v>
      </c>
      <c r="C22" s="33">
        <v>1</v>
      </c>
      <c r="D22" s="33" t="s">
        <v>702</v>
      </c>
      <c r="E22" s="33" t="s">
        <v>702</v>
      </c>
      <c r="F22" s="33" t="s">
        <v>702</v>
      </c>
      <c r="G22" s="33">
        <v>0</v>
      </c>
      <c r="H22" s="33">
        <v>0</v>
      </c>
      <c r="I22" s="33">
        <v>0</v>
      </c>
      <c r="J22" s="33" t="s">
        <v>702</v>
      </c>
      <c r="K22" s="33">
        <v>0</v>
      </c>
      <c r="L22" s="33" t="s">
        <v>702</v>
      </c>
      <c r="M22" s="33">
        <v>1</v>
      </c>
      <c r="N22" s="33">
        <v>1</v>
      </c>
      <c r="O22" s="33">
        <f t="shared" si="0"/>
        <v>3</v>
      </c>
      <c r="P22" s="33">
        <v>7</v>
      </c>
      <c r="Q22" s="34">
        <f t="shared" si="1"/>
        <v>0.42857142857142855</v>
      </c>
      <c r="R22" s="33">
        <f t="shared" si="2"/>
        <v>4</v>
      </c>
      <c r="S22" s="29"/>
      <c r="T22" s="29"/>
      <c r="U22" s="29"/>
    </row>
    <row r="23" spans="1:21" ht="15.75" customHeight="1" x14ac:dyDescent="0.2">
      <c r="A23" s="29"/>
      <c r="B23" s="29" t="s">
        <v>120</v>
      </c>
      <c r="C23" s="33">
        <v>0</v>
      </c>
      <c r="D23" s="33">
        <v>0</v>
      </c>
      <c r="E23" s="33">
        <v>1</v>
      </c>
      <c r="F23" s="33">
        <v>1</v>
      </c>
      <c r="G23" s="33" t="s">
        <v>702</v>
      </c>
      <c r="H23" s="33" t="s">
        <v>702</v>
      </c>
      <c r="I23" s="33" t="s">
        <v>702</v>
      </c>
      <c r="J23" s="33" t="s">
        <v>702</v>
      </c>
      <c r="K23" s="33" t="s">
        <v>702</v>
      </c>
      <c r="L23" s="33" t="s">
        <v>702</v>
      </c>
      <c r="M23" s="33" t="s">
        <v>702</v>
      </c>
      <c r="N23" s="33" t="s">
        <v>702</v>
      </c>
      <c r="O23" s="33">
        <f t="shared" si="0"/>
        <v>2</v>
      </c>
      <c r="P23" s="33">
        <v>4</v>
      </c>
      <c r="Q23" s="34">
        <f t="shared" si="1"/>
        <v>0.5</v>
      </c>
      <c r="R23" s="33">
        <f t="shared" si="2"/>
        <v>2</v>
      </c>
      <c r="S23" s="29"/>
      <c r="T23" s="29"/>
      <c r="U23" s="29"/>
    </row>
    <row r="24" spans="1:21" ht="15.75" customHeight="1" x14ac:dyDescent="0.2">
      <c r="A24" s="29"/>
      <c r="B24" s="29" t="s">
        <v>276</v>
      </c>
      <c r="C24" s="33" t="s">
        <v>702</v>
      </c>
      <c r="D24" s="33" t="s">
        <v>702</v>
      </c>
      <c r="E24" s="33" t="s">
        <v>702</v>
      </c>
      <c r="F24" s="33">
        <v>1</v>
      </c>
      <c r="G24" s="33">
        <v>0</v>
      </c>
      <c r="H24" s="33">
        <v>0</v>
      </c>
      <c r="I24" s="33">
        <v>0</v>
      </c>
      <c r="J24" s="33">
        <v>1</v>
      </c>
      <c r="K24" s="33">
        <v>0</v>
      </c>
      <c r="L24" s="33">
        <v>0</v>
      </c>
      <c r="M24" s="33">
        <v>0</v>
      </c>
      <c r="N24" s="33" t="s">
        <v>702</v>
      </c>
      <c r="O24" s="33">
        <f t="shared" si="0"/>
        <v>2</v>
      </c>
      <c r="P24" s="33">
        <v>8</v>
      </c>
      <c r="Q24" s="34">
        <f t="shared" si="1"/>
        <v>0.25</v>
      </c>
      <c r="R24" s="33">
        <f t="shared" si="2"/>
        <v>6</v>
      </c>
      <c r="S24" s="29"/>
      <c r="T24" s="29"/>
      <c r="U24" s="29"/>
    </row>
    <row r="25" spans="1:21" ht="15.75" customHeight="1" x14ac:dyDescent="0.2">
      <c r="A25" s="29"/>
      <c r="B25" s="29" t="s">
        <v>459</v>
      </c>
      <c r="C25" s="33" t="s">
        <v>702</v>
      </c>
      <c r="D25" s="33" t="s">
        <v>702</v>
      </c>
      <c r="E25" s="33" t="s">
        <v>702</v>
      </c>
      <c r="F25" s="33" t="s">
        <v>702</v>
      </c>
      <c r="G25" s="33" t="s">
        <v>702</v>
      </c>
      <c r="H25" s="33" t="s">
        <v>702</v>
      </c>
      <c r="I25" s="33" t="s">
        <v>702</v>
      </c>
      <c r="J25" s="33">
        <v>1</v>
      </c>
      <c r="K25" s="33">
        <v>0</v>
      </c>
      <c r="L25" s="33">
        <v>0</v>
      </c>
      <c r="M25" s="33">
        <v>1</v>
      </c>
      <c r="N25" s="33">
        <v>0</v>
      </c>
      <c r="O25" s="33">
        <f t="shared" si="0"/>
        <v>2</v>
      </c>
      <c r="P25" s="33">
        <v>5</v>
      </c>
      <c r="Q25" s="34">
        <f t="shared" si="1"/>
        <v>0.4</v>
      </c>
      <c r="R25" s="33">
        <f t="shared" si="2"/>
        <v>3</v>
      </c>
      <c r="S25" s="29"/>
      <c r="T25" s="29"/>
      <c r="U25" s="29"/>
    </row>
    <row r="26" spans="1:21" ht="15.75" customHeight="1" x14ac:dyDescent="0.2">
      <c r="A26" s="29"/>
      <c r="B26" s="29" t="s">
        <v>233</v>
      </c>
      <c r="C26" s="33" t="s">
        <v>702</v>
      </c>
      <c r="D26" s="33">
        <v>0</v>
      </c>
      <c r="E26" s="33">
        <v>0</v>
      </c>
      <c r="F26" s="33">
        <v>0</v>
      </c>
      <c r="G26" s="33">
        <v>1</v>
      </c>
      <c r="H26" s="33">
        <v>0</v>
      </c>
      <c r="I26" s="33">
        <v>0</v>
      </c>
      <c r="J26" s="33" t="s">
        <v>702</v>
      </c>
      <c r="K26" s="33" t="s">
        <v>702</v>
      </c>
      <c r="L26" s="33" t="s">
        <v>702</v>
      </c>
      <c r="M26" s="33">
        <v>1</v>
      </c>
      <c r="N26" s="33" t="s">
        <v>702</v>
      </c>
      <c r="O26" s="33">
        <f t="shared" si="0"/>
        <v>2</v>
      </c>
      <c r="P26" s="33">
        <v>7</v>
      </c>
      <c r="Q26" s="34">
        <f t="shared" si="1"/>
        <v>0.2857142857142857</v>
      </c>
      <c r="R26" s="33">
        <f t="shared" si="2"/>
        <v>5</v>
      </c>
      <c r="S26" s="29"/>
      <c r="T26" s="29"/>
      <c r="U26" s="29"/>
    </row>
    <row r="27" spans="1:21" ht="15.75" customHeight="1" x14ac:dyDescent="0.2">
      <c r="A27" s="29"/>
      <c r="B27" s="29" t="s">
        <v>462</v>
      </c>
      <c r="C27" s="33" t="s">
        <v>702</v>
      </c>
      <c r="D27" s="33" t="s">
        <v>702</v>
      </c>
      <c r="E27" s="33" t="s">
        <v>702</v>
      </c>
      <c r="F27" s="33" t="s">
        <v>702</v>
      </c>
      <c r="G27" s="33" t="s">
        <v>702</v>
      </c>
      <c r="H27" s="33" t="s">
        <v>702</v>
      </c>
      <c r="I27" s="33" t="s">
        <v>702</v>
      </c>
      <c r="J27" s="33">
        <v>1</v>
      </c>
      <c r="K27" s="33">
        <v>0</v>
      </c>
      <c r="L27" s="33" t="s">
        <v>702</v>
      </c>
      <c r="M27" s="33" t="s">
        <v>702</v>
      </c>
      <c r="N27" s="33">
        <v>0</v>
      </c>
      <c r="O27" s="33">
        <f t="shared" si="0"/>
        <v>1</v>
      </c>
      <c r="P27" s="33">
        <v>3</v>
      </c>
      <c r="Q27" s="34">
        <f t="shared" si="1"/>
        <v>0.33333333333333331</v>
      </c>
      <c r="R27" s="33">
        <f t="shared" si="2"/>
        <v>2</v>
      </c>
      <c r="S27" s="29"/>
      <c r="T27" s="29"/>
      <c r="U27" s="29"/>
    </row>
    <row r="28" spans="1:21" ht="15.75" customHeight="1" x14ac:dyDescent="0.2">
      <c r="A28" s="29"/>
      <c r="B28" s="29" t="s">
        <v>129</v>
      </c>
      <c r="C28" s="33">
        <v>1</v>
      </c>
      <c r="D28" s="33" t="s">
        <v>702</v>
      </c>
      <c r="E28" s="33" t="s">
        <v>702</v>
      </c>
      <c r="F28" s="33" t="s">
        <v>702</v>
      </c>
      <c r="G28" s="33" t="s">
        <v>702</v>
      </c>
      <c r="H28" s="33" t="s">
        <v>702</v>
      </c>
      <c r="I28" s="33" t="s">
        <v>702</v>
      </c>
      <c r="J28" s="33" t="s">
        <v>702</v>
      </c>
      <c r="K28" s="33" t="s">
        <v>702</v>
      </c>
      <c r="L28" s="33" t="s">
        <v>702</v>
      </c>
      <c r="M28" s="33" t="s">
        <v>702</v>
      </c>
      <c r="N28" s="33" t="s">
        <v>702</v>
      </c>
      <c r="O28" s="33">
        <f t="shared" si="0"/>
        <v>1</v>
      </c>
      <c r="P28" s="33">
        <v>1</v>
      </c>
      <c r="Q28" s="34">
        <f t="shared" si="1"/>
        <v>1</v>
      </c>
      <c r="R28" s="33">
        <f t="shared" si="2"/>
        <v>0</v>
      </c>
      <c r="S28" s="29"/>
      <c r="T28" s="29"/>
      <c r="U28" s="29"/>
    </row>
    <row r="29" spans="1:21" ht="15.75" customHeight="1" x14ac:dyDescent="0.2">
      <c r="A29" s="29"/>
      <c r="B29" s="29" t="s">
        <v>177</v>
      </c>
      <c r="C29" s="33" t="s">
        <v>702</v>
      </c>
      <c r="D29" s="33">
        <v>0</v>
      </c>
      <c r="E29" s="33">
        <v>1</v>
      </c>
      <c r="F29" s="33" t="s">
        <v>702</v>
      </c>
      <c r="G29" s="33" t="s">
        <v>702</v>
      </c>
      <c r="H29" s="33" t="s">
        <v>702</v>
      </c>
      <c r="I29" s="33" t="s">
        <v>702</v>
      </c>
      <c r="J29" s="33" t="s">
        <v>702</v>
      </c>
      <c r="K29" s="33" t="s">
        <v>702</v>
      </c>
      <c r="L29" s="33" t="s">
        <v>702</v>
      </c>
      <c r="M29" s="33" t="s">
        <v>702</v>
      </c>
      <c r="N29" s="33" t="s">
        <v>702</v>
      </c>
      <c r="O29" s="33">
        <f t="shared" si="0"/>
        <v>1</v>
      </c>
      <c r="P29" s="33">
        <v>2</v>
      </c>
      <c r="Q29" s="34">
        <f t="shared" si="1"/>
        <v>0.5</v>
      </c>
      <c r="R29" s="33">
        <f t="shared" si="2"/>
        <v>1</v>
      </c>
      <c r="S29" s="29"/>
      <c r="T29" s="29"/>
      <c r="U29" s="29"/>
    </row>
    <row r="30" spans="1:21" ht="15.75" customHeight="1" x14ac:dyDescent="0.2">
      <c r="A30" s="29"/>
      <c r="B30" s="29" t="s">
        <v>550</v>
      </c>
      <c r="C30" s="33" t="s">
        <v>702</v>
      </c>
      <c r="D30" s="33" t="s">
        <v>702</v>
      </c>
      <c r="E30" s="33" t="s">
        <v>702</v>
      </c>
      <c r="F30" s="33" t="s">
        <v>702</v>
      </c>
      <c r="G30" s="33" t="s">
        <v>702</v>
      </c>
      <c r="H30" s="33" t="s">
        <v>702</v>
      </c>
      <c r="I30" s="33" t="s">
        <v>702</v>
      </c>
      <c r="J30" s="33" t="s">
        <v>702</v>
      </c>
      <c r="K30" s="33" t="s">
        <v>702</v>
      </c>
      <c r="L30" s="33">
        <v>1</v>
      </c>
      <c r="M30" s="33" t="s">
        <v>702</v>
      </c>
      <c r="N30" s="33">
        <v>0</v>
      </c>
      <c r="O30" s="33">
        <f t="shared" si="0"/>
        <v>1</v>
      </c>
      <c r="P30" s="33">
        <v>2</v>
      </c>
      <c r="Q30" s="34">
        <f t="shared" si="1"/>
        <v>0.5</v>
      </c>
      <c r="R30" s="33">
        <f t="shared" si="2"/>
        <v>1</v>
      </c>
      <c r="S30" s="29"/>
      <c r="T30" s="29"/>
      <c r="U30" s="29"/>
    </row>
    <row r="31" spans="1:21" ht="15.75" customHeight="1" x14ac:dyDescent="0.2">
      <c r="A31" s="29"/>
      <c r="B31" s="29" t="s">
        <v>641</v>
      </c>
      <c r="C31" s="33" t="s">
        <v>702</v>
      </c>
      <c r="D31" s="33" t="s">
        <v>702</v>
      </c>
      <c r="E31" s="33" t="s">
        <v>702</v>
      </c>
      <c r="F31" s="33" t="s">
        <v>702</v>
      </c>
      <c r="G31" s="33" t="s">
        <v>702</v>
      </c>
      <c r="H31" s="33" t="s">
        <v>702</v>
      </c>
      <c r="I31" s="33" t="s">
        <v>702</v>
      </c>
      <c r="J31" s="33" t="s">
        <v>702</v>
      </c>
      <c r="K31" s="33" t="s">
        <v>702</v>
      </c>
      <c r="L31" s="33" t="s">
        <v>702</v>
      </c>
      <c r="M31" s="33" t="s">
        <v>702</v>
      </c>
      <c r="N31" s="33">
        <v>1</v>
      </c>
      <c r="O31" s="33">
        <f t="shared" si="0"/>
        <v>1</v>
      </c>
      <c r="P31" s="33">
        <v>1</v>
      </c>
      <c r="Q31" s="34">
        <f t="shared" si="1"/>
        <v>1</v>
      </c>
      <c r="R31" s="33">
        <f t="shared" si="2"/>
        <v>0</v>
      </c>
      <c r="S31" s="29"/>
      <c r="T31" s="29"/>
      <c r="U31" s="29"/>
    </row>
    <row r="32" spans="1:21" ht="15.75" customHeight="1" x14ac:dyDescent="0.2">
      <c r="A32" s="29"/>
      <c r="B32" s="29" t="s">
        <v>465</v>
      </c>
      <c r="C32" s="33" t="s">
        <v>702</v>
      </c>
      <c r="D32" s="33" t="s">
        <v>702</v>
      </c>
      <c r="E32" s="33" t="s">
        <v>702</v>
      </c>
      <c r="F32" s="33" t="s">
        <v>702</v>
      </c>
      <c r="G32" s="33" t="s">
        <v>702</v>
      </c>
      <c r="H32" s="33" t="s">
        <v>702</v>
      </c>
      <c r="I32" s="33" t="s">
        <v>702</v>
      </c>
      <c r="J32" s="33">
        <v>0</v>
      </c>
      <c r="K32" s="33" t="s">
        <v>702</v>
      </c>
      <c r="L32" s="33" t="s">
        <v>702</v>
      </c>
      <c r="M32" s="33" t="s">
        <v>702</v>
      </c>
      <c r="N32" s="33">
        <v>0</v>
      </c>
      <c r="O32" s="33">
        <f t="shared" si="0"/>
        <v>0</v>
      </c>
      <c r="P32" s="33">
        <v>2</v>
      </c>
      <c r="Q32" s="34">
        <f t="shared" si="1"/>
        <v>0</v>
      </c>
      <c r="R32" s="33">
        <f t="shared" si="2"/>
        <v>2</v>
      </c>
      <c r="S32" s="29"/>
      <c r="T32" s="29"/>
      <c r="U32" s="29"/>
    </row>
    <row r="33" spans="1:21" ht="15.75" customHeight="1" x14ac:dyDescent="0.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</row>
    <row r="34" spans="1:21" ht="15.75" customHeight="1" x14ac:dyDescent="0.2">
      <c r="A34" s="29"/>
      <c r="B34" s="29" t="s">
        <v>697</v>
      </c>
      <c r="C34" s="33">
        <f t="shared" ref="C34:P34" si="3">SUM(C3:C32)</f>
        <v>6</v>
      </c>
      <c r="D34" s="33">
        <f t="shared" si="3"/>
        <v>8</v>
      </c>
      <c r="E34" s="33">
        <f t="shared" si="3"/>
        <v>10</v>
      </c>
      <c r="F34" s="33">
        <f t="shared" si="3"/>
        <v>10</v>
      </c>
      <c r="G34" s="33">
        <f t="shared" si="3"/>
        <v>10</v>
      </c>
      <c r="H34" s="33">
        <f t="shared" si="3"/>
        <v>10</v>
      </c>
      <c r="I34" s="33">
        <f t="shared" si="3"/>
        <v>10</v>
      </c>
      <c r="J34" s="33">
        <f t="shared" si="3"/>
        <v>11</v>
      </c>
      <c r="K34" s="33">
        <f t="shared" si="3"/>
        <v>10</v>
      </c>
      <c r="L34" s="33">
        <f t="shared" si="3"/>
        <v>10</v>
      </c>
      <c r="M34" s="33">
        <f t="shared" si="3"/>
        <v>10</v>
      </c>
      <c r="N34" s="33">
        <f t="shared" si="3"/>
        <v>10</v>
      </c>
      <c r="O34" s="33">
        <f t="shared" si="3"/>
        <v>115</v>
      </c>
      <c r="P34" s="33">
        <f t="shared" si="3"/>
        <v>230</v>
      </c>
      <c r="Q34" s="29"/>
      <c r="R34" s="33">
        <f>SUM(R3:R32)</f>
        <v>115</v>
      </c>
      <c r="S34" s="29"/>
      <c r="T34" s="29"/>
      <c r="U34" s="29"/>
    </row>
    <row r="35" spans="1:21" ht="15.75" customHeight="1" x14ac:dyDescent="0.2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</row>
    <row r="36" spans="1:21" ht="15.75" customHeight="1" x14ac:dyDescent="0.2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</row>
    <row r="37" spans="1:21" ht="15.75" customHeight="1" x14ac:dyDescent="0.2">
      <c r="A37" s="29"/>
      <c r="B37" s="29" t="s">
        <v>704</v>
      </c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</row>
    <row r="38" spans="1:21" ht="15.75" customHeight="1" x14ac:dyDescent="0.2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</row>
    <row r="39" spans="1:21" ht="15.75" customHeight="1" x14ac:dyDescent="0.2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2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5" width="7" customWidth="1"/>
  </cols>
  <sheetData>
    <row r="1" spans="2:15" ht="15.75" customHeight="1" x14ac:dyDescent="0.2">
      <c r="B1" s="35" t="s">
        <v>705</v>
      </c>
    </row>
    <row r="2" spans="2:15" ht="15" customHeight="1" x14ac:dyDescent="0.2">
      <c r="B2" s="36" t="s">
        <v>706</v>
      </c>
    </row>
    <row r="3" spans="2:15" ht="15" customHeight="1" x14ac:dyDescent="0.2">
      <c r="B3" s="37" t="s">
        <v>684</v>
      </c>
      <c r="C3" s="37" t="s">
        <v>707</v>
      </c>
      <c r="D3" s="37" t="s">
        <v>708</v>
      </c>
      <c r="E3" s="37" t="s">
        <v>709</v>
      </c>
      <c r="F3" s="37" t="s">
        <v>710</v>
      </c>
      <c r="G3" s="37" t="s">
        <v>711</v>
      </c>
      <c r="H3" s="37" t="s">
        <v>712</v>
      </c>
      <c r="I3" s="37" t="s">
        <v>713</v>
      </c>
      <c r="J3" s="37" t="s">
        <v>714</v>
      </c>
      <c r="K3" s="37" t="s">
        <v>715</v>
      </c>
      <c r="L3" s="37" t="s">
        <v>716</v>
      </c>
      <c r="M3" s="37" t="s">
        <v>717</v>
      </c>
      <c r="N3" s="37" t="s">
        <v>718</v>
      </c>
      <c r="O3" s="37" t="s">
        <v>719</v>
      </c>
    </row>
    <row r="4" spans="2:15" ht="15" customHeight="1" x14ac:dyDescent="0.2">
      <c r="B4" s="38" t="s">
        <v>173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</row>
    <row r="5" spans="2:15" ht="15" customHeight="1" x14ac:dyDescent="0.2">
      <c r="B5" s="38" t="s">
        <v>181</v>
      </c>
      <c r="C5" s="39"/>
      <c r="D5" s="40">
        <v>32.4</v>
      </c>
      <c r="E5" s="40">
        <v>24.8</v>
      </c>
      <c r="F5" s="40">
        <v>22</v>
      </c>
      <c r="G5" s="40">
        <v>18.899999999999999</v>
      </c>
      <c r="H5" s="40">
        <v>20.2</v>
      </c>
      <c r="I5" s="40">
        <v>17.8</v>
      </c>
      <c r="J5" s="40">
        <v>15.5</v>
      </c>
      <c r="K5" s="40">
        <v>15.2</v>
      </c>
      <c r="L5" s="40">
        <v>16</v>
      </c>
      <c r="M5" s="40">
        <v>16.5</v>
      </c>
      <c r="N5" s="39" t="s">
        <v>702</v>
      </c>
      <c r="O5" s="40">
        <f t="shared" ref="O5:O28" si="0">IFERROR(AVERAGE(C5:N5),"")</f>
        <v>19.93</v>
      </c>
    </row>
    <row r="6" spans="2:15" ht="15" customHeight="1" x14ac:dyDescent="0.2">
      <c r="B6" s="38" t="s">
        <v>135</v>
      </c>
      <c r="C6" s="40">
        <v>15</v>
      </c>
      <c r="D6" s="40">
        <v>12.4</v>
      </c>
      <c r="E6" s="40">
        <v>9.1</v>
      </c>
      <c r="F6" s="40">
        <v>10.1</v>
      </c>
      <c r="G6" s="40">
        <v>11.1</v>
      </c>
      <c r="H6" s="40">
        <v>10.5</v>
      </c>
      <c r="I6" s="40">
        <v>10.5</v>
      </c>
      <c r="J6" s="40">
        <v>10.8</v>
      </c>
      <c r="K6" s="40">
        <v>8.3000000000000007</v>
      </c>
      <c r="L6" s="40">
        <v>10.1</v>
      </c>
      <c r="M6" s="40">
        <v>9.5</v>
      </c>
      <c r="N6" s="40">
        <v>9.4</v>
      </c>
      <c r="O6" s="40">
        <f t="shared" si="0"/>
        <v>10.566666666666666</v>
      </c>
    </row>
    <row r="7" spans="2:15" ht="15" customHeight="1" x14ac:dyDescent="0.2">
      <c r="B7" s="38" t="s">
        <v>180</v>
      </c>
      <c r="C7" s="39"/>
      <c r="D7" s="40">
        <v>18.8</v>
      </c>
      <c r="E7" s="40">
        <v>16.7</v>
      </c>
      <c r="F7" s="40">
        <v>16.2</v>
      </c>
      <c r="G7" s="40">
        <v>15.5</v>
      </c>
      <c r="H7" s="40">
        <v>15.4</v>
      </c>
      <c r="I7" s="40">
        <v>16.399999999999999</v>
      </c>
      <c r="J7" s="40">
        <v>17.100000000000001</v>
      </c>
      <c r="K7" s="40">
        <v>18.3</v>
      </c>
      <c r="L7" s="40">
        <v>17.600000000000001</v>
      </c>
      <c r="M7" s="40">
        <v>17.600000000000001</v>
      </c>
      <c r="N7" s="39" t="s">
        <v>702</v>
      </c>
      <c r="O7" s="40">
        <f t="shared" si="0"/>
        <v>16.96</v>
      </c>
    </row>
    <row r="8" spans="2:15" ht="15" customHeight="1" x14ac:dyDescent="0.2">
      <c r="B8" s="38" t="s">
        <v>326</v>
      </c>
      <c r="C8" s="39"/>
      <c r="D8" s="39" t="s">
        <v>702</v>
      </c>
      <c r="E8" s="39" t="s">
        <v>702</v>
      </c>
      <c r="F8" s="39" t="s">
        <v>702</v>
      </c>
      <c r="G8" s="40">
        <v>14.2</v>
      </c>
      <c r="H8" s="39" t="s">
        <v>702</v>
      </c>
      <c r="I8" s="39" t="s">
        <v>702</v>
      </c>
      <c r="J8" s="40">
        <v>11.7</v>
      </c>
      <c r="K8" s="40">
        <v>10.7</v>
      </c>
      <c r="L8" s="40">
        <v>11.7</v>
      </c>
      <c r="M8" s="40">
        <v>9.5</v>
      </c>
      <c r="N8" s="40">
        <v>11.8</v>
      </c>
      <c r="O8" s="40">
        <f t="shared" si="0"/>
        <v>11.6</v>
      </c>
    </row>
    <row r="9" spans="2:15" ht="15" customHeight="1" x14ac:dyDescent="0.2">
      <c r="B9" s="38" t="s">
        <v>459</v>
      </c>
      <c r="C9" s="39"/>
      <c r="D9" s="39" t="s">
        <v>702</v>
      </c>
      <c r="E9" s="39" t="s">
        <v>702</v>
      </c>
      <c r="F9" s="39" t="s">
        <v>702</v>
      </c>
      <c r="G9" s="39" t="s">
        <v>702</v>
      </c>
      <c r="H9" s="39" t="s">
        <v>702</v>
      </c>
      <c r="I9" s="39" t="s">
        <v>702</v>
      </c>
      <c r="J9" s="40">
        <v>17.2</v>
      </c>
      <c r="K9" s="40">
        <v>18.5</v>
      </c>
      <c r="L9" s="40">
        <v>18.399999999999999</v>
      </c>
      <c r="M9" s="40">
        <v>17.2</v>
      </c>
      <c r="N9" s="40">
        <v>17.8</v>
      </c>
      <c r="O9" s="40">
        <f t="shared" si="0"/>
        <v>17.82</v>
      </c>
    </row>
    <row r="10" spans="2:15" ht="15" customHeight="1" x14ac:dyDescent="0.2">
      <c r="B10" s="38" t="s">
        <v>462</v>
      </c>
      <c r="C10" s="39"/>
      <c r="D10" s="39" t="s">
        <v>702</v>
      </c>
      <c r="E10" s="39" t="s">
        <v>702</v>
      </c>
      <c r="F10" s="39" t="s">
        <v>702</v>
      </c>
      <c r="G10" s="39" t="s">
        <v>702</v>
      </c>
      <c r="H10" s="39" t="s">
        <v>702</v>
      </c>
      <c r="I10" s="39" t="s">
        <v>702</v>
      </c>
      <c r="J10" s="39"/>
      <c r="K10" s="39"/>
      <c r="L10" s="39"/>
      <c r="M10" s="39" t="s">
        <v>702</v>
      </c>
      <c r="N10" s="40">
        <v>12.4</v>
      </c>
      <c r="O10" s="40">
        <f t="shared" si="0"/>
        <v>12.4</v>
      </c>
    </row>
    <row r="11" spans="2:15" ht="15" customHeight="1" x14ac:dyDescent="0.2">
      <c r="B11" s="38" t="s">
        <v>127</v>
      </c>
      <c r="C11" s="40">
        <v>28</v>
      </c>
      <c r="D11" s="40">
        <v>22.3</v>
      </c>
      <c r="E11" s="40">
        <v>19.899999999999999</v>
      </c>
      <c r="F11" s="40">
        <v>17.3</v>
      </c>
      <c r="G11" s="40">
        <v>15.2</v>
      </c>
      <c r="H11" s="40">
        <v>14.6</v>
      </c>
      <c r="I11" s="40">
        <v>14.8</v>
      </c>
      <c r="J11" s="40">
        <v>12.4</v>
      </c>
      <c r="K11" s="40">
        <v>13.5</v>
      </c>
      <c r="L11" s="40">
        <v>12.7</v>
      </c>
      <c r="M11" s="40">
        <v>10</v>
      </c>
      <c r="N11" s="40">
        <v>10.1</v>
      </c>
      <c r="O11" s="40">
        <f t="shared" si="0"/>
        <v>15.899999999999999</v>
      </c>
    </row>
    <row r="12" spans="2:15" ht="15" customHeight="1" x14ac:dyDescent="0.2">
      <c r="B12" s="38" t="s">
        <v>132</v>
      </c>
      <c r="C12" s="40">
        <v>15</v>
      </c>
      <c r="D12" s="40">
        <v>16.8</v>
      </c>
      <c r="E12" s="40">
        <v>13.4</v>
      </c>
      <c r="F12" s="40">
        <v>7.8</v>
      </c>
      <c r="G12" s="40">
        <v>4.5999999999999996</v>
      </c>
      <c r="H12" s="40">
        <v>3.9</v>
      </c>
      <c r="I12" s="40">
        <v>4</v>
      </c>
      <c r="J12" s="40">
        <v>3.3</v>
      </c>
      <c r="K12" s="40">
        <v>6.3</v>
      </c>
      <c r="L12" s="40">
        <v>6.7</v>
      </c>
      <c r="M12" s="40">
        <v>6.8</v>
      </c>
      <c r="N12" s="40">
        <v>6.7</v>
      </c>
      <c r="O12" s="40">
        <f t="shared" si="0"/>
        <v>7.9416666666666664</v>
      </c>
    </row>
    <row r="13" spans="2:15" ht="15" customHeight="1" x14ac:dyDescent="0.2">
      <c r="B13" s="38" t="s">
        <v>174</v>
      </c>
      <c r="C13" s="39"/>
      <c r="D13" s="40">
        <v>31.4</v>
      </c>
      <c r="E13" s="40">
        <v>25</v>
      </c>
      <c r="F13" s="40">
        <v>27.2</v>
      </c>
      <c r="G13" s="40">
        <v>26.2</v>
      </c>
      <c r="H13" s="40">
        <v>25.2</v>
      </c>
      <c r="I13" s="40">
        <v>23.5</v>
      </c>
      <c r="J13" s="40">
        <v>18.899999999999999</v>
      </c>
      <c r="K13" s="40">
        <v>19.2</v>
      </c>
      <c r="L13" s="40">
        <v>19.899999999999999</v>
      </c>
      <c r="M13" s="40">
        <v>18</v>
      </c>
      <c r="N13" s="40">
        <v>17.399999999999999</v>
      </c>
      <c r="O13" s="40">
        <f t="shared" si="0"/>
        <v>22.900000000000002</v>
      </c>
    </row>
    <row r="14" spans="2:15" ht="15" customHeight="1" x14ac:dyDescent="0.2">
      <c r="B14" s="38" t="s">
        <v>178</v>
      </c>
      <c r="C14" s="39"/>
      <c r="D14" s="40">
        <v>30</v>
      </c>
      <c r="E14" s="40">
        <v>25</v>
      </c>
      <c r="F14" s="40">
        <v>22.4</v>
      </c>
      <c r="G14" s="40">
        <v>19.2</v>
      </c>
      <c r="H14" s="40">
        <v>15.8</v>
      </c>
      <c r="I14" s="40">
        <v>16.899999999999999</v>
      </c>
      <c r="J14" s="40">
        <v>15.1</v>
      </c>
      <c r="K14" s="40">
        <v>12</v>
      </c>
      <c r="L14" s="40">
        <v>12.7</v>
      </c>
      <c r="M14" s="40">
        <v>13.1</v>
      </c>
      <c r="N14" s="40">
        <v>10.9</v>
      </c>
      <c r="O14" s="40">
        <f t="shared" si="0"/>
        <v>17.554545454545455</v>
      </c>
    </row>
    <row r="15" spans="2:15" ht="15" customHeight="1" x14ac:dyDescent="0.2">
      <c r="B15" s="38" t="s">
        <v>229</v>
      </c>
      <c r="C15" s="39"/>
      <c r="D15" s="39" t="s">
        <v>702</v>
      </c>
      <c r="E15" s="40">
        <v>11</v>
      </c>
      <c r="F15" s="40">
        <v>9.4</v>
      </c>
      <c r="G15" s="40">
        <v>6.8</v>
      </c>
      <c r="H15" s="40">
        <v>7.5</v>
      </c>
      <c r="I15" s="40">
        <v>7.3</v>
      </c>
      <c r="J15" s="39" t="s">
        <v>702</v>
      </c>
      <c r="K15" s="39" t="s">
        <v>702</v>
      </c>
      <c r="L15" s="40">
        <v>9</v>
      </c>
      <c r="M15" s="40">
        <v>8</v>
      </c>
      <c r="N15" s="39" t="s">
        <v>702</v>
      </c>
      <c r="O15" s="40">
        <f t="shared" si="0"/>
        <v>8.4285714285714288</v>
      </c>
    </row>
    <row r="16" spans="2:15" ht="15" customHeight="1" x14ac:dyDescent="0.2">
      <c r="B16" s="38" t="s">
        <v>119</v>
      </c>
      <c r="C16" s="40">
        <v>15</v>
      </c>
      <c r="D16" s="40">
        <v>14.1</v>
      </c>
      <c r="E16" s="40">
        <v>14.7</v>
      </c>
      <c r="F16" s="40">
        <v>13.1</v>
      </c>
      <c r="G16" s="40">
        <v>11.8</v>
      </c>
      <c r="H16" s="40">
        <v>12.5</v>
      </c>
      <c r="I16" s="40">
        <v>11.9</v>
      </c>
      <c r="J16" s="40">
        <v>12</v>
      </c>
      <c r="K16" s="40">
        <v>11.7</v>
      </c>
      <c r="L16" s="40">
        <v>11.7</v>
      </c>
      <c r="M16" s="40">
        <v>10.9</v>
      </c>
      <c r="N16" s="40">
        <v>11.6</v>
      </c>
      <c r="O16" s="40">
        <f t="shared" si="0"/>
        <v>12.583333333333334</v>
      </c>
    </row>
    <row r="17" spans="2:15" ht="15" customHeight="1" x14ac:dyDescent="0.2">
      <c r="B17" s="38" t="s">
        <v>120</v>
      </c>
      <c r="C17" s="40">
        <v>20</v>
      </c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40">
        <f t="shared" si="0"/>
        <v>20</v>
      </c>
    </row>
    <row r="18" spans="2:15" ht="15" customHeight="1" x14ac:dyDescent="0.2">
      <c r="B18" s="38" t="s">
        <v>122</v>
      </c>
      <c r="C18" s="40">
        <v>18</v>
      </c>
      <c r="D18" s="40">
        <v>18.399999999999999</v>
      </c>
      <c r="E18" s="40">
        <v>17.899999999999999</v>
      </c>
      <c r="F18" s="39" t="s">
        <v>702</v>
      </c>
      <c r="G18" s="40">
        <v>18.5</v>
      </c>
      <c r="H18" s="40">
        <v>18.399999999999999</v>
      </c>
      <c r="I18" s="40">
        <v>19.600000000000001</v>
      </c>
      <c r="J18" s="40">
        <v>19.600000000000001</v>
      </c>
      <c r="K18" s="40">
        <v>19.100000000000001</v>
      </c>
      <c r="L18" s="40">
        <v>17.100000000000001</v>
      </c>
      <c r="M18" s="40">
        <v>16.399999999999999</v>
      </c>
      <c r="N18" s="40">
        <v>16</v>
      </c>
      <c r="O18" s="40">
        <f t="shared" si="0"/>
        <v>18.09090909090909</v>
      </c>
    </row>
    <row r="19" spans="2:15" ht="15" customHeight="1" x14ac:dyDescent="0.2">
      <c r="B19" s="38" t="s">
        <v>118</v>
      </c>
      <c r="C19" s="40">
        <v>15</v>
      </c>
      <c r="D19" s="40">
        <v>12.8</v>
      </c>
      <c r="E19" s="40">
        <v>12.3</v>
      </c>
      <c r="F19" s="40">
        <v>12.5</v>
      </c>
      <c r="G19" s="40">
        <v>12.7</v>
      </c>
      <c r="H19" s="40">
        <v>12.5</v>
      </c>
      <c r="I19" s="40">
        <v>11.3</v>
      </c>
      <c r="J19" s="40">
        <v>9.1</v>
      </c>
      <c r="K19" s="40">
        <v>8.8000000000000007</v>
      </c>
      <c r="L19" s="40">
        <v>8.6999999999999993</v>
      </c>
      <c r="M19" s="40">
        <v>9.4</v>
      </c>
      <c r="N19" s="40">
        <v>7.4</v>
      </c>
      <c r="O19" s="40">
        <f t="shared" si="0"/>
        <v>11.041666666666666</v>
      </c>
    </row>
    <row r="20" spans="2:15" ht="15" customHeight="1" x14ac:dyDescent="0.2">
      <c r="B20" s="38" t="s">
        <v>123</v>
      </c>
      <c r="C20" s="40">
        <v>20</v>
      </c>
      <c r="D20" s="40">
        <v>18.8</v>
      </c>
      <c r="E20" s="40">
        <v>16</v>
      </c>
      <c r="F20" s="40">
        <v>13.9</v>
      </c>
      <c r="G20" s="40">
        <v>11.8</v>
      </c>
      <c r="H20" s="40">
        <v>14.4</v>
      </c>
      <c r="I20" s="40">
        <v>13.4</v>
      </c>
      <c r="J20" s="40">
        <v>8.9</v>
      </c>
      <c r="K20" s="40">
        <v>9.3000000000000007</v>
      </c>
      <c r="L20" s="40">
        <v>8.6999999999999993</v>
      </c>
      <c r="M20" s="40">
        <v>7.9</v>
      </c>
      <c r="N20" s="40">
        <v>8.9</v>
      </c>
      <c r="O20" s="40">
        <f t="shared" si="0"/>
        <v>12.66666666666667</v>
      </c>
    </row>
    <row r="21" spans="2:15" ht="15" customHeight="1" x14ac:dyDescent="0.2">
      <c r="B21" s="38" t="s">
        <v>129</v>
      </c>
      <c r="C21" s="40">
        <v>15</v>
      </c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40">
        <f t="shared" si="0"/>
        <v>15</v>
      </c>
    </row>
    <row r="22" spans="2:15" ht="15" customHeight="1" x14ac:dyDescent="0.2">
      <c r="B22" s="38" t="s">
        <v>133</v>
      </c>
      <c r="C22" s="40">
        <v>15</v>
      </c>
      <c r="D22" s="40">
        <v>15.7</v>
      </c>
      <c r="E22" s="40">
        <v>16.399999999999999</v>
      </c>
      <c r="F22" s="40">
        <v>15.9</v>
      </c>
      <c r="G22" s="40">
        <v>14.3</v>
      </c>
      <c r="H22" s="40">
        <v>14</v>
      </c>
      <c r="I22" s="40">
        <v>15.4</v>
      </c>
      <c r="J22" s="40">
        <v>14.5</v>
      </c>
      <c r="K22" s="39" t="s">
        <v>702</v>
      </c>
      <c r="L22" s="40">
        <v>15.9</v>
      </c>
      <c r="M22" s="40">
        <v>16.2</v>
      </c>
      <c r="N22" s="40">
        <v>14.7</v>
      </c>
      <c r="O22" s="40">
        <f t="shared" si="0"/>
        <v>15.27272727272727</v>
      </c>
    </row>
    <row r="23" spans="2:15" ht="15" customHeight="1" x14ac:dyDescent="0.2">
      <c r="B23" s="38" t="s">
        <v>234</v>
      </c>
      <c r="C23" s="39"/>
      <c r="D23" s="39" t="s">
        <v>702</v>
      </c>
      <c r="E23" s="40">
        <v>9.5</v>
      </c>
      <c r="F23" s="40">
        <v>8.6999999999999993</v>
      </c>
      <c r="G23" s="40">
        <v>7.5</v>
      </c>
      <c r="H23" s="40">
        <v>8.6</v>
      </c>
      <c r="I23" s="40">
        <v>8.3000000000000007</v>
      </c>
      <c r="J23" s="40">
        <v>4.2</v>
      </c>
      <c r="K23" s="40">
        <v>5.3</v>
      </c>
      <c r="L23" s="40">
        <v>5.7</v>
      </c>
      <c r="M23" s="39" t="s">
        <v>702</v>
      </c>
      <c r="N23" s="39" t="s">
        <v>702</v>
      </c>
      <c r="O23" s="40">
        <f t="shared" si="0"/>
        <v>7.2249999999999996</v>
      </c>
    </row>
    <row r="24" spans="2:15" ht="15" customHeight="1" x14ac:dyDescent="0.2">
      <c r="B24" s="38" t="s">
        <v>233</v>
      </c>
      <c r="C24" s="39"/>
      <c r="D24" s="39" t="s">
        <v>702</v>
      </c>
      <c r="E24" s="40">
        <v>18.7</v>
      </c>
      <c r="F24" s="40">
        <v>18.2</v>
      </c>
      <c r="G24" s="40">
        <v>18.600000000000001</v>
      </c>
      <c r="H24" s="40">
        <v>18.899999999999999</v>
      </c>
      <c r="I24" s="40">
        <v>15</v>
      </c>
      <c r="J24" s="39" t="s">
        <v>702</v>
      </c>
      <c r="K24" s="39" t="s">
        <v>702</v>
      </c>
      <c r="L24" s="39" t="s">
        <v>702</v>
      </c>
      <c r="M24" s="40">
        <v>18</v>
      </c>
      <c r="N24" s="39" t="s">
        <v>702</v>
      </c>
      <c r="O24" s="40">
        <f t="shared" si="0"/>
        <v>17.900000000000002</v>
      </c>
    </row>
    <row r="25" spans="2:15" ht="15" customHeight="1" x14ac:dyDescent="0.2">
      <c r="B25" s="38" t="s">
        <v>464</v>
      </c>
      <c r="C25" s="39"/>
      <c r="D25" s="39" t="s">
        <v>702</v>
      </c>
      <c r="E25" s="39" t="s">
        <v>702</v>
      </c>
      <c r="F25" s="39" t="s">
        <v>702</v>
      </c>
      <c r="G25" s="39" t="s">
        <v>702</v>
      </c>
      <c r="H25" s="39" t="s">
        <v>702</v>
      </c>
      <c r="I25" s="39" t="s">
        <v>702</v>
      </c>
      <c r="J25" s="40">
        <v>5.7</v>
      </c>
      <c r="K25" s="40">
        <v>8.8000000000000007</v>
      </c>
      <c r="L25" s="40">
        <v>6.8</v>
      </c>
      <c r="M25" s="39" t="s">
        <v>702</v>
      </c>
      <c r="N25" s="40">
        <v>10.5</v>
      </c>
      <c r="O25" s="40">
        <f t="shared" si="0"/>
        <v>7.95</v>
      </c>
    </row>
    <row r="26" spans="2:15" ht="15" customHeight="1" x14ac:dyDescent="0.2">
      <c r="B26" s="38" t="s">
        <v>465</v>
      </c>
      <c r="C26" s="39"/>
      <c r="D26" s="39" t="s">
        <v>702</v>
      </c>
      <c r="E26" s="39" t="s">
        <v>702</v>
      </c>
      <c r="F26" s="39" t="s">
        <v>702</v>
      </c>
      <c r="G26" s="39" t="s">
        <v>702</v>
      </c>
      <c r="H26" s="39" t="s">
        <v>702</v>
      </c>
      <c r="I26" s="39" t="s">
        <v>702</v>
      </c>
      <c r="J26" s="40">
        <v>10.1</v>
      </c>
      <c r="K26" s="39" t="s">
        <v>702</v>
      </c>
      <c r="L26" s="39" t="s">
        <v>702</v>
      </c>
      <c r="M26" s="39" t="s">
        <v>702</v>
      </c>
      <c r="N26" s="40">
        <v>9</v>
      </c>
      <c r="O26" s="40">
        <f t="shared" si="0"/>
        <v>9.5500000000000007</v>
      </c>
    </row>
    <row r="27" spans="2:15" ht="15" customHeight="1" x14ac:dyDescent="0.2">
      <c r="B27" s="38" t="s">
        <v>130</v>
      </c>
      <c r="C27" s="40">
        <v>10</v>
      </c>
      <c r="D27" s="39" t="s">
        <v>702</v>
      </c>
      <c r="E27" s="39" t="s">
        <v>702</v>
      </c>
      <c r="F27" s="39" t="s">
        <v>702</v>
      </c>
      <c r="G27" s="40">
        <v>9.5</v>
      </c>
      <c r="H27" s="40">
        <v>7.5</v>
      </c>
      <c r="I27" s="40">
        <v>7.7</v>
      </c>
      <c r="J27" s="39" t="s">
        <v>702</v>
      </c>
      <c r="K27" s="40">
        <v>4.5</v>
      </c>
      <c r="L27" s="39" t="s">
        <v>702</v>
      </c>
      <c r="M27" s="40">
        <v>5.7</v>
      </c>
      <c r="N27" s="40">
        <v>4.3</v>
      </c>
      <c r="O27" s="40">
        <f t="shared" si="0"/>
        <v>7.0285714285714294</v>
      </c>
    </row>
    <row r="28" spans="2:15" ht="15" customHeight="1" x14ac:dyDescent="0.2">
      <c r="B28" s="38" t="s">
        <v>550</v>
      </c>
      <c r="C28" s="39"/>
      <c r="D28" s="39" t="s">
        <v>702</v>
      </c>
      <c r="E28" s="39" t="s">
        <v>702</v>
      </c>
      <c r="F28" s="39" t="s">
        <v>702</v>
      </c>
      <c r="G28" s="39" t="s">
        <v>702</v>
      </c>
      <c r="H28" s="39" t="s">
        <v>702</v>
      </c>
      <c r="I28" s="39" t="s">
        <v>702</v>
      </c>
      <c r="J28" s="39" t="s">
        <v>702</v>
      </c>
      <c r="K28" s="39" t="s">
        <v>702</v>
      </c>
      <c r="L28" s="40">
        <v>14.6</v>
      </c>
      <c r="M28" s="39" t="s">
        <v>702</v>
      </c>
      <c r="N28" s="40">
        <v>12.1</v>
      </c>
      <c r="O28" s="40">
        <f t="shared" si="0"/>
        <v>13.35</v>
      </c>
    </row>
    <row r="29" spans="2:15" ht="15" customHeight="1" x14ac:dyDescent="0.2">
      <c r="B29" s="38" t="s">
        <v>468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</row>
    <row r="30" spans="2:15" ht="15" customHeight="1" x14ac:dyDescent="0.2">
      <c r="B30" s="38" t="s">
        <v>136</v>
      </c>
      <c r="C30" s="40">
        <v>30</v>
      </c>
      <c r="D30" s="40">
        <v>21.8</v>
      </c>
      <c r="E30" s="40">
        <v>17.7</v>
      </c>
      <c r="F30" s="40">
        <v>17.3</v>
      </c>
      <c r="G30" s="40">
        <v>16.5</v>
      </c>
      <c r="H30" s="40">
        <v>16.2</v>
      </c>
      <c r="I30" s="40">
        <v>14.6</v>
      </c>
      <c r="J30" s="40">
        <v>14.6</v>
      </c>
      <c r="K30" s="40">
        <v>14.4</v>
      </c>
      <c r="L30" s="39" t="s">
        <v>702</v>
      </c>
      <c r="M30" s="40">
        <v>12.9</v>
      </c>
      <c r="N30" s="40">
        <v>12.9</v>
      </c>
      <c r="O30" s="40">
        <f>IFERROR(AVERAGE(C30:N30),"")</f>
        <v>17.172727272727272</v>
      </c>
    </row>
    <row r="31" spans="2:15" ht="15" customHeight="1" x14ac:dyDescent="0.2">
      <c r="B31" s="38" t="s">
        <v>641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</row>
    <row r="32" spans="2:15" ht="15" customHeight="1" x14ac:dyDescent="0.2">
      <c r="B32" s="38" t="s">
        <v>177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</row>
    <row r="33" spans="2:15" ht="15" customHeight="1" x14ac:dyDescent="0.2">
      <c r="B33" s="38" t="s">
        <v>276</v>
      </c>
      <c r="C33" s="39"/>
      <c r="D33" s="39" t="s">
        <v>702</v>
      </c>
      <c r="E33" s="39" t="s">
        <v>702</v>
      </c>
      <c r="F33" s="40">
        <v>12.7</v>
      </c>
      <c r="G33" s="40">
        <v>13.6</v>
      </c>
      <c r="H33" s="40">
        <v>15</v>
      </c>
      <c r="I33" s="40">
        <v>13.6</v>
      </c>
      <c r="J33" s="40">
        <v>9</v>
      </c>
      <c r="K33" s="40">
        <v>9.3000000000000007</v>
      </c>
      <c r="L33" s="40">
        <v>10</v>
      </c>
      <c r="M33" s="40">
        <v>9.5</v>
      </c>
      <c r="N33" s="39" t="s">
        <v>702</v>
      </c>
      <c r="O33" s="40">
        <f>IFERROR(AVERAGE(C33:N33),"")</f>
        <v>11.5875</v>
      </c>
    </row>
    <row r="34" spans="2:15" ht="15" customHeight="1" x14ac:dyDescent="0.2">
      <c r="B34" s="38" t="s">
        <v>230</v>
      </c>
      <c r="C34" s="39"/>
      <c r="D34" s="39" t="s">
        <v>702</v>
      </c>
      <c r="E34" s="40">
        <v>14.3</v>
      </c>
      <c r="F34" s="40">
        <v>13</v>
      </c>
      <c r="G34" s="40">
        <v>11.9</v>
      </c>
      <c r="H34" s="40">
        <v>11.1</v>
      </c>
      <c r="I34" s="40">
        <v>9.9</v>
      </c>
      <c r="J34" s="40">
        <v>10.199999999999999</v>
      </c>
      <c r="K34" s="40">
        <v>10.4</v>
      </c>
      <c r="L34" s="40">
        <v>8.9</v>
      </c>
      <c r="M34" s="40">
        <v>10.199999999999999</v>
      </c>
      <c r="N34" s="40">
        <v>8.6</v>
      </c>
      <c r="O34" s="40">
        <f>IFERROR(AVERAGE(C34:N34),"")</f>
        <v>10.850000000000001</v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H24" sqref="AH24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13" t="s">
        <v>720</v>
      </c>
    </row>
    <row r="2" spans="2:18" ht="15" customHeight="1" x14ac:dyDescent="0.2">
      <c r="B2" s="41" t="s">
        <v>721</v>
      </c>
    </row>
    <row r="3" spans="2:18" ht="15" customHeight="1" x14ac:dyDescent="0.2"/>
    <row r="4" spans="2:18" ht="15" customHeight="1" x14ac:dyDescent="0.2">
      <c r="B4" s="42" t="s">
        <v>684</v>
      </c>
      <c r="C4" s="42" t="s">
        <v>685</v>
      </c>
      <c r="D4" s="42" t="s">
        <v>686</v>
      </c>
      <c r="E4" s="42" t="s">
        <v>687</v>
      </c>
      <c r="F4" s="42" t="s">
        <v>688</v>
      </c>
      <c r="G4" s="42" t="s">
        <v>689</v>
      </c>
      <c r="H4" s="42" t="s">
        <v>690</v>
      </c>
      <c r="I4" s="42" t="s">
        <v>691</v>
      </c>
      <c r="J4" s="42" t="s">
        <v>692</v>
      </c>
      <c r="K4" s="42" t="s">
        <v>693</v>
      </c>
      <c r="L4" s="42" t="s">
        <v>694</v>
      </c>
      <c r="M4" s="42" t="s">
        <v>695</v>
      </c>
      <c r="N4" s="42" t="s">
        <v>696</v>
      </c>
      <c r="O4" s="42" t="s">
        <v>722</v>
      </c>
      <c r="P4" s="42" t="s">
        <v>723</v>
      </c>
      <c r="Q4" s="42" t="s">
        <v>724</v>
      </c>
      <c r="R4" s="42" t="s">
        <v>697</v>
      </c>
    </row>
    <row r="5" spans="2:18" ht="15" customHeight="1" x14ac:dyDescent="0.2">
      <c r="B5" s="43" t="s">
        <v>135</v>
      </c>
      <c r="C5" s="44">
        <f>SUMIFS(Archives!$AF$2:$AF$1048576,Archives!$D$2:$D$1048576,1,Archives!$V$2:$V$1048576,$B5)+SUMIFS(Archives!$AF$2:$AF$1048576,Archives!$D$2:$D$1048576,1,Archives!$Y$2:$Y$1048576,$B5)</f>
        <v>6</v>
      </c>
      <c r="D5" s="44">
        <f>SUMIFS(Archives!$AF$2:$AF$1048576,Archives!$D$2:$D$1048576,2,Archives!$V$2:$V$1048576,$B5)+SUMIFS(Archives!$AF$2:$AF$1048576,Archives!$D$2:$D$1048576,2,Archives!$Y$2:$Y$1048576,$B5)</f>
        <v>3.5</v>
      </c>
      <c r="E5" s="44">
        <f>SUMIFS(Archives!$AF$2:$AF$1048576,Archives!$D$2:$D$1048576,3,Archives!$V$2:$V$1048576,$B5)+SUMIFS(Archives!$AF$2:$AF$1048576,Archives!$D$2:$D$1048576,3,Archives!$Y$2:$Y$1048576,$B5)</f>
        <v>4.5</v>
      </c>
      <c r="F5" s="44">
        <f>SUMIFS(Archives!$AF$2:$AF$1048576,Archives!$D$2:$D$1048576,4,Archives!$V$2:$V$1048576,$B5)+SUMIFS(Archives!$AF$2:$AF$1048576,Archives!$D$2:$D$1048576,4,Archives!$Y$2:$Y$1048576,$B5)</f>
        <v>3.5</v>
      </c>
      <c r="G5" s="44">
        <f>SUMIFS(Archives!$AF$2:$AF$1048576,Archives!$D$2:$D$1048576,5,Archives!$V$2:$V$1048576,$B5)+SUMIFS(Archives!$AF$2:$AF$1048576,Archives!$D$2:$D$1048576,5,Archives!$Y$2:$Y$1048576,$B5)</f>
        <v>4</v>
      </c>
      <c r="H5" s="44">
        <f>SUMIFS(Archives!$AF$2:$AF$1048576,Archives!$D$2:$D$1048576,6,Archives!$V$2:$V$1048576,$B5)+SUMIFS(Archives!$AF$2:$AF$1048576,Archives!$D$2:$D$1048576,6,Archives!$Y$2:$Y$1048576,$B5)</f>
        <v>2</v>
      </c>
      <c r="I5" s="44">
        <f>SUMIFS(Archives!$AF$2:$AF$1048576,Archives!$D$2:$D$1048576,7,Archives!$V$2:$V$1048576,$B5)+SUMIFS(Archives!$AF$2:$AF$1048576,Archives!$D$2:$D$1048576,7,Archives!$Y$2:$Y$1048576,$B5)</f>
        <v>2</v>
      </c>
      <c r="J5" s="44">
        <f>SUMIFS(Archives!$AF$2:$AF$1048576,Archives!$D$2:$D$1048576,8,Archives!$V$2:$V$1048576,$B5)+SUMIFS(Archives!$AF$2:$AF$1048576,Archives!$D$2:$D$1048576,8,Archives!$Y$2:$Y$1048576,$B5)</f>
        <v>4</v>
      </c>
      <c r="K5" s="44">
        <f>SUMIFS(Archives!$AF$2:$AF$1048576,Archives!$D$2:$D$1048576,9,Archives!$V$2:$V$1048576,$B5)+SUMIFS(Archives!$AF$2:$AF$1048576,Archives!$D$2:$D$1048576,9,Archives!$Y$2:$Y$1048576,$B5)</f>
        <v>3.5</v>
      </c>
      <c r="L5" s="44">
        <f>SUMIFS(Archives!$AF$2:$AF$1048576,Archives!$D$2:$D$1048576,10,Archives!$V$2:$V$1048576,$B5)+SUMIFS(Archives!$AF$2:$AF$1048576,Archives!$D$2:$D$1048576,10,Archives!$Y$2:$Y$1048576,$B5)</f>
        <v>6</v>
      </c>
      <c r="M5" s="44">
        <f>SUMIFS(Archives!$AF$2:$AF$1048576,Archives!$D$2:$D$1048576,11,Archives!$V$2:$V$1048576,$B5)+SUMIFS(Archives!$AF$2:$AF$1048576,Archives!$D$2:$D$1048576,11,Archives!$Y$2:$Y$1048576,$B5)</f>
        <v>5</v>
      </c>
      <c r="N5" s="44">
        <f>SUMIFS(Archives!$AF$2:$AF$1048576,Archives!$D$2:$D$1048576,12,Archives!$V$2:$V$1048576,$B5)+SUMIFS(Archives!$AF$2:$AF$1048576,Archives!$D$2:$D$1048576,12,Archives!$Y$2:$Y$1048576,$B5)</f>
        <v>6.5</v>
      </c>
      <c r="O5" s="44">
        <f>SUMIFS(Archives!$AF$2:$AF$1048576,Archives!$D$2:$D$1048576,13,Archives!$V$2:$V$1048576,$B5)+SUMIFS(Archives!$AF$2:$AF$1048576,Archives!$D$2:$D$1048576,13,Archives!$Y$2:$Y$1048576,$B5)</f>
        <v>0</v>
      </c>
      <c r="P5" s="44">
        <f>SUMIFS(Archives!$AF$2:$AF$1048576,Archives!$D$2:$D$1048576,14,Archives!$V$2:$V$1048576,$B5)+SUMIFS(Archives!$AF$2:$AF$1048576,Archives!$D$2:$D$1048576,14,Archives!$Y$2:$Y$1048576,$B5)</f>
        <v>0</v>
      </c>
      <c r="Q5" s="44">
        <f>SUMIFS(Archives!$AF$2:$AF$1048576,Archives!$D$2:$D$1048576,15,Archives!$V$2:$V$1048576,$B5)+SUMIFS(Archives!$AF$2:$AF$1048576,Archives!$D$2:$D$1048576,15,Archives!$Y$2:$Y$1048576,$B5)</f>
        <v>0</v>
      </c>
      <c r="R5" s="45">
        <f t="shared" ref="R5:R35" si="0">SUM(C5:Q5)</f>
        <v>50.5</v>
      </c>
    </row>
    <row r="6" spans="2:18" ht="15" customHeight="1" x14ac:dyDescent="0.2">
      <c r="B6" s="46" t="s">
        <v>127</v>
      </c>
      <c r="C6" s="47">
        <f>SUMIFS(Archives!$AF$2:$AF$1048576,Archives!$D$2:$D$1048576,1,Archives!$V$2:$V$1048576,$B6)+SUMIFS(Archives!$AF$2:$AF$1048576,Archives!$D$2:$D$1048576,1,Archives!$Y$2:$Y$1048576,$B6)</f>
        <v>5.5</v>
      </c>
      <c r="D6" s="47">
        <f>SUMIFS(Archives!$AF$2:$AF$1048576,Archives!$D$2:$D$1048576,2,Archives!$V$2:$V$1048576,$B6)+SUMIFS(Archives!$AF$2:$AF$1048576,Archives!$D$2:$D$1048576,2,Archives!$Y$2:$Y$1048576,$B6)</f>
        <v>2.5</v>
      </c>
      <c r="E6" s="47">
        <f>SUMIFS(Archives!$AF$2:$AF$1048576,Archives!$D$2:$D$1048576,3,Archives!$V$2:$V$1048576,$B6)+SUMIFS(Archives!$AF$2:$AF$1048576,Archives!$D$2:$D$1048576,3,Archives!$Y$2:$Y$1048576,$B6)</f>
        <v>5</v>
      </c>
      <c r="F6" s="47">
        <f>SUMIFS(Archives!$AF$2:$AF$1048576,Archives!$D$2:$D$1048576,4,Archives!$V$2:$V$1048576,$B6)+SUMIFS(Archives!$AF$2:$AF$1048576,Archives!$D$2:$D$1048576,4,Archives!$Y$2:$Y$1048576,$B6)</f>
        <v>2.5</v>
      </c>
      <c r="G6" s="47">
        <f>SUMIFS(Archives!$AF$2:$AF$1048576,Archives!$D$2:$D$1048576,5,Archives!$V$2:$V$1048576,$B6)+SUMIFS(Archives!$AF$2:$AF$1048576,Archives!$D$2:$D$1048576,5,Archives!$Y$2:$Y$1048576,$B6)</f>
        <v>4.5</v>
      </c>
      <c r="H6" s="47">
        <f>SUMIFS(Archives!$AF$2:$AF$1048576,Archives!$D$2:$D$1048576,6,Archives!$V$2:$V$1048576,$B6)+SUMIFS(Archives!$AF$2:$AF$1048576,Archives!$D$2:$D$1048576,6,Archives!$Y$2:$Y$1048576,$B6)</f>
        <v>3</v>
      </c>
      <c r="I6" s="47">
        <f>SUMIFS(Archives!$AF$2:$AF$1048576,Archives!$D$2:$D$1048576,7,Archives!$V$2:$V$1048576,$B6)+SUMIFS(Archives!$AF$2:$AF$1048576,Archives!$D$2:$D$1048576,7,Archives!$Y$2:$Y$1048576,$B6)</f>
        <v>4.5</v>
      </c>
      <c r="J6" s="47">
        <f>SUMIFS(Archives!$AF$2:$AF$1048576,Archives!$D$2:$D$1048576,8,Archives!$V$2:$V$1048576,$B6)+SUMIFS(Archives!$AF$2:$AF$1048576,Archives!$D$2:$D$1048576,8,Archives!$Y$2:$Y$1048576,$B6)</f>
        <v>3.5</v>
      </c>
      <c r="K6" s="47">
        <f>SUMIFS(Archives!$AF$2:$AF$1048576,Archives!$D$2:$D$1048576,9,Archives!$V$2:$V$1048576,$B6)+SUMIFS(Archives!$AF$2:$AF$1048576,Archives!$D$2:$D$1048576,9,Archives!$Y$2:$Y$1048576,$B6)</f>
        <v>2.5</v>
      </c>
      <c r="L6" s="47">
        <f>SUMIFS(Archives!$AF$2:$AF$1048576,Archives!$D$2:$D$1048576,10,Archives!$V$2:$V$1048576,$B6)+SUMIFS(Archives!$AF$2:$AF$1048576,Archives!$D$2:$D$1048576,10,Archives!$Y$2:$Y$1048576,$B6)</f>
        <v>4</v>
      </c>
      <c r="M6" s="47">
        <f>SUMIFS(Archives!$AF$2:$AF$1048576,Archives!$D$2:$D$1048576,11,Archives!$V$2:$V$1048576,$B6)+SUMIFS(Archives!$AF$2:$AF$1048576,Archives!$D$2:$D$1048576,11,Archives!$Y$2:$Y$1048576,$B6)</f>
        <v>5</v>
      </c>
      <c r="N6" s="47">
        <f>SUMIFS(Archives!$AF$2:$AF$1048576,Archives!$D$2:$D$1048576,12,Archives!$V$2:$V$1048576,$B6)+SUMIFS(Archives!$AF$2:$AF$1048576,Archives!$D$2:$D$1048576,12,Archives!$Y$2:$Y$1048576,$B6)</f>
        <v>3.5</v>
      </c>
      <c r="O6" s="47">
        <f>SUMIFS(Archives!$AF$2:$AF$1048576,Archives!$D$2:$D$1048576,13,Archives!$V$2:$V$1048576,$B6)+SUMIFS(Archives!$AF$2:$AF$1048576,Archives!$D$2:$D$1048576,13,Archives!$Y$2:$Y$1048576,$B6)</f>
        <v>0</v>
      </c>
      <c r="P6" s="47">
        <f>SUMIFS(Archives!$AF$2:$AF$1048576,Archives!$D$2:$D$1048576,14,Archives!$V$2:$V$1048576,$B6)+SUMIFS(Archives!$AF$2:$AF$1048576,Archives!$D$2:$D$1048576,14,Archives!$Y$2:$Y$1048576,$B6)</f>
        <v>0</v>
      </c>
      <c r="Q6" s="47">
        <f>SUMIFS(Archives!$AF$2:$AF$1048576,Archives!$D$2:$D$1048576,15,Archives!$V$2:$V$1048576,$B6)+SUMIFS(Archives!$AF$2:$AF$1048576,Archives!$D$2:$D$1048576,15,Archives!$Y$2:$Y$1048576,$B6)</f>
        <v>0</v>
      </c>
      <c r="R6" s="48">
        <f t="shared" si="0"/>
        <v>46</v>
      </c>
    </row>
    <row r="7" spans="2:18" ht="15" customHeight="1" x14ac:dyDescent="0.2">
      <c r="B7" s="43" t="s">
        <v>118</v>
      </c>
      <c r="C7" s="44">
        <f>SUMIFS(Archives!$AF$2:$AF$1048576,Archives!$D$2:$D$1048576,1,Archives!$V$2:$V$1048576,$B7)+SUMIFS(Archives!$AF$2:$AF$1048576,Archives!$D$2:$D$1048576,1,Archives!$Y$2:$Y$1048576,$B7)</f>
        <v>3.5</v>
      </c>
      <c r="D7" s="44">
        <f>SUMIFS(Archives!$AF$2:$AF$1048576,Archives!$D$2:$D$1048576,2,Archives!$V$2:$V$1048576,$B7)+SUMIFS(Archives!$AF$2:$AF$1048576,Archives!$D$2:$D$1048576,2,Archives!$Y$2:$Y$1048576,$B7)</f>
        <v>6</v>
      </c>
      <c r="E7" s="44">
        <f>SUMIFS(Archives!$AF$2:$AF$1048576,Archives!$D$2:$D$1048576,3,Archives!$V$2:$V$1048576,$B7)+SUMIFS(Archives!$AF$2:$AF$1048576,Archives!$D$2:$D$1048576,3,Archives!$Y$2:$Y$1048576,$B7)</f>
        <v>5</v>
      </c>
      <c r="F7" s="44">
        <f>SUMIFS(Archives!$AF$2:$AF$1048576,Archives!$D$2:$D$1048576,4,Archives!$V$2:$V$1048576,$B7)+SUMIFS(Archives!$AF$2:$AF$1048576,Archives!$D$2:$D$1048576,4,Archives!$Y$2:$Y$1048576,$B7)</f>
        <v>2.5</v>
      </c>
      <c r="G7" s="44">
        <f>SUMIFS(Archives!$AF$2:$AF$1048576,Archives!$D$2:$D$1048576,5,Archives!$V$2:$V$1048576,$B7)+SUMIFS(Archives!$AF$2:$AF$1048576,Archives!$D$2:$D$1048576,5,Archives!$Y$2:$Y$1048576,$B7)</f>
        <v>3.5</v>
      </c>
      <c r="H7" s="44">
        <f>SUMIFS(Archives!$AF$2:$AF$1048576,Archives!$D$2:$D$1048576,6,Archives!$V$2:$V$1048576,$B7)+SUMIFS(Archives!$AF$2:$AF$1048576,Archives!$D$2:$D$1048576,6,Archives!$Y$2:$Y$1048576,$B7)</f>
        <v>6.5</v>
      </c>
      <c r="I7" s="44">
        <f>SUMIFS(Archives!$AF$2:$AF$1048576,Archives!$D$2:$D$1048576,7,Archives!$V$2:$V$1048576,$B7)+SUMIFS(Archives!$AF$2:$AF$1048576,Archives!$D$2:$D$1048576,7,Archives!$Y$2:$Y$1048576,$B7)</f>
        <v>4</v>
      </c>
      <c r="J7" s="44">
        <f>SUMIFS(Archives!$AF$2:$AF$1048576,Archives!$D$2:$D$1048576,8,Archives!$V$2:$V$1048576,$B7)+SUMIFS(Archives!$AF$2:$AF$1048576,Archives!$D$2:$D$1048576,8,Archives!$Y$2:$Y$1048576,$B7)</f>
        <v>2.5</v>
      </c>
      <c r="K7" s="44">
        <f>SUMIFS(Archives!$AF$2:$AF$1048576,Archives!$D$2:$D$1048576,9,Archives!$V$2:$V$1048576,$B7)+SUMIFS(Archives!$AF$2:$AF$1048576,Archives!$D$2:$D$1048576,9,Archives!$Y$2:$Y$1048576,$B7)</f>
        <v>1</v>
      </c>
      <c r="L7" s="44">
        <f>SUMIFS(Archives!$AF$2:$AF$1048576,Archives!$D$2:$D$1048576,10,Archives!$V$2:$V$1048576,$B7)+SUMIFS(Archives!$AF$2:$AF$1048576,Archives!$D$2:$D$1048576,10,Archives!$Y$2:$Y$1048576,$B7)</f>
        <v>5.5</v>
      </c>
      <c r="M7" s="44">
        <f>SUMIFS(Archives!$AF$2:$AF$1048576,Archives!$D$2:$D$1048576,11,Archives!$V$2:$V$1048576,$B7)+SUMIFS(Archives!$AF$2:$AF$1048576,Archives!$D$2:$D$1048576,11,Archives!$Y$2:$Y$1048576,$B7)</f>
        <v>2.5</v>
      </c>
      <c r="N7" s="44">
        <f>SUMIFS(Archives!$AF$2:$AF$1048576,Archives!$D$2:$D$1048576,12,Archives!$V$2:$V$1048576,$B7)+SUMIFS(Archives!$AF$2:$AF$1048576,Archives!$D$2:$D$1048576,12,Archives!$Y$2:$Y$1048576,$B7)</f>
        <v>3.5</v>
      </c>
      <c r="O7" s="44">
        <f>SUMIFS(Archives!$AF$2:$AF$1048576,Archives!$D$2:$D$1048576,13,Archives!$V$2:$V$1048576,$B7)+SUMIFS(Archives!$AF$2:$AF$1048576,Archives!$D$2:$D$1048576,13,Archives!$Y$2:$Y$1048576,$B7)</f>
        <v>0</v>
      </c>
      <c r="P7" s="44">
        <f>SUMIFS(Archives!$AF$2:$AF$1048576,Archives!$D$2:$D$1048576,14,Archives!$V$2:$V$1048576,$B7)+SUMIFS(Archives!$AF$2:$AF$1048576,Archives!$D$2:$D$1048576,14,Archives!$Y$2:$Y$1048576,$B7)</f>
        <v>0</v>
      </c>
      <c r="Q7" s="44">
        <f>SUMIFS(Archives!$AF$2:$AF$1048576,Archives!$D$2:$D$1048576,15,Archives!$V$2:$V$1048576,$B7)+SUMIFS(Archives!$AF$2:$AF$1048576,Archives!$D$2:$D$1048576,15,Archives!$Y$2:$Y$1048576,$B7)</f>
        <v>0</v>
      </c>
      <c r="R7" s="45">
        <f t="shared" si="0"/>
        <v>46</v>
      </c>
    </row>
    <row r="8" spans="2:18" ht="15" customHeight="1" x14ac:dyDescent="0.2">
      <c r="B8" s="46" t="s">
        <v>119</v>
      </c>
      <c r="C8" s="47">
        <f>SUMIFS(Archives!$AF$2:$AF$1048576,Archives!$D$2:$D$1048576,1,Archives!$V$2:$V$1048576,$B8)+SUMIFS(Archives!$AF$2:$AF$1048576,Archives!$D$2:$D$1048576,1,Archives!$Y$2:$Y$1048576,$B8)</f>
        <v>2.5</v>
      </c>
      <c r="D8" s="47">
        <f>SUMIFS(Archives!$AF$2:$AF$1048576,Archives!$D$2:$D$1048576,2,Archives!$V$2:$V$1048576,$B8)+SUMIFS(Archives!$AF$2:$AF$1048576,Archives!$D$2:$D$1048576,2,Archives!$Y$2:$Y$1048576,$B8)</f>
        <v>5</v>
      </c>
      <c r="E8" s="47">
        <f>SUMIFS(Archives!$AF$2:$AF$1048576,Archives!$D$2:$D$1048576,3,Archives!$V$2:$V$1048576,$B8)+SUMIFS(Archives!$AF$2:$AF$1048576,Archives!$D$2:$D$1048576,3,Archives!$Y$2:$Y$1048576,$B8)</f>
        <v>1</v>
      </c>
      <c r="F8" s="47">
        <f>SUMIFS(Archives!$AF$2:$AF$1048576,Archives!$D$2:$D$1048576,4,Archives!$V$2:$V$1048576,$B8)+SUMIFS(Archives!$AF$2:$AF$1048576,Archives!$D$2:$D$1048576,4,Archives!$Y$2:$Y$1048576,$B8)</f>
        <v>5</v>
      </c>
      <c r="G8" s="47">
        <f>SUMIFS(Archives!$AF$2:$AF$1048576,Archives!$D$2:$D$1048576,5,Archives!$V$2:$V$1048576,$B8)+SUMIFS(Archives!$AF$2:$AF$1048576,Archives!$D$2:$D$1048576,5,Archives!$Y$2:$Y$1048576,$B8)</f>
        <v>2.5</v>
      </c>
      <c r="H8" s="47">
        <f>SUMIFS(Archives!$AF$2:$AF$1048576,Archives!$D$2:$D$1048576,6,Archives!$V$2:$V$1048576,$B8)+SUMIFS(Archives!$AF$2:$AF$1048576,Archives!$D$2:$D$1048576,6,Archives!$Y$2:$Y$1048576,$B8)</f>
        <v>4.5</v>
      </c>
      <c r="I8" s="47">
        <f>SUMIFS(Archives!$AF$2:$AF$1048576,Archives!$D$2:$D$1048576,7,Archives!$V$2:$V$1048576,$B8)+SUMIFS(Archives!$AF$2:$AF$1048576,Archives!$D$2:$D$1048576,7,Archives!$Y$2:$Y$1048576,$B8)</f>
        <v>6.5</v>
      </c>
      <c r="J8" s="47">
        <f>SUMIFS(Archives!$AF$2:$AF$1048576,Archives!$D$2:$D$1048576,8,Archives!$V$2:$V$1048576,$B8)+SUMIFS(Archives!$AF$2:$AF$1048576,Archives!$D$2:$D$1048576,8,Archives!$Y$2:$Y$1048576,$B8)</f>
        <v>4.5</v>
      </c>
      <c r="K8" s="47">
        <f>SUMIFS(Archives!$AF$2:$AF$1048576,Archives!$D$2:$D$1048576,9,Archives!$V$2:$V$1048576,$B8)+SUMIFS(Archives!$AF$2:$AF$1048576,Archives!$D$2:$D$1048576,9,Archives!$Y$2:$Y$1048576,$B8)</f>
        <v>2</v>
      </c>
      <c r="L8" s="47">
        <f>SUMIFS(Archives!$AF$2:$AF$1048576,Archives!$D$2:$D$1048576,10,Archives!$V$2:$V$1048576,$B8)+SUMIFS(Archives!$AF$2:$AF$1048576,Archives!$D$2:$D$1048576,10,Archives!$Y$2:$Y$1048576,$B8)</f>
        <v>5</v>
      </c>
      <c r="M8" s="47">
        <f>SUMIFS(Archives!$AF$2:$AF$1048576,Archives!$D$2:$D$1048576,11,Archives!$V$2:$V$1048576,$B8)+SUMIFS(Archives!$AF$2:$AF$1048576,Archives!$D$2:$D$1048576,11,Archives!$Y$2:$Y$1048576,$B8)</f>
        <v>0.5</v>
      </c>
      <c r="N8" s="47">
        <f>SUMIFS(Archives!$AF$2:$AF$1048576,Archives!$D$2:$D$1048576,12,Archives!$V$2:$V$1048576,$B8)+SUMIFS(Archives!$AF$2:$AF$1048576,Archives!$D$2:$D$1048576,12,Archives!$Y$2:$Y$1048576,$B8)</f>
        <v>4</v>
      </c>
      <c r="O8" s="47">
        <f>SUMIFS(Archives!$AF$2:$AF$1048576,Archives!$D$2:$D$1048576,13,Archives!$V$2:$V$1048576,$B8)+SUMIFS(Archives!$AF$2:$AF$1048576,Archives!$D$2:$D$1048576,13,Archives!$Y$2:$Y$1048576,$B8)</f>
        <v>0</v>
      </c>
      <c r="P8" s="47">
        <f>SUMIFS(Archives!$AF$2:$AF$1048576,Archives!$D$2:$D$1048576,14,Archives!$V$2:$V$1048576,$B8)+SUMIFS(Archives!$AF$2:$AF$1048576,Archives!$D$2:$D$1048576,14,Archives!$Y$2:$Y$1048576,$B8)</f>
        <v>0</v>
      </c>
      <c r="Q8" s="47">
        <f>SUMIFS(Archives!$AF$2:$AF$1048576,Archives!$D$2:$D$1048576,15,Archives!$V$2:$V$1048576,$B8)+SUMIFS(Archives!$AF$2:$AF$1048576,Archives!$D$2:$D$1048576,15,Archives!$Y$2:$Y$1048576,$B8)</f>
        <v>0</v>
      </c>
      <c r="R8" s="48">
        <f t="shared" si="0"/>
        <v>43</v>
      </c>
    </row>
    <row r="9" spans="2:18" ht="15" customHeight="1" x14ac:dyDescent="0.2">
      <c r="B9" s="43" t="s">
        <v>178</v>
      </c>
      <c r="C9" s="44">
        <f>SUMIFS(Archives!$AF$2:$AF$1048576,Archives!$D$2:$D$1048576,1,Archives!$V$2:$V$1048576,$B9)+SUMIFS(Archives!$AF$2:$AF$1048576,Archives!$D$2:$D$1048576,1,Archives!$Y$2:$Y$1048576,$B9)</f>
        <v>0</v>
      </c>
      <c r="D9" s="44">
        <f>SUMIFS(Archives!$AF$2:$AF$1048576,Archives!$D$2:$D$1048576,2,Archives!$V$2:$V$1048576,$B9)+SUMIFS(Archives!$AF$2:$AF$1048576,Archives!$D$2:$D$1048576,2,Archives!$Y$2:$Y$1048576,$B9)</f>
        <v>5.5</v>
      </c>
      <c r="E9" s="44">
        <f>SUMIFS(Archives!$AF$2:$AF$1048576,Archives!$D$2:$D$1048576,3,Archives!$V$2:$V$1048576,$B9)+SUMIFS(Archives!$AF$2:$AF$1048576,Archives!$D$2:$D$1048576,3,Archives!$Y$2:$Y$1048576,$B9)</f>
        <v>3.5</v>
      </c>
      <c r="F9" s="44">
        <f>SUMIFS(Archives!$AF$2:$AF$1048576,Archives!$D$2:$D$1048576,4,Archives!$V$2:$V$1048576,$B9)+SUMIFS(Archives!$AF$2:$AF$1048576,Archives!$D$2:$D$1048576,4,Archives!$Y$2:$Y$1048576,$B9)</f>
        <v>5.5</v>
      </c>
      <c r="G9" s="44">
        <f>SUMIFS(Archives!$AF$2:$AF$1048576,Archives!$D$2:$D$1048576,5,Archives!$V$2:$V$1048576,$B9)+SUMIFS(Archives!$AF$2:$AF$1048576,Archives!$D$2:$D$1048576,5,Archives!$Y$2:$Y$1048576,$B9)</f>
        <v>5</v>
      </c>
      <c r="H9" s="44">
        <f>SUMIFS(Archives!$AF$2:$AF$1048576,Archives!$D$2:$D$1048576,6,Archives!$V$2:$V$1048576,$B9)+SUMIFS(Archives!$AF$2:$AF$1048576,Archives!$D$2:$D$1048576,6,Archives!$Y$2:$Y$1048576,$B9)</f>
        <v>5</v>
      </c>
      <c r="I9" s="44">
        <f>SUMIFS(Archives!$AF$2:$AF$1048576,Archives!$D$2:$D$1048576,7,Archives!$V$2:$V$1048576,$B9)+SUMIFS(Archives!$AF$2:$AF$1048576,Archives!$D$2:$D$1048576,7,Archives!$Y$2:$Y$1048576,$B9)</f>
        <v>4.5</v>
      </c>
      <c r="J9" s="44">
        <f>SUMIFS(Archives!$AF$2:$AF$1048576,Archives!$D$2:$D$1048576,8,Archives!$V$2:$V$1048576,$B9)+SUMIFS(Archives!$AF$2:$AF$1048576,Archives!$D$2:$D$1048576,8,Archives!$Y$2:$Y$1048576,$B9)</f>
        <v>1</v>
      </c>
      <c r="K9" s="44">
        <f>SUMIFS(Archives!$AF$2:$AF$1048576,Archives!$D$2:$D$1048576,9,Archives!$V$2:$V$1048576,$B9)+SUMIFS(Archives!$AF$2:$AF$1048576,Archives!$D$2:$D$1048576,9,Archives!$Y$2:$Y$1048576,$B9)</f>
        <v>4.5</v>
      </c>
      <c r="L9" s="44">
        <f>SUMIFS(Archives!$AF$2:$AF$1048576,Archives!$D$2:$D$1048576,10,Archives!$V$2:$V$1048576,$B9)+SUMIFS(Archives!$AF$2:$AF$1048576,Archives!$D$2:$D$1048576,10,Archives!$Y$2:$Y$1048576,$B9)</f>
        <v>0</v>
      </c>
      <c r="M9" s="44">
        <f>SUMIFS(Archives!$AF$2:$AF$1048576,Archives!$D$2:$D$1048576,11,Archives!$V$2:$V$1048576,$B9)+SUMIFS(Archives!$AF$2:$AF$1048576,Archives!$D$2:$D$1048576,11,Archives!$Y$2:$Y$1048576,$B9)</f>
        <v>3.5</v>
      </c>
      <c r="N9" s="44">
        <f>SUMIFS(Archives!$AF$2:$AF$1048576,Archives!$D$2:$D$1048576,12,Archives!$V$2:$V$1048576,$B9)+SUMIFS(Archives!$AF$2:$AF$1048576,Archives!$D$2:$D$1048576,12,Archives!$Y$2:$Y$1048576,$B9)</f>
        <v>4</v>
      </c>
      <c r="O9" s="44">
        <f>SUMIFS(Archives!$AF$2:$AF$1048576,Archives!$D$2:$D$1048576,13,Archives!$V$2:$V$1048576,$B9)+SUMIFS(Archives!$AF$2:$AF$1048576,Archives!$D$2:$D$1048576,13,Archives!$Y$2:$Y$1048576,$B9)</f>
        <v>0</v>
      </c>
      <c r="P9" s="44">
        <f>SUMIFS(Archives!$AF$2:$AF$1048576,Archives!$D$2:$D$1048576,14,Archives!$V$2:$V$1048576,$B9)+SUMIFS(Archives!$AF$2:$AF$1048576,Archives!$D$2:$D$1048576,14,Archives!$Y$2:$Y$1048576,$B9)</f>
        <v>0</v>
      </c>
      <c r="Q9" s="44">
        <f>SUMIFS(Archives!$AF$2:$AF$1048576,Archives!$D$2:$D$1048576,15,Archives!$V$2:$V$1048576,$B9)+SUMIFS(Archives!$AF$2:$AF$1048576,Archives!$D$2:$D$1048576,15,Archives!$Y$2:$Y$1048576,$B9)</f>
        <v>0</v>
      </c>
      <c r="R9" s="45">
        <f t="shared" si="0"/>
        <v>42</v>
      </c>
    </row>
    <row r="10" spans="2:18" ht="15" customHeight="1" x14ac:dyDescent="0.2">
      <c r="B10" s="46" t="s">
        <v>123</v>
      </c>
      <c r="C10" s="47">
        <f>SUMIFS(Archives!$AF$2:$AF$1048576,Archives!$D$2:$D$1048576,1,Archives!$V$2:$V$1048576,$B10)+SUMIFS(Archives!$AF$2:$AF$1048576,Archives!$D$2:$D$1048576,1,Archives!$Y$2:$Y$1048576,$B10)</f>
        <v>1.5</v>
      </c>
      <c r="D10" s="47">
        <f>SUMIFS(Archives!$AF$2:$AF$1048576,Archives!$D$2:$D$1048576,2,Archives!$V$2:$V$1048576,$B10)+SUMIFS(Archives!$AF$2:$AF$1048576,Archives!$D$2:$D$1048576,2,Archives!$Y$2:$Y$1048576,$B10)</f>
        <v>4</v>
      </c>
      <c r="E10" s="47">
        <f>SUMIFS(Archives!$AF$2:$AF$1048576,Archives!$D$2:$D$1048576,3,Archives!$V$2:$V$1048576,$B10)+SUMIFS(Archives!$AF$2:$AF$1048576,Archives!$D$2:$D$1048576,3,Archives!$Y$2:$Y$1048576,$B10)</f>
        <v>4</v>
      </c>
      <c r="F10" s="47">
        <f>SUMIFS(Archives!$AF$2:$AF$1048576,Archives!$D$2:$D$1048576,4,Archives!$V$2:$V$1048576,$B10)+SUMIFS(Archives!$AF$2:$AF$1048576,Archives!$D$2:$D$1048576,4,Archives!$Y$2:$Y$1048576,$B10)</f>
        <v>4</v>
      </c>
      <c r="G10" s="47">
        <f>SUMIFS(Archives!$AF$2:$AF$1048576,Archives!$D$2:$D$1048576,5,Archives!$V$2:$V$1048576,$B10)+SUMIFS(Archives!$AF$2:$AF$1048576,Archives!$D$2:$D$1048576,5,Archives!$Y$2:$Y$1048576,$B10)</f>
        <v>3.5</v>
      </c>
      <c r="H10" s="47">
        <f>SUMIFS(Archives!$AF$2:$AF$1048576,Archives!$D$2:$D$1048576,6,Archives!$V$2:$V$1048576,$B10)+SUMIFS(Archives!$AF$2:$AF$1048576,Archives!$D$2:$D$1048576,6,Archives!$Y$2:$Y$1048576,$B10)</f>
        <v>1.5</v>
      </c>
      <c r="I10" s="47">
        <f>SUMIFS(Archives!$AF$2:$AF$1048576,Archives!$D$2:$D$1048576,7,Archives!$V$2:$V$1048576,$B10)+SUMIFS(Archives!$AF$2:$AF$1048576,Archives!$D$2:$D$1048576,7,Archives!$Y$2:$Y$1048576,$B10)</f>
        <v>4.5</v>
      </c>
      <c r="J10" s="47">
        <f>SUMIFS(Archives!$AF$2:$AF$1048576,Archives!$D$2:$D$1048576,8,Archives!$V$2:$V$1048576,$B10)+SUMIFS(Archives!$AF$2:$AF$1048576,Archives!$D$2:$D$1048576,8,Archives!$Y$2:$Y$1048576,$B10)</f>
        <v>4</v>
      </c>
      <c r="K10" s="47">
        <f>SUMIFS(Archives!$AF$2:$AF$1048576,Archives!$D$2:$D$1048576,9,Archives!$V$2:$V$1048576,$B10)+SUMIFS(Archives!$AF$2:$AF$1048576,Archives!$D$2:$D$1048576,9,Archives!$Y$2:$Y$1048576,$B10)</f>
        <v>5.5</v>
      </c>
      <c r="L10" s="47">
        <f>SUMIFS(Archives!$AF$2:$AF$1048576,Archives!$D$2:$D$1048576,10,Archives!$V$2:$V$1048576,$B10)+SUMIFS(Archives!$AF$2:$AF$1048576,Archives!$D$2:$D$1048576,10,Archives!$Y$2:$Y$1048576,$B10)</f>
        <v>3.5</v>
      </c>
      <c r="M10" s="47">
        <f>SUMIFS(Archives!$AF$2:$AF$1048576,Archives!$D$2:$D$1048576,11,Archives!$V$2:$V$1048576,$B10)+SUMIFS(Archives!$AF$2:$AF$1048576,Archives!$D$2:$D$1048576,11,Archives!$Y$2:$Y$1048576,$B10)</f>
        <v>2</v>
      </c>
      <c r="N10" s="47">
        <f>SUMIFS(Archives!$AF$2:$AF$1048576,Archives!$D$2:$D$1048576,12,Archives!$V$2:$V$1048576,$B10)+SUMIFS(Archives!$AF$2:$AF$1048576,Archives!$D$2:$D$1048576,12,Archives!$Y$2:$Y$1048576,$B10)</f>
        <v>3</v>
      </c>
      <c r="O10" s="47">
        <f>SUMIFS(Archives!$AF$2:$AF$1048576,Archives!$D$2:$D$1048576,13,Archives!$V$2:$V$1048576,$B10)+SUMIFS(Archives!$AF$2:$AF$1048576,Archives!$D$2:$D$1048576,13,Archives!$Y$2:$Y$1048576,$B10)</f>
        <v>0</v>
      </c>
      <c r="P10" s="47">
        <f>SUMIFS(Archives!$AF$2:$AF$1048576,Archives!$D$2:$D$1048576,14,Archives!$V$2:$V$1048576,$B10)+SUMIFS(Archives!$AF$2:$AF$1048576,Archives!$D$2:$D$1048576,14,Archives!$Y$2:$Y$1048576,$B10)</f>
        <v>0</v>
      </c>
      <c r="Q10" s="47">
        <f>SUMIFS(Archives!$AF$2:$AF$1048576,Archives!$D$2:$D$1048576,15,Archives!$V$2:$V$1048576,$B10)+SUMIFS(Archives!$AF$2:$AF$1048576,Archives!$D$2:$D$1048576,15,Archives!$Y$2:$Y$1048576,$B10)</f>
        <v>0</v>
      </c>
      <c r="R10" s="48">
        <f t="shared" si="0"/>
        <v>41</v>
      </c>
    </row>
    <row r="11" spans="2:18" ht="15" customHeight="1" x14ac:dyDescent="0.2">
      <c r="B11" s="43" t="s">
        <v>132</v>
      </c>
      <c r="C11" s="44">
        <f>SUMIFS(Archives!$AF$2:$AF$1048576,Archives!$D$2:$D$1048576,1,Archives!$V$2:$V$1048576,$B11)+SUMIFS(Archives!$AF$2:$AF$1048576,Archives!$D$2:$D$1048576,1,Archives!$Y$2:$Y$1048576,$B11)</f>
        <v>2</v>
      </c>
      <c r="D11" s="44">
        <f>SUMIFS(Archives!$AF$2:$AF$1048576,Archives!$D$2:$D$1048576,2,Archives!$V$2:$V$1048576,$B11)+SUMIFS(Archives!$AF$2:$AF$1048576,Archives!$D$2:$D$1048576,2,Archives!$Y$2:$Y$1048576,$B11)</f>
        <v>1.5</v>
      </c>
      <c r="E11" s="44">
        <f>SUMIFS(Archives!$AF$2:$AF$1048576,Archives!$D$2:$D$1048576,3,Archives!$V$2:$V$1048576,$B11)+SUMIFS(Archives!$AF$2:$AF$1048576,Archives!$D$2:$D$1048576,3,Archives!$Y$2:$Y$1048576,$B11)</f>
        <v>0.5</v>
      </c>
      <c r="F11" s="44">
        <f>SUMIFS(Archives!$AF$2:$AF$1048576,Archives!$D$2:$D$1048576,4,Archives!$V$2:$V$1048576,$B11)+SUMIFS(Archives!$AF$2:$AF$1048576,Archives!$D$2:$D$1048576,4,Archives!$Y$2:$Y$1048576,$B11)</f>
        <v>5.5</v>
      </c>
      <c r="G11" s="44">
        <f>SUMIFS(Archives!$AF$2:$AF$1048576,Archives!$D$2:$D$1048576,5,Archives!$V$2:$V$1048576,$B11)+SUMIFS(Archives!$AF$2:$AF$1048576,Archives!$D$2:$D$1048576,5,Archives!$Y$2:$Y$1048576,$B11)</f>
        <v>3</v>
      </c>
      <c r="H11" s="44">
        <f>SUMIFS(Archives!$AF$2:$AF$1048576,Archives!$D$2:$D$1048576,6,Archives!$V$2:$V$1048576,$B11)+SUMIFS(Archives!$AF$2:$AF$1048576,Archives!$D$2:$D$1048576,6,Archives!$Y$2:$Y$1048576,$B11)</f>
        <v>3</v>
      </c>
      <c r="I11" s="44">
        <f>SUMIFS(Archives!$AF$2:$AF$1048576,Archives!$D$2:$D$1048576,7,Archives!$V$2:$V$1048576,$B11)+SUMIFS(Archives!$AF$2:$AF$1048576,Archives!$D$2:$D$1048576,7,Archives!$Y$2:$Y$1048576,$B11)</f>
        <v>4</v>
      </c>
      <c r="J11" s="44">
        <f>SUMIFS(Archives!$AF$2:$AF$1048576,Archives!$D$2:$D$1048576,8,Archives!$V$2:$V$1048576,$B11)+SUMIFS(Archives!$AF$2:$AF$1048576,Archives!$D$2:$D$1048576,8,Archives!$Y$2:$Y$1048576,$B11)</f>
        <v>3</v>
      </c>
      <c r="K11" s="44">
        <f>SUMIFS(Archives!$AF$2:$AF$1048576,Archives!$D$2:$D$1048576,9,Archives!$V$2:$V$1048576,$B11)+SUMIFS(Archives!$AF$2:$AF$1048576,Archives!$D$2:$D$1048576,9,Archives!$Y$2:$Y$1048576,$B11)</f>
        <v>2</v>
      </c>
      <c r="L11" s="44">
        <f>SUMIFS(Archives!$AF$2:$AF$1048576,Archives!$D$2:$D$1048576,10,Archives!$V$2:$V$1048576,$B11)+SUMIFS(Archives!$AF$2:$AF$1048576,Archives!$D$2:$D$1048576,10,Archives!$Y$2:$Y$1048576,$B11)</f>
        <v>4</v>
      </c>
      <c r="M11" s="44">
        <f>SUMIFS(Archives!$AF$2:$AF$1048576,Archives!$D$2:$D$1048576,11,Archives!$V$2:$V$1048576,$B11)+SUMIFS(Archives!$AF$2:$AF$1048576,Archives!$D$2:$D$1048576,11,Archives!$Y$2:$Y$1048576,$B11)</f>
        <v>1.5</v>
      </c>
      <c r="N11" s="44">
        <f>SUMIFS(Archives!$AF$2:$AF$1048576,Archives!$D$2:$D$1048576,12,Archives!$V$2:$V$1048576,$B11)+SUMIFS(Archives!$AF$2:$AF$1048576,Archives!$D$2:$D$1048576,12,Archives!$Y$2:$Y$1048576,$B11)</f>
        <v>6.5</v>
      </c>
      <c r="O11" s="44">
        <f>SUMIFS(Archives!$AF$2:$AF$1048576,Archives!$D$2:$D$1048576,13,Archives!$V$2:$V$1048576,$B11)+SUMIFS(Archives!$AF$2:$AF$1048576,Archives!$D$2:$D$1048576,13,Archives!$Y$2:$Y$1048576,$B11)</f>
        <v>0</v>
      </c>
      <c r="P11" s="44">
        <f>SUMIFS(Archives!$AF$2:$AF$1048576,Archives!$D$2:$D$1048576,14,Archives!$V$2:$V$1048576,$B11)+SUMIFS(Archives!$AF$2:$AF$1048576,Archives!$D$2:$D$1048576,14,Archives!$Y$2:$Y$1048576,$B11)</f>
        <v>0</v>
      </c>
      <c r="Q11" s="44">
        <f>SUMIFS(Archives!$AF$2:$AF$1048576,Archives!$D$2:$D$1048576,15,Archives!$V$2:$V$1048576,$B11)+SUMIFS(Archives!$AF$2:$AF$1048576,Archives!$D$2:$D$1048576,15,Archives!$Y$2:$Y$1048576,$B11)</f>
        <v>0</v>
      </c>
      <c r="R11" s="45">
        <f t="shared" si="0"/>
        <v>36.5</v>
      </c>
    </row>
    <row r="12" spans="2:18" ht="15" customHeight="1" x14ac:dyDescent="0.2">
      <c r="B12" s="46" t="s">
        <v>122</v>
      </c>
      <c r="C12" s="47">
        <f>SUMIFS(Archives!$AF$2:$AF$1048576,Archives!$D$2:$D$1048576,1,Archives!$V$2:$V$1048576,$B12)+SUMIFS(Archives!$AF$2:$AF$1048576,Archives!$D$2:$D$1048576,1,Archives!$Y$2:$Y$1048576,$B12)</f>
        <v>2.5</v>
      </c>
      <c r="D12" s="47">
        <f>SUMIFS(Archives!$AF$2:$AF$1048576,Archives!$D$2:$D$1048576,2,Archives!$V$2:$V$1048576,$B12)+SUMIFS(Archives!$AF$2:$AF$1048576,Archives!$D$2:$D$1048576,2,Archives!$Y$2:$Y$1048576,$B12)</f>
        <v>2</v>
      </c>
      <c r="E12" s="47">
        <f>SUMIFS(Archives!$AF$2:$AF$1048576,Archives!$D$2:$D$1048576,3,Archives!$V$2:$V$1048576,$B12)+SUMIFS(Archives!$AF$2:$AF$1048576,Archives!$D$2:$D$1048576,3,Archives!$Y$2:$Y$1048576,$B12)</f>
        <v>2.5</v>
      </c>
      <c r="F12" s="47">
        <f>SUMIFS(Archives!$AF$2:$AF$1048576,Archives!$D$2:$D$1048576,4,Archives!$V$2:$V$1048576,$B12)+SUMIFS(Archives!$AF$2:$AF$1048576,Archives!$D$2:$D$1048576,4,Archives!$Y$2:$Y$1048576,$B12)</f>
        <v>0</v>
      </c>
      <c r="G12" s="47">
        <f>SUMIFS(Archives!$AF$2:$AF$1048576,Archives!$D$2:$D$1048576,5,Archives!$V$2:$V$1048576,$B12)+SUMIFS(Archives!$AF$2:$AF$1048576,Archives!$D$2:$D$1048576,5,Archives!$Y$2:$Y$1048576,$B12)</f>
        <v>3</v>
      </c>
      <c r="H12" s="47">
        <f>SUMIFS(Archives!$AF$2:$AF$1048576,Archives!$D$2:$D$1048576,6,Archives!$V$2:$V$1048576,$B12)+SUMIFS(Archives!$AF$2:$AF$1048576,Archives!$D$2:$D$1048576,6,Archives!$Y$2:$Y$1048576,$B12)</f>
        <v>3.5</v>
      </c>
      <c r="I12" s="47">
        <f>SUMIFS(Archives!$AF$2:$AF$1048576,Archives!$D$2:$D$1048576,7,Archives!$V$2:$V$1048576,$B12)+SUMIFS(Archives!$AF$2:$AF$1048576,Archives!$D$2:$D$1048576,7,Archives!$Y$2:$Y$1048576,$B12)</f>
        <v>2</v>
      </c>
      <c r="J12" s="47">
        <f>SUMIFS(Archives!$AF$2:$AF$1048576,Archives!$D$2:$D$1048576,8,Archives!$V$2:$V$1048576,$B12)+SUMIFS(Archives!$AF$2:$AF$1048576,Archives!$D$2:$D$1048576,8,Archives!$Y$2:$Y$1048576,$B12)</f>
        <v>5</v>
      </c>
      <c r="K12" s="47">
        <f>SUMIFS(Archives!$AF$2:$AF$1048576,Archives!$D$2:$D$1048576,9,Archives!$V$2:$V$1048576,$B12)+SUMIFS(Archives!$AF$2:$AF$1048576,Archives!$D$2:$D$1048576,9,Archives!$Y$2:$Y$1048576,$B12)</f>
        <v>3.5</v>
      </c>
      <c r="L12" s="47">
        <f>SUMIFS(Archives!$AF$2:$AF$1048576,Archives!$D$2:$D$1048576,10,Archives!$V$2:$V$1048576,$B12)+SUMIFS(Archives!$AF$2:$AF$1048576,Archives!$D$2:$D$1048576,10,Archives!$Y$2:$Y$1048576,$B12)</f>
        <v>3</v>
      </c>
      <c r="M12" s="47">
        <f>SUMIFS(Archives!$AF$2:$AF$1048576,Archives!$D$2:$D$1048576,11,Archives!$V$2:$V$1048576,$B12)+SUMIFS(Archives!$AF$2:$AF$1048576,Archives!$D$2:$D$1048576,11,Archives!$Y$2:$Y$1048576,$B12)</f>
        <v>5.5</v>
      </c>
      <c r="N12" s="47">
        <f>SUMIFS(Archives!$AF$2:$AF$1048576,Archives!$D$2:$D$1048576,12,Archives!$V$2:$V$1048576,$B12)+SUMIFS(Archives!$AF$2:$AF$1048576,Archives!$D$2:$D$1048576,12,Archives!$Y$2:$Y$1048576,$B12)</f>
        <v>4.5</v>
      </c>
      <c r="O12" s="47">
        <f>SUMIFS(Archives!$AF$2:$AF$1048576,Archives!$D$2:$D$1048576,13,Archives!$V$2:$V$1048576,$B12)+SUMIFS(Archives!$AF$2:$AF$1048576,Archives!$D$2:$D$1048576,13,Archives!$Y$2:$Y$1048576,$B12)</f>
        <v>0</v>
      </c>
      <c r="P12" s="47">
        <f>SUMIFS(Archives!$AF$2:$AF$1048576,Archives!$D$2:$D$1048576,14,Archives!$V$2:$V$1048576,$B12)+SUMIFS(Archives!$AF$2:$AF$1048576,Archives!$D$2:$D$1048576,14,Archives!$Y$2:$Y$1048576,$B12)</f>
        <v>0</v>
      </c>
      <c r="Q12" s="47">
        <f>SUMIFS(Archives!$AF$2:$AF$1048576,Archives!$D$2:$D$1048576,15,Archives!$V$2:$V$1048576,$B12)+SUMIFS(Archives!$AF$2:$AF$1048576,Archives!$D$2:$D$1048576,15,Archives!$Y$2:$Y$1048576,$B12)</f>
        <v>0</v>
      </c>
      <c r="R12" s="48">
        <f t="shared" si="0"/>
        <v>37</v>
      </c>
    </row>
    <row r="13" spans="2:18" ht="15" customHeight="1" x14ac:dyDescent="0.2">
      <c r="B13" s="43" t="s">
        <v>230</v>
      </c>
      <c r="C13" s="44">
        <f>SUMIFS(Archives!$AF$2:$AF$1048576,Archives!$D$2:$D$1048576,1,Archives!$V$2:$V$1048576,$B13)+SUMIFS(Archives!$AF$2:$AF$1048576,Archives!$D$2:$D$1048576,1,Archives!$Y$2:$Y$1048576,$B13)</f>
        <v>0</v>
      </c>
      <c r="D13" s="44">
        <f>SUMIFS(Archives!$AF$2:$AF$1048576,Archives!$D$2:$D$1048576,2,Archives!$V$2:$V$1048576,$B13)+SUMIFS(Archives!$AF$2:$AF$1048576,Archives!$D$2:$D$1048576,2,Archives!$Y$2:$Y$1048576,$B13)</f>
        <v>0</v>
      </c>
      <c r="E13" s="44">
        <f>SUMIFS(Archives!$AF$2:$AF$1048576,Archives!$D$2:$D$1048576,3,Archives!$V$2:$V$1048576,$B13)+SUMIFS(Archives!$AF$2:$AF$1048576,Archives!$D$2:$D$1048576,3,Archives!$Y$2:$Y$1048576,$B13)</f>
        <v>4</v>
      </c>
      <c r="F13" s="44">
        <f>SUMIFS(Archives!$AF$2:$AF$1048576,Archives!$D$2:$D$1048576,4,Archives!$V$2:$V$1048576,$B13)+SUMIFS(Archives!$AF$2:$AF$1048576,Archives!$D$2:$D$1048576,4,Archives!$Y$2:$Y$1048576,$B13)</f>
        <v>4</v>
      </c>
      <c r="G13" s="44">
        <f>SUMIFS(Archives!$AF$2:$AF$1048576,Archives!$D$2:$D$1048576,5,Archives!$V$2:$V$1048576,$B13)+SUMIFS(Archives!$AF$2:$AF$1048576,Archives!$D$2:$D$1048576,5,Archives!$Y$2:$Y$1048576,$B13)</f>
        <v>4.5</v>
      </c>
      <c r="H13" s="44">
        <f>SUMIFS(Archives!$AF$2:$AF$1048576,Archives!$D$2:$D$1048576,6,Archives!$V$2:$V$1048576,$B13)+SUMIFS(Archives!$AF$2:$AF$1048576,Archives!$D$2:$D$1048576,6,Archives!$Y$2:$Y$1048576,$B13)</f>
        <v>1</v>
      </c>
      <c r="I13" s="44">
        <f>SUMIFS(Archives!$AF$2:$AF$1048576,Archives!$D$2:$D$1048576,7,Archives!$V$2:$V$1048576,$B13)+SUMIFS(Archives!$AF$2:$AF$1048576,Archives!$D$2:$D$1048576,7,Archives!$Y$2:$Y$1048576,$B13)</f>
        <v>6</v>
      </c>
      <c r="J13" s="44">
        <f>SUMIFS(Archives!$AF$2:$AF$1048576,Archives!$D$2:$D$1048576,8,Archives!$V$2:$V$1048576,$B13)+SUMIFS(Archives!$AF$2:$AF$1048576,Archives!$D$2:$D$1048576,8,Archives!$Y$2:$Y$1048576,$B13)</f>
        <v>4.5</v>
      </c>
      <c r="K13" s="44">
        <f>SUMIFS(Archives!$AF$2:$AF$1048576,Archives!$D$2:$D$1048576,9,Archives!$V$2:$V$1048576,$B13)+SUMIFS(Archives!$AF$2:$AF$1048576,Archives!$D$2:$D$1048576,9,Archives!$Y$2:$Y$1048576,$B13)</f>
        <v>3.5</v>
      </c>
      <c r="L13" s="44">
        <f>SUMIFS(Archives!$AF$2:$AF$1048576,Archives!$D$2:$D$1048576,10,Archives!$V$2:$V$1048576,$B13)+SUMIFS(Archives!$AF$2:$AF$1048576,Archives!$D$2:$D$1048576,10,Archives!$Y$2:$Y$1048576,$B13)</f>
        <v>1</v>
      </c>
      <c r="M13" s="44">
        <f>SUMIFS(Archives!$AF$2:$AF$1048576,Archives!$D$2:$D$1048576,11,Archives!$V$2:$V$1048576,$B13)+SUMIFS(Archives!$AF$2:$AF$1048576,Archives!$D$2:$D$1048576,11,Archives!$Y$2:$Y$1048576,$B13)</f>
        <v>2.5</v>
      </c>
      <c r="N13" s="44">
        <f>SUMIFS(Archives!$AF$2:$AF$1048576,Archives!$D$2:$D$1048576,12,Archives!$V$2:$V$1048576,$B13)+SUMIFS(Archives!$AF$2:$AF$1048576,Archives!$D$2:$D$1048576,12,Archives!$Y$2:$Y$1048576,$B13)</f>
        <v>1.5</v>
      </c>
      <c r="O13" s="44">
        <f>SUMIFS(Archives!$AF$2:$AF$1048576,Archives!$D$2:$D$1048576,13,Archives!$V$2:$V$1048576,$B13)+SUMIFS(Archives!$AF$2:$AF$1048576,Archives!$D$2:$D$1048576,13,Archives!$Y$2:$Y$1048576,$B13)</f>
        <v>0</v>
      </c>
      <c r="P13" s="44">
        <f>SUMIFS(Archives!$AF$2:$AF$1048576,Archives!$D$2:$D$1048576,14,Archives!$V$2:$V$1048576,$B13)+SUMIFS(Archives!$AF$2:$AF$1048576,Archives!$D$2:$D$1048576,14,Archives!$Y$2:$Y$1048576,$B13)</f>
        <v>0</v>
      </c>
      <c r="Q13" s="44">
        <f>SUMIFS(Archives!$AF$2:$AF$1048576,Archives!$D$2:$D$1048576,15,Archives!$V$2:$V$1048576,$B13)+SUMIFS(Archives!$AF$2:$AF$1048576,Archives!$D$2:$D$1048576,15,Archives!$Y$2:$Y$1048576,$B13)</f>
        <v>0</v>
      </c>
      <c r="R13" s="45">
        <f t="shared" si="0"/>
        <v>32.5</v>
      </c>
    </row>
    <row r="14" spans="2:18" ht="15" customHeight="1" x14ac:dyDescent="0.2">
      <c r="B14" s="46" t="s">
        <v>229</v>
      </c>
      <c r="C14" s="47">
        <f>SUMIFS(Archives!$AF$2:$AF$1048576,Archives!$D$2:$D$1048576,1,Archives!$V$2:$V$1048576,$B14)+SUMIFS(Archives!$AF$2:$AF$1048576,Archives!$D$2:$D$1048576,1,Archives!$Y$2:$Y$1048576,$B14)</f>
        <v>0</v>
      </c>
      <c r="D14" s="47">
        <f>SUMIFS(Archives!$AF$2:$AF$1048576,Archives!$D$2:$D$1048576,2,Archives!$V$2:$V$1048576,$B14)+SUMIFS(Archives!$AF$2:$AF$1048576,Archives!$D$2:$D$1048576,2,Archives!$Y$2:$Y$1048576,$B14)</f>
        <v>0</v>
      </c>
      <c r="E14" s="47">
        <f>SUMIFS(Archives!$AF$2:$AF$1048576,Archives!$D$2:$D$1048576,3,Archives!$V$2:$V$1048576,$B14)+SUMIFS(Archives!$AF$2:$AF$1048576,Archives!$D$2:$D$1048576,3,Archives!$Y$2:$Y$1048576,$B14)</f>
        <v>4</v>
      </c>
      <c r="F14" s="47">
        <f>SUMIFS(Archives!$AF$2:$AF$1048576,Archives!$D$2:$D$1048576,4,Archives!$V$2:$V$1048576,$B14)+SUMIFS(Archives!$AF$2:$AF$1048576,Archives!$D$2:$D$1048576,4,Archives!$Y$2:$Y$1048576,$B14)</f>
        <v>4</v>
      </c>
      <c r="G14" s="47">
        <f>SUMIFS(Archives!$AF$2:$AF$1048576,Archives!$D$2:$D$1048576,5,Archives!$V$2:$V$1048576,$B14)+SUMIFS(Archives!$AF$2:$AF$1048576,Archives!$D$2:$D$1048576,5,Archives!$Y$2:$Y$1048576,$B14)</f>
        <v>3.5</v>
      </c>
      <c r="H14" s="47">
        <f>SUMIFS(Archives!$AF$2:$AF$1048576,Archives!$D$2:$D$1048576,6,Archives!$V$2:$V$1048576,$B14)+SUMIFS(Archives!$AF$2:$AF$1048576,Archives!$D$2:$D$1048576,6,Archives!$Y$2:$Y$1048576,$B14)</f>
        <v>4.5</v>
      </c>
      <c r="I14" s="47">
        <f>SUMIFS(Archives!$AF$2:$AF$1048576,Archives!$D$2:$D$1048576,7,Archives!$V$2:$V$1048576,$B14)+SUMIFS(Archives!$AF$2:$AF$1048576,Archives!$D$2:$D$1048576,7,Archives!$Y$2:$Y$1048576,$B14)</f>
        <v>7</v>
      </c>
      <c r="J14" s="47">
        <f>SUMIFS(Archives!$AF$2:$AF$1048576,Archives!$D$2:$D$1048576,8,Archives!$V$2:$V$1048576,$B14)+SUMIFS(Archives!$AF$2:$AF$1048576,Archives!$D$2:$D$1048576,8,Archives!$Y$2:$Y$1048576,$B14)</f>
        <v>0</v>
      </c>
      <c r="K14" s="47">
        <f>SUMIFS(Archives!$AF$2:$AF$1048576,Archives!$D$2:$D$1048576,9,Archives!$V$2:$V$1048576,$B14)+SUMIFS(Archives!$AF$2:$AF$1048576,Archives!$D$2:$D$1048576,9,Archives!$Y$2:$Y$1048576,$B14)</f>
        <v>0</v>
      </c>
      <c r="L14" s="47">
        <f>SUMIFS(Archives!$AF$2:$AF$1048576,Archives!$D$2:$D$1048576,10,Archives!$V$2:$V$1048576,$B14)+SUMIFS(Archives!$AF$2:$AF$1048576,Archives!$D$2:$D$1048576,10,Archives!$Y$2:$Y$1048576,$B14)</f>
        <v>5.5</v>
      </c>
      <c r="M14" s="47">
        <f>SUMIFS(Archives!$AF$2:$AF$1048576,Archives!$D$2:$D$1048576,11,Archives!$V$2:$V$1048576,$B14)+SUMIFS(Archives!$AF$2:$AF$1048576,Archives!$D$2:$D$1048576,11,Archives!$Y$2:$Y$1048576,$B14)</f>
        <v>2.5</v>
      </c>
      <c r="N14" s="47">
        <f>SUMIFS(Archives!$AF$2:$AF$1048576,Archives!$D$2:$D$1048576,12,Archives!$V$2:$V$1048576,$B14)+SUMIFS(Archives!$AF$2:$AF$1048576,Archives!$D$2:$D$1048576,12,Archives!$Y$2:$Y$1048576,$B14)</f>
        <v>0</v>
      </c>
      <c r="O14" s="47">
        <f>SUMIFS(Archives!$AF$2:$AF$1048576,Archives!$D$2:$D$1048576,13,Archives!$V$2:$V$1048576,$B14)+SUMIFS(Archives!$AF$2:$AF$1048576,Archives!$D$2:$D$1048576,13,Archives!$Y$2:$Y$1048576,$B14)</f>
        <v>0</v>
      </c>
      <c r="P14" s="47">
        <f>SUMIFS(Archives!$AF$2:$AF$1048576,Archives!$D$2:$D$1048576,14,Archives!$V$2:$V$1048576,$B14)+SUMIFS(Archives!$AF$2:$AF$1048576,Archives!$D$2:$D$1048576,14,Archives!$Y$2:$Y$1048576,$B14)</f>
        <v>0</v>
      </c>
      <c r="Q14" s="47">
        <f>SUMIFS(Archives!$AF$2:$AF$1048576,Archives!$D$2:$D$1048576,15,Archives!$V$2:$V$1048576,$B14)+SUMIFS(Archives!$AF$2:$AF$1048576,Archives!$D$2:$D$1048576,15,Archives!$Y$2:$Y$1048576,$B14)</f>
        <v>0</v>
      </c>
      <c r="R14" s="48">
        <f t="shared" si="0"/>
        <v>31</v>
      </c>
    </row>
    <row r="15" spans="2:18" ht="15" customHeight="1" x14ac:dyDescent="0.2">
      <c r="B15" s="43" t="s">
        <v>174</v>
      </c>
      <c r="C15" s="44">
        <f>SUMIFS(Archives!$AF$2:$AF$1048576,Archives!$D$2:$D$1048576,1,Archives!$V$2:$V$1048576,$B15)+SUMIFS(Archives!$AF$2:$AF$1048576,Archives!$D$2:$D$1048576,1,Archives!$Y$2:$Y$1048576,$B15)</f>
        <v>0</v>
      </c>
      <c r="D15" s="44">
        <f>SUMIFS(Archives!$AF$2:$AF$1048576,Archives!$D$2:$D$1048576,2,Archives!$V$2:$V$1048576,$B15)+SUMIFS(Archives!$AF$2:$AF$1048576,Archives!$D$2:$D$1048576,2,Archives!$Y$2:$Y$1048576,$B15)</f>
        <v>2</v>
      </c>
      <c r="E15" s="44">
        <f>SUMIFS(Archives!$AF$2:$AF$1048576,Archives!$D$2:$D$1048576,3,Archives!$V$2:$V$1048576,$B15)+SUMIFS(Archives!$AF$2:$AF$1048576,Archives!$D$2:$D$1048576,3,Archives!$Y$2:$Y$1048576,$B15)</f>
        <v>3</v>
      </c>
      <c r="F15" s="44">
        <f>SUMIFS(Archives!$AF$2:$AF$1048576,Archives!$D$2:$D$1048576,4,Archives!$V$2:$V$1048576,$B15)+SUMIFS(Archives!$AF$2:$AF$1048576,Archives!$D$2:$D$1048576,4,Archives!$Y$2:$Y$1048576,$B15)</f>
        <v>3</v>
      </c>
      <c r="G15" s="44">
        <f>SUMIFS(Archives!$AF$2:$AF$1048576,Archives!$D$2:$D$1048576,5,Archives!$V$2:$V$1048576,$B15)+SUMIFS(Archives!$AF$2:$AF$1048576,Archives!$D$2:$D$1048576,5,Archives!$Y$2:$Y$1048576,$B15)</f>
        <v>1</v>
      </c>
      <c r="H15" s="44">
        <f>SUMIFS(Archives!$AF$2:$AF$1048576,Archives!$D$2:$D$1048576,6,Archives!$V$2:$V$1048576,$B15)+SUMIFS(Archives!$AF$2:$AF$1048576,Archives!$D$2:$D$1048576,6,Archives!$Y$2:$Y$1048576,$B15)</f>
        <v>0.5</v>
      </c>
      <c r="I15" s="44">
        <f>SUMIFS(Archives!$AF$2:$AF$1048576,Archives!$D$2:$D$1048576,7,Archives!$V$2:$V$1048576,$B15)+SUMIFS(Archives!$AF$2:$AF$1048576,Archives!$D$2:$D$1048576,7,Archives!$Y$2:$Y$1048576,$B15)</f>
        <v>3</v>
      </c>
      <c r="J15" s="44">
        <f>SUMIFS(Archives!$AF$2:$AF$1048576,Archives!$D$2:$D$1048576,8,Archives!$V$2:$V$1048576,$B15)+SUMIFS(Archives!$AF$2:$AF$1048576,Archives!$D$2:$D$1048576,8,Archives!$Y$2:$Y$1048576,$B15)</f>
        <v>3</v>
      </c>
      <c r="K15" s="44">
        <f>SUMIFS(Archives!$AF$2:$AF$1048576,Archives!$D$2:$D$1048576,9,Archives!$V$2:$V$1048576,$B15)+SUMIFS(Archives!$AF$2:$AF$1048576,Archives!$D$2:$D$1048576,9,Archives!$Y$2:$Y$1048576,$B15)</f>
        <v>4.5</v>
      </c>
      <c r="L15" s="44">
        <f>SUMIFS(Archives!$AF$2:$AF$1048576,Archives!$D$2:$D$1048576,10,Archives!$V$2:$V$1048576,$B15)+SUMIFS(Archives!$AF$2:$AF$1048576,Archives!$D$2:$D$1048576,10,Archives!$Y$2:$Y$1048576,$B15)</f>
        <v>1.5</v>
      </c>
      <c r="M15" s="44">
        <f>SUMIFS(Archives!$AF$2:$AF$1048576,Archives!$D$2:$D$1048576,11,Archives!$V$2:$V$1048576,$B15)+SUMIFS(Archives!$AF$2:$AF$1048576,Archives!$D$2:$D$1048576,11,Archives!$Y$2:$Y$1048576,$B15)</f>
        <v>4.5</v>
      </c>
      <c r="N15" s="44">
        <f>SUMIFS(Archives!$AF$2:$AF$1048576,Archives!$D$2:$D$1048576,12,Archives!$V$2:$V$1048576,$B15)+SUMIFS(Archives!$AF$2:$AF$1048576,Archives!$D$2:$D$1048576,12,Archives!$Y$2:$Y$1048576,$B15)</f>
        <v>4</v>
      </c>
      <c r="O15" s="44">
        <f>SUMIFS(Archives!$AF$2:$AF$1048576,Archives!$D$2:$D$1048576,13,Archives!$V$2:$V$1048576,$B15)+SUMIFS(Archives!$AF$2:$AF$1048576,Archives!$D$2:$D$1048576,13,Archives!$Y$2:$Y$1048576,$B15)</f>
        <v>0</v>
      </c>
      <c r="P15" s="44">
        <f>SUMIFS(Archives!$AF$2:$AF$1048576,Archives!$D$2:$D$1048576,14,Archives!$V$2:$V$1048576,$B15)+SUMIFS(Archives!$AF$2:$AF$1048576,Archives!$D$2:$D$1048576,14,Archives!$Y$2:$Y$1048576,$B15)</f>
        <v>0</v>
      </c>
      <c r="Q15" s="44">
        <f>SUMIFS(Archives!$AF$2:$AF$1048576,Archives!$D$2:$D$1048576,15,Archives!$V$2:$V$1048576,$B15)+SUMIFS(Archives!$AF$2:$AF$1048576,Archives!$D$2:$D$1048576,15,Archives!$Y$2:$Y$1048576,$B15)</f>
        <v>0</v>
      </c>
      <c r="R15" s="45">
        <f t="shared" si="0"/>
        <v>30</v>
      </c>
    </row>
    <row r="16" spans="2:18" ht="15" customHeight="1" x14ac:dyDescent="0.2">
      <c r="B16" s="46" t="s">
        <v>181</v>
      </c>
      <c r="C16" s="47">
        <f>SUMIFS(Archives!$AF$2:$AF$1048576,Archives!$D$2:$D$1048576,1,Archives!$V$2:$V$1048576,$B16)+SUMIFS(Archives!$AF$2:$AF$1048576,Archives!$D$2:$D$1048576,1,Archives!$Y$2:$Y$1048576,$B16)</f>
        <v>0</v>
      </c>
      <c r="D16" s="47">
        <f>SUMIFS(Archives!$AF$2:$AF$1048576,Archives!$D$2:$D$1048576,2,Archives!$V$2:$V$1048576,$B16)+SUMIFS(Archives!$AF$2:$AF$1048576,Archives!$D$2:$D$1048576,2,Archives!$Y$2:$Y$1048576,$B16)</f>
        <v>0.5</v>
      </c>
      <c r="E16" s="47">
        <f>SUMIFS(Archives!$AF$2:$AF$1048576,Archives!$D$2:$D$1048576,3,Archives!$V$2:$V$1048576,$B16)+SUMIFS(Archives!$AF$2:$AF$1048576,Archives!$D$2:$D$1048576,3,Archives!$Y$2:$Y$1048576,$B16)</f>
        <v>3.5</v>
      </c>
      <c r="F16" s="47">
        <f>SUMIFS(Archives!$AF$2:$AF$1048576,Archives!$D$2:$D$1048576,4,Archives!$V$2:$V$1048576,$B16)+SUMIFS(Archives!$AF$2:$AF$1048576,Archives!$D$2:$D$1048576,4,Archives!$Y$2:$Y$1048576,$B16)</f>
        <v>2.5</v>
      </c>
      <c r="G16" s="47">
        <f>SUMIFS(Archives!$AF$2:$AF$1048576,Archives!$D$2:$D$1048576,5,Archives!$V$2:$V$1048576,$B16)+SUMIFS(Archives!$AF$2:$AF$1048576,Archives!$D$2:$D$1048576,5,Archives!$Y$2:$Y$1048576,$B16)</f>
        <v>1</v>
      </c>
      <c r="H16" s="47">
        <f>SUMIFS(Archives!$AF$2:$AF$1048576,Archives!$D$2:$D$1048576,6,Archives!$V$2:$V$1048576,$B16)+SUMIFS(Archives!$AF$2:$AF$1048576,Archives!$D$2:$D$1048576,6,Archives!$Y$2:$Y$1048576,$B16)</f>
        <v>4</v>
      </c>
      <c r="I16" s="47">
        <f>SUMIFS(Archives!$AF$2:$AF$1048576,Archives!$D$2:$D$1048576,7,Archives!$V$2:$V$1048576,$B16)+SUMIFS(Archives!$AF$2:$AF$1048576,Archives!$D$2:$D$1048576,7,Archives!$Y$2:$Y$1048576,$B16)</f>
        <v>4.5</v>
      </c>
      <c r="J16" s="47">
        <f>SUMIFS(Archives!$AF$2:$AF$1048576,Archives!$D$2:$D$1048576,8,Archives!$V$2:$V$1048576,$B16)+SUMIFS(Archives!$AF$2:$AF$1048576,Archives!$D$2:$D$1048576,8,Archives!$Y$2:$Y$1048576,$B16)</f>
        <v>3.5</v>
      </c>
      <c r="K16" s="47">
        <f>SUMIFS(Archives!$AF$2:$AF$1048576,Archives!$D$2:$D$1048576,9,Archives!$V$2:$V$1048576,$B16)+SUMIFS(Archives!$AF$2:$AF$1048576,Archives!$D$2:$D$1048576,9,Archives!$Y$2:$Y$1048576,$B16)</f>
        <v>2.5</v>
      </c>
      <c r="L16" s="47">
        <f>SUMIFS(Archives!$AF$2:$AF$1048576,Archives!$D$2:$D$1048576,10,Archives!$V$2:$V$1048576,$B16)+SUMIFS(Archives!$AF$2:$AF$1048576,Archives!$D$2:$D$1048576,10,Archives!$Y$2:$Y$1048576,$B16)</f>
        <v>4.5</v>
      </c>
      <c r="M16" s="47">
        <f>SUMIFS(Archives!$AF$2:$AF$1048576,Archives!$D$2:$D$1048576,11,Archives!$V$2:$V$1048576,$B16)+SUMIFS(Archives!$AF$2:$AF$1048576,Archives!$D$2:$D$1048576,11,Archives!$Y$2:$Y$1048576,$B16)</f>
        <v>3.5</v>
      </c>
      <c r="N16" s="47">
        <f>SUMIFS(Archives!$AF$2:$AF$1048576,Archives!$D$2:$D$1048576,12,Archives!$V$2:$V$1048576,$B16)+SUMIFS(Archives!$AF$2:$AF$1048576,Archives!$D$2:$D$1048576,12,Archives!$Y$2:$Y$1048576,$B16)</f>
        <v>0</v>
      </c>
      <c r="O16" s="47">
        <f>SUMIFS(Archives!$AF$2:$AF$1048576,Archives!$D$2:$D$1048576,13,Archives!$V$2:$V$1048576,$B16)+SUMIFS(Archives!$AF$2:$AF$1048576,Archives!$D$2:$D$1048576,13,Archives!$Y$2:$Y$1048576,$B16)</f>
        <v>0</v>
      </c>
      <c r="P16" s="47">
        <f>SUMIFS(Archives!$AF$2:$AF$1048576,Archives!$D$2:$D$1048576,14,Archives!$V$2:$V$1048576,$B16)+SUMIFS(Archives!$AF$2:$AF$1048576,Archives!$D$2:$D$1048576,14,Archives!$Y$2:$Y$1048576,$B16)</f>
        <v>0</v>
      </c>
      <c r="Q16" s="47">
        <f>SUMIFS(Archives!$AF$2:$AF$1048576,Archives!$D$2:$D$1048576,15,Archives!$V$2:$V$1048576,$B16)+SUMIFS(Archives!$AF$2:$AF$1048576,Archives!$D$2:$D$1048576,15,Archives!$Y$2:$Y$1048576,$B16)</f>
        <v>0</v>
      </c>
      <c r="R16" s="48">
        <f t="shared" si="0"/>
        <v>30</v>
      </c>
    </row>
    <row r="17" spans="2:18" ht="15" customHeight="1" x14ac:dyDescent="0.2">
      <c r="B17" s="43" t="s">
        <v>133</v>
      </c>
      <c r="C17" s="44">
        <f>SUMIFS(Archives!$AF$2:$AF$1048576,Archives!$D$2:$D$1048576,1,Archives!$V$2:$V$1048576,$B17)+SUMIFS(Archives!$AF$2:$AF$1048576,Archives!$D$2:$D$1048576,1,Archives!$Y$2:$Y$1048576,$B17)</f>
        <v>0</v>
      </c>
      <c r="D17" s="44">
        <f>SUMIFS(Archives!$AF$2:$AF$1048576,Archives!$D$2:$D$1048576,2,Archives!$V$2:$V$1048576,$B17)+SUMIFS(Archives!$AF$2:$AF$1048576,Archives!$D$2:$D$1048576,2,Archives!$Y$2:$Y$1048576,$B17)</f>
        <v>3.5</v>
      </c>
      <c r="E17" s="44">
        <f>SUMIFS(Archives!$AF$2:$AF$1048576,Archives!$D$2:$D$1048576,3,Archives!$V$2:$V$1048576,$B17)+SUMIFS(Archives!$AF$2:$AF$1048576,Archives!$D$2:$D$1048576,3,Archives!$Y$2:$Y$1048576,$B17)</f>
        <v>3</v>
      </c>
      <c r="F17" s="44">
        <f>SUMIFS(Archives!$AF$2:$AF$1048576,Archives!$D$2:$D$1048576,4,Archives!$V$2:$V$1048576,$B17)+SUMIFS(Archives!$AF$2:$AF$1048576,Archives!$D$2:$D$1048576,4,Archives!$Y$2:$Y$1048576,$B17)</f>
        <v>2</v>
      </c>
      <c r="G17" s="44">
        <f>SUMIFS(Archives!$AF$2:$AF$1048576,Archives!$D$2:$D$1048576,5,Archives!$V$2:$V$1048576,$B17)+SUMIFS(Archives!$AF$2:$AF$1048576,Archives!$D$2:$D$1048576,5,Archives!$Y$2:$Y$1048576,$B17)</f>
        <v>5</v>
      </c>
      <c r="H17" s="44">
        <f>SUMIFS(Archives!$AF$2:$AF$1048576,Archives!$D$2:$D$1048576,6,Archives!$V$2:$V$1048576,$B17)+SUMIFS(Archives!$AF$2:$AF$1048576,Archives!$D$2:$D$1048576,6,Archives!$Y$2:$Y$1048576,$B17)</f>
        <v>1</v>
      </c>
      <c r="I17" s="44">
        <f>SUMIFS(Archives!$AF$2:$AF$1048576,Archives!$D$2:$D$1048576,7,Archives!$V$2:$V$1048576,$B17)+SUMIFS(Archives!$AF$2:$AF$1048576,Archives!$D$2:$D$1048576,7,Archives!$Y$2:$Y$1048576,$B17)</f>
        <v>2.5</v>
      </c>
      <c r="J17" s="44">
        <f>SUMIFS(Archives!$AF$2:$AF$1048576,Archives!$D$2:$D$1048576,8,Archives!$V$2:$V$1048576,$B17)+SUMIFS(Archives!$AF$2:$AF$1048576,Archives!$D$2:$D$1048576,8,Archives!$Y$2:$Y$1048576,$B17)</f>
        <v>1</v>
      </c>
      <c r="K17" s="44">
        <f>SUMIFS(Archives!$AF$2:$AF$1048576,Archives!$D$2:$D$1048576,9,Archives!$V$2:$V$1048576,$B17)+SUMIFS(Archives!$AF$2:$AF$1048576,Archives!$D$2:$D$1048576,9,Archives!$Y$2:$Y$1048576,$B17)</f>
        <v>0</v>
      </c>
      <c r="L17" s="44">
        <f>SUMIFS(Archives!$AF$2:$AF$1048576,Archives!$D$2:$D$1048576,10,Archives!$V$2:$V$1048576,$B17)+SUMIFS(Archives!$AF$2:$AF$1048576,Archives!$D$2:$D$1048576,10,Archives!$Y$2:$Y$1048576,$B17)</f>
        <v>3.5</v>
      </c>
      <c r="M17" s="44">
        <f>SUMIFS(Archives!$AF$2:$AF$1048576,Archives!$D$2:$D$1048576,11,Archives!$V$2:$V$1048576,$B17)+SUMIFS(Archives!$AF$2:$AF$1048576,Archives!$D$2:$D$1048576,11,Archives!$Y$2:$Y$1048576,$B17)</f>
        <v>1.5</v>
      </c>
      <c r="N17" s="44">
        <f>SUMIFS(Archives!$AF$2:$AF$1048576,Archives!$D$2:$D$1048576,12,Archives!$V$2:$V$1048576,$B17)+SUMIFS(Archives!$AF$2:$AF$1048576,Archives!$D$2:$D$1048576,12,Archives!$Y$2:$Y$1048576,$B17)</f>
        <v>5.5</v>
      </c>
      <c r="O17" s="44">
        <f>SUMIFS(Archives!$AF$2:$AF$1048576,Archives!$D$2:$D$1048576,13,Archives!$V$2:$V$1048576,$B17)+SUMIFS(Archives!$AF$2:$AF$1048576,Archives!$D$2:$D$1048576,13,Archives!$Y$2:$Y$1048576,$B17)</f>
        <v>0</v>
      </c>
      <c r="P17" s="44">
        <f>SUMIFS(Archives!$AF$2:$AF$1048576,Archives!$D$2:$D$1048576,14,Archives!$V$2:$V$1048576,$B17)+SUMIFS(Archives!$AF$2:$AF$1048576,Archives!$D$2:$D$1048576,14,Archives!$Y$2:$Y$1048576,$B17)</f>
        <v>0</v>
      </c>
      <c r="Q17" s="44">
        <f>SUMIFS(Archives!$AF$2:$AF$1048576,Archives!$D$2:$D$1048576,15,Archives!$V$2:$V$1048576,$B17)+SUMIFS(Archives!$AF$2:$AF$1048576,Archives!$D$2:$D$1048576,15,Archives!$Y$2:$Y$1048576,$B17)</f>
        <v>0</v>
      </c>
      <c r="R17" s="45">
        <f t="shared" si="0"/>
        <v>28.5</v>
      </c>
    </row>
    <row r="18" spans="2:18" ht="15" customHeight="1" x14ac:dyDescent="0.2">
      <c r="B18" s="46" t="s">
        <v>276</v>
      </c>
      <c r="C18" s="47">
        <f>SUMIFS(Archives!$AF$2:$AF$1048576,Archives!$D$2:$D$1048576,1,Archives!$V$2:$V$1048576,$B18)+SUMIFS(Archives!$AF$2:$AF$1048576,Archives!$D$2:$D$1048576,1,Archives!$Y$2:$Y$1048576,$B18)</f>
        <v>0</v>
      </c>
      <c r="D18" s="47">
        <f>SUMIFS(Archives!$AF$2:$AF$1048576,Archives!$D$2:$D$1048576,2,Archives!$V$2:$V$1048576,$B18)+SUMIFS(Archives!$AF$2:$AF$1048576,Archives!$D$2:$D$1048576,2,Archives!$Y$2:$Y$1048576,$B18)</f>
        <v>0</v>
      </c>
      <c r="E18" s="47">
        <f>SUMIFS(Archives!$AF$2:$AF$1048576,Archives!$D$2:$D$1048576,3,Archives!$V$2:$V$1048576,$B18)+SUMIFS(Archives!$AF$2:$AF$1048576,Archives!$D$2:$D$1048576,3,Archives!$Y$2:$Y$1048576,$B18)</f>
        <v>0</v>
      </c>
      <c r="F18" s="47">
        <f>SUMIFS(Archives!$AF$2:$AF$1048576,Archives!$D$2:$D$1048576,4,Archives!$V$2:$V$1048576,$B18)+SUMIFS(Archives!$AF$2:$AF$1048576,Archives!$D$2:$D$1048576,4,Archives!$Y$2:$Y$1048576,$B18)</f>
        <v>2</v>
      </c>
      <c r="G18" s="47">
        <f>SUMIFS(Archives!$AF$2:$AF$1048576,Archives!$D$2:$D$1048576,5,Archives!$V$2:$V$1048576,$B18)+SUMIFS(Archives!$AF$2:$AF$1048576,Archives!$D$2:$D$1048576,5,Archives!$Y$2:$Y$1048576,$B18)</f>
        <v>3</v>
      </c>
      <c r="H18" s="47">
        <f>SUMIFS(Archives!$AF$2:$AF$1048576,Archives!$D$2:$D$1048576,6,Archives!$V$2:$V$1048576,$B18)+SUMIFS(Archives!$AF$2:$AF$1048576,Archives!$D$2:$D$1048576,6,Archives!$Y$2:$Y$1048576,$B18)</f>
        <v>5.5</v>
      </c>
      <c r="I18" s="47">
        <f>SUMIFS(Archives!$AF$2:$AF$1048576,Archives!$D$2:$D$1048576,7,Archives!$V$2:$V$1048576,$B18)+SUMIFS(Archives!$AF$2:$AF$1048576,Archives!$D$2:$D$1048576,7,Archives!$Y$2:$Y$1048576,$B18)</f>
        <v>3</v>
      </c>
      <c r="J18" s="47">
        <f>SUMIFS(Archives!$AF$2:$AF$1048576,Archives!$D$2:$D$1048576,8,Archives!$V$2:$V$1048576,$B18)+SUMIFS(Archives!$AF$2:$AF$1048576,Archives!$D$2:$D$1048576,8,Archives!$Y$2:$Y$1048576,$B18)</f>
        <v>3</v>
      </c>
      <c r="K18" s="47">
        <f>SUMIFS(Archives!$AF$2:$AF$1048576,Archives!$D$2:$D$1048576,9,Archives!$V$2:$V$1048576,$B18)+SUMIFS(Archives!$AF$2:$AF$1048576,Archives!$D$2:$D$1048576,9,Archives!$Y$2:$Y$1048576,$B18)</f>
        <v>3</v>
      </c>
      <c r="L18" s="47">
        <f>SUMIFS(Archives!$AF$2:$AF$1048576,Archives!$D$2:$D$1048576,10,Archives!$V$2:$V$1048576,$B18)+SUMIFS(Archives!$AF$2:$AF$1048576,Archives!$D$2:$D$1048576,10,Archives!$Y$2:$Y$1048576,$B18)</f>
        <v>5</v>
      </c>
      <c r="M18" s="47">
        <f>SUMIFS(Archives!$AF$2:$AF$1048576,Archives!$D$2:$D$1048576,11,Archives!$V$2:$V$1048576,$B18)+SUMIFS(Archives!$AF$2:$AF$1048576,Archives!$D$2:$D$1048576,11,Archives!$Y$2:$Y$1048576,$B18)</f>
        <v>4</v>
      </c>
      <c r="N18" s="47">
        <f>SUMIFS(Archives!$AF$2:$AF$1048576,Archives!$D$2:$D$1048576,12,Archives!$V$2:$V$1048576,$B18)+SUMIFS(Archives!$AF$2:$AF$1048576,Archives!$D$2:$D$1048576,12,Archives!$Y$2:$Y$1048576,$B18)</f>
        <v>0</v>
      </c>
      <c r="O18" s="47">
        <f>SUMIFS(Archives!$AF$2:$AF$1048576,Archives!$D$2:$D$1048576,13,Archives!$V$2:$V$1048576,$B18)+SUMIFS(Archives!$AF$2:$AF$1048576,Archives!$D$2:$D$1048576,13,Archives!$Y$2:$Y$1048576,$B18)</f>
        <v>0</v>
      </c>
      <c r="P18" s="47">
        <f>SUMIFS(Archives!$AF$2:$AF$1048576,Archives!$D$2:$D$1048576,14,Archives!$V$2:$V$1048576,$B18)+SUMIFS(Archives!$AF$2:$AF$1048576,Archives!$D$2:$D$1048576,14,Archives!$Y$2:$Y$1048576,$B18)</f>
        <v>0</v>
      </c>
      <c r="Q18" s="47">
        <f>SUMIFS(Archives!$AF$2:$AF$1048576,Archives!$D$2:$D$1048576,15,Archives!$V$2:$V$1048576,$B18)+SUMIFS(Archives!$AF$2:$AF$1048576,Archives!$D$2:$D$1048576,15,Archives!$Y$2:$Y$1048576,$B18)</f>
        <v>0</v>
      </c>
      <c r="R18" s="48">
        <f t="shared" si="0"/>
        <v>28.5</v>
      </c>
    </row>
    <row r="19" spans="2:18" ht="15" customHeight="1" x14ac:dyDescent="0.2">
      <c r="B19" s="43" t="s">
        <v>234</v>
      </c>
      <c r="C19" s="44">
        <f>SUMIFS(Archives!$AF$2:$AF$1048576,Archives!$D$2:$D$1048576,1,Archives!$V$2:$V$1048576,$B19)+SUMIFS(Archives!$AF$2:$AF$1048576,Archives!$D$2:$D$1048576,1,Archives!$Y$2:$Y$1048576,$B19)</f>
        <v>0</v>
      </c>
      <c r="D19" s="44">
        <f>SUMIFS(Archives!$AF$2:$AF$1048576,Archives!$D$2:$D$1048576,2,Archives!$V$2:$V$1048576,$B19)+SUMIFS(Archives!$AF$2:$AF$1048576,Archives!$D$2:$D$1048576,2,Archives!$Y$2:$Y$1048576,$B19)</f>
        <v>0</v>
      </c>
      <c r="E19" s="44">
        <f>SUMIFS(Archives!$AF$2:$AF$1048576,Archives!$D$2:$D$1048576,3,Archives!$V$2:$V$1048576,$B19)+SUMIFS(Archives!$AF$2:$AF$1048576,Archives!$D$2:$D$1048576,3,Archives!$Y$2:$Y$1048576,$B19)</f>
        <v>2.5</v>
      </c>
      <c r="F19" s="44">
        <f>SUMIFS(Archives!$AF$2:$AF$1048576,Archives!$D$2:$D$1048576,4,Archives!$V$2:$V$1048576,$B19)+SUMIFS(Archives!$AF$2:$AF$1048576,Archives!$D$2:$D$1048576,4,Archives!$Y$2:$Y$1048576,$B19)</f>
        <v>3.5</v>
      </c>
      <c r="G19" s="44">
        <f>SUMIFS(Archives!$AF$2:$AF$1048576,Archives!$D$2:$D$1048576,5,Archives!$V$2:$V$1048576,$B19)+SUMIFS(Archives!$AF$2:$AF$1048576,Archives!$D$2:$D$1048576,5,Archives!$Y$2:$Y$1048576,$B19)</f>
        <v>3.5</v>
      </c>
      <c r="H19" s="44">
        <f>SUMIFS(Archives!$AF$2:$AF$1048576,Archives!$D$2:$D$1048576,6,Archives!$V$2:$V$1048576,$B19)+SUMIFS(Archives!$AF$2:$AF$1048576,Archives!$D$2:$D$1048576,6,Archives!$Y$2:$Y$1048576,$B19)</f>
        <v>5.5</v>
      </c>
      <c r="I19" s="44">
        <f>SUMIFS(Archives!$AF$2:$AF$1048576,Archives!$D$2:$D$1048576,7,Archives!$V$2:$V$1048576,$B19)+SUMIFS(Archives!$AF$2:$AF$1048576,Archives!$D$2:$D$1048576,7,Archives!$Y$2:$Y$1048576,$B19)</f>
        <v>3</v>
      </c>
      <c r="J19" s="44">
        <f>SUMIFS(Archives!$AF$2:$AF$1048576,Archives!$D$2:$D$1048576,8,Archives!$V$2:$V$1048576,$B19)+SUMIFS(Archives!$AF$2:$AF$1048576,Archives!$D$2:$D$1048576,8,Archives!$Y$2:$Y$1048576,$B19)</f>
        <v>3</v>
      </c>
      <c r="K19" s="44">
        <f>SUMIFS(Archives!$AF$2:$AF$1048576,Archives!$D$2:$D$1048576,9,Archives!$V$2:$V$1048576,$B19)+SUMIFS(Archives!$AF$2:$AF$1048576,Archives!$D$2:$D$1048576,9,Archives!$Y$2:$Y$1048576,$B19)</f>
        <v>4</v>
      </c>
      <c r="L19" s="44">
        <f>SUMIFS(Archives!$AF$2:$AF$1048576,Archives!$D$2:$D$1048576,10,Archives!$V$2:$V$1048576,$B19)+SUMIFS(Archives!$AF$2:$AF$1048576,Archives!$D$2:$D$1048576,10,Archives!$Y$2:$Y$1048576,$B19)</f>
        <v>3</v>
      </c>
      <c r="M19" s="44">
        <f>SUMIFS(Archives!$AF$2:$AF$1048576,Archives!$D$2:$D$1048576,11,Archives!$V$2:$V$1048576,$B19)+SUMIFS(Archives!$AF$2:$AF$1048576,Archives!$D$2:$D$1048576,11,Archives!$Y$2:$Y$1048576,$B19)</f>
        <v>0</v>
      </c>
      <c r="N19" s="44">
        <f>SUMIFS(Archives!$AF$2:$AF$1048576,Archives!$D$2:$D$1048576,12,Archives!$V$2:$V$1048576,$B19)+SUMIFS(Archives!$AF$2:$AF$1048576,Archives!$D$2:$D$1048576,12,Archives!$Y$2:$Y$1048576,$B19)</f>
        <v>0</v>
      </c>
      <c r="O19" s="44">
        <f>SUMIFS(Archives!$AF$2:$AF$1048576,Archives!$D$2:$D$1048576,13,Archives!$V$2:$V$1048576,$B19)+SUMIFS(Archives!$AF$2:$AF$1048576,Archives!$D$2:$D$1048576,13,Archives!$Y$2:$Y$1048576,$B19)</f>
        <v>0</v>
      </c>
      <c r="P19" s="44">
        <f>SUMIFS(Archives!$AF$2:$AF$1048576,Archives!$D$2:$D$1048576,14,Archives!$V$2:$V$1048576,$B19)+SUMIFS(Archives!$AF$2:$AF$1048576,Archives!$D$2:$D$1048576,14,Archives!$Y$2:$Y$1048576,$B19)</f>
        <v>0</v>
      </c>
      <c r="Q19" s="44">
        <f>SUMIFS(Archives!$AF$2:$AF$1048576,Archives!$D$2:$D$1048576,15,Archives!$V$2:$V$1048576,$B19)+SUMIFS(Archives!$AF$2:$AF$1048576,Archives!$D$2:$D$1048576,15,Archives!$Y$2:$Y$1048576,$B19)</f>
        <v>0</v>
      </c>
      <c r="R19" s="45">
        <f t="shared" si="0"/>
        <v>28</v>
      </c>
    </row>
    <row r="20" spans="2:18" ht="15" customHeight="1" x14ac:dyDescent="0.2">
      <c r="B20" s="46" t="s">
        <v>130</v>
      </c>
      <c r="C20" s="47">
        <f>SUMIFS(Archives!$AF$2:$AF$1048576,Archives!$D$2:$D$1048576,1,Archives!$V$2:$V$1048576,$B20)+SUMIFS(Archives!$AF$2:$AF$1048576,Archives!$D$2:$D$1048576,1,Archives!$Y$2:$Y$1048576,$B20)</f>
        <v>3.5</v>
      </c>
      <c r="D20" s="47">
        <f>SUMIFS(Archives!$AF$2:$AF$1048576,Archives!$D$2:$D$1048576,2,Archives!$V$2:$V$1048576,$B20)+SUMIFS(Archives!$AF$2:$AF$1048576,Archives!$D$2:$D$1048576,2,Archives!$Y$2:$Y$1048576,$B20)</f>
        <v>0</v>
      </c>
      <c r="E20" s="47">
        <f>SUMIFS(Archives!$AF$2:$AF$1048576,Archives!$D$2:$D$1048576,3,Archives!$V$2:$V$1048576,$B20)+SUMIFS(Archives!$AF$2:$AF$1048576,Archives!$D$2:$D$1048576,3,Archives!$Y$2:$Y$1048576,$B20)</f>
        <v>0</v>
      </c>
      <c r="F20" s="47">
        <f>SUMIFS(Archives!$AF$2:$AF$1048576,Archives!$D$2:$D$1048576,4,Archives!$V$2:$V$1048576,$B20)+SUMIFS(Archives!$AF$2:$AF$1048576,Archives!$D$2:$D$1048576,4,Archives!$Y$2:$Y$1048576,$B20)</f>
        <v>0</v>
      </c>
      <c r="G20" s="47">
        <f>SUMIFS(Archives!$AF$2:$AF$1048576,Archives!$D$2:$D$1048576,5,Archives!$V$2:$V$1048576,$B20)+SUMIFS(Archives!$AF$2:$AF$1048576,Archives!$D$2:$D$1048576,5,Archives!$Y$2:$Y$1048576,$B20)</f>
        <v>3.5</v>
      </c>
      <c r="H20" s="47">
        <f>SUMIFS(Archives!$AF$2:$AF$1048576,Archives!$D$2:$D$1048576,6,Archives!$V$2:$V$1048576,$B20)+SUMIFS(Archives!$AF$2:$AF$1048576,Archives!$D$2:$D$1048576,6,Archives!$Y$2:$Y$1048576,$B20)</f>
        <v>0</v>
      </c>
      <c r="I20" s="47">
        <f>SUMIFS(Archives!$AF$2:$AF$1048576,Archives!$D$2:$D$1048576,7,Archives!$V$2:$V$1048576,$B20)+SUMIFS(Archives!$AF$2:$AF$1048576,Archives!$D$2:$D$1048576,7,Archives!$Y$2:$Y$1048576,$B20)</f>
        <v>4.5</v>
      </c>
      <c r="J20" s="47">
        <f>SUMIFS(Archives!$AF$2:$AF$1048576,Archives!$D$2:$D$1048576,8,Archives!$V$2:$V$1048576,$B20)+SUMIFS(Archives!$AF$2:$AF$1048576,Archives!$D$2:$D$1048576,8,Archives!$Y$2:$Y$1048576,$B20)</f>
        <v>0</v>
      </c>
      <c r="K20" s="47">
        <f>SUMIFS(Archives!$AF$2:$AF$1048576,Archives!$D$2:$D$1048576,9,Archives!$V$2:$V$1048576,$B20)+SUMIFS(Archives!$AF$2:$AF$1048576,Archives!$D$2:$D$1048576,9,Archives!$Y$2:$Y$1048576,$B20)</f>
        <v>4.5</v>
      </c>
      <c r="L20" s="47">
        <f>SUMIFS(Archives!$AF$2:$AF$1048576,Archives!$D$2:$D$1048576,10,Archives!$V$2:$V$1048576,$B20)+SUMIFS(Archives!$AF$2:$AF$1048576,Archives!$D$2:$D$1048576,10,Archives!$Y$2:$Y$1048576,$B20)</f>
        <v>0</v>
      </c>
      <c r="M20" s="47">
        <f>SUMIFS(Archives!$AF$2:$AF$1048576,Archives!$D$2:$D$1048576,11,Archives!$V$2:$V$1048576,$B20)+SUMIFS(Archives!$AF$2:$AF$1048576,Archives!$D$2:$D$1048576,11,Archives!$Y$2:$Y$1048576,$B20)</f>
        <v>5</v>
      </c>
      <c r="N20" s="47">
        <f>SUMIFS(Archives!$AF$2:$AF$1048576,Archives!$D$2:$D$1048576,12,Archives!$V$2:$V$1048576,$B20)+SUMIFS(Archives!$AF$2:$AF$1048576,Archives!$D$2:$D$1048576,12,Archives!$Y$2:$Y$1048576,$B20)</f>
        <v>6</v>
      </c>
      <c r="O20" s="47">
        <f>SUMIFS(Archives!$AF$2:$AF$1048576,Archives!$D$2:$D$1048576,13,Archives!$V$2:$V$1048576,$B20)+SUMIFS(Archives!$AF$2:$AF$1048576,Archives!$D$2:$D$1048576,13,Archives!$Y$2:$Y$1048576,$B20)</f>
        <v>0</v>
      </c>
      <c r="P20" s="47">
        <f>SUMIFS(Archives!$AF$2:$AF$1048576,Archives!$D$2:$D$1048576,14,Archives!$V$2:$V$1048576,$B20)+SUMIFS(Archives!$AF$2:$AF$1048576,Archives!$D$2:$D$1048576,14,Archives!$Y$2:$Y$1048576,$B20)</f>
        <v>0</v>
      </c>
      <c r="Q20" s="47">
        <f>SUMIFS(Archives!$AF$2:$AF$1048576,Archives!$D$2:$D$1048576,15,Archives!$V$2:$V$1048576,$B20)+SUMIFS(Archives!$AF$2:$AF$1048576,Archives!$D$2:$D$1048576,15,Archives!$Y$2:$Y$1048576,$B20)</f>
        <v>0</v>
      </c>
      <c r="R20" s="48">
        <f t="shared" si="0"/>
        <v>27</v>
      </c>
    </row>
    <row r="21" spans="2:18" ht="15" customHeight="1" x14ac:dyDescent="0.2">
      <c r="B21" s="43" t="s">
        <v>136</v>
      </c>
      <c r="C21" s="44">
        <f>SUMIFS(Archives!$AF$2:$AF$1048576,Archives!$D$2:$D$1048576,1,Archives!$V$2:$V$1048576,$B21)+SUMIFS(Archives!$AF$2:$AF$1048576,Archives!$D$2:$D$1048576,1,Archives!$Y$2:$Y$1048576,$B21)</f>
        <v>4</v>
      </c>
      <c r="D21" s="44">
        <f>SUMIFS(Archives!$AF$2:$AF$1048576,Archives!$D$2:$D$1048576,2,Archives!$V$2:$V$1048576,$B21)+SUMIFS(Archives!$AF$2:$AF$1048576,Archives!$D$2:$D$1048576,2,Archives!$Y$2:$Y$1048576,$B21)</f>
        <v>3</v>
      </c>
      <c r="E21" s="44">
        <f>SUMIFS(Archives!$AF$2:$AF$1048576,Archives!$D$2:$D$1048576,3,Archives!$V$2:$V$1048576,$B21)+SUMIFS(Archives!$AF$2:$AF$1048576,Archives!$D$2:$D$1048576,3,Archives!$Y$2:$Y$1048576,$B21)</f>
        <v>1.5</v>
      </c>
      <c r="F21" s="44">
        <f>SUMIFS(Archives!$AF$2:$AF$1048576,Archives!$D$2:$D$1048576,4,Archives!$V$2:$V$1048576,$B21)+SUMIFS(Archives!$AF$2:$AF$1048576,Archives!$D$2:$D$1048576,4,Archives!$Y$2:$Y$1048576,$B21)</f>
        <v>2.5</v>
      </c>
      <c r="G21" s="44">
        <f>SUMIFS(Archives!$AF$2:$AF$1048576,Archives!$D$2:$D$1048576,5,Archives!$V$2:$V$1048576,$B21)+SUMIFS(Archives!$AF$2:$AF$1048576,Archives!$D$2:$D$1048576,5,Archives!$Y$2:$Y$1048576,$B21)</f>
        <v>0.5</v>
      </c>
      <c r="H21" s="44">
        <f>SUMIFS(Archives!$AF$2:$AF$1048576,Archives!$D$2:$D$1048576,6,Archives!$V$2:$V$1048576,$B21)+SUMIFS(Archives!$AF$2:$AF$1048576,Archives!$D$2:$D$1048576,6,Archives!$Y$2:$Y$1048576,$B21)</f>
        <v>5.5</v>
      </c>
      <c r="I21" s="44">
        <f>SUMIFS(Archives!$AF$2:$AF$1048576,Archives!$D$2:$D$1048576,7,Archives!$V$2:$V$1048576,$B21)+SUMIFS(Archives!$AF$2:$AF$1048576,Archives!$D$2:$D$1048576,7,Archives!$Y$2:$Y$1048576,$B21)</f>
        <v>3.5</v>
      </c>
      <c r="J21" s="44">
        <f>SUMIFS(Archives!$AF$2:$AF$1048576,Archives!$D$2:$D$1048576,8,Archives!$V$2:$V$1048576,$B21)+SUMIFS(Archives!$AF$2:$AF$1048576,Archives!$D$2:$D$1048576,8,Archives!$Y$2:$Y$1048576,$B21)</f>
        <v>2.5</v>
      </c>
      <c r="K21" s="44">
        <f>SUMIFS(Archives!$AF$2:$AF$1048576,Archives!$D$2:$D$1048576,9,Archives!$V$2:$V$1048576,$B21)+SUMIFS(Archives!$AF$2:$AF$1048576,Archives!$D$2:$D$1048576,9,Archives!$Y$2:$Y$1048576,$B21)</f>
        <v>1</v>
      </c>
      <c r="L21" s="44">
        <f>SUMIFS(Archives!$AF$2:$AF$1048576,Archives!$D$2:$D$1048576,10,Archives!$V$2:$V$1048576,$B21)+SUMIFS(Archives!$AF$2:$AF$1048576,Archives!$D$2:$D$1048576,10,Archives!$Y$2:$Y$1048576,$B21)</f>
        <v>0</v>
      </c>
      <c r="M21" s="44">
        <f>SUMIFS(Archives!$AF$2:$AF$1048576,Archives!$D$2:$D$1048576,11,Archives!$V$2:$V$1048576,$B21)+SUMIFS(Archives!$AF$2:$AF$1048576,Archives!$D$2:$D$1048576,11,Archives!$Y$2:$Y$1048576,$B21)</f>
        <v>1.5</v>
      </c>
      <c r="N21" s="44">
        <f>SUMIFS(Archives!$AF$2:$AF$1048576,Archives!$D$2:$D$1048576,12,Archives!$V$2:$V$1048576,$B21)+SUMIFS(Archives!$AF$2:$AF$1048576,Archives!$D$2:$D$1048576,12,Archives!$Y$2:$Y$1048576,$B21)</f>
        <v>1.5</v>
      </c>
      <c r="O21" s="44">
        <f>SUMIFS(Archives!$AF$2:$AF$1048576,Archives!$D$2:$D$1048576,13,Archives!$V$2:$V$1048576,$B21)+SUMIFS(Archives!$AF$2:$AF$1048576,Archives!$D$2:$D$1048576,13,Archives!$Y$2:$Y$1048576,$B21)</f>
        <v>0</v>
      </c>
      <c r="P21" s="44">
        <f>SUMIFS(Archives!$AF$2:$AF$1048576,Archives!$D$2:$D$1048576,14,Archives!$V$2:$V$1048576,$B21)+SUMIFS(Archives!$AF$2:$AF$1048576,Archives!$D$2:$D$1048576,14,Archives!$Y$2:$Y$1048576,$B21)</f>
        <v>0</v>
      </c>
      <c r="Q21" s="44">
        <f>SUMIFS(Archives!$AF$2:$AF$1048576,Archives!$D$2:$D$1048576,15,Archives!$V$2:$V$1048576,$B21)+SUMIFS(Archives!$AF$2:$AF$1048576,Archives!$D$2:$D$1048576,15,Archives!$Y$2:$Y$1048576,$B21)</f>
        <v>0</v>
      </c>
      <c r="R21" s="45">
        <f t="shared" si="0"/>
        <v>27</v>
      </c>
    </row>
    <row r="22" spans="2:18" ht="15" customHeight="1" x14ac:dyDescent="0.2">
      <c r="B22" s="46" t="s">
        <v>180</v>
      </c>
      <c r="C22" s="47">
        <f>SUMIFS(Archives!$AF$2:$AF$1048576,Archives!$D$2:$D$1048576,1,Archives!$V$2:$V$1048576,$B22)+SUMIFS(Archives!$AF$2:$AF$1048576,Archives!$D$2:$D$1048576,1,Archives!$Y$2:$Y$1048576,$B22)</f>
        <v>0</v>
      </c>
      <c r="D22" s="47">
        <f>SUMIFS(Archives!$AF$2:$AF$1048576,Archives!$D$2:$D$1048576,2,Archives!$V$2:$V$1048576,$B22)+SUMIFS(Archives!$AF$2:$AF$1048576,Archives!$D$2:$D$1048576,2,Archives!$Y$2:$Y$1048576,$B22)</f>
        <v>2.5</v>
      </c>
      <c r="E22" s="47">
        <f>SUMIFS(Archives!$AF$2:$AF$1048576,Archives!$D$2:$D$1048576,3,Archives!$V$2:$V$1048576,$B22)+SUMIFS(Archives!$AF$2:$AF$1048576,Archives!$D$2:$D$1048576,3,Archives!$Y$2:$Y$1048576,$B22)</f>
        <v>2</v>
      </c>
      <c r="F22" s="47">
        <f>SUMIFS(Archives!$AF$2:$AF$1048576,Archives!$D$2:$D$1048576,4,Archives!$V$2:$V$1048576,$B22)+SUMIFS(Archives!$AF$2:$AF$1048576,Archives!$D$2:$D$1048576,4,Archives!$Y$2:$Y$1048576,$B22)</f>
        <v>3.5</v>
      </c>
      <c r="G22" s="47">
        <f>SUMIFS(Archives!$AF$2:$AF$1048576,Archives!$D$2:$D$1048576,5,Archives!$V$2:$V$1048576,$B22)+SUMIFS(Archives!$AF$2:$AF$1048576,Archives!$D$2:$D$1048576,5,Archives!$Y$2:$Y$1048576,$B22)</f>
        <v>1</v>
      </c>
      <c r="H22" s="47">
        <f>SUMIFS(Archives!$AF$2:$AF$1048576,Archives!$D$2:$D$1048576,6,Archives!$V$2:$V$1048576,$B22)+SUMIFS(Archives!$AF$2:$AF$1048576,Archives!$D$2:$D$1048576,6,Archives!$Y$2:$Y$1048576,$B22)</f>
        <v>2.5</v>
      </c>
      <c r="I22" s="47">
        <f>SUMIFS(Archives!$AF$2:$AF$1048576,Archives!$D$2:$D$1048576,7,Archives!$V$2:$V$1048576,$B22)+SUMIFS(Archives!$AF$2:$AF$1048576,Archives!$D$2:$D$1048576,7,Archives!$Y$2:$Y$1048576,$B22)</f>
        <v>1.5</v>
      </c>
      <c r="J22" s="47">
        <f>SUMIFS(Archives!$AF$2:$AF$1048576,Archives!$D$2:$D$1048576,8,Archives!$V$2:$V$1048576,$B22)+SUMIFS(Archives!$AF$2:$AF$1048576,Archives!$D$2:$D$1048576,8,Archives!$Y$2:$Y$1048576,$B22)</f>
        <v>2.5</v>
      </c>
      <c r="K22" s="47">
        <f>SUMIFS(Archives!$AF$2:$AF$1048576,Archives!$D$2:$D$1048576,9,Archives!$V$2:$V$1048576,$B22)+SUMIFS(Archives!$AF$2:$AF$1048576,Archives!$D$2:$D$1048576,9,Archives!$Y$2:$Y$1048576,$B22)</f>
        <v>1</v>
      </c>
      <c r="L22" s="47">
        <f>SUMIFS(Archives!$AF$2:$AF$1048576,Archives!$D$2:$D$1048576,10,Archives!$V$2:$V$1048576,$B22)+SUMIFS(Archives!$AF$2:$AF$1048576,Archives!$D$2:$D$1048576,10,Archives!$Y$2:$Y$1048576,$B22)</f>
        <v>3</v>
      </c>
      <c r="M22" s="47">
        <f>SUMIFS(Archives!$AF$2:$AF$1048576,Archives!$D$2:$D$1048576,11,Archives!$V$2:$V$1048576,$B22)+SUMIFS(Archives!$AF$2:$AF$1048576,Archives!$D$2:$D$1048576,11,Archives!$Y$2:$Y$1048576,$B22)</f>
        <v>2.5</v>
      </c>
      <c r="N22" s="47">
        <f>SUMIFS(Archives!$AF$2:$AF$1048576,Archives!$D$2:$D$1048576,12,Archives!$V$2:$V$1048576,$B22)+SUMIFS(Archives!$AF$2:$AF$1048576,Archives!$D$2:$D$1048576,12,Archives!$Y$2:$Y$1048576,$B22)</f>
        <v>0</v>
      </c>
      <c r="O22" s="47">
        <f>SUMIFS(Archives!$AF$2:$AF$1048576,Archives!$D$2:$D$1048576,13,Archives!$V$2:$V$1048576,$B22)+SUMIFS(Archives!$AF$2:$AF$1048576,Archives!$D$2:$D$1048576,13,Archives!$Y$2:$Y$1048576,$B22)</f>
        <v>0</v>
      </c>
      <c r="P22" s="47">
        <f>SUMIFS(Archives!$AF$2:$AF$1048576,Archives!$D$2:$D$1048576,14,Archives!$V$2:$V$1048576,$B22)+SUMIFS(Archives!$AF$2:$AF$1048576,Archives!$D$2:$D$1048576,14,Archives!$Y$2:$Y$1048576,$B22)</f>
        <v>0</v>
      </c>
      <c r="Q22" s="47">
        <f>SUMIFS(Archives!$AF$2:$AF$1048576,Archives!$D$2:$D$1048576,15,Archives!$V$2:$V$1048576,$B22)+SUMIFS(Archives!$AF$2:$AF$1048576,Archives!$D$2:$D$1048576,15,Archives!$Y$2:$Y$1048576,$B22)</f>
        <v>0</v>
      </c>
      <c r="R22" s="48">
        <f t="shared" si="0"/>
        <v>22</v>
      </c>
    </row>
    <row r="23" spans="2:18" ht="15" customHeight="1" x14ac:dyDescent="0.2">
      <c r="B23" s="43" t="s">
        <v>233</v>
      </c>
      <c r="C23" s="44">
        <f>SUMIFS(Archives!$AF$2:$AF$1048576,Archives!$D$2:$D$1048576,1,Archives!$V$2:$V$1048576,$B23)+SUMIFS(Archives!$AF$2:$AF$1048576,Archives!$D$2:$D$1048576,1,Archives!$Y$2:$Y$1048576,$B23)</f>
        <v>0</v>
      </c>
      <c r="D23" s="44">
        <f>SUMIFS(Archives!$AF$2:$AF$1048576,Archives!$D$2:$D$1048576,2,Archives!$V$2:$V$1048576,$B23)+SUMIFS(Archives!$AF$2:$AF$1048576,Archives!$D$2:$D$1048576,2,Archives!$Y$2:$Y$1048576,$B23)</f>
        <v>0</v>
      </c>
      <c r="E23" s="44">
        <f>SUMIFS(Archives!$AF$2:$AF$1048576,Archives!$D$2:$D$1048576,3,Archives!$V$2:$V$1048576,$B23)+SUMIFS(Archives!$AF$2:$AF$1048576,Archives!$D$2:$D$1048576,3,Archives!$Y$2:$Y$1048576,$B23)</f>
        <v>2.5</v>
      </c>
      <c r="F23" s="44">
        <f>SUMIFS(Archives!$AF$2:$AF$1048576,Archives!$D$2:$D$1048576,4,Archives!$V$2:$V$1048576,$B23)+SUMIFS(Archives!$AF$2:$AF$1048576,Archives!$D$2:$D$1048576,4,Archives!$Y$2:$Y$1048576,$B23)</f>
        <v>2</v>
      </c>
      <c r="G23" s="44">
        <f>SUMIFS(Archives!$AF$2:$AF$1048576,Archives!$D$2:$D$1048576,5,Archives!$V$2:$V$1048576,$B23)+SUMIFS(Archives!$AF$2:$AF$1048576,Archives!$D$2:$D$1048576,5,Archives!$Y$2:$Y$1048576,$B23)</f>
        <v>5.5</v>
      </c>
      <c r="H23" s="44">
        <f>SUMIFS(Archives!$AF$2:$AF$1048576,Archives!$D$2:$D$1048576,6,Archives!$V$2:$V$1048576,$B23)+SUMIFS(Archives!$AF$2:$AF$1048576,Archives!$D$2:$D$1048576,6,Archives!$Y$2:$Y$1048576,$B23)</f>
        <v>4</v>
      </c>
      <c r="I23" s="44">
        <f>SUMIFS(Archives!$AF$2:$AF$1048576,Archives!$D$2:$D$1048576,7,Archives!$V$2:$V$1048576,$B23)+SUMIFS(Archives!$AF$2:$AF$1048576,Archives!$D$2:$D$1048576,7,Archives!$Y$2:$Y$1048576,$B23)</f>
        <v>2</v>
      </c>
      <c r="J23" s="44">
        <f>SUMIFS(Archives!$AF$2:$AF$1048576,Archives!$D$2:$D$1048576,8,Archives!$V$2:$V$1048576,$B23)+SUMIFS(Archives!$AF$2:$AF$1048576,Archives!$D$2:$D$1048576,8,Archives!$Y$2:$Y$1048576,$B23)</f>
        <v>0</v>
      </c>
      <c r="K23" s="44">
        <f>SUMIFS(Archives!$AF$2:$AF$1048576,Archives!$D$2:$D$1048576,9,Archives!$V$2:$V$1048576,$B23)+SUMIFS(Archives!$AF$2:$AF$1048576,Archives!$D$2:$D$1048576,9,Archives!$Y$2:$Y$1048576,$B23)</f>
        <v>0</v>
      </c>
      <c r="L23" s="44">
        <f>SUMIFS(Archives!$AF$2:$AF$1048576,Archives!$D$2:$D$1048576,10,Archives!$V$2:$V$1048576,$B23)+SUMIFS(Archives!$AF$2:$AF$1048576,Archives!$D$2:$D$1048576,10,Archives!$Y$2:$Y$1048576,$B23)</f>
        <v>0</v>
      </c>
      <c r="M23" s="44">
        <f>SUMIFS(Archives!$AF$2:$AF$1048576,Archives!$D$2:$D$1048576,11,Archives!$V$2:$V$1048576,$B23)+SUMIFS(Archives!$AF$2:$AF$1048576,Archives!$D$2:$D$1048576,11,Archives!$Y$2:$Y$1048576,$B23)</f>
        <v>5</v>
      </c>
      <c r="N23" s="44">
        <f>SUMIFS(Archives!$AF$2:$AF$1048576,Archives!$D$2:$D$1048576,12,Archives!$V$2:$V$1048576,$B23)+SUMIFS(Archives!$AF$2:$AF$1048576,Archives!$D$2:$D$1048576,12,Archives!$Y$2:$Y$1048576,$B23)</f>
        <v>0</v>
      </c>
      <c r="O23" s="44">
        <f>SUMIFS(Archives!$AF$2:$AF$1048576,Archives!$D$2:$D$1048576,13,Archives!$V$2:$V$1048576,$B23)+SUMIFS(Archives!$AF$2:$AF$1048576,Archives!$D$2:$D$1048576,13,Archives!$Y$2:$Y$1048576,$B23)</f>
        <v>0</v>
      </c>
      <c r="P23" s="44">
        <f>SUMIFS(Archives!$AF$2:$AF$1048576,Archives!$D$2:$D$1048576,14,Archives!$V$2:$V$1048576,$B23)+SUMIFS(Archives!$AF$2:$AF$1048576,Archives!$D$2:$D$1048576,14,Archives!$Y$2:$Y$1048576,$B23)</f>
        <v>0</v>
      </c>
      <c r="Q23" s="44">
        <f>SUMIFS(Archives!$AF$2:$AF$1048576,Archives!$D$2:$D$1048576,15,Archives!$V$2:$V$1048576,$B23)+SUMIFS(Archives!$AF$2:$AF$1048576,Archives!$D$2:$D$1048576,15,Archives!$Y$2:$Y$1048576,$B23)</f>
        <v>0</v>
      </c>
      <c r="R23" s="45">
        <f t="shared" si="0"/>
        <v>21</v>
      </c>
    </row>
    <row r="24" spans="2:18" ht="15" customHeight="1" x14ac:dyDescent="0.2">
      <c r="B24" s="46" t="s">
        <v>459</v>
      </c>
      <c r="C24" s="47">
        <f>SUMIFS(Archives!$AF$2:$AF$1048576,Archives!$D$2:$D$1048576,1,Archives!$V$2:$V$1048576,$B24)+SUMIFS(Archives!$AF$2:$AF$1048576,Archives!$D$2:$D$1048576,1,Archives!$Y$2:$Y$1048576,$B24)</f>
        <v>0</v>
      </c>
      <c r="D24" s="47">
        <f>SUMIFS(Archives!$AF$2:$AF$1048576,Archives!$D$2:$D$1048576,2,Archives!$V$2:$V$1048576,$B24)+SUMIFS(Archives!$AF$2:$AF$1048576,Archives!$D$2:$D$1048576,2,Archives!$Y$2:$Y$1048576,$B24)</f>
        <v>0</v>
      </c>
      <c r="E24" s="47">
        <f>SUMIFS(Archives!$AF$2:$AF$1048576,Archives!$D$2:$D$1048576,3,Archives!$V$2:$V$1048576,$B24)+SUMIFS(Archives!$AF$2:$AF$1048576,Archives!$D$2:$D$1048576,3,Archives!$Y$2:$Y$1048576,$B24)</f>
        <v>0</v>
      </c>
      <c r="F24" s="47">
        <f>SUMIFS(Archives!$AF$2:$AF$1048576,Archives!$D$2:$D$1048576,4,Archives!$V$2:$V$1048576,$B24)+SUMIFS(Archives!$AF$2:$AF$1048576,Archives!$D$2:$D$1048576,4,Archives!$Y$2:$Y$1048576,$B24)</f>
        <v>0</v>
      </c>
      <c r="G24" s="47">
        <f>SUMIFS(Archives!$AF$2:$AF$1048576,Archives!$D$2:$D$1048576,5,Archives!$V$2:$V$1048576,$B24)+SUMIFS(Archives!$AF$2:$AF$1048576,Archives!$D$2:$D$1048576,5,Archives!$Y$2:$Y$1048576,$B24)</f>
        <v>0</v>
      </c>
      <c r="H24" s="47">
        <f>SUMIFS(Archives!$AF$2:$AF$1048576,Archives!$D$2:$D$1048576,6,Archives!$V$2:$V$1048576,$B24)+SUMIFS(Archives!$AF$2:$AF$1048576,Archives!$D$2:$D$1048576,6,Archives!$Y$2:$Y$1048576,$B24)</f>
        <v>0</v>
      </c>
      <c r="I24" s="47">
        <f>SUMIFS(Archives!$AF$2:$AF$1048576,Archives!$D$2:$D$1048576,7,Archives!$V$2:$V$1048576,$B24)+SUMIFS(Archives!$AF$2:$AF$1048576,Archives!$D$2:$D$1048576,7,Archives!$Y$2:$Y$1048576,$B24)</f>
        <v>0</v>
      </c>
      <c r="J24" s="47">
        <f>SUMIFS(Archives!$AF$2:$AF$1048576,Archives!$D$2:$D$1048576,8,Archives!$V$2:$V$1048576,$B24)+SUMIFS(Archives!$AF$2:$AF$1048576,Archives!$D$2:$D$1048576,8,Archives!$Y$2:$Y$1048576,$B24)</f>
        <v>1.5</v>
      </c>
      <c r="K24" s="47">
        <f>SUMIFS(Archives!$AF$2:$AF$1048576,Archives!$D$2:$D$1048576,9,Archives!$V$2:$V$1048576,$B24)+SUMIFS(Archives!$AF$2:$AF$1048576,Archives!$D$2:$D$1048576,9,Archives!$Y$2:$Y$1048576,$B24)</f>
        <v>4.5</v>
      </c>
      <c r="L24" s="47">
        <f>SUMIFS(Archives!$AF$2:$AF$1048576,Archives!$D$2:$D$1048576,10,Archives!$V$2:$V$1048576,$B24)+SUMIFS(Archives!$AF$2:$AF$1048576,Archives!$D$2:$D$1048576,10,Archives!$Y$2:$Y$1048576,$B24)</f>
        <v>5</v>
      </c>
      <c r="M24" s="47">
        <f>SUMIFS(Archives!$AF$2:$AF$1048576,Archives!$D$2:$D$1048576,11,Archives!$V$2:$V$1048576,$B24)+SUMIFS(Archives!$AF$2:$AF$1048576,Archives!$D$2:$D$1048576,11,Archives!$Y$2:$Y$1048576,$B24)</f>
        <v>4.5</v>
      </c>
      <c r="N24" s="47">
        <f>SUMIFS(Archives!$AF$2:$AF$1048576,Archives!$D$2:$D$1048576,12,Archives!$V$2:$V$1048576,$B24)+SUMIFS(Archives!$AF$2:$AF$1048576,Archives!$D$2:$D$1048576,12,Archives!$Y$2:$Y$1048576,$B24)</f>
        <v>5</v>
      </c>
      <c r="O24" s="47">
        <f>SUMIFS(Archives!$AF$2:$AF$1048576,Archives!$D$2:$D$1048576,13,Archives!$V$2:$V$1048576,$B24)+SUMIFS(Archives!$AF$2:$AF$1048576,Archives!$D$2:$D$1048576,13,Archives!$Y$2:$Y$1048576,$B24)</f>
        <v>0</v>
      </c>
      <c r="P24" s="47">
        <f>SUMIFS(Archives!$AF$2:$AF$1048576,Archives!$D$2:$D$1048576,14,Archives!$V$2:$V$1048576,$B24)+SUMIFS(Archives!$AF$2:$AF$1048576,Archives!$D$2:$D$1048576,14,Archives!$Y$2:$Y$1048576,$B24)</f>
        <v>0</v>
      </c>
      <c r="Q24" s="47">
        <f>SUMIFS(Archives!$AF$2:$AF$1048576,Archives!$D$2:$D$1048576,15,Archives!$V$2:$V$1048576,$B24)+SUMIFS(Archives!$AF$2:$AF$1048576,Archives!$D$2:$D$1048576,15,Archives!$Y$2:$Y$1048576,$B24)</f>
        <v>0</v>
      </c>
      <c r="R24" s="48">
        <f t="shared" si="0"/>
        <v>20.5</v>
      </c>
    </row>
    <row r="25" spans="2:18" ht="15" customHeight="1" x14ac:dyDescent="0.2">
      <c r="B25" s="43" t="s">
        <v>326</v>
      </c>
      <c r="C25" s="44">
        <f>SUMIFS(Archives!$AF$2:$AF$1048576,Archives!$D$2:$D$1048576,1,Archives!$V$2:$V$1048576,$B25)+SUMIFS(Archives!$AF$2:$AF$1048576,Archives!$D$2:$D$1048576,1,Archives!$Y$2:$Y$1048576,$B25)</f>
        <v>0</v>
      </c>
      <c r="D25" s="44">
        <f>SUMIFS(Archives!$AF$2:$AF$1048576,Archives!$D$2:$D$1048576,2,Archives!$V$2:$V$1048576,$B25)+SUMIFS(Archives!$AF$2:$AF$1048576,Archives!$D$2:$D$1048576,2,Archives!$Y$2:$Y$1048576,$B25)</f>
        <v>0</v>
      </c>
      <c r="E25" s="44">
        <f>SUMIFS(Archives!$AF$2:$AF$1048576,Archives!$D$2:$D$1048576,3,Archives!$V$2:$V$1048576,$B25)+SUMIFS(Archives!$AF$2:$AF$1048576,Archives!$D$2:$D$1048576,3,Archives!$Y$2:$Y$1048576,$B25)</f>
        <v>0</v>
      </c>
      <c r="F25" s="44">
        <f>SUMIFS(Archives!$AF$2:$AF$1048576,Archives!$D$2:$D$1048576,4,Archives!$V$2:$V$1048576,$B25)+SUMIFS(Archives!$AF$2:$AF$1048576,Archives!$D$2:$D$1048576,4,Archives!$Y$2:$Y$1048576,$B25)</f>
        <v>0</v>
      </c>
      <c r="G25" s="44">
        <f>SUMIFS(Archives!$AF$2:$AF$1048576,Archives!$D$2:$D$1048576,5,Archives!$V$2:$V$1048576,$B25)+SUMIFS(Archives!$AF$2:$AF$1048576,Archives!$D$2:$D$1048576,5,Archives!$Y$2:$Y$1048576,$B25)</f>
        <v>4</v>
      </c>
      <c r="H25" s="44">
        <f>SUMIFS(Archives!$AF$2:$AF$1048576,Archives!$D$2:$D$1048576,6,Archives!$V$2:$V$1048576,$B25)+SUMIFS(Archives!$AF$2:$AF$1048576,Archives!$D$2:$D$1048576,6,Archives!$Y$2:$Y$1048576,$B25)</f>
        <v>0</v>
      </c>
      <c r="I25" s="44">
        <f>SUMIFS(Archives!$AF$2:$AF$1048576,Archives!$D$2:$D$1048576,7,Archives!$V$2:$V$1048576,$B25)+SUMIFS(Archives!$AF$2:$AF$1048576,Archives!$D$2:$D$1048576,7,Archives!$Y$2:$Y$1048576,$B25)</f>
        <v>0</v>
      </c>
      <c r="J25" s="44">
        <f>SUMIFS(Archives!$AF$2:$AF$1048576,Archives!$D$2:$D$1048576,8,Archives!$V$2:$V$1048576,$B25)+SUMIFS(Archives!$AF$2:$AF$1048576,Archives!$D$2:$D$1048576,8,Archives!$Y$2:$Y$1048576,$B25)</f>
        <v>3</v>
      </c>
      <c r="K25" s="44">
        <f>SUMIFS(Archives!$AF$2:$AF$1048576,Archives!$D$2:$D$1048576,9,Archives!$V$2:$V$1048576,$B25)+SUMIFS(Archives!$AF$2:$AF$1048576,Archives!$D$2:$D$1048576,9,Archives!$Y$2:$Y$1048576,$B25)</f>
        <v>3</v>
      </c>
      <c r="L25" s="44">
        <f>SUMIFS(Archives!$AF$2:$AF$1048576,Archives!$D$2:$D$1048576,10,Archives!$V$2:$V$1048576,$B25)+SUMIFS(Archives!$AF$2:$AF$1048576,Archives!$D$2:$D$1048576,10,Archives!$Y$2:$Y$1048576,$B25)</f>
        <v>2</v>
      </c>
      <c r="M25" s="44">
        <f>SUMIFS(Archives!$AF$2:$AF$1048576,Archives!$D$2:$D$1048576,11,Archives!$V$2:$V$1048576,$B25)+SUMIFS(Archives!$AF$2:$AF$1048576,Archives!$D$2:$D$1048576,11,Archives!$Y$2:$Y$1048576,$B25)</f>
        <v>2.5</v>
      </c>
      <c r="N25" s="44">
        <f>SUMIFS(Archives!$AF$2:$AF$1048576,Archives!$D$2:$D$1048576,12,Archives!$V$2:$V$1048576,$B25)+SUMIFS(Archives!$AF$2:$AF$1048576,Archives!$D$2:$D$1048576,12,Archives!$Y$2:$Y$1048576,$B25)</f>
        <v>4</v>
      </c>
      <c r="O25" s="44">
        <f>SUMIFS(Archives!$AF$2:$AF$1048576,Archives!$D$2:$D$1048576,13,Archives!$V$2:$V$1048576,$B25)+SUMIFS(Archives!$AF$2:$AF$1048576,Archives!$D$2:$D$1048576,13,Archives!$Y$2:$Y$1048576,$B25)</f>
        <v>0</v>
      </c>
      <c r="P25" s="44">
        <f>SUMIFS(Archives!$AF$2:$AF$1048576,Archives!$D$2:$D$1048576,14,Archives!$V$2:$V$1048576,$B25)+SUMIFS(Archives!$AF$2:$AF$1048576,Archives!$D$2:$D$1048576,14,Archives!$Y$2:$Y$1048576,$B25)</f>
        <v>0</v>
      </c>
      <c r="Q25" s="44">
        <f>SUMIFS(Archives!$AF$2:$AF$1048576,Archives!$D$2:$D$1048576,15,Archives!$V$2:$V$1048576,$B25)+SUMIFS(Archives!$AF$2:$AF$1048576,Archives!$D$2:$D$1048576,15,Archives!$Y$2:$Y$1048576,$B25)</f>
        <v>0</v>
      </c>
      <c r="R25" s="45">
        <f t="shared" si="0"/>
        <v>18.5</v>
      </c>
    </row>
    <row r="26" spans="2:18" ht="15" customHeight="1" x14ac:dyDescent="0.2">
      <c r="B26" s="46" t="s">
        <v>464</v>
      </c>
      <c r="C26" s="47">
        <f>SUMIFS(Archives!$AF$2:$AF$1048576,Archives!$D$2:$D$1048576,1,Archives!$V$2:$V$1048576,$B26)+SUMIFS(Archives!$AF$2:$AF$1048576,Archives!$D$2:$D$1048576,1,Archives!$Y$2:$Y$1048576,$B26)</f>
        <v>0</v>
      </c>
      <c r="D26" s="47">
        <f>SUMIFS(Archives!$AF$2:$AF$1048576,Archives!$D$2:$D$1048576,2,Archives!$V$2:$V$1048576,$B26)+SUMIFS(Archives!$AF$2:$AF$1048576,Archives!$D$2:$D$1048576,2,Archives!$Y$2:$Y$1048576,$B26)</f>
        <v>0</v>
      </c>
      <c r="E26" s="47">
        <f>SUMIFS(Archives!$AF$2:$AF$1048576,Archives!$D$2:$D$1048576,3,Archives!$V$2:$V$1048576,$B26)+SUMIFS(Archives!$AF$2:$AF$1048576,Archives!$D$2:$D$1048576,3,Archives!$Y$2:$Y$1048576,$B26)</f>
        <v>0</v>
      </c>
      <c r="F26" s="47">
        <f>SUMIFS(Archives!$AF$2:$AF$1048576,Archives!$D$2:$D$1048576,4,Archives!$V$2:$V$1048576,$B26)+SUMIFS(Archives!$AF$2:$AF$1048576,Archives!$D$2:$D$1048576,4,Archives!$Y$2:$Y$1048576,$B26)</f>
        <v>0</v>
      </c>
      <c r="G26" s="47">
        <f>SUMIFS(Archives!$AF$2:$AF$1048576,Archives!$D$2:$D$1048576,5,Archives!$V$2:$V$1048576,$B26)+SUMIFS(Archives!$AF$2:$AF$1048576,Archives!$D$2:$D$1048576,5,Archives!$Y$2:$Y$1048576,$B26)</f>
        <v>0</v>
      </c>
      <c r="H26" s="47">
        <f>SUMIFS(Archives!$AF$2:$AF$1048576,Archives!$D$2:$D$1048576,6,Archives!$V$2:$V$1048576,$B26)+SUMIFS(Archives!$AF$2:$AF$1048576,Archives!$D$2:$D$1048576,6,Archives!$Y$2:$Y$1048576,$B26)</f>
        <v>0</v>
      </c>
      <c r="I26" s="47">
        <f>SUMIFS(Archives!$AF$2:$AF$1048576,Archives!$D$2:$D$1048576,7,Archives!$V$2:$V$1048576,$B26)+SUMIFS(Archives!$AF$2:$AF$1048576,Archives!$D$2:$D$1048576,7,Archives!$Y$2:$Y$1048576,$B26)</f>
        <v>0</v>
      </c>
      <c r="J26" s="47">
        <f>SUMIFS(Archives!$AF$2:$AF$1048576,Archives!$D$2:$D$1048576,8,Archives!$V$2:$V$1048576,$B26)+SUMIFS(Archives!$AF$2:$AF$1048576,Archives!$D$2:$D$1048576,8,Archives!$Y$2:$Y$1048576,$B26)</f>
        <v>5.5</v>
      </c>
      <c r="K26" s="47">
        <f>SUMIFS(Archives!$AF$2:$AF$1048576,Archives!$D$2:$D$1048576,9,Archives!$V$2:$V$1048576,$B26)+SUMIFS(Archives!$AF$2:$AF$1048576,Archives!$D$2:$D$1048576,9,Archives!$Y$2:$Y$1048576,$B26)</f>
        <v>6</v>
      </c>
      <c r="L26" s="47">
        <f>SUMIFS(Archives!$AF$2:$AF$1048576,Archives!$D$2:$D$1048576,10,Archives!$V$2:$V$1048576,$B26)+SUMIFS(Archives!$AF$2:$AF$1048576,Archives!$D$2:$D$1048576,10,Archives!$Y$2:$Y$1048576,$B26)</f>
        <v>2</v>
      </c>
      <c r="M26" s="47">
        <f>SUMIFS(Archives!$AF$2:$AF$1048576,Archives!$D$2:$D$1048576,11,Archives!$V$2:$V$1048576,$B26)+SUMIFS(Archives!$AF$2:$AF$1048576,Archives!$D$2:$D$1048576,11,Archives!$Y$2:$Y$1048576,$B26)</f>
        <v>0</v>
      </c>
      <c r="N26" s="47">
        <f>SUMIFS(Archives!$AF$2:$AF$1048576,Archives!$D$2:$D$1048576,12,Archives!$V$2:$V$1048576,$B26)+SUMIFS(Archives!$AF$2:$AF$1048576,Archives!$D$2:$D$1048576,12,Archives!$Y$2:$Y$1048576,$B26)</f>
        <v>5</v>
      </c>
      <c r="O26" s="47">
        <f>SUMIFS(Archives!$AF$2:$AF$1048576,Archives!$D$2:$D$1048576,13,Archives!$V$2:$V$1048576,$B26)+SUMIFS(Archives!$AF$2:$AF$1048576,Archives!$D$2:$D$1048576,13,Archives!$Y$2:$Y$1048576,$B26)</f>
        <v>0</v>
      </c>
      <c r="P26" s="47">
        <f>SUMIFS(Archives!$AF$2:$AF$1048576,Archives!$D$2:$D$1048576,14,Archives!$V$2:$V$1048576,$B26)+SUMIFS(Archives!$AF$2:$AF$1048576,Archives!$D$2:$D$1048576,14,Archives!$Y$2:$Y$1048576,$B26)</f>
        <v>0</v>
      </c>
      <c r="Q26" s="47">
        <f>SUMIFS(Archives!$AF$2:$AF$1048576,Archives!$D$2:$D$1048576,15,Archives!$V$2:$V$1048576,$B26)+SUMIFS(Archives!$AF$2:$AF$1048576,Archives!$D$2:$D$1048576,15,Archives!$Y$2:$Y$1048576,$B26)</f>
        <v>0</v>
      </c>
      <c r="R26" s="48">
        <f t="shared" si="0"/>
        <v>18.5</v>
      </c>
    </row>
    <row r="27" spans="2:18" ht="15" customHeight="1" x14ac:dyDescent="0.2">
      <c r="B27" s="43" t="s">
        <v>173</v>
      </c>
      <c r="C27" s="44">
        <f>SUMIFS(Archives!$AF$2:$AF$1048576,Archives!$D$2:$D$1048576,1,Archives!$V$2:$V$1048576,$B27)+SUMIFS(Archives!$AF$2:$AF$1048576,Archives!$D$2:$D$1048576,1,Archives!$Y$2:$Y$1048576,$B27)</f>
        <v>0</v>
      </c>
      <c r="D27" s="44">
        <f>SUMIFS(Archives!$AF$2:$AF$1048576,Archives!$D$2:$D$1048576,2,Archives!$V$2:$V$1048576,$B27)+SUMIFS(Archives!$AF$2:$AF$1048576,Archives!$D$2:$D$1048576,2,Archives!$Y$2:$Y$1048576,$B27)</f>
        <v>2</v>
      </c>
      <c r="E27" s="44">
        <f>SUMIFS(Archives!$AF$2:$AF$1048576,Archives!$D$2:$D$1048576,3,Archives!$V$2:$V$1048576,$B27)+SUMIFS(Archives!$AF$2:$AF$1048576,Archives!$D$2:$D$1048576,3,Archives!$Y$2:$Y$1048576,$B27)</f>
        <v>2</v>
      </c>
      <c r="F27" s="44">
        <f>SUMIFS(Archives!$AF$2:$AF$1048576,Archives!$D$2:$D$1048576,4,Archives!$V$2:$V$1048576,$B27)+SUMIFS(Archives!$AF$2:$AF$1048576,Archives!$D$2:$D$1048576,4,Archives!$Y$2:$Y$1048576,$B27)</f>
        <v>4.5</v>
      </c>
      <c r="G27" s="44">
        <f>SUMIFS(Archives!$AF$2:$AF$1048576,Archives!$D$2:$D$1048576,5,Archives!$V$2:$V$1048576,$B27)+SUMIFS(Archives!$AF$2:$AF$1048576,Archives!$D$2:$D$1048576,5,Archives!$Y$2:$Y$1048576,$B27)</f>
        <v>0</v>
      </c>
      <c r="H27" s="44">
        <f>SUMIFS(Archives!$AF$2:$AF$1048576,Archives!$D$2:$D$1048576,6,Archives!$V$2:$V$1048576,$B27)+SUMIFS(Archives!$AF$2:$AF$1048576,Archives!$D$2:$D$1048576,6,Archives!$Y$2:$Y$1048576,$B27)</f>
        <v>2</v>
      </c>
      <c r="I27" s="44">
        <f>SUMIFS(Archives!$AF$2:$AF$1048576,Archives!$D$2:$D$1048576,7,Archives!$V$2:$V$1048576,$B27)+SUMIFS(Archives!$AF$2:$AF$1048576,Archives!$D$2:$D$1048576,7,Archives!$Y$2:$Y$1048576,$B27)</f>
        <v>2.5</v>
      </c>
      <c r="J27" s="44">
        <f>SUMIFS(Archives!$AF$2:$AF$1048576,Archives!$D$2:$D$1048576,8,Archives!$V$2:$V$1048576,$B27)+SUMIFS(Archives!$AF$2:$AF$1048576,Archives!$D$2:$D$1048576,8,Archives!$Y$2:$Y$1048576,$B27)</f>
        <v>0</v>
      </c>
      <c r="K27" s="44">
        <f>SUMIFS(Archives!$AF$2:$AF$1048576,Archives!$D$2:$D$1048576,9,Archives!$V$2:$V$1048576,$B27)+SUMIFS(Archives!$AF$2:$AF$1048576,Archives!$D$2:$D$1048576,9,Archives!$Y$2:$Y$1048576,$B27)</f>
        <v>0</v>
      </c>
      <c r="L27" s="44">
        <f>SUMIFS(Archives!$AF$2:$AF$1048576,Archives!$D$2:$D$1048576,10,Archives!$V$2:$V$1048576,$B27)+SUMIFS(Archives!$AF$2:$AF$1048576,Archives!$D$2:$D$1048576,10,Archives!$Y$2:$Y$1048576,$B27)</f>
        <v>0</v>
      </c>
      <c r="M27" s="44">
        <f>SUMIFS(Archives!$AF$2:$AF$1048576,Archives!$D$2:$D$1048576,11,Archives!$V$2:$V$1048576,$B27)+SUMIFS(Archives!$AF$2:$AF$1048576,Archives!$D$2:$D$1048576,11,Archives!$Y$2:$Y$1048576,$B27)</f>
        <v>0</v>
      </c>
      <c r="N27" s="44">
        <f>SUMIFS(Archives!$AF$2:$AF$1048576,Archives!$D$2:$D$1048576,12,Archives!$V$2:$V$1048576,$B27)+SUMIFS(Archives!$AF$2:$AF$1048576,Archives!$D$2:$D$1048576,12,Archives!$Y$2:$Y$1048576,$B27)</f>
        <v>0</v>
      </c>
      <c r="O27" s="44">
        <f>SUMIFS(Archives!$AF$2:$AF$1048576,Archives!$D$2:$D$1048576,13,Archives!$V$2:$V$1048576,$B27)+SUMIFS(Archives!$AF$2:$AF$1048576,Archives!$D$2:$D$1048576,13,Archives!$Y$2:$Y$1048576,$B27)</f>
        <v>0</v>
      </c>
      <c r="P27" s="44">
        <f>SUMIFS(Archives!$AF$2:$AF$1048576,Archives!$D$2:$D$1048576,14,Archives!$V$2:$V$1048576,$B27)+SUMIFS(Archives!$AF$2:$AF$1048576,Archives!$D$2:$D$1048576,14,Archives!$Y$2:$Y$1048576,$B27)</f>
        <v>0</v>
      </c>
      <c r="Q27" s="44">
        <f>SUMIFS(Archives!$AF$2:$AF$1048576,Archives!$D$2:$D$1048576,15,Archives!$V$2:$V$1048576,$B27)+SUMIFS(Archives!$AF$2:$AF$1048576,Archives!$D$2:$D$1048576,15,Archives!$Y$2:$Y$1048576,$B27)</f>
        <v>0</v>
      </c>
      <c r="R27" s="45">
        <f t="shared" si="0"/>
        <v>13</v>
      </c>
    </row>
    <row r="28" spans="2:18" ht="15" customHeight="1" x14ac:dyDescent="0.2">
      <c r="B28" s="46" t="s">
        <v>550</v>
      </c>
      <c r="C28" s="47">
        <f>SUMIFS(Archives!$AF$2:$AF$1048576,Archives!$D$2:$D$1048576,1,Archives!$V$2:$V$1048576,$B28)+SUMIFS(Archives!$AF$2:$AF$1048576,Archives!$D$2:$D$1048576,1,Archives!$Y$2:$Y$1048576,$B28)</f>
        <v>0</v>
      </c>
      <c r="D28" s="47">
        <f>SUMIFS(Archives!$AF$2:$AF$1048576,Archives!$D$2:$D$1048576,2,Archives!$V$2:$V$1048576,$B28)+SUMIFS(Archives!$AF$2:$AF$1048576,Archives!$D$2:$D$1048576,2,Archives!$Y$2:$Y$1048576,$B28)</f>
        <v>0</v>
      </c>
      <c r="E28" s="47">
        <f>SUMIFS(Archives!$AF$2:$AF$1048576,Archives!$D$2:$D$1048576,3,Archives!$V$2:$V$1048576,$B28)+SUMIFS(Archives!$AF$2:$AF$1048576,Archives!$D$2:$D$1048576,3,Archives!$Y$2:$Y$1048576,$B28)</f>
        <v>0</v>
      </c>
      <c r="F28" s="47">
        <f>SUMIFS(Archives!$AF$2:$AF$1048576,Archives!$D$2:$D$1048576,4,Archives!$V$2:$V$1048576,$B28)+SUMIFS(Archives!$AF$2:$AF$1048576,Archives!$D$2:$D$1048576,4,Archives!$Y$2:$Y$1048576,$B28)</f>
        <v>0</v>
      </c>
      <c r="G28" s="47">
        <f>SUMIFS(Archives!$AF$2:$AF$1048576,Archives!$D$2:$D$1048576,5,Archives!$V$2:$V$1048576,$B28)+SUMIFS(Archives!$AF$2:$AF$1048576,Archives!$D$2:$D$1048576,5,Archives!$Y$2:$Y$1048576,$B28)</f>
        <v>0</v>
      </c>
      <c r="H28" s="47">
        <f>SUMIFS(Archives!$AF$2:$AF$1048576,Archives!$D$2:$D$1048576,6,Archives!$V$2:$V$1048576,$B28)+SUMIFS(Archives!$AF$2:$AF$1048576,Archives!$D$2:$D$1048576,6,Archives!$Y$2:$Y$1048576,$B28)</f>
        <v>0</v>
      </c>
      <c r="I28" s="47">
        <f>SUMIFS(Archives!$AF$2:$AF$1048576,Archives!$D$2:$D$1048576,7,Archives!$V$2:$V$1048576,$B28)+SUMIFS(Archives!$AF$2:$AF$1048576,Archives!$D$2:$D$1048576,7,Archives!$Y$2:$Y$1048576,$B28)</f>
        <v>0</v>
      </c>
      <c r="J28" s="47">
        <f>SUMIFS(Archives!$AF$2:$AF$1048576,Archives!$D$2:$D$1048576,8,Archives!$V$2:$V$1048576,$B28)+SUMIFS(Archives!$AF$2:$AF$1048576,Archives!$D$2:$D$1048576,8,Archives!$Y$2:$Y$1048576,$B28)</f>
        <v>0</v>
      </c>
      <c r="K28" s="47">
        <f>SUMIFS(Archives!$AF$2:$AF$1048576,Archives!$D$2:$D$1048576,9,Archives!$V$2:$V$1048576,$B28)+SUMIFS(Archives!$AF$2:$AF$1048576,Archives!$D$2:$D$1048576,9,Archives!$Y$2:$Y$1048576,$B28)</f>
        <v>0</v>
      </c>
      <c r="L28" s="47">
        <f>SUMIFS(Archives!$AF$2:$AF$1048576,Archives!$D$2:$D$1048576,10,Archives!$V$2:$V$1048576,$B28)+SUMIFS(Archives!$AF$2:$AF$1048576,Archives!$D$2:$D$1048576,10,Archives!$Y$2:$Y$1048576,$B28)</f>
        <v>3</v>
      </c>
      <c r="M28" s="47">
        <f>SUMIFS(Archives!$AF$2:$AF$1048576,Archives!$D$2:$D$1048576,11,Archives!$V$2:$V$1048576,$B28)+SUMIFS(Archives!$AF$2:$AF$1048576,Archives!$D$2:$D$1048576,11,Archives!$Y$2:$Y$1048576,$B28)</f>
        <v>0</v>
      </c>
      <c r="N28" s="47">
        <f>SUMIFS(Archives!$AF$2:$AF$1048576,Archives!$D$2:$D$1048576,12,Archives!$V$2:$V$1048576,$B28)+SUMIFS(Archives!$AF$2:$AF$1048576,Archives!$D$2:$D$1048576,12,Archives!$Y$2:$Y$1048576,$B28)</f>
        <v>6</v>
      </c>
      <c r="O28" s="47">
        <f>SUMIFS(Archives!$AF$2:$AF$1048576,Archives!$D$2:$D$1048576,13,Archives!$V$2:$V$1048576,$B28)+SUMIFS(Archives!$AF$2:$AF$1048576,Archives!$D$2:$D$1048576,13,Archives!$Y$2:$Y$1048576,$B28)</f>
        <v>0</v>
      </c>
      <c r="P28" s="47">
        <f>SUMIFS(Archives!$AF$2:$AF$1048576,Archives!$D$2:$D$1048576,14,Archives!$V$2:$V$1048576,$B28)+SUMIFS(Archives!$AF$2:$AF$1048576,Archives!$D$2:$D$1048576,14,Archives!$Y$2:$Y$1048576,$B28)</f>
        <v>0</v>
      </c>
      <c r="Q28" s="47">
        <f>SUMIFS(Archives!$AF$2:$AF$1048576,Archives!$D$2:$D$1048576,15,Archives!$V$2:$V$1048576,$B28)+SUMIFS(Archives!$AF$2:$AF$1048576,Archives!$D$2:$D$1048576,15,Archives!$Y$2:$Y$1048576,$B28)</f>
        <v>0</v>
      </c>
      <c r="R28" s="48">
        <f t="shared" si="0"/>
        <v>9</v>
      </c>
    </row>
    <row r="29" spans="2:18" ht="15" customHeight="1" x14ac:dyDescent="0.2">
      <c r="B29" s="43" t="s">
        <v>120</v>
      </c>
      <c r="C29" s="44">
        <f>SUMIFS(Archives!$AF$2:$AF$1048576,Archives!$D$2:$D$1048576,1,Archives!$V$2:$V$1048576,$B29)+SUMIFS(Archives!$AF$2:$AF$1048576,Archives!$D$2:$D$1048576,1,Archives!$Y$2:$Y$1048576,$B29)</f>
        <v>3.5</v>
      </c>
      <c r="D29" s="44">
        <f>SUMIFS(Archives!$AF$2:$AF$1048576,Archives!$D$2:$D$1048576,2,Archives!$V$2:$V$1048576,$B29)+SUMIFS(Archives!$AF$2:$AF$1048576,Archives!$D$2:$D$1048576,2,Archives!$Y$2:$Y$1048576,$B29)</f>
        <v>2</v>
      </c>
      <c r="E29" s="44">
        <f>SUMIFS(Archives!$AF$2:$AF$1048576,Archives!$D$2:$D$1048576,3,Archives!$V$2:$V$1048576,$B29)+SUMIFS(Archives!$AF$2:$AF$1048576,Archives!$D$2:$D$1048576,3,Archives!$Y$2:$Y$1048576,$B29)</f>
        <v>3</v>
      </c>
      <c r="F29" s="44">
        <f>SUMIFS(Archives!$AF$2:$AF$1048576,Archives!$D$2:$D$1048576,4,Archives!$V$2:$V$1048576,$B29)+SUMIFS(Archives!$AF$2:$AF$1048576,Archives!$D$2:$D$1048576,4,Archives!$Y$2:$Y$1048576,$B29)</f>
        <v>0</v>
      </c>
      <c r="G29" s="44">
        <f>SUMIFS(Archives!$AF$2:$AF$1048576,Archives!$D$2:$D$1048576,5,Archives!$V$2:$V$1048576,$B29)+SUMIFS(Archives!$AF$2:$AF$1048576,Archives!$D$2:$D$1048576,5,Archives!$Y$2:$Y$1048576,$B29)</f>
        <v>0</v>
      </c>
      <c r="H29" s="44">
        <f>SUMIFS(Archives!$AF$2:$AF$1048576,Archives!$D$2:$D$1048576,6,Archives!$V$2:$V$1048576,$B29)+SUMIFS(Archives!$AF$2:$AF$1048576,Archives!$D$2:$D$1048576,6,Archives!$Y$2:$Y$1048576,$B29)</f>
        <v>0</v>
      </c>
      <c r="I29" s="44">
        <f>SUMIFS(Archives!$AF$2:$AF$1048576,Archives!$D$2:$D$1048576,7,Archives!$V$2:$V$1048576,$B29)+SUMIFS(Archives!$AF$2:$AF$1048576,Archives!$D$2:$D$1048576,7,Archives!$Y$2:$Y$1048576,$B29)</f>
        <v>0</v>
      </c>
      <c r="J29" s="44">
        <f>SUMIFS(Archives!$AF$2:$AF$1048576,Archives!$D$2:$D$1048576,8,Archives!$V$2:$V$1048576,$B29)+SUMIFS(Archives!$AF$2:$AF$1048576,Archives!$D$2:$D$1048576,8,Archives!$Y$2:$Y$1048576,$B29)</f>
        <v>0</v>
      </c>
      <c r="K29" s="44">
        <f>SUMIFS(Archives!$AF$2:$AF$1048576,Archives!$D$2:$D$1048576,9,Archives!$V$2:$V$1048576,$B29)+SUMIFS(Archives!$AF$2:$AF$1048576,Archives!$D$2:$D$1048576,9,Archives!$Y$2:$Y$1048576,$B29)</f>
        <v>0</v>
      </c>
      <c r="L29" s="44">
        <f>SUMIFS(Archives!$AF$2:$AF$1048576,Archives!$D$2:$D$1048576,10,Archives!$V$2:$V$1048576,$B29)+SUMIFS(Archives!$AF$2:$AF$1048576,Archives!$D$2:$D$1048576,10,Archives!$Y$2:$Y$1048576,$B29)</f>
        <v>0</v>
      </c>
      <c r="M29" s="44">
        <f>SUMIFS(Archives!$AF$2:$AF$1048576,Archives!$D$2:$D$1048576,11,Archives!$V$2:$V$1048576,$B29)+SUMIFS(Archives!$AF$2:$AF$1048576,Archives!$D$2:$D$1048576,11,Archives!$Y$2:$Y$1048576,$B29)</f>
        <v>0</v>
      </c>
      <c r="N29" s="44">
        <f>SUMIFS(Archives!$AF$2:$AF$1048576,Archives!$D$2:$D$1048576,12,Archives!$V$2:$V$1048576,$B29)+SUMIFS(Archives!$AF$2:$AF$1048576,Archives!$D$2:$D$1048576,12,Archives!$Y$2:$Y$1048576,$B29)</f>
        <v>0</v>
      </c>
      <c r="O29" s="44">
        <f>SUMIFS(Archives!$AF$2:$AF$1048576,Archives!$D$2:$D$1048576,13,Archives!$V$2:$V$1048576,$B29)+SUMIFS(Archives!$AF$2:$AF$1048576,Archives!$D$2:$D$1048576,13,Archives!$Y$2:$Y$1048576,$B29)</f>
        <v>0</v>
      </c>
      <c r="P29" s="44">
        <f>SUMIFS(Archives!$AF$2:$AF$1048576,Archives!$D$2:$D$1048576,14,Archives!$V$2:$V$1048576,$B29)+SUMIFS(Archives!$AF$2:$AF$1048576,Archives!$D$2:$D$1048576,14,Archives!$Y$2:$Y$1048576,$B29)</f>
        <v>0</v>
      </c>
      <c r="Q29" s="44">
        <f>SUMIFS(Archives!$AF$2:$AF$1048576,Archives!$D$2:$D$1048576,15,Archives!$V$2:$V$1048576,$B29)+SUMIFS(Archives!$AF$2:$AF$1048576,Archives!$D$2:$D$1048576,15,Archives!$Y$2:$Y$1048576,$B29)</f>
        <v>0</v>
      </c>
      <c r="R29" s="45">
        <f t="shared" si="0"/>
        <v>8.5</v>
      </c>
    </row>
    <row r="30" spans="2:18" ht="15" customHeight="1" x14ac:dyDescent="0.2">
      <c r="B30" s="46" t="s">
        <v>177</v>
      </c>
      <c r="C30" s="47">
        <f>SUMIFS(Archives!$AF$2:$AF$1048576,Archives!$D$2:$D$1048576,1,Archives!$V$2:$V$1048576,$B30)+SUMIFS(Archives!$AF$2:$AF$1048576,Archives!$D$2:$D$1048576,1,Archives!$Y$2:$Y$1048576,$B30)</f>
        <v>0</v>
      </c>
      <c r="D30" s="47">
        <f>SUMIFS(Archives!$AF$2:$AF$1048576,Archives!$D$2:$D$1048576,2,Archives!$V$2:$V$1048576,$B30)+SUMIFS(Archives!$AF$2:$AF$1048576,Archives!$D$2:$D$1048576,2,Archives!$Y$2:$Y$1048576,$B30)</f>
        <v>2.5</v>
      </c>
      <c r="E30" s="47">
        <f>SUMIFS(Archives!$AF$2:$AF$1048576,Archives!$D$2:$D$1048576,3,Archives!$V$2:$V$1048576,$B30)+SUMIFS(Archives!$AF$2:$AF$1048576,Archives!$D$2:$D$1048576,3,Archives!$Y$2:$Y$1048576,$B30)</f>
        <v>3</v>
      </c>
      <c r="F30" s="47">
        <f>SUMIFS(Archives!$AF$2:$AF$1048576,Archives!$D$2:$D$1048576,4,Archives!$V$2:$V$1048576,$B30)+SUMIFS(Archives!$AF$2:$AF$1048576,Archives!$D$2:$D$1048576,4,Archives!$Y$2:$Y$1048576,$B30)</f>
        <v>3</v>
      </c>
      <c r="G30" s="47">
        <f>SUMIFS(Archives!$AF$2:$AF$1048576,Archives!$D$2:$D$1048576,5,Archives!$V$2:$V$1048576,$B30)+SUMIFS(Archives!$AF$2:$AF$1048576,Archives!$D$2:$D$1048576,5,Archives!$Y$2:$Y$1048576,$B30)</f>
        <v>0</v>
      </c>
      <c r="H30" s="47">
        <f>SUMIFS(Archives!$AF$2:$AF$1048576,Archives!$D$2:$D$1048576,6,Archives!$V$2:$V$1048576,$B30)+SUMIFS(Archives!$AF$2:$AF$1048576,Archives!$D$2:$D$1048576,6,Archives!$Y$2:$Y$1048576,$B30)</f>
        <v>0</v>
      </c>
      <c r="I30" s="47">
        <f>SUMIFS(Archives!$AF$2:$AF$1048576,Archives!$D$2:$D$1048576,7,Archives!$V$2:$V$1048576,$B30)+SUMIFS(Archives!$AF$2:$AF$1048576,Archives!$D$2:$D$1048576,7,Archives!$Y$2:$Y$1048576,$B30)</f>
        <v>0</v>
      </c>
      <c r="J30" s="47">
        <f>SUMIFS(Archives!$AF$2:$AF$1048576,Archives!$D$2:$D$1048576,8,Archives!$V$2:$V$1048576,$B30)+SUMIFS(Archives!$AF$2:$AF$1048576,Archives!$D$2:$D$1048576,8,Archives!$Y$2:$Y$1048576,$B30)</f>
        <v>0</v>
      </c>
      <c r="K30" s="47">
        <f>SUMIFS(Archives!$AF$2:$AF$1048576,Archives!$D$2:$D$1048576,9,Archives!$V$2:$V$1048576,$B30)+SUMIFS(Archives!$AF$2:$AF$1048576,Archives!$D$2:$D$1048576,9,Archives!$Y$2:$Y$1048576,$B30)</f>
        <v>0</v>
      </c>
      <c r="L30" s="47">
        <f>SUMIFS(Archives!$AF$2:$AF$1048576,Archives!$D$2:$D$1048576,10,Archives!$V$2:$V$1048576,$B30)+SUMIFS(Archives!$AF$2:$AF$1048576,Archives!$D$2:$D$1048576,10,Archives!$Y$2:$Y$1048576,$B30)</f>
        <v>0</v>
      </c>
      <c r="M30" s="47">
        <f>SUMIFS(Archives!$AF$2:$AF$1048576,Archives!$D$2:$D$1048576,11,Archives!$V$2:$V$1048576,$B30)+SUMIFS(Archives!$AF$2:$AF$1048576,Archives!$D$2:$D$1048576,11,Archives!$Y$2:$Y$1048576,$B30)</f>
        <v>0</v>
      </c>
      <c r="N30" s="47">
        <f>SUMIFS(Archives!$AF$2:$AF$1048576,Archives!$D$2:$D$1048576,12,Archives!$V$2:$V$1048576,$B30)+SUMIFS(Archives!$AF$2:$AF$1048576,Archives!$D$2:$D$1048576,12,Archives!$Y$2:$Y$1048576,$B30)</f>
        <v>0</v>
      </c>
      <c r="O30" s="47">
        <f>SUMIFS(Archives!$AF$2:$AF$1048576,Archives!$D$2:$D$1048576,13,Archives!$V$2:$V$1048576,$B30)+SUMIFS(Archives!$AF$2:$AF$1048576,Archives!$D$2:$D$1048576,13,Archives!$Y$2:$Y$1048576,$B30)</f>
        <v>0</v>
      </c>
      <c r="P30" s="47">
        <f>SUMIFS(Archives!$AF$2:$AF$1048576,Archives!$D$2:$D$1048576,14,Archives!$V$2:$V$1048576,$B30)+SUMIFS(Archives!$AF$2:$AF$1048576,Archives!$D$2:$D$1048576,14,Archives!$Y$2:$Y$1048576,$B30)</f>
        <v>0</v>
      </c>
      <c r="Q30" s="47">
        <f>SUMIFS(Archives!$AF$2:$AF$1048576,Archives!$D$2:$D$1048576,15,Archives!$V$2:$V$1048576,$B30)+SUMIFS(Archives!$AF$2:$AF$1048576,Archives!$D$2:$D$1048576,15,Archives!$Y$2:$Y$1048576,$B30)</f>
        <v>0</v>
      </c>
      <c r="R30" s="48">
        <f t="shared" si="0"/>
        <v>8.5</v>
      </c>
    </row>
    <row r="31" spans="2:18" ht="15" customHeight="1" x14ac:dyDescent="0.2">
      <c r="B31" s="43" t="s">
        <v>462</v>
      </c>
      <c r="C31" s="44">
        <f>SUMIFS(Archives!$AF$2:$AF$1048576,Archives!$D$2:$D$1048576,1,Archives!$V$2:$V$1048576,$B31)+SUMIFS(Archives!$AF$2:$AF$1048576,Archives!$D$2:$D$1048576,1,Archives!$Y$2:$Y$1048576,$B31)</f>
        <v>0</v>
      </c>
      <c r="D31" s="44">
        <f>SUMIFS(Archives!$AF$2:$AF$1048576,Archives!$D$2:$D$1048576,2,Archives!$V$2:$V$1048576,$B31)+SUMIFS(Archives!$AF$2:$AF$1048576,Archives!$D$2:$D$1048576,2,Archives!$Y$2:$Y$1048576,$B31)</f>
        <v>0</v>
      </c>
      <c r="E31" s="44">
        <f>SUMIFS(Archives!$AF$2:$AF$1048576,Archives!$D$2:$D$1048576,3,Archives!$V$2:$V$1048576,$B31)+SUMIFS(Archives!$AF$2:$AF$1048576,Archives!$D$2:$D$1048576,3,Archives!$Y$2:$Y$1048576,$B31)</f>
        <v>0</v>
      </c>
      <c r="F31" s="44">
        <f>SUMIFS(Archives!$AF$2:$AF$1048576,Archives!$D$2:$D$1048576,4,Archives!$V$2:$V$1048576,$B31)+SUMIFS(Archives!$AF$2:$AF$1048576,Archives!$D$2:$D$1048576,4,Archives!$Y$2:$Y$1048576,$B31)</f>
        <v>0</v>
      </c>
      <c r="G31" s="44">
        <f>SUMIFS(Archives!$AF$2:$AF$1048576,Archives!$D$2:$D$1048576,5,Archives!$V$2:$V$1048576,$B31)+SUMIFS(Archives!$AF$2:$AF$1048576,Archives!$D$2:$D$1048576,5,Archives!$Y$2:$Y$1048576,$B31)</f>
        <v>0</v>
      </c>
      <c r="H31" s="44">
        <f>SUMIFS(Archives!$AF$2:$AF$1048576,Archives!$D$2:$D$1048576,6,Archives!$V$2:$V$1048576,$B31)+SUMIFS(Archives!$AF$2:$AF$1048576,Archives!$D$2:$D$1048576,6,Archives!$Y$2:$Y$1048576,$B31)</f>
        <v>0</v>
      </c>
      <c r="I31" s="44">
        <f>SUMIFS(Archives!$AF$2:$AF$1048576,Archives!$D$2:$D$1048576,7,Archives!$V$2:$V$1048576,$B31)+SUMIFS(Archives!$AF$2:$AF$1048576,Archives!$D$2:$D$1048576,7,Archives!$Y$2:$Y$1048576,$B31)</f>
        <v>0</v>
      </c>
      <c r="J31" s="44">
        <f>SUMIFS(Archives!$AF$2:$AF$1048576,Archives!$D$2:$D$1048576,8,Archives!$V$2:$V$1048576,$B31)+SUMIFS(Archives!$AF$2:$AF$1048576,Archives!$D$2:$D$1048576,8,Archives!$Y$2:$Y$1048576,$B31)</f>
        <v>3</v>
      </c>
      <c r="K31" s="44">
        <f>SUMIFS(Archives!$AF$2:$AF$1048576,Archives!$D$2:$D$1048576,9,Archives!$V$2:$V$1048576,$B31)+SUMIFS(Archives!$AF$2:$AF$1048576,Archives!$D$2:$D$1048576,9,Archives!$Y$2:$Y$1048576,$B31)</f>
        <v>3</v>
      </c>
      <c r="L31" s="44">
        <f>SUMIFS(Archives!$AF$2:$AF$1048576,Archives!$D$2:$D$1048576,10,Archives!$V$2:$V$1048576,$B31)+SUMIFS(Archives!$AF$2:$AF$1048576,Archives!$D$2:$D$1048576,10,Archives!$Y$2:$Y$1048576,$B31)</f>
        <v>0</v>
      </c>
      <c r="M31" s="44">
        <f>SUMIFS(Archives!$AF$2:$AF$1048576,Archives!$D$2:$D$1048576,11,Archives!$V$2:$V$1048576,$B31)+SUMIFS(Archives!$AF$2:$AF$1048576,Archives!$D$2:$D$1048576,11,Archives!$Y$2:$Y$1048576,$B31)</f>
        <v>0</v>
      </c>
      <c r="N31" s="44">
        <f>SUMIFS(Archives!$AF$2:$AF$1048576,Archives!$D$2:$D$1048576,12,Archives!$V$2:$V$1048576,$B31)+SUMIFS(Archives!$AF$2:$AF$1048576,Archives!$D$2:$D$1048576,12,Archives!$Y$2:$Y$1048576,$B31)</f>
        <v>1</v>
      </c>
      <c r="O31" s="44">
        <f>SUMIFS(Archives!$AF$2:$AF$1048576,Archives!$D$2:$D$1048576,13,Archives!$V$2:$V$1048576,$B31)+SUMIFS(Archives!$AF$2:$AF$1048576,Archives!$D$2:$D$1048576,13,Archives!$Y$2:$Y$1048576,$B31)</f>
        <v>0</v>
      </c>
      <c r="P31" s="44">
        <f>SUMIFS(Archives!$AF$2:$AF$1048576,Archives!$D$2:$D$1048576,14,Archives!$V$2:$V$1048576,$B31)+SUMIFS(Archives!$AF$2:$AF$1048576,Archives!$D$2:$D$1048576,14,Archives!$Y$2:$Y$1048576,$B31)</f>
        <v>0</v>
      </c>
      <c r="Q31" s="44">
        <f>SUMIFS(Archives!$AF$2:$AF$1048576,Archives!$D$2:$D$1048576,15,Archives!$V$2:$V$1048576,$B31)+SUMIFS(Archives!$AF$2:$AF$1048576,Archives!$D$2:$D$1048576,15,Archives!$Y$2:$Y$1048576,$B31)</f>
        <v>0</v>
      </c>
      <c r="R31" s="45">
        <f t="shared" si="0"/>
        <v>7</v>
      </c>
    </row>
    <row r="32" spans="2:18" ht="15" customHeight="1" x14ac:dyDescent="0.2">
      <c r="B32" s="46" t="s">
        <v>641</v>
      </c>
      <c r="C32" s="47">
        <f>SUMIFS(Archives!$AF$2:$AF$1048576,Archives!$D$2:$D$1048576,1,Archives!$V$2:$V$1048576,$B32)+SUMIFS(Archives!$AF$2:$AF$1048576,Archives!$D$2:$D$1048576,1,Archives!$Y$2:$Y$1048576,$B32)</f>
        <v>0</v>
      </c>
      <c r="D32" s="47">
        <f>SUMIFS(Archives!$AF$2:$AF$1048576,Archives!$D$2:$D$1048576,2,Archives!$V$2:$V$1048576,$B32)+SUMIFS(Archives!$AF$2:$AF$1048576,Archives!$D$2:$D$1048576,2,Archives!$Y$2:$Y$1048576,$B32)</f>
        <v>0</v>
      </c>
      <c r="E32" s="47">
        <f>SUMIFS(Archives!$AF$2:$AF$1048576,Archives!$D$2:$D$1048576,3,Archives!$V$2:$V$1048576,$B32)+SUMIFS(Archives!$AF$2:$AF$1048576,Archives!$D$2:$D$1048576,3,Archives!$Y$2:$Y$1048576,$B32)</f>
        <v>0</v>
      </c>
      <c r="F32" s="47">
        <f>SUMIFS(Archives!$AF$2:$AF$1048576,Archives!$D$2:$D$1048576,4,Archives!$V$2:$V$1048576,$B32)+SUMIFS(Archives!$AF$2:$AF$1048576,Archives!$D$2:$D$1048576,4,Archives!$Y$2:$Y$1048576,$B32)</f>
        <v>0</v>
      </c>
      <c r="G32" s="47">
        <f>SUMIFS(Archives!$AF$2:$AF$1048576,Archives!$D$2:$D$1048576,5,Archives!$V$2:$V$1048576,$B32)+SUMIFS(Archives!$AF$2:$AF$1048576,Archives!$D$2:$D$1048576,5,Archives!$Y$2:$Y$1048576,$B32)</f>
        <v>0</v>
      </c>
      <c r="H32" s="47">
        <f>SUMIFS(Archives!$AF$2:$AF$1048576,Archives!$D$2:$D$1048576,6,Archives!$V$2:$V$1048576,$B32)+SUMIFS(Archives!$AF$2:$AF$1048576,Archives!$D$2:$D$1048576,6,Archives!$Y$2:$Y$1048576,$B32)</f>
        <v>0</v>
      </c>
      <c r="I32" s="47">
        <f>SUMIFS(Archives!$AF$2:$AF$1048576,Archives!$D$2:$D$1048576,7,Archives!$V$2:$V$1048576,$B32)+SUMIFS(Archives!$AF$2:$AF$1048576,Archives!$D$2:$D$1048576,7,Archives!$Y$2:$Y$1048576,$B32)</f>
        <v>0</v>
      </c>
      <c r="J32" s="47">
        <f>SUMIFS(Archives!$AF$2:$AF$1048576,Archives!$D$2:$D$1048576,8,Archives!$V$2:$V$1048576,$B32)+SUMIFS(Archives!$AF$2:$AF$1048576,Archives!$D$2:$D$1048576,8,Archives!$Y$2:$Y$1048576,$B32)</f>
        <v>0</v>
      </c>
      <c r="K32" s="47">
        <f>SUMIFS(Archives!$AF$2:$AF$1048576,Archives!$D$2:$D$1048576,9,Archives!$V$2:$V$1048576,$B32)+SUMIFS(Archives!$AF$2:$AF$1048576,Archives!$D$2:$D$1048576,9,Archives!$Y$2:$Y$1048576,$B32)</f>
        <v>0</v>
      </c>
      <c r="L32" s="47">
        <f>SUMIFS(Archives!$AF$2:$AF$1048576,Archives!$D$2:$D$1048576,10,Archives!$V$2:$V$1048576,$B32)+SUMIFS(Archives!$AF$2:$AF$1048576,Archives!$D$2:$D$1048576,10,Archives!$Y$2:$Y$1048576,$B32)</f>
        <v>0</v>
      </c>
      <c r="M32" s="47">
        <f>SUMIFS(Archives!$AF$2:$AF$1048576,Archives!$D$2:$D$1048576,11,Archives!$V$2:$V$1048576,$B32)+SUMIFS(Archives!$AF$2:$AF$1048576,Archives!$D$2:$D$1048576,11,Archives!$Y$2:$Y$1048576,$B32)</f>
        <v>0</v>
      </c>
      <c r="N32" s="47">
        <f>SUMIFS(Archives!$AF$2:$AF$1048576,Archives!$D$2:$D$1048576,12,Archives!$V$2:$V$1048576,$B32)+SUMIFS(Archives!$AF$2:$AF$1048576,Archives!$D$2:$D$1048576,12,Archives!$Y$2:$Y$1048576,$B32)</f>
        <v>4</v>
      </c>
      <c r="O32" s="47">
        <f>SUMIFS(Archives!$AF$2:$AF$1048576,Archives!$D$2:$D$1048576,13,Archives!$V$2:$V$1048576,$B32)+SUMIFS(Archives!$AF$2:$AF$1048576,Archives!$D$2:$D$1048576,13,Archives!$Y$2:$Y$1048576,$B32)</f>
        <v>0</v>
      </c>
      <c r="P32" s="47">
        <f>SUMIFS(Archives!$AF$2:$AF$1048576,Archives!$D$2:$D$1048576,14,Archives!$V$2:$V$1048576,$B32)+SUMIFS(Archives!$AF$2:$AF$1048576,Archives!$D$2:$D$1048576,14,Archives!$Y$2:$Y$1048576,$B32)</f>
        <v>0</v>
      </c>
      <c r="Q32" s="47">
        <f>SUMIFS(Archives!$AF$2:$AF$1048576,Archives!$D$2:$D$1048576,15,Archives!$V$2:$V$1048576,$B32)+SUMIFS(Archives!$AF$2:$AF$1048576,Archives!$D$2:$D$1048576,15,Archives!$Y$2:$Y$1048576,$B32)</f>
        <v>0</v>
      </c>
      <c r="R32" s="48">
        <f t="shared" si="0"/>
        <v>4</v>
      </c>
    </row>
    <row r="33" spans="2:18" ht="15" customHeight="1" x14ac:dyDescent="0.2">
      <c r="B33" s="43" t="s">
        <v>465</v>
      </c>
      <c r="C33" s="44">
        <f>SUMIFS(Archives!$AF$2:$AF$1048576,Archives!$D$2:$D$1048576,1,Archives!$V$2:$V$1048576,$B33)+SUMIFS(Archives!$AF$2:$AF$1048576,Archives!$D$2:$D$1048576,1,Archives!$Y$2:$Y$1048576,$B33)</f>
        <v>0</v>
      </c>
      <c r="D33" s="44">
        <f>SUMIFS(Archives!$AF$2:$AF$1048576,Archives!$D$2:$D$1048576,2,Archives!$V$2:$V$1048576,$B33)+SUMIFS(Archives!$AF$2:$AF$1048576,Archives!$D$2:$D$1048576,2,Archives!$Y$2:$Y$1048576,$B33)</f>
        <v>0</v>
      </c>
      <c r="E33" s="44">
        <f>SUMIFS(Archives!$AF$2:$AF$1048576,Archives!$D$2:$D$1048576,3,Archives!$V$2:$V$1048576,$B33)+SUMIFS(Archives!$AF$2:$AF$1048576,Archives!$D$2:$D$1048576,3,Archives!$Y$2:$Y$1048576,$B33)</f>
        <v>0</v>
      </c>
      <c r="F33" s="44">
        <f>SUMIFS(Archives!$AF$2:$AF$1048576,Archives!$D$2:$D$1048576,4,Archives!$V$2:$V$1048576,$B33)+SUMIFS(Archives!$AF$2:$AF$1048576,Archives!$D$2:$D$1048576,4,Archives!$Y$2:$Y$1048576,$B33)</f>
        <v>0</v>
      </c>
      <c r="G33" s="44">
        <f>SUMIFS(Archives!$AF$2:$AF$1048576,Archives!$D$2:$D$1048576,5,Archives!$V$2:$V$1048576,$B33)+SUMIFS(Archives!$AF$2:$AF$1048576,Archives!$D$2:$D$1048576,5,Archives!$Y$2:$Y$1048576,$B33)</f>
        <v>0</v>
      </c>
      <c r="H33" s="44">
        <f>SUMIFS(Archives!$AF$2:$AF$1048576,Archives!$D$2:$D$1048576,6,Archives!$V$2:$V$1048576,$B33)+SUMIFS(Archives!$AF$2:$AF$1048576,Archives!$D$2:$D$1048576,6,Archives!$Y$2:$Y$1048576,$B33)</f>
        <v>0</v>
      </c>
      <c r="I33" s="44">
        <f>SUMIFS(Archives!$AF$2:$AF$1048576,Archives!$D$2:$D$1048576,7,Archives!$V$2:$V$1048576,$B33)+SUMIFS(Archives!$AF$2:$AF$1048576,Archives!$D$2:$D$1048576,7,Archives!$Y$2:$Y$1048576,$B33)</f>
        <v>0</v>
      </c>
      <c r="J33" s="44">
        <f>SUMIFS(Archives!$AF$2:$AF$1048576,Archives!$D$2:$D$1048576,8,Archives!$V$2:$V$1048576,$B33)+SUMIFS(Archives!$AF$2:$AF$1048576,Archives!$D$2:$D$1048576,8,Archives!$Y$2:$Y$1048576,$B33)</f>
        <v>1.5</v>
      </c>
      <c r="K33" s="44">
        <f>SUMIFS(Archives!$AF$2:$AF$1048576,Archives!$D$2:$D$1048576,9,Archives!$V$2:$V$1048576,$B33)+SUMIFS(Archives!$AF$2:$AF$1048576,Archives!$D$2:$D$1048576,9,Archives!$Y$2:$Y$1048576,$B33)</f>
        <v>0</v>
      </c>
      <c r="L33" s="44">
        <f>SUMIFS(Archives!$AF$2:$AF$1048576,Archives!$D$2:$D$1048576,10,Archives!$V$2:$V$1048576,$B33)+SUMIFS(Archives!$AF$2:$AF$1048576,Archives!$D$2:$D$1048576,10,Archives!$Y$2:$Y$1048576,$B33)</f>
        <v>0</v>
      </c>
      <c r="M33" s="44">
        <f>SUMIFS(Archives!$AF$2:$AF$1048576,Archives!$D$2:$D$1048576,11,Archives!$V$2:$V$1048576,$B33)+SUMIFS(Archives!$AF$2:$AF$1048576,Archives!$D$2:$D$1048576,11,Archives!$Y$2:$Y$1048576,$B33)</f>
        <v>0</v>
      </c>
      <c r="N33" s="44">
        <f>SUMIFS(Archives!$AF$2:$AF$1048576,Archives!$D$2:$D$1048576,12,Archives!$V$2:$V$1048576,$B33)+SUMIFS(Archives!$AF$2:$AF$1048576,Archives!$D$2:$D$1048576,12,Archives!$Y$2:$Y$1048576,$B33)</f>
        <v>1</v>
      </c>
      <c r="O33" s="44">
        <f>SUMIFS(Archives!$AF$2:$AF$1048576,Archives!$D$2:$D$1048576,13,Archives!$V$2:$V$1048576,$B33)+SUMIFS(Archives!$AF$2:$AF$1048576,Archives!$D$2:$D$1048576,13,Archives!$Y$2:$Y$1048576,$B33)</f>
        <v>0</v>
      </c>
      <c r="P33" s="44">
        <f>SUMIFS(Archives!$AF$2:$AF$1048576,Archives!$D$2:$D$1048576,14,Archives!$V$2:$V$1048576,$B33)+SUMIFS(Archives!$AF$2:$AF$1048576,Archives!$D$2:$D$1048576,14,Archives!$Y$2:$Y$1048576,$B33)</f>
        <v>0</v>
      </c>
      <c r="Q33" s="44">
        <f>SUMIFS(Archives!$AF$2:$AF$1048576,Archives!$D$2:$D$1048576,15,Archives!$V$2:$V$1048576,$B33)+SUMIFS(Archives!$AF$2:$AF$1048576,Archives!$D$2:$D$1048576,15,Archives!$Y$2:$Y$1048576,$B33)</f>
        <v>0</v>
      </c>
      <c r="R33" s="45">
        <f t="shared" si="0"/>
        <v>2.5</v>
      </c>
    </row>
    <row r="34" spans="2:18" ht="15" customHeight="1" x14ac:dyDescent="0.2">
      <c r="B34" s="46" t="s">
        <v>468</v>
      </c>
      <c r="C34" s="47">
        <f>SUMIFS(Archives!$AF$2:$AF$1048576,Archives!$D$2:$D$1048576,1,Archives!$V$2:$V$1048576,$B34)+SUMIFS(Archives!$AF$2:$AF$1048576,Archives!$D$2:$D$1048576,1,Archives!$Y$2:$Y$1048576,$B34)</f>
        <v>0</v>
      </c>
      <c r="D34" s="47">
        <f>SUMIFS(Archives!$AF$2:$AF$1048576,Archives!$D$2:$D$1048576,2,Archives!$V$2:$V$1048576,$B34)+SUMIFS(Archives!$AF$2:$AF$1048576,Archives!$D$2:$D$1048576,2,Archives!$Y$2:$Y$1048576,$B34)</f>
        <v>0</v>
      </c>
      <c r="E34" s="47">
        <f>SUMIFS(Archives!$AF$2:$AF$1048576,Archives!$D$2:$D$1048576,3,Archives!$V$2:$V$1048576,$B34)+SUMIFS(Archives!$AF$2:$AF$1048576,Archives!$D$2:$D$1048576,3,Archives!$Y$2:$Y$1048576,$B34)</f>
        <v>0</v>
      </c>
      <c r="F34" s="47">
        <f>SUMIFS(Archives!$AF$2:$AF$1048576,Archives!$D$2:$D$1048576,4,Archives!$V$2:$V$1048576,$B34)+SUMIFS(Archives!$AF$2:$AF$1048576,Archives!$D$2:$D$1048576,4,Archives!$Y$2:$Y$1048576,$B34)</f>
        <v>0</v>
      </c>
      <c r="G34" s="47">
        <f>SUMIFS(Archives!$AF$2:$AF$1048576,Archives!$D$2:$D$1048576,5,Archives!$V$2:$V$1048576,$B34)+SUMIFS(Archives!$AF$2:$AF$1048576,Archives!$D$2:$D$1048576,5,Archives!$Y$2:$Y$1048576,$B34)</f>
        <v>0</v>
      </c>
      <c r="H34" s="47">
        <f>SUMIFS(Archives!$AF$2:$AF$1048576,Archives!$D$2:$D$1048576,6,Archives!$V$2:$V$1048576,$B34)+SUMIFS(Archives!$AF$2:$AF$1048576,Archives!$D$2:$D$1048576,6,Archives!$Y$2:$Y$1048576,$B34)</f>
        <v>0</v>
      </c>
      <c r="I34" s="47">
        <f>SUMIFS(Archives!$AF$2:$AF$1048576,Archives!$D$2:$D$1048576,7,Archives!$V$2:$V$1048576,$B34)+SUMIFS(Archives!$AF$2:$AF$1048576,Archives!$D$2:$D$1048576,7,Archives!$Y$2:$Y$1048576,$B34)</f>
        <v>0</v>
      </c>
      <c r="J34" s="47">
        <f>SUMIFS(Archives!$AF$2:$AF$1048576,Archives!$D$2:$D$1048576,8,Archives!$V$2:$V$1048576,$B34)+SUMIFS(Archives!$AF$2:$AF$1048576,Archives!$D$2:$D$1048576,8,Archives!$Y$2:$Y$1048576,$B34)</f>
        <v>2.5</v>
      </c>
      <c r="K34" s="47">
        <f>SUMIFS(Archives!$AF$2:$AF$1048576,Archives!$D$2:$D$1048576,9,Archives!$V$2:$V$1048576,$B34)+SUMIFS(Archives!$AF$2:$AF$1048576,Archives!$D$2:$D$1048576,9,Archives!$Y$2:$Y$1048576,$B34)</f>
        <v>0</v>
      </c>
      <c r="L34" s="47">
        <f>SUMIFS(Archives!$AF$2:$AF$1048576,Archives!$D$2:$D$1048576,10,Archives!$V$2:$V$1048576,$B34)+SUMIFS(Archives!$AF$2:$AF$1048576,Archives!$D$2:$D$1048576,10,Archives!$Y$2:$Y$1048576,$B34)</f>
        <v>0</v>
      </c>
      <c r="M34" s="47">
        <f>SUMIFS(Archives!$AF$2:$AF$1048576,Archives!$D$2:$D$1048576,11,Archives!$V$2:$V$1048576,$B34)+SUMIFS(Archives!$AF$2:$AF$1048576,Archives!$D$2:$D$1048576,11,Archives!$Y$2:$Y$1048576,$B34)</f>
        <v>0</v>
      </c>
      <c r="N34" s="47">
        <f>SUMIFS(Archives!$AF$2:$AF$1048576,Archives!$D$2:$D$1048576,12,Archives!$V$2:$V$1048576,$B34)+SUMIFS(Archives!$AF$2:$AF$1048576,Archives!$D$2:$D$1048576,12,Archives!$Y$2:$Y$1048576,$B34)</f>
        <v>0</v>
      </c>
      <c r="O34" s="47">
        <f>SUMIFS(Archives!$AF$2:$AF$1048576,Archives!$D$2:$D$1048576,13,Archives!$V$2:$V$1048576,$B34)+SUMIFS(Archives!$AF$2:$AF$1048576,Archives!$D$2:$D$1048576,13,Archives!$Y$2:$Y$1048576,$B34)</f>
        <v>0</v>
      </c>
      <c r="P34" s="47">
        <f>SUMIFS(Archives!$AF$2:$AF$1048576,Archives!$D$2:$D$1048576,14,Archives!$V$2:$V$1048576,$B34)+SUMIFS(Archives!$AF$2:$AF$1048576,Archives!$D$2:$D$1048576,14,Archives!$Y$2:$Y$1048576,$B34)</f>
        <v>0</v>
      </c>
      <c r="Q34" s="47">
        <f>SUMIFS(Archives!$AF$2:$AF$1048576,Archives!$D$2:$D$1048576,15,Archives!$V$2:$V$1048576,$B34)+SUMIFS(Archives!$AF$2:$AF$1048576,Archives!$D$2:$D$1048576,15,Archives!$Y$2:$Y$1048576,$B34)</f>
        <v>0</v>
      </c>
      <c r="R34" s="48">
        <f t="shared" si="0"/>
        <v>2.5</v>
      </c>
    </row>
    <row r="35" spans="2:18" ht="15" customHeight="1" x14ac:dyDescent="0.2">
      <c r="B35" s="43" t="s">
        <v>129</v>
      </c>
      <c r="C35" s="44">
        <f>SUMIFS(Archives!$AF$2:$AF$1048576,Archives!$D$2:$D$1048576,1,Archives!$V$2:$V$1048576,$B35)+SUMIFS(Archives!$AF$2:$AF$1048576,Archives!$D$2:$D$1048576,1,Archives!$Y$2:$Y$1048576,$B35)</f>
        <v>1.5</v>
      </c>
      <c r="D35" s="44">
        <f>SUMIFS(Archives!$AF$2:$AF$1048576,Archives!$D$2:$D$1048576,2,Archives!$V$2:$V$1048576,$B35)+SUMIFS(Archives!$AF$2:$AF$1048576,Archives!$D$2:$D$1048576,2,Archives!$Y$2:$Y$1048576,$B35)</f>
        <v>0</v>
      </c>
      <c r="E35" s="44">
        <f>SUMIFS(Archives!$AF$2:$AF$1048576,Archives!$D$2:$D$1048576,3,Archives!$V$2:$V$1048576,$B35)+SUMIFS(Archives!$AF$2:$AF$1048576,Archives!$D$2:$D$1048576,3,Archives!$Y$2:$Y$1048576,$B35)</f>
        <v>0</v>
      </c>
      <c r="F35" s="44">
        <f>SUMIFS(Archives!$AF$2:$AF$1048576,Archives!$D$2:$D$1048576,4,Archives!$V$2:$V$1048576,$B35)+SUMIFS(Archives!$AF$2:$AF$1048576,Archives!$D$2:$D$1048576,4,Archives!$Y$2:$Y$1048576,$B35)</f>
        <v>0</v>
      </c>
      <c r="G35" s="44">
        <f>SUMIFS(Archives!$AF$2:$AF$1048576,Archives!$D$2:$D$1048576,5,Archives!$V$2:$V$1048576,$B35)+SUMIFS(Archives!$AF$2:$AF$1048576,Archives!$D$2:$D$1048576,5,Archives!$Y$2:$Y$1048576,$B35)</f>
        <v>0</v>
      </c>
      <c r="H35" s="44">
        <f>SUMIFS(Archives!$AF$2:$AF$1048576,Archives!$D$2:$D$1048576,6,Archives!$V$2:$V$1048576,$B35)+SUMIFS(Archives!$AF$2:$AF$1048576,Archives!$D$2:$D$1048576,6,Archives!$Y$2:$Y$1048576,$B35)</f>
        <v>0</v>
      </c>
      <c r="I35" s="44">
        <f>SUMIFS(Archives!$AF$2:$AF$1048576,Archives!$D$2:$D$1048576,7,Archives!$V$2:$V$1048576,$B35)+SUMIFS(Archives!$AF$2:$AF$1048576,Archives!$D$2:$D$1048576,7,Archives!$Y$2:$Y$1048576,$B35)</f>
        <v>0</v>
      </c>
      <c r="J35" s="44">
        <f>SUMIFS(Archives!$AF$2:$AF$1048576,Archives!$D$2:$D$1048576,8,Archives!$V$2:$V$1048576,$B35)+SUMIFS(Archives!$AF$2:$AF$1048576,Archives!$D$2:$D$1048576,8,Archives!$Y$2:$Y$1048576,$B35)</f>
        <v>0</v>
      </c>
      <c r="K35" s="44">
        <f>SUMIFS(Archives!$AF$2:$AF$1048576,Archives!$D$2:$D$1048576,9,Archives!$V$2:$V$1048576,$B35)+SUMIFS(Archives!$AF$2:$AF$1048576,Archives!$D$2:$D$1048576,9,Archives!$Y$2:$Y$1048576,$B35)</f>
        <v>0</v>
      </c>
      <c r="L35" s="44">
        <f>SUMIFS(Archives!$AF$2:$AF$1048576,Archives!$D$2:$D$1048576,10,Archives!$V$2:$V$1048576,$B35)+SUMIFS(Archives!$AF$2:$AF$1048576,Archives!$D$2:$D$1048576,10,Archives!$Y$2:$Y$1048576,$B35)</f>
        <v>0</v>
      </c>
      <c r="M35" s="44">
        <f>SUMIFS(Archives!$AF$2:$AF$1048576,Archives!$D$2:$D$1048576,11,Archives!$V$2:$V$1048576,$B35)+SUMIFS(Archives!$AF$2:$AF$1048576,Archives!$D$2:$D$1048576,11,Archives!$Y$2:$Y$1048576,$B35)</f>
        <v>0</v>
      </c>
      <c r="N35" s="44">
        <f>SUMIFS(Archives!$AF$2:$AF$1048576,Archives!$D$2:$D$1048576,12,Archives!$V$2:$V$1048576,$B35)+SUMIFS(Archives!$AF$2:$AF$1048576,Archives!$D$2:$D$1048576,12,Archives!$Y$2:$Y$1048576,$B35)</f>
        <v>0</v>
      </c>
      <c r="O35" s="44">
        <f>SUMIFS(Archives!$AF$2:$AF$1048576,Archives!$D$2:$D$1048576,13,Archives!$V$2:$V$1048576,$B35)+SUMIFS(Archives!$AF$2:$AF$1048576,Archives!$D$2:$D$1048576,13,Archives!$Y$2:$Y$1048576,$B35)</f>
        <v>0</v>
      </c>
      <c r="P35" s="44">
        <f>SUMIFS(Archives!$AF$2:$AF$1048576,Archives!$D$2:$D$1048576,14,Archives!$V$2:$V$1048576,$B35)+SUMIFS(Archives!$AF$2:$AF$1048576,Archives!$D$2:$D$1048576,14,Archives!$Y$2:$Y$1048576,$B35)</f>
        <v>0</v>
      </c>
      <c r="Q35" s="44">
        <f>SUMIFS(Archives!$AF$2:$AF$1048576,Archives!$D$2:$D$1048576,15,Archives!$V$2:$V$1048576,$B35)+SUMIFS(Archives!$AF$2:$AF$1048576,Archives!$D$2:$D$1048576,15,Archives!$Y$2:$Y$1048576,$B35)</f>
        <v>0</v>
      </c>
      <c r="R35" s="45">
        <f t="shared" si="0"/>
        <v>1.5</v>
      </c>
    </row>
    <row r="36" spans="2:18" ht="15" customHeight="1" x14ac:dyDescent="0.2">
      <c r="B36" s="49" t="s">
        <v>697</v>
      </c>
      <c r="C36" s="50">
        <f t="shared" ref="C36:R36" si="1">SUM(C5:C35)</f>
        <v>36</v>
      </c>
      <c r="D36" s="50">
        <f t="shared" si="1"/>
        <v>48</v>
      </c>
      <c r="E36" s="50">
        <f t="shared" si="1"/>
        <v>60</v>
      </c>
      <c r="F36" s="50">
        <f t="shared" si="1"/>
        <v>65</v>
      </c>
      <c r="G36" s="50">
        <f t="shared" si="1"/>
        <v>65</v>
      </c>
      <c r="H36" s="50">
        <f t="shared" si="1"/>
        <v>65</v>
      </c>
      <c r="I36" s="50">
        <f t="shared" si="1"/>
        <v>75</v>
      </c>
      <c r="J36" s="50">
        <f t="shared" si="1"/>
        <v>67.5</v>
      </c>
      <c r="K36" s="50">
        <f t="shared" si="1"/>
        <v>65</v>
      </c>
      <c r="L36" s="50">
        <f t="shared" si="1"/>
        <v>70</v>
      </c>
      <c r="M36" s="50">
        <f t="shared" si="1"/>
        <v>65</v>
      </c>
      <c r="N36" s="50">
        <f t="shared" si="1"/>
        <v>80</v>
      </c>
      <c r="O36" s="50">
        <f t="shared" si="1"/>
        <v>0</v>
      </c>
      <c r="P36" s="50">
        <f t="shared" si="1"/>
        <v>0</v>
      </c>
      <c r="Q36" s="50">
        <f t="shared" si="1"/>
        <v>0</v>
      </c>
      <c r="R36" s="51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13" t="s">
        <v>725</v>
      </c>
    </row>
    <row r="2" spans="2:10" ht="15" customHeight="1" x14ac:dyDescent="0.2">
      <c r="B2" s="41" t="s">
        <v>726</v>
      </c>
    </row>
    <row r="3" spans="2:10" ht="15" customHeight="1" x14ac:dyDescent="0.2"/>
    <row r="4" spans="2:10" ht="15" customHeight="1" x14ac:dyDescent="0.2">
      <c r="B4" s="42" t="s">
        <v>684</v>
      </c>
      <c r="C4" s="42" t="s">
        <v>37</v>
      </c>
      <c r="D4" s="42" t="s">
        <v>99</v>
      </c>
      <c r="E4" s="42" t="s">
        <v>100</v>
      </c>
      <c r="F4" s="42" t="s">
        <v>101</v>
      </c>
      <c r="G4" s="42" t="s">
        <v>727</v>
      </c>
      <c r="H4" s="42" t="s">
        <v>728</v>
      </c>
      <c r="I4" s="42" t="s">
        <v>51</v>
      </c>
      <c r="J4" s="42" t="s">
        <v>729</v>
      </c>
    </row>
    <row r="5" spans="2:10" ht="15" customHeight="1" x14ac:dyDescent="0.2">
      <c r="B5" s="43" t="s">
        <v>135</v>
      </c>
      <c r="C5" s="52">
        <f>SUMIFS(Archives!$AF$2:$AF$1048576,Archives!$V$2:$V$1048576,$B5)+SUMIFS(Archives!$AF$2:$AF$1048576,Archives!$Y$2:$Y$1048576,$B5)</f>
        <v>50.5</v>
      </c>
      <c r="D5" s="52">
        <f>COUNTIFS(Archives!$AB$2:$AB$1048576,"W",Archives!$V$2:$V$1048576,$B5)+COUNTIFS(Archives!$AB$2:$AB$1048576,"W",Archives!$Y$2:$Y$1048576,$B5)</f>
        <v>39</v>
      </c>
      <c r="E5" s="52">
        <f>COUNTIFS(Archives!$AB$2:$AB$1048576,"L",Archives!$V$2:$V$1048576,$B5)+COUNTIFS(Archives!$AB$2:$AB$1048576,"L",Archives!$Y$2:$Y$1048576,$B5)</f>
        <v>23</v>
      </c>
      <c r="F5" s="52">
        <f>COUNTIFS(Archives!$AB$2:$AB$1048576,"T",Archives!$V$2:$V$1048576,$B5)+COUNTIFS(Archives!$AB$2:$AB$1048576,"T",Archives!$Y$2:$Y$1048576,$B5)</f>
        <v>9</v>
      </c>
      <c r="G5" s="53">
        <f t="shared" ref="G5:G36" si="0">IF(H5=0,0,(D5+0.5*F5)/H5)</f>
        <v>0.61267605633802813</v>
      </c>
      <c r="H5" s="52">
        <f t="shared" ref="H5:H35" si="1">D5+E5+F5</f>
        <v>71</v>
      </c>
      <c r="I5" s="52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54">
        <f t="shared" ref="J5:J35" si="2">IF(I5=0,0,C5/I5)</f>
        <v>4.208333333333333</v>
      </c>
    </row>
    <row r="6" spans="2:10" ht="15" customHeight="1" x14ac:dyDescent="0.2">
      <c r="B6" s="46" t="s">
        <v>127</v>
      </c>
      <c r="C6" s="55">
        <f>SUMIFS(Archives!$AF$2:$AF$1048576,Archives!$V$2:$V$1048576,$B6)+SUMIFS(Archives!$AF$2:$AF$1048576,Archives!$Y$2:$Y$1048576,$B6)</f>
        <v>46</v>
      </c>
      <c r="D6" s="55">
        <f>COUNTIFS(Archives!$AB$2:$AB$1048576,"W",Archives!$V$2:$V$1048576,$B6)+COUNTIFS(Archives!$AB$2:$AB$1048576,"W",Archives!$Y$2:$Y$1048576,$B6)</f>
        <v>38</v>
      </c>
      <c r="E6" s="55">
        <f>COUNTIFS(Archives!$AB$2:$AB$1048576,"L",Archives!$V$2:$V$1048576,$B6)+COUNTIFS(Archives!$AB$2:$AB$1048576,"L",Archives!$Y$2:$Y$1048576,$B6)</f>
        <v>26</v>
      </c>
      <c r="F6" s="55">
        <f>COUNTIFS(Archives!$AB$2:$AB$1048576,"T",Archives!$V$2:$V$1048576,$B6)+COUNTIFS(Archives!$AB$2:$AB$1048576,"T",Archives!$Y$2:$Y$1048576,$B6)</f>
        <v>7</v>
      </c>
      <c r="G6" s="56">
        <f t="shared" si="0"/>
        <v>0.58450704225352113</v>
      </c>
      <c r="H6" s="55">
        <f t="shared" si="1"/>
        <v>71</v>
      </c>
      <c r="I6" s="55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57">
        <f t="shared" si="2"/>
        <v>3.8333333333333335</v>
      </c>
    </row>
    <row r="7" spans="2:10" ht="15" customHeight="1" x14ac:dyDescent="0.2">
      <c r="B7" s="43" t="s">
        <v>118</v>
      </c>
      <c r="C7" s="52">
        <f>SUMIFS(Archives!$AF$2:$AF$1048576,Archives!$V$2:$V$1048576,$B7)+SUMIFS(Archives!$AF$2:$AF$1048576,Archives!$Y$2:$Y$1048576,$B7)</f>
        <v>46</v>
      </c>
      <c r="D7" s="52">
        <f>COUNTIFS(Archives!$AB$2:$AB$1048576,"W",Archives!$V$2:$V$1048576,$B7)+COUNTIFS(Archives!$AB$2:$AB$1048576,"W",Archives!$Y$2:$Y$1048576,$B7)</f>
        <v>39</v>
      </c>
      <c r="E7" s="52">
        <f>COUNTIFS(Archives!$AB$2:$AB$1048576,"L",Archives!$V$2:$V$1048576,$B7)+COUNTIFS(Archives!$AB$2:$AB$1048576,"L",Archives!$Y$2:$Y$1048576,$B7)</f>
        <v>24</v>
      </c>
      <c r="F7" s="52">
        <f>COUNTIFS(Archives!$AB$2:$AB$1048576,"T",Archives!$V$2:$V$1048576,$B7)+COUNTIFS(Archives!$AB$2:$AB$1048576,"T",Archives!$Y$2:$Y$1048576,$B7)</f>
        <v>8</v>
      </c>
      <c r="G7" s="53">
        <f t="shared" si="0"/>
        <v>0.60563380281690138</v>
      </c>
      <c r="H7" s="52">
        <f t="shared" si="1"/>
        <v>71</v>
      </c>
      <c r="I7" s="52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54">
        <f t="shared" si="2"/>
        <v>3.8333333333333335</v>
      </c>
    </row>
    <row r="8" spans="2:10" ht="15" customHeight="1" x14ac:dyDescent="0.2">
      <c r="B8" s="46" t="s">
        <v>119</v>
      </c>
      <c r="C8" s="55">
        <f>SUMIFS(Archives!$AF$2:$AF$1048576,Archives!$V$2:$V$1048576,$B8)+SUMIFS(Archives!$AF$2:$AF$1048576,Archives!$Y$2:$Y$1048576,$B8)</f>
        <v>43</v>
      </c>
      <c r="D8" s="55">
        <f>COUNTIFS(Archives!$AB$2:$AB$1048576,"W",Archives!$V$2:$V$1048576,$B8)+COUNTIFS(Archives!$AB$2:$AB$1048576,"W",Archives!$Y$2:$Y$1048576,$B8)</f>
        <v>36</v>
      </c>
      <c r="E8" s="55">
        <f>COUNTIFS(Archives!$AB$2:$AB$1048576,"L",Archives!$V$2:$V$1048576,$B8)+COUNTIFS(Archives!$AB$2:$AB$1048576,"L",Archives!$Y$2:$Y$1048576,$B8)</f>
        <v>29</v>
      </c>
      <c r="F8" s="55">
        <f>COUNTIFS(Archives!$AB$2:$AB$1048576,"T",Archives!$V$2:$V$1048576,$B8)+COUNTIFS(Archives!$AB$2:$AB$1048576,"T",Archives!$Y$2:$Y$1048576,$B8)</f>
        <v>6</v>
      </c>
      <c r="G8" s="56">
        <f t="shared" si="0"/>
        <v>0.54929577464788737</v>
      </c>
      <c r="H8" s="55">
        <f t="shared" si="1"/>
        <v>71</v>
      </c>
      <c r="I8" s="55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57">
        <f t="shared" si="2"/>
        <v>3.5833333333333335</v>
      </c>
    </row>
    <row r="9" spans="2:10" ht="15" customHeight="1" x14ac:dyDescent="0.2">
      <c r="B9" s="43" t="s">
        <v>178</v>
      </c>
      <c r="C9" s="52">
        <f>SUMIFS(Archives!$AF$2:$AF$1048576,Archives!$V$2:$V$1048576,$B9)+SUMIFS(Archives!$AF$2:$AF$1048576,Archives!$Y$2:$Y$1048576,$B9)</f>
        <v>42</v>
      </c>
      <c r="D9" s="52">
        <f>COUNTIFS(Archives!$AB$2:$AB$1048576,"W",Archives!$V$2:$V$1048576,$B9)+COUNTIFS(Archives!$AB$2:$AB$1048576,"W",Archives!$Y$2:$Y$1048576,$B9)</f>
        <v>34</v>
      </c>
      <c r="E9" s="52">
        <f>COUNTIFS(Archives!$AB$2:$AB$1048576,"L",Archives!$V$2:$V$1048576,$B9)+COUNTIFS(Archives!$AB$2:$AB$1048576,"L",Archives!$Y$2:$Y$1048576,$B9)</f>
        <v>24</v>
      </c>
      <c r="F9" s="52">
        <f>COUNTIFS(Archives!$AB$2:$AB$1048576,"T",Archives!$V$2:$V$1048576,$B9)+COUNTIFS(Archives!$AB$2:$AB$1048576,"T",Archives!$Y$2:$Y$1048576,$B9)</f>
        <v>7</v>
      </c>
      <c r="G9" s="53">
        <f t="shared" si="0"/>
        <v>0.57692307692307687</v>
      </c>
      <c r="H9" s="52">
        <f t="shared" si="1"/>
        <v>65</v>
      </c>
      <c r="I9" s="52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54">
        <f t="shared" si="2"/>
        <v>3.8181818181818183</v>
      </c>
    </row>
    <row r="10" spans="2:10" ht="15" customHeight="1" x14ac:dyDescent="0.2">
      <c r="B10" s="46" t="s">
        <v>123</v>
      </c>
      <c r="C10" s="55">
        <f>SUMIFS(Archives!$AF$2:$AF$1048576,Archives!$V$2:$V$1048576,$B10)+SUMIFS(Archives!$AF$2:$AF$1048576,Archives!$Y$2:$Y$1048576,$B10)</f>
        <v>41</v>
      </c>
      <c r="D10" s="55">
        <f>COUNTIFS(Archives!$AB$2:$AB$1048576,"W",Archives!$V$2:$V$1048576,$B10)+COUNTIFS(Archives!$AB$2:$AB$1048576,"W",Archives!$Y$2:$Y$1048576,$B10)</f>
        <v>35</v>
      </c>
      <c r="E10" s="55">
        <f>COUNTIFS(Archives!$AB$2:$AB$1048576,"L",Archives!$V$2:$V$1048576,$B10)+COUNTIFS(Archives!$AB$2:$AB$1048576,"L",Archives!$Y$2:$Y$1048576,$B10)</f>
        <v>29</v>
      </c>
      <c r="F10" s="55">
        <f>COUNTIFS(Archives!$AB$2:$AB$1048576,"T",Archives!$V$2:$V$1048576,$B10)+COUNTIFS(Archives!$AB$2:$AB$1048576,"T",Archives!$Y$2:$Y$1048576,$B10)</f>
        <v>7</v>
      </c>
      <c r="G10" s="56">
        <f t="shared" si="0"/>
        <v>0.54225352112676062</v>
      </c>
      <c r="H10" s="55">
        <f t="shared" si="1"/>
        <v>71</v>
      </c>
      <c r="I10" s="55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57">
        <f t="shared" si="2"/>
        <v>3.4166666666666665</v>
      </c>
    </row>
    <row r="11" spans="2:10" ht="15" customHeight="1" x14ac:dyDescent="0.2">
      <c r="B11" s="43" t="s">
        <v>132</v>
      </c>
      <c r="C11" s="52">
        <f>SUMIFS(Archives!$AF$2:$AF$1048576,Archives!$V$2:$V$1048576,$B11)+SUMIFS(Archives!$AF$2:$AF$1048576,Archives!$Y$2:$Y$1048576,$B11)</f>
        <v>36.5</v>
      </c>
      <c r="D11" s="52">
        <f>COUNTIFS(Archives!$AB$2:$AB$1048576,"W",Archives!$V$2:$V$1048576,$B11)+COUNTIFS(Archives!$AB$2:$AB$1048576,"W",Archives!$Y$2:$Y$1048576,$B11)</f>
        <v>29</v>
      </c>
      <c r="E11" s="52">
        <f>COUNTIFS(Archives!$AB$2:$AB$1048576,"L",Archives!$V$2:$V$1048576,$B11)+COUNTIFS(Archives!$AB$2:$AB$1048576,"L",Archives!$Y$2:$Y$1048576,$B11)</f>
        <v>34</v>
      </c>
      <c r="F11" s="52">
        <f>COUNTIFS(Archives!$AB$2:$AB$1048576,"T",Archives!$V$2:$V$1048576,$B11)+COUNTIFS(Archives!$AB$2:$AB$1048576,"T",Archives!$Y$2:$Y$1048576,$B11)</f>
        <v>8</v>
      </c>
      <c r="G11" s="53">
        <f t="shared" si="0"/>
        <v>0.46478873239436619</v>
      </c>
      <c r="H11" s="52">
        <f t="shared" si="1"/>
        <v>71</v>
      </c>
      <c r="I11" s="52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54">
        <f t="shared" si="2"/>
        <v>3.0416666666666665</v>
      </c>
    </row>
    <row r="12" spans="2:10" ht="15" customHeight="1" x14ac:dyDescent="0.2">
      <c r="B12" s="46" t="s">
        <v>122</v>
      </c>
      <c r="C12" s="55">
        <f>SUMIFS(Archives!$AF$2:$AF$1048576,Archives!$V$2:$V$1048576,$B12)+SUMIFS(Archives!$AF$2:$AF$1048576,Archives!$Y$2:$Y$1048576,$B12)</f>
        <v>37</v>
      </c>
      <c r="D12" s="55">
        <f>COUNTIFS(Archives!$AB$2:$AB$1048576,"W",Archives!$V$2:$V$1048576,$B12)+COUNTIFS(Archives!$AB$2:$AB$1048576,"W",Archives!$Y$2:$Y$1048576,$B12)</f>
        <v>28</v>
      </c>
      <c r="E12" s="55">
        <f>COUNTIFS(Archives!$AB$2:$AB$1048576,"L",Archives!$V$2:$V$1048576,$B12)+COUNTIFS(Archives!$AB$2:$AB$1048576,"L",Archives!$Y$2:$Y$1048576,$B12)</f>
        <v>30</v>
      </c>
      <c r="F12" s="55">
        <f>COUNTIFS(Archives!$AB$2:$AB$1048576,"T",Archives!$V$2:$V$1048576,$B12)+COUNTIFS(Archives!$AB$2:$AB$1048576,"T",Archives!$Y$2:$Y$1048576,$B12)</f>
        <v>7</v>
      </c>
      <c r="G12" s="56">
        <f t="shared" si="0"/>
        <v>0.48461538461538461</v>
      </c>
      <c r="H12" s="55">
        <f t="shared" si="1"/>
        <v>65</v>
      </c>
      <c r="I12" s="55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57">
        <f t="shared" si="2"/>
        <v>3.3636363636363638</v>
      </c>
    </row>
    <row r="13" spans="2:10" ht="15" customHeight="1" x14ac:dyDescent="0.2">
      <c r="B13" s="43" t="s">
        <v>230</v>
      </c>
      <c r="C13" s="52">
        <f>SUMIFS(Archives!$AF$2:$AF$1048576,Archives!$V$2:$V$1048576,$B13)+SUMIFS(Archives!$AF$2:$AF$1048576,Archives!$Y$2:$Y$1048576,$B13)</f>
        <v>32.5</v>
      </c>
      <c r="D13" s="52">
        <f>COUNTIFS(Archives!$AB$2:$AB$1048576,"W",Archives!$V$2:$V$1048576,$B13)+COUNTIFS(Archives!$AB$2:$AB$1048576,"W",Archives!$Y$2:$Y$1048576,$B13)</f>
        <v>25</v>
      </c>
      <c r="E13" s="52">
        <f>COUNTIFS(Archives!$AB$2:$AB$1048576,"L",Archives!$V$2:$V$1048576,$B13)+COUNTIFS(Archives!$AB$2:$AB$1048576,"L",Archives!$Y$2:$Y$1048576,$B13)</f>
        <v>29</v>
      </c>
      <c r="F13" s="52">
        <f>COUNTIFS(Archives!$AB$2:$AB$1048576,"T",Archives!$V$2:$V$1048576,$B13)+COUNTIFS(Archives!$AB$2:$AB$1048576,"T",Archives!$Y$2:$Y$1048576,$B13)</f>
        <v>7</v>
      </c>
      <c r="G13" s="53">
        <f t="shared" si="0"/>
        <v>0.46721311475409838</v>
      </c>
      <c r="H13" s="52">
        <f t="shared" si="1"/>
        <v>61</v>
      </c>
      <c r="I13" s="52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54">
        <f t="shared" si="2"/>
        <v>3.25</v>
      </c>
    </row>
    <row r="14" spans="2:10" ht="15" customHeight="1" x14ac:dyDescent="0.2">
      <c r="B14" s="46" t="s">
        <v>229</v>
      </c>
      <c r="C14" s="55">
        <f>SUMIFS(Archives!$AF$2:$AF$1048576,Archives!$V$2:$V$1048576,$B14)+SUMIFS(Archives!$AF$2:$AF$1048576,Archives!$Y$2:$Y$1048576,$B14)</f>
        <v>31</v>
      </c>
      <c r="D14" s="55">
        <f>COUNTIFS(Archives!$AB$2:$AB$1048576,"W",Archives!$V$2:$V$1048576,$B14)+COUNTIFS(Archives!$AB$2:$AB$1048576,"W",Archives!$Y$2:$Y$1048576,$B14)</f>
        <v>24</v>
      </c>
      <c r="E14" s="55">
        <f>COUNTIFS(Archives!$AB$2:$AB$1048576,"L",Archives!$V$2:$V$1048576,$B14)+COUNTIFS(Archives!$AB$2:$AB$1048576,"L",Archives!$Y$2:$Y$1048576,$B14)</f>
        <v>11</v>
      </c>
      <c r="F14" s="55">
        <f>COUNTIFS(Archives!$AB$2:$AB$1048576,"T",Archives!$V$2:$V$1048576,$B14)+COUNTIFS(Archives!$AB$2:$AB$1048576,"T",Archives!$Y$2:$Y$1048576,$B14)</f>
        <v>7</v>
      </c>
      <c r="G14" s="56">
        <f t="shared" si="0"/>
        <v>0.65476190476190477</v>
      </c>
      <c r="H14" s="55">
        <f t="shared" si="1"/>
        <v>42</v>
      </c>
      <c r="I14" s="55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57">
        <f t="shared" si="2"/>
        <v>4.4285714285714288</v>
      </c>
    </row>
    <row r="15" spans="2:10" ht="15" customHeight="1" x14ac:dyDescent="0.2">
      <c r="B15" s="43" t="s">
        <v>174</v>
      </c>
      <c r="C15" s="52">
        <f>SUMIFS(Archives!$AF$2:$AF$1048576,Archives!$V$2:$V$1048576,$B15)+SUMIFS(Archives!$AF$2:$AF$1048576,Archives!$Y$2:$Y$1048576,$B15)</f>
        <v>30</v>
      </c>
      <c r="D15" s="52">
        <f>COUNTIFS(Archives!$AB$2:$AB$1048576,"W",Archives!$V$2:$V$1048576,$B15)+COUNTIFS(Archives!$AB$2:$AB$1048576,"W",Archives!$Y$2:$Y$1048576,$B15)</f>
        <v>24</v>
      </c>
      <c r="E15" s="52">
        <f>COUNTIFS(Archives!$AB$2:$AB$1048576,"L",Archives!$V$2:$V$1048576,$B15)+COUNTIFS(Archives!$AB$2:$AB$1048576,"L",Archives!$Y$2:$Y$1048576,$B15)</f>
        <v>38</v>
      </c>
      <c r="F15" s="52">
        <f>COUNTIFS(Archives!$AB$2:$AB$1048576,"T",Archives!$V$2:$V$1048576,$B15)+COUNTIFS(Archives!$AB$2:$AB$1048576,"T",Archives!$Y$2:$Y$1048576,$B15)</f>
        <v>4</v>
      </c>
      <c r="G15" s="53">
        <f t="shared" si="0"/>
        <v>0.39393939393939392</v>
      </c>
      <c r="H15" s="52">
        <f t="shared" si="1"/>
        <v>66</v>
      </c>
      <c r="I15" s="52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54">
        <f t="shared" si="2"/>
        <v>2.7272727272727271</v>
      </c>
    </row>
    <row r="16" spans="2:10" ht="15" customHeight="1" x14ac:dyDescent="0.2">
      <c r="B16" s="46" t="s">
        <v>181</v>
      </c>
      <c r="C16" s="55">
        <f>SUMIFS(Archives!$AF$2:$AF$1048576,Archives!$V$2:$V$1048576,$B16)+SUMIFS(Archives!$AF$2:$AF$1048576,Archives!$Y$2:$Y$1048576,$B16)</f>
        <v>30</v>
      </c>
      <c r="D16" s="55">
        <f>COUNTIFS(Archives!$AB$2:$AB$1048576,"W",Archives!$V$2:$V$1048576,$B16)+COUNTIFS(Archives!$AB$2:$AB$1048576,"W",Archives!$Y$2:$Y$1048576,$B16)</f>
        <v>23</v>
      </c>
      <c r="E16" s="55">
        <f>COUNTIFS(Archives!$AB$2:$AB$1048576,"L",Archives!$V$2:$V$1048576,$B16)+COUNTIFS(Archives!$AB$2:$AB$1048576,"L",Archives!$Y$2:$Y$1048576,$B16)</f>
        <v>30</v>
      </c>
      <c r="F16" s="55">
        <f>COUNTIFS(Archives!$AB$2:$AB$1048576,"T",Archives!$V$2:$V$1048576,$B16)+COUNTIFS(Archives!$AB$2:$AB$1048576,"T",Archives!$Y$2:$Y$1048576,$B16)</f>
        <v>6</v>
      </c>
      <c r="G16" s="56">
        <f t="shared" si="0"/>
        <v>0.44067796610169491</v>
      </c>
      <c r="H16" s="55">
        <f t="shared" si="1"/>
        <v>59</v>
      </c>
      <c r="I16" s="55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57">
        <f t="shared" si="2"/>
        <v>3</v>
      </c>
    </row>
    <row r="17" spans="2:10" ht="15" customHeight="1" x14ac:dyDescent="0.2">
      <c r="B17" s="43" t="s">
        <v>133</v>
      </c>
      <c r="C17" s="52">
        <f>SUMIFS(Archives!$AF$2:$AF$1048576,Archives!$V$2:$V$1048576,$B17)+SUMIFS(Archives!$AF$2:$AF$1048576,Archives!$Y$2:$Y$1048576,$B17)</f>
        <v>28.5</v>
      </c>
      <c r="D17" s="52">
        <f>COUNTIFS(Archives!$AB$2:$AB$1048576,"W",Archives!$V$2:$V$1048576,$B17)+COUNTIFS(Archives!$AB$2:$AB$1048576,"W",Archives!$Y$2:$Y$1048576,$B17)</f>
        <v>22</v>
      </c>
      <c r="E17" s="52">
        <f>COUNTIFS(Archives!$AB$2:$AB$1048576,"L",Archives!$V$2:$V$1048576,$B17)+COUNTIFS(Archives!$AB$2:$AB$1048576,"L",Archives!$Y$2:$Y$1048576,$B17)</f>
        <v>32</v>
      </c>
      <c r="F17" s="52">
        <f>COUNTIFS(Archives!$AB$2:$AB$1048576,"T",Archives!$V$2:$V$1048576,$B17)+COUNTIFS(Archives!$AB$2:$AB$1048576,"T",Archives!$Y$2:$Y$1048576,$B17)</f>
        <v>11</v>
      </c>
      <c r="G17" s="53">
        <f t="shared" si="0"/>
        <v>0.42307692307692307</v>
      </c>
      <c r="H17" s="52">
        <f t="shared" si="1"/>
        <v>65</v>
      </c>
      <c r="I17" s="52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54">
        <f t="shared" si="2"/>
        <v>2.5909090909090908</v>
      </c>
    </row>
    <row r="18" spans="2:10" ht="15" customHeight="1" x14ac:dyDescent="0.2">
      <c r="B18" s="46" t="s">
        <v>276</v>
      </c>
      <c r="C18" s="55">
        <f>SUMIFS(Archives!$AF$2:$AF$1048576,Archives!$V$2:$V$1048576,$B18)+SUMIFS(Archives!$AF$2:$AF$1048576,Archives!$Y$2:$Y$1048576,$B18)</f>
        <v>28.5</v>
      </c>
      <c r="D18" s="55">
        <f>COUNTIFS(Archives!$AB$2:$AB$1048576,"W",Archives!$V$2:$V$1048576,$B18)+COUNTIFS(Archives!$AB$2:$AB$1048576,"W",Archives!$Y$2:$Y$1048576,$B18)</f>
        <v>22</v>
      </c>
      <c r="E18" s="55">
        <f>COUNTIFS(Archives!$AB$2:$AB$1048576,"L",Archives!$V$2:$V$1048576,$B18)+COUNTIFS(Archives!$AB$2:$AB$1048576,"L",Archives!$Y$2:$Y$1048576,$B18)</f>
        <v>21</v>
      </c>
      <c r="F18" s="55">
        <f>COUNTIFS(Archives!$AB$2:$AB$1048576,"T",Archives!$V$2:$V$1048576,$B18)+COUNTIFS(Archives!$AB$2:$AB$1048576,"T",Archives!$Y$2:$Y$1048576,$B18)</f>
        <v>6</v>
      </c>
      <c r="G18" s="56">
        <f t="shared" si="0"/>
        <v>0.51020408163265307</v>
      </c>
      <c r="H18" s="55">
        <f t="shared" si="1"/>
        <v>49</v>
      </c>
      <c r="I18" s="55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57">
        <f t="shared" si="2"/>
        <v>3.5625</v>
      </c>
    </row>
    <row r="19" spans="2:10" ht="15" customHeight="1" x14ac:dyDescent="0.2">
      <c r="B19" s="43" t="s">
        <v>234</v>
      </c>
      <c r="C19" s="52">
        <f>SUMIFS(Archives!$AF$2:$AF$1048576,Archives!$V$2:$V$1048576,$B19)+SUMIFS(Archives!$AF$2:$AF$1048576,Archives!$Y$2:$Y$1048576,$B19)</f>
        <v>28</v>
      </c>
      <c r="D19" s="52">
        <f>COUNTIFS(Archives!$AB$2:$AB$1048576,"W",Archives!$V$2:$V$1048576,$B19)+COUNTIFS(Archives!$AB$2:$AB$1048576,"W",Archives!$Y$2:$Y$1048576,$B19)</f>
        <v>21</v>
      </c>
      <c r="E19" s="52">
        <f>COUNTIFS(Archives!$AB$2:$AB$1048576,"L",Archives!$V$2:$V$1048576,$B19)+COUNTIFS(Archives!$AB$2:$AB$1048576,"L",Archives!$Y$2:$Y$1048576,$B19)</f>
        <v>21</v>
      </c>
      <c r="F19" s="52">
        <f>COUNTIFS(Archives!$AB$2:$AB$1048576,"T",Archives!$V$2:$V$1048576,$B19)+COUNTIFS(Archives!$AB$2:$AB$1048576,"T",Archives!$Y$2:$Y$1048576,$B19)</f>
        <v>6</v>
      </c>
      <c r="G19" s="53">
        <f t="shared" si="0"/>
        <v>0.5</v>
      </c>
      <c r="H19" s="52">
        <f t="shared" si="1"/>
        <v>48</v>
      </c>
      <c r="I19" s="52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54">
        <f t="shared" si="2"/>
        <v>3.5</v>
      </c>
    </row>
    <row r="20" spans="2:10" ht="15" customHeight="1" x14ac:dyDescent="0.2">
      <c r="B20" s="46" t="s">
        <v>136</v>
      </c>
      <c r="C20" s="55">
        <f>SUMIFS(Archives!$AF$2:$AF$1048576,Archives!$V$2:$V$1048576,$B20)+SUMIFS(Archives!$AF$2:$AF$1048576,Archives!$Y$2:$Y$1048576,$B20)</f>
        <v>27</v>
      </c>
      <c r="D20" s="55">
        <f>COUNTIFS(Archives!$AB$2:$AB$1048576,"W",Archives!$V$2:$V$1048576,$B20)+COUNTIFS(Archives!$AB$2:$AB$1048576,"W",Archives!$Y$2:$Y$1048576,$B20)</f>
        <v>23</v>
      </c>
      <c r="E20" s="55">
        <f>COUNTIFS(Archives!$AB$2:$AB$1048576,"L",Archives!$V$2:$V$1048576,$B20)+COUNTIFS(Archives!$AB$2:$AB$1048576,"L",Archives!$Y$2:$Y$1048576,$B20)</f>
        <v>36</v>
      </c>
      <c r="F20" s="55">
        <f>COUNTIFS(Archives!$AB$2:$AB$1048576,"T",Archives!$V$2:$V$1048576,$B20)+COUNTIFS(Archives!$AB$2:$AB$1048576,"T",Archives!$Y$2:$Y$1048576,$B20)</f>
        <v>6</v>
      </c>
      <c r="G20" s="56">
        <f t="shared" si="0"/>
        <v>0.4</v>
      </c>
      <c r="H20" s="55">
        <f t="shared" si="1"/>
        <v>65</v>
      </c>
      <c r="I20" s="55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57">
        <f t="shared" si="2"/>
        <v>2.4545454545454546</v>
      </c>
    </row>
    <row r="21" spans="2:10" ht="15" customHeight="1" x14ac:dyDescent="0.2">
      <c r="B21" s="43" t="s">
        <v>130</v>
      </c>
      <c r="C21" s="52">
        <f>SUMIFS(Archives!$AF$2:$AF$1048576,Archives!$V$2:$V$1048576,$B21)+SUMIFS(Archives!$AF$2:$AF$1048576,Archives!$Y$2:$Y$1048576,$B21)</f>
        <v>27</v>
      </c>
      <c r="D21" s="52">
        <f>COUNTIFS(Archives!$AB$2:$AB$1048576,"W",Archives!$V$2:$V$1048576,$B21)+COUNTIFS(Archives!$AB$2:$AB$1048576,"W",Archives!$Y$2:$Y$1048576,$B21)</f>
        <v>19</v>
      </c>
      <c r="E21" s="52">
        <f>COUNTIFS(Archives!$AB$2:$AB$1048576,"L",Archives!$V$2:$V$1048576,$B21)+COUNTIFS(Archives!$AB$2:$AB$1048576,"L",Archives!$Y$2:$Y$1048576,$B21)</f>
        <v>17</v>
      </c>
      <c r="F21" s="52">
        <f>COUNTIFS(Archives!$AB$2:$AB$1048576,"T",Archives!$V$2:$V$1048576,$B21)+COUNTIFS(Archives!$AB$2:$AB$1048576,"T",Archives!$Y$2:$Y$1048576,$B21)</f>
        <v>7</v>
      </c>
      <c r="G21" s="53">
        <f t="shared" si="0"/>
        <v>0.52325581395348841</v>
      </c>
      <c r="H21" s="52">
        <f t="shared" si="1"/>
        <v>43</v>
      </c>
      <c r="I21" s="52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54">
        <f t="shared" si="2"/>
        <v>3.8571428571428572</v>
      </c>
    </row>
    <row r="22" spans="2:10" ht="15" customHeight="1" x14ac:dyDescent="0.2">
      <c r="B22" s="46" t="s">
        <v>180</v>
      </c>
      <c r="C22" s="55">
        <f>SUMIFS(Archives!$AF$2:$AF$1048576,Archives!$V$2:$V$1048576,$B22)+SUMIFS(Archives!$AF$2:$AF$1048576,Archives!$Y$2:$Y$1048576,$B22)</f>
        <v>22</v>
      </c>
      <c r="D22" s="55">
        <f>COUNTIFS(Archives!$AB$2:$AB$1048576,"W",Archives!$V$2:$V$1048576,$B22)+COUNTIFS(Archives!$AB$2:$AB$1048576,"W",Archives!$Y$2:$Y$1048576,$B22)</f>
        <v>16</v>
      </c>
      <c r="E22" s="55">
        <f>COUNTIFS(Archives!$AB$2:$AB$1048576,"L",Archives!$V$2:$V$1048576,$B22)+COUNTIFS(Archives!$AB$2:$AB$1048576,"L",Archives!$Y$2:$Y$1048576,$B22)</f>
        <v>34</v>
      </c>
      <c r="F22" s="55">
        <f>COUNTIFS(Archives!$AB$2:$AB$1048576,"T",Archives!$V$2:$V$1048576,$B22)+COUNTIFS(Archives!$AB$2:$AB$1048576,"T",Archives!$Y$2:$Y$1048576,$B22)</f>
        <v>9</v>
      </c>
      <c r="G22" s="56">
        <f t="shared" si="0"/>
        <v>0.34745762711864409</v>
      </c>
      <c r="H22" s="55">
        <f t="shared" si="1"/>
        <v>59</v>
      </c>
      <c r="I22" s="55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57">
        <f t="shared" si="2"/>
        <v>2.2000000000000002</v>
      </c>
    </row>
    <row r="23" spans="2:10" ht="15" customHeight="1" x14ac:dyDescent="0.2">
      <c r="B23" s="43" t="s">
        <v>233</v>
      </c>
      <c r="C23" s="52">
        <f>SUMIFS(Archives!$AF$2:$AF$1048576,Archives!$V$2:$V$1048576,$B23)+SUMIFS(Archives!$AF$2:$AF$1048576,Archives!$Y$2:$Y$1048576,$B23)</f>
        <v>21</v>
      </c>
      <c r="D23" s="52">
        <f>COUNTIFS(Archives!$AB$2:$AB$1048576,"W",Archives!$V$2:$V$1048576,$B23)+COUNTIFS(Archives!$AB$2:$AB$1048576,"W",Archives!$Y$2:$Y$1048576,$B23)</f>
        <v>16</v>
      </c>
      <c r="E23" s="52">
        <f>COUNTIFS(Archives!$AB$2:$AB$1048576,"L",Archives!$V$2:$V$1048576,$B23)+COUNTIFS(Archives!$AB$2:$AB$1048576,"L",Archives!$Y$2:$Y$1048576,$B23)</f>
        <v>14</v>
      </c>
      <c r="F23" s="52">
        <f>COUNTIFS(Archives!$AB$2:$AB$1048576,"T",Archives!$V$2:$V$1048576,$B23)+COUNTIFS(Archives!$AB$2:$AB$1048576,"T",Archives!$Y$2:$Y$1048576,$B23)</f>
        <v>6</v>
      </c>
      <c r="G23" s="53">
        <f t="shared" si="0"/>
        <v>0.52777777777777779</v>
      </c>
      <c r="H23" s="52">
        <f t="shared" si="1"/>
        <v>36</v>
      </c>
      <c r="I23" s="52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54">
        <f t="shared" si="2"/>
        <v>3.5</v>
      </c>
    </row>
    <row r="24" spans="2:10" ht="15" customHeight="1" x14ac:dyDescent="0.2">
      <c r="B24" s="46" t="s">
        <v>459</v>
      </c>
      <c r="C24" s="55">
        <f>SUMIFS(Archives!$AF$2:$AF$1048576,Archives!$V$2:$V$1048576,$B24)+SUMIFS(Archives!$AF$2:$AF$1048576,Archives!$Y$2:$Y$1048576,$B24)</f>
        <v>20.5</v>
      </c>
      <c r="D24" s="55">
        <f>COUNTIFS(Archives!$AB$2:$AB$1048576,"W",Archives!$V$2:$V$1048576,$B24)+COUNTIFS(Archives!$AB$2:$AB$1048576,"W",Archives!$Y$2:$Y$1048576,$B24)</f>
        <v>17</v>
      </c>
      <c r="E24" s="55">
        <f>COUNTIFS(Archives!$AB$2:$AB$1048576,"L",Archives!$V$2:$V$1048576,$B24)+COUNTIFS(Archives!$AB$2:$AB$1048576,"L",Archives!$Y$2:$Y$1048576,$B24)</f>
        <v>10</v>
      </c>
      <c r="F24" s="55">
        <f>COUNTIFS(Archives!$AB$2:$AB$1048576,"T",Archives!$V$2:$V$1048576,$B24)+COUNTIFS(Archives!$AB$2:$AB$1048576,"T",Archives!$Y$2:$Y$1048576,$B24)</f>
        <v>3</v>
      </c>
      <c r="G24" s="56">
        <f t="shared" si="0"/>
        <v>0.6166666666666667</v>
      </c>
      <c r="H24" s="55">
        <f t="shared" si="1"/>
        <v>30</v>
      </c>
      <c r="I24" s="55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57">
        <f t="shared" si="2"/>
        <v>4.0999999999999996</v>
      </c>
    </row>
    <row r="25" spans="2:10" ht="15" customHeight="1" x14ac:dyDescent="0.2">
      <c r="B25" s="43" t="s">
        <v>326</v>
      </c>
      <c r="C25" s="52">
        <f>SUMIFS(Archives!$AF$2:$AF$1048576,Archives!$V$2:$V$1048576,$B25)+SUMIFS(Archives!$AF$2:$AF$1048576,Archives!$Y$2:$Y$1048576,$B25)</f>
        <v>18.5</v>
      </c>
      <c r="D25" s="52">
        <f>COUNTIFS(Archives!$AB$2:$AB$1048576,"W",Archives!$V$2:$V$1048576,$B25)+COUNTIFS(Archives!$AB$2:$AB$1048576,"W",Archives!$Y$2:$Y$1048576,$B25)</f>
        <v>14</v>
      </c>
      <c r="E25" s="52">
        <f>COUNTIFS(Archives!$AB$2:$AB$1048576,"L",Archives!$V$2:$V$1048576,$B25)+COUNTIFS(Archives!$AB$2:$AB$1048576,"L",Archives!$Y$2:$Y$1048576,$B25)</f>
        <v>17</v>
      </c>
      <c r="F25" s="52">
        <f>COUNTIFS(Archives!$AB$2:$AB$1048576,"T",Archives!$V$2:$V$1048576,$B25)+COUNTIFS(Archives!$AB$2:$AB$1048576,"T",Archives!$Y$2:$Y$1048576,$B25)</f>
        <v>6</v>
      </c>
      <c r="G25" s="53">
        <f t="shared" si="0"/>
        <v>0.45945945945945948</v>
      </c>
      <c r="H25" s="52">
        <f t="shared" si="1"/>
        <v>37</v>
      </c>
      <c r="I25" s="52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54">
        <f t="shared" si="2"/>
        <v>3.0833333333333335</v>
      </c>
    </row>
    <row r="26" spans="2:10" ht="15" customHeight="1" x14ac:dyDescent="0.2">
      <c r="B26" s="46" t="s">
        <v>464</v>
      </c>
      <c r="C26" s="55">
        <f>SUMIFS(Archives!$AF$2:$AF$1048576,Archives!$V$2:$V$1048576,$B26)+SUMIFS(Archives!$AF$2:$AF$1048576,Archives!$Y$2:$Y$1048576,$B26)</f>
        <v>18.5</v>
      </c>
      <c r="D26" s="55">
        <f>COUNTIFS(Archives!$AB$2:$AB$1048576,"W",Archives!$V$2:$V$1048576,$B26)+COUNTIFS(Archives!$AB$2:$AB$1048576,"W",Archives!$Y$2:$Y$1048576,$B26)</f>
        <v>14</v>
      </c>
      <c r="E26" s="55">
        <f>COUNTIFS(Archives!$AB$2:$AB$1048576,"L",Archives!$V$2:$V$1048576,$B26)+COUNTIFS(Archives!$AB$2:$AB$1048576,"L",Archives!$Y$2:$Y$1048576,$B26)</f>
        <v>8</v>
      </c>
      <c r="F26" s="55">
        <f>COUNTIFS(Archives!$AB$2:$AB$1048576,"T",Archives!$V$2:$V$1048576,$B26)+COUNTIFS(Archives!$AB$2:$AB$1048576,"T",Archives!$Y$2:$Y$1048576,$B26)</f>
        <v>3</v>
      </c>
      <c r="G26" s="56">
        <f t="shared" si="0"/>
        <v>0.62</v>
      </c>
      <c r="H26" s="55">
        <f t="shared" si="1"/>
        <v>25</v>
      </c>
      <c r="I26" s="55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57">
        <f t="shared" si="2"/>
        <v>4.625</v>
      </c>
    </row>
    <row r="27" spans="2:10" ht="15" customHeight="1" x14ac:dyDescent="0.2">
      <c r="B27" s="43" t="s">
        <v>173</v>
      </c>
      <c r="C27" s="52">
        <f>SUMIFS(Archives!$AF$2:$AF$1048576,Archives!$V$2:$V$1048576,$B27)+SUMIFS(Archives!$AF$2:$AF$1048576,Archives!$Y$2:$Y$1048576,$B27)</f>
        <v>13</v>
      </c>
      <c r="D27" s="52">
        <f>COUNTIFS(Archives!$AB$2:$AB$1048576,"W",Archives!$V$2:$V$1048576,$B27)+COUNTIFS(Archives!$AB$2:$AB$1048576,"W",Archives!$Y$2:$Y$1048576,$B27)</f>
        <v>11</v>
      </c>
      <c r="E27" s="52">
        <f>COUNTIFS(Archives!$AB$2:$AB$1048576,"L",Archives!$V$2:$V$1048576,$B27)+COUNTIFS(Archives!$AB$2:$AB$1048576,"L",Archives!$Y$2:$Y$1048576,$B27)</f>
        <v>14</v>
      </c>
      <c r="F27" s="52">
        <f>COUNTIFS(Archives!$AB$2:$AB$1048576,"T",Archives!$V$2:$V$1048576,$B27)+COUNTIFS(Archives!$AB$2:$AB$1048576,"T",Archives!$Y$2:$Y$1048576,$B27)</f>
        <v>4</v>
      </c>
      <c r="G27" s="53">
        <f t="shared" si="0"/>
        <v>0.44827586206896552</v>
      </c>
      <c r="H27" s="52">
        <f t="shared" si="1"/>
        <v>29</v>
      </c>
      <c r="I27" s="52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54">
        <f t="shared" si="2"/>
        <v>2.6</v>
      </c>
    </row>
    <row r="28" spans="2:10" ht="15" customHeight="1" x14ac:dyDescent="0.2">
      <c r="B28" s="46" t="s">
        <v>550</v>
      </c>
      <c r="C28" s="55">
        <f>SUMIFS(Archives!$AF$2:$AF$1048576,Archives!$V$2:$V$1048576,$B28)+SUMIFS(Archives!$AF$2:$AF$1048576,Archives!$Y$2:$Y$1048576,$B28)</f>
        <v>9</v>
      </c>
      <c r="D28" s="55">
        <f>COUNTIFS(Archives!$AB$2:$AB$1048576,"W",Archives!$V$2:$V$1048576,$B28)+COUNTIFS(Archives!$AB$2:$AB$1048576,"W",Archives!$Y$2:$Y$1048576,$B28)</f>
        <v>6</v>
      </c>
      <c r="E28" s="55">
        <f>COUNTIFS(Archives!$AB$2:$AB$1048576,"L",Archives!$V$2:$V$1048576,$B28)+COUNTIFS(Archives!$AB$2:$AB$1048576,"L",Archives!$Y$2:$Y$1048576,$B28)</f>
        <v>5</v>
      </c>
      <c r="F28" s="55">
        <f>COUNTIFS(Archives!$AB$2:$AB$1048576,"T",Archives!$V$2:$V$1048576,$B28)+COUNTIFS(Archives!$AB$2:$AB$1048576,"T",Archives!$Y$2:$Y$1048576,$B28)</f>
        <v>2</v>
      </c>
      <c r="G28" s="56">
        <f t="shared" si="0"/>
        <v>0.53846153846153844</v>
      </c>
      <c r="H28" s="55">
        <f t="shared" si="1"/>
        <v>13</v>
      </c>
      <c r="I28" s="55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57">
        <f t="shared" si="2"/>
        <v>4.5</v>
      </c>
    </row>
    <row r="29" spans="2:10" ht="15" customHeight="1" x14ac:dyDescent="0.2">
      <c r="B29" s="43" t="s">
        <v>120</v>
      </c>
      <c r="C29" s="52">
        <f>SUMIFS(Archives!$AF$2:$AF$1048576,Archives!$V$2:$V$1048576,$B29)+SUMIFS(Archives!$AF$2:$AF$1048576,Archives!$Y$2:$Y$1048576,$B29)</f>
        <v>8.5</v>
      </c>
      <c r="D29" s="52">
        <f>COUNTIFS(Archives!$AB$2:$AB$1048576,"W",Archives!$V$2:$V$1048576,$B29)+COUNTIFS(Archives!$AB$2:$AB$1048576,"W",Archives!$Y$2:$Y$1048576,$B29)</f>
        <v>6</v>
      </c>
      <c r="E29" s="52">
        <f>COUNTIFS(Archives!$AB$2:$AB$1048576,"L",Archives!$V$2:$V$1048576,$B29)+COUNTIFS(Archives!$AB$2:$AB$1048576,"L",Archives!$Y$2:$Y$1048576,$B29)</f>
        <v>12</v>
      </c>
      <c r="F29" s="52">
        <f>COUNTIFS(Archives!$AB$2:$AB$1048576,"T",Archives!$V$2:$V$1048576,$B29)+COUNTIFS(Archives!$AB$2:$AB$1048576,"T",Archives!$Y$2:$Y$1048576,$B29)</f>
        <v>3</v>
      </c>
      <c r="G29" s="53">
        <f t="shared" si="0"/>
        <v>0.35714285714285715</v>
      </c>
      <c r="H29" s="52">
        <f t="shared" si="1"/>
        <v>21</v>
      </c>
      <c r="I29" s="52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54">
        <f t="shared" si="2"/>
        <v>2.125</v>
      </c>
    </row>
    <row r="30" spans="2:10" ht="15" customHeight="1" x14ac:dyDescent="0.2">
      <c r="B30" s="46" t="s">
        <v>177</v>
      </c>
      <c r="C30" s="55">
        <f>SUMIFS(Archives!$AF$2:$AF$1048576,Archives!$V$2:$V$1048576,$B30)+SUMIFS(Archives!$AF$2:$AF$1048576,Archives!$Y$2:$Y$1048576,$B30)</f>
        <v>8.5</v>
      </c>
      <c r="D30" s="55">
        <f>COUNTIFS(Archives!$AB$2:$AB$1048576,"W",Archives!$V$2:$V$1048576,$B30)+COUNTIFS(Archives!$AB$2:$AB$1048576,"W",Archives!$Y$2:$Y$1048576,$B30)</f>
        <v>7</v>
      </c>
      <c r="E30" s="55">
        <f>COUNTIFS(Archives!$AB$2:$AB$1048576,"L",Archives!$V$2:$V$1048576,$B30)+COUNTIFS(Archives!$AB$2:$AB$1048576,"L",Archives!$Y$2:$Y$1048576,$B30)</f>
        <v>7</v>
      </c>
      <c r="F30" s="55">
        <f>COUNTIFS(Archives!$AB$2:$AB$1048576,"T",Archives!$V$2:$V$1048576,$B30)+COUNTIFS(Archives!$AB$2:$AB$1048576,"T",Archives!$Y$2:$Y$1048576,$B30)</f>
        <v>2</v>
      </c>
      <c r="G30" s="56">
        <f t="shared" si="0"/>
        <v>0.5</v>
      </c>
      <c r="H30" s="55">
        <f t="shared" si="1"/>
        <v>16</v>
      </c>
      <c r="I30" s="55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57">
        <f t="shared" si="2"/>
        <v>2.8333333333333335</v>
      </c>
    </row>
    <row r="31" spans="2:10" ht="15" customHeight="1" x14ac:dyDescent="0.2">
      <c r="B31" s="43" t="s">
        <v>462</v>
      </c>
      <c r="C31" s="52">
        <f>SUMIFS(Archives!$AF$2:$AF$1048576,Archives!$V$2:$V$1048576,$B31)+SUMIFS(Archives!$AF$2:$AF$1048576,Archives!$Y$2:$Y$1048576,$B31)</f>
        <v>7</v>
      </c>
      <c r="D31" s="52">
        <f>COUNTIFS(Archives!$AB$2:$AB$1048576,"W",Archives!$V$2:$V$1048576,$B31)+COUNTIFS(Archives!$AB$2:$AB$1048576,"W",Archives!$Y$2:$Y$1048576,$B31)</f>
        <v>5</v>
      </c>
      <c r="E31" s="52">
        <f>COUNTIFS(Archives!$AB$2:$AB$1048576,"L",Archives!$V$2:$V$1048576,$B31)+COUNTIFS(Archives!$AB$2:$AB$1048576,"L",Archives!$Y$2:$Y$1048576,$B31)</f>
        <v>9</v>
      </c>
      <c r="F31" s="52">
        <f>COUNTIFS(Archives!$AB$2:$AB$1048576,"T",Archives!$V$2:$V$1048576,$B31)+COUNTIFS(Archives!$AB$2:$AB$1048576,"T",Archives!$Y$2:$Y$1048576,$B31)</f>
        <v>4</v>
      </c>
      <c r="G31" s="53">
        <f t="shared" si="0"/>
        <v>0.3888888888888889</v>
      </c>
      <c r="H31" s="52">
        <f t="shared" si="1"/>
        <v>18</v>
      </c>
      <c r="I31" s="52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54">
        <f t="shared" si="2"/>
        <v>2.3333333333333335</v>
      </c>
    </row>
    <row r="32" spans="2:10" ht="15" customHeight="1" x14ac:dyDescent="0.2">
      <c r="B32" s="46" t="s">
        <v>641</v>
      </c>
      <c r="C32" s="55">
        <f>SUMIFS(Archives!$AF$2:$AF$1048576,Archives!$V$2:$V$1048576,$B32)+SUMIFS(Archives!$AF$2:$AF$1048576,Archives!$Y$2:$Y$1048576,$B32)</f>
        <v>4</v>
      </c>
      <c r="D32" s="55">
        <f>COUNTIFS(Archives!$AB$2:$AB$1048576,"W",Archives!$V$2:$V$1048576,$B32)+COUNTIFS(Archives!$AB$2:$AB$1048576,"W",Archives!$Y$2:$Y$1048576,$B32)</f>
        <v>2</v>
      </c>
      <c r="E32" s="55">
        <f>COUNTIFS(Archives!$AB$2:$AB$1048576,"L",Archives!$V$2:$V$1048576,$B32)+COUNTIFS(Archives!$AB$2:$AB$1048576,"L",Archives!$Y$2:$Y$1048576,$B32)</f>
        <v>3</v>
      </c>
      <c r="F32" s="55">
        <f>COUNTIFS(Archives!$AB$2:$AB$1048576,"T",Archives!$V$2:$V$1048576,$B32)+COUNTIFS(Archives!$AB$2:$AB$1048576,"T",Archives!$Y$2:$Y$1048576,$B32)</f>
        <v>2</v>
      </c>
      <c r="G32" s="56">
        <f t="shared" si="0"/>
        <v>0.42857142857142855</v>
      </c>
      <c r="H32" s="55">
        <f t="shared" si="1"/>
        <v>7</v>
      </c>
      <c r="I32" s="55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57">
        <f t="shared" si="2"/>
        <v>4</v>
      </c>
    </row>
    <row r="33" spans="2:10" ht="15" customHeight="1" x14ac:dyDescent="0.2">
      <c r="B33" s="43" t="s">
        <v>465</v>
      </c>
      <c r="C33" s="52">
        <f>SUMIFS(Archives!$AF$2:$AF$1048576,Archives!$V$2:$V$1048576,$B33)+SUMIFS(Archives!$AF$2:$AF$1048576,Archives!$Y$2:$Y$1048576,$B33)</f>
        <v>2.5</v>
      </c>
      <c r="D33" s="52">
        <f>COUNTIFS(Archives!$AB$2:$AB$1048576,"W",Archives!$V$2:$V$1048576,$B33)+COUNTIFS(Archives!$AB$2:$AB$1048576,"W",Archives!$Y$2:$Y$1048576,$B33)</f>
        <v>2</v>
      </c>
      <c r="E33" s="52">
        <f>COUNTIFS(Archives!$AB$2:$AB$1048576,"L",Archives!$V$2:$V$1048576,$B33)+COUNTIFS(Archives!$AB$2:$AB$1048576,"L",Archives!$Y$2:$Y$1048576,$B33)</f>
        <v>9</v>
      </c>
      <c r="F33" s="52">
        <f>COUNTIFS(Archives!$AB$2:$AB$1048576,"T",Archives!$V$2:$V$1048576,$B33)+COUNTIFS(Archives!$AB$2:$AB$1048576,"T",Archives!$Y$2:$Y$1048576,$B33)</f>
        <v>2</v>
      </c>
      <c r="G33" s="53">
        <f t="shared" si="0"/>
        <v>0.23076923076923078</v>
      </c>
      <c r="H33" s="52">
        <f t="shared" si="1"/>
        <v>13</v>
      </c>
      <c r="I33" s="52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54">
        <f t="shared" si="2"/>
        <v>1.25</v>
      </c>
    </row>
    <row r="34" spans="2:10" ht="15" customHeight="1" x14ac:dyDescent="0.2">
      <c r="B34" s="46" t="s">
        <v>468</v>
      </c>
      <c r="C34" s="55">
        <f>SUMIFS(Archives!$AF$2:$AF$1048576,Archives!$V$2:$V$1048576,$B34)+SUMIFS(Archives!$AF$2:$AF$1048576,Archives!$Y$2:$Y$1048576,$B34)</f>
        <v>2.5</v>
      </c>
      <c r="D34" s="55">
        <f>COUNTIFS(Archives!$AB$2:$AB$1048576,"W",Archives!$V$2:$V$1048576,$B34)+COUNTIFS(Archives!$AB$2:$AB$1048576,"W",Archives!$Y$2:$Y$1048576,$B34)</f>
        <v>3</v>
      </c>
      <c r="E34" s="55">
        <f>COUNTIFS(Archives!$AB$2:$AB$1048576,"L",Archives!$V$2:$V$1048576,$B34)+COUNTIFS(Archives!$AB$2:$AB$1048576,"L",Archives!$Y$2:$Y$1048576,$B34)</f>
        <v>2</v>
      </c>
      <c r="F34" s="55">
        <f>COUNTIFS(Archives!$AB$2:$AB$1048576,"T",Archives!$V$2:$V$1048576,$B34)+COUNTIFS(Archives!$AB$2:$AB$1048576,"T",Archives!$Y$2:$Y$1048576,$B34)</f>
        <v>0</v>
      </c>
      <c r="G34" s="56">
        <f t="shared" si="0"/>
        <v>0.6</v>
      </c>
      <c r="H34" s="55">
        <f t="shared" si="1"/>
        <v>5</v>
      </c>
      <c r="I34" s="55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57">
        <f t="shared" si="2"/>
        <v>2.5</v>
      </c>
    </row>
    <row r="35" spans="2:10" ht="15" customHeight="1" x14ac:dyDescent="0.2">
      <c r="B35" s="43" t="s">
        <v>129</v>
      </c>
      <c r="C35" s="52">
        <f>SUMIFS(Archives!$AF$2:$AF$1048576,Archives!$V$2:$V$1048576,$B35)+SUMIFS(Archives!$AF$2:$AF$1048576,Archives!$Y$2:$Y$1048576,$B35)</f>
        <v>1.5</v>
      </c>
      <c r="D35" s="52">
        <f>COUNTIFS(Archives!$AB$2:$AB$1048576,"W",Archives!$V$2:$V$1048576,$B35)+COUNTIFS(Archives!$AB$2:$AB$1048576,"W",Archives!$Y$2:$Y$1048576,$B35)</f>
        <v>1</v>
      </c>
      <c r="E35" s="52">
        <f>COUNTIFS(Archives!$AB$2:$AB$1048576,"L",Archives!$V$2:$V$1048576,$B35)+COUNTIFS(Archives!$AB$2:$AB$1048576,"L",Archives!$Y$2:$Y$1048576,$B35)</f>
        <v>3</v>
      </c>
      <c r="F35" s="52">
        <f>COUNTIFS(Archives!$AB$2:$AB$1048576,"T",Archives!$V$2:$V$1048576,$B35)+COUNTIFS(Archives!$AB$2:$AB$1048576,"T",Archives!$Y$2:$Y$1048576,$B35)</f>
        <v>1</v>
      </c>
      <c r="G35" s="53">
        <f t="shared" si="0"/>
        <v>0.3</v>
      </c>
      <c r="H35" s="52">
        <f t="shared" si="1"/>
        <v>5</v>
      </c>
      <c r="I35" s="52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54">
        <f t="shared" si="2"/>
        <v>1.5</v>
      </c>
    </row>
    <row r="36" spans="2:10" ht="15" customHeight="1" x14ac:dyDescent="0.2">
      <c r="B36" s="58" t="s">
        <v>730</v>
      </c>
      <c r="C36" s="59">
        <f>SUM(C5:C35)</f>
        <v>761.5</v>
      </c>
      <c r="D36" s="59">
        <f>SUM(D5:D35)</f>
        <v>601</v>
      </c>
      <c r="E36" s="59">
        <f>SUM(E5:E35)</f>
        <v>601</v>
      </c>
      <c r="F36" s="59">
        <f>SUM(F5:F35)</f>
        <v>166</v>
      </c>
      <c r="G36" s="60">
        <f t="shared" si="0"/>
        <v>0.5</v>
      </c>
      <c r="H36" s="59">
        <f>SUM(H5:H35)</f>
        <v>1368</v>
      </c>
      <c r="I36" s="59"/>
      <c r="J36" s="59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/>
  </sheetViews>
  <sheetFormatPr baseColWidth="10" defaultColWidth="8.83203125" defaultRowHeight="15" x14ac:dyDescent="0.2"/>
  <sheetData>
    <row r="1" spans="1:34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3" spans="1:34" ht="15" customHeight="1" x14ac:dyDescent="0.2">
      <c r="C3" t="s">
        <v>94</v>
      </c>
    </row>
    <row r="4" spans="1:34" ht="15" customHeight="1" x14ac:dyDescent="0.2">
      <c r="C4" t="s">
        <v>731</v>
      </c>
    </row>
    <row r="5" spans="1:34" ht="15" customHeight="1" x14ac:dyDescent="0.2">
      <c r="C5" t="s">
        <v>732</v>
      </c>
    </row>
    <row r="6" spans="1:34" ht="15" customHeight="1" x14ac:dyDescent="0.2">
      <c r="D6" t="s">
        <v>173</v>
      </c>
      <c r="E6" t="s">
        <v>181</v>
      </c>
      <c r="F6" t="s">
        <v>135</v>
      </c>
      <c r="G6" t="s">
        <v>550</v>
      </c>
      <c r="H6" t="s">
        <v>180</v>
      </c>
      <c r="I6" t="s">
        <v>326</v>
      </c>
      <c r="J6" t="s">
        <v>459</v>
      </c>
      <c r="K6" t="s">
        <v>462</v>
      </c>
      <c r="L6" t="s">
        <v>127</v>
      </c>
      <c r="M6" t="s">
        <v>132</v>
      </c>
      <c r="N6" t="s">
        <v>174</v>
      </c>
      <c r="O6" t="s">
        <v>178</v>
      </c>
      <c r="P6" t="s">
        <v>229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234</v>
      </c>
      <c r="Y6" t="s">
        <v>233</v>
      </c>
      <c r="Z6" t="s">
        <v>464</v>
      </c>
      <c r="AA6" t="s">
        <v>465</v>
      </c>
      <c r="AB6" t="s">
        <v>130</v>
      </c>
      <c r="AC6" t="s">
        <v>136</v>
      </c>
      <c r="AD6" t="s">
        <v>641</v>
      </c>
      <c r="AE6" t="s">
        <v>177</v>
      </c>
      <c r="AF6" t="s">
        <v>276</v>
      </c>
      <c r="AG6" t="s">
        <v>230</v>
      </c>
      <c r="AH6" t="s">
        <v>730</v>
      </c>
    </row>
    <row r="7" spans="1:34" ht="15" customHeight="1" x14ac:dyDescent="0.2">
      <c r="C7" t="s">
        <v>173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181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135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550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733</v>
      </c>
      <c r="C11" t="s">
        <v>180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734</v>
      </c>
      <c r="C12" t="s">
        <v>326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459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462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174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178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229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234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233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464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465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136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641</v>
      </c>
      <c r="K33">
        <v>1</v>
      </c>
      <c r="AH33">
        <v>1</v>
      </c>
    </row>
    <row r="34" spans="3:34" ht="15" customHeight="1" x14ac:dyDescent="0.2">
      <c r="C34" t="s">
        <v>177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276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230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730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tabSelected="1"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61" t="s">
        <v>735</v>
      </c>
    </row>
    <row r="3" spans="2:10" ht="30" customHeight="1" x14ac:dyDescent="0.2">
      <c r="B3" s="62" t="s">
        <v>736</v>
      </c>
      <c r="C3" s="12" t="s">
        <v>737</v>
      </c>
      <c r="D3" s="12"/>
      <c r="E3" s="12"/>
      <c r="F3" s="12"/>
      <c r="G3" s="12"/>
      <c r="H3" s="12"/>
      <c r="I3" s="12"/>
      <c r="J3" s="12"/>
    </row>
    <row r="4" spans="2:10" ht="30" customHeight="1" x14ac:dyDescent="0.2">
      <c r="B4" s="62" t="s">
        <v>738</v>
      </c>
      <c r="C4" s="12" t="s">
        <v>739</v>
      </c>
      <c r="D4" s="12"/>
      <c r="E4" s="12"/>
      <c r="F4" s="12"/>
      <c r="G4" s="12"/>
      <c r="H4" s="12"/>
      <c r="I4" s="12"/>
      <c r="J4" s="12"/>
    </row>
    <row r="5" spans="2:10" ht="30" customHeight="1" x14ac:dyDescent="0.2">
      <c r="B5" s="62" t="s">
        <v>740</v>
      </c>
      <c r="C5" s="12" t="s">
        <v>741</v>
      </c>
      <c r="D5" s="12"/>
      <c r="E5" s="12"/>
      <c r="F5" s="12"/>
      <c r="G5" s="12"/>
      <c r="H5" s="12"/>
      <c r="I5" s="12"/>
      <c r="J5" s="12"/>
    </row>
    <row r="6" spans="2:10" ht="30" customHeight="1" x14ac:dyDescent="0.2">
      <c r="B6" s="62" t="s">
        <v>742</v>
      </c>
      <c r="C6" s="12" t="s">
        <v>743</v>
      </c>
      <c r="D6" s="12"/>
      <c r="E6" s="12"/>
      <c r="F6" s="12"/>
      <c r="G6" s="12"/>
      <c r="H6" s="12"/>
      <c r="I6" s="12"/>
      <c r="J6" s="12"/>
    </row>
    <row r="7" spans="2:10" ht="30" customHeight="1" x14ac:dyDescent="0.2">
      <c r="B7" s="62" t="s">
        <v>744</v>
      </c>
      <c r="C7" s="12" t="s">
        <v>745</v>
      </c>
      <c r="D7" s="12"/>
      <c r="E7" s="12"/>
      <c r="F7" s="12"/>
      <c r="G7" s="12"/>
      <c r="H7" s="12"/>
      <c r="I7" s="12"/>
      <c r="J7" s="12"/>
    </row>
    <row r="9" spans="2:10" ht="30" customHeight="1" x14ac:dyDescent="0.2">
      <c r="B9" s="63" t="s">
        <v>684</v>
      </c>
      <c r="C9" s="63" t="s">
        <v>51</v>
      </c>
      <c r="D9" s="63" t="s">
        <v>746</v>
      </c>
      <c r="E9" s="63" t="s">
        <v>747</v>
      </c>
      <c r="F9" s="64" t="s">
        <v>748</v>
      </c>
      <c r="G9" s="64" t="s">
        <v>749</v>
      </c>
      <c r="H9" s="65" t="s">
        <v>750</v>
      </c>
      <c r="I9" s="63" t="s">
        <v>46</v>
      </c>
      <c r="J9" s="66" t="s">
        <v>751</v>
      </c>
    </row>
    <row r="10" spans="2:10" ht="15" customHeight="1" x14ac:dyDescent="0.2">
      <c r="B10" s="67" t="s">
        <v>464</v>
      </c>
      <c r="C10" s="68">
        <v>4</v>
      </c>
      <c r="D10" s="69">
        <v>4</v>
      </c>
      <c r="E10" s="69">
        <v>4.625</v>
      </c>
      <c r="F10" s="70">
        <v>5.9400000000000001E-2</v>
      </c>
      <c r="G10" s="70">
        <v>-5.0000000000000001E-3</v>
      </c>
      <c r="H10" s="70">
        <v>-0.12590000000000001</v>
      </c>
      <c r="I10" s="71">
        <f t="shared" ref="I10:I32" si="0">E10+F10+G10+H10</f>
        <v>4.5535000000000005</v>
      </c>
      <c r="J10" s="70">
        <f t="shared" ref="J10:J32" si="1">I10-E10</f>
        <v>-7.1499999999999453E-2</v>
      </c>
    </row>
    <row r="11" spans="2:10" ht="15" customHeight="1" x14ac:dyDescent="0.2">
      <c r="B11" s="67" t="s">
        <v>229</v>
      </c>
      <c r="C11" s="68">
        <v>7</v>
      </c>
      <c r="D11" s="69">
        <v>7</v>
      </c>
      <c r="E11" s="69">
        <v>4.4286000000000003</v>
      </c>
      <c r="F11" s="70">
        <v>-2.5700000000000001E-2</v>
      </c>
      <c r="G11" s="70">
        <v>0.1368</v>
      </c>
      <c r="H11" s="70">
        <v>-0.1033</v>
      </c>
      <c r="I11" s="71">
        <f t="shared" si="0"/>
        <v>4.4364000000000008</v>
      </c>
      <c r="J11" s="70">
        <f t="shared" si="1"/>
        <v>7.8000000000004732E-3</v>
      </c>
    </row>
    <row r="12" spans="2:10" ht="15" customHeight="1" x14ac:dyDescent="0.2">
      <c r="B12" s="67" t="s">
        <v>459</v>
      </c>
      <c r="C12" s="68">
        <v>5</v>
      </c>
      <c r="D12" s="69">
        <v>4.6900000000000004</v>
      </c>
      <c r="E12" s="69">
        <v>4.3689</v>
      </c>
      <c r="F12" s="70">
        <v>-9.6799999999999997E-2</v>
      </c>
      <c r="G12" s="70">
        <v>-0.10340000000000001</v>
      </c>
      <c r="H12" s="70">
        <v>0.1968</v>
      </c>
      <c r="I12" s="71">
        <f t="shared" si="0"/>
        <v>4.3654999999999999</v>
      </c>
      <c r="J12" s="70">
        <f t="shared" si="1"/>
        <v>-3.4000000000000696E-3</v>
      </c>
    </row>
    <row r="13" spans="2:10" ht="15" customHeight="1" x14ac:dyDescent="0.2">
      <c r="B13" s="67" t="s">
        <v>135</v>
      </c>
      <c r="C13" s="68">
        <v>12</v>
      </c>
      <c r="D13" s="69">
        <v>12</v>
      </c>
      <c r="E13" s="69">
        <v>4.2083000000000004</v>
      </c>
      <c r="F13" s="70">
        <v>6.4000000000000003E-3</v>
      </c>
      <c r="G13" s="70">
        <v>0.113</v>
      </c>
      <c r="H13" s="70">
        <v>-1.3299999999999999E-2</v>
      </c>
      <c r="I13" s="71">
        <f t="shared" si="0"/>
        <v>4.3144000000000009</v>
      </c>
      <c r="J13" s="70">
        <f t="shared" si="1"/>
        <v>0.10610000000000053</v>
      </c>
    </row>
    <row r="14" spans="2:10" ht="15" customHeight="1" x14ac:dyDescent="0.2">
      <c r="B14" s="67" t="s">
        <v>178</v>
      </c>
      <c r="C14" s="68">
        <v>11</v>
      </c>
      <c r="D14" s="69">
        <v>10.69</v>
      </c>
      <c r="E14" s="69">
        <v>3.9281000000000001</v>
      </c>
      <c r="F14" s="70">
        <v>-3.3599999999999998E-2</v>
      </c>
      <c r="G14" s="70">
        <v>-5.8999999999999999E-3</v>
      </c>
      <c r="H14" s="70">
        <v>4.0500000000000001E-2</v>
      </c>
      <c r="I14" s="71">
        <f t="shared" si="0"/>
        <v>3.9291000000000005</v>
      </c>
      <c r="J14" s="70">
        <f t="shared" si="1"/>
        <v>1.000000000000334E-3</v>
      </c>
    </row>
    <row r="15" spans="2:10" ht="15" customHeight="1" x14ac:dyDescent="0.2">
      <c r="B15" s="67" t="s">
        <v>127</v>
      </c>
      <c r="C15" s="68">
        <v>12</v>
      </c>
      <c r="D15" s="69">
        <v>12</v>
      </c>
      <c r="E15" s="69">
        <v>3.8332999999999999</v>
      </c>
      <c r="F15" s="70">
        <v>-5.3900000000000003E-2</v>
      </c>
      <c r="G15" s="70">
        <v>6.0499999999999998E-2</v>
      </c>
      <c r="H15" s="70">
        <v>4.99E-2</v>
      </c>
      <c r="I15" s="71">
        <f t="shared" si="0"/>
        <v>3.8898000000000001</v>
      </c>
      <c r="J15" s="70">
        <f t="shared" si="1"/>
        <v>5.6500000000000217E-2</v>
      </c>
    </row>
    <row r="16" spans="2:10" ht="15" customHeight="1" x14ac:dyDescent="0.2">
      <c r="B16" s="67" t="s">
        <v>118</v>
      </c>
      <c r="C16" s="68">
        <v>12</v>
      </c>
      <c r="D16" s="69">
        <v>12</v>
      </c>
      <c r="E16" s="69">
        <v>3.8332999999999999</v>
      </c>
      <c r="F16" s="70">
        <v>-6.9699999999999998E-2</v>
      </c>
      <c r="G16" s="70">
        <v>0.1142</v>
      </c>
      <c r="H16" s="70">
        <v>9.5999999999999992E-3</v>
      </c>
      <c r="I16" s="71">
        <f t="shared" si="0"/>
        <v>3.8873999999999995</v>
      </c>
      <c r="J16" s="70">
        <f t="shared" si="1"/>
        <v>5.4099999999999593E-2</v>
      </c>
    </row>
    <row r="17" spans="2:10" ht="15" customHeight="1" x14ac:dyDescent="0.2">
      <c r="B17" s="67" t="s">
        <v>276</v>
      </c>
      <c r="C17" s="68">
        <v>8</v>
      </c>
      <c r="D17" s="69">
        <v>8</v>
      </c>
      <c r="E17" s="69">
        <v>3.5625</v>
      </c>
      <c r="F17" s="70">
        <v>7.0999999999999994E-2</v>
      </c>
      <c r="G17" s="70">
        <v>0.15609999999999999</v>
      </c>
      <c r="H17" s="70">
        <v>3.6400000000000002E-2</v>
      </c>
      <c r="I17" s="71">
        <f t="shared" si="0"/>
        <v>3.8260000000000001</v>
      </c>
      <c r="J17" s="70">
        <f t="shared" si="1"/>
        <v>0.26350000000000007</v>
      </c>
    </row>
    <row r="18" spans="2:10" ht="15" customHeight="1" x14ac:dyDescent="0.2">
      <c r="B18" s="67" t="s">
        <v>130</v>
      </c>
      <c r="C18" s="68">
        <v>7</v>
      </c>
      <c r="D18" s="69">
        <v>7</v>
      </c>
      <c r="E18" s="69">
        <v>3.8571</v>
      </c>
      <c r="F18" s="70">
        <v>5.1799999999999999E-2</v>
      </c>
      <c r="G18" s="70">
        <v>-1.6299999999999999E-2</v>
      </c>
      <c r="H18" s="70">
        <v>-0.12759999999999999</v>
      </c>
      <c r="I18" s="71">
        <f t="shared" si="0"/>
        <v>3.7649999999999997</v>
      </c>
      <c r="J18" s="70">
        <f t="shared" si="1"/>
        <v>-9.2100000000000293E-2</v>
      </c>
    </row>
    <row r="19" spans="2:10" ht="15" customHeight="1" x14ac:dyDescent="0.2">
      <c r="B19" s="67" t="s">
        <v>234</v>
      </c>
      <c r="C19" s="68">
        <v>8</v>
      </c>
      <c r="D19" s="69">
        <v>8</v>
      </c>
      <c r="E19" s="69">
        <v>3.5</v>
      </c>
      <c r="F19" s="70">
        <v>5.5E-2</v>
      </c>
      <c r="G19" s="70">
        <v>0.31340000000000001</v>
      </c>
      <c r="H19" s="70">
        <v>-0.1187</v>
      </c>
      <c r="I19" s="71">
        <f t="shared" si="0"/>
        <v>3.7497000000000003</v>
      </c>
      <c r="J19" s="70">
        <f t="shared" si="1"/>
        <v>0.24970000000000026</v>
      </c>
    </row>
    <row r="20" spans="2:10" ht="15" customHeight="1" x14ac:dyDescent="0.2">
      <c r="B20" s="67" t="s">
        <v>119</v>
      </c>
      <c r="C20" s="68">
        <v>12</v>
      </c>
      <c r="D20" s="69">
        <v>12</v>
      </c>
      <c r="E20" s="69">
        <v>3.5832999999999999</v>
      </c>
      <c r="F20" s="70">
        <v>-1.6899999999999998E-2</v>
      </c>
      <c r="G20" s="70">
        <v>3.0099999999999998E-2</v>
      </c>
      <c r="H20" s="70">
        <v>-3.8100000000000002E-2</v>
      </c>
      <c r="I20" s="71">
        <f t="shared" si="0"/>
        <v>3.5583999999999998</v>
      </c>
      <c r="J20" s="70">
        <f t="shared" si="1"/>
        <v>-2.4900000000000144E-2</v>
      </c>
    </row>
    <row r="21" spans="2:10" ht="15" customHeight="1" x14ac:dyDescent="0.2">
      <c r="B21" s="67" t="s">
        <v>123</v>
      </c>
      <c r="C21" s="68">
        <v>12</v>
      </c>
      <c r="D21" s="69">
        <v>12</v>
      </c>
      <c r="E21" s="69">
        <v>3.4167000000000001</v>
      </c>
      <c r="F21" s="70">
        <v>5.3800000000000001E-2</v>
      </c>
      <c r="G21" s="70">
        <v>0.11459999999999999</v>
      </c>
      <c r="H21" s="70">
        <v>-4.8500000000000001E-2</v>
      </c>
      <c r="I21" s="71">
        <f t="shared" si="0"/>
        <v>3.5365999999999995</v>
      </c>
      <c r="J21" s="70">
        <f t="shared" si="1"/>
        <v>0.11989999999999945</v>
      </c>
    </row>
    <row r="22" spans="2:10" ht="15" customHeight="1" x14ac:dyDescent="0.2">
      <c r="B22" s="67" t="s">
        <v>122</v>
      </c>
      <c r="C22" s="68">
        <v>11</v>
      </c>
      <c r="D22" s="69">
        <v>11</v>
      </c>
      <c r="E22" s="69">
        <v>3.3635999999999999</v>
      </c>
      <c r="F22" s="70">
        <v>-3.1699999999999999E-2</v>
      </c>
      <c r="G22" s="70">
        <v>-5.8299999999999998E-2</v>
      </c>
      <c r="H22" s="70">
        <v>7.3499999999999996E-2</v>
      </c>
      <c r="I22" s="71">
        <f t="shared" si="0"/>
        <v>3.3471000000000002</v>
      </c>
      <c r="J22" s="70">
        <f t="shared" si="1"/>
        <v>-1.6499999999999737E-2</v>
      </c>
    </row>
    <row r="23" spans="2:10" ht="15" customHeight="1" x14ac:dyDescent="0.2">
      <c r="B23" s="67" t="s">
        <v>230</v>
      </c>
      <c r="C23" s="68">
        <v>10</v>
      </c>
      <c r="D23" s="69">
        <v>10</v>
      </c>
      <c r="E23" s="69">
        <v>3.25</v>
      </c>
      <c r="F23" s="70">
        <v>-8.5099999999999995E-2</v>
      </c>
      <c r="G23" s="70">
        <v>0.14249999999999999</v>
      </c>
      <c r="H23" s="70">
        <v>-7.9600000000000004E-2</v>
      </c>
      <c r="I23" s="71">
        <f t="shared" si="0"/>
        <v>3.2277999999999998</v>
      </c>
      <c r="J23" s="70">
        <f t="shared" si="1"/>
        <v>-2.220000000000022E-2</v>
      </c>
    </row>
    <row r="24" spans="2:10" ht="15" customHeight="1" x14ac:dyDescent="0.2">
      <c r="B24" s="67" t="s">
        <v>181</v>
      </c>
      <c r="C24" s="68">
        <v>10</v>
      </c>
      <c r="D24" s="69">
        <v>10</v>
      </c>
      <c r="E24" s="69">
        <v>3</v>
      </c>
      <c r="F24" s="70">
        <v>-2.1100000000000001E-2</v>
      </c>
      <c r="G24" s="70">
        <v>-3.32E-2</v>
      </c>
      <c r="H24" s="70">
        <v>0.1198</v>
      </c>
      <c r="I24" s="71">
        <f t="shared" si="0"/>
        <v>3.0655000000000001</v>
      </c>
      <c r="J24" s="70">
        <f t="shared" si="1"/>
        <v>6.5500000000000114E-2</v>
      </c>
    </row>
    <row r="25" spans="2:10" ht="15" customHeight="1" x14ac:dyDescent="0.2">
      <c r="B25" s="67" t="s">
        <v>233</v>
      </c>
      <c r="C25" s="68">
        <v>6</v>
      </c>
      <c r="D25" s="69">
        <v>6</v>
      </c>
      <c r="E25" s="69">
        <v>3.5</v>
      </c>
      <c r="F25" s="70">
        <v>-8.0399999999999999E-2</v>
      </c>
      <c r="G25" s="70">
        <v>-0.36199999999999999</v>
      </c>
      <c r="H25" s="70">
        <v>4.1999999999999997E-3</v>
      </c>
      <c r="I25" s="71">
        <f t="shared" si="0"/>
        <v>3.0617999999999999</v>
      </c>
      <c r="J25" s="70">
        <f t="shared" si="1"/>
        <v>-0.43820000000000014</v>
      </c>
    </row>
    <row r="26" spans="2:10" ht="15" customHeight="1" x14ac:dyDescent="0.2">
      <c r="B26" s="67" t="s">
        <v>132</v>
      </c>
      <c r="C26" s="68">
        <v>12</v>
      </c>
      <c r="D26" s="69">
        <v>12</v>
      </c>
      <c r="E26" s="69">
        <v>3.0417000000000001</v>
      </c>
      <c r="F26" s="70">
        <v>-2.3E-2</v>
      </c>
      <c r="G26" s="70">
        <v>0.13639999999999999</v>
      </c>
      <c r="H26" s="70">
        <v>-9.5000000000000001E-2</v>
      </c>
      <c r="I26" s="71">
        <f t="shared" si="0"/>
        <v>3.0600999999999998</v>
      </c>
      <c r="J26" s="70">
        <f t="shared" si="1"/>
        <v>1.839999999999975E-2</v>
      </c>
    </row>
    <row r="27" spans="2:10" ht="15" customHeight="1" x14ac:dyDescent="0.2">
      <c r="B27" s="67" t="s">
        <v>326</v>
      </c>
      <c r="C27" s="68">
        <v>6</v>
      </c>
      <c r="D27" s="69">
        <v>6</v>
      </c>
      <c r="E27" s="69">
        <v>3.0832999999999999</v>
      </c>
      <c r="F27" s="70">
        <v>8.9399999999999993E-2</v>
      </c>
      <c r="G27" s="70">
        <v>-0.11409999999999999</v>
      </c>
      <c r="H27" s="70">
        <v>-7.5399999999999995E-2</v>
      </c>
      <c r="I27" s="71">
        <f t="shared" si="0"/>
        <v>2.9831999999999996</v>
      </c>
      <c r="J27" s="70">
        <f t="shared" si="1"/>
        <v>-0.1001000000000003</v>
      </c>
    </row>
    <row r="28" spans="2:10" ht="15" customHeight="1" x14ac:dyDescent="0.2">
      <c r="B28" s="67" t="s">
        <v>174</v>
      </c>
      <c r="C28" s="68">
        <v>11</v>
      </c>
      <c r="D28" s="69">
        <v>11</v>
      </c>
      <c r="E28" s="69">
        <v>2.7273000000000001</v>
      </c>
      <c r="F28" s="70">
        <v>-1.6500000000000001E-2</v>
      </c>
      <c r="G28" s="70">
        <v>-9.4000000000000004E-3</v>
      </c>
      <c r="H28" s="70">
        <v>0.1883</v>
      </c>
      <c r="I28" s="71">
        <f t="shared" si="0"/>
        <v>2.8896999999999999</v>
      </c>
      <c r="J28" s="70">
        <f t="shared" si="1"/>
        <v>0.16239999999999988</v>
      </c>
    </row>
    <row r="29" spans="2:10" ht="15" customHeight="1" x14ac:dyDescent="0.2">
      <c r="B29" s="67" t="s">
        <v>173</v>
      </c>
      <c r="C29" s="68">
        <v>5</v>
      </c>
      <c r="D29" s="69">
        <v>5</v>
      </c>
      <c r="E29" s="69">
        <v>2.6</v>
      </c>
      <c r="F29" s="70">
        <v>0.2104</v>
      </c>
      <c r="G29" s="70">
        <v>5.96E-2</v>
      </c>
      <c r="H29" s="70">
        <v>0</v>
      </c>
      <c r="I29" s="71">
        <f t="shared" si="0"/>
        <v>2.87</v>
      </c>
      <c r="J29" s="70">
        <f t="shared" si="1"/>
        <v>0.27</v>
      </c>
    </row>
    <row r="30" spans="2:10" ht="15" customHeight="1" x14ac:dyDescent="0.2">
      <c r="B30" s="67" t="s">
        <v>133</v>
      </c>
      <c r="C30" s="68">
        <v>11</v>
      </c>
      <c r="D30" s="69">
        <v>11</v>
      </c>
      <c r="E30" s="69">
        <v>2.5909</v>
      </c>
      <c r="F30" s="70">
        <v>0.06</v>
      </c>
      <c r="G30" s="70">
        <v>-9.2899999999999996E-2</v>
      </c>
      <c r="H30" s="70">
        <v>2.0999999999999999E-3</v>
      </c>
      <c r="I30" s="71">
        <f t="shared" si="0"/>
        <v>2.5600999999999998</v>
      </c>
      <c r="J30" s="70">
        <f t="shared" si="1"/>
        <v>-3.0800000000000161E-2</v>
      </c>
    </row>
    <row r="31" spans="2:10" ht="15" customHeight="1" x14ac:dyDescent="0.2">
      <c r="B31" s="67" t="s">
        <v>136</v>
      </c>
      <c r="C31" s="68">
        <v>11</v>
      </c>
      <c r="D31" s="69">
        <v>11</v>
      </c>
      <c r="E31" s="69">
        <v>2.4544999999999999</v>
      </c>
      <c r="F31" s="70">
        <v>-1.6400000000000001E-2</v>
      </c>
      <c r="G31" s="70">
        <v>8.5000000000000006E-3</v>
      </c>
      <c r="H31" s="70">
        <v>5.1999999999999998E-2</v>
      </c>
      <c r="I31" s="71">
        <f t="shared" si="0"/>
        <v>2.4986000000000002</v>
      </c>
      <c r="J31" s="70">
        <f t="shared" si="1"/>
        <v>4.410000000000025E-2</v>
      </c>
    </row>
    <row r="32" spans="2:10" ht="15" customHeight="1" x14ac:dyDescent="0.2">
      <c r="B32" s="67" t="s">
        <v>180</v>
      </c>
      <c r="C32" s="68">
        <v>10</v>
      </c>
      <c r="D32" s="69">
        <v>10</v>
      </c>
      <c r="E32" s="69">
        <v>2.2000000000000002</v>
      </c>
      <c r="F32" s="70">
        <v>-5.2400000000000002E-2</v>
      </c>
      <c r="G32" s="70">
        <v>-0.33400000000000002</v>
      </c>
      <c r="H32" s="70">
        <v>-3.7699999999999997E-2</v>
      </c>
      <c r="I32" s="71">
        <f t="shared" si="0"/>
        <v>1.7759</v>
      </c>
      <c r="J32" s="70">
        <f t="shared" si="1"/>
        <v>-0.42410000000000014</v>
      </c>
    </row>
    <row r="33" spans="2:10" ht="15" customHeight="1" x14ac:dyDescent="0.2"/>
    <row r="34" spans="2:10" ht="15" customHeight="1" x14ac:dyDescent="0.2">
      <c r="B34" s="72" t="s">
        <v>752</v>
      </c>
    </row>
    <row r="35" spans="2:10" ht="15" customHeight="1" x14ac:dyDescent="0.2">
      <c r="B35" s="73" t="s">
        <v>753</v>
      </c>
      <c r="C35" s="74" t="s">
        <v>234</v>
      </c>
      <c r="D35" s="11" t="s">
        <v>754</v>
      </c>
      <c r="E35" s="11"/>
      <c r="F35" s="11"/>
      <c r="G35" s="11"/>
      <c r="H35" s="11"/>
      <c r="I35" s="11"/>
      <c r="J35" s="11"/>
    </row>
    <row r="36" spans="2:10" ht="15" customHeight="1" x14ac:dyDescent="0.2">
      <c r="B36" s="73" t="s">
        <v>755</v>
      </c>
      <c r="C36" s="74" t="s">
        <v>459</v>
      </c>
      <c r="D36" s="11" t="s">
        <v>756</v>
      </c>
      <c r="E36" s="11"/>
      <c r="F36" s="11"/>
      <c r="G36" s="11"/>
      <c r="H36" s="11"/>
      <c r="I36" s="11"/>
      <c r="J36" s="11"/>
    </row>
    <row r="37" spans="2:10" ht="15" customHeight="1" x14ac:dyDescent="0.2">
      <c r="B37" s="73" t="s">
        <v>757</v>
      </c>
      <c r="C37" s="74" t="s">
        <v>173</v>
      </c>
      <c r="D37" s="11" t="s">
        <v>758</v>
      </c>
      <c r="E37" s="11"/>
      <c r="F37" s="11"/>
      <c r="G37" s="11"/>
      <c r="H37" s="11"/>
      <c r="I37" s="11"/>
      <c r="J37" s="11"/>
    </row>
    <row r="38" spans="2:10" ht="15" customHeight="1" x14ac:dyDescent="0.2">
      <c r="B38" s="73" t="s">
        <v>759</v>
      </c>
      <c r="C38" s="74" t="s">
        <v>233</v>
      </c>
      <c r="D38" s="11" t="s">
        <v>760</v>
      </c>
      <c r="E38" s="11"/>
      <c r="F38" s="11"/>
      <c r="G38" s="11"/>
      <c r="H38" s="11"/>
      <c r="I38" s="11"/>
      <c r="J38" s="11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75" t="s">
        <v>761</v>
      </c>
    </row>
    <row r="2" spans="2:7" ht="25.5" customHeight="1" x14ac:dyDescent="0.2">
      <c r="B2" s="1" t="s">
        <v>762</v>
      </c>
      <c r="C2" s="1"/>
      <c r="D2" s="1"/>
      <c r="E2" s="1"/>
      <c r="F2" s="1"/>
      <c r="G2" s="1"/>
    </row>
    <row r="4" spans="2:7" ht="15" customHeight="1" x14ac:dyDescent="0.2">
      <c r="B4" s="42" t="s">
        <v>684</v>
      </c>
      <c r="C4" s="42" t="s">
        <v>763</v>
      </c>
      <c r="D4" s="42" t="s">
        <v>728</v>
      </c>
      <c r="E4" s="42" t="s">
        <v>727</v>
      </c>
      <c r="F4" s="42" t="s">
        <v>764</v>
      </c>
      <c r="G4" s="42" t="s">
        <v>765</v>
      </c>
    </row>
    <row r="5" spans="2:7" ht="15" customHeight="1" x14ac:dyDescent="0.2">
      <c r="B5" s="43" t="s">
        <v>459</v>
      </c>
      <c r="C5" s="76">
        <v>17.8</v>
      </c>
      <c r="D5" s="52">
        <v>30</v>
      </c>
      <c r="E5" s="53">
        <v>0.61670000000000003</v>
      </c>
      <c r="F5" s="77">
        <v>0.1167</v>
      </c>
      <c r="G5" s="54">
        <v>2.08</v>
      </c>
    </row>
    <row r="6" spans="2:7" ht="15" customHeight="1" x14ac:dyDescent="0.2">
      <c r="B6" s="46" t="s">
        <v>178</v>
      </c>
      <c r="C6" s="78">
        <v>17.600000000000001</v>
      </c>
      <c r="D6" s="55">
        <v>65</v>
      </c>
      <c r="E6" s="56">
        <v>0.57689999999999997</v>
      </c>
      <c r="F6" s="79">
        <v>7.6899999999999996E-2</v>
      </c>
      <c r="G6" s="57">
        <v>1.35</v>
      </c>
    </row>
    <row r="7" spans="2:7" ht="15" customHeight="1" x14ac:dyDescent="0.2">
      <c r="B7" s="43" t="s">
        <v>127</v>
      </c>
      <c r="C7" s="76">
        <v>15.9</v>
      </c>
      <c r="D7" s="52">
        <v>71</v>
      </c>
      <c r="E7" s="53">
        <v>0.58450000000000002</v>
      </c>
      <c r="F7" s="77">
        <v>8.4500000000000006E-2</v>
      </c>
      <c r="G7" s="54">
        <v>1.34</v>
      </c>
    </row>
    <row r="8" spans="2:7" ht="15" customHeight="1" x14ac:dyDescent="0.2">
      <c r="B8" s="46" t="s">
        <v>229</v>
      </c>
      <c r="C8" s="78">
        <v>8.4</v>
      </c>
      <c r="D8" s="55">
        <v>42</v>
      </c>
      <c r="E8" s="56">
        <v>0.65480000000000005</v>
      </c>
      <c r="F8" s="79">
        <v>0.15479999999999999</v>
      </c>
      <c r="G8" s="57">
        <v>1.3</v>
      </c>
    </row>
    <row r="9" spans="2:7" ht="15" customHeight="1" x14ac:dyDescent="0.2">
      <c r="B9" s="43" t="s">
        <v>135</v>
      </c>
      <c r="C9" s="76">
        <v>10.6</v>
      </c>
      <c r="D9" s="52">
        <v>71</v>
      </c>
      <c r="E9" s="53">
        <v>0.61270000000000002</v>
      </c>
      <c r="F9" s="77">
        <v>0.11269999999999999</v>
      </c>
      <c r="G9" s="54">
        <v>1.19</v>
      </c>
    </row>
    <row r="10" spans="2:7" ht="15" customHeight="1" x14ac:dyDescent="0.2">
      <c r="B10" s="46" t="s">
        <v>118</v>
      </c>
      <c r="C10" s="78">
        <v>11</v>
      </c>
      <c r="D10" s="55">
        <v>71</v>
      </c>
      <c r="E10" s="56">
        <v>0.60560000000000003</v>
      </c>
      <c r="F10" s="79">
        <v>0.1056</v>
      </c>
      <c r="G10" s="57">
        <v>1.17</v>
      </c>
    </row>
    <row r="11" spans="2:7" ht="15" customHeight="1" x14ac:dyDescent="0.2">
      <c r="B11" s="43" t="s">
        <v>464</v>
      </c>
      <c r="C11" s="76">
        <v>8</v>
      </c>
      <c r="D11" s="52">
        <v>25</v>
      </c>
      <c r="E11" s="53">
        <v>0.62</v>
      </c>
      <c r="F11" s="77">
        <v>0.12</v>
      </c>
      <c r="G11" s="54">
        <v>0.95</v>
      </c>
    </row>
    <row r="12" spans="2:7" ht="15" customHeight="1" x14ac:dyDescent="0.2">
      <c r="B12" s="46" t="s">
        <v>119</v>
      </c>
      <c r="C12" s="78">
        <v>12.6</v>
      </c>
      <c r="D12" s="55">
        <v>71</v>
      </c>
      <c r="E12" s="56">
        <v>0.54930000000000001</v>
      </c>
      <c r="F12" s="79">
        <v>4.9299999999999997E-2</v>
      </c>
      <c r="G12" s="57">
        <v>0.62</v>
      </c>
    </row>
    <row r="13" spans="2:7" ht="15" customHeight="1" x14ac:dyDescent="0.2">
      <c r="B13" s="43" t="s">
        <v>123</v>
      </c>
      <c r="C13" s="76">
        <v>12.7</v>
      </c>
      <c r="D13" s="52">
        <v>71</v>
      </c>
      <c r="E13" s="53">
        <v>0.5423</v>
      </c>
      <c r="F13" s="77">
        <v>4.2299999999999997E-2</v>
      </c>
      <c r="G13" s="54">
        <v>0.54</v>
      </c>
    </row>
    <row r="14" spans="2:7" ht="15" customHeight="1" x14ac:dyDescent="0.2">
      <c r="B14" s="46" t="s">
        <v>550</v>
      </c>
      <c r="C14" s="78">
        <v>13.3</v>
      </c>
      <c r="D14" s="55">
        <v>13</v>
      </c>
      <c r="E14" s="56">
        <v>0.53849999999999998</v>
      </c>
      <c r="F14" s="79">
        <v>3.85E-2</v>
      </c>
      <c r="G14" s="57">
        <v>0.51</v>
      </c>
    </row>
    <row r="15" spans="2:7" ht="15" customHeight="1" x14ac:dyDescent="0.2">
      <c r="B15" s="43" t="s">
        <v>233</v>
      </c>
      <c r="C15" s="76">
        <v>17.899999999999999</v>
      </c>
      <c r="D15" s="52">
        <v>36</v>
      </c>
      <c r="E15" s="53">
        <v>0.52780000000000005</v>
      </c>
      <c r="F15" s="77">
        <v>2.7799999999999998E-2</v>
      </c>
      <c r="G15" s="54">
        <v>0.5</v>
      </c>
    </row>
    <row r="16" spans="2:7" ht="15" customHeight="1" x14ac:dyDescent="0.2">
      <c r="B16" s="46" t="s">
        <v>130</v>
      </c>
      <c r="C16" s="78">
        <v>7</v>
      </c>
      <c r="D16" s="55">
        <v>43</v>
      </c>
      <c r="E16" s="56">
        <v>0.52329999999999999</v>
      </c>
      <c r="F16" s="79">
        <v>2.3300000000000001E-2</v>
      </c>
      <c r="G16" s="57">
        <v>0.16</v>
      </c>
    </row>
    <row r="17" spans="2:7" ht="15" customHeight="1" x14ac:dyDescent="0.2">
      <c r="B17" s="43" t="s">
        <v>276</v>
      </c>
      <c r="C17" s="76">
        <v>11.6</v>
      </c>
      <c r="D17" s="52">
        <v>49</v>
      </c>
      <c r="E17" s="53">
        <v>0.51019999999999999</v>
      </c>
      <c r="F17" s="77">
        <v>1.0200000000000001E-2</v>
      </c>
      <c r="G17" s="54">
        <v>0.12</v>
      </c>
    </row>
    <row r="18" spans="2:7" ht="15" customHeight="1" x14ac:dyDescent="0.2">
      <c r="B18" s="46" t="s">
        <v>234</v>
      </c>
      <c r="C18" s="78">
        <v>7.2</v>
      </c>
      <c r="D18" s="55">
        <v>48</v>
      </c>
      <c r="E18" s="56">
        <v>0.5</v>
      </c>
      <c r="F18" s="79">
        <v>0</v>
      </c>
      <c r="G18" s="57">
        <v>0</v>
      </c>
    </row>
    <row r="19" spans="2:7" ht="15" customHeight="1" x14ac:dyDescent="0.2">
      <c r="B19" s="43" t="s">
        <v>132</v>
      </c>
      <c r="C19" s="76">
        <v>7.9</v>
      </c>
      <c r="D19" s="52">
        <v>71</v>
      </c>
      <c r="E19" s="53">
        <v>0.46479999999999999</v>
      </c>
      <c r="F19" s="77">
        <v>-3.5200000000000002E-2</v>
      </c>
      <c r="G19" s="54">
        <v>-0.28000000000000003</v>
      </c>
    </row>
    <row r="20" spans="2:7" ht="15" customHeight="1" x14ac:dyDescent="0.2">
      <c r="B20" s="46" t="s">
        <v>122</v>
      </c>
      <c r="C20" s="78">
        <v>18.100000000000001</v>
      </c>
      <c r="D20" s="55">
        <v>65</v>
      </c>
      <c r="E20" s="56">
        <v>0.48459999999999998</v>
      </c>
      <c r="F20" s="79">
        <v>-1.54E-2</v>
      </c>
      <c r="G20" s="57">
        <v>-0.28000000000000003</v>
      </c>
    </row>
    <row r="21" spans="2:7" ht="15" customHeight="1" x14ac:dyDescent="0.2">
      <c r="B21" s="43" t="s">
        <v>230</v>
      </c>
      <c r="C21" s="76">
        <v>10.8</v>
      </c>
      <c r="D21" s="52">
        <v>61</v>
      </c>
      <c r="E21" s="53">
        <v>0.4672</v>
      </c>
      <c r="F21" s="77">
        <v>-3.2800000000000003E-2</v>
      </c>
      <c r="G21" s="54">
        <v>-0.36</v>
      </c>
    </row>
    <row r="22" spans="2:7" ht="15" customHeight="1" x14ac:dyDescent="0.2">
      <c r="B22" s="46" t="s">
        <v>326</v>
      </c>
      <c r="C22" s="78">
        <v>11.6</v>
      </c>
      <c r="D22" s="55">
        <v>37</v>
      </c>
      <c r="E22" s="56">
        <v>0.45950000000000002</v>
      </c>
      <c r="F22" s="79">
        <v>-4.0500000000000001E-2</v>
      </c>
      <c r="G22" s="57">
        <v>-0.47</v>
      </c>
    </row>
    <row r="23" spans="2:7" ht="15" customHeight="1" x14ac:dyDescent="0.2">
      <c r="B23" s="43" t="s">
        <v>133</v>
      </c>
      <c r="C23" s="76">
        <v>15.3</v>
      </c>
      <c r="D23" s="52">
        <v>65</v>
      </c>
      <c r="E23" s="53">
        <v>0.42309999999999998</v>
      </c>
      <c r="F23" s="77">
        <v>-7.6899999999999996E-2</v>
      </c>
      <c r="G23" s="54">
        <v>-1.17</v>
      </c>
    </row>
    <row r="24" spans="2:7" ht="15" customHeight="1" x14ac:dyDescent="0.2">
      <c r="B24" s="46" t="s">
        <v>181</v>
      </c>
      <c r="C24" s="78">
        <v>19.899999999999999</v>
      </c>
      <c r="D24" s="55">
        <v>59</v>
      </c>
      <c r="E24" s="56">
        <v>0.44069999999999998</v>
      </c>
      <c r="F24" s="79">
        <v>-5.9299999999999999E-2</v>
      </c>
      <c r="G24" s="57">
        <v>-1.18</v>
      </c>
    </row>
    <row r="25" spans="2:7" ht="15" customHeight="1" x14ac:dyDescent="0.2">
      <c r="B25" s="43" t="s">
        <v>462</v>
      </c>
      <c r="C25" s="76">
        <v>12.4</v>
      </c>
      <c r="D25" s="52">
        <v>18</v>
      </c>
      <c r="E25" s="53">
        <v>0.38890000000000002</v>
      </c>
      <c r="F25" s="77">
        <v>-0.1111</v>
      </c>
      <c r="G25" s="54">
        <v>-1.38</v>
      </c>
    </row>
    <row r="26" spans="2:7" ht="15" customHeight="1" x14ac:dyDescent="0.2">
      <c r="B26" s="46" t="s">
        <v>136</v>
      </c>
      <c r="C26" s="78">
        <v>17.2</v>
      </c>
      <c r="D26" s="55">
        <v>65</v>
      </c>
      <c r="E26" s="56">
        <v>0.4</v>
      </c>
      <c r="F26" s="79">
        <v>-0.1</v>
      </c>
      <c r="G26" s="57">
        <v>-1.72</v>
      </c>
    </row>
    <row r="27" spans="2:7" ht="15" customHeight="1" x14ac:dyDescent="0.2">
      <c r="B27" s="43" t="s">
        <v>174</v>
      </c>
      <c r="C27" s="76">
        <v>22.9</v>
      </c>
      <c r="D27" s="52">
        <v>66</v>
      </c>
      <c r="E27" s="53">
        <v>0.39389999999999997</v>
      </c>
      <c r="F27" s="77">
        <v>-0.1061</v>
      </c>
      <c r="G27" s="54">
        <v>-2.4300000000000002</v>
      </c>
    </row>
    <row r="28" spans="2:7" ht="15" customHeight="1" x14ac:dyDescent="0.2">
      <c r="B28" s="46" t="s">
        <v>465</v>
      </c>
      <c r="C28" s="78">
        <v>9.6</v>
      </c>
      <c r="D28" s="55">
        <v>13</v>
      </c>
      <c r="E28" s="56">
        <v>0.23080000000000001</v>
      </c>
      <c r="F28" s="79">
        <v>-0.26919999999999999</v>
      </c>
      <c r="G28" s="57">
        <v>-2.57</v>
      </c>
    </row>
    <row r="29" spans="2:7" ht="15" customHeight="1" x14ac:dyDescent="0.2">
      <c r="B29" s="43" t="s">
        <v>180</v>
      </c>
      <c r="C29" s="76">
        <v>17</v>
      </c>
      <c r="D29" s="52">
        <v>59</v>
      </c>
      <c r="E29" s="53">
        <v>0.34749999999999998</v>
      </c>
      <c r="F29" s="77">
        <v>-0.1525</v>
      </c>
      <c r="G29" s="54">
        <v>-2.59</v>
      </c>
    </row>
    <row r="30" spans="2:7" ht="15" customHeight="1" x14ac:dyDescent="0.2">
      <c r="B30" s="46" t="s">
        <v>120</v>
      </c>
      <c r="C30" s="78">
        <v>20</v>
      </c>
      <c r="D30" s="55">
        <v>21</v>
      </c>
      <c r="E30" s="56">
        <v>0.35709999999999997</v>
      </c>
      <c r="F30" s="79">
        <v>-0.1429</v>
      </c>
      <c r="G30" s="57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75" t="s">
        <v>766</v>
      </c>
    </row>
    <row r="2" spans="2:6" ht="25.5" customHeight="1" x14ac:dyDescent="0.2">
      <c r="B2" s="1" t="s">
        <v>767</v>
      </c>
      <c r="C2" s="1"/>
      <c r="D2" s="1"/>
      <c r="E2" s="1"/>
      <c r="F2" s="1"/>
    </row>
    <row r="4" spans="2:6" ht="15" customHeight="1" x14ac:dyDescent="0.2">
      <c r="B4" s="42" t="s">
        <v>768</v>
      </c>
      <c r="C4" s="42" t="s">
        <v>728</v>
      </c>
      <c r="D4" s="42" t="s">
        <v>769</v>
      </c>
      <c r="E4" s="42" t="s">
        <v>770</v>
      </c>
      <c r="F4" s="42" t="s">
        <v>771</v>
      </c>
    </row>
    <row r="5" spans="2:6" ht="15" customHeight="1" x14ac:dyDescent="0.2">
      <c r="B5" s="43" t="s">
        <v>772</v>
      </c>
      <c r="C5" s="52">
        <v>8</v>
      </c>
      <c r="D5" s="53">
        <v>0.875</v>
      </c>
      <c r="E5" s="53">
        <v>0.52459999999999996</v>
      </c>
      <c r="F5" s="77">
        <v>0.35039999999999999</v>
      </c>
    </row>
    <row r="6" spans="2:6" ht="15" customHeight="1" x14ac:dyDescent="0.2">
      <c r="B6" s="46" t="s">
        <v>773</v>
      </c>
      <c r="C6" s="55">
        <v>4</v>
      </c>
      <c r="D6" s="56">
        <v>0.875</v>
      </c>
      <c r="E6" s="56">
        <v>0.53969999999999996</v>
      </c>
      <c r="F6" s="79">
        <v>0.33529999999999999</v>
      </c>
    </row>
    <row r="7" spans="2:6" ht="15" customHeight="1" x14ac:dyDescent="0.2">
      <c r="B7" s="43" t="s">
        <v>774</v>
      </c>
      <c r="C7" s="52">
        <v>4</v>
      </c>
      <c r="D7" s="53">
        <v>0.875</v>
      </c>
      <c r="E7" s="53">
        <v>0.60919999999999996</v>
      </c>
      <c r="F7" s="77">
        <v>0.26579999999999998</v>
      </c>
    </row>
    <row r="8" spans="2:6" ht="15" customHeight="1" x14ac:dyDescent="0.2">
      <c r="B8" s="46" t="s">
        <v>775</v>
      </c>
      <c r="C8" s="55">
        <v>6</v>
      </c>
      <c r="D8" s="56">
        <v>0.83330000000000004</v>
      </c>
      <c r="E8" s="56">
        <v>0.5948</v>
      </c>
      <c r="F8" s="79">
        <v>0.23849999999999999</v>
      </c>
    </row>
    <row r="9" spans="2:6" ht="15" customHeight="1" x14ac:dyDescent="0.2">
      <c r="B9" s="43" t="s">
        <v>776</v>
      </c>
      <c r="C9" s="52">
        <v>4</v>
      </c>
      <c r="D9" s="53">
        <v>0.625</v>
      </c>
      <c r="E9" s="53">
        <v>0.42409999999999998</v>
      </c>
      <c r="F9" s="77">
        <v>0.2009</v>
      </c>
    </row>
    <row r="10" spans="2:6" ht="15" customHeight="1" x14ac:dyDescent="0.2">
      <c r="B10" s="46" t="s">
        <v>777</v>
      </c>
      <c r="C10" s="55">
        <v>4</v>
      </c>
      <c r="D10" s="56">
        <v>0.625</v>
      </c>
      <c r="E10" s="56">
        <v>0.42880000000000001</v>
      </c>
      <c r="F10" s="79">
        <v>0.19620000000000001</v>
      </c>
    </row>
    <row r="11" spans="2:6" ht="15" customHeight="1" x14ac:dyDescent="0.2">
      <c r="B11" s="43" t="s">
        <v>778</v>
      </c>
      <c r="C11" s="52">
        <v>4</v>
      </c>
      <c r="D11" s="53">
        <v>0.625</v>
      </c>
      <c r="E11" s="53">
        <v>0.44130000000000003</v>
      </c>
      <c r="F11" s="77">
        <v>0.1837</v>
      </c>
    </row>
    <row r="12" spans="2:6" ht="15" customHeight="1" x14ac:dyDescent="0.2">
      <c r="B12" s="46" t="s">
        <v>779</v>
      </c>
      <c r="C12" s="55">
        <v>4</v>
      </c>
      <c r="D12" s="56">
        <v>0.75</v>
      </c>
      <c r="E12" s="56">
        <v>0.5756</v>
      </c>
      <c r="F12" s="79">
        <v>0.1744</v>
      </c>
    </row>
    <row r="13" spans="2:6" ht="15" customHeight="1" x14ac:dyDescent="0.2">
      <c r="B13" s="43" t="s">
        <v>780</v>
      </c>
      <c r="C13" s="52">
        <v>10</v>
      </c>
      <c r="D13" s="53">
        <v>0.75</v>
      </c>
      <c r="E13" s="53">
        <v>0.57750000000000001</v>
      </c>
      <c r="F13" s="77">
        <v>0.17249999999999999</v>
      </c>
    </row>
    <row r="14" spans="2:6" ht="15" customHeight="1" x14ac:dyDescent="0.2">
      <c r="B14" s="46" t="s">
        <v>781</v>
      </c>
      <c r="C14" s="55">
        <v>4</v>
      </c>
      <c r="D14" s="56">
        <v>0.625</v>
      </c>
      <c r="E14" s="56">
        <v>0.45319999999999999</v>
      </c>
      <c r="F14" s="79">
        <v>0.17180000000000001</v>
      </c>
    </row>
    <row r="15" spans="2:6" ht="15" customHeight="1" x14ac:dyDescent="0.2">
      <c r="B15" s="43" t="s">
        <v>782</v>
      </c>
      <c r="C15" s="52">
        <v>11</v>
      </c>
      <c r="D15" s="53">
        <v>0.68179999999999996</v>
      </c>
      <c r="E15" s="53">
        <v>0.51339999999999997</v>
      </c>
      <c r="F15" s="77">
        <v>0.16839999999999999</v>
      </c>
    </row>
    <row r="16" spans="2:6" ht="15" customHeight="1" x14ac:dyDescent="0.2">
      <c r="B16" s="46" t="s">
        <v>783</v>
      </c>
      <c r="C16" s="55">
        <v>6</v>
      </c>
      <c r="D16" s="56">
        <v>0.66669999999999996</v>
      </c>
      <c r="E16" s="56">
        <v>0.50629999999999997</v>
      </c>
      <c r="F16" s="79">
        <v>0.1603</v>
      </c>
    </row>
    <row r="17" spans="2:6" ht="15" customHeight="1" x14ac:dyDescent="0.2">
      <c r="B17" s="43" t="s">
        <v>784</v>
      </c>
      <c r="C17" s="52">
        <v>4</v>
      </c>
      <c r="D17" s="53">
        <v>0.625</v>
      </c>
      <c r="E17" s="53">
        <v>0.46660000000000001</v>
      </c>
      <c r="F17" s="77">
        <v>0.15840000000000001</v>
      </c>
    </row>
    <row r="18" spans="2:6" ht="15" customHeight="1" x14ac:dyDescent="0.2">
      <c r="B18" s="46" t="s">
        <v>785</v>
      </c>
      <c r="C18" s="55">
        <v>4</v>
      </c>
      <c r="D18" s="56">
        <v>0.625</v>
      </c>
      <c r="E18" s="56">
        <v>0.4703</v>
      </c>
      <c r="F18" s="79">
        <v>0.1547</v>
      </c>
    </row>
    <row r="19" spans="2:6" ht="15" customHeight="1" x14ac:dyDescent="0.2">
      <c r="B19" s="43" t="s">
        <v>786</v>
      </c>
      <c r="C19" s="52">
        <v>4</v>
      </c>
      <c r="D19" s="53">
        <v>0.625</v>
      </c>
      <c r="E19" s="53">
        <v>0.48010000000000003</v>
      </c>
      <c r="F19" s="77">
        <v>0.1449</v>
      </c>
    </row>
    <row r="20" spans="2:6" ht="15" customHeight="1" x14ac:dyDescent="0.2">
      <c r="B20" s="46" t="s">
        <v>787</v>
      </c>
      <c r="C20" s="55">
        <v>4</v>
      </c>
      <c r="D20" s="56">
        <v>0.625</v>
      </c>
      <c r="E20" s="56">
        <v>0.48670000000000002</v>
      </c>
      <c r="F20" s="79">
        <v>0.13830000000000001</v>
      </c>
    </row>
    <row r="21" spans="2:6" ht="15" customHeight="1" x14ac:dyDescent="0.2">
      <c r="B21" s="43" t="s">
        <v>788</v>
      </c>
      <c r="C21" s="52">
        <v>4</v>
      </c>
      <c r="D21" s="53">
        <v>0.625</v>
      </c>
      <c r="E21" s="53">
        <v>0.49399999999999999</v>
      </c>
      <c r="F21" s="77">
        <v>0.13100000000000001</v>
      </c>
    </row>
    <row r="22" spans="2:6" ht="15" customHeight="1" x14ac:dyDescent="0.2">
      <c r="B22" s="46" t="s">
        <v>789</v>
      </c>
      <c r="C22" s="55">
        <v>4</v>
      </c>
      <c r="D22" s="56">
        <v>0.625</v>
      </c>
      <c r="E22" s="56">
        <v>0.50529999999999997</v>
      </c>
      <c r="F22" s="79">
        <v>0.1197</v>
      </c>
    </row>
    <row r="23" spans="2:6" ht="15" customHeight="1" x14ac:dyDescent="0.2">
      <c r="B23" s="43" t="s">
        <v>790</v>
      </c>
      <c r="C23" s="52">
        <v>4</v>
      </c>
      <c r="D23" s="53">
        <v>0.625</v>
      </c>
      <c r="E23" s="53">
        <v>0.51900000000000002</v>
      </c>
      <c r="F23" s="77">
        <v>0.106</v>
      </c>
    </row>
    <row r="24" spans="2:6" ht="15" customHeight="1" x14ac:dyDescent="0.2">
      <c r="B24" s="46" t="s">
        <v>791</v>
      </c>
      <c r="C24" s="55">
        <v>4</v>
      </c>
      <c r="D24" s="56">
        <v>0.625</v>
      </c>
      <c r="E24" s="56">
        <v>0.5363</v>
      </c>
      <c r="F24" s="79">
        <v>8.8700000000000001E-2</v>
      </c>
    </row>
    <row r="25" spans="2:6" ht="15" customHeight="1" x14ac:dyDescent="0.2">
      <c r="B25" s="43" t="s">
        <v>792</v>
      </c>
      <c r="C25" s="52">
        <v>6</v>
      </c>
      <c r="D25" s="53">
        <v>0.58330000000000004</v>
      </c>
      <c r="E25" s="53">
        <v>0.4975</v>
      </c>
      <c r="F25" s="77">
        <v>8.5800000000000001E-2</v>
      </c>
    </row>
    <row r="26" spans="2:6" ht="15" customHeight="1" x14ac:dyDescent="0.2">
      <c r="B26" s="46" t="s">
        <v>793</v>
      </c>
      <c r="C26" s="55">
        <v>4</v>
      </c>
      <c r="D26" s="56">
        <v>0.625</v>
      </c>
      <c r="E26" s="56">
        <v>0.56689999999999996</v>
      </c>
      <c r="F26" s="79">
        <v>5.8099999999999999E-2</v>
      </c>
    </row>
    <row r="27" spans="2:6" ht="15" customHeight="1" x14ac:dyDescent="0.2">
      <c r="B27" s="43" t="s">
        <v>794</v>
      </c>
      <c r="C27" s="52">
        <v>6</v>
      </c>
      <c r="D27" s="53">
        <v>0.5</v>
      </c>
      <c r="E27" s="53">
        <v>0.44700000000000001</v>
      </c>
      <c r="F27" s="77">
        <v>5.2999999999999999E-2</v>
      </c>
    </row>
    <row r="28" spans="2:6" ht="15" customHeight="1" x14ac:dyDescent="0.2">
      <c r="B28" s="46" t="s">
        <v>795</v>
      </c>
      <c r="C28" s="55">
        <v>4</v>
      </c>
      <c r="D28" s="56">
        <v>0.5</v>
      </c>
      <c r="E28" s="56">
        <v>0.44969999999999999</v>
      </c>
      <c r="F28" s="79">
        <v>5.0299999999999997E-2</v>
      </c>
    </row>
    <row r="29" spans="2:6" ht="15" customHeight="1" x14ac:dyDescent="0.2">
      <c r="B29" s="43" t="s">
        <v>796</v>
      </c>
      <c r="C29" s="52">
        <v>6</v>
      </c>
      <c r="D29" s="53">
        <v>0.5</v>
      </c>
      <c r="E29" s="53">
        <v>0.47199999999999998</v>
      </c>
      <c r="F29" s="77">
        <v>2.8000000000000001E-2</v>
      </c>
    </row>
    <row r="30" spans="2:6" ht="15" customHeight="1" x14ac:dyDescent="0.2">
      <c r="B30" s="46" t="s">
        <v>797</v>
      </c>
      <c r="C30" s="55">
        <v>6</v>
      </c>
      <c r="D30" s="56">
        <v>0.5</v>
      </c>
      <c r="E30" s="56">
        <v>0.47649999999999998</v>
      </c>
      <c r="F30" s="79">
        <v>2.35E-2</v>
      </c>
    </row>
    <row r="31" spans="2:6" ht="15" customHeight="1" x14ac:dyDescent="0.2">
      <c r="B31" s="43" t="s">
        <v>798</v>
      </c>
      <c r="C31" s="52">
        <v>7</v>
      </c>
      <c r="D31" s="53">
        <v>0.57140000000000002</v>
      </c>
      <c r="E31" s="53">
        <v>0.54859999999999998</v>
      </c>
      <c r="F31" s="77">
        <v>2.2800000000000001E-2</v>
      </c>
    </row>
    <row r="32" spans="2:6" ht="15" customHeight="1" x14ac:dyDescent="0.2">
      <c r="B32" s="46" t="s">
        <v>799</v>
      </c>
      <c r="C32" s="55">
        <v>6</v>
      </c>
      <c r="D32" s="56">
        <v>0.58330000000000004</v>
      </c>
      <c r="E32" s="56">
        <v>0.56100000000000005</v>
      </c>
      <c r="F32" s="79">
        <v>2.23E-2</v>
      </c>
    </row>
    <row r="33" spans="2:6" ht="15" customHeight="1" x14ac:dyDescent="0.2">
      <c r="B33" s="43" t="s">
        <v>800</v>
      </c>
      <c r="C33" s="52">
        <v>4</v>
      </c>
      <c r="D33" s="53">
        <v>0.5</v>
      </c>
      <c r="E33" s="53">
        <v>0.48270000000000002</v>
      </c>
      <c r="F33" s="77">
        <v>1.7299999999999999E-2</v>
      </c>
    </row>
    <row r="34" spans="2:6" ht="15" customHeight="1" x14ac:dyDescent="0.2">
      <c r="B34" s="46" t="s">
        <v>801</v>
      </c>
      <c r="C34" s="55">
        <v>15</v>
      </c>
      <c r="D34" s="56">
        <v>0.6</v>
      </c>
      <c r="E34" s="56">
        <v>0.59509999999999996</v>
      </c>
      <c r="F34" s="79">
        <v>4.8999999999999998E-3</v>
      </c>
    </row>
    <row r="35" spans="2:6" ht="15" customHeight="1" x14ac:dyDescent="0.2">
      <c r="B35" s="43" t="s">
        <v>802</v>
      </c>
      <c r="C35" s="52">
        <v>4</v>
      </c>
      <c r="D35" s="53">
        <v>0.5</v>
      </c>
      <c r="E35" s="53">
        <v>0.50390000000000001</v>
      </c>
      <c r="F35" s="77">
        <v>-3.8999999999999998E-3</v>
      </c>
    </row>
    <row r="36" spans="2:6" ht="15" customHeight="1" x14ac:dyDescent="0.2">
      <c r="B36" s="46" t="s">
        <v>803</v>
      </c>
      <c r="C36" s="55">
        <v>6</v>
      </c>
      <c r="D36" s="56">
        <v>0.58330000000000004</v>
      </c>
      <c r="E36" s="56">
        <v>0.59130000000000005</v>
      </c>
      <c r="F36" s="79">
        <v>-7.9000000000000008E-3</v>
      </c>
    </row>
    <row r="37" spans="2:6" ht="15" customHeight="1" x14ac:dyDescent="0.2">
      <c r="B37" s="43" t="s">
        <v>804</v>
      </c>
      <c r="C37" s="52">
        <v>4</v>
      </c>
      <c r="D37" s="53">
        <v>0.375</v>
      </c>
      <c r="E37" s="53">
        <v>0.38529999999999998</v>
      </c>
      <c r="F37" s="77">
        <v>-1.03E-2</v>
      </c>
    </row>
    <row r="38" spans="2:6" ht="15" customHeight="1" x14ac:dyDescent="0.2">
      <c r="B38" s="46" t="s">
        <v>805</v>
      </c>
      <c r="C38" s="55">
        <v>6</v>
      </c>
      <c r="D38" s="56">
        <v>0.5</v>
      </c>
      <c r="E38" s="56">
        <v>0.51259999999999994</v>
      </c>
      <c r="F38" s="79">
        <v>-1.26E-2</v>
      </c>
    </row>
    <row r="39" spans="2:6" ht="15" customHeight="1" x14ac:dyDescent="0.2">
      <c r="B39" s="43" t="s">
        <v>806</v>
      </c>
      <c r="C39" s="52">
        <v>6</v>
      </c>
      <c r="D39" s="53">
        <v>0.41670000000000001</v>
      </c>
      <c r="E39" s="53">
        <v>0.43569999999999998</v>
      </c>
      <c r="F39" s="77">
        <v>-1.9E-2</v>
      </c>
    </row>
    <row r="40" spans="2:6" ht="15" customHeight="1" x14ac:dyDescent="0.2">
      <c r="B40" s="46" t="s">
        <v>807</v>
      </c>
      <c r="C40" s="55">
        <v>4</v>
      </c>
      <c r="D40" s="56">
        <v>0.5</v>
      </c>
      <c r="E40" s="56">
        <v>0.5232</v>
      </c>
      <c r="F40" s="79">
        <v>-2.3199999999999998E-2</v>
      </c>
    </row>
    <row r="41" spans="2:6" ht="15" customHeight="1" x14ac:dyDescent="0.2">
      <c r="B41" s="43" t="s">
        <v>808</v>
      </c>
      <c r="C41" s="52">
        <v>4</v>
      </c>
      <c r="D41" s="53">
        <v>0.375</v>
      </c>
      <c r="E41" s="53">
        <v>0.41160000000000002</v>
      </c>
      <c r="F41" s="77">
        <v>-3.6600000000000001E-2</v>
      </c>
    </row>
    <row r="42" spans="2:6" ht="15" customHeight="1" x14ac:dyDescent="0.2">
      <c r="B42" s="46" t="s">
        <v>809</v>
      </c>
      <c r="C42" s="55">
        <v>4</v>
      </c>
      <c r="D42" s="56">
        <v>0.5</v>
      </c>
      <c r="E42" s="56">
        <v>0.53990000000000005</v>
      </c>
      <c r="F42" s="79">
        <v>-3.9899999999999998E-2</v>
      </c>
    </row>
    <row r="43" spans="2:6" ht="15" customHeight="1" x14ac:dyDescent="0.2">
      <c r="B43" s="43" t="s">
        <v>810</v>
      </c>
      <c r="C43" s="52">
        <v>4</v>
      </c>
      <c r="D43" s="53">
        <v>0.5</v>
      </c>
      <c r="E43" s="53">
        <v>0.5524</v>
      </c>
      <c r="F43" s="77">
        <v>-5.2400000000000002E-2</v>
      </c>
    </row>
    <row r="44" spans="2:6" ht="15" customHeight="1" x14ac:dyDescent="0.2">
      <c r="B44" s="46" t="s">
        <v>811</v>
      </c>
      <c r="C44" s="55">
        <v>4</v>
      </c>
      <c r="D44" s="56">
        <v>0.375</v>
      </c>
      <c r="E44" s="56">
        <v>0.42809999999999998</v>
      </c>
      <c r="F44" s="79">
        <v>-5.3100000000000001E-2</v>
      </c>
    </row>
    <row r="45" spans="2:6" ht="15" customHeight="1" x14ac:dyDescent="0.2">
      <c r="B45" s="43" t="s">
        <v>812</v>
      </c>
      <c r="C45" s="52">
        <v>12</v>
      </c>
      <c r="D45" s="53">
        <v>0.45829999999999999</v>
      </c>
      <c r="E45" s="53">
        <v>0.52090000000000003</v>
      </c>
      <c r="F45" s="77">
        <v>-6.25E-2</v>
      </c>
    </row>
    <row r="46" spans="2:6" ht="15" customHeight="1" x14ac:dyDescent="0.2">
      <c r="B46" s="46" t="s">
        <v>813</v>
      </c>
      <c r="C46" s="55">
        <v>6</v>
      </c>
      <c r="D46" s="56">
        <v>0.41670000000000001</v>
      </c>
      <c r="E46" s="56">
        <v>0.49149999999999999</v>
      </c>
      <c r="F46" s="79">
        <v>-7.4800000000000005E-2</v>
      </c>
    </row>
    <row r="47" spans="2:6" ht="15" customHeight="1" x14ac:dyDescent="0.2">
      <c r="B47" s="43" t="s">
        <v>814</v>
      </c>
      <c r="C47" s="52">
        <v>6</v>
      </c>
      <c r="D47" s="53">
        <v>0.33329999999999999</v>
      </c>
      <c r="E47" s="53">
        <v>0.44390000000000002</v>
      </c>
      <c r="F47" s="77">
        <v>-0.1106</v>
      </c>
    </row>
    <row r="48" spans="2:6" ht="15" customHeight="1" x14ac:dyDescent="0.2">
      <c r="B48" s="46" t="s">
        <v>815</v>
      </c>
      <c r="C48" s="55">
        <v>4</v>
      </c>
      <c r="D48" s="56">
        <v>0.5</v>
      </c>
      <c r="E48" s="56">
        <v>0.61470000000000002</v>
      </c>
      <c r="F48" s="79">
        <v>-0.1147</v>
      </c>
    </row>
    <row r="49" spans="2:6" ht="15" customHeight="1" x14ac:dyDescent="0.2">
      <c r="B49" s="43" t="s">
        <v>816</v>
      </c>
      <c r="C49" s="52">
        <v>6</v>
      </c>
      <c r="D49" s="53">
        <v>0.33329999999999999</v>
      </c>
      <c r="E49" s="53">
        <v>0.45</v>
      </c>
      <c r="F49" s="77">
        <v>-0.1167</v>
      </c>
    </row>
    <row r="50" spans="2:6" ht="15" customHeight="1" x14ac:dyDescent="0.2">
      <c r="B50" s="46" t="s">
        <v>817</v>
      </c>
      <c r="C50" s="55">
        <v>4</v>
      </c>
      <c r="D50" s="56">
        <v>0.375</v>
      </c>
      <c r="E50" s="56">
        <v>0.58109999999999995</v>
      </c>
      <c r="F50" s="79">
        <v>-0.20610000000000001</v>
      </c>
    </row>
    <row r="51" spans="2:6" ht="15" customHeight="1" x14ac:dyDescent="0.2">
      <c r="B51" s="43" t="s">
        <v>818</v>
      </c>
      <c r="C51" s="52">
        <v>4</v>
      </c>
      <c r="D51" s="53">
        <v>0.25</v>
      </c>
      <c r="E51" s="53">
        <v>0.46810000000000002</v>
      </c>
      <c r="F51" s="77">
        <v>-0.21809999999999999</v>
      </c>
    </row>
    <row r="52" spans="2:6" ht="15" customHeight="1" x14ac:dyDescent="0.2">
      <c r="B52" s="46" t="s">
        <v>819</v>
      </c>
      <c r="C52" s="55">
        <v>4</v>
      </c>
      <c r="D52" s="56">
        <v>0.25</v>
      </c>
      <c r="E52" s="56">
        <v>0.47470000000000001</v>
      </c>
      <c r="F52" s="79">
        <v>-0.22470000000000001</v>
      </c>
    </row>
    <row r="53" spans="2:6" ht="15" customHeight="1" x14ac:dyDescent="0.2">
      <c r="B53" s="43" t="s">
        <v>820</v>
      </c>
      <c r="C53" s="52">
        <v>4</v>
      </c>
      <c r="D53" s="53">
        <v>0.25</v>
      </c>
      <c r="E53" s="53">
        <v>0.48620000000000002</v>
      </c>
      <c r="F53" s="77">
        <v>-0.23619999999999999</v>
      </c>
    </row>
    <row r="54" spans="2:6" ht="15" customHeight="1" x14ac:dyDescent="0.2">
      <c r="B54" s="46" t="s">
        <v>821</v>
      </c>
      <c r="C54" s="55">
        <v>5</v>
      </c>
      <c r="D54" s="56">
        <v>0.2</v>
      </c>
      <c r="E54" s="56">
        <v>0.44840000000000002</v>
      </c>
      <c r="F54" s="79">
        <v>-0.24840000000000001</v>
      </c>
    </row>
    <row r="55" spans="2:6" ht="15" customHeight="1" x14ac:dyDescent="0.2">
      <c r="B55" s="43" t="s">
        <v>822</v>
      </c>
      <c r="C55" s="52">
        <v>6</v>
      </c>
      <c r="D55" s="53">
        <v>0.16669999999999999</v>
      </c>
      <c r="E55" s="53">
        <v>0.43930000000000002</v>
      </c>
      <c r="F55" s="77">
        <v>-0.27260000000000001</v>
      </c>
    </row>
    <row r="56" spans="2:6" ht="15" customHeight="1" x14ac:dyDescent="0.2">
      <c r="B56" s="46" t="s">
        <v>823</v>
      </c>
      <c r="C56" s="55">
        <v>4</v>
      </c>
      <c r="D56" s="56">
        <v>0</v>
      </c>
      <c r="E56" s="56">
        <v>0.39410000000000001</v>
      </c>
      <c r="F56" s="79">
        <v>-0.39410000000000001</v>
      </c>
    </row>
    <row r="57" spans="2:6" ht="15" customHeight="1" x14ac:dyDescent="0.2">
      <c r="B57" s="43" t="s">
        <v>824</v>
      </c>
      <c r="C57" s="52">
        <v>4</v>
      </c>
      <c r="D57" s="53">
        <v>0</v>
      </c>
      <c r="E57" s="53">
        <v>0.44700000000000001</v>
      </c>
      <c r="F57" s="77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75" t="s">
        <v>825</v>
      </c>
    </row>
    <row r="2" spans="2:6" ht="25.5" customHeight="1" x14ac:dyDescent="0.2">
      <c r="B2" s="1" t="s">
        <v>826</v>
      </c>
      <c r="C2" s="1"/>
      <c r="D2" s="1"/>
      <c r="E2" s="1"/>
      <c r="F2" s="1"/>
    </row>
    <row r="4" spans="2:6" ht="15" customHeight="1" x14ac:dyDescent="0.2">
      <c r="B4" s="42" t="s">
        <v>684</v>
      </c>
      <c r="C4" s="42" t="s">
        <v>728</v>
      </c>
      <c r="D4" s="42" t="s">
        <v>727</v>
      </c>
      <c r="E4" s="42" t="s">
        <v>827</v>
      </c>
      <c r="F4" s="42" t="s">
        <v>828</v>
      </c>
    </row>
    <row r="5" spans="2:6" ht="15" customHeight="1" x14ac:dyDescent="0.2">
      <c r="B5" s="43" t="s">
        <v>550</v>
      </c>
      <c r="C5" s="52">
        <v>13</v>
      </c>
      <c r="D5" s="53">
        <v>0.53849999999999998</v>
      </c>
      <c r="E5" s="53">
        <v>0.6</v>
      </c>
      <c r="F5" s="77">
        <v>6.1499999999999999E-2</v>
      </c>
    </row>
    <row r="6" spans="2:6" ht="15" customHeight="1" x14ac:dyDescent="0.2">
      <c r="B6" s="46" t="s">
        <v>130</v>
      </c>
      <c r="C6" s="55">
        <v>43</v>
      </c>
      <c r="D6" s="56">
        <v>0.52329999999999999</v>
      </c>
      <c r="E6" s="56">
        <v>0.56840000000000002</v>
      </c>
      <c r="F6" s="79">
        <v>4.5199999999999997E-2</v>
      </c>
    </row>
    <row r="7" spans="2:6" ht="15" customHeight="1" x14ac:dyDescent="0.2">
      <c r="B7" s="43" t="s">
        <v>464</v>
      </c>
      <c r="C7" s="52">
        <v>25</v>
      </c>
      <c r="D7" s="53">
        <v>0.62</v>
      </c>
      <c r="E7" s="53">
        <v>0.66069999999999995</v>
      </c>
      <c r="F7" s="77">
        <v>4.07E-2</v>
      </c>
    </row>
    <row r="8" spans="2:6" ht="15" customHeight="1" x14ac:dyDescent="0.2">
      <c r="B8" s="46" t="s">
        <v>234</v>
      </c>
      <c r="C8" s="55">
        <v>48</v>
      </c>
      <c r="D8" s="56">
        <v>0.5</v>
      </c>
      <c r="E8" s="56">
        <v>0.52829999999999999</v>
      </c>
      <c r="F8" s="79">
        <v>2.8299999999999999E-2</v>
      </c>
    </row>
    <row r="9" spans="2:6" ht="15" customHeight="1" x14ac:dyDescent="0.2">
      <c r="B9" s="43" t="s">
        <v>135</v>
      </c>
      <c r="C9" s="52">
        <v>71</v>
      </c>
      <c r="D9" s="53">
        <v>0.61270000000000002</v>
      </c>
      <c r="E9" s="53">
        <v>0.63519999999999999</v>
      </c>
      <c r="F9" s="77">
        <v>2.2499999999999999E-2</v>
      </c>
    </row>
    <row r="10" spans="2:6" ht="15" customHeight="1" x14ac:dyDescent="0.2">
      <c r="B10" s="46" t="s">
        <v>276</v>
      </c>
      <c r="C10" s="55">
        <v>49</v>
      </c>
      <c r="D10" s="56">
        <v>0.51019999999999999</v>
      </c>
      <c r="E10" s="56">
        <v>0.53269999999999995</v>
      </c>
      <c r="F10" s="79">
        <v>2.2499999999999999E-2</v>
      </c>
    </row>
    <row r="11" spans="2:6" ht="15" customHeight="1" x14ac:dyDescent="0.2">
      <c r="B11" s="43" t="s">
        <v>122</v>
      </c>
      <c r="C11" s="52">
        <v>65</v>
      </c>
      <c r="D11" s="53">
        <v>0.48459999999999998</v>
      </c>
      <c r="E11" s="53">
        <v>0.50680000000000003</v>
      </c>
      <c r="F11" s="77">
        <v>2.2200000000000001E-2</v>
      </c>
    </row>
    <row r="12" spans="2:6" ht="15" customHeight="1" x14ac:dyDescent="0.2">
      <c r="B12" s="46" t="s">
        <v>181</v>
      </c>
      <c r="C12" s="55">
        <v>59</v>
      </c>
      <c r="D12" s="56">
        <v>0.44069999999999998</v>
      </c>
      <c r="E12" s="56">
        <v>0.45800000000000002</v>
      </c>
      <c r="F12" s="79">
        <v>1.7299999999999999E-2</v>
      </c>
    </row>
    <row r="13" spans="2:6" ht="15" customHeight="1" x14ac:dyDescent="0.2">
      <c r="B13" s="43" t="s">
        <v>230</v>
      </c>
      <c r="C13" s="52">
        <v>61</v>
      </c>
      <c r="D13" s="53">
        <v>0.4672</v>
      </c>
      <c r="E13" s="53">
        <v>0.48149999999999998</v>
      </c>
      <c r="F13" s="77">
        <v>1.43E-2</v>
      </c>
    </row>
    <row r="14" spans="2:6" ht="15" customHeight="1" x14ac:dyDescent="0.2">
      <c r="B14" s="46" t="s">
        <v>174</v>
      </c>
      <c r="C14" s="55">
        <v>66</v>
      </c>
      <c r="D14" s="56">
        <v>0.39389999999999997</v>
      </c>
      <c r="E14" s="56">
        <v>0.40820000000000001</v>
      </c>
      <c r="F14" s="79">
        <v>1.4200000000000001E-2</v>
      </c>
    </row>
    <row r="15" spans="2:6" ht="15" customHeight="1" x14ac:dyDescent="0.2">
      <c r="B15" s="43" t="s">
        <v>459</v>
      </c>
      <c r="C15" s="52">
        <v>30</v>
      </c>
      <c r="D15" s="53">
        <v>0.61670000000000003</v>
      </c>
      <c r="E15" s="53">
        <v>0.63080000000000003</v>
      </c>
      <c r="F15" s="77">
        <v>1.41E-2</v>
      </c>
    </row>
    <row r="16" spans="2:6" ht="15" customHeight="1" x14ac:dyDescent="0.2">
      <c r="B16" s="46" t="s">
        <v>229</v>
      </c>
      <c r="C16" s="55">
        <v>42</v>
      </c>
      <c r="D16" s="56">
        <v>0.65480000000000005</v>
      </c>
      <c r="E16" s="56">
        <v>0.66669999999999996</v>
      </c>
      <c r="F16" s="79">
        <v>1.1900000000000001E-2</v>
      </c>
    </row>
    <row r="17" spans="2:6" ht="15" customHeight="1" x14ac:dyDescent="0.2">
      <c r="B17" s="43" t="s">
        <v>178</v>
      </c>
      <c r="C17" s="52">
        <v>65</v>
      </c>
      <c r="D17" s="53">
        <v>0.57689999999999997</v>
      </c>
      <c r="E17" s="53">
        <v>0.58740000000000003</v>
      </c>
      <c r="F17" s="77">
        <v>1.0500000000000001E-2</v>
      </c>
    </row>
    <row r="18" spans="2:6" ht="15" customHeight="1" x14ac:dyDescent="0.2">
      <c r="B18" s="46" t="s">
        <v>233</v>
      </c>
      <c r="C18" s="55">
        <v>36</v>
      </c>
      <c r="D18" s="56">
        <v>0.52780000000000005</v>
      </c>
      <c r="E18" s="56">
        <v>0.53159999999999996</v>
      </c>
      <c r="F18" s="79">
        <v>3.8999999999999998E-3</v>
      </c>
    </row>
    <row r="19" spans="2:6" ht="15" customHeight="1" x14ac:dyDescent="0.2">
      <c r="B19" s="43" t="s">
        <v>132</v>
      </c>
      <c r="C19" s="52">
        <v>71</v>
      </c>
      <c r="D19" s="53">
        <v>0.46479999999999999</v>
      </c>
      <c r="E19" s="53">
        <v>0.45910000000000001</v>
      </c>
      <c r="F19" s="77">
        <v>-5.7000000000000002E-3</v>
      </c>
    </row>
    <row r="20" spans="2:6" ht="15" customHeight="1" x14ac:dyDescent="0.2">
      <c r="B20" s="46" t="s">
        <v>127</v>
      </c>
      <c r="C20" s="55">
        <v>71</v>
      </c>
      <c r="D20" s="56">
        <v>0.58450000000000002</v>
      </c>
      <c r="E20" s="56">
        <v>0.5786</v>
      </c>
      <c r="F20" s="79">
        <v>-5.8999999999999999E-3</v>
      </c>
    </row>
    <row r="21" spans="2:6" ht="15" customHeight="1" x14ac:dyDescent="0.2">
      <c r="B21" s="43" t="s">
        <v>326</v>
      </c>
      <c r="C21" s="52">
        <v>37</v>
      </c>
      <c r="D21" s="53">
        <v>0.45950000000000002</v>
      </c>
      <c r="E21" s="53">
        <v>0.45119999999999999</v>
      </c>
      <c r="F21" s="77">
        <v>-8.2000000000000007E-3</v>
      </c>
    </row>
    <row r="22" spans="2:6" ht="15" customHeight="1" x14ac:dyDescent="0.2">
      <c r="B22" s="46" t="s">
        <v>119</v>
      </c>
      <c r="C22" s="55">
        <v>71</v>
      </c>
      <c r="D22" s="56">
        <v>0.54930000000000001</v>
      </c>
      <c r="E22" s="56">
        <v>0.54090000000000005</v>
      </c>
      <c r="F22" s="79">
        <v>-8.3999999999999995E-3</v>
      </c>
    </row>
    <row r="23" spans="2:6" ht="15" customHeight="1" x14ac:dyDescent="0.2">
      <c r="B23" s="43" t="s">
        <v>120</v>
      </c>
      <c r="C23" s="52">
        <v>21</v>
      </c>
      <c r="D23" s="53">
        <v>0.35709999999999997</v>
      </c>
      <c r="E23" s="53">
        <v>0.34689999999999999</v>
      </c>
      <c r="F23" s="77">
        <v>-1.0200000000000001E-2</v>
      </c>
    </row>
    <row r="24" spans="2:6" ht="15" customHeight="1" x14ac:dyDescent="0.2">
      <c r="B24" s="46" t="s">
        <v>180</v>
      </c>
      <c r="C24" s="55">
        <v>59</v>
      </c>
      <c r="D24" s="56">
        <v>0.34749999999999998</v>
      </c>
      <c r="E24" s="56">
        <v>0.33589999999999998</v>
      </c>
      <c r="F24" s="79">
        <v>-1.1599999999999999E-2</v>
      </c>
    </row>
    <row r="25" spans="2:6" ht="15" customHeight="1" x14ac:dyDescent="0.2">
      <c r="B25" s="43" t="s">
        <v>462</v>
      </c>
      <c r="C25" s="52">
        <v>18</v>
      </c>
      <c r="D25" s="53">
        <v>0.38890000000000002</v>
      </c>
      <c r="E25" s="53">
        <v>0.36840000000000001</v>
      </c>
      <c r="F25" s="77">
        <v>-2.0500000000000001E-2</v>
      </c>
    </row>
    <row r="26" spans="2:6" ht="15" customHeight="1" x14ac:dyDescent="0.2">
      <c r="B26" s="46" t="s">
        <v>123</v>
      </c>
      <c r="C26" s="55">
        <v>71</v>
      </c>
      <c r="D26" s="56">
        <v>0.5423</v>
      </c>
      <c r="E26" s="56">
        <v>0.51570000000000005</v>
      </c>
      <c r="F26" s="79">
        <v>-2.6499999999999999E-2</v>
      </c>
    </row>
    <row r="27" spans="2:6" ht="15" customHeight="1" x14ac:dyDescent="0.2">
      <c r="B27" s="43" t="s">
        <v>118</v>
      </c>
      <c r="C27" s="52">
        <v>71</v>
      </c>
      <c r="D27" s="53">
        <v>0.60560000000000003</v>
      </c>
      <c r="E27" s="53">
        <v>0.5786</v>
      </c>
      <c r="F27" s="77">
        <v>-2.7E-2</v>
      </c>
    </row>
    <row r="28" spans="2:6" ht="15" customHeight="1" x14ac:dyDescent="0.2">
      <c r="B28" s="46" t="s">
        <v>136</v>
      </c>
      <c r="C28" s="55">
        <v>65</v>
      </c>
      <c r="D28" s="56">
        <v>0.4</v>
      </c>
      <c r="E28" s="56">
        <v>0.37240000000000001</v>
      </c>
      <c r="F28" s="79">
        <v>-2.76E-2</v>
      </c>
    </row>
    <row r="29" spans="2:6" ht="15" customHeight="1" x14ac:dyDescent="0.2">
      <c r="B29" s="43" t="s">
        <v>133</v>
      </c>
      <c r="C29" s="52">
        <v>65</v>
      </c>
      <c r="D29" s="53">
        <v>0.42309999999999998</v>
      </c>
      <c r="E29" s="53">
        <v>0.39040000000000002</v>
      </c>
      <c r="F29" s="77">
        <v>-3.27E-2</v>
      </c>
    </row>
    <row r="30" spans="2:6" ht="15" customHeight="1" x14ac:dyDescent="0.2">
      <c r="B30" s="46" t="s">
        <v>177</v>
      </c>
      <c r="C30" s="55">
        <v>16</v>
      </c>
      <c r="D30" s="56">
        <v>0.5</v>
      </c>
      <c r="E30" s="56">
        <v>0.45950000000000002</v>
      </c>
      <c r="F30" s="79">
        <v>-4.0500000000000001E-2</v>
      </c>
    </row>
    <row r="31" spans="2:6" ht="15" customHeight="1" x14ac:dyDescent="0.2">
      <c r="B31" s="43" t="s">
        <v>173</v>
      </c>
      <c r="C31" s="52">
        <v>29</v>
      </c>
      <c r="D31" s="53">
        <v>0.44829999999999998</v>
      </c>
      <c r="E31" s="53">
        <v>0.4</v>
      </c>
      <c r="F31" s="77">
        <v>-4.8300000000000003E-2</v>
      </c>
    </row>
    <row r="32" spans="2:6" ht="15" customHeight="1" x14ac:dyDescent="0.2">
      <c r="B32" s="46" t="s">
        <v>465</v>
      </c>
      <c r="C32" s="55">
        <v>13</v>
      </c>
      <c r="D32" s="56">
        <v>0.23080000000000001</v>
      </c>
      <c r="E32" s="56">
        <v>0.1724</v>
      </c>
      <c r="F32" s="79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75" t="s">
        <v>829</v>
      </c>
    </row>
    <row r="2" spans="2:6" ht="25.5" customHeight="1" x14ac:dyDescent="0.2">
      <c r="B2" s="1" t="s">
        <v>830</v>
      </c>
      <c r="C2" s="1"/>
      <c r="D2" s="1"/>
      <c r="E2" s="1"/>
      <c r="F2" s="1"/>
    </row>
    <row r="4" spans="2:6" ht="15" customHeight="1" x14ac:dyDescent="0.2">
      <c r="B4" s="42" t="s">
        <v>684</v>
      </c>
      <c r="C4" s="42" t="s">
        <v>51</v>
      </c>
      <c r="D4" s="42" t="s">
        <v>831</v>
      </c>
      <c r="E4" s="42" t="s">
        <v>770</v>
      </c>
      <c r="F4" s="42" t="s">
        <v>832</v>
      </c>
    </row>
    <row r="5" spans="2:6" ht="15" customHeight="1" x14ac:dyDescent="0.2">
      <c r="B5" s="43" t="s">
        <v>123</v>
      </c>
      <c r="C5" s="52">
        <v>12</v>
      </c>
      <c r="D5" s="52">
        <v>10</v>
      </c>
      <c r="E5" s="54">
        <v>6.5</v>
      </c>
      <c r="F5" s="80">
        <v>3.5</v>
      </c>
    </row>
    <row r="6" spans="2:6" ht="15" customHeight="1" x14ac:dyDescent="0.2">
      <c r="B6" s="46" t="s">
        <v>135</v>
      </c>
      <c r="C6" s="55">
        <v>12</v>
      </c>
      <c r="D6" s="55">
        <v>9</v>
      </c>
      <c r="E6" s="57">
        <v>6.73</v>
      </c>
      <c r="F6" s="81">
        <v>2.27</v>
      </c>
    </row>
    <row r="7" spans="2:6" ht="15" customHeight="1" x14ac:dyDescent="0.2">
      <c r="B7" s="43" t="s">
        <v>122</v>
      </c>
      <c r="C7" s="52">
        <v>11</v>
      </c>
      <c r="D7" s="52">
        <v>8</v>
      </c>
      <c r="E7" s="54">
        <v>6</v>
      </c>
      <c r="F7" s="80">
        <v>2</v>
      </c>
    </row>
    <row r="8" spans="2:6" ht="15" customHeight="1" x14ac:dyDescent="0.2">
      <c r="B8" s="46" t="s">
        <v>119</v>
      </c>
      <c r="C8" s="55">
        <v>12</v>
      </c>
      <c r="D8" s="55">
        <v>8</v>
      </c>
      <c r="E8" s="57">
        <v>6.35</v>
      </c>
      <c r="F8" s="81">
        <v>1.65</v>
      </c>
    </row>
    <row r="9" spans="2:6" ht="15" customHeight="1" x14ac:dyDescent="0.2">
      <c r="B9" s="43" t="s">
        <v>464</v>
      </c>
      <c r="C9" s="52">
        <v>4</v>
      </c>
      <c r="D9" s="52">
        <v>4</v>
      </c>
      <c r="E9" s="54">
        <v>2.4900000000000002</v>
      </c>
      <c r="F9" s="80">
        <v>1.51</v>
      </c>
    </row>
    <row r="10" spans="2:6" ht="15" customHeight="1" x14ac:dyDescent="0.2">
      <c r="B10" s="46" t="s">
        <v>136</v>
      </c>
      <c r="C10" s="55">
        <v>11</v>
      </c>
      <c r="D10" s="55">
        <v>7</v>
      </c>
      <c r="E10" s="57">
        <v>5.74</v>
      </c>
      <c r="F10" s="81">
        <v>1.26</v>
      </c>
    </row>
    <row r="11" spans="2:6" ht="15" customHeight="1" x14ac:dyDescent="0.2">
      <c r="B11" s="43" t="s">
        <v>326</v>
      </c>
      <c r="C11" s="52">
        <v>6</v>
      </c>
      <c r="D11" s="52">
        <v>4</v>
      </c>
      <c r="E11" s="54">
        <v>3.17</v>
      </c>
      <c r="F11" s="80">
        <v>0.83</v>
      </c>
    </row>
    <row r="12" spans="2:6" ht="15" customHeight="1" x14ac:dyDescent="0.2">
      <c r="B12" s="46" t="s">
        <v>234</v>
      </c>
      <c r="C12" s="55">
        <v>8</v>
      </c>
      <c r="D12" s="55">
        <v>5</v>
      </c>
      <c r="E12" s="57">
        <v>4.1900000000000004</v>
      </c>
      <c r="F12" s="81">
        <v>0.81</v>
      </c>
    </row>
    <row r="13" spans="2:6" ht="15" customHeight="1" x14ac:dyDescent="0.2">
      <c r="B13" s="43" t="s">
        <v>230</v>
      </c>
      <c r="C13" s="52">
        <v>10</v>
      </c>
      <c r="D13" s="52">
        <v>6</v>
      </c>
      <c r="E13" s="54">
        <v>5.39</v>
      </c>
      <c r="F13" s="80">
        <v>0.61</v>
      </c>
    </row>
    <row r="14" spans="2:6" ht="15" customHeight="1" x14ac:dyDescent="0.2">
      <c r="B14" s="46" t="s">
        <v>229</v>
      </c>
      <c r="C14" s="55">
        <v>7</v>
      </c>
      <c r="D14" s="55">
        <v>4</v>
      </c>
      <c r="E14" s="57">
        <v>3.74</v>
      </c>
      <c r="F14" s="81">
        <v>0.26</v>
      </c>
    </row>
    <row r="15" spans="2:6" ht="15" customHeight="1" x14ac:dyDescent="0.2">
      <c r="B15" s="43" t="s">
        <v>173</v>
      </c>
      <c r="C15" s="52">
        <v>6</v>
      </c>
      <c r="D15" s="52">
        <v>3</v>
      </c>
      <c r="E15" s="54">
        <v>2.93</v>
      </c>
      <c r="F15" s="80">
        <v>7.0000000000000007E-2</v>
      </c>
    </row>
    <row r="16" spans="2:6" ht="15" customHeight="1" x14ac:dyDescent="0.2">
      <c r="B16" s="46" t="s">
        <v>120</v>
      </c>
      <c r="C16" s="55">
        <v>4</v>
      </c>
      <c r="D16" s="55">
        <v>2</v>
      </c>
      <c r="E16" s="57">
        <v>2.0099999999999998</v>
      </c>
      <c r="F16" s="81">
        <v>-0.01</v>
      </c>
    </row>
    <row r="17" spans="2:6" ht="15" customHeight="1" x14ac:dyDescent="0.2">
      <c r="B17" s="43" t="s">
        <v>130</v>
      </c>
      <c r="C17" s="52">
        <v>7</v>
      </c>
      <c r="D17" s="52">
        <v>3</v>
      </c>
      <c r="E17" s="54">
        <v>3.46</v>
      </c>
      <c r="F17" s="80">
        <v>-0.46</v>
      </c>
    </row>
    <row r="18" spans="2:6" ht="15" customHeight="1" x14ac:dyDescent="0.2">
      <c r="B18" s="46" t="s">
        <v>181</v>
      </c>
      <c r="C18" s="55">
        <v>10</v>
      </c>
      <c r="D18" s="55">
        <v>4</v>
      </c>
      <c r="E18" s="57">
        <v>4.55</v>
      </c>
      <c r="F18" s="81">
        <v>-0.55000000000000004</v>
      </c>
    </row>
    <row r="19" spans="2:6" ht="15" customHeight="1" x14ac:dyDescent="0.2">
      <c r="B19" s="43" t="s">
        <v>459</v>
      </c>
      <c r="C19" s="52">
        <v>5</v>
      </c>
      <c r="D19" s="52">
        <v>2</v>
      </c>
      <c r="E19" s="54">
        <v>2.62</v>
      </c>
      <c r="F19" s="80">
        <v>-0.62</v>
      </c>
    </row>
    <row r="20" spans="2:6" ht="15" customHeight="1" x14ac:dyDescent="0.2">
      <c r="B20" s="46" t="s">
        <v>132</v>
      </c>
      <c r="C20" s="55">
        <v>12</v>
      </c>
      <c r="D20" s="55">
        <v>5</v>
      </c>
      <c r="E20" s="57">
        <v>5.66</v>
      </c>
      <c r="F20" s="81">
        <v>-0.66</v>
      </c>
    </row>
    <row r="21" spans="2:6" ht="15" customHeight="1" x14ac:dyDescent="0.2">
      <c r="B21" s="43" t="s">
        <v>180</v>
      </c>
      <c r="C21" s="52">
        <v>10</v>
      </c>
      <c r="D21" s="52">
        <v>4</v>
      </c>
      <c r="E21" s="54">
        <v>4.9800000000000004</v>
      </c>
      <c r="F21" s="80">
        <v>-0.98</v>
      </c>
    </row>
    <row r="22" spans="2:6" ht="15" customHeight="1" x14ac:dyDescent="0.2">
      <c r="B22" s="46" t="s">
        <v>174</v>
      </c>
      <c r="C22" s="55">
        <v>11</v>
      </c>
      <c r="D22" s="55">
        <v>4</v>
      </c>
      <c r="E22" s="57">
        <v>5.17</v>
      </c>
      <c r="F22" s="81">
        <v>-1.17</v>
      </c>
    </row>
    <row r="23" spans="2:6" ht="15" customHeight="1" x14ac:dyDescent="0.2">
      <c r="B23" s="43" t="s">
        <v>178</v>
      </c>
      <c r="C23" s="52">
        <v>11</v>
      </c>
      <c r="D23" s="52">
        <v>4</v>
      </c>
      <c r="E23" s="54">
        <v>5.3</v>
      </c>
      <c r="F23" s="80">
        <v>-1.3</v>
      </c>
    </row>
    <row r="24" spans="2:6" ht="15" customHeight="1" x14ac:dyDescent="0.2">
      <c r="B24" s="46" t="s">
        <v>233</v>
      </c>
      <c r="C24" s="55">
        <v>7</v>
      </c>
      <c r="D24" s="55">
        <v>2</v>
      </c>
      <c r="E24" s="57">
        <v>3.31</v>
      </c>
      <c r="F24" s="81">
        <v>-1.31</v>
      </c>
    </row>
    <row r="25" spans="2:6" ht="15" customHeight="1" x14ac:dyDescent="0.2">
      <c r="B25" s="43" t="s">
        <v>127</v>
      </c>
      <c r="C25" s="52">
        <v>12</v>
      </c>
      <c r="D25" s="52">
        <v>4</v>
      </c>
      <c r="E25" s="54">
        <v>5.69</v>
      </c>
      <c r="F25" s="80">
        <v>-1.69</v>
      </c>
    </row>
    <row r="26" spans="2:6" ht="15" customHeight="1" x14ac:dyDescent="0.2">
      <c r="B26" s="46" t="s">
        <v>276</v>
      </c>
      <c r="C26" s="55">
        <v>8</v>
      </c>
      <c r="D26" s="55">
        <v>2</v>
      </c>
      <c r="E26" s="57">
        <v>3.71</v>
      </c>
      <c r="F26" s="81">
        <v>-1.71</v>
      </c>
    </row>
    <row r="27" spans="2:6" ht="15" customHeight="1" x14ac:dyDescent="0.2">
      <c r="B27" s="43" t="s">
        <v>133</v>
      </c>
      <c r="C27" s="52">
        <v>11</v>
      </c>
      <c r="D27" s="52">
        <v>3</v>
      </c>
      <c r="E27" s="54">
        <v>4.95</v>
      </c>
      <c r="F27" s="80">
        <v>-1.95</v>
      </c>
    </row>
    <row r="28" spans="2:6" ht="15" customHeight="1" x14ac:dyDescent="0.2">
      <c r="B28" s="46" t="s">
        <v>118</v>
      </c>
      <c r="C28" s="55">
        <v>12</v>
      </c>
      <c r="D28" s="55">
        <v>3</v>
      </c>
      <c r="E28" s="57">
        <v>5.28</v>
      </c>
      <c r="F28" s="81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75" t="s">
        <v>833</v>
      </c>
    </row>
    <row r="2" spans="2:7" ht="25.5" customHeight="1" x14ac:dyDescent="0.2">
      <c r="B2" s="1" t="s">
        <v>834</v>
      </c>
      <c r="C2" s="1"/>
      <c r="D2" s="1"/>
      <c r="E2" s="1"/>
      <c r="F2" s="1"/>
      <c r="G2" s="1"/>
    </row>
    <row r="4" spans="2:7" ht="15" customHeight="1" x14ac:dyDescent="0.2">
      <c r="B4" s="42" t="s">
        <v>684</v>
      </c>
      <c r="C4" s="42" t="s">
        <v>51</v>
      </c>
      <c r="D4" s="42" t="s">
        <v>835</v>
      </c>
      <c r="E4" s="42" t="s">
        <v>836</v>
      </c>
      <c r="F4" s="42" t="s">
        <v>837</v>
      </c>
      <c r="G4" s="42" t="s">
        <v>838</v>
      </c>
    </row>
    <row r="5" spans="2:7" ht="15" customHeight="1" x14ac:dyDescent="0.2">
      <c r="B5" s="43" t="s">
        <v>135</v>
      </c>
      <c r="C5" s="52">
        <v>12</v>
      </c>
      <c r="D5" s="54">
        <v>4.21</v>
      </c>
      <c r="E5" s="54">
        <v>5.83</v>
      </c>
      <c r="F5" s="80">
        <v>1.62</v>
      </c>
      <c r="G5" s="82" t="s">
        <v>839</v>
      </c>
    </row>
    <row r="6" spans="2:7" ht="15" customHeight="1" x14ac:dyDescent="0.2">
      <c r="B6" s="46" t="s">
        <v>130</v>
      </c>
      <c r="C6" s="55">
        <v>7</v>
      </c>
      <c r="D6" s="57">
        <v>3.86</v>
      </c>
      <c r="E6" s="57">
        <v>5.17</v>
      </c>
      <c r="F6" s="81">
        <v>1.31</v>
      </c>
      <c r="G6" s="83" t="s">
        <v>839</v>
      </c>
    </row>
    <row r="7" spans="2:7" ht="15" customHeight="1" x14ac:dyDescent="0.2">
      <c r="B7" s="43" t="s">
        <v>229</v>
      </c>
      <c r="C7" s="52">
        <v>7</v>
      </c>
      <c r="D7" s="54">
        <v>4.43</v>
      </c>
      <c r="E7" s="54">
        <v>5</v>
      </c>
      <c r="F7" s="80">
        <v>0.56999999999999995</v>
      </c>
      <c r="G7" s="82" t="s">
        <v>839</v>
      </c>
    </row>
    <row r="8" spans="2:7" ht="15" customHeight="1" x14ac:dyDescent="0.2">
      <c r="B8" s="46" t="s">
        <v>459</v>
      </c>
      <c r="C8" s="55">
        <v>5</v>
      </c>
      <c r="D8" s="57">
        <v>4.0999999999999996</v>
      </c>
      <c r="E8" s="57">
        <v>4.83</v>
      </c>
      <c r="F8" s="81">
        <v>0.73</v>
      </c>
      <c r="G8" s="83" t="s">
        <v>839</v>
      </c>
    </row>
    <row r="9" spans="2:7" ht="15" customHeight="1" x14ac:dyDescent="0.2">
      <c r="B9" s="43" t="s">
        <v>122</v>
      </c>
      <c r="C9" s="52">
        <v>11</v>
      </c>
      <c r="D9" s="54">
        <v>3.36</v>
      </c>
      <c r="E9" s="54">
        <v>4.33</v>
      </c>
      <c r="F9" s="80">
        <v>0.97</v>
      </c>
      <c r="G9" s="82" t="s">
        <v>839</v>
      </c>
    </row>
    <row r="10" spans="2:7" ht="15" customHeight="1" x14ac:dyDescent="0.2">
      <c r="B10" s="46" t="s">
        <v>464</v>
      </c>
      <c r="C10" s="55">
        <v>4</v>
      </c>
      <c r="D10" s="57">
        <v>4.62</v>
      </c>
      <c r="E10" s="57">
        <v>4.33</v>
      </c>
      <c r="F10" s="81">
        <v>-0.28999999999999998</v>
      </c>
      <c r="G10" s="84" t="s">
        <v>840</v>
      </c>
    </row>
    <row r="11" spans="2:7" ht="15" customHeight="1" x14ac:dyDescent="0.2">
      <c r="B11" s="43" t="s">
        <v>127</v>
      </c>
      <c r="C11" s="52">
        <v>12</v>
      </c>
      <c r="D11" s="54">
        <v>3.83</v>
      </c>
      <c r="E11" s="54">
        <v>4.17</v>
      </c>
      <c r="F11" s="80">
        <v>0.33</v>
      </c>
      <c r="G11" s="85" t="s">
        <v>840</v>
      </c>
    </row>
    <row r="12" spans="2:7" ht="15" customHeight="1" x14ac:dyDescent="0.2">
      <c r="B12" s="46" t="s">
        <v>132</v>
      </c>
      <c r="C12" s="55">
        <v>12</v>
      </c>
      <c r="D12" s="57">
        <v>3.04</v>
      </c>
      <c r="E12" s="57">
        <v>4</v>
      </c>
      <c r="F12" s="81">
        <v>0.96</v>
      </c>
      <c r="G12" s="83" t="s">
        <v>839</v>
      </c>
    </row>
    <row r="13" spans="2:7" ht="15" customHeight="1" x14ac:dyDescent="0.2">
      <c r="B13" s="43" t="s">
        <v>276</v>
      </c>
      <c r="C13" s="52">
        <v>8</v>
      </c>
      <c r="D13" s="54">
        <v>3.56</v>
      </c>
      <c r="E13" s="54">
        <v>4</v>
      </c>
      <c r="F13" s="80">
        <v>0.44</v>
      </c>
      <c r="G13" s="85" t="s">
        <v>840</v>
      </c>
    </row>
    <row r="14" spans="2:7" ht="15" customHeight="1" x14ac:dyDescent="0.2">
      <c r="B14" s="46" t="s">
        <v>118</v>
      </c>
      <c r="C14" s="55">
        <v>12</v>
      </c>
      <c r="D14" s="57">
        <v>3.83</v>
      </c>
      <c r="E14" s="57">
        <v>3.83</v>
      </c>
      <c r="F14" s="81">
        <v>0</v>
      </c>
      <c r="G14" s="84" t="s">
        <v>840</v>
      </c>
    </row>
    <row r="15" spans="2:7" ht="15" customHeight="1" x14ac:dyDescent="0.2">
      <c r="B15" s="43" t="s">
        <v>233</v>
      </c>
      <c r="C15" s="52">
        <v>6</v>
      </c>
      <c r="D15" s="54">
        <v>3.5</v>
      </c>
      <c r="E15" s="54">
        <v>3.67</v>
      </c>
      <c r="F15" s="80">
        <v>0.17</v>
      </c>
      <c r="G15" s="85" t="s">
        <v>840</v>
      </c>
    </row>
    <row r="16" spans="2:7" ht="15" customHeight="1" x14ac:dyDescent="0.2">
      <c r="B16" s="46" t="s">
        <v>181</v>
      </c>
      <c r="C16" s="55">
        <v>10</v>
      </c>
      <c r="D16" s="57">
        <v>3</v>
      </c>
      <c r="E16" s="57">
        <v>3.5</v>
      </c>
      <c r="F16" s="81">
        <v>0.5</v>
      </c>
      <c r="G16" s="83" t="s">
        <v>839</v>
      </c>
    </row>
    <row r="17" spans="2:7" ht="15" customHeight="1" x14ac:dyDescent="0.2">
      <c r="B17" s="43" t="s">
        <v>133</v>
      </c>
      <c r="C17" s="52">
        <v>11</v>
      </c>
      <c r="D17" s="54">
        <v>2.59</v>
      </c>
      <c r="E17" s="54">
        <v>3.5</v>
      </c>
      <c r="F17" s="80">
        <v>0.91</v>
      </c>
      <c r="G17" s="82" t="s">
        <v>839</v>
      </c>
    </row>
    <row r="18" spans="2:7" ht="15" customHeight="1" x14ac:dyDescent="0.2">
      <c r="B18" s="46" t="s">
        <v>174</v>
      </c>
      <c r="C18" s="55">
        <v>11</v>
      </c>
      <c r="D18" s="57">
        <v>2.73</v>
      </c>
      <c r="E18" s="57">
        <v>3.33</v>
      </c>
      <c r="F18" s="81">
        <v>0.61</v>
      </c>
      <c r="G18" s="83" t="s">
        <v>839</v>
      </c>
    </row>
    <row r="19" spans="2:7" ht="15" customHeight="1" x14ac:dyDescent="0.2">
      <c r="B19" s="43" t="s">
        <v>234</v>
      </c>
      <c r="C19" s="52">
        <v>8</v>
      </c>
      <c r="D19" s="54">
        <v>3.5</v>
      </c>
      <c r="E19" s="54">
        <v>3.33</v>
      </c>
      <c r="F19" s="80">
        <v>-0.17</v>
      </c>
      <c r="G19" s="85" t="s">
        <v>840</v>
      </c>
    </row>
    <row r="20" spans="2:7" ht="15" customHeight="1" x14ac:dyDescent="0.2">
      <c r="B20" s="46" t="s">
        <v>119</v>
      </c>
      <c r="C20" s="55">
        <v>12</v>
      </c>
      <c r="D20" s="57">
        <v>3.58</v>
      </c>
      <c r="E20" s="57">
        <v>3.17</v>
      </c>
      <c r="F20" s="81">
        <v>-0.42</v>
      </c>
      <c r="G20" s="84" t="s">
        <v>840</v>
      </c>
    </row>
    <row r="21" spans="2:7" ht="15" customHeight="1" x14ac:dyDescent="0.2">
      <c r="B21" s="43" t="s">
        <v>173</v>
      </c>
      <c r="C21" s="52">
        <v>5</v>
      </c>
      <c r="D21" s="54">
        <v>2.6</v>
      </c>
      <c r="E21" s="54">
        <v>3</v>
      </c>
      <c r="F21" s="80">
        <v>0.4</v>
      </c>
      <c r="G21" s="85" t="s">
        <v>840</v>
      </c>
    </row>
    <row r="22" spans="2:7" ht="15" customHeight="1" x14ac:dyDescent="0.2">
      <c r="B22" s="46" t="s">
        <v>326</v>
      </c>
      <c r="C22" s="55">
        <v>6</v>
      </c>
      <c r="D22" s="57">
        <v>3.08</v>
      </c>
      <c r="E22" s="57">
        <v>2.83</v>
      </c>
      <c r="F22" s="81">
        <v>-0.25</v>
      </c>
      <c r="G22" s="84" t="s">
        <v>840</v>
      </c>
    </row>
    <row r="23" spans="2:7" ht="15" customHeight="1" x14ac:dyDescent="0.2">
      <c r="B23" s="43" t="s">
        <v>123</v>
      </c>
      <c r="C23" s="52">
        <v>12</v>
      </c>
      <c r="D23" s="54">
        <v>3.42</v>
      </c>
      <c r="E23" s="54">
        <v>2.83</v>
      </c>
      <c r="F23" s="80">
        <v>-0.57999999999999996</v>
      </c>
      <c r="G23" s="86" t="s">
        <v>841</v>
      </c>
    </row>
    <row r="24" spans="2:7" ht="15" customHeight="1" x14ac:dyDescent="0.2">
      <c r="B24" s="46" t="s">
        <v>178</v>
      </c>
      <c r="C24" s="55">
        <v>11</v>
      </c>
      <c r="D24" s="57">
        <v>3.82</v>
      </c>
      <c r="E24" s="57">
        <v>2.5</v>
      </c>
      <c r="F24" s="81">
        <v>-1.32</v>
      </c>
      <c r="G24" s="87" t="s">
        <v>841</v>
      </c>
    </row>
    <row r="25" spans="2:7" ht="15" customHeight="1" x14ac:dyDescent="0.2">
      <c r="B25" s="43" t="s">
        <v>180</v>
      </c>
      <c r="C25" s="52">
        <v>10</v>
      </c>
      <c r="D25" s="54">
        <v>2.2000000000000002</v>
      </c>
      <c r="E25" s="54">
        <v>2.17</v>
      </c>
      <c r="F25" s="80">
        <v>-0.03</v>
      </c>
      <c r="G25" s="85" t="s">
        <v>840</v>
      </c>
    </row>
    <row r="26" spans="2:7" ht="15" customHeight="1" x14ac:dyDescent="0.2">
      <c r="B26" s="46" t="s">
        <v>120</v>
      </c>
      <c r="C26" s="55">
        <v>4</v>
      </c>
      <c r="D26" s="57">
        <v>2.12</v>
      </c>
      <c r="E26" s="57">
        <v>1.67</v>
      </c>
      <c r="F26" s="81">
        <v>-0.46</v>
      </c>
      <c r="G26" s="84" t="s">
        <v>840</v>
      </c>
    </row>
    <row r="27" spans="2:7" ht="15" customHeight="1" x14ac:dyDescent="0.2">
      <c r="B27" s="43" t="s">
        <v>230</v>
      </c>
      <c r="C27" s="52">
        <v>10</v>
      </c>
      <c r="D27" s="54">
        <v>3.25</v>
      </c>
      <c r="E27" s="54">
        <v>1.67</v>
      </c>
      <c r="F27" s="80">
        <v>-1.58</v>
      </c>
      <c r="G27" s="86" t="s">
        <v>841</v>
      </c>
    </row>
    <row r="28" spans="2:7" ht="15" customHeight="1" x14ac:dyDescent="0.2">
      <c r="B28" s="46" t="s">
        <v>136</v>
      </c>
      <c r="C28" s="55">
        <v>11</v>
      </c>
      <c r="D28" s="57">
        <v>2.4500000000000002</v>
      </c>
      <c r="E28" s="57">
        <v>1.33</v>
      </c>
      <c r="F28" s="81">
        <v>-1.1200000000000001</v>
      </c>
      <c r="G28" s="87" t="s">
        <v>841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75" t="s">
        <v>842</v>
      </c>
    </row>
    <row r="2" spans="2:8" ht="25.5" customHeight="1" x14ac:dyDescent="0.2">
      <c r="B2" s="1" t="s">
        <v>843</v>
      </c>
      <c r="C2" s="1"/>
      <c r="D2" s="1"/>
      <c r="E2" s="1"/>
      <c r="F2" s="1"/>
      <c r="G2" s="1"/>
      <c r="H2" s="1"/>
    </row>
    <row r="4" spans="2:8" ht="15" customHeight="1" x14ac:dyDescent="0.2">
      <c r="B4" s="42" t="s">
        <v>844</v>
      </c>
      <c r="C4" s="42" t="s">
        <v>684</v>
      </c>
      <c r="D4" s="42" t="s">
        <v>845</v>
      </c>
      <c r="E4" s="42" t="s">
        <v>99</v>
      </c>
      <c r="F4" s="42" t="s">
        <v>100</v>
      </c>
      <c r="G4" s="42" t="s">
        <v>101</v>
      </c>
      <c r="H4" s="42" t="s">
        <v>37</v>
      </c>
    </row>
    <row r="5" spans="2:8" ht="15" customHeight="1" x14ac:dyDescent="0.2">
      <c r="B5" s="43">
        <v>1</v>
      </c>
      <c r="C5" s="52" t="s">
        <v>229</v>
      </c>
      <c r="D5" s="52" t="s">
        <v>691</v>
      </c>
      <c r="E5" s="52">
        <v>6</v>
      </c>
      <c r="F5" s="52">
        <v>0</v>
      </c>
      <c r="G5" s="52">
        <v>1</v>
      </c>
      <c r="H5" s="76">
        <v>7</v>
      </c>
    </row>
    <row r="6" spans="2:8" ht="15" customHeight="1" x14ac:dyDescent="0.2">
      <c r="B6" s="46">
        <v>2</v>
      </c>
      <c r="C6" s="55" t="s">
        <v>118</v>
      </c>
      <c r="D6" s="55" t="s">
        <v>690</v>
      </c>
      <c r="E6" s="55">
        <v>6</v>
      </c>
      <c r="F6" s="55">
        <v>0</v>
      </c>
      <c r="G6" s="55">
        <v>0</v>
      </c>
      <c r="H6" s="78">
        <v>6.5</v>
      </c>
    </row>
    <row r="7" spans="2:8" ht="15" customHeight="1" x14ac:dyDescent="0.2">
      <c r="B7" s="43">
        <v>3</v>
      </c>
      <c r="C7" s="52" t="s">
        <v>135</v>
      </c>
      <c r="D7" s="52" t="s">
        <v>685</v>
      </c>
      <c r="E7" s="52">
        <v>5</v>
      </c>
      <c r="F7" s="52">
        <v>0</v>
      </c>
      <c r="G7" s="52">
        <v>0</v>
      </c>
      <c r="H7" s="76">
        <v>6</v>
      </c>
    </row>
    <row r="8" spans="2:8" ht="15" customHeight="1" x14ac:dyDescent="0.2">
      <c r="B8" s="46">
        <v>4</v>
      </c>
      <c r="C8" s="55" t="s">
        <v>118</v>
      </c>
      <c r="D8" s="55" t="s">
        <v>686</v>
      </c>
      <c r="E8" s="55">
        <v>5</v>
      </c>
      <c r="F8" s="55">
        <v>0</v>
      </c>
      <c r="G8" s="55">
        <v>0</v>
      </c>
      <c r="H8" s="78">
        <v>6</v>
      </c>
    </row>
    <row r="9" spans="2:8" ht="15" customHeight="1" x14ac:dyDescent="0.2">
      <c r="B9" s="43">
        <v>5</v>
      </c>
      <c r="C9" s="52" t="s">
        <v>135</v>
      </c>
      <c r="D9" s="52" t="s">
        <v>694</v>
      </c>
      <c r="E9" s="52">
        <v>4</v>
      </c>
      <c r="F9" s="52">
        <v>0</v>
      </c>
      <c r="G9" s="52">
        <v>2</v>
      </c>
      <c r="H9" s="76">
        <v>6</v>
      </c>
    </row>
    <row r="10" spans="2:8" ht="15" customHeight="1" x14ac:dyDescent="0.2">
      <c r="B10" s="46">
        <v>6</v>
      </c>
      <c r="C10" s="55" t="s">
        <v>234</v>
      </c>
      <c r="D10" s="55" t="s">
        <v>690</v>
      </c>
      <c r="E10" s="55">
        <v>5</v>
      </c>
      <c r="F10" s="55">
        <v>0</v>
      </c>
      <c r="G10" s="55">
        <v>1</v>
      </c>
      <c r="H10" s="78">
        <v>5.5</v>
      </c>
    </row>
    <row r="11" spans="2:8" ht="15" customHeight="1" x14ac:dyDescent="0.2">
      <c r="B11" s="43">
        <v>7</v>
      </c>
      <c r="C11" s="52" t="s">
        <v>127</v>
      </c>
      <c r="D11" s="52" t="s">
        <v>685</v>
      </c>
      <c r="E11" s="52">
        <v>4</v>
      </c>
      <c r="F11" s="52">
        <v>0</v>
      </c>
      <c r="G11" s="52">
        <v>1</v>
      </c>
      <c r="H11" s="76">
        <v>5.5</v>
      </c>
    </row>
    <row r="12" spans="2:8" ht="15" customHeight="1" x14ac:dyDescent="0.2">
      <c r="B12" s="46">
        <v>8</v>
      </c>
      <c r="C12" s="55" t="s">
        <v>178</v>
      </c>
      <c r="D12" s="55" t="s">
        <v>686</v>
      </c>
      <c r="E12" s="55">
        <v>4</v>
      </c>
      <c r="F12" s="55">
        <v>0</v>
      </c>
      <c r="G12" s="55">
        <v>1</v>
      </c>
      <c r="H12" s="78">
        <v>5.5</v>
      </c>
    </row>
    <row r="13" spans="2:8" ht="15" customHeight="1" x14ac:dyDescent="0.2">
      <c r="B13" s="43">
        <v>9</v>
      </c>
      <c r="C13" s="52" t="s">
        <v>229</v>
      </c>
      <c r="D13" s="52" t="s">
        <v>694</v>
      </c>
      <c r="E13" s="52">
        <v>3</v>
      </c>
      <c r="F13" s="52">
        <v>0</v>
      </c>
      <c r="G13" s="52">
        <v>3</v>
      </c>
      <c r="H13" s="76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75" t="s">
        <v>846</v>
      </c>
    </row>
    <row r="2" spans="2:6" ht="25.5" customHeight="1" x14ac:dyDescent="0.2">
      <c r="B2" s="1" t="s">
        <v>847</v>
      </c>
      <c r="C2" s="1"/>
      <c r="D2" s="1"/>
      <c r="E2" s="1"/>
      <c r="F2" s="1"/>
    </row>
    <row r="4" spans="2:6" ht="15" customHeight="1" x14ac:dyDescent="0.2">
      <c r="B4" s="42" t="s">
        <v>684</v>
      </c>
      <c r="C4" s="42" t="s">
        <v>848</v>
      </c>
      <c r="D4" s="42" t="s">
        <v>849</v>
      </c>
      <c r="E4" s="42" t="s">
        <v>850</v>
      </c>
      <c r="F4" s="42" t="s">
        <v>849</v>
      </c>
    </row>
    <row r="5" spans="2:6" ht="15" customHeight="1" x14ac:dyDescent="0.2">
      <c r="B5" s="43" t="s">
        <v>173</v>
      </c>
      <c r="C5" s="52" t="s">
        <v>132</v>
      </c>
      <c r="D5" s="52" t="s">
        <v>851</v>
      </c>
      <c r="E5" s="52" t="s">
        <v>118</v>
      </c>
      <c r="F5" s="52" t="s">
        <v>852</v>
      </c>
    </row>
    <row r="6" spans="2:6" ht="15" customHeight="1" x14ac:dyDescent="0.2">
      <c r="B6" s="46" t="s">
        <v>181</v>
      </c>
      <c r="C6" s="55" t="s">
        <v>180</v>
      </c>
      <c r="D6" s="55" t="s">
        <v>853</v>
      </c>
      <c r="E6" s="55" t="s">
        <v>178</v>
      </c>
      <c r="F6" s="55" t="s">
        <v>854</v>
      </c>
    </row>
    <row r="7" spans="2:6" ht="15" customHeight="1" x14ac:dyDescent="0.2">
      <c r="B7" s="43" t="s">
        <v>135</v>
      </c>
      <c r="C7" s="52" t="s">
        <v>174</v>
      </c>
      <c r="D7" s="52" t="s">
        <v>855</v>
      </c>
      <c r="E7" s="52" t="s">
        <v>119</v>
      </c>
      <c r="F7" s="52" t="s">
        <v>856</v>
      </c>
    </row>
    <row r="8" spans="2:6" ht="15" customHeight="1" x14ac:dyDescent="0.2">
      <c r="B8" s="46" t="s">
        <v>180</v>
      </c>
      <c r="C8" s="55" t="s">
        <v>173</v>
      </c>
      <c r="D8" s="55" t="s">
        <v>857</v>
      </c>
      <c r="E8" s="55" t="s">
        <v>174</v>
      </c>
      <c r="F8" s="55" t="s">
        <v>858</v>
      </c>
    </row>
    <row r="9" spans="2:6" ht="15" customHeight="1" x14ac:dyDescent="0.2">
      <c r="B9" s="43" t="s">
        <v>326</v>
      </c>
      <c r="C9" s="52" t="s">
        <v>136</v>
      </c>
      <c r="D9" s="52" t="s">
        <v>859</v>
      </c>
      <c r="E9" s="52" t="s">
        <v>118</v>
      </c>
      <c r="F9" s="52" t="s">
        <v>860</v>
      </c>
    </row>
    <row r="10" spans="2:6" ht="15" customHeight="1" x14ac:dyDescent="0.2">
      <c r="B10" s="46" t="s">
        <v>459</v>
      </c>
      <c r="C10" s="55" t="s">
        <v>180</v>
      </c>
      <c r="D10" s="55" t="s">
        <v>861</v>
      </c>
      <c r="E10" s="55" t="s">
        <v>326</v>
      </c>
      <c r="F10" s="55" t="s">
        <v>862</v>
      </c>
    </row>
    <row r="11" spans="2:6" ht="15" customHeight="1" x14ac:dyDescent="0.2">
      <c r="B11" s="43" t="s">
        <v>462</v>
      </c>
      <c r="C11" s="52" t="s">
        <v>32</v>
      </c>
      <c r="D11" s="52"/>
      <c r="E11" s="52" t="s">
        <v>130</v>
      </c>
      <c r="F11" s="52" t="s">
        <v>863</v>
      </c>
    </row>
    <row r="12" spans="2:6" ht="15" customHeight="1" x14ac:dyDescent="0.2">
      <c r="B12" s="46" t="s">
        <v>127</v>
      </c>
      <c r="C12" s="55" t="s">
        <v>136</v>
      </c>
      <c r="D12" s="55" t="s">
        <v>864</v>
      </c>
      <c r="E12" s="55" t="s">
        <v>464</v>
      </c>
      <c r="F12" s="55" t="s">
        <v>865</v>
      </c>
    </row>
    <row r="13" spans="2:6" ht="15" customHeight="1" x14ac:dyDescent="0.2">
      <c r="B13" s="43" t="s">
        <v>132</v>
      </c>
      <c r="C13" s="52" t="s">
        <v>276</v>
      </c>
      <c r="D13" s="52" t="s">
        <v>866</v>
      </c>
      <c r="E13" s="52" t="s">
        <v>229</v>
      </c>
      <c r="F13" s="52" t="s">
        <v>867</v>
      </c>
    </row>
    <row r="14" spans="2:6" ht="15" customHeight="1" x14ac:dyDescent="0.2">
      <c r="B14" s="46" t="s">
        <v>174</v>
      </c>
      <c r="C14" s="55" t="s">
        <v>180</v>
      </c>
      <c r="D14" s="55" t="s">
        <v>868</v>
      </c>
      <c r="E14" s="55" t="s">
        <v>123</v>
      </c>
      <c r="F14" s="55" t="s">
        <v>869</v>
      </c>
    </row>
    <row r="15" spans="2:6" ht="15" customHeight="1" x14ac:dyDescent="0.2">
      <c r="B15" s="43" t="s">
        <v>178</v>
      </c>
      <c r="C15" s="52" t="s">
        <v>234</v>
      </c>
      <c r="D15" s="52" t="s">
        <v>870</v>
      </c>
      <c r="E15" s="52" t="s">
        <v>132</v>
      </c>
      <c r="F15" s="52" t="s">
        <v>871</v>
      </c>
    </row>
    <row r="16" spans="2:6" ht="15" customHeight="1" x14ac:dyDescent="0.2">
      <c r="B16" s="46" t="s">
        <v>229</v>
      </c>
      <c r="C16" s="55" t="s">
        <v>132</v>
      </c>
      <c r="D16" s="55" t="s">
        <v>872</v>
      </c>
      <c r="E16" s="55" t="s">
        <v>122</v>
      </c>
      <c r="F16" s="55" t="s">
        <v>873</v>
      </c>
    </row>
    <row r="17" spans="2:6" ht="15" customHeight="1" x14ac:dyDescent="0.2">
      <c r="B17" s="43" t="s">
        <v>119</v>
      </c>
      <c r="C17" s="52" t="s">
        <v>133</v>
      </c>
      <c r="D17" s="52" t="s">
        <v>874</v>
      </c>
      <c r="E17" s="52" t="s">
        <v>130</v>
      </c>
      <c r="F17" s="52" t="s">
        <v>875</v>
      </c>
    </row>
    <row r="18" spans="2:6" ht="15" customHeight="1" x14ac:dyDescent="0.2">
      <c r="B18" s="46" t="s">
        <v>120</v>
      </c>
      <c r="C18" s="55" t="s">
        <v>122</v>
      </c>
      <c r="D18" s="55" t="s">
        <v>876</v>
      </c>
      <c r="E18" s="55" t="s">
        <v>178</v>
      </c>
      <c r="F18" s="55" t="s">
        <v>873</v>
      </c>
    </row>
    <row r="19" spans="2:6" ht="15" customHeight="1" x14ac:dyDescent="0.2">
      <c r="B19" s="43" t="s">
        <v>122</v>
      </c>
      <c r="C19" s="52" t="s">
        <v>136</v>
      </c>
      <c r="D19" s="52" t="s">
        <v>877</v>
      </c>
      <c r="E19" s="52" t="s">
        <v>118</v>
      </c>
      <c r="F19" s="52" t="s">
        <v>854</v>
      </c>
    </row>
    <row r="20" spans="2:6" ht="15" customHeight="1" x14ac:dyDescent="0.2">
      <c r="B20" s="46" t="s">
        <v>118</v>
      </c>
      <c r="C20" s="55" t="s">
        <v>230</v>
      </c>
      <c r="D20" s="55" t="s">
        <v>878</v>
      </c>
      <c r="E20" s="55" t="s">
        <v>464</v>
      </c>
      <c r="F20" s="55" t="s">
        <v>852</v>
      </c>
    </row>
    <row r="21" spans="2:6" ht="15" customHeight="1" x14ac:dyDescent="0.2">
      <c r="B21" s="43" t="s">
        <v>123</v>
      </c>
      <c r="C21" s="52" t="s">
        <v>174</v>
      </c>
      <c r="D21" s="52" t="s">
        <v>879</v>
      </c>
      <c r="E21" s="52" t="s">
        <v>118</v>
      </c>
      <c r="F21" s="52" t="s">
        <v>880</v>
      </c>
    </row>
    <row r="22" spans="2:6" ht="15" customHeight="1" x14ac:dyDescent="0.2">
      <c r="B22" s="46" t="s">
        <v>133</v>
      </c>
      <c r="C22" s="55" t="s">
        <v>465</v>
      </c>
      <c r="D22" s="55" t="s">
        <v>881</v>
      </c>
      <c r="E22" s="55" t="s">
        <v>136</v>
      </c>
      <c r="F22" s="55" t="s">
        <v>882</v>
      </c>
    </row>
    <row r="23" spans="2:6" ht="15" customHeight="1" x14ac:dyDescent="0.2">
      <c r="B23" s="43" t="s">
        <v>234</v>
      </c>
      <c r="C23" s="52" t="s">
        <v>233</v>
      </c>
      <c r="D23" s="52" t="s">
        <v>853</v>
      </c>
      <c r="E23" s="52" t="s">
        <v>178</v>
      </c>
      <c r="F23" s="52" t="s">
        <v>883</v>
      </c>
    </row>
    <row r="24" spans="2:6" ht="15" customHeight="1" x14ac:dyDescent="0.2">
      <c r="B24" s="46" t="s">
        <v>233</v>
      </c>
      <c r="C24" s="55" t="s">
        <v>123</v>
      </c>
      <c r="D24" s="55" t="s">
        <v>851</v>
      </c>
      <c r="E24" s="55" t="s">
        <v>234</v>
      </c>
      <c r="F24" s="55" t="s">
        <v>884</v>
      </c>
    </row>
    <row r="25" spans="2:6" ht="15" customHeight="1" x14ac:dyDescent="0.2">
      <c r="B25" s="43" t="s">
        <v>464</v>
      </c>
      <c r="C25" s="52" t="s">
        <v>465</v>
      </c>
      <c r="D25" s="52" t="s">
        <v>885</v>
      </c>
      <c r="E25" s="52" t="s">
        <v>550</v>
      </c>
      <c r="F25" s="52" t="s">
        <v>852</v>
      </c>
    </row>
    <row r="26" spans="2:6" ht="15" customHeight="1" x14ac:dyDescent="0.2">
      <c r="B26" s="46" t="s">
        <v>465</v>
      </c>
      <c r="C26" s="55" t="s">
        <v>32</v>
      </c>
      <c r="D26" s="55"/>
      <c r="E26" s="55" t="s">
        <v>464</v>
      </c>
      <c r="F26" s="55" t="s">
        <v>886</v>
      </c>
    </row>
    <row r="27" spans="2:6" ht="15" customHeight="1" x14ac:dyDescent="0.2">
      <c r="B27" s="43" t="s">
        <v>130</v>
      </c>
      <c r="C27" s="52" t="s">
        <v>132</v>
      </c>
      <c r="D27" s="52" t="s">
        <v>877</v>
      </c>
      <c r="E27" s="52" t="s">
        <v>234</v>
      </c>
      <c r="F27" s="52" t="s">
        <v>865</v>
      </c>
    </row>
    <row r="28" spans="2:6" ht="15" customHeight="1" x14ac:dyDescent="0.2">
      <c r="B28" s="46" t="s">
        <v>550</v>
      </c>
      <c r="C28" s="55" t="s">
        <v>464</v>
      </c>
      <c r="D28" s="55" t="s">
        <v>851</v>
      </c>
      <c r="E28" s="55" t="s">
        <v>32</v>
      </c>
      <c r="F28" s="55"/>
    </row>
    <row r="29" spans="2:6" ht="15" customHeight="1" x14ac:dyDescent="0.2">
      <c r="B29" s="43" t="s">
        <v>136</v>
      </c>
      <c r="C29" s="52" t="s">
        <v>133</v>
      </c>
      <c r="D29" s="52" t="s">
        <v>887</v>
      </c>
      <c r="E29" s="52" t="s">
        <v>127</v>
      </c>
      <c r="F29" s="52" t="s">
        <v>888</v>
      </c>
    </row>
    <row r="30" spans="2:6" ht="15" customHeight="1" x14ac:dyDescent="0.2">
      <c r="B30" s="46" t="s">
        <v>177</v>
      </c>
      <c r="C30" s="55" t="s">
        <v>119</v>
      </c>
      <c r="D30" s="55" t="s">
        <v>889</v>
      </c>
      <c r="E30" s="55" t="s">
        <v>118</v>
      </c>
      <c r="F30" s="55" t="s">
        <v>852</v>
      </c>
    </row>
    <row r="31" spans="2:6" ht="15" customHeight="1" x14ac:dyDescent="0.2">
      <c r="B31" s="43" t="s">
        <v>276</v>
      </c>
      <c r="C31" s="52" t="s">
        <v>181</v>
      </c>
      <c r="D31" s="52" t="s">
        <v>890</v>
      </c>
      <c r="E31" s="52" t="s">
        <v>123</v>
      </c>
      <c r="F31" s="52" t="s">
        <v>854</v>
      </c>
    </row>
    <row r="32" spans="2:6" ht="15" customHeight="1" x14ac:dyDescent="0.2">
      <c r="B32" s="46" t="s">
        <v>230</v>
      </c>
      <c r="C32" s="55" t="s">
        <v>180</v>
      </c>
      <c r="D32" s="55" t="s">
        <v>861</v>
      </c>
      <c r="E32" s="55" t="s">
        <v>118</v>
      </c>
      <c r="F32" s="55" t="s">
        <v>891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75" t="s">
        <v>892</v>
      </c>
    </row>
    <row r="2" spans="2:6" ht="25.5" customHeight="1" x14ac:dyDescent="0.2">
      <c r="B2" s="1" t="s">
        <v>893</v>
      </c>
      <c r="C2" s="1"/>
      <c r="D2" s="1"/>
      <c r="E2" s="1"/>
      <c r="F2" s="1"/>
    </row>
    <row r="4" spans="2:6" ht="15" customHeight="1" x14ac:dyDescent="0.2">
      <c r="B4" s="42" t="s">
        <v>684</v>
      </c>
      <c r="C4" s="42" t="s">
        <v>728</v>
      </c>
      <c r="D4" s="42" t="s">
        <v>894</v>
      </c>
      <c r="E4" s="42" t="s">
        <v>895</v>
      </c>
      <c r="F4" s="42" t="s">
        <v>896</v>
      </c>
    </row>
    <row r="5" spans="2:6" ht="15" customHeight="1" x14ac:dyDescent="0.2">
      <c r="B5" s="43" t="s">
        <v>118</v>
      </c>
      <c r="C5" s="52">
        <v>64</v>
      </c>
      <c r="D5" s="52">
        <v>8</v>
      </c>
      <c r="E5" s="52">
        <v>4</v>
      </c>
      <c r="F5" s="86" t="s">
        <v>897</v>
      </c>
    </row>
    <row r="6" spans="2:6" ht="15" customHeight="1" x14ac:dyDescent="0.2">
      <c r="B6" s="46" t="s">
        <v>464</v>
      </c>
      <c r="C6" s="55">
        <v>23</v>
      </c>
      <c r="D6" s="55">
        <v>7</v>
      </c>
      <c r="E6" s="55">
        <v>4</v>
      </c>
      <c r="F6" s="83" t="s">
        <v>898</v>
      </c>
    </row>
    <row r="7" spans="2:6" ht="15" customHeight="1" x14ac:dyDescent="0.2">
      <c r="B7" s="43" t="s">
        <v>459</v>
      </c>
      <c r="C7" s="52">
        <v>27</v>
      </c>
      <c r="D7" s="52">
        <v>5</v>
      </c>
      <c r="E7" s="52">
        <v>2</v>
      </c>
      <c r="F7" s="82" t="s">
        <v>898</v>
      </c>
    </row>
    <row r="8" spans="2:6" ht="15" customHeight="1" x14ac:dyDescent="0.2">
      <c r="B8" s="46" t="s">
        <v>119</v>
      </c>
      <c r="C8" s="55">
        <v>64</v>
      </c>
      <c r="D8" s="55">
        <v>5</v>
      </c>
      <c r="E8" s="55">
        <v>3</v>
      </c>
      <c r="F8" s="87" t="s">
        <v>899</v>
      </c>
    </row>
    <row r="9" spans="2:6" ht="15" customHeight="1" x14ac:dyDescent="0.2">
      <c r="B9" s="43" t="s">
        <v>234</v>
      </c>
      <c r="C9" s="52">
        <v>42</v>
      </c>
      <c r="D9" s="52">
        <v>5</v>
      </c>
      <c r="E9" s="52">
        <v>4</v>
      </c>
      <c r="F9" s="82" t="s">
        <v>900</v>
      </c>
    </row>
    <row r="10" spans="2:6" ht="15" customHeight="1" x14ac:dyDescent="0.2">
      <c r="B10" s="46" t="s">
        <v>135</v>
      </c>
      <c r="C10" s="55">
        <v>64</v>
      </c>
      <c r="D10" s="55">
        <v>5</v>
      </c>
      <c r="E10" s="55">
        <v>6</v>
      </c>
      <c r="F10" s="83" t="s">
        <v>898</v>
      </c>
    </row>
    <row r="11" spans="2:6" ht="15" customHeight="1" x14ac:dyDescent="0.2">
      <c r="B11" s="43" t="s">
        <v>229</v>
      </c>
      <c r="C11" s="52">
        <v>37</v>
      </c>
      <c r="D11" s="52">
        <v>4</v>
      </c>
      <c r="E11" s="52">
        <v>3</v>
      </c>
      <c r="F11" s="86" t="s">
        <v>901</v>
      </c>
    </row>
    <row r="12" spans="2:6" ht="15" customHeight="1" x14ac:dyDescent="0.2">
      <c r="B12" s="46" t="s">
        <v>233</v>
      </c>
      <c r="C12" s="55">
        <v>31</v>
      </c>
      <c r="D12" s="55">
        <v>4</v>
      </c>
      <c r="E12" s="55">
        <v>3</v>
      </c>
      <c r="F12" s="83" t="s">
        <v>900</v>
      </c>
    </row>
    <row r="13" spans="2:6" ht="15" customHeight="1" x14ac:dyDescent="0.2">
      <c r="B13" s="43" t="s">
        <v>550</v>
      </c>
      <c r="C13" s="52">
        <v>13</v>
      </c>
      <c r="D13" s="52">
        <v>4</v>
      </c>
      <c r="E13" s="52">
        <v>3</v>
      </c>
      <c r="F13" s="82" t="s">
        <v>900</v>
      </c>
    </row>
    <row r="14" spans="2:6" ht="15" customHeight="1" x14ac:dyDescent="0.2">
      <c r="B14" s="46" t="s">
        <v>123</v>
      </c>
      <c r="C14" s="55">
        <v>64</v>
      </c>
      <c r="D14" s="55">
        <v>4</v>
      </c>
      <c r="E14" s="55">
        <v>4</v>
      </c>
      <c r="F14" s="87" t="s">
        <v>899</v>
      </c>
    </row>
    <row r="15" spans="2:6" ht="15" customHeight="1" x14ac:dyDescent="0.2">
      <c r="B15" s="43" t="s">
        <v>122</v>
      </c>
      <c r="C15" s="52">
        <v>59</v>
      </c>
      <c r="D15" s="52">
        <v>4</v>
      </c>
      <c r="E15" s="52">
        <v>4</v>
      </c>
      <c r="F15" s="82" t="s">
        <v>898</v>
      </c>
    </row>
    <row r="16" spans="2:6" ht="15" customHeight="1" x14ac:dyDescent="0.2">
      <c r="B16" s="46" t="s">
        <v>276</v>
      </c>
      <c r="C16" s="55">
        <v>42</v>
      </c>
      <c r="D16" s="55">
        <v>4</v>
      </c>
      <c r="E16" s="55">
        <v>4</v>
      </c>
      <c r="F16" s="83" t="s">
        <v>900</v>
      </c>
    </row>
    <row r="17" spans="2:6" ht="15" customHeight="1" x14ac:dyDescent="0.2">
      <c r="B17" s="43" t="s">
        <v>127</v>
      </c>
      <c r="C17" s="52">
        <v>64</v>
      </c>
      <c r="D17" s="52">
        <v>4</v>
      </c>
      <c r="E17" s="52">
        <v>5</v>
      </c>
      <c r="F17" s="86" t="s">
        <v>899</v>
      </c>
    </row>
    <row r="18" spans="2:6" ht="15" customHeight="1" x14ac:dyDescent="0.2">
      <c r="B18" s="46" t="s">
        <v>132</v>
      </c>
      <c r="C18" s="55">
        <v>64</v>
      </c>
      <c r="D18" s="55">
        <v>4</v>
      </c>
      <c r="E18" s="55">
        <v>5</v>
      </c>
      <c r="F18" s="83" t="s">
        <v>902</v>
      </c>
    </row>
    <row r="19" spans="2:6" ht="15" customHeight="1" x14ac:dyDescent="0.2">
      <c r="B19" s="43" t="s">
        <v>133</v>
      </c>
      <c r="C19" s="52">
        <v>59</v>
      </c>
      <c r="D19" s="52">
        <v>4</v>
      </c>
      <c r="E19" s="52">
        <v>5</v>
      </c>
      <c r="F19" s="86" t="s">
        <v>897</v>
      </c>
    </row>
    <row r="20" spans="2:6" ht="15" customHeight="1" x14ac:dyDescent="0.2">
      <c r="B20" s="46" t="s">
        <v>136</v>
      </c>
      <c r="C20" s="55">
        <v>58</v>
      </c>
      <c r="D20" s="55">
        <v>4</v>
      </c>
      <c r="E20" s="55">
        <v>6</v>
      </c>
      <c r="F20" s="87" t="s">
        <v>897</v>
      </c>
    </row>
    <row r="21" spans="2:6" ht="15" customHeight="1" x14ac:dyDescent="0.2">
      <c r="B21" s="43" t="s">
        <v>178</v>
      </c>
      <c r="C21" s="52">
        <v>58</v>
      </c>
      <c r="D21" s="52">
        <v>4</v>
      </c>
      <c r="E21" s="52">
        <v>7</v>
      </c>
      <c r="F21" s="82" t="s">
        <v>900</v>
      </c>
    </row>
    <row r="22" spans="2:6" ht="15" customHeight="1" x14ac:dyDescent="0.2">
      <c r="B22" s="46" t="s">
        <v>174</v>
      </c>
      <c r="C22" s="55">
        <v>59</v>
      </c>
      <c r="D22" s="55">
        <v>4</v>
      </c>
      <c r="E22" s="55">
        <v>13</v>
      </c>
      <c r="F22" s="87" t="s">
        <v>899</v>
      </c>
    </row>
    <row r="23" spans="2:6" ht="15" customHeight="1" x14ac:dyDescent="0.2">
      <c r="B23" s="43" t="s">
        <v>326</v>
      </c>
      <c r="C23" s="52">
        <v>33</v>
      </c>
      <c r="D23" s="52">
        <v>3</v>
      </c>
      <c r="E23" s="52">
        <v>3</v>
      </c>
      <c r="F23" s="82" t="s">
        <v>900</v>
      </c>
    </row>
    <row r="24" spans="2:6" ht="15" customHeight="1" x14ac:dyDescent="0.2">
      <c r="B24" s="46" t="s">
        <v>462</v>
      </c>
      <c r="C24" s="55">
        <v>16</v>
      </c>
      <c r="D24" s="55">
        <v>3</v>
      </c>
      <c r="E24" s="55">
        <v>3</v>
      </c>
      <c r="F24" s="87" t="s">
        <v>901</v>
      </c>
    </row>
    <row r="25" spans="2:6" ht="15" customHeight="1" x14ac:dyDescent="0.2">
      <c r="B25" s="43" t="s">
        <v>230</v>
      </c>
      <c r="C25" s="52">
        <v>54</v>
      </c>
      <c r="D25" s="52">
        <v>3</v>
      </c>
      <c r="E25" s="52">
        <v>6</v>
      </c>
      <c r="F25" s="86" t="s">
        <v>899</v>
      </c>
    </row>
    <row r="26" spans="2:6" ht="15" customHeight="1" x14ac:dyDescent="0.2">
      <c r="B26" s="46" t="s">
        <v>173</v>
      </c>
      <c r="C26" s="55">
        <v>26</v>
      </c>
      <c r="D26" s="55">
        <v>2</v>
      </c>
      <c r="E26" s="55">
        <v>3</v>
      </c>
      <c r="F26" s="87" t="s">
        <v>897</v>
      </c>
    </row>
    <row r="27" spans="2:6" ht="15" customHeight="1" x14ac:dyDescent="0.2">
      <c r="B27" s="43" t="s">
        <v>177</v>
      </c>
      <c r="C27" s="52">
        <v>15</v>
      </c>
      <c r="D27" s="52">
        <v>2</v>
      </c>
      <c r="E27" s="52">
        <v>3</v>
      </c>
      <c r="F27" s="86" t="s">
        <v>899</v>
      </c>
    </row>
    <row r="28" spans="2:6" ht="15" customHeight="1" x14ac:dyDescent="0.2">
      <c r="B28" s="46" t="s">
        <v>181</v>
      </c>
      <c r="C28" s="55">
        <v>52</v>
      </c>
      <c r="D28" s="55">
        <v>2</v>
      </c>
      <c r="E28" s="55">
        <v>4</v>
      </c>
      <c r="F28" s="83" t="s">
        <v>900</v>
      </c>
    </row>
    <row r="29" spans="2:6" ht="15" customHeight="1" x14ac:dyDescent="0.2">
      <c r="B29" s="43" t="s">
        <v>180</v>
      </c>
      <c r="C29" s="52">
        <v>52</v>
      </c>
      <c r="D29" s="52">
        <v>2</v>
      </c>
      <c r="E29" s="52">
        <v>5</v>
      </c>
      <c r="F29" s="86" t="s">
        <v>899</v>
      </c>
    </row>
    <row r="30" spans="2:6" ht="15" customHeight="1" x14ac:dyDescent="0.2">
      <c r="B30" s="46" t="s">
        <v>130</v>
      </c>
      <c r="C30" s="55">
        <v>38</v>
      </c>
      <c r="D30" s="55">
        <v>2</v>
      </c>
      <c r="E30" s="55">
        <v>5</v>
      </c>
      <c r="F30" s="83" t="s">
        <v>900</v>
      </c>
    </row>
    <row r="31" spans="2:6" ht="15" customHeight="1" x14ac:dyDescent="0.2">
      <c r="B31" s="43" t="s">
        <v>120</v>
      </c>
      <c r="C31" s="52">
        <v>20</v>
      </c>
      <c r="D31" s="52">
        <v>2</v>
      </c>
      <c r="E31" s="52">
        <v>5</v>
      </c>
      <c r="F31" s="86" t="s">
        <v>903</v>
      </c>
    </row>
    <row r="32" spans="2:6" ht="15" customHeight="1" x14ac:dyDescent="0.2">
      <c r="B32" s="46" t="s">
        <v>465</v>
      </c>
      <c r="C32" s="55">
        <v>12</v>
      </c>
      <c r="D32" s="55">
        <v>1</v>
      </c>
      <c r="E32" s="55">
        <v>3</v>
      </c>
      <c r="F32" s="87" t="s">
        <v>899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abSelected="1" zoomScaleNormal="100" workbookViewId="0"/>
  </sheetViews>
  <sheetFormatPr baseColWidth="10" defaultColWidth="8.83203125" defaultRowHeight="15" x14ac:dyDescent="0.2"/>
  <sheetData>
    <row r="1" spans="1:8" ht="15" customHeight="1" x14ac:dyDescent="0.2">
      <c r="A1" s="26"/>
      <c r="B1" s="26"/>
      <c r="C1" s="26"/>
      <c r="D1" s="26"/>
      <c r="E1" s="26"/>
      <c r="F1" s="26"/>
      <c r="G1" s="26"/>
      <c r="H1" s="26"/>
    </row>
    <row r="4" spans="1:8" ht="15" customHeight="1" x14ac:dyDescent="0.2">
      <c r="E4" t="s">
        <v>904</v>
      </c>
    </row>
    <row r="6" spans="1:8" ht="15" customHeight="1" x14ac:dyDescent="0.2">
      <c r="E6" t="s">
        <v>905</v>
      </c>
    </row>
    <row r="7" spans="1:8" ht="15" customHeight="1" x14ac:dyDescent="0.2">
      <c r="E7" t="s">
        <v>906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907</v>
      </c>
      <c r="F8" s="88">
        <v>1</v>
      </c>
      <c r="H8" t="s">
        <v>464</v>
      </c>
    </row>
    <row r="9" spans="1:8" ht="15" customHeight="1" x14ac:dyDescent="0.2">
      <c r="E9" t="s">
        <v>908</v>
      </c>
      <c r="F9" s="88">
        <v>0</v>
      </c>
      <c r="H9" t="s">
        <v>465</v>
      </c>
    </row>
    <row r="10" spans="1:8" ht="15" customHeight="1" x14ac:dyDescent="0.2">
      <c r="E10" t="s">
        <v>909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910</v>
      </c>
      <c r="F11">
        <v>4.5999999999999996</v>
      </c>
      <c r="H11" t="s">
        <v>464</v>
      </c>
    </row>
    <row r="12" spans="1:8" ht="96" customHeight="1" x14ac:dyDescent="0.2">
      <c r="E12" t="s">
        <v>911</v>
      </c>
      <c r="F12" s="89">
        <f>SUMPRODUCT(MAX(('Singles_Doubles records'!$N$5:$N$168&gt;=3)*'Singles_Doubles records'!$M$5:$M$168))</f>
        <v>0.875</v>
      </c>
      <c r="H12" s="90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912</v>
      </c>
      <c r="F13">
        <v>9.5</v>
      </c>
      <c r="H13" t="s">
        <v>913</v>
      </c>
    </row>
    <row r="15" spans="1:8" ht="15" customHeight="1" x14ac:dyDescent="0.2">
      <c r="E15" t="s">
        <v>912</v>
      </c>
    </row>
    <row r="16" spans="1:8" ht="96" customHeight="1" x14ac:dyDescent="0.2">
      <c r="E16" t="s">
        <v>159</v>
      </c>
      <c r="F16" t="s">
        <v>402</v>
      </c>
      <c r="H16" s="90" t="s">
        <v>914</v>
      </c>
    </row>
    <row r="17" spans="5:8" ht="144" customHeight="1" x14ac:dyDescent="0.2">
      <c r="E17" t="s">
        <v>115</v>
      </c>
      <c r="F17" t="s">
        <v>260</v>
      </c>
      <c r="H17" s="90" t="s">
        <v>915</v>
      </c>
    </row>
    <row r="18" spans="5:8" ht="159.75" customHeight="1" x14ac:dyDescent="0.2">
      <c r="E18" t="s">
        <v>373</v>
      </c>
      <c r="F18" t="s">
        <v>260</v>
      </c>
      <c r="H18" s="90" t="s">
        <v>916</v>
      </c>
    </row>
    <row r="19" spans="5:8" ht="144" customHeight="1" x14ac:dyDescent="0.2">
      <c r="E19" t="s">
        <v>917</v>
      </c>
      <c r="F19" t="s">
        <v>918</v>
      </c>
      <c r="H19" s="90" t="s">
        <v>919</v>
      </c>
    </row>
    <row r="20" spans="5:8" ht="240" customHeight="1" x14ac:dyDescent="0.2">
      <c r="E20" t="s">
        <v>146</v>
      </c>
      <c r="F20" t="s">
        <v>260</v>
      </c>
      <c r="H20" s="90" t="s">
        <v>920</v>
      </c>
    </row>
    <row r="21" spans="5:8" ht="15" customHeight="1" x14ac:dyDescent="0.2">
      <c r="E21" t="s">
        <v>199</v>
      </c>
      <c r="F21">
        <v>12.5</v>
      </c>
      <c r="H21" t="s">
        <v>921</v>
      </c>
    </row>
    <row r="23" spans="5:8" ht="15" customHeight="1" x14ac:dyDescent="0.2">
      <c r="E23" t="s">
        <v>922</v>
      </c>
      <c r="F23">
        <v>24</v>
      </c>
      <c r="H23" t="s">
        <v>923</v>
      </c>
    </row>
    <row r="24" spans="5:8" ht="15" customHeight="1" x14ac:dyDescent="0.2">
      <c r="E24" t="s">
        <v>924</v>
      </c>
      <c r="F24">
        <v>6</v>
      </c>
      <c r="H24" t="s">
        <v>925</v>
      </c>
    </row>
    <row r="26" spans="5:8" ht="15" customHeight="1" x14ac:dyDescent="0.2">
      <c r="E26" s="91" t="s">
        <v>926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/>
  </sheetViews>
  <sheetFormatPr baseColWidth="10" defaultColWidth="8.83203125" defaultRowHeight="15" x14ac:dyDescent="0.2"/>
  <sheetData>
    <row r="1" spans="1:11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</row>
    <row r="3" spans="1:11" ht="15" customHeight="1" x14ac:dyDescent="0.2">
      <c r="D3" t="s">
        <v>927</v>
      </c>
      <c r="H3" t="s">
        <v>927</v>
      </c>
      <c r="K3" t="s">
        <v>928</v>
      </c>
    </row>
    <row r="4" spans="1:11" ht="15" customHeight="1" x14ac:dyDescent="0.2">
      <c r="K4" t="s">
        <v>929</v>
      </c>
    </row>
    <row r="5" spans="1:11" ht="15" customHeight="1" x14ac:dyDescent="0.2">
      <c r="D5" t="s">
        <v>930</v>
      </c>
      <c r="E5">
        <v>0</v>
      </c>
      <c r="H5" t="s">
        <v>173</v>
      </c>
      <c r="I5">
        <v>5</v>
      </c>
      <c r="K5" t="s">
        <v>931</v>
      </c>
    </row>
    <row r="6" spans="1:11" ht="15" customHeight="1" x14ac:dyDescent="0.2">
      <c r="D6" t="s">
        <v>181</v>
      </c>
      <c r="E6">
        <v>5</v>
      </c>
      <c r="H6" t="s">
        <v>174</v>
      </c>
      <c r="I6">
        <v>4</v>
      </c>
    </row>
    <row r="7" spans="1:11" ht="15" customHeight="1" x14ac:dyDescent="0.2">
      <c r="D7" t="s">
        <v>135</v>
      </c>
      <c r="E7">
        <v>2</v>
      </c>
      <c r="H7" t="s">
        <v>229</v>
      </c>
      <c r="I7">
        <v>5</v>
      </c>
    </row>
    <row r="8" spans="1:11" ht="15" customHeight="1" x14ac:dyDescent="0.2">
      <c r="D8" t="s">
        <v>180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932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178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233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234</v>
      </c>
      <c r="I13">
        <v>1</v>
      </c>
    </row>
    <row r="14" spans="1:11" ht="15" customHeight="1" x14ac:dyDescent="0.2">
      <c r="D14" t="s">
        <v>276</v>
      </c>
      <c r="E14">
        <v>9</v>
      </c>
      <c r="H14" t="s">
        <v>136</v>
      </c>
      <c r="I14">
        <v>4</v>
      </c>
    </row>
    <row r="15" spans="1:11" ht="15" customHeight="1" x14ac:dyDescent="0.2">
      <c r="D15" t="s">
        <v>230</v>
      </c>
      <c r="E15">
        <v>7</v>
      </c>
    </row>
    <row r="16" spans="1:11" ht="15" customHeight="1" x14ac:dyDescent="0.2">
      <c r="H16" t="s">
        <v>719</v>
      </c>
      <c r="I16">
        <v>3.3</v>
      </c>
    </row>
    <row r="17" spans="4:6" ht="15" customHeight="1" x14ac:dyDescent="0.2">
      <c r="D17" t="s">
        <v>719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930</v>
      </c>
      <c r="E26">
        <v>0</v>
      </c>
      <c r="F26">
        <v>0</v>
      </c>
    </row>
    <row r="27" spans="4:6" ht="15" customHeight="1" x14ac:dyDescent="0.2">
      <c r="D27" t="s">
        <v>181</v>
      </c>
      <c r="E27">
        <v>5</v>
      </c>
      <c r="F27">
        <v>5</v>
      </c>
    </row>
    <row r="28" spans="4:6" ht="15" customHeight="1" x14ac:dyDescent="0.2">
      <c r="D28" t="s">
        <v>135</v>
      </c>
      <c r="E28">
        <v>2</v>
      </c>
      <c r="F28">
        <v>2</v>
      </c>
    </row>
    <row r="29" spans="4:6" ht="15" customHeight="1" x14ac:dyDescent="0.2">
      <c r="D29" t="s">
        <v>180</v>
      </c>
      <c r="E29">
        <v>9</v>
      </c>
      <c r="F29">
        <v>9</v>
      </c>
    </row>
    <row r="30" spans="4:6" ht="15" customHeight="1" x14ac:dyDescent="0.2">
      <c r="D30" t="s">
        <v>932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178</v>
      </c>
      <c r="E32">
        <v>3</v>
      </c>
      <c r="F32">
        <v>2</v>
      </c>
    </row>
    <row r="33" spans="4:6" ht="15" customHeight="1" x14ac:dyDescent="0.2">
      <c r="D33" t="s">
        <v>233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276</v>
      </c>
      <c r="E35">
        <v>9</v>
      </c>
      <c r="F35">
        <v>5</v>
      </c>
    </row>
    <row r="36" spans="4:6" ht="15" customHeight="1" x14ac:dyDescent="0.2">
      <c r="D36" t="s">
        <v>230</v>
      </c>
      <c r="E36">
        <v>7</v>
      </c>
      <c r="F36">
        <v>7</v>
      </c>
    </row>
    <row r="37" spans="4:6" ht="15" customHeight="1" x14ac:dyDescent="0.2">
      <c r="D37" t="s">
        <v>173</v>
      </c>
      <c r="E37">
        <v>5</v>
      </c>
      <c r="F37">
        <v>5</v>
      </c>
    </row>
    <row r="38" spans="4:6" ht="15" customHeight="1" x14ac:dyDescent="0.2">
      <c r="D38" t="s">
        <v>174</v>
      </c>
      <c r="E38">
        <v>4</v>
      </c>
      <c r="F38">
        <v>4</v>
      </c>
    </row>
    <row r="39" spans="4:6" ht="15" customHeight="1" x14ac:dyDescent="0.2">
      <c r="D39" t="s">
        <v>229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234</v>
      </c>
      <c r="E45">
        <v>1</v>
      </c>
      <c r="F45">
        <v>1</v>
      </c>
    </row>
    <row r="46" spans="4:6" ht="15" customHeight="1" x14ac:dyDescent="0.2">
      <c r="D46" t="s">
        <v>136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13" t="s">
        <v>933</v>
      </c>
    </row>
    <row r="2" spans="2:14" ht="15" customHeight="1" x14ac:dyDescent="0.2">
      <c r="B2" s="41" t="s">
        <v>934</v>
      </c>
    </row>
    <row r="4" spans="2:14" ht="15" customHeight="1" x14ac:dyDescent="0.2">
      <c r="B4" s="42" t="s">
        <v>684</v>
      </c>
      <c r="C4" s="42" t="s">
        <v>99</v>
      </c>
      <c r="D4" s="42" t="s">
        <v>100</v>
      </c>
      <c r="E4" s="42" t="s">
        <v>101</v>
      </c>
      <c r="F4" s="42" t="s">
        <v>727</v>
      </c>
      <c r="G4" s="42" t="s">
        <v>728</v>
      </c>
      <c r="I4" s="42" t="s">
        <v>768</v>
      </c>
      <c r="J4" s="42" t="s">
        <v>99</v>
      </c>
      <c r="K4" s="42" t="s">
        <v>100</v>
      </c>
      <c r="L4" s="42" t="s">
        <v>101</v>
      </c>
      <c r="M4" s="42" t="s">
        <v>727</v>
      </c>
      <c r="N4" s="42" t="s">
        <v>728</v>
      </c>
    </row>
    <row r="5" spans="2:14" ht="15" customHeight="1" x14ac:dyDescent="0.2">
      <c r="B5" s="43" t="s">
        <v>550</v>
      </c>
      <c r="C5" s="52">
        <f>COUNTIFS(Archives!$S$2:$S$1048576,"Singles",Archives!$V$2:$V$1048576,$B5,Archives!$AB$2:$AB$1048576,"W")</f>
        <v>2</v>
      </c>
      <c r="D5" s="52">
        <f>COUNTIFS(Archives!$S$2:$S$1048576,"Singles",Archives!$V$2:$V$1048576,$B5,Archives!$AB$2:$AB$1048576,"L")</f>
        <v>0</v>
      </c>
      <c r="E5" s="52">
        <f>COUNTIFS(Archives!$S$2:$S$1048576,"Singles",Archives!$V$2:$V$1048576,$B5,Archives!$AB$2:$AB$1048576,"T")</f>
        <v>0</v>
      </c>
      <c r="F5" s="53">
        <f t="shared" ref="F5:F35" si="0">IF(G5=0,0,(C5+0.5*E5)/G5)</f>
        <v>1</v>
      </c>
      <c r="G5" s="52">
        <f t="shared" ref="G5:G34" si="1">C5+D5+E5</f>
        <v>2</v>
      </c>
      <c r="I5" s="43" t="s">
        <v>935</v>
      </c>
      <c r="J5" s="52">
        <f>COUNTIFS(Archives!$S$2:$S$1048576,"Doubles",Archives!$V$2:$V$1048576,"Buss",Archives!$Y$2:$Y$1048576,"Hickerson",Archives!$AB$2:$AB$1048576,"W")+COUNTIFS(Archives!$S$2:$S$1048576,"Doubles",Archives!$V$2:$V$1048576,"Hickerson",Archives!$Y$2:$Y$1048576,"Buss",Archives!$AB$2:$AB$1048576,"W")</f>
        <v>2</v>
      </c>
      <c r="K5" s="52">
        <f>COUNTIFS(Archives!$S$2:$S$1048576,"Doubles",Archives!$V$2:$V$1048576,"Buss",Archives!$Y$2:$Y$1048576,"Hickerson",Archives!$AB$2:$AB$1048576,"L")+COUNTIFS(Archives!$S$2:$S$1048576,"Doubles",Archives!$V$2:$V$1048576,"Hickerson",Archives!$Y$2:$Y$1048576,"Buss",Archives!$AB$2:$AB$1048576,"L")</f>
        <v>0</v>
      </c>
      <c r="L5" s="52">
        <f>COUNTIFS(Archives!$S$2:$S$1048576,"Doubles",Archives!$V$2:$V$1048576,"Buss",Archives!$Y$2:$Y$1048576,"Hickerson",Archives!$AB$2:$AB$1048576,"T")+COUNTIFS(Archives!$S$2:$S$1048576,"Doubles",Archives!$V$2:$V$1048576,"Hickerson",Archives!$Y$2:$Y$1048576,"Buss",Archives!$AB$2:$AB$1048576,"T")</f>
        <v>0</v>
      </c>
      <c r="M5" s="53">
        <f t="shared" ref="M5:M36" si="2">IF(N5=0,0,(J5+0.5*L5)/N5)</f>
        <v>1</v>
      </c>
      <c r="N5" s="52">
        <f t="shared" ref="N5:N36" si="3">J5+K5+L5</f>
        <v>2</v>
      </c>
    </row>
    <row r="6" spans="2:14" ht="15" customHeight="1" x14ac:dyDescent="0.2">
      <c r="B6" s="46" t="s">
        <v>641</v>
      </c>
      <c r="C6" s="55">
        <f>COUNTIFS(Archives!$S$2:$S$1048576,"Singles",Archives!$V$2:$V$1048576,$B6,Archives!$AB$2:$AB$1048576,"W")</f>
        <v>1</v>
      </c>
      <c r="D6" s="55">
        <f>COUNTIFS(Archives!$S$2:$S$1048576,"Singles",Archives!$V$2:$V$1048576,$B6,Archives!$AB$2:$AB$1048576,"L")</f>
        <v>0</v>
      </c>
      <c r="E6" s="55">
        <f>COUNTIFS(Archives!$S$2:$S$1048576,"Singles",Archives!$V$2:$V$1048576,$B6,Archives!$AB$2:$AB$1048576,"T")</f>
        <v>0</v>
      </c>
      <c r="F6" s="56">
        <f t="shared" si="0"/>
        <v>1</v>
      </c>
      <c r="G6" s="55">
        <f t="shared" si="1"/>
        <v>1</v>
      </c>
      <c r="I6" s="46" t="s">
        <v>936</v>
      </c>
      <c r="J6" s="55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55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55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56">
        <f t="shared" si="2"/>
        <v>1</v>
      </c>
      <c r="N6" s="55">
        <f t="shared" si="3"/>
        <v>2</v>
      </c>
    </row>
    <row r="7" spans="2:14" ht="15" customHeight="1" x14ac:dyDescent="0.2">
      <c r="B7" s="43" t="s">
        <v>229</v>
      </c>
      <c r="C7" s="52">
        <f>COUNTIFS(Archives!$S$2:$S$1048576,"Singles",Archives!$V$2:$V$1048576,$B7,Archives!$AB$2:$AB$1048576,"W")</f>
        <v>5</v>
      </c>
      <c r="D7" s="52">
        <f>COUNTIFS(Archives!$S$2:$S$1048576,"Singles",Archives!$V$2:$V$1048576,$B7,Archives!$AB$2:$AB$1048576,"L")</f>
        <v>1</v>
      </c>
      <c r="E7" s="52">
        <f>COUNTIFS(Archives!$S$2:$S$1048576,"Singles",Archives!$V$2:$V$1048576,$B7,Archives!$AB$2:$AB$1048576,"T")</f>
        <v>1</v>
      </c>
      <c r="F7" s="53">
        <f t="shared" si="0"/>
        <v>0.7857142857142857</v>
      </c>
      <c r="G7" s="52">
        <f t="shared" si="1"/>
        <v>7</v>
      </c>
      <c r="I7" s="43" t="s">
        <v>937</v>
      </c>
      <c r="J7" s="52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52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52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53">
        <f t="shared" si="2"/>
        <v>1</v>
      </c>
      <c r="N7" s="52">
        <f t="shared" si="3"/>
        <v>2</v>
      </c>
    </row>
    <row r="8" spans="2:14" ht="15" customHeight="1" x14ac:dyDescent="0.2">
      <c r="B8" s="46" t="s">
        <v>130</v>
      </c>
      <c r="C8" s="55">
        <f>COUNTIFS(Archives!$S$2:$S$1048576,"Singles",Archives!$V$2:$V$1048576,$B8,Archives!$AB$2:$AB$1048576,"W")</f>
        <v>5</v>
      </c>
      <c r="D8" s="55">
        <f>COUNTIFS(Archives!$S$2:$S$1048576,"Singles",Archives!$V$2:$V$1048576,$B8,Archives!$AB$2:$AB$1048576,"L")</f>
        <v>1</v>
      </c>
      <c r="E8" s="55">
        <f>COUNTIFS(Archives!$S$2:$S$1048576,"Singles",Archives!$V$2:$V$1048576,$B8,Archives!$AB$2:$AB$1048576,"T")</f>
        <v>1</v>
      </c>
      <c r="F8" s="56">
        <f t="shared" si="0"/>
        <v>0.7857142857142857</v>
      </c>
      <c r="G8" s="55">
        <f t="shared" si="1"/>
        <v>7</v>
      </c>
      <c r="I8" s="46" t="s">
        <v>938</v>
      </c>
      <c r="J8" s="55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55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55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56">
        <f t="shared" si="2"/>
        <v>1</v>
      </c>
      <c r="N8" s="55">
        <f t="shared" si="3"/>
        <v>2</v>
      </c>
    </row>
    <row r="9" spans="2:14" ht="15" customHeight="1" x14ac:dyDescent="0.2">
      <c r="B9" s="43" t="s">
        <v>464</v>
      </c>
      <c r="C9" s="52">
        <f>COUNTIFS(Archives!$S$2:$S$1048576,"Singles",Archives!$V$2:$V$1048576,$B9,Archives!$AB$2:$AB$1048576,"W")</f>
        <v>3</v>
      </c>
      <c r="D9" s="52">
        <f>COUNTIFS(Archives!$S$2:$S$1048576,"Singles",Archives!$V$2:$V$1048576,$B9,Archives!$AB$2:$AB$1048576,"L")</f>
        <v>1</v>
      </c>
      <c r="E9" s="52">
        <f>COUNTIFS(Archives!$S$2:$S$1048576,"Singles",Archives!$V$2:$V$1048576,$B9,Archives!$AB$2:$AB$1048576,"T")</f>
        <v>0</v>
      </c>
      <c r="F9" s="53">
        <f t="shared" si="0"/>
        <v>0.75</v>
      </c>
      <c r="G9" s="52">
        <f t="shared" si="1"/>
        <v>4</v>
      </c>
      <c r="I9" s="43" t="s">
        <v>939</v>
      </c>
      <c r="J9" s="52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52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52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53">
        <f t="shared" si="2"/>
        <v>1</v>
      </c>
      <c r="N9" s="52">
        <f t="shared" si="3"/>
        <v>2</v>
      </c>
    </row>
    <row r="10" spans="2:14" ht="15" customHeight="1" x14ac:dyDescent="0.2">
      <c r="B10" s="46" t="s">
        <v>234</v>
      </c>
      <c r="C10" s="55">
        <f>COUNTIFS(Archives!$S$2:$S$1048576,"Singles",Archives!$V$2:$V$1048576,$B10,Archives!$AB$2:$AB$1048576,"W")</f>
        <v>6</v>
      </c>
      <c r="D10" s="55">
        <f>COUNTIFS(Archives!$S$2:$S$1048576,"Singles",Archives!$V$2:$V$1048576,$B10,Archives!$AB$2:$AB$1048576,"L")</f>
        <v>2</v>
      </c>
      <c r="E10" s="55">
        <f>COUNTIFS(Archives!$S$2:$S$1048576,"Singles",Archives!$V$2:$V$1048576,$B10,Archives!$AB$2:$AB$1048576,"T")</f>
        <v>2</v>
      </c>
      <c r="F10" s="56">
        <f t="shared" si="0"/>
        <v>0.7</v>
      </c>
      <c r="G10" s="55">
        <f t="shared" si="1"/>
        <v>10</v>
      </c>
      <c r="I10" s="46" t="s">
        <v>940</v>
      </c>
      <c r="J10" s="55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55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55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56">
        <f t="shared" si="2"/>
        <v>1</v>
      </c>
      <c r="N10" s="55">
        <f t="shared" si="3"/>
        <v>2</v>
      </c>
    </row>
    <row r="11" spans="2:14" ht="15" customHeight="1" x14ac:dyDescent="0.2">
      <c r="B11" s="43" t="s">
        <v>135</v>
      </c>
      <c r="C11" s="52">
        <f>COUNTIFS(Archives!$S$2:$S$1048576,"Singles",Archives!$V$2:$V$1048576,$B11,Archives!$AB$2:$AB$1048576,"W")</f>
        <v>8</v>
      </c>
      <c r="D11" s="52">
        <f>COUNTIFS(Archives!$S$2:$S$1048576,"Singles",Archives!$V$2:$V$1048576,$B11,Archives!$AB$2:$AB$1048576,"L")</f>
        <v>4</v>
      </c>
      <c r="E11" s="52">
        <f>COUNTIFS(Archives!$S$2:$S$1048576,"Singles",Archives!$V$2:$V$1048576,$B11,Archives!$AB$2:$AB$1048576,"T")</f>
        <v>0</v>
      </c>
      <c r="F11" s="53">
        <f t="shared" si="0"/>
        <v>0.66666666666666663</v>
      </c>
      <c r="G11" s="52">
        <f t="shared" si="1"/>
        <v>12</v>
      </c>
      <c r="I11" s="43" t="s">
        <v>941</v>
      </c>
      <c r="J11" s="52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52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52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53">
        <f t="shared" si="2"/>
        <v>1</v>
      </c>
      <c r="N11" s="52">
        <f t="shared" si="3"/>
        <v>2</v>
      </c>
    </row>
    <row r="12" spans="2:14" ht="15" customHeight="1" x14ac:dyDescent="0.2">
      <c r="B12" s="46" t="s">
        <v>178</v>
      </c>
      <c r="C12" s="55">
        <f>COUNTIFS(Archives!$S$2:$S$1048576,"Singles",Archives!$V$2:$V$1048576,$B12,Archives!$AB$2:$AB$1048576,"W")</f>
        <v>7</v>
      </c>
      <c r="D12" s="55">
        <f>COUNTIFS(Archives!$S$2:$S$1048576,"Singles",Archives!$V$2:$V$1048576,$B12,Archives!$AB$2:$AB$1048576,"L")</f>
        <v>4</v>
      </c>
      <c r="E12" s="55">
        <f>COUNTIFS(Archives!$S$2:$S$1048576,"Singles",Archives!$V$2:$V$1048576,$B12,Archives!$AB$2:$AB$1048576,"T")</f>
        <v>1</v>
      </c>
      <c r="F12" s="56">
        <f t="shared" si="0"/>
        <v>0.625</v>
      </c>
      <c r="G12" s="55">
        <f t="shared" si="1"/>
        <v>12</v>
      </c>
      <c r="I12" s="46" t="s">
        <v>942</v>
      </c>
      <c r="J12" s="55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55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55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56">
        <f t="shared" si="2"/>
        <v>1</v>
      </c>
      <c r="N12" s="55">
        <f t="shared" si="3"/>
        <v>2</v>
      </c>
    </row>
    <row r="13" spans="2:14" ht="15" customHeight="1" x14ac:dyDescent="0.2">
      <c r="B13" s="43" t="s">
        <v>230</v>
      </c>
      <c r="C13" s="52">
        <f>COUNTIFS(Archives!$S$2:$S$1048576,"Singles",Archives!$V$2:$V$1048576,$B13,Archives!$AB$2:$AB$1048576,"W")</f>
        <v>6</v>
      </c>
      <c r="D13" s="52">
        <f>COUNTIFS(Archives!$S$2:$S$1048576,"Singles",Archives!$V$2:$V$1048576,$B13,Archives!$AB$2:$AB$1048576,"L")</f>
        <v>3</v>
      </c>
      <c r="E13" s="52">
        <f>COUNTIFS(Archives!$S$2:$S$1048576,"Singles",Archives!$V$2:$V$1048576,$B13,Archives!$AB$2:$AB$1048576,"T")</f>
        <v>3</v>
      </c>
      <c r="F13" s="53">
        <f t="shared" si="0"/>
        <v>0.625</v>
      </c>
      <c r="G13" s="52">
        <f t="shared" si="1"/>
        <v>12</v>
      </c>
      <c r="I13" s="43" t="s">
        <v>943</v>
      </c>
      <c r="J13" s="52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52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52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53">
        <f t="shared" si="2"/>
        <v>1</v>
      </c>
      <c r="N13" s="52">
        <f t="shared" si="3"/>
        <v>2</v>
      </c>
    </row>
    <row r="14" spans="2:14" ht="15" customHeight="1" x14ac:dyDescent="0.2">
      <c r="B14" s="46" t="s">
        <v>459</v>
      </c>
      <c r="C14" s="55">
        <f>COUNTIFS(Archives!$S$2:$S$1048576,"Singles",Archives!$V$2:$V$1048576,$B14,Archives!$AB$2:$AB$1048576,"W")</f>
        <v>3</v>
      </c>
      <c r="D14" s="55">
        <f>COUNTIFS(Archives!$S$2:$S$1048576,"Singles",Archives!$V$2:$V$1048576,$B14,Archives!$AB$2:$AB$1048576,"L")</f>
        <v>2</v>
      </c>
      <c r="E14" s="55">
        <f>COUNTIFS(Archives!$S$2:$S$1048576,"Singles",Archives!$V$2:$V$1048576,$B14,Archives!$AB$2:$AB$1048576,"T")</f>
        <v>1</v>
      </c>
      <c r="F14" s="56">
        <f t="shared" si="0"/>
        <v>0.58333333333333337</v>
      </c>
      <c r="G14" s="55">
        <f t="shared" si="1"/>
        <v>6</v>
      </c>
      <c r="I14" s="46" t="s">
        <v>944</v>
      </c>
      <c r="J14" s="55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55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55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56">
        <f t="shared" si="2"/>
        <v>1</v>
      </c>
      <c r="N14" s="55">
        <f t="shared" si="3"/>
        <v>2</v>
      </c>
    </row>
    <row r="15" spans="2:14" ht="15" customHeight="1" x14ac:dyDescent="0.2">
      <c r="B15" s="43" t="s">
        <v>233</v>
      </c>
      <c r="C15" s="52">
        <f>COUNTIFS(Archives!$S$2:$S$1048576,"Singles",Archives!$V$2:$V$1048576,$B15,Archives!$AB$2:$AB$1048576,"W")</f>
        <v>3</v>
      </c>
      <c r="D15" s="52">
        <f>COUNTIFS(Archives!$S$2:$S$1048576,"Singles",Archives!$V$2:$V$1048576,$B15,Archives!$AB$2:$AB$1048576,"L")</f>
        <v>2</v>
      </c>
      <c r="E15" s="52">
        <f>COUNTIFS(Archives!$S$2:$S$1048576,"Singles",Archives!$V$2:$V$1048576,$B15,Archives!$AB$2:$AB$1048576,"T")</f>
        <v>1</v>
      </c>
      <c r="F15" s="53">
        <f t="shared" si="0"/>
        <v>0.58333333333333337</v>
      </c>
      <c r="G15" s="52">
        <f t="shared" si="1"/>
        <v>6</v>
      </c>
      <c r="I15" s="43" t="s">
        <v>945</v>
      </c>
      <c r="J15" s="52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52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52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53">
        <f t="shared" si="2"/>
        <v>1</v>
      </c>
      <c r="N15" s="52">
        <f t="shared" si="3"/>
        <v>2</v>
      </c>
    </row>
    <row r="16" spans="2:14" ht="15" customHeight="1" x14ac:dyDescent="0.2">
      <c r="B16" s="46" t="s">
        <v>181</v>
      </c>
      <c r="C16" s="55">
        <f>COUNTIFS(Archives!$S$2:$S$1048576,"Singles",Archives!$V$2:$V$1048576,$B16,Archives!$AB$2:$AB$1048576,"W")</f>
        <v>5</v>
      </c>
      <c r="D16" s="55">
        <f>COUNTIFS(Archives!$S$2:$S$1048576,"Singles",Archives!$V$2:$V$1048576,$B16,Archives!$AB$2:$AB$1048576,"L")</f>
        <v>4</v>
      </c>
      <c r="E16" s="55">
        <f>COUNTIFS(Archives!$S$2:$S$1048576,"Singles",Archives!$V$2:$V$1048576,$B16,Archives!$AB$2:$AB$1048576,"T")</f>
        <v>1</v>
      </c>
      <c r="F16" s="56">
        <f t="shared" si="0"/>
        <v>0.55000000000000004</v>
      </c>
      <c r="G16" s="55">
        <f t="shared" si="1"/>
        <v>10</v>
      </c>
      <c r="I16" s="46" t="s">
        <v>946</v>
      </c>
      <c r="J16" s="55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55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55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56">
        <f t="shared" si="2"/>
        <v>1</v>
      </c>
      <c r="N16" s="55">
        <f t="shared" si="3"/>
        <v>2</v>
      </c>
    </row>
    <row r="17" spans="2:14" ht="15" customHeight="1" x14ac:dyDescent="0.2">
      <c r="B17" s="43" t="s">
        <v>174</v>
      </c>
      <c r="C17" s="52">
        <f>COUNTIFS(Archives!$S$2:$S$1048576,"Singles",Archives!$V$2:$V$1048576,$B17,Archives!$AB$2:$AB$1048576,"W")</f>
        <v>6</v>
      </c>
      <c r="D17" s="52">
        <f>COUNTIFS(Archives!$S$2:$S$1048576,"Singles",Archives!$V$2:$V$1048576,$B17,Archives!$AB$2:$AB$1048576,"L")</f>
        <v>5</v>
      </c>
      <c r="E17" s="52">
        <f>COUNTIFS(Archives!$S$2:$S$1048576,"Singles",Archives!$V$2:$V$1048576,$B17,Archives!$AB$2:$AB$1048576,"T")</f>
        <v>0</v>
      </c>
      <c r="F17" s="53">
        <f t="shared" si="0"/>
        <v>0.54545454545454541</v>
      </c>
      <c r="G17" s="52">
        <f t="shared" si="1"/>
        <v>11</v>
      </c>
      <c r="I17" s="43" t="s">
        <v>947</v>
      </c>
      <c r="J17" s="52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52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52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53">
        <f t="shared" si="2"/>
        <v>1</v>
      </c>
      <c r="N17" s="52">
        <f t="shared" si="3"/>
        <v>2</v>
      </c>
    </row>
    <row r="18" spans="2:14" ht="15" customHeight="1" x14ac:dyDescent="0.2">
      <c r="B18" s="46" t="s">
        <v>127</v>
      </c>
      <c r="C18" s="55">
        <f>COUNTIFS(Archives!$S$2:$S$1048576,"Singles",Archives!$V$2:$V$1048576,$B18,Archives!$AB$2:$AB$1048576,"W")</f>
        <v>6</v>
      </c>
      <c r="D18" s="55">
        <f>COUNTIFS(Archives!$S$2:$S$1048576,"Singles",Archives!$V$2:$V$1048576,$B18,Archives!$AB$2:$AB$1048576,"L")</f>
        <v>5</v>
      </c>
      <c r="E18" s="55">
        <f>COUNTIFS(Archives!$S$2:$S$1048576,"Singles",Archives!$V$2:$V$1048576,$B18,Archives!$AB$2:$AB$1048576,"T")</f>
        <v>1</v>
      </c>
      <c r="F18" s="56">
        <f t="shared" si="0"/>
        <v>0.54166666666666663</v>
      </c>
      <c r="G18" s="55">
        <f t="shared" si="1"/>
        <v>12</v>
      </c>
      <c r="I18" s="46" t="s">
        <v>948</v>
      </c>
      <c r="J18" s="55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55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55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56">
        <f t="shared" si="2"/>
        <v>1</v>
      </c>
      <c r="N18" s="55">
        <f t="shared" si="3"/>
        <v>2</v>
      </c>
    </row>
    <row r="19" spans="2:14" ht="15" customHeight="1" x14ac:dyDescent="0.2">
      <c r="B19" s="43" t="s">
        <v>119</v>
      </c>
      <c r="C19" s="52">
        <f>COUNTIFS(Archives!$S$2:$S$1048576,"Singles",Archives!$V$2:$V$1048576,$B19,Archives!$AB$2:$AB$1048576,"W")</f>
        <v>6</v>
      </c>
      <c r="D19" s="52">
        <f>COUNTIFS(Archives!$S$2:$S$1048576,"Singles",Archives!$V$2:$V$1048576,$B19,Archives!$AB$2:$AB$1048576,"L")</f>
        <v>6</v>
      </c>
      <c r="E19" s="52">
        <f>COUNTIFS(Archives!$S$2:$S$1048576,"Singles",Archives!$V$2:$V$1048576,$B19,Archives!$AB$2:$AB$1048576,"T")</f>
        <v>0</v>
      </c>
      <c r="F19" s="53">
        <f t="shared" si="0"/>
        <v>0.5</v>
      </c>
      <c r="G19" s="52">
        <f t="shared" si="1"/>
        <v>12</v>
      </c>
      <c r="I19" s="43" t="s">
        <v>949</v>
      </c>
      <c r="J19" s="52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52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52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53">
        <f t="shared" si="2"/>
        <v>1</v>
      </c>
      <c r="N19" s="52">
        <f t="shared" si="3"/>
        <v>2</v>
      </c>
    </row>
    <row r="20" spans="2:14" ht="15" customHeight="1" x14ac:dyDescent="0.2">
      <c r="B20" s="46" t="s">
        <v>122</v>
      </c>
      <c r="C20" s="55">
        <f>COUNTIFS(Archives!$S$2:$S$1048576,"Singles",Archives!$V$2:$V$1048576,$B20,Archives!$AB$2:$AB$1048576,"W")</f>
        <v>6</v>
      </c>
      <c r="D20" s="55">
        <f>COUNTIFS(Archives!$S$2:$S$1048576,"Singles",Archives!$V$2:$V$1048576,$B20,Archives!$AB$2:$AB$1048576,"L")</f>
        <v>5</v>
      </c>
      <c r="E20" s="55">
        <f>COUNTIFS(Archives!$S$2:$S$1048576,"Singles",Archives!$V$2:$V$1048576,$B20,Archives!$AB$2:$AB$1048576,"T")</f>
        <v>0</v>
      </c>
      <c r="F20" s="56">
        <f t="shared" si="0"/>
        <v>0.54545454545454541</v>
      </c>
      <c r="G20" s="55">
        <f t="shared" si="1"/>
        <v>11</v>
      </c>
      <c r="I20" s="46" t="s">
        <v>950</v>
      </c>
      <c r="J20" s="55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55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55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56">
        <f t="shared" si="2"/>
        <v>1</v>
      </c>
      <c r="N20" s="55">
        <f t="shared" si="3"/>
        <v>2</v>
      </c>
    </row>
    <row r="21" spans="2:14" ht="15" customHeight="1" x14ac:dyDescent="0.2">
      <c r="B21" s="43" t="s">
        <v>276</v>
      </c>
      <c r="C21" s="52">
        <f>COUNTIFS(Archives!$S$2:$S$1048576,"Singles",Archives!$V$2:$V$1048576,$B21,Archives!$AB$2:$AB$1048576,"W")</f>
        <v>4</v>
      </c>
      <c r="D21" s="52">
        <f>COUNTIFS(Archives!$S$2:$S$1048576,"Singles",Archives!$V$2:$V$1048576,$B21,Archives!$AB$2:$AB$1048576,"L")</f>
        <v>4</v>
      </c>
      <c r="E21" s="52">
        <f>COUNTIFS(Archives!$S$2:$S$1048576,"Singles",Archives!$V$2:$V$1048576,$B21,Archives!$AB$2:$AB$1048576,"T")</f>
        <v>0</v>
      </c>
      <c r="F21" s="53">
        <f t="shared" si="0"/>
        <v>0.5</v>
      </c>
      <c r="G21" s="52">
        <f t="shared" si="1"/>
        <v>8</v>
      </c>
      <c r="I21" s="43" t="s">
        <v>951</v>
      </c>
      <c r="J21" s="52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52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52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53">
        <f t="shared" si="2"/>
        <v>1</v>
      </c>
      <c r="N21" s="52">
        <f t="shared" si="3"/>
        <v>2</v>
      </c>
    </row>
    <row r="22" spans="2:14" ht="15" customHeight="1" x14ac:dyDescent="0.2">
      <c r="B22" s="46" t="s">
        <v>118</v>
      </c>
      <c r="C22" s="55">
        <f>COUNTIFS(Archives!$S$2:$S$1048576,"Singles",Archives!$V$2:$V$1048576,$B22,Archives!$AB$2:$AB$1048576,"W")</f>
        <v>5</v>
      </c>
      <c r="D22" s="55">
        <f>COUNTIFS(Archives!$S$2:$S$1048576,"Singles",Archives!$V$2:$V$1048576,$B22,Archives!$AB$2:$AB$1048576,"L")</f>
        <v>6</v>
      </c>
      <c r="E22" s="55">
        <f>COUNTIFS(Archives!$S$2:$S$1048576,"Singles",Archives!$V$2:$V$1048576,$B22,Archives!$AB$2:$AB$1048576,"T")</f>
        <v>1</v>
      </c>
      <c r="F22" s="56">
        <f t="shared" si="0"/>
        <v>0.45833333333333331</v>
      </c>
      <c r="G22" s="55">
        <f t="shared" si="1"/>
        <v>12</v>
      </c>
      <c r="I22" s="46" t="s">
        <v>952</v>
      </c>
      <c r="J22" s="55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55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55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56">
        <f t="shared" si="2"/>
        <v>1</v>
      </c>
      <c r="N22" s="55">
        <f t="shared" si="3"/>
        <v>2</v>
      </c>
    </row>
    <row r="23" spans="2:14" ht="15" customHeight="1" x14ac:dyDescent="0.2">
      <c r="B23" s="43" t="s">
        <v>132</v>
      </c>
      <c r="C23" s="52">
        <f>COUNTIFS(Archives!$S$2:$S$1048576,"Singles",Archives!$V$2:$V$1048576,$B23,Archives!$AB$2:$AB$1048576,"W")</f>
        <v>4</v>
      </c>
      <c r="D23" s="52">
        <f>COUNTIFS(Archives!$S$2:$S$1048576,"Singles",Archives!$V$2:$V$1048576,$B23,Archives!$AB$2:$AB$1048576,"L")</f>
        <v>6</v>
      </c>
      <c r="E23" s="52">
        <f>COUNTIFS(Archives!$S$2:$S$1048576,"Singles",Archives!$V$2:$V$1048576,$B23,Archives!$AB$2:$AB$1048576,"T")</f>
        <v>2</v>
      </c>
      <c r="F23" s="53">
        <f t="shared" si="0"/>
        <v>0.41666666666666669</v>
      </c>
      <c r="G23" s="52">
        <f t="shared" si="1"/>
        <v>12</v>
      </c>
      <c r="I23" s="43" t="s">
        <v>953</v>
      </c>
      <c r="J23" s="52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52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52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53">
        <f t="shared" si="2"/>
        <v>1</v>
      </c>
      <c r="N23" s="52">
        <f t="shared" si="3"/>
        <v>2</v>
      </c>
    </row>
    <row r="24" spans="2:14" ht="15" customHeight="1" x14ac:dyDescent="0.2">
      <c r="B24" s="46" t="s">
        <v>123</v>
      </c>
      <c r="C24" s="55">
        <f>COUNTIFS(Archives!$S$2:$S$1048576,"Singles",Archives!$V$2:$V$1048576,$B24,Archives!$AB$2:$AB$1048576,"W")</f>
        <v>4</v>
      </c>
      <c r="D24" s="55">
        <f>COUNTIFS(Archives!$S$2:$S$1048576,"Singles",Archives!$V$2:$V$1048576,$B24,Archives!$AB$2:$AB$1048576,"L")</f>
        <v>7</v>
      </c>
      <c r="E24" s="55">
        <f>COUNTIFS(Archives!$S$2:$S$1048576,"Singles",Archives!$V$2:$V$1048576,$B24,Archives!$AB$2:$AB$1048576,"T")</f>
        <v>1</v>
      </c>
      <c r="F24" s="56">
        <f t="shared" si="0"/>
        <v>0.375</v>
      </c>
      <c r="G24" s="55">
        <f t="shared" si="1"/>
        <v>12</v>
      </c>
      <c r="I24" s="46" t="s">
        <v>954</v>
      </c>
      <c r="J24" s="55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55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55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56">
        <f t="shared" si="2"/>
        <v>1</v>
      </c>
      <c r="N24" s="55">
        <f t="shared" si="3"/>
        <v>1</v>
      </c>
    </row>
    <row r="25" spans="2:14" ht="15" customHeight="1" x14ac:dyDescent="0.2">
      <c r="B25" s="43" t="s">
        <v>326</v>
      </c>
      <c r="C25" s="52">
        <f>COUNTIFS(Archives!$S$2:$S$1048576,"Singles",Archives!$V$2:$V$1048576,$B25,Archives!$AB$2:$AB$1048576,"W")</f>
        <v>2</v>
      </c>
      <c r="D25" s="52">
        <f>COUNTIFS(Archives!$S$2:$S$1048576,"Singles",Archives!$V$2:$V$1048576,$B25,Archives!$AB$2:$AB$1048576,"L")</f>
        <v>4</v>
      </c>
      <c r="E25" s="52">
        <f>COUNTIFS(Archives!$S$2:$S$1048576,"Singles",Archives!$V$2:$V$1048576,$B25,Archives!$AB$2:$AB$1048576,"T")</f>
        <v>0</v>
      </c>
      <c r="F25" s="53">
        <f t="shared" si="0"/>
        <v>0.33333333333333331</v>
      </c>
      <c r="G25" s="52">
        <f t="shared" si="1"/>
        <v>6</v>
      </c>
      <c r="I25" s="43" t="s">
        <v>955</v>
      </c>
      <c r="J25" s="52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52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52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53">
        <f t="shared" si="2"/>
        <v>1</v>
      </c>
      <c r="N25" s="52">
        <f t="shared" si="3"/>
        <v>1</v>
      </c>
    </row>
    <row r="26" spans="2:14" ht="15" customHeight="1" x14ac:dyDescent="0.2">
      <c r="B26" s="46" t="s">
        <v>177</v>
      </c>
      <c r="C26" s="55">
        <f>COUNTIFS(Archives!$S$2:$S$1048576,"Singles",Archives!$V$2:$V$1048576,$B26,Archives!$AB$2:$AB$1048576,"W")</f>
        <v>1</v>
      </c>
      <c r="D26" s="55">
        <f>COUNTIFS(Archives!$S$2:$S$1048576,"Singles",Archives!$V$2:$V$1048576,$B26,Archives!$AB$2:$AB$1048576,"L")</f>
        <v>2</v>
      </c>
      <c r="E26" s="55">
        <f>COUNTIFS(Archives!$S$2:$S$1048576,"Singles",Archives!$V$2:$V$1048576,$B26,Archives!$AB$2:$AB$1048576,"T")</f>
        <v>0</v>
      </c>
      <c r="F26" s="56">
        <f t="shared" si="0"/>
        <v>0.33333333333333331</v>
      </c>
      <c r="G26" s="55">
        <f t="shared" si="1"/>
        <v>3</v>
      </c>
      <c r="I26" s="46" t="s">
        <v>956</v>
      </c>
      <c r="J26" s="55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55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55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56">
        <f t="shared" si="2"/>
        <v>1</v>
      </c>
      <c r="N26" s="55">
        <f t="shared" si="3"/>
        <v>1</v>
      </c>
    </row>
    <row r="27" spans="2:14" ht="15" customHeight="1" x14ac:dyDescent="0.2">
      <c r="B27" s="43" t="s">
        <v>133</v>
      </c>
      <c r="C27" s="52">
        <f>COUNTIFS(Archives!$S$2:$S$1048576,"Singles",Archives!$V$2:$V$1048576,$B27,Archives!$AB$2:$AB$1048576,"W")</f>
        <v>2</v>
      </c>
      <c r="D27" s="52">
        <f>COUNTIFS(Archives!$S$2:$S$1048576,"Singles",Archives!$V$2:$V$1048576,$B27,Archives!$AB$2:$AB$1048576,"L")</f>
        <v>7</v>
      </c>
      <c r="E27" s="52">
        <f>COUNTIFS(Archives!$S$2:$S$1048576,"Singles",Archives!$V$2:$V$1048576,$B27,Archives!$AB$2:$AB$1048576,"T")</f>
        <v>2</v>
      </c>
      <c r="F27" s="53">
        <f t="shared" si="0"/>
        <v>0.27272727272727271</v>
      </c>
      <c r="G27" s="52">
        <f t="shared" si="1"/>
        <v>11</v>
      </c>
      <c r="I27" s="43" t="s">
        <v>957</v>
      </c>
      <c r="J27" s="52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52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52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53">
        <f t="shared" si="2"/>
        <v>1</v>
      </c>
      <c r="N27" s="52">
        <f t="shared" si="3"/>
        <v>1</v>
      </c>
    </row>
    <row r="28" spans="2:14" ht="15" customHeight="1" x14ac:dyDescent="0.2">
      <c r="B28" s="46" t="s">
        <v>136</v>
      </c>
      <c r="C28" s="55">
        <f>COUNTIFS(Archives!$S$2:$S$1048576,"Singles",Archives!$V$2:$V$1048576,$B28,Archives!$AB$2:$AB$1048576,"W")</f>
        <v>3</v>
      </c>
      <c r="D28" s="55">
        <f>COUNTIFS(Archives!$S$2:$S$1048576,"Singles",Archives!$V$2:$V$1048576,$B28,Archives!$AB$2:$AB$1048576,"L")</f>
        <v>8</v>
      </c>
      <c r="E28" s="55">
        <f>COUNTIFS(Archives!$S$2:$S$1048576,"Singles",Archives!$V$2:$V$1048576,$B28,Archives!$AB$2:$AB$1048576,"T")</f>
        <v>0</v>
      </c>
      <c r="F28" s="56">
        <f t="shared" si="0"/>
        <v>0.27272727272727271</v>
      </c>
      <c r="G28" s="55">
        <f t="shared" si="1"/>
        <v>11</v>
      </c>
      <c r="I28" s="46" t="s">
        <v>958</v>
      </c>
      <c r="J28" s="55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55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55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56">
        <f t="shared" si="2"/>
        <v>1</v>
      </c>
      <c r="N28" s="55">
        <f t="shared" si="3"/>
        <v>1</v>
      </c>
    </row>
    <row r="29" spans="2:14" ht="15" customHeight="1" x14ac:dyDescent="0.2">
      <c r="B29" s="43" t="s">
        <v>180</v>
      </c>
      <c r="C29" s="52">
        <f>COUNTIFS(Archives!$S$2:$S$1048576,"Singles",Archives!$V$2:$V$1048576,$B29,Archives!$AB$2:$AB$1048576,"W")</f>
        <v>2</v>
      </c>
      <c r="D29" s="52">
        <f>COUNTIFS(Archives!$S$2:$S$1048576,"Singles",Archives!$V$2:$V$1048576,$B29,Archives!$AB$2:$AB$1048576,"L")</f>
        <v>7</v>
      </c>
      <c r="E29" s="52">
        <f>COUNTIFS(Archives!$S$2:$S$1048576,"Singles",Archives!$V$2:$V$1048576,$B29,Archives!$AB$2:$AB$1048576,"T")</f>
        <v>1</v>
      </c>
      <c r="F29" s="53">
        <f t="shared" si="0"/>
        <v>0.25</v>
      </c>
      <c r="G29" s="52">
        <f t="shared" si="1"/>
        <v>10</v>
      </c>
      <c r="I29" s="43" t="s">
        <v>772</v>
      </c>
      <c r="J29" s="52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52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52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53">
        <f t="shared" si="2"/>
        <v>0.875</v>
      </c>
      <c r="N29" s="52">
        <f t="shared" si="3"/>
        <v>8</v>
      </c>
    </row>
    <row r="30" spans="2:14" ht="15" customHeight="1" x14ac:dyDescent="0.2">
      <c r="B30" s="46" t="s">
        <v>120</v>
      </c>
      <c r="C30" s="55">
        <f>COUNTIFS(Archives!$S$2:$S$1048576,"Singles",Archives!$V$2:$V$1048576,$B30,Archives!$AB$2:$AB$1048576,"W")</f>
        <v>0</v>
      </c>
      <c r="D30" s="55">
        <f>COUNTIFS(Archives!$S$2:$S$1048576,"Singles",Archives!$V$2:$V$1048576,$B30,Archives!$AB$2:$AB$1048576,"L")</f>
        <v>2</v>
      </c>
      <c r="E30" s="55">
        <f>COUNTIFS(Archives!$S$2:$S$1048576,"Singles",Archives!$V$2:$V$1048576,$B30,Archives!$AB$2:$AB$1048576,"T")</f>
        <v>2</v>
      </c>
      <c r="F30" s="56">
        <f t="shared" si="0"/>
        <v>0.25</v>
      </c>
      <c r="G30" s="55">
        <f t="shared" si="1"/>
        <v>4</v>
      </c>
      <c r="I30" s="46" t="s">
        <v>774</v>
      </c>
      <c r="J30" s="55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55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55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56">
        <f t="shared" si="2"/>
        <v>0.875</v>
      </c>
      <c r="N30" s="55">
        <f t="shared" si="3"/>
        <v>4</v>
      </c>
    </row>
    <row r="31" spans="2:14" ht="15" customHeight="1" x14ac:dyDescent="0.2">
      <c r="B31" s="43" t="s">
        <v>462</v>
      </c>
      <c r="C31" s="52">
        <f>COUNTIFS(Archives!$S$2:$S$1048576,"Singles",Archives!$V$2:$V$1048576,$B31,Archives!$AB$2:$AB$1048576,"W")</f>
        <v>0</v>
      </c>
      <c r="D31" s="52">
        <f>COUNTIFS(Archives!$S$2:$S$1048576,"Singles",Archives!$V$2:$V$1048576,$B31,Archives!$AB$2:$AB$1048576,"L")</f>
        <v>1</v>
      </c>
      <c r="E31" s="52">
        <f>COUNTIFS(Archives!$S$2:$S$1048576,"Singles",Archives!$V$2:$V$1048576,$B31,Archives!$AB$2:$AB$1048576,"T")</f>
        <v>1</v>
      </c>
      <c r="F31" s="53">
        <f t="shared" si="0"/>
        <v>0.25</v>
      </c>
      <c r="G31" s="52">
        <f t="shared" si="1"/>
        <v>2</v>
      </c>
      <c r="I31" s="43" t="s">
        <v>773</v>
      </c>
      <c r="J31" s="52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52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52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53">
        <f t="shared" si="2"/>
        <v>0.875</v>
      </c>
      <c r="N31" s="52">
        <f t="shared" si="3"/>
        <v>4</v>
      </c>
    </row>
    <row r="32" spans="2:14" ht="15" customHeight="1" x14ac:dyDescent="0.2">
      <c r="B32" s="46" t="s">
        <v>173</v>
      </c>
      <c r="C32" s="55">
        <f>COUNTIFS(Archives!$S$2:$S$1048576,"Singles",Archives!$V$2:$V$1048576,$B32,Archives!$AB$2:$AB$1048576,"W")</f>
        <v>1</v>
      </c>
      <c r="D32" s="55">
        <f>COUNTIFS(Archives!$S$2:$S$1048576,"Singles",Archives!$V$2:$V$1048576,$B32,Archives!$AB$2:$AB$1048576,"L")</f>
        <v>4</v>
      </c>
      <c r="E32" s="55">
        <f>COUNTIFS(Archives!$S$2:$S$1048576,"Singles",Archives!$V$2:$V$1048576,$B32,Archives!$AB$2:$AB$1048576,"T")</f>
        <v>0</v>
      </c>
      <c r="F32" s="56">
        <f t="shared" si="0"/>
        <v>0.2</v>
      </c>
      <c r="G32" s="55">
        <f t="shared" si="1"/>
        <v>5</v>
      </c>
      <c r="I32" s="46" t="s">
        <v>775</v>
      </c>
      <c r="J32" s="55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55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55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56">
        <f t="shared" si="2"/>
        <v>0.83333333333333337</v>
      </c>
      <c r="N32" s="55">
        <f t="shared" si="3"/>
        <v>6</v>
      </c>
    </row>
    <row r="33" spans="2:14" ht="15" customHeight="1" x14ac:dyDescent="0.2">
      <c r="B33" s="43" t="s">
        <v>465</v>
      </c>
      <c r="C33" s="52">
        <f>COUNTIFS(Archives!$S$2:$S$1048576,"Singles",Archives!$V$2:$V$1048576,$B33,Archives!$AB$2:$AB$1048576,"W")</f>
        <v>0</v>
      </c>
      <c r="D33" s="52">
        <f>COUNTIFS(Archives!$S$2:$S$1048576,"Singles",Archives!$V$2:$V$1048576,$B33,Archives!$AB$2:$AB$1048576,"L")</f>
        <v>2</v>
      </c>
      <c r="E33" s="52">
        <f>COUNTIFS(Archives!$S$2:$S$1048576,"Singles",Archives!$V$2:$V$1048576,$B33,Archives!$AB$2:$AB$1048576,"T")</f>
        <v>0</v>
      </c>
      <c r="F33" s="53">
        <f t="shared" si="0"/>
        <v>0</v>
      </c>
      <c r="G33" s="52">
        <f t="shared" si="1"/>
        <v>2</v>
      </c>
      <c r="I33" s="43" t="s">
        <v>780</v>
      </c>
      <c r="J33" s="52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52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52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53">
        <f t="shared" si="2"/>
        <v>0.75</v>
      </c>
      <c r="N33" s="52">
        <f t="shared" si="3"/>
        <v>10</v>
      </c>
    </row>
    <row r="34" spans="2:14" ht="15" customHeight="1" x14ac:dyDescent="0.2">
      <c r="B34" s="46" t="s">
        <v>129</v>
      </c>
      <c r="C34" s="55">
        <f>COUNTIFS(Archives!$S$2:$S$1048576,"Singles",Archives!$V$2:$V$1048576,$B34,Archives!$AB$2:$AB$1048576,"W")</f>
        <v>0</v>
      </c>
      <c r="D34" s="55">
        <f>COUNTIFS(Archives!$S$2:$S$1048576,"Singles",Archives!$V$2:$V$1048576,$B34,Archives!$AB$2:$AB$1048576,"L")</f>
        <v>1</v>
      </c>
      <c r="E34" s="55">
        <f>COUNTIFS(Archives!$S$2:$S$1048576,"Singles",Archives!$V$2:$V$1048576,$B34,Archives!$AB$2:$AB$1048576,"T")</f>
        <v>0</v>
      </c>
      <c r="F34" s="56">
        <f t="shared" si="0"/>
        <v>0</v>
      </c>
      <c r="G34" s="55">
        <f t="shared" si="1"/>
        <v>1</v>
      </c>
      <c r="I34" s="46" t="s">
        <v>779</v>
      </c>
      <c r="J34" s="55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55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55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56">
        <f t="shared" si="2"/>
        <v>0.75</v>
      </c>
      <c r="N34" s="55">
        <f t="shared" si="3"/>
        <v>4</v>
      </c>
    </row>
    <row r="35" spans="2:14" ht="15" customHeight="1" x14ac:dyDescent="0.2">
      <c r="B35" s="58" t="s">
        <v>730</v>
      </c>
      <c r="C35" s="59">
        <f>SUM(C5:C34)</f>
        <v>106</v>
      </c>
      <c r="D35" s="59">
        <f>SUM(D5:D34)</f>
        <v>106</v>
      </c>
      <c r="E35" s="59">
        <f>SUM(E5:E34)</f>
        <v>22</v>
      </c>
      <c r="F35" s="60">
        <f t="shared" si="0"/>
        <v>0.5</v>
      </c>
      <c r="G35" s="59">
        <f>SUM(G5:G34)</f>
        <v>234</v>
      </c>
      <c r="I35" s="43" t="s">
        <v>959</v>
      </c>
      <c r="J35" s="52">
        <f>COUNTIFS(Archives!$S$2:$S$1048576,"Doubles",Archives!$V$2:$V$1048576,"Buss",Archives!$Y$2:$Y$1048576,"Flanders",Archives!$AB$2:$AB$1048576,"W")+COUNTIFS(Archives!$S$2:$S$1048576,"Doubles",Archives!$V$2:$V$1048576,"Flanders",Archives!$Y$2:$Y$1048576,"Buss",Archives!$AB$2:$AB$1048576,"W")</f>
        <v>1</v>
      </c>
      <c r="K35" s="52">
        <f>COUNTIFS(Archives!$S$2:$S$1048576,"Doubles",Archives!$V$2:$V$1048576,"Buss",Archives!$Y$2:$Y$1048576,"Flanders",Archives!$AB$2:$AB$1048576,"L")+COUNTIFS(Archives!$S$2:$S$1048576,"Doubles",Archives!$V$2:$V$1048576,"Flanders",Archives!$Y$2:$Y$1048576,"Buss",Archives!$AB$2:$AB$1048576,"L")</f>
        <v>0</v>
      </c>
      <c r="L35" s="52">
        <f>COUNTIFS(Archives!$S$2:$S$1048576,"Doubles",Archives!$V$2:$V$1048576,"Buss",Archives!$Y$2:$Y$1048576,"Flanders",Archives!$AB$2:$AB$1048576,"T")+COUNTIFS(Archives!$S$2:$S$1048576,"Doubles",Archives!$V$2:$V$1048576,"Flanders",Archives!$Y$2:$Y$1048576,"Buss",Archives!$AB$2:$AB$1048576,"T")</f>
        <v>1</v>
      </c>
      <c r="M35" s="53">
        <f t="shared" si="2"/>
        <v>0.75</v>
      </c>
      <c r="N35" s="52">
        <f t="shared" si="3"/>
        <v>2</v>
      </c>
    </row>
    <row r="36" spans="2:14" ht="15" customHeight="1" x14ac:dyDescent="0.2">
      <c r="I36" s="46" t="s">
        <v>960</v>
      </c>
      <c r="J36" s="55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55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55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56">
        <f t="shared" si="2"/>
        <v>0.75</v>
      </c>
      <c r="N36" s="55">
        <f t="shared" si="3"/>
        <v>2</v>
      </c>
    </row>
    <row r="37" spans="2:14" ht="15" customHeight="1" x14ac:dyDescent="0.2">
      <c r="I37" s="43" t="s">
        <v>961</v>
      </c>
      <c r="J37" s="52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52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52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53">
        <f t="shared" ref="M37:M68" si="4">IF(N37=0,0,(J37+0.5*L37)/N37)</f>
        <v>0.75</v>
      </c>
      <c r="N37" s="52">
        <f t="shared" ref="N37:N68" si="5">J37+K37+L37</f>
        <v>2</v>
      </c>
    </row>
    <row r="38" spans="2:14" ht="15" customHeight="1" x14ac:dyDescent="0.2">
      <c r="I38" s="46" t="s">
        <v>962</v>
      </c>
      <c r="J38" s="55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55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55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56">
        <f t="shared" si="4"/>
        <v>0.75</v>
      </c>
      <c r="N38" s="55">
        <f t="shared" si="5"/>
        <v>2</v>
      </c>
    </row>
    <row r="39" spans="2:14" ht="15" customHeight="1" x14ac:dyDescent="0.2">
      <c r="I39" s="43" t="s">
        <v>963</v>
      </c>
      <c r="J39" s="52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52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52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53">
        <f t="shared" si="4"/>
        <v>0.75</v>
      </c>
      <c r="N39" s="52">
        <f t="shared" si="5"/>
        <v>2</v>
      </c>
    </row>
    <row r="40" spans="2:14" ht="15" customHeight="1" x14ac:dyDescent="0.2">
      <c r="I40" s="46" t="s">
        <v>964</v>
      </c>
      <c r="J40" s="55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55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55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56">
        <f t="shared" si="4"/>
        <v>0.75</v>
      </c>
      <c r="N40" s="55">
        <f t="shared" si="5"/>
        <v>2</v>
      </c>
    </row>
    <row r="41" spans="2:14" ht="15" customHeight="1" x14ac:dyDescent="0.2">
      <c r="I41" s="43" t="s">
        <v>965</v>
      </c>
      <c r="J41" s="52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52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52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53">
        <f t="shared" si="4"/>
        <v>0.75</v>
      </c>
      <c r="N41" s="52">
        <f t="shared" si="5"/>
        <v>2</v>
      </c>
    </row>
    <row r="42" spans="2:14" ht="15" customHeight="1" x14ac:dyDescent="0.2">
      <c r="I42" s="46" t="s">
        <v>966</v>
      </c>
      <c r="J42" s="55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55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55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56">
        <f t="shared" si="4"/>
        <v>0.75</v>
      </c>
      <c r="N42" s="55">
        <f t="shared" si="5"/>
        <v>2</v>
      </c>
    </row>
    <row r="43" spans="2:14" ht="15" customHeight="1" x14ac:dyDescent="0.2">
      <c r="I43" s="43" t="s">
        <v>967</v>
      </c>
      <c r="J43" s="52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52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52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53">
        <f t="shared" si="4"/>
        <v>0.75</v>
      </c>
      <c r="N43" s="52">
        <f t="shared" si="5"/>
        <v>2</v>
      </c>
    </row>
    <row r="44" spans="2:14" ht="15" customHeight="1" x14ac:dyDescent="0.2">
      <c r="I44" s="46" t="s">
        <v>968</v>
      </c>
      <c r="J44" s="55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55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55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56">
        <f t="shared" si="4"/>
        <v>0.75</v>
      </c>
      <c r="N44" s="55">
        <f t="shared" si="5"/>
        <v>2</v>
      </c>
    </row>
    <row r="45" spans="2:14" ht="15" customHeight="1" x14ac:dyDescent="0.2">
      <c r="I45" s="43" t="s">
        <v>969</v>
      </c>
      <c r="J45" s="52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52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52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53">
        <f t="shared" si="4"/>
        <v>0.75</v>
      </c>
      <c r="N45" s="52">
        <f t="shared" si="5"/>
        <v>2</v>
      </c>
    </row>
    <row r="46" spans="2:14" ht="15" customHeight="1" x14ac:dyDescent="0.2">
      <c r="I46" s="46" t="s">
        <v>970</v>
      </c>
      <c r="J46" s="55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55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55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56">
        <f t="shared" si="4"/>
        <v>0.75</v>
      </c>
      <c r="N46" s="55">
        <f t="shared" si="5"/>
        <v>2</v>
      </c>
    </row>
    <row r="47" spans="2:14" ht="15" customHeight="1" x14ac:dyDescent="0.2">
      <c r="I47" s="43" t="s">
        <v>782</v>
      </c>
      <c r="J47" s="52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52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52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53">
        <f t="shared" si="4"/>
        <v>0.68181818181818177</v>
      </c>
      <c r="N47" s="52">
        <f t="shared" si="5"/>
        <v>11</v>
      </c>
    </row>
    <row r="48" spans="2:14" ht="15" customHeight="1" x14ac:dyDescent="0.2">
      <c r="I48" s="46" t="s">
        <v>783</v>
      </c>
      <c r="J48" s="55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55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55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56">
        <f t="shared" si="4"/>
        <v>0.66666666666666663</v>
      </c>
      <c r="N48" s="55">
        <f t="shared" si="5"/>
        <v>6</v>
      </c>
    </row>
    <row r="49" spans="9:14" ht="15" customHeight="1" x14ac:dyDescent="0.2">
      <c r="I49" s="43" t="s">
        <v>971</v>
      </c>
      <c r="J49" s="52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52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52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53">
        <f t="shared" si="4"/>
        <v>0.66666666666666663</v>
      </c>
      <c r="N49" s="52">
        <f t="shared" si="5"/>
        <v>3</v>
      </c>
    </row>
    <row r="50" spans="9:14" ht="15" customHeight="1" x14ac:dyDescent="0.2">
      <c r="I50" s="46" t="s">
        <v>776</v>
      </c>
      <c r="J50" s="55">
        <f>COUNTIFS(Archives!$S$2:$S$1048576,"Doubles",Archives!$V$2:$V$1048576,"Buss",Archives!$Y$2:$Y$1048576,"Shively",Archives!$AB$2:$AB$1048576,"W")+COUNTIFS(Archives!$S$2:$S$1048576,"Doubles",Archives!$V$2:$V$1048576,"Shively",Archives!$Y$2:$Y$1048576,"Buss",Archives!$AB$2:$AB$1048576,"W")</f>
        <v>2</v>
      </c>
      <c r="K50" s="55">
        <f>COUNTIFS(Archives!$S$2:$S$1048576,"Doubles",Archives!$V$2:$V$1048576,"Buss",Archives!$Y$2:$Y$1048576,"Shively",Archives!$AB$2:$AB$1048576,"L")+COUNTIFS(Archives!$S$2:$S$1048576,"Doubles",Archives!$V$2:$V$1048576,"Shively",Archives!$Y$2:$Y$1048576,"Buss",Archives!$AB$2:$AB$1048576,"L")</f>
        <v>1</v>
      </c>
      <c r="L50" s="55">
        <f>COUNTIFS(Archives!$S$2:$S$1048576,"Doubles",Archives!$V$2:$V$1048576,"Buss",Archives!$Y$2:$Y$1048576,"Shively",Archives!$AB$2:$AB$1048576,"T")+COUNTIFS(Archives!$S$2:$S$1048576,"Doubles",Archives!$V$2:$V$1048576,"Shively",Archives!$Y$2:$Y$1048576,"Buss",Archives!$AB$2:$AB$1048576,"T")</f>
        <v>1</v>
      </c>
      <c r="M50" s="56">
        <f t="shared" si="4"/>
        <v>0.625</v>
      </c>
      <c r="N50" s="55">
        <f t="shared" si="5"/>
        <v>4</v>
      </c>
    </row>
    <row r="51" spans="9:14" ht="15" customHeight="1" x14ac:dyDescent="0.2">
      <c r="I51" s="43" t="s">
        <v>785</v>
      </c>
      <c r="J51" s="52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52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52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53">
        <f t="shared" si="4"/>
        <v>0.625</v>
      </c>
      <c r="N51" s="52">
        <f t="shared" si="5"/>
        <v>4</v>
      </c>
    </row>
    <row r="52" spans="9:14" ht="15" customHeight="1" x14ac:dyDescent="0.2">
      <c r="I52" s="46" t="s">
        <v>786</v>
      </c>
      <c r="J52" s="55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55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55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56">
        <f t="shared" si="4"/>
        <v>0.625</v>
      </c>
      <c r="N52" s="55">
        <f t="shared" si="5"/>
        <v>4</v>
      </c>
    </row>
    <row r="53" spans="9:14" ht="15" customHeight="1" x14ac:dyDescent="0.2">
      <c r="I53" s="43" t="s">
        <v>777</v>
      </c>
      <c r="J53" s="52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52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52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53">
        <f t="shared" si="4"/>
        <v>0.625</v>
      </c>
      <c r="N53" s="52">
        <f t="shared" si="5"/>
        <v>4</v>
      </c>
    </row>
    <row r="54" spans="9:14" ht="15" customHeight="1" x14ac:dyDescent="0.2">
      <c r="I54" s="46" t="s">
        <v>778</v>
      </c>
      <c r="J54" s="55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55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55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56">
        <f t="shared" si="4"/>
        <v>0.625</v>
      </c>
      <c r="N54" s="55">
        <f t="shared" si="5"/>
        <v>4</v>
      </c>
    </row>
    <row r="55" spans="9:14" ht="15" customHeight="1" x14ac:dyDescent="0.2">
      <c r="I55" s="43" t="s">
        <v>789</v>
      </c>
      <c r="J55" s="52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52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52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53">
        <f t="shared" si="4"/>
        <v>0.625</v>
      </c>
      <c r="N55" s="52">
        <f t="shared" si="5"/>
        <v>4</v>
      </c>
    </row>
    <row r="56" spans="9:14" ht="15" customHeight="1" x14ac:dyDescent="0.2">
      <c r="I56" s="46" t="s">
        <v>787</v>
      </c>
      <c r="J56" s="55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55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55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56">
        <f t="shared" si="4"/>
        <v>0.625</v>
      </c>
      <c r="N56" s="55">
        <f t="shared" si="5"/>
        <v>4</v>
      </c>
    </row>
    <row r="57" spans="9:14" ht="15" customHeight="1" x14ac:dyDescent="0.2">
      <c r="I57" s="43" t="s">
        <v>793</v>
      </c>
      <c r="J57" s="52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52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52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53">
        <f t="shared" si="4"/>
        <v>0.625</v>
      </c>
      <c r="N57" s="52">
        <f t="shared" si="5"/>
        <v>4</v>
      </c>
    </row>
    <row r="58" spans="9:14" ht="15" customHeight="1" x14ac:dyDescent="0.2">
      <c r="I58" s="46" t="s">
        <v>788</v>
      </c>
      <c r="J58" s="55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55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55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56">
        <f t="shared" si="4"/>
        <v>0.625</v>
      </c>
      <c r="N58" s="55">
        <f t="shared" si="5"/>
        <v>4</v>
      </c>
    </row>
    <row r="59" spans="9:14" ht="15" customHeight="1" x14ac:dyDescent="0.2">
      <c r="I59" s="43" t="s">
        <v>781</v>
      </c>
      <c r="J59" s="52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52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52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53">
        <f t="shared" si="4"/>
        <v>0.625</v>
      </c>
      <c r="N59" s="52">
        <f t="shared" si="5"/>
        <v>4</v>
      </c>
    </row>
    <row r="60" spans="9:14" ht="15" customHeight="1" x14ac:dyDescent="0.2">
      <c r="I60" s="46" t="s">
        <v>791</v>
      </c>
      <c r="J60" s="55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55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55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56">
        <f t="shared" si="4"/>
        <v>0.625</v>
      </c>
      <c r="N60" s="55">
        <f t="shared" si="5"/>
        <v>4</v>
      </c>
    </row>
    <row r="61" spans="9:14" ht="15" customHeight="1" x14ac:dyDescent="0.2">
      <c r="I61" s="43" t="s">
        <v>784</v>
      </c>
      <c r="J61" s="52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52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52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53">
        <f t="shared" si="4"/>
        <v>0.625</v>
      </c>
      <c r="N61" s="52">
        <f t="shared" si="5"/>
        <v>4</v>
      </c>
    </row>
    <row r="62" spans="9:14" ht="15" customHeight="1" x14ac:dyDescent="0.2">
      <c r="I62" s="46" t="s">
        <v>790</v>
      </c>
      <c r="J62" s="55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55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55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56">
        <f t="shared" si="4"/>
        <v>0.625</v>
      </c>
      <c r="N62" s="55">
        <f t="shared" si="5"/>
        <v>4</v>
      </c>
    </row>
    <row r="63" spans="9:14" ht="15" customHeight="1" x14ac:dyDescent="0.2">
      <c r="I63" s="43" t="s">
        <v>801</v>
      </c>
      <c r="J63" s="52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52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52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53">
        <f t="shared" si="4"/>
        <v>0.6</v>
      </c>
      <c r="N63" s="52">
        <f t="shared" si="5"/>
        <v>15</v>
      </c>
    </row>
    <row r="64" spans="9:14" ht="15" customHeight="1" x14ac:dyDescent="0.2">
      <c r="I64" s="46" t="s">
        <v>799</v>
      </c>
      <c r="J64" s="55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55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55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56">
        <f t="shared" si="4"/>
        <v>0.58333333333333337</v>
      </c>
      <c r="N64" s="55">
        <f t="shared" si="5"/>
        <v>6</v>
      </c>
    </row>
    <row r="65" spans="9:14" ht="15" customHeight="1" x14ac:dyDescent="0.2">
      <c r="I65" s="43" t="s">
        <v>803</v>
      </c>
      <c r="J65" s="52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52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52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53">
        <f t="shared" si="4"/>
        <v>0.58333333333333337</v>
      </c>
      <c r="N65" s="52">
        <f t="shared" si="5"/>
        <v>6</v>
      </c>
    </row>
    <row r="66" spans="9:14" ht="15" customHeight="1" x14ac:dyDescent="0.2">
      <c r="I66" s="46" t="s">
        <v>792</v>
      </c>
      <c r="J66" s="55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55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55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56">
        <f t="shared" si="4"/>
        <v>0.58333333333333337</v>
      </c>
      <c r="N66" s="55">
        <f t="shared" si="5"/>
        <v>6</v>
      </c>
    </row>
    <row r="67" spans="9:14" ht="15" customHeight="1" x14ac:dyDescent="0.2">
      <c r="I67" s="43" t="s">
        <v>798</v>
      </c>
      <c r="J67" s="52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52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52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53">
        <f t="shared" si="4"/>
        <v>0.5714285714285714</v>
      </c>
      <c r="N67" s="52">
        <f t="shared" si="5"/>
        <v>7</v>
      </c>
    </row>
    <row r="68" spans="9:14" ht="15" customHeight="1" x14ac:dyDescent="0.2">
      <c r="I68" s="46" t="s">
        <v>805</v>
      </c>
      <c r="J68" s="55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55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55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56">
        <f t="shared" si="4"/>
        <v>0.5</v>
      </c>
      <c r="N68" s="55">
        <f t="shared" si="5"/>
        <v>6</v>
      </c>
    </row>
    <row r="69" spans="9:14" ht="15" customHeight="1" x14ac:dyDescent="0.2">
      <c r="I69" s="43" t="s">
        <v>797</v>
      </c>
      <c r="J69" s="52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52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52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53">
        <f t="shared" ref="M69:M100" si="6">IF(N69=0,0,(J69+0.5*L69)/N69)</f>
        <v>0.5</v>
      </c>
      <c r="N69" s="52">
        <f t="shared" ref="N69:N100" si="7">J69+K69+L69</f>
        <v>6</v>
      </c>
    </row>
    <row r="70" spans="9:14" ht="15" customHeight="1" x14ac:dyDescent="0.2">
      <c r="I70" s="46" t="s">
        <v>796</v>
      </c>
      <c r="J70" s="55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55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55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56">
        <f t="shared" si="6"/>
        <v>0.5</v>
      </c>
      <c r="N70" s="55">
        <f t="shared" si="7"/>
        <v>6</v>
      </c>
    </row>
    <row r="71" spans="9:14" ht="15" customHeight="1" x14ac:dyDescent="0.2">
      <c r="I71" s="43" t="s">
        <v>794</v>
      </c>
      <c r="J71" s="52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52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52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53">
        <f t="shared" si="6"/>
        <v>0.5</v>
      </c>
      <c r="N71" s="52">
        <f t="shared" si="7"/>
        <v>6</v>
      </c>
    </row>
    <row r="72" spans="9:14" ht="15" customHeight="1" x14ac:dyDescent="0.2">
      <c r="I72" s="46" t="s">
        <v>807</v>
      </c>
      <c r="J72" s="55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55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55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56">
        <f t="shared" si="6"/>
        <v>0.5</v>
      </c>
      <c r="N72" s="55">
        <f t="shared" si="7"/>
        <v>4</v>
      </c>
    </row>
    <row r="73" spans="9:14" ht="15" customHeight="1" x14ac:dyDescent="0.2">
      <c r="I73" s="43" t="s">
        <v>809</v>
      </c>
      <c r="J73" s="52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52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52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53">
        <f t="shared" si="6"/>
        <v>0.5</v>
      </c>
      <c r="N73" s="52">
        <f t="shared" si="7"/>
        <v>4</v>
      </c>
    </row>
    <row r="74" spans="9:14" ht="15" customHeight="1" x14ac:dyDescent="0.2">
      <c r="I74" s="46" t="s">
        <v>815</v>
      </c>
      <c r="J74" s="55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55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55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56">
        <f t="shared" si="6"/>
        <v>0.5</v>
      </c>
      <c r="N74" s="55">
        <f t="shared" si="7"/>
        <v>4</v>
      </c>
    </row>
    <row r="75" spans="9:14" ht="15" customHeight="1" x14ac:dyDescent="0.2">
      <c r="I75" s="43" t="s">
        <v>810</v>
      </c>
      <c r="J75" s="52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52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52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53">
        <f t="shared" si="6"/>
        <v>0.5</v>
      </c>
      <c r="N75" s="52">
        <f t="shared" si="7"/>
        <v>4</v>
      </c>
    </row>
    <row r="76" spans="9:14" ht="15" customHeight="1" x14ac:dyDescent="0.2">
      <c r="I76" s="46" t="s">
        <v>795</v>
      </c>
      <c r="J76" s="55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55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55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56">
        <f t="shared" si="6"/>
        <v>0.5</v>
      </c>
      <c r="N76" s="55">
        <f t="shared" si="7"/>
        <v>4</v>
      </c>
    </row>
    <row r="77" spans="9:14" ht="15" customHeight="1" x14ac:dyDescent="0.2">
      <c r="I77" s="43" t="s">
        <v>802</v>
      </c>
      <c r="J77" s="52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52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52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53">
        <f t="shared" si="6"/>
        <v>0.5</v>
      </c>
      <c r="N77" s="52">
        <f t="shared" si="7"/>
        <v>4</v>
      </c>
    </row>
    <row r="78" spans="9:14" ht="15" customHeight="1" x14ac:dyDescent="0.2">
      <c r="I78" s="46" t="s">
        <v>800</v>
      </c>
      <c r="J78" s="55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55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55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56">
        <f t="shared" si="6"/>
        <v>0.5</v>
      </c>
      <c r="N78" s="55">
        <f t="shared" si="7"/>
        <v>4</v>
      </c>
    </row>
    <row r="79" spans="9:14" ht="15" customHeight="1" x14ac:dyDescent="0.2">
      <c r="I79" s="43" t="s">
        <v>972</v>
      </c>
      <c r="J79" s="52">
        <f>COUNTIFS(Archives!$S$2:$S$1048576,"Doubles",Archives!$V$2:$V$1048576,"Buss",Archives!$Y$2:$Y$1048576,"Lynch",Archives!$AB$2:$AB$1048576,"W")+COUNTIFS(Archives!$S$2:$S$1048576,"Doubles",Archives!$V$2:$V$1048576,"Lynch",Archives!$Y$2:$Y$1048576,"Buss",Archives!$AB$2:$AB$1048576,"W")</f>
        <v>1</v>
      </c>
      <c r="K79" s="52">
        <f>COUNTIFS(Archives!$S$2:$S$1048576,"Doubles",Archives!$V$2:$V$1048576,"Buss",Archives!$Y$2:$Y$1048576,"Lynch",Archives!$AB$2:$AB$1048576,"L")+COUNTIFS(Archives!$S$2:$S$1048576,"Doubles",Archives!$V$2:$V$1048576,"Lynch",Archives!$Y$2:$Y$1048576,"Buss",Archives!$AB$2:$AB$1048576,"L")</f>
        <v>1</v>
      </c>
      <c r="L79" s="52">
        <f>COUNTIFS(Archives!$S$2:$S$1048576,"Doubles",Archives!$V$2:$V$1048576,"Buss",Archives!$Y$2:$Y$1048576,"Lynch",Archives!$AB$2:$AB$1048576,"T")+COUNTIFS(Archives!$S$2:$S$1048576,"Doubles",Archives!$V$2:$V$1048576,"Lynch",Archives!$Y$2:$Y$1048576,"Buss",Archives!$AB$2:$AB$1048576,"T")</f>
        <v>0</v>
      </c>
      <c r="M79" s="53">
        <f t="shared" si="6"/>
        <v>0.5</v>
      </c>
      <c r="N79" s="52">
        <f t="shared" si="7"/>
        <v>2</v>
      </c>
    </row>
    <row r="80" spans="9:14" ht="15" customHeight="1" x14ac:dyDescent="0.2">
      <c r="I80" s="46" t="s">
        <v>973</v>
      </c>
      <c r="J80" s="55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55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55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56">
        <f t="shared" si="6"/>
        <v>0.5</v>
      </c>
      <c r="N80" s="55">
        <f t="shared" si="7"/>
        <v>2</v>
      </c>
    </row>
    <row r="81" spans="9:14" ht="15" customHeight="1" x14ac:dyDescent="0.2">
      <c r="I81" s="43" t="s">
        <v>974</v>
      </c>
      <c r="J81" s="52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52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52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53">
        <f t="shared" si="6"/>
        <v>0.5</v>
      </c>
      <c r="N81" s="52">
        <f t="shared" si="7"/>
        <v>2</v>
      </c>
    </row>
    <row r="82" spans="9:14" ht="15" customHeight="1" x14ac:dyDescent="0.2">
      <c r="I82" s="46" t="s">
        <v>975</v>
      </c>
      <c r="J82" s="55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55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55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56">
        <f t="shared" si="6"/>
        <v>0.5</v>
      </c>
      <c r="N82" s="55">
        <f t="shared" si="7"/>
        <v>2</v>
      </c>
    </row>
    <row r="83" spans="9:14" ht="15" customHeight="1" x14ac:dyDescent="0.2">
      <c r="I83" s="43" t="s">
        <v>976</v>
      </c>
      <c r="J83" s="52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52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52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53">
        <f t="shared" si="6"/>
        <v>0.5</v>
      </c>
      <c r="N83" s="52">
        <f t="shared" si="7"/>
        <v>2</v>
      </c>
    </row>
    <row r="84" spans="9:14" ht="15" customHeight="1" x14ac:dyDescent="0.2">
      <c r="I84" s="46" t="s">
        <v>977</v>
      </c>
      <c r="J84" s="55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55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55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56">
        <f t="shared" si="6"/>
        <v>0.5</v>
      </c>
      <c r="N84" s="55">
        <f t="shared" si="7"/>
        <v>2</v>
      </c>
    </row>
    <row r="85" spans="9:14" ht="15" customHeight="1" x14ac:dyDescent="0.2">
      <c r="I85" s="43" t="s">
        <v>978</v>
      </c>
      <c r="J85" s="52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52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52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53">
        <f t="shared" si="6"/>
        <v>0.5</v>
      </c>
      <c r="N85" s="52">
        <f t="shared" si="7"/>
        <v>2</v>
      </c>
    </row>
    <row r="86" spans="9:14" ht="15" customHeight="1" x14ac:dyDescent="0.2">
      <c r="I86" s="46" t="s">
        <v>979</v>
      </c>
      <c r="J86" s="55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55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55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56">
        <f t="shared" si="6"/>
        <v>0.5</v>
      </c>
      <c r="N86" s="55">
        <f t="shared" si="7"/>
        <v>2</v>
      </c>
    </row>
    <row r="87" spans="9:14" ht="15" customHeight="1" x14ac:dyDescent="0.2">
      <c r="I87" s="43" t="s">
        <v>980</v>
      </c>
      <c r="J87" s="52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52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52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53">
        <f t="shared" si="6"/>
        <v>0.5</v>
      </c>
      <c r="N87" s="52">
        <f t="shared" si="7"/>
        <v>2</v>
      </c>
    </row>
    <row r="88" spans="9:14" ht="15" customHeight="1" x14ac:dyDescent="0.2">
      <c r="I88" s="46" t="s">
        <v>981</v>
      </c>
      <c r="J88" s="55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55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55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56">
        <f t="shared" si="6"/>
        <v>0.5</v>
      </c>
      <c r="N88" s="55">
        <f t="shared" si="7"/>
        <v>2</v>
      </c>
    </row>
    <row r="89" spans="9:14" ht="15" customHeight="1" x14ac:dyDescent="0.2">
      <c r="I89" s="43" t="s">
        <v>982</v>
      </c>
      <c r="J89" s="52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52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52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53">
        <f t="shared" si="6"/>
        <v>0.5</v>
      </c>
      <c r="N89" s="52">
        <f t="shared" si="7"/>
        <v>2</v>
      </c>
    </row>
    <row r="90" spans="9:14" ht="15" customHeight="1" x14ac:dyDescent="0.2">
      <c r="I90" s="46" t="s">
        <v>983</v>
      </c>
      <c r="J90" s="55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55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55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56">
        <f t="shared" si="6"/>
        <v>0.5</v>
      </c>
      <c r="N90" s="55">
        <f t="shared" si="7"/>
        <v>2</v>
      </c>
    </row>
    <row r="91" spans="9:14" ht="15" customHeight="1" x14ac:dyDescent="0.2">
      <c r="I91" s="43" t="s">
        <v>984</v>
      </c>
      <c r="J91" s="52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52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52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53">
        <f t="shared" si="6"/>
        <v>0.5</v>
      </c>
      <c r="N91" s="52">
        <f t="shared" si="7"/>
        <v>2</v>
      </c>
    </row>
    <row r="92" spans="9:14" ht="15" customHeight="1" x14ac:dyDescent="0.2">
      <c r="I92" s="46" t="s">
        <v>985</v>
      </c>
      <c r="J92" s="55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55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55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56">
        <f t="shared" si="6"/>
        <v>0.5</v>
      </c>
      <c r="N92" s="55">
        <f t="shared" si="7"/>
        <v>2</v>
      </c>
    </row>
    <row r="93" spans="9:14" ht="15" customHeight="1" x14ac:dyDescent="0.2">
      <c r="I93" s="43" t="s">
        <v>986</v>
      </c>
      <c r="J93" s="52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52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52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53">
        <f t="shared" si="6"/>
        <v>0.5</v>
      </c>
      <c r="N93" s="52">
        <f t="shared" si="7"/>
        <v>2</v>
      </c>
    </row>
    <row r="94" spans="9:14" ht="15" customHeight="1" x14ac:dyDescent="0.2">
      <c r="I94" s="46" t="s">
        <v>987</v>
      </c>
      <c r="J94" s="55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55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55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56">
        <f t="shared" si="6"/>
        <v>0.5</v>
      </c>
      <c r="N94" s="55">
        <f t="shared" si="7"/>
        <v>2</v>
      </c>
    </row>
    <row r="95" spans="9:14" ht="15" customHeight="1" x14ac:dyDescent="0.2">
      <c r="I95" s="43" t="s">
        <v>988</v>
      </c>
      <c r="J95" s="52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52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52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53">
        <f t="shared" si="6"/>
        <v>0.5</v>
      </c>
      <c r="N95" s="52">
        <f t="shared" si="7"/>
        <v>2</v>
      </c>
    </row>
    <row r="96" spans="9:14" ht="15" customHeight="1" x14ac:dyDescent="0.2">
      <c r="I96" s="46" t="s">
        <v>989</v>
      </c>
      <c r="J96" s="55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55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55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56">
        <f t="shared" si="6"/>
        <v>0.5</v>
      </c>
      <c r="N96" s="55">
        <f t="shared" si="7"/>
        <v>2</v>
      </c>
    </row>
    <row r="97" spans="9:14" ht="15" customHeight="1" x14ac:dyDescent="0.2">
      <c r="I97" s="43" t="s">
        <v>990</v>
      </c>
      <c r="J97" s="52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52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52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53">
        <f t="shared" si="6"/>
        <v>0.5</v>
      </c>
      <c r="N97" s="52">
        <f t="shared" si="7"/>
        <v>2</v>
      </c>
    </row>
    <row r="98" spans="9:14" ht="15" customHeight="1" x14ac:dyDescent="0.2">
      <c r="I98" s="46" t="s">
        <v>991</v>
      </c>
      <c r="J98" s="55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55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55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56">
        <f t="shared" si="6"/>
        <v>0.5</v>
      </c>
      <c r="N98" s="55">
        <f t="shared" si="7"/>
        <v>2</v>
      </c>
    </row>
    <row r="99" spans="9:14" ht="15" customHeight="1" x14ac:dyDescent="0.2">
      <c r="I99" s="43" t="s">
        <v>992</v>
      </c>
      <c r="J99" s="52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52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52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53">
        <f t="shared" si="6"/>
        <v>0.5</v>
      </c>
      <c r="N99" s="52">
        <f t="shared" si="7"/>
        <v>2</v>
      </c>
    </row>
    <row r="100" spans="9:14" ht="15" customHeight="1" x14ac:dyDescent="0.2">
      <c r="I100" s="46" t="s">
        <v>993</v>
      </c>
      <c r="J100" s="55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55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55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56">
        <f t="shared" si="6"/>
        <v>0.5</v>
      </c>
      <c r="N100" s="55">
        <f t="shared" si="7"/>
        <v>2</v>
      </c>
    </row>
    <row r="101" spans="9:14" ht="15" customHeight="1" x14ac:dyDescent="0.2">
      <c r="I101" s="43" t="s">
        <v>994</v>
      </c>
      <c r="J101" s="52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52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52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53">
        <f t="shared" ref="M101:M132" si="8">IF(N101=0,0,(J101+0.5*L101)/N101)</f>
        <v>0.5</v>
      </c>
      <c r="N101" s="52">
        <f t="shared" ref="N101:N132" si="9">J101+K101+L101</f>
        <v>2</v>
      </c>
    </row>
    <row r="102" spans="9:14" ht="15" customHeight="1" x14ac:dyDescent="0.2">
      <c r="I102" s="46" t="s">
        <v>995</v>
      </c>
      <c r="J102" s="55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55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55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56">
        <f t="shared" si="8"/>
        <v>0.5</v>
      </c>
      <c r="N102" s="55">
        <f t="shared" si="9"/>
        <v>2</v>
      </c>
    </row>
    <row r="103" spans="9:14" ht="15" customHeight="1" x14ac:dyDescent="0.2">
      <c r="I103" s="43" t="s">
        <v>996</v>
      </c>
      <c r="J103" s="52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52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52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53">
        <f t="shared" si="8"/>
        <v>0.5</v>
      </c>
      <c r="N103" s="52">
        <f t="shared" si="9"/>
        <v>2</v>
      </c>
    </row>
    <row r="104" spans="9:14" ht="15" customHeight="1" x14ac:dyDescent="0.2">
      <c r="I104" s="46" t="s">
        <v>997</v>
      </c>
      <c r="J104" s="55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55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55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56">
        <f t="shared" si="8"/>
        <v>0.5</v>
      </c>
      <c r="N104" s="55">
        <f t="shared" si="9"/>
        <v>2</v>
      </c>
    </row>
    <row r="105" spans="9:14" ht="15" customHeight="1" x14ac:dyDescent="0.2">
      <c r="I105" s="43" t="s">
        <v>998</v>
      </c>
      <c r="J105" s="52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52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52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53">
        <f t="shared" si="8"/>
        <v>0.5</v>
      </c>
      <c r="N105" s="52">
        <f t="shared" si="9"/>
        <v>2</v>
      </c>
    </row>
    <row r="106" spans="9:14" ht="15" customHeight="1" x14ac:dyDescent="0.2">
      <c r="I106" s="46" t="s">
        <v>812</v>
      </c>
      <c r="J106" s="55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55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55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56">
        <f t="shared" si="8"/>
        <v>0.45833333333333331</v>
      </c>
      <c r="N106" s="55">
        <f t="shared" si="9"/>
        <v>12</v>
      </c>
    </row>
    <row r="107" spans="9:14" ht="15" customHeight="1" x14ac:dyDescent="0.2">
      <c r="I107" s="43" t="s">
        <v>806</v>
      </c>
      <c r="J107" s="52">
        <f>COUNTIFS(Archives!$S$2:$S$1048576,"Doubles",Archives!$V$2:$V$1048576,"Buss",Archives!$Y$2:$Y$1048576,"Mangold",Archives!$AB$2:$AB$1048576,"W")+COUNTIFS(Archives!$S$2:$S$1048576,"Doubles",Archives!$V$2:$V$1048576,"Mangold",Archives!$Y$2:$Y$1048576,"Buss",Archives!$AB$2:$AB$1048576,"W")</f>
        <v>2</v>
      </c>
      <c r="K107" s="52">
        <f>COUNTIFS(Archives!$S$2:$S$1048576,"Doubles",Archives!$V$2:$V$1048576,"Buss",Archives!$Y$2:$Y$1048576,"Mangold",Archives!$AB$2:$AB$1048576,"L")+COUNTIFS(Archives!$S$2:$S$1048576,"Doubles",Archives!$V$2:$V$1048576,"Mangold",Archives!$Y$2:$Y$1048576,"Buss",Archives!$AB$2:$AB$1048576,"L")</f>
        <v>3</v>
      </c>
      <c r="L107" s="52">
        <f>COUNTIFS(Archives!$S$2:$S$1048576,"Doubles",Archives!$V$2:$V$1048576,"Buss",Archives!$Y$2:$Y$1048576,"Mangold",Archives!$AB$2:$AB$1048576,"T")+COUNTIFS(Archives!$S$2:$S$1048576,"Doubles",Archives!$V$2:$V$1048576,"Mangold",Archives!$Y$2:$Y$1048576,"Buss",Archives!$AB$2:$AB$1048576,"T")</f>
        <v>1</v>
      </c>
      <c r="M107" s="53">
        <f t="shared" si="8"/>
        <v>0.41666666666666669</v>
      </c>
      <c r="N107" s="52">
        <f t="shared" si="9"/>
        <v>6</v>
      </c>
    </row>
    <row r="108" spans="9:14" ht="15" customHeight="1" x14ac:dyDescent="0.2">
      <c r="I108" s="46" t="s">
        <v>813</v>
      </c>
      <c r="J108" s="55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55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55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56">
        <f t="shared" si="8"/>
        <v>0.41666666666666669</v>
      </c>
      <c r="N108" s="55">
        <f t="shared" si="9"/>
        <v>6</v>
      </c>
    </row>
    <row r="109" spans="9:14" ht="15" customHeight="1" x14ac:dyDescent="0.2">
      <c r="I109" s="43" t="s">
        <v>804</v>
      </c>
      <c r="J109" s="52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52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52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53">
        <f t="shared" si="8"/>
        <v>0.375</v>
      </c>
      <c r="N109" s="52">
        <f t="shared" si="9"/>
        <v>4</v>
      </c>
    </row>
    <row r="110" spans="9:14" ht="15" customHeight="1" x14ac:dyDescent="0.2">
      <c r="I110" s="46" t="s">
        <v>811</v>
      </c>
      <c r="J110" s="55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55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55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56">
        <f t="shared" si="8"/>
        <v>0.375</v>
      </c>
      <c r="N110" s="55">
        <f t="shared" si="9"/>
        <v>4</v>
      </c>
    </row>
    <row r="111" spans="9:14" ht="15" customHeight="1" x14ac:dyDescent="0.2">
      <c r="I111" s="43" t="s">
        <v>817</v>
      </c>
      <c r="J111" s="52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52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52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53">
        <f t="shared" si="8"/>
        <v>0.375</v>
      </c>
      <c r="N111" s="52">
        <f t="shared" si="9"/>
        <v>4</v>
      </c>
    </row>
    <row r="112" spans="9:14" ht="15" customHeight="1" x14ac:dyDescent="0.2">
      <c r="I112" s="46" t="s">
        <v>808</v>
      </c>
      <c r="J112" s="55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55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55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56">
        <f t="shared" si="8"/>
        <v>0.375</v>
      </c>
      <c r="N112" s="55">
        <f t="shared" si="9"/>
        <v>4</v>
      </c>
    </row>
    <row r="113" spans="9:14" ht="15" customHeight="1" x14ac:dyDescent="0.2">
      <c r="I113" s="43" t="s">
        <v>814</v>
      </c>
      <c r="J113" s="52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52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52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53">
        <f t="shared" si="8"/>
        <v>0.33333333333333331</v>
      </c>
      <c r="N113" s="52">
        <f t="shared" si="9"/>
        <v>6</v>
      </c>
    </row>
    <row r="114" spans="9:14" ht="15" customHeight="1" x14ac:dyDescent="0.2">
      <c r="I114" s="46" t="s">
        <v>816</v>
      </c>
      <c r="J114" s="55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55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55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56">
        <f t="shared" si="8"/>
        <v>0.33333333333333331</v>
      </c>
      <c r="N114" s="55">
        <f t="shared" si="9"/>
        <v>6</v>
      </c>
    </row>
    <row r="115" spans="9:14" ht="15" customHeight="1" x14ac:dyDescent="0.2">
      <c r="I115" s="43" t="s">
        <v>999</v>
      </c>
      <c r="J115" s="52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52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52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53">
        <f t="shared" si="8"/>
        <v>0.33333333333333331</v>
      </c>
      <c r="N115" s="52">
        <f t="shared" si="9"/>
        <v>3</v>
      </c>
    </row>
    <row r="116" spans="9:14" ht="15" customHeight="1" x14ac:dyDescent="0.2">
      <c r="I116" s="46" t="s">
        <v>1000</v>
      </c>
      <c r="J116" s="55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55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55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56">
        <f t="shared" si="8"/>
        <v>0.33333333333333331</v>
      </c>
      <c r="N116" s="55">
        <f t="shared" si="9"/>
        <v>3</v>
      </c>
    </row>
    <row r="117" spans="9:14" ht="15" customHeight="1" x14ac:dyDescent="0.2">
      <c r="I117" s="43" t="s">
        <v>819</v>
      </c>
      <c r="J117" s="52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52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52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53">
        <f t="shared" si="8"/>
        <v>0.25</v>
      </c>
      <c r="N117" s="52">
        <f t="shared" si="9"/>
        <v>4</v>
      </c>
    </row>
    <row r="118" spans="9:14" ht="15" customHeight="1" x14ac:dyDescent="0.2">
      <c r="I118" s="46" t="s">
        <v>818</v>
      </c>
      <c r="J118" s="55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55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55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56">
        <f t="shared" si="8"/>
        <v>0.25</v>
      </c>
      <c r="N118" s="55">
        <f t="shared" si="9"/>
        <v>4</v>
      </c>
    </row>
    <row r="119" spans="9:14" ht="15" customHeight="1" x14ac:dyDescent="0.2">
      <c r="I119" s="43" t="s">
        <v>820</v>
      </c>
      <c r="J119" s="52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52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52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53">
        <f t="shared" si="8"/>
        <v>0.25</v>
      </c>
      <c r="N119" s="52">
        <f t="shared" si="9"/>
        <v>4</v>
      </c>
    </row>
    <row r="120" spans="9:14" ht="15" customHeight="1" x14ac:dyDescent="0.2">
      <c r="I120" s="46" t="s">
        <v>1001</v>
      </c>
      <c r="J120" s="55">
        <f>COUNTIFS(Archives!$S$2:$S$1048576,"Doubles",Archives!$V$2:$V$1048576,"Buss",Archives!$Y$2:$Y$1048576,"Connors",Archives!$AB$2:$AB$1048576,"W")+COUNTIFS(Archives!$S$2:$S$1048576,"Doubles",Archives!$V$2:$V$1048576,"Connors",Archives!$Y$2:$Y$1048576,"Buss",Archives!$AB$2:$AB$1048576,"W")</f>
        <v>0</v>
      </c>
      <c r="K120" s="55">
        <f>COUNTIFS(Archives!$S$2:$S$1048576,"Doubles",Archives!$V$2:$V$1048576,"Buss",Archives!$Y$2:$Y$1048576,"Connors",Archives!$AB$2:$AB$1048576,"L")+COUNTIFS(Archives!$S$2:$S$1048576,"Doubles",Archives!$V$2:$V$1048576,"Connors",Archives!$Y$2:$Y$1048576,"Buss",Archives!$AB$2:$AB$1048576,"L")</f>
        <v>1</v>
      </c>
      <c r="L120" s="55">
        <f>COUNTIFS(Archives!$S$2:$S$1048576,"Doubles",Archives!$V$2:$V$1048576,"Buss",Archives!$Y$2:$Y$1048576,"Connors",Archives!$AB$2:$AB$1048576,"T")+COUNTIFS(Archives!$S$2:$S$1048576,"Doubles",Archives!$V$2:$V$1048576,"Connors",Archives!$Y$2:$Y$1048576,"Buss",Archives!$AB$2:$AB$1048576,"T")</f>
        <v>1</v>
      </c>
      <c r="M120" s="56">
        <f t="shared" si="8"/>
        <v>0.25</v>
      </c>
      <c r="N120" s="55">
        <f t="shared" si="9"/>
        <v>2</v>
      </c>
    </row>
    <row r="121" spans="9:14" ht="15" customHeight="1" x14ac:dyDescent="0.2">
      <c r="I121" s="43" t="s">
        <v>1002</v>
      </c>
      <c r="J121" s="52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52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52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53">
        <f t="shared" si="8"/>
        <v>0.25</v>
      </c>
      <c r="N121" s="52">
        <f t="shared" si="9"/>
        <v>2</v>
      </c>
    </row>
    <row r="122" spans="9:14" ht="15" customHeight="1" x14ac:dyDescent="0.2">
      <c r="I122" s="46" t="s">
        <v>1003</v>
      </c>
      <c r="J122" s="55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55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55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56">
        <f t="shared" si="8"/>
        <v>0.25</v>
      </c>
      <c r="N122" s="55">
        <f t="shared" si="9"/>
        <v>2</v>
      </c>
    </row>
    <row r="123" spans="9:14" ht="15" customHeight="1" x14ac:dyDescent="0.2">
      <c r="I123" s="43" t="s">
        <v>1004</v>
      </c>
      <c r="J123" s="52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52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52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53">
        <f t="shared" si="8"/>
        <v>0.25</v>
      </c>
      <c r="N123" s="52">
        <f t="shared" si="9"/>
        <v>2</v>
      </c>
    </row>
    <row r="124" spans="9:14" ht="15" customHeight="1" x14ac:dyDescent="0.2">
      <c r="I124" s="46" t="s">
        <v>1005</v>
      </c>
      <c r="J124" s="55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55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55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56">
        <f t="shared" si="8"/>
        <v>0.25</v>
      </c>
      <c r="N124" s="55">
        <f t="shared" si="9"/>
        <v>2</v>
      </c>
    </row>
    <row r="125" spans="9:14" ht="15" customHeight="1" x14ac:dyDescent="0.2">
      <c r="I125" s="43" t="s">
        <v>1006</v>
      </c>
      <c r="J125" s="52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52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52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53">
        <f t="shared" si="8"/>
        <v>0.25</v>
      </c>
      <c r="N125" s="52">
        <f t="shared" si="9"/>
        <v>2</v>
      </c>
    </row>
    <row r="126" spans="9:14" ht="15" customHeight="1" x14ac:dyDescent="0.2">
      <c r="I126" s="46" t="s">
        <v>1007</v>
      </c>
      <c r="J126" s="55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55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55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56">
        <f t="shared" si="8"/>
        <v>0.25</v>
      </c>
      <c r="N126" s="55">
        <f t="shared" si="9"/>
        <v>2</v>
      </c>
    </row>
    <row r="127" spans="9:14" ht="15" customHeight="1" x14ac:dyDescent="0.2">
      <c r="I127" s="43" t="s">
        <v>1008</v>
      </c>
      <c r="J127" s="52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52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52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53">
        <f t="shared" si="8"/>
        <v>0.25</v>
      </c>
      <c r="N127" s="52">
        <f t="shared" si="9"/>
        <v>2</v>
      </c>
    </row>
    <row r="128" spans="9:14" ht="15" customHeight="1" x14ac:dyDescent="0.2">
      <c r="I128" s="46" t="s">
        <v>1009</v>
      </c>
      <c r="J128" s="55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55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55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56">
        <f t="shared" si="8"/>
        <v>0.25</v>
      </c>
      <c r="N128" s="55">
        <f t="shared" si="9"/>
        <v>2</v>
      </c>
    </row>
    <row r="129" spans="9:14" ht="15" customHeight="1" x14ac:dyDescent="0.2">
      <c r="I129" s="43" t="s">
        <v>1010</v>
      </c>
      <c r="J129" s="52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52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52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53">
        <f t="shared" si="8"/>
        <v>0.25</v>
      </c>
      <c r="N129" s="52">
        <f t="shared" si="9"/>
        <v>2</v>
      </c>
    </row>
    <row r="130" spans="9:14" ht="15" customHeight="1" x14ac:dyDescent="0.2">
      <c r="I130" s="46" t="s">
        <v>1011</v>
      </c>
      <c r="J130" s="55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55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55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56">
        <f t="shared" si="8"/>
        <v>0.25</v>
      </c>
      <c r="N130" s="55">
        <f t="shared" si="9"/>
        <v>2</v>
      </c>
    </row>
    <row r="131" spans="9:14" ht="15" customHeight="1" x14ac:dyDescent="0.2">
      <c r="I131" s="43" t="s">
        <v>1012</v>
      </c>
      <c r="J131" s="52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52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52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53">
        <f t="shared" si="8"/>
        <v>0.25</v>
      </c>
      <c r="N131" s="52">
        <f t="shared" si="9"/>
        <v>2</v>
      </c>
    </row>
    <row r="132" spans="9:14" ht="15" customHeight="1" x14ac:dyDescent="0.2">
      <c r="I132" s="46" t="s">
        <v>1013</v>
      </c>
      <c r="J132" s="55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55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55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56">
        <f t="shared" si="8"/>
        <v>0.25</v>
      </c>
      <c r="N132" s="55">
        <f t="shared" si="9"/>
        <v>2</v>
      </c>
    </row>
    <row r="133" spans="9:14" ht="15" customHeight="1" x14ac:dyDescent="0.2">
      <c r="I133" s="43" t="s">
        <v>1014</v>
      </c>
      <c r="J133" s="52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52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52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53">
        <f t="shared" ref="M133:M164" si="10">IF(N133=0,0,(J133+0.5*L133)/N133)</f>
        <v>0.25</v>
      </c>
      <c r="N133" s="52">
        <f t="shared" ref="N133:N168" si="11">J133+K133+L133</f>
        <v>2</v>
      </c>
    </row>
    <row r="134" spans="9:14" ht="15" customHeight="1" x14ac:dyDescent="0.2">
      <c r="I134" s="46" t="s">
        <v>821</v>
      </c>
      <c r="J134" s="55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55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55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56">
        <f t="shared" si="10"/>
        <v>0.2</v>
      </c>
      <c r="N134" s="55">
        <f t="shared" si="11"/>
        <v>5</v>
      </c>
    </row>
    <row r="135" spans="9:14" ht="15" customHeight="1" x14ac:dyDescent="0.2">
      <c r="I135" s="43" t="s">
        <v>822</v>
      </c>
      <c r="J135" s="52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52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52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53">
        <f t="shared" si="10"/>
        <v>0.16666666666666666</v>
      </c>
      <c r="N135" s="52">
        <f t="shared" si="11"/>
        <v>6</v>
      </c>
    </row>
    <row r="136" spans="9:14" ht="15" customHeight="1" x14ac:dyDescent="0.2">
      <c r="I136" s="46" t="s">
        <v>1015</v>
      </c>
      <c r="J136" s="55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55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55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56">
        <f t="shared" si="10"/>
        <v>0.16666666666666666</v>
      </c>
      <c r="N136" s="55">
        <f t="shared" si="11"/>
        <v>3</v>
      </c>
    </row>
    <row r="137" spans="9:14" ht="15" customHeight="1" x14ac:dyDescent="0.2">
      <c r="I137" s="43" t="s">
        <v>823</v>
      </c>
      <c r="J137" s="52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52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52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53">
        <f t="shared" si="10"/>
        <v>0</v>
      </c>
      <c r="N137" s="52">
        <f t="shared" si="11"/>
        <v>4</v>
      </c>
    </row>
    <row r="138" spans="9:14" ht="15" customHeight="1" x14ac:dyDescent="0.2">
      <c r="I138" s="46" t="s">
        <v>824</v>
      </c>
      <c r="J138" s="55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55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55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56">
        <f t="shared" si="10"/>
        <v>0</v>
      </c>
      <c r="N138" s="55">
        <f t="shared" si="11"/>
        <v>4</v>
      </c>
    </row>
    <row r="139" spans="9:14" ht="15" customHeight="1" x14ac:dyDescent="0.2">
      <c r="I139" s="43" t="s">
        <v>1016</v>
      </c>
      <c r="J139" s="52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52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52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53">
        <f t="shared" si="10"/>
        <v>0</v>
      </c>
      <c r="N139" s="52">
        <f t="shared" si="11"/>
        <v>3</v>
      </c>
    </row>
    <row r="140" spans="9:14" ht="15" customHeight="1" x14ac:dyDescent="0.2">
      <c r="I140" s="46" t="s">
        <v>1017</v>
      </c>
      <c r="J140" s="55">
        <f>COUNTIFS(Archives!$S$2:$S$1048576,"Doubles",Archives!$V$2:$V$1048576,"Buss",Archives!$Y$2:$Y$1048576,"Fogan",Archives!$AB$2:$AB$1048576,"W")+COUNTIFS(Archives!$S$2:$S$1048576,"Doubles",Archives!$V$2:$V$1048576,"Fogan",Archives!$Y$2:$Y$1048576,"Buss",Archives!$AB$2:$AB$1048576,"W")</f>
        <v>0</v>
      </c>
      <c r="K140" s="55">
        <f>COUNTIFS(Archives!$S$2:$S$1048576,"Doubles",Archives!$V$2:$V$1048576,"Buss",Archives!$Y$2:$Y$1048576,"Fogan",Archives!$AB$2:$AB$1048576,"L")+COUNTIFS(Archives!$S$2:$S$1048576,"Doubles",Archives!$V$2:$V$1048576,"Fogan",Archives!$Y$2:$Y$1048576,"Buss",Archives!$AB$2:$AB$1048576,"L")</f>
        <v>2</v>
      </c>
      <c r="L140" s="55">
        <f>COUNTIFS(Archives!$S$2:$S$1048576,"Doubles",Archives!$V$2:$V$1048576,"Buss",Archives!$Y$2:$Y$1048576,"Fogan",Archives!$AB$2:$AB$1048576,"T")+COUNTIFS(Archives!$S$2:$S$1048576,"Doubles",Archives!$V$2:$V$1048576,"Fogan",Archives!$Y$2:$Y$1048576,"Buss",Archives!$AB$2:$AB$1048576,"T")</f>
        <v>0</v>
      </c>
      <c r="M140" s="56">
        <f t="shared" si="10"/>
        <v>0</v>
      </c>
      <c r="N140" s="55">
        <f t="shared" si="11"/>
        <v>2</v>
      </c>
    </row>
    <row r="141" spans="9:14" ht="15" customHeight="1" x14ac:dyDescent="0.2">
      <c r="I141" s="43" t="s">
        <v>1018</v>
      </c>
      <c r="J141" s="52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52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52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53">
        <f t="shared" si="10"/>
        <v>0</v>
      </c>
      <c r="N141" s="52">
        <f t="shared" si="11"/>
        <v>2</v>
      </c>
    </row>
    <row r="142" spans="9:14" ht="15" customHeight="1" x14ac:dyDescent="0.2">
      <c r="I142" s="46" t="s">
        <v>1019</v>
      </c>
      <c r="J142" s="55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55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55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56">
        <f t="shared" si="10"/>
        <v>0</v>
      </c>
      <c r="N142" s="55">
        <f t="shared" si="11"/>
        <v>2</v>
      </c>
    </row>
    <row r="143" spans="9:14" ht="15" customHeight="1" x14ac:dyDescent="0.2">
      <c r="I143" s="43" t="s">
        <v>1020</v>
      </c>
      <c r="J143" s="52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52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52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53">
        <f t="shared" si="10"/>
        <v>0</v>
      </c>
      <c r="N143" s="52">
        <f t="shared" si="11"/>
        <v>2</v>
      </c>
    </row>
    <row r="144" spans="9:14" ht="15" customHeight="1" x14ac:dyDescent="0.2">
      <c r="I144" s="46" t="s">
        <v>1021</v>
      </c>
      <c r="J144" s="55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55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55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56">
        <f t="shared" si="10"/>
        <v>0</v>
      </c>
      <c r="N144" s="55">
        <f t="shared" si="11"/>
        <v>2</v>
      </c>
    </row>
    <row r="145" spans="9:14" ht="15" customHeight="1" x14ac:dyDescent="0.2">
      <c r="I145" s="43" t="s">
        <v>1022</v>
      </c>
      <c r="J145" s="52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52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52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53">
        <f t="shared" si="10"/>
        <v>0</v>
      </c>
      <c r="N145" s="52">
        <f t="shared" si="11"/>
        <v>2</v>
      </c>
    </row>
    <row r="146" spans="9:14" ht="15" customHeight="1" x14ac:dyDescent="0.2">
      <c r="I146" s="46" t="s">
        <v>1023</v>
      </c>
      <c r="J146" s="55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55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55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56">
        <f t="shared" si="10"/>
        <v>0</v>
      </c>
      <c r="N146" s="55">
        <f t="shared" si="11"/>
        <v>2</v>
      </c>
    </row>
    <row r="147" spans="9:14" ht="15" customHeight="1" x14ac:dyDescent="0.2">
      <c r="I147" s="43" t="s">
        <v>1024</v>
      </c>
      <c r="J147" s="52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52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52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53">
        <f t="shared" si="10"/>
        <v>0</v>
      </c>
      <c r="N147" s="52">
        <f t="shared" si="11"/>
        <v>2</v>
      </c>
    </row>
    <row r="148" spans="9:14" ht="15" customHeight="1" x14ac:dyDescent="0.2">
      <c r="I148" s="46" t="s">
        <v>1025</v>
      </c>
      <c r="J148" s="55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55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55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56">
        <f t="shared" si="10"/>
        <v>0</v>
      </c>
      <c r="N148" s="55">
        <f t="shared" si="11"/>
        <v>2</v>
      </c>
    </row>
    <row r="149" spans="9:14" ht="15" customHeight="1" x14ac:dyDescent="0.2">
      <c r="I149" s="43" t="s">
        <v>1026</v>
      </c>
      <c r="J149" s="52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52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52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53">
        <f t="shared" si="10"/>
        <v>0</v>
      </c>
      <c r="N149" s="52">
        <f t="shared" si="11"/>
        <v>2</v>
      </c>
    </row>
    <row r="150" spans="9:14" ht="15" customHeight="1" x14ac:dyDescent="0.2">
      <c r="I150" s="46" t="s">
        <v>1027</v>
      </c>
      <c r="J150" s="55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55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55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56">
        <f t="shared" si="10"/>
        <v>0</v>
      </c>
      <c r="N150" s="55">
        <f t="shared" si="11"/>
        <v>2</v>
      </c>
    </row>
    <row r="151" spans="9:14" ht="15" customHeight="1" x14ac:dyDescent="0.2">
      <c r="I151" s="43" t="s">
        <v>1028</v>
      </c>
      <c r="J151" s="52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52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52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53">
        <f t="shared" si="10"/>
        <v>0</v>
      </c>
      <c r="N151" s="52">
        <f t="shared" si="11"/>
        <v>2</v>
      </c>
    </row>
    <row r="152" spans="9:14" ht="15" customHeight="1" x14ac:dyDescent="0.2">
      <c r="I152" s="46" t="s">
        <v>1029</v>
      </c>
      <c r="J152" s="55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55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55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56">
        <f t="shared" si="10"/>
        <v>0</v>
      </c>
      <c r="N152" s="55">
        <f t="shared" si="11"/>
        <v>2</v>
      </c>
    </row>
    <row r="153" spans="9:14" ht="15" customHeight="1" x14ac:dyDescent="0.2">
      <c r="I153" s="43" t="s">
        <v>1030</v>
      </c>
      <c r="J153" s="52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52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52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53">
        <f t="shared" si="10"/>
        <v>0</v>
      </c>
      <c r="N153" s="52">
        <f t="shared" si="11"/>
        <v>2</v>
      </c>
    </row>
    <row r="154" spans="9:14" ht="15" customHeight="1" x14ac:dyDescent="0.2">
      <c r="I154" s="46" t="s">
        <v>1031</v>
      </c>
      <c r="J154" s="55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55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55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56">
        <f t="shared" si="10"/>
        <v>0</v>
      </c>
      <c r="N154" s="55">
        <f t="shared" si="11"/>
        <v>2</v>
      </c>
    </row>
    <row r="155" spans="9:14" ht="15" customHeight="1" x14ac:dyDescent="0.2">
      <c r="I155" s="43" t="s">
        <v>1032</v>
      </c>
      <c r="J155" s="52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52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52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53">
        <f t="shared" si="10"/>
        <v>0</v>
      </c>
      <c r="N155" s="52">
        <f t="shared" si="11"/>
        <v>2</v>
      </c>
    </row>
    <row r="156" spans="9:14" ht="15" customHeight="1" x14ac:dyDescent="0.2">
      <c r="I156" s="46" t="s">
        <v>1033</v>
      </c>
      <c r="J156" s="55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55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55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56">
        <f t="shared" si="10"/>
        <v>0</v>
      </c>
      <c r="N156" s="55">
        <f t="shared" si="11"/>
        <v>2</v>
      </c>
    </row>
    <row r="157" spans="9:14" ht="15" customHeight="1" x14ac:dyDescent="0.2">
      <c r="I157" s="43" t="s">
        <v>1034</v>
      </c>
      <c r="J157" s="52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52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52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53">
        <f t="shared" si="10"/>
        <v>0</v>
      </c>
      <c r="N157" s="52">
        <f t="shared" si="11"/>
        <v>2</v>
      </c>
    </row>
    <row r="158" spans="9:14" ht="15" customHeight="1" x14ac:dyDescent="0.2">
      <c r="I158" s="46" t="s">
        <v>1035</v>
      </c>
      <c r="J158" s="55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55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55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56">
        <f t="shared" si="10"/>
        <v>0</v>
      </c>
      <c r="N158" s="55">
        <f t="shared" si="11"/>
        <v>2</v>
      </c>
    </row>
    <row r="159" spans="9:14" ht="15" customHeight="1" x14ac:dyDescent="0.2">
      <c r="I159" s="43" t="s">
        <v>1036</v>
      </c>
      <c r="J159" s="52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52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52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53">
        <f t="shared" si="10"/>
        <v>0</v>
      </c>
      <c r="N159" s="52">
        <f t="shared" si="11"/>
        <v>2</v>
      </c>
    </row>
    <row r="160" spans="9:14" ht="15" customHeight="1" x14ac:dyDescent="0.2">
      <c r="I160" s="46" t="s">
        <v>1037</v>
      </c>
      <c r="J160" s="55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55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55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56">
        <f t="shared" si="10"/>
        <v>0</v>
      </c>
      <c r="N160" s="55">
        <f t="shared" si="11"/>
        <v>2</v>
      </c>
    </row>
    <row r="161" spans="9:14" ht="15" customHeight="1" x14ac:dyDescent="0.2">
      <c r="I161" s="43" t="s">
        <v>1038</v>
      </c>
      <c r="J161" s="52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52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52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53">
        <f t="shared" si="10"/>
        <v>0</v>
      </c>
      <c r="N161" s="52">
        <f t="shared" si="11"/>
        <v>2</v>
      </c>
    </row>
    <row r="162" spans="9:14" ht="15" customHeight="1" x14ac:dyDescent="0.2">
      <c r="I162" s="46" t="s">
        <v>1039</v>
      </c>
      <c r="J162" s="55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55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55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56">
        <f t="shared" si="10"/>
        <v>0</v>
      </c>
      <c r="N162" s="55">
        <f t="shared" si="11"/>
        <v>2</v>
      </c>
    </row>
    <row r="163" spans="9:14" ht="15" customHeight="1" x14ac:dyDescent="0.2">
      <c r="I163" s="43" t="s">
        <v>1040</v>
      </c>
      <c r="J163" s="52">
        <f>COUNTIFS(Archives!$S$2:$S$1048576,"Doubles",Archives!$V$2:$V$1048576,"Buss",Archives!$Y$2:$Y$1048576,"Cole",Archives!$AB$2:$AB$1048576,"W")+COUNTIFS(Archives!$S$2:$S$1048576,"Doubles",Archives!$V$2:$V$1048576,"Cole",Archives!$Y$2:$Y$1048576,"Buss",Archives!$AB$2:$AB$1048576,"W")</f>
        <v>0</v>
      </c>
      <c r="K163" s="52">
        <f>COUNTIFS(Archives!$S$2:$S$1048576,"Doubles",Archives!$V$2:$V$1048576,"Buss",Archives!$Y$2:$Y$1048576,"Cole",Archives!$AB$2:$AB$1048576,"L")+COUNTIFS(Archives!$S$2:$S$1048576,"Doubles",Archives!$V$2:$V$1048576,"Cole",Archives!$Y$2:$Y$1048576,"Buss",Archives!$AB$2:$AB$1048576,"L")</f>
        <v>1</v>
      </c>
      <c r="L163" s="52">
        <f>COUNTIFS(Archives!$S$2:$S$1048576,"Doubles",Archives!$V$2:$V$1048576,"Buss",Archives!$Y$2:$Y$1048576,"Cole",Archives!$AB$2:$AB$1048576,"T")+COUNTIFS(Archives!$S$2:$S$1048576,"Doubles",Archives!$V$2:$V$1048576,"Cole",Archives!$Y$2:$Y$1048576,"Buss",Archives!$AB$2:$AB$1048576,"T")</f>
        <v>0</v>
      </c>
      <c r="M163" s="53">
        <f t="shared" si="10"/>
        <v>0</v>
      </c>
      <c r="N163" s="52">
        <f t="shared" si="11"/>
        <v>1</v>
      </c>
    </row>
    <row r="164" spans="9:14" ht="15" customHeight="1" x14ac:dyDescent="0.2">
      <c r="I164" s="46" t="s">
        <v>1041</v>
      </c>
      <c r="J164" s="55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55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55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56">
        <f t="shared" si="10"/>
        <v>0</v>
      </c>
      <c r="N164" s="55">
        <f t="shared" si="11"/>
        <v>1</v>
      </c>
    </row>
    <row r="165" spans="9:14" ht="15" customHeight="1" x14ac:dyDescent="0.2">
      <c r="I165" s="43" t="s">
        <v>1042</v>
      </c>
      <c r="J165" s="52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52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52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53">
        <f t="shared" ref="M165:M196" si="12">IF(N165=0,0,(J165+0.5*L165)/N165)</f>
        <v>0</v>
      </c>
      <c r="N165" s="52">
        <f t="shared" si="11"/>
        <v>1</v>
      </c>
    </row>
    <row r="166" spans="9:14" ht="15" customHeight="1" x14ac:dyDescent="0.2">
      <c r="I166" s="46" t="s">
        <v>1043</v>
      </c>
      <c r="J166" s="55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55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55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56">
        <f t="shared" si="12"/>
        <v>0</v>
      </c>
      <c r="N166" s="55">
        <f t="shared" si="11"/>
        <v>1</v>
      </c>
    </row>
    <row r="167" spans="9:14" ht="15" customHeight="1" x14ac:dyDescent="0.2">
      <c r="I167" s="43" t="s">
        <v>1044</v>
      </c>
      <c r="J167" s="52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52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52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53">
        <f t="shared" si="12"/>
        <v>0</v>
      </c>
      <c r="N167" s="52">
        <f t="shared" si="11"/>
        <v>1</v>
      </c>
    </row>
    <row r="168" spans="9:14" ht="15" customHeight="1" x14ac:dyDescent="0.2">
      <c r="I168" s="46" t="s">
        <v>1045</v>
      </c>
      <c r="J168" s="55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55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55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56">
        <f t="shared" si="12"/>
        <v>0</v>
      </c>
      <c r="N168" s="55">
        <f t="shared" si="11"/>
        <v>1</v>
      </c>
    </row>
    <row r="169" spans="9:14" ht="15" customHeight="1" x14ac:dyDescent="0.2">
      <c r="I169" s="58" t="s">
        <v>730</v>
      </c>
      <c r="J169" s="59">
        <f>SUM(J5:J168)</f>
        <v>212</v>
      </c>
      <c r="K169" s="59">
        <f>SUM(K5:K168)</f>
        <v>212</v>
      </c>
      <c r="L169" s="59">
        <f>SUM(L5:L168)</f>
        <v>72</v>
      </c>
      <c r="M169" s="60">
        <f t="shared" si="12"/>
        <v>0.5</v>
      </c>
      <c r="N169" s="59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26"/>
      <c r="B1" s="26"/>
      <c r="C1" s="26" t="s">
        <v>1046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19" ht="15" customHeight="1" x14ac:dyDescent="0.2">
      <c r="Q2" t="s">
        <v>1047</v>
      </c>
      <c r="R2">
        <v>0.05</v>
      </c>
      <c r="S2" t="s">
        <v>1048</v>
      </c>
    </row>
    <row r="3" spans="1:19" ht="15" customHeight="1" x14ac:dyDescent="0.2">
      <c r="R3">
        <v>5500</v>
      </c>
      <c r="S3" t="s">
        <v>1049</v>
      </c>
    </row>
    <row r="4" spans="1:19" ht="15" customHeight="1" x14ac:dyDescent="0.2">
      <c r="B4" t="s">
        <v>1050</v>
      </c>
      <c r="I4" t="s">
        <v>1051</v>
      </c>
    </row>
    <row r="5" spans="1:19" ht="15" customHeight="1" x14ac:dyDescent="0.2">
      <c r="C5" t="s">
        <v>1052</v>
      </c>
      <c r="D5">
        <v>1000</v>
      </c>
      <c r="R5" t="s">
        <v>1053</v>
      </c>
      <c r="S5" t="s">
        <v>1054</v>
      </c>
    </row>
    <row r="6" spans="1:19" ht="15" customHeight="1" x14ac:dyDescent="0.2">
      <c r="C6" t="s">
        <v>1055</v>
      </c>
      <c r="D6">
        <v>800</v>
      </c>
      <c r="Q6" t="s">
        <v>1056</v>
      </c>
      <c r="R6">
        <v>19493.419999999998</v>
      </c>
      <c r="S6">
        <v>25968.091</v>
      </c>
    </row>
    <row r="7" spans="1:19" ht="15" customHeight="1" x14ac:dyDescent="0.2">
      <c r="C7" t="s">
        <v>1057</v>
      </c>
      <c r="D7">
        <v>100</v>
      </c>
      <c r="I7">
        <v>3945</v>
      </c>
      <c r="J7" t="s">
        <v>1058</v>
      </c>
      <c r="Q7" t="s">
        <v>1059</v>
      </c>
      <c r="R7">
        <v>974.67100000000005</v>
      </c>
      <c r="S7">
        <v>649.20227499999999</v>
      </c>
    </row>
    <row r="8" spans="1:19" ht="15" customHeight="1" x14ac:dyDescent="0.2">
      <c r="C8" t="s">
        <v>1060</v>
      </c>
      <c r="D8">
        <v>50</v>
      </c>
      <c r="I8">
        <v>159.37799999999999</v>
      </c>
      <c r="J8" t="s">
        <v>1061</v>
      </c>
      <c r="Q8" t="s">
        <v>1062</v>
      </c>
      <c r="R8">
        <v>5500</v>
      </c>
      <c r="S8">
        <v>0</v>
      </c>
    </row>
    <row r="9" spans="1:19" ht="15" customHeight="1" x14ac:dyDescent="0.2">
      <c r="C9" t="s">
        <v>1063</v>
      </c>
      <c r="D9">
        <v>50</v>
      </c>
      <c r="I9">
        <v>-580</v>
      </c>
      <c r="J9" t="s">
        <v>1064</v>
      </c>
      <c r="Q9" t="s">
        <v>1065</v>
      </c>
      <c r="R9">
        <v>25968.091</v>
      </c>
      <c r="S9">
        <v>26617.293275</v>
      </c>
    </row>
    <row r="10" spans="1:19" ht="15" customHeight="1" x14ac:dyDescent="0.2">
      <c r="C10" t="s">
        <v>1066</v>
      </c>
      <c r="D10">
        <v>50</v>
      </c>
      <c r="I10">
        <v>3524.3780000000002</v>
      </c>
      <c r="J10" t="s">
        <v>1067</v>
      </c>
    </row>
    <row r="11" spans="1:19" ht="15" customHeight="1" x14ac:dyDescent="0.2">
      <c r="C11" t="s">
        <v>1068</v>
      </c>
      <c r="D11">
        <v>50</v>
      </c>
    </row>
    <row r="12" spans="1:19" ht="15" customHeight="1" x14ac:dyDescent="0.2">
      <c r="C12" t="s">
        <v>1069</v>
      </c>
      <c r="D12">
        <v>50</v>
      </c>
      <c r="I12">
        <v>20</v>
      </c>
      <c r="J12" t="s">
        <v>1070</v>
      </c>
    </row>
    <row r="13" spans="1:19" ht="15" customHeight="1" x14ac:dyDescent="0.2">
      <c r="C13" t="s">
        <v>1069</v>
      </c>
      <c r="D13">
        <v>50</v>
      </c>
      <c r="I13">
        <v>70487.56</v>
      </c>
      <c r="J13" t="s">
        <v>1071</v>
      </c>
      <c r="Q13" t="s">
        <v>1072</v>
      </c>
      <c r="R13">
        <v>7.4999999999999997E-2</v>
      </c>
      <c r="S13" t="s">
        <v>1048</v>
      </c>
    </row>
    <row r="14" spans="1:19" ht="15" customHeight="1" x14ac:dyDescent="0.2">
      <c r="C14" t="s">
        <v>1073</v>
      </c>
      <c r="D14">
        <v>50</v>
      </c>
      <c r="R14">
        <v>6000</v>
      </c>
      <c r="S14" t="s">
        <v>1049</v>
      </c>
    </row>
    <row r="15" spans="1:19" ht="15" customHeight="1" x14ac:dyDescent="0.2">
      <c r="C15" t="s">
        <v>1074</v>
      </c>
      <c r="D15">
        <v>0</v>
      </c>
      <c r="I15">
        <v>19493.419999999998</v>
      </c>
      <c r="J15" t="s">
        <v>1075</v>
      </c>
    </row>
    <row r="16" spans="1:19" ht="15" customHeight="1" x14ac:dyDescent="0.2">
      <c r="C16" t="s">
        <v>1076</v>
      </c>
      <c r="D16">
        <v>2250</v>
      </c>
      <c r="R16" t="s">
        <v>1053</v>
      </c>
      <c r="S16" t="s">
        <v>1054</v>
      </c>
    </row>
    <row r="17" spans="2:19" ht="15" customHeight="1" x14ac:dyDescent="0.2">
      <c r="N17" t="s">
        <v>1077</v>
      </c>
      <c r="Q17" t="s">
        <v>1056</v>
      </c>
      <c r="R17">
        <v>19493.419999999998</v>
      </c>
      <c r="S17">
        <v>26955.426500000001</v>
      </c>
    </row>
    <row r="18" spans="2:19" ht="15" customHeight="1" x14ac:dyDescent="0.2">
      <c r="C18" t="s">
        <v>1078</v>
      </c>
      <c r="E18">
        <v>2250</v>
      </c>
      <c r="I18">
        <v>43870.266725000001</v>
      </c>
      <c r="J18" t="s">
        <v>1079</v>
      </c>
      <c r="Q18" t="s">
        <v>1059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1080</v>
      </c>
      <c r="N19">
        <v>0.37761689119328301</v>
      </c>
      <c r="Q19" t="s">
        <v>1062</v>
      </c>
      <c r="R19">
        <v>6000</v>
      </c>
      <c r="S19">
        <v>0</v>
      </c>
    </row>
    <row r="20" spans="2:19" ht="15" customHeight="1" x14ac:dyDescent="0.2">
      <c r="B20" t="s">
        <v>1081</v>
      </c>
      <c r="Q20" t="s">
        <v>1065</v>
      </c>
      <c r="R20">
        <v>26955.426500000001</v>
      </c>
      <c r="S20">
        <v>27966.254993750001</v>
      </c>
    </row>
    <row r="21" spans="2:19" ht="15" customHeight="1" x14ac:dyDescent="0.2">
      <c r="C21" t="s">
        <v>1082</v>
      </c>
      <c r="D21">
        <v>530</v>
      </c>
      <c r="I21">
        <v>42521.305006249997</v>
      </c>
      <c r="J21" t="s">
        <v>1083</v>
      </c>
    </row>
    <row r="22" spans="2:19" ht="15" customHeight="1" x14ac:dyDescent="0.2">
      <c r="C22" t="s">
        <v>1084</v>
      </c>
      <c r="D22">
        <v>445</v>
      </c>
      <c r="I22">
        <v>2126.0652503125002</v>
      </c>
      <c r="J22" t="s">
        <v>1085</v>
      </c>
      <c r="N22">
        <v>0.39675447687152199</v>
      </c>
    </row>
    <row r="23" spans="2:19" ht="15" customHeight="1" x14ac:dyDescent="0.2">
      <c r="C23" t="s">
        <v>1086</v>
      </c>
      <c r="D23">
        <v>1500</v>
      </c>
      <c r="Q23" t="s">
        <v>1087</v>
      </c>
      <c r="R23">
        <v>0.1</v>
      </c>
      <c r="S23" t="s">
        <v>1048</v>
      </c>
    </row>
    <row r="24" spans="2:19" ht="15" customHeight="1" x14ac:dyDescent="0.2">
      <c r="C24" t="s">
        <v>1088</v>
      </c>
      <c r="D24">
        <v>-55</v>
      </c>
      <c r="I24">
        <v>40622.659899999999</v>
      </c>
      <c r="J24" t="s">
        <v>1089</v>
      </c>
      <c r="R24">
        <v>7000</v>
      </c>
      <c r="S24" t="s">
        <v>1049</v>
      </c>
    </row>
    <row r="25" spans="2:19" ht="15" customHeight="1" x14ac:dyDescent="0.2">
      <c r="C25" t="s">
        <v>1090</v>
      </c>
      <c r="D25">
        <v>100</v>
      </c>
      <c r="I25">
        <v>2031.1329949999999</v>
      </c>
      <c r="J25" t="s">
        <v>1091</v>
      </c>
      <c r="N25">
        <v>0.42369036607310601</v>
      </c>
    </row>
    <row r="26" spans="2:19" ht="15" customHeight="1" x14ac:dyDescent="0.2">
      <c r="C26" t="s">
        <v>1092</v>
      </c>
      <c r="D26">
        <v>100</v>
      </c>
      <c r="R26" t="s">
        <v>1053</v>
      </c>
      <c r="S26" t="s">
        <v>1054</v>
      </c>
    </row>
    <row r="27" spans="2:19" ht="15" customHeight="1" x14ac:dyDescent="0.2">
      <c r="C27" t="s">
        <v>1093</v>
      </c>
      <c r="D27">
        <v>2620</v>
      </c>
      <c r="Q27" t="s">
        <v>1056</v>
      </c>
      <c r="R27">
        <v>19493.419999999998</v>
      </c>
      <c r="S27">
        <v>28442.761999999999</v>
      </c>
    </row>
    <row r="28" spans="2:19" ht="15" customHeight="1" x14ac:dyDescent="0.2">
      <c r="C28" t="s">
        <v>1094</v>
      </c>
      <c r="D28">
        <v>125</v>
      </c>
      <c r="Q28" t="s">
        <v>1059</v>
      </c>
      <c r="R28">
        <v>1949.3420000000001</v>
      </c>
      <c r="S28">
        <v>1422.1380999999999</v>
      </c>
    </row>
    <row r="29" spans="2:19" ht="15" customHeight="1" x14ac:dyDescent="0.2">
      <c r="Q29" t="s">
        <v>1062</v>
      </c>
      <c r="R29">
        <v>7000</v>
      </c>
      <c r="S29">
        <v>0</v>
      </c>
    </row>
    <row r="30" spans="2:19" ht="15" customHeight="1" x14ac:dyDescent="0.2">
      <c r="C30" t="s">
        <v>1095</v>
      </c>
      <c r="E30">
        <v>5281</v>
      </c>
      <c r="Q30" t="s">
        <v>1065</v>
      </c>
      <c r="R30">
        <v>28442.761999999999</v>
      </c>
      <c r="S30">
        <v>29864.900099999999</v>
      </c>
    </row>
    <row r="32" spans="2:19" ht="15" customHeight="1" x14ac:dyDescent="0.2">
      <c r="B32" t="s">
        <v>1096</v>
      </c>
    </row>
    <row r="33" spans="2:7" ht="15" customHeight="1" x14ac:dyDescent="0.2">
      <c r="C33" t="s">
        <v>1097</v>
      </c>
      <c r="D33">
        <v>1095</v>
      </c>
    </row>
    <row r="34" spans="2:7" ht="15" customHeight="1" x14ac:dyDescent="0.2">
      <c r="C34" t="s">
        <v>1082</v>
      </c>
      <c r="D34">
        <v>1205</v>
      </c>
    </row>
    <row r="35" spans="2:7" ht="15" customHeight="1" x14ac:dyDescent="0.2">
      <c r="C35" t="s">
        <v>1098</v>
      </c>
      <c r="D35">
        <v>3000</v>
      </c>
    </row>
    <row r="36" spans="2:7" ht="15" customHeight="1" x14ac:dyDescent="0.2">
      <c r="C36" t="s">
        <v>1099</v>
      </c>
      <c r="D36">
        <v>500</v>
      </c>
    </row>
    <row r="37" spans="2:7" ht="15" customHeight="1" x14ac:dyDescent="0.2">
      <c r="C37" t="s">
        <v>1088</v>
      </c>
      <c r="D37">
        <v>334.5</v>
      </c>
    </row>
    <row r="38" spans="2:7" ht="15" customHeight="1" x14ac:dyDescent="0.2">
      <c r="C38" t="s">
        <v>1092</v>
      </c>
      <c r="D38">
        <v>12.5</v>
      </c>
    </row>
    <row r="39" spans="2:7" ht="15" customHeight="1" x14ac:dyDescent="0.2">
      <c r="C39" t="s">
        <v>1100</v>
      </c>
      <c r="D39">
        <v>-100</v>
      </c>
    </row>
    <row r="40" spans="2:7" ht="15" customHeight="1" x14ac:dyDescent="0.2">
      <c r="C40" t="s">
        <v>1101</v>
      </c>
      <c r="D40">
        <v>6047</v>
      </c>
    </row>
    <row r="41" spans="2:7" ht="15" customHeight="1" x14ac:dyDescent="0.2">
      <c r="C41" t="s">
        <v>1102</v>
      </c>
      <c r="D41">
        <v>411</v>
      </c>
    </row>
    <row r="43" spans="2:7" ht="15" customHeight="1" x14ac:dyDescent="0.2">
      <c r="C43" t="s">
        <v>1103</v>
      </c>
      <c r="E43">
        <v>13314</v>
      </c>
    </row>
    <row r="45" spans="2:7" ht="15" customHeight="1" x14ac:dyDescent="0.2">
      <c r="B45" t="s">
        <v>1104</v>
      </c>
    </row>
    <row r="46" spans="2:7" ht="15" customHeight="1" x14ac:dyDescent="0.2">
      <c r="C46" t="s">
        <v>1097</v>
      </c>
      <c r="D46">
        <v>1850</v>
      </c>
    </row>
    <row r="47" spans="2:7" ht="15" customHeight="1" x14ac:dyDescent="0.2">
      <c r="C47" t="s">
        <v>1082</v>
      </c>
      <c r="D47">
        <v>2110</v>
      </c>
    </row>
    <row r="48" spans="2:7" ht="63.75" customHeight="1" x14ac:dyDescent="0.2">
      <c r="C48" t="s">
        <v>1098</v>
      </c>
      <c r="D48">
        <v>3000</v>
      </c>
      <c r="G48" s="90" t="s">
        <v>1105</v>
      </c>
    </row>
    <row r="49" spans="3:16" ht="15" customHeight="1" x14ac:dyDescent="0.2">
      <c r="C49" t="s">
        <v>1106</v>
      </c>
      <c r="D49">
        <v>-150</v>
      </c>
      <c r="I49" t="s">
        <v>1107</v>
      </c>
    </row>
    <row r="50" spans="3:16" ht="15" customHeight="1" x14ac:dyDescent="0.2">
      <c r="C50" t="s">
        <v>1088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1108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1092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1109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1110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1111</v>
      </c>
      <c r="D56">
        <v>6934.42</v>
      </c>
      <c r="G56" t="s">
        <v>1112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1113</v>
      </c>
      <c r="D57">
        <v>1986</v>
      </c>
      <c r="G57" t="s">
        <v>1114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1115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1116</v>
      </c>
    </row>
    <row r="64" spans="3:16" ht="15" customHeight="1" x14ac:dyDescent="0.2">
      <c r="I64" t="s">
        <v>1107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1112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1114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4" spans="1:14" ht="15" customHeight="1" x14ac:dyDescent="0.2">
      <c r="D4" t="s">
        <v>70</v>
      </c>
      <c r="E4" t="s">
        <v>1117</v>
      </c>
      <c r="F4" t="s">
        <v>1118</v>
      </c>
      <c r="G4" t="s">
        <v>1119</v>
      </c>
      <c r="H4" t="s">
        <v>1120</v>
      </c>
      <c r="I4" t="s">
        <v>1121</v>
      </c>
      <c r="J4" t="s">
        <v>1122</v>
      </c>
      <c r="K4" t="s">
        <v>1123</v>
      </c>
      <c r="L4" t="s">
        <v>1124</v>
      </c>
      <c r="N4" t="s">
        <v>1125</v>
      </c>
    </row>
    <row r="5" spans="1:14" ht="96" customHeight="1" x14ac:dyDescent="0.2">
      <c r="D5">
        <v>1</v>
      </c>
      <c r="E5" s="90" t="s">
        <v>1126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1127</v>
      </c>
      <c r="G6" t="s">
        <v>1128</v>
      </c>
      <c r="H6" t="s">
        <v>1129</v>
      </c>
      <c r="I6" t="s">
        <v>1130</v>
      </c>
      <c r="J6" t="s">
        <v>1131</v>
      </c>
      <c r="K6" t="s">
        <v>1130</v>
      </c>
      <c r="L6" t="s">
        <v>1132</v>
      </c>
    </row>
    <row r="7" spans="1:14" ht="111.75" customHeight="1" x14ac:dyDescent="0.2">
      <c r="D7">
        <v>2</v>
      </c>
      <c r="E7" s="90" t="s">
        <v>1133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1134</v>
      </c>
      <c r="G8" s="90" t="s">
        <v>1135</v>
      </c>
      <c r="H8" t="s">
        <v>1136</v>
      </c>
      <c r="I8" t="s">
        <v>1137</v>
      </c>
      <c r="J8" t="s">
        <v>1138</v>
      </c>
      <c r="K8" t="s">
        <v>1139</v>
      </c>
      <c r="L8" t="s">
        <v>1140</v>
      </c>
    </row>
    <row r="9" spans="1:14" ht="79.5" customHeight="1" x14ac:dyDescent="0.2">
      <c r="D9">
        <v>3</v>
      </c>
      <c r="E9" s="90" t="s">
        <v>1141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1142</v>
      </c>
      <c r="H10" t="s">
        <v>1143</v>
      </c>
      <c r="J10" t="s">
        <v>1144</v>
      </c>
      <c r="K10" t="s">
        <v>1145</v>
      </c>
      <c r="L10" t="s">
        <v>1146</v>
      </c>
    </row>
    <row r="11" spans="1:14" ht="63.75" customHeight="1" x14ac:dyDescent="0.2">
      <c r="D11">
        <v>4</v>
      </c>
      <c r="E11" s="90" t="s">
        <v>1147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1148</v>
      </c>
      <c r="J12" t="s">
        <v>1149</v>
      </c>
      <c r="L12" t="s">
        <v>1140</v>
      </c>
    </row>
    <row r="13" spans="1:14" ht="96" customHeight="1" x14ac:dyDescent="0.2">
      <c r="D13">
        <v>5</v>
      </c>
      <c r="E13" s="90" t="s">
        <v>1150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1151</v>
      </c>
      <c r="H14" t="s">
        <v>1152</v>
      </c>
      <c r="I14" t="s">
        <v>1153</v>
      </c>
      <c r="J14" t="s">
        <v>1154</v>
      </c>
      <c r="K14" t="s">
        <v>1155</v>
      </c>
      <c r="L14" t="s">
        <v>1156</v>
      </c>
    </row>
    <row r="15" spans="1:14" ht="48" customHeight="1" x14ac:dyDescent="0.2">
      <c r="D15">
        <v>6</v>
      </c>
      <c r="E15" s="90" t="s">
        <v>1157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1158</v>
      </c>
      <c r="H16" t="s">
        <v>1159</v>
      </c>
      <c r="I16" t="s">
        <v>1160</v>
      </c>
      <c r="J16" t="s">
        <v>1161</v>
      </c>
      <c r="K16" t="s">
        <v>1162</v>
      </c>
      <c r="L16" t="s">
        <v>1163</v>
      </c>
    </row>
    <row r="17" spans="4:14" ht="96" customHeight="1" x14ac:dyDescent="0.2">
      <c r="D17">
        <v>7</v>
      </c>
      <c r="E17" s="90" t="s">
        <v>1164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1165</v>
      </c>
      <c r="K18" t="s">
        <v>1166</v>
      </c>
    </row>
    <row r="20" spans="4:14" ht="15" customHeight="1" x14ac:dyDescent="0.2">
      <c r="D20">
        <v>8</v>
      </c>
      <c r="E20" t="s">
        <v>1167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1168</v>
      </c>
    </row>
    <row r="23" spans="4:14" ht="15" customHeight="1" x14ac:dyDescent="0.2">
      <c r="D23">
        <v>9</v>
      </c>
      <c r="E23" t="s">
        <v>1169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1170</v>
      </c>
      <c r="J24" t="s">
        <v>1168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19" ht="15" customHeight="1" x14ac:dyDescent="0.2">
      <c r="A2" t="s">
        <v>135</v>
      </c>
    </row>
    <row r="3" spans="1:19" ht="15" customHeight="1" x14ac:dyDescent="0.2">
      <c r="A3" t="s">
        <v>75</v>
      </c>
      <c r="B3" t="s">
        <v>221</v>
      </c>
    </row>
    <row r="5" spans="1:19" ht="15" customHeight="1" x14ac:dyDescent="0.2">
      <c r="A5" t="s">
        <v>1171</v>
      </c>
      <c r="B5" t="s">
        <v>732</v>
      </c>
      <c r="C5" t="s">
        <v>1172</v>
      </c>
      <c r="D5" t="s">
        <v>1173</v>
      </c>
      <c r="E5" t="s">
        <v>727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1174</v>
      </c>
      <c r="N6" t="s">
        <v>1175</v>
      </c>
      <c r="R6" t="s">
        <v>1176</v>
      </c>
    </row>
    <row r="7" spans="1:19" ht="15" customHeight="1" x14ac:dyDescent="0.2">
      <c r="A7" t="s">
        <v>119</v>
      </c>
      <c r="H7" t="s">
        <v>1177</v>
      </c>
      <c r="I7" t="s">
        <v>1178</v>
      </c>
      <c r="J7" t="s">
        <v>727</v>
      </c>
      <c r="K7" t="s">
        <v>1179</v>
      </c>
      <c r="L7" t="s">
        <v>1180</v>
      </c>
      <c r="N7" t="s">
        <v>1177</v>
      </c>
      <c r="O7" t="s">
        <v>1178</v>
      </c>
      <c r="R7" t="s">
        <v>1177</v>
      </c>
      <c r="S7" t="s">
        <v>727</v>
      </c>
    </row>
    <row r="8" spans="1:19" ht="15" customHeight="1" x14ac:dyDescent="0.2">
      <c r="A8" t="s">
        <v>75</v>
      </c>
      <c r="B8" t="s">
        <v>221</v>
      </c>
      <c r="H8" t="s">
        <v>135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1171</v>
      </c>
      <c r="B10" t="s">
        <v>732</v>
      </c>
      <c r="C10" t="s">
        <v>1172</v>
      </c>
      <c r="D10" t="s">
        <v>1173</v>
      </c>
      <c r="E10" t="s">
        <v>727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135</v>
      </c>
      <c r="O10">
        <v>4.5</v>
      </c>
      <c r="R10" t="s">
        <v>174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135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1181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221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1182</v>
      </c>
      <c r="O13">
        <v>4</v>
      </c>
      <c r="R13" t="s">
        <v>1181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178</v>
      </c>
      <c r="O14">
        <v>3.5</v>
      </c>
      <c r="R14" t="s">
        <v>1182</v>
      </c>
      <c r="S14">
        <v>0.6</v>
      </c>
    </row>
    <row r="15" spans="1:19" ht="15" customHeight="1" x14ac:dyDescent="0.2">
      <c r="A15" t="s">
        <v>1171</v>
      </c>
      <c r="B15" t="s">
        <v>732</v>
      </c>
      <c r="C15" t="s">
        <v>1172</v>
      </c>
      <c r="D15" t="s">
        <v>1173</v>
      </c>
      <c r="E15" t="s">
        <v>727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181</v>
      </c>
      <c r="O15">
        <v>3.5</v>
      </c>
      <c r="R15" t="s">
        <v>181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177</v>
      </c>
      <c r="S16">
        <v>0.6</v>
      </c>
    </row>
    <row r="17" spans="1:19" ht="15" customHeight="1" x14ac:dyDescent="0.2">
      <c r="A17" t="s">
        <v>118</v>
      </c>
      <c r="H17" t="s">
        <v>136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178</v>
      </c>
      <c r="S17">
        <v>0.5</v>
      </c>
    </row>
    <row r="18" spans="1:19" ht="15" customHeight="1" x14ac:dyDescent="0.2">
      <c r="A18" t="s">
        <v>75</v>
      </c>
      <c r="B18" t="s">
        <v>221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174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177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1171</v>
      </c>
      <c r="B20" t="s">
        <v>732</v>
      </c>
      <c r="C20" t="s">
        <v>1172</v>
      </c>
      <c r="D20" t="s">
        <v>1173</v>
      </c>
      <c r="E20" t="s">
        <v>727</v>
      </c>
      <c r="H20" t="s">
        <v>180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178</v>
      </c>
      <c r="I21">
        <v>40</v>
      </c>
      <c r="J21">
        <v>0.5</v>
      </c>
      <c r="K21">
        <v>2</v>
      </c>
      <c r="L21">
        <v>20</v>
      </c>
      <c r="N21" t="s">
        <v>233</v>
      </c>
      <c r="O21">
        <v>2.5</v>
      </c>
      <c r="R21" t="s">
        <v>1183</v>
      </c>
      <c r="S21">
        <v>0.5</v>
      </c>
    </row>
    <row r="22" spans="1:19" ht="15" customHeight="1" x14ac:dyDescent="0.2">
      <c r="A22" t="s">
        <v>130</v>
      </c>
      <c r="H22" t="s">
        <v>174</v>
      </c>
      <c r="I22">
        <v>40</v>
      </c>
      <c r="J22">
        <v>0.5</v>
      </c>
      <c r="K22">
        <v>2</v>
      </c>
      <c r="L22">
        <v>20</v>
      </c>
      <c r="N22" t="s">
        <v>1183</v>
      </c>
      <c r="O22">
        <v>2.5</v>
      </c>
      <c r="R22" t="s">
        <v>233</v>
      </c>
      <c r="S22">
        <v>0.4</v>
      </c>
    </row>
    <row r="23" spans="1:19" ht="15" customHeight="1" x14ac:dyDescent="0.2">
      <c r="A23" t="s">
        <v>75</v>
      </c>
      <c r="B23" t="s">
        <v>221</v>
      </c>
      <c r="H23" t="s">
        <v>181</v>
      </c>
      <c r="I23">
        <v>40</v>
      </c>
      <c r="J23">
        <v>0.5</v>
      </c>
      <c r="K23">
        <v>2</v>
      </c>
      <c r="L23">
        <v>20</v>
      </c>
      <c r="N23" t="s">
        <v>180</v>
      </c>
      <c r="O23">
        <v>2</v>
      </c>
      <c r="R23" t="s">
        <v>173</v>
      </c>
      <c r="S23">
        <v>0.4</v>
      </c>
    </row>
    <row r="24" spans="1:19" ht="15" customHeight="1" x14ac:dyDescent="0.2">
      <c r="H24" t="s">
        <v>177</v>
      </c>
      <c r="I24">
        <v>40</v>
      </c>
      <c r="J24">
        <v>0.5</v>
      </c>
      <c r="K24">
        <v>2</v>
      </c>
      <c r="L24">
        <v>20</v>
      </c>
      <c r="N24" t="s">
        <v>173</v>
      </c>
      <c r="O24">
        <v>2</v>
      </c>
      <c r="R24" t="s">
        <v>136</v>
      </c>
      <c r="S24">
        <v>0.3</v>
      </c>
    </row>
    <row r="25" spans="1:19" ht="15" customHeight="1" x14ac:dyDescent="0.2">
      <c r="A25" t="s">
        <v>1171</v>
      </c>
      <c r="B25" t="s">
        <v>732</v>
      </c>
      <c r="C25" t="s">
        <v>1172</v>
      </c>
      <c r="D25" t="s">
        <v>1173</v>
      </c>
      <c r="E25" t="s">
        <v>727</v>
      </c>
      <c r="H25" t="s">
        <v>173</v>
      </c>
      <c r="I25">
        <v>40</v>
      </c>
      <c r="J25">
        <v>0.5</v>
      </c>
      <c r="K25">
        <v>2</v>
      </c>
      <c r="L25">
        <v>20</v>
      </c>
      <c r="N25" t="s">
        <v>136</v>
      </c>
      <c r="O25">
        <v>1.5</v>
      </c>
      <c r="R25" t="s">
        <v>180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1181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233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221</v>
      </c>
      <c r="H28" t="s">
        <v>1182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1183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1171</v>
      </c>
      <c r="B30" t="s">
        <v>732</v>
      </c>
      <c r="C30" t="s">
        <v>1172</v>
      </c>
      <c r="D30" t="s">
        <v>1173</v>
      </c>
      <c r="E30" t="s">
        <v>727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221</v>
      </c>
    </row>
    <row r="35" spans="1:5" ht="15" customHeight="1" x14ac:dyDescent="0.2">
      <c r="A35" t="s">
        <v>1171</v>
      </c>
      <c r="B35" t="s">
        <v>732</v>
      </c>
      <c r="C35" t="s">
        <v>1172</v>
      </c>
      <c r="D35" t="s">
        <v>1173</v>
      </c>
      <c r="E35" t="s">
        <v>727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221</v>
      </c>
    </row>
    <row r="40" spans="1:5" ht="15" customHeight="1" x14ac:dyDescent="0.2">
      <c r="A40" t="s">
        <v>1171</v>
      </c>
      <c r="B40" t="s">
        <v>732</v>
      </c>
      <c r="C40" t="s">
        <v>1172</v>
      </c>
      <c r="D40" t="s">
        <v>1173</v>
      </c>
      <c r="E40" t="s">
        <v>727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221</v>
      </c>
    </row>
    <row r="45" spans="1:5" ht="15" customHeight="1" x14ac:dyDescent="0.2">
      <c r="A45" t="s">
        <v>1171</v>
      </c>
      <c r="B45" t="s">
        <v>732</v>
      </c>
      <c r="C45" t="s">
        <v>1172</v>
      </c>
      <c r="D45" t="s">
        <v>1173</v>
      </c>
      <c r="E45" t="s">
        <v>727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136</v>
      </c>
    </row>
    <row r="48" spans="1:5" ht="15" customHeight="1" x14ac:dyDescent="0.2">
      <c r="A48" t="s">
        <v>75</v>
      </c>
      <c r="B48" t="s">
        <v>221</v>
      </c>
    </row>
    <row r="50" spans="1:5" ht="15" customHeight="1" x14ac:dyDescent="0.2">
      <c r="A50" t="s">
        <v>1171</v>
      </c>
      <c r="B50" t="s">
        <v>732</v>
      </c>
      <c r="C50" t="s">
        <v>1172</v>
      </c>
      <c r="D50" t="s">
        <v>1173</v>
      </c>
      <c r="E50" t="s">
        <v>727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221</v>
      </c>
    </row>
    <row r="55" spans="1:5" ht="15" customHeight="1" x14ac:dyDescent="0.2">
      <c r="A55" t="s">
        <v>1171</v>
      </c>
      <c r="B55" t="s">
        <v>732</v>
      </c>
      <c r="C55" t="s">
        <v>1172</v>
      </c>
      <c r="D55" t="s">
        <v>1173</v>
      </c>
      <c r="E55" t="s">
        <v>727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221</v>
      </c>
    </row>
    <row r="60" spans="1:5" ht="15" customHeight="1" x14ac:dyDescent="0.2">
      <c r="A60" t="s">
        <v>1171</v>
      </c>
      <c r="B60" t="s">
        <v>732</v>
      </c>
      <c r="C60" t="s">
        <v>1172</v>
      </c>
      <c r="D60" t="s">
        <v>1173</v>
      </c>
      <c r="E60" t="s">
        <v>727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180</v>
      </c>
    </row>
    <row r="63" spans="1:5" ht="15" customHeight="1" x14ac:dyDescent="0.2">
      <c r="A63" t="s">
        <v>75</v>
      </c>
      <c r="B63" t="s">
        <v>221</v>
      </c>
    </row>
    <row r="65" spans="1:5" ht="15" customHeight="1" x14ac:dyDescent="0.2">
      <c r="A65" t="s">
        <v>1171</v>
      </c>
      <c r="B65" t="s">
        <v>732</v>
      </c>
      <c r="C65" t="s">
        <v>1172</v>
      </c>
      <c r="D65" t="s">
        <v>1173</v>
      </c>
      <c r="E65" t="s">
        <v>727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178</v>
      </c>
    </row>
    <row r="68" spans="1:5" ht="15" customHeight="1" x14ac:dyDescent="0.2">
      <c r="A68" t="s">
        <v>75</v>
      </c>
      <c r="B68" t="s">
        <v>221</v>
      </c>
    </row>
    <row r="70" spans="1:5" ht="15" customHeight="1" x14ac:dyDescent="0.2">
      <c r="A70" t="s">
        <v>1171</v>
      </c>
      <c r="B70" t="s">
        <v>732</v>
      </c>
      <c r="C70" t="s">
        <v>1172</v>
      </c>
      <c r="D70" t="s">
        <v>1173</v>
      </c>
      <c r="E70" t="s">
        <v>727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174</v>
      </c>
    </row>
    <row r="73" spans="1:5" ht="15" customHeight="1" x14ac:dyDescent="0.2">
      <c r="A73" t="s">
        <v>75</v>
      </c>
      <c r="B73" t="s">
        <v>221</v>
      </c>
    </row>
    <row r="75" spans="1:5" ht="15" customHeight="1" x14ac:dyDescent="0.2">
      <c r="A75" t="s">
        <v>1171</v>
      </c>
      <c r="B75" t="s">
        <v>732</v>
      </c>
      <c r="C75" t="s">
        <v>1172</v>
      </c>
      <c r="D75" t="s">
        <v>1173</v>
      </c>
      <c r="E75" t="s">
        <v>727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181</v>
      </c>
    </row>
    <row r="78" spans="1:5" ht="15" customHeight="1" x14ac:dyDescent="0.2">
      <c r="A78" t="s">
        <v>75</v>
      </c>
      <c r="B78" t="s">
        <v>221</v>
      </c>
    </row>
    <row r="80" spans="1:5" ht="15" customHeight="1" x14ac:dyDescent="0.2">
      <c r="A80" t="s">
        <v>1171</v>
      </c>
      <c r="B80" t="s">
        <v>732</v>
      </c>
      <c r="C80" t="s">
        <v>1172</v>
      </c>
      <c r="D80" t="s">
        <v>1173</v>
      </c>
      <c r="E80" t="s">
        <v>727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177</v>
      </c>
    </row>
    <row r="83" spans="1:5" ht="15" customHeight="1" x14ac:dyDescent="0.2">
      <c r="A83" t="s">
        <v>75</v>
      </c>
      <c r="B83" t="s">
        <v>221</v>
      </c>
    </row>
    <row r="85" spans="1:5" ht="15" customHeight="1" x14ac:dyDescent="0.2">
      <c r="A85" t="s">
        <v>1171</v>
      </c>
      <c r="B85" t="s">
        <v>732</v>
      </c>
      <c r="C85" t="s">
        <v>1172</v>
      </c>
      <c r="D85" t="s">
        <v>1173</v>
      </c>
      <c r="E85" t="s">
        <v>727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173</v>
      </c>
    </row>
    <row r="88" spans="1:5" ht="15" customHeight="1" x14ac:dyDescent="0.2">
      <c r="A88" t="s">
        <v>75</v>
      </c>
      <c r="B88" t="s">
        <v>221</v>
      </c>
    </row>
    <row r="90" spans="1:5" ht="15" customHeight="1" x14ac:dyDescent="0.2">
      <c r="A90" t="s">
        <v>1171</v>
      </c>
      <c r="B90" t="s">
        <v>732</v>
      </c>
      <c r="C90" t="s">
        <v>1172</v>
      </c>
      <c r="D90" t="s">
        <v>1173</v>
      </c>
      <c r="E90" t="s">
        <v>727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221</v>
      </c>
    </row>
    <row r="95" spans="1:5" ht="15" customHeight="1" x14ac:dyDescent="0.2">
      <c r="A95" t="s">
        <v>1171</v>
      </c>
      <c r="B95" t="s">
        <v>732</v>
      </c>
      <c r="C95" t="s">
        <v>1172</v>
      </c>
      <c r="D95" t="s">
        <v>1173</v>
      </c>
      <c r="E95" t="s">
        <v>727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233</v>
      </c>
    </row>
    <row r="98" spans="1:5" ht="15" customHeight="1" x14ac:dyDescent="0.2">
      <c r="A98" t="s">
        <v>75</v>
      </c>
      <c r="B98" t="s">
        <v>221</v>
      </c>
    </row>
    <row r="100" spans="1:5" ht="15" customHeight="1" x14ac:dyDescent="0.2">
      <c r="A100" t="s">
        <v>1171</v>
      </c>
      <c r="B100" t="s">
        <v>732</v>
      </c>
      <c r="C100" t="s">
        <v>1172</v>
      </c>
      <c r="D100" t="s">
        <v>1173</v>
      </c>
      <c r="E100" t="s">
        <v>727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221</v>
      </c>
    </row>
    <row r="105" spans="1:5" ht="15" customHeight="1" x14ac:dyDescent="0.2">
      <c r="A105" t="s">
        <v>1171</v>
      </c>
      <c r="B105" t="s">
        <v>732</v>
      </c>
      <c r="C105" t="s">
        <v>1172</v>
      </c>
      <c r="D105" t="s">
        <v>1173</v>
      </c>
      <c r="E105" t="s">
        <v>727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221</v>
      </c>
    </row>
    <row r="110" spans="1:5" ht="15" customHeight="1" x14ac:dyDescent="0.2">
      <c r="A110" t="s">
        <v>1171</v>
      </c>
      <c r="B110" t="s">
        <v>732</v>
      </c>
      <c r="C110" t="s">
        <v>1172</v>
      </c>
      <c r="D110" t="s">
        <v>1173</v>
      </c>
      <c r="E110" t="s">
        <v>727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zoomScaleNormal="100" workbookViewId="0"/>
  </sheetViews>
  <sheetFormatPr baseColWidth="10" defaultColWidth="8.83203125" defaultRowHeight="15" x14ac:dyDescent="0.2"/>
  <sheetData>
    <row r="1" spans="1:35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3" spans="1:35" ht="15" customHeight="1" x14ac:dyDescent="0.2">
      <c r="C3" t="s">
        <v>1081</v>
      </c>
      <c r="X3" t="s">
        <v>1184</v>
      </c>
      <c r="Y3" t="s">
        <v>1185</v>
      </c>
      <c r="Z3" t="s">
        <v>1186</v>
      </c>
      <c r="AA3" t="s">
        <v>1187</v>
      </c>
      <c r="AF3" t="s">
        <v>1187</v>
      </c>
      <c r="AH3" t="s">
        <v>1188</v>
      </c>
    </row>
    <row r="4" spans="1:35" ht="15" customHeight="1" x14ac:dyDescent="0.2">
      <c r="C4" t="s">
        <v>1189</v>
      </c>
      <c r="D4" t="s">
        <v>1190</v>
      </c>
      <c r="E4" t="s">
        <v>1191</v>
      </c>
      <c r="F4" t="s">
        <v>1192</v>
      </c>
      <c r="G4" t="s">
        <v>1193</v>
      </c>
      <c r="H4" t="s">
        <v>1090</v>
      </c>
      <c r="I4" t="s">
        <v>1092</v>
      </c>
      <c r="J4" t="s">
        <v>1194</v>
      </c>
      <c r="W4" t="s">
        <v>1181</v>
      </c>
      <c r="X4">
        <v>655</v>
      </c>
      <c r="Y4">
        <v>335</v>
      </c>
      <c r="Z4">
        <v>990</v>
      </c>
      <c r="AA4">
        <v>94</v>
      </c>
      <c r="AE4" t="s">
        <v>1195</v>
      </c>
      <c r="AF4">
        <v>329.15</v>
      </c>
      <c r="AH4" t="s">
        <v>174</v>
      </c>
      <c r="AI4">
        <v>1340</v>
      </c>
    </row>
    <row r="5" spans="1:35" ht="15" customHeight="1" x14ac:dyDescent="0.2">
      <c r="C5" t="s">
        <v>1181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173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173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135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135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930</v>
      </c>
      <c r="X7">
        <v>10</v>
      </c>
      <c r="Y7">
        <v>0</v>
      </c>
      <c r="Z7">
        <v>10</v>
      </c>
      <c r="AA7">
        <v>0</v>
      </c>
      <c r="AE7" t="s">
        <v>173</v>
      </c>
      <c r="AF7">
        <v>192</v>
      </c>
      <c r="AH7" t="s">
        <v>1181</v>
      </c>
      <c r="AI7">
        <v>990</v>
      </c>
    </row>
    <row r="8" spans="1:35" ht="15" customHeight="1" x14ac:dyDescent="0.2">
      <c r="C8" t="s">
        <v>930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932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1195</v>
      </c>
      <c r="AI8">
        <v>950</v>
      </c>
    </row>
    <row r="9" spans="1:35" ht="15" customHeight="1" x14ac:dyDescent="0.2">
      <c r="C9" t="s">
        <v>932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178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178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1196</v>
      </c>
      <c r="AI10">
        <v>725</v>
      </c>
    </row>
    <row r="11" spans="1:35" ht="15" customHeight="1" x14ac:dyDescent="0.2">
      <c r="C11" t="s">
        <v>178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1181</v>
      </c>
      <c r="AF11">
        <v>94</v>
      </c>
      <c r="AH11" t="s">
        <v>178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276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930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276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1197</v>
      </c>
      <c r="X15">
        <v>60</v>
      </c>
      <c r="Y15">
        <v>60</v>
      </c>
      <c r="Z15">
        <v>120</v>
      </c>
      <c r="AA15">
        <v>0</v>
      </c>
      <c r="AE15" t="s">
        <v>1197</v>
      </c>
      <c r="AF15">
        <v>0</v>
      </c>
      <c r="AH15" t="s">
        <v>932</v>
      </c>
      <c r="AI15">
        <v>460</v>
      </c>
    </row>
    <row r="16" spans="1:35" ht="15" customHeight="1" x14ac:dyDescent="0.2">
      <c r="C16" t="s">
        <v>1197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1198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136</v>
      </c>
      <c r="AF17">
        <v>0</v>
      </c>
      <c r="AH17" t="s">
        <v>1182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234</v>
      </c>
      <c r="X18">
        <v>10</v>
      </c>
      <c r="Y18">
        <v>190</v>
      </c>
      <c r="Z18">
        <v>200</v>
      </c>
      <c r="AA18">
        <v>-25</v>
      </c>
      <c r="AE18" t="s">
        <v>1196</v>
      </c>
      <c r="AF18">
        <v>-5</v>
      </c>
      <c r="AH18" t="s">
        <v>173</v>
      </c>
      <c r="AI18">
        <v>260</v>
      </c>
    </row>
    <row r="19" spans="3:35" ht="15" customHeight="1" x14ac:dyDescent="0.2">
      <c r="C19" t="s">
        <v>234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233</v>
      </c>
      <c r="X19">
        <v>95</v>
      </c>
      <c r="Y19">
        <v>0</v>
      </c>
      <c r="Z19">
        <v>95</v>
      </c>
      <c r="AA19">
        <v>-91</v>
      </c>
      <c r="AE19" t="s">
        <v>234</v>
      </c>
      <c r="AF19">
        <v>-25</v>
      </c>
      <c r="AH19" t="s">
        <v>135</v>
      </c>
      <c r="AI19">
        <v>255</v>
      </c>
    </row>
    <row r="20" spans="3:35" ht="15" customHeight="1" x14ac:dyDescent="0.2">
      <c r="C20" t="s">
        <v>233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1198</v>
      </c>
      <c r="X21">
        <v>35</v>
      </c>
      <c r="Y21">
        <v>50</v>
      </c>
      <c r="Z21">
        <v>85</v>
      </c>
      <c r="AA21">
        <v>0</v>
      </c>
      <c r="AE21" t="s">
        <v>233</v>
      </c>
      <c r="AF21">
        <v>-91</v>
      </c>
      <c r="AH21" t="s">
        <v>234</v>
      </c>
      <c r="AI21">
        <v>200</v>
      </c>
    </row>
    <row r="22" spans="3:35" ht="15" customHeight="1" x14ac:dyDescent="0.2">
      <c r="C22" t="s">
        <v>1198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136</v>
      </c>
      <c r="X22">
        <v>10</v>
      </c>
      <c r="Y22">
        <v>155</v>
      </c>
      <c r="Z22">
        <v>165</v>
      </c>
      <c r="AA22">
        <v>0</v>
      </c>
      <c r="AE22" t="s">
        <v>932</v>
      </c>
      <c r="AF22">
        <v>-147.91999999999999</v>
      </c>
      <c r="AH22" t="s">
        <v>136</v>
      </c>
      <c r="AI22">
        <v>165</v>
      </c>
    </row>
    <row r="23" spans="3:35" ht="15" customHeight="1" x14ac:dyDescent="0.2">
      <c r="C23" t="s">
        <v>136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1182</v>
      </c>
      <c r="X23">
        <v>10</v>
      </c>
      <c r="Y23">
        <v>415</v>
      </c>
      <c r="Z23">
        <v>425</v>
      </c>
      <c r="AA23">
        <v>-261</v>
      </c>
      <c r="AE23" t="s">
        <v>174</v>
      </c>
      <c r="AF23">
        <v>-165.93</v>
      </c>
      <c r="AH23" t="s">
        <v>1197</v>
      </c>
      <c r="AI23">
        <v>120</v>
      </c>
    </row>
    <row r="24" spans="3:35" ht="15" customHeight="1" x14ac:dyDescent="0.2">
      <c r="C24" t="s">
        <v>1182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1196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233</v>
      </c>
      <c r="AI24">
        <v>95</v>
      </c>
    </row>
    <row r="25" spans="3:35" ht="15" customHeight="1" x14ac:dyDescent="0.2">
      <c r="C25" t="s">
        <v>1196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1195</v>
      </c>
      <c r="X25">
        <v>335</v>
      </c>
      <c r="Y25">
        <v>615</v>
      </c>
      <c r="Z25">
        <v>950</v>
      </c>
      <c r="AA25">
        <v>329.15</v>
      </c>
      <c r="AE25" t="s">
        <v>135</v>
      </c>
      <c r="AF25">
        <v>-258.74</v>
      </c>
      <c r="AH25" t="s">
        <v>1198</v>
      </c>
      <c r="AI25">
        <v>85</v>
      </c>
    </row>
    <row r="26" spans="3:35" ht="15" customHeight="1" x14ac:dyDescent="0.2">
      <c r="C26" t="s">
        <v>1195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174</v>
      </c>
      <c r="X26">
        <v>460</v>
      </c>
      <c r="Y26">
        <v>880</v>
      </c>
      <c r="Z26">
        <v>1340</v>
      </c>
      <c r="AA26">
        <v>-165.93</v>
      </c>
      <c r="AE26" t="s">
        <v>1182</v>
      </c>
      <c r="AF26">
        <v>-261</v>
      </c>
      <c r="AH26" t="s">
        <v>930</v>
      </c>
      <c r="AI26">
        <v>10</v>
      </c>
    </row>
    <row r="27" spans="3:35" ht="15" customHeight="1" x14ac:dyDescent="0.2">
      <c r="C27" t="s">
        <v>1199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276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1096</v>
      </c>
    </row>
    <row r="30" spans="3:35" ht="15" customHeight="1" x14ac:dyDescent="0.2">
      <c r="C30" t="s">
        <v>1189</v>
      </c>
      <c r="D30" t="s">
        <v>1200</v>
      </c>
      <c r="E30" t="s">
        <v>1190</v>
      </c>
      <c r="F30" t="s">
        <v>1201</v>
      </c>
      <c r="G30" t="s">
        <v>1202</v>
      </c>
      <c r="H30" t="s">
        <v>1193</v>
      </c>
      <c r="I30" t="s">
        <v>1203</v>
      </c>
      <c r="J30" t="s">
        <v>1092</v>
      </c>
      <c r="K30" t="s">
        <v>1204</v>
      </c>
      <c r="L30" t="s">
        <v>1205</v>
      </c>
      <c r="M30" t="s">
        <v>1206</v>
      </c>
      <c r="N30" t="s">
        <v>1207</v>
      </c>
      <c r="O30" t="s">
        <v>1208</v>
      </c>
      <c r="P30" t="s">
        <v>1209</v>
      </c>
      <c r="Q30" t="s">
        <v>1210</v>
      </c>
      <c r="R30" t="s">
        <v>1211</v>
      </c>
      <c r="AE30">
        <v>4.3988095238095202</v>
      </c>
    </row>
    <row r="31" spans="3:35" ht="15" customHeight="1" x14ac:dyDescent="0.2">
      <c r="C31" t="s">
        <v>1181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173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135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930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932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178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1197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234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233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174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136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1182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1196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1195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276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1181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1212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1199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1104</v>
      </c>
    </row>
    <row r="59" spans="3:19" ht="48" customHeight="1" x14ac:dyDescent="0.2">
      <c r="C59" t="s">
        <v>1189</v>
      </c>
      <c r="D59" t="s">
        <v>1200</v>
      </c>
      <c r="E59" t="s">
        <v>1190</v>
      </c>
      <c r="F59" t="s">
        <v>1213</v>
      </c>
      <c r="G59" t="s">
        <v>1202</v>
      </c>
      <c r="H59" t="s">
        <v>1193</v>
      </c>
      <c r="I59" t="s">
        <v>1214</v>
      </c>
      <c r="J59" t="s">
        <v>1215</v>
      </c>
      <c r="K59" t="s">
        <v>1216</v>
      </c>
      <c r="L59" t="s">
        <v>1217</v>
      </c>
      <c r="M59" s="90" t="s">
        <v>1218</v>
      </c>
      <c r="N59" t="s">
        <v>1204</v>
      </c>
      <c r="O59" t="s">
        <v>1205</v>
      </c>
      <c r="P59" t="s">
        <v>1219</v>
      </c>
      <c r="Q59" t="s">
        <v>1220</v>
      </c>
      <c r="R59" t="s">
        <v>1221</v>
      </c>
      <c r="S59" t="s">
        <v>1222</v>
      </c>
    </row>
    <row r="60" spans="3:19" ht="15" customHeight="1" x14ac:dyDescent="0.2">
      <c r="C60" t="s">
        <v>135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930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932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174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178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1181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234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233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136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1182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1196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1195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276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1199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1114</v>
      </c>
    </row>
    <row r="84" spans="3:19" ht="48" customHeight="1" x14ac:dyDescent="0.2">
      <c r="C84" t="s">
        <v>1189</v>
      </c>
      <c r="D84" t="s">
        <v>1200</v>
      </c>
      <c r="E84" t="s">
        <v>1190</v>
      </c>
      <c r="F84" t="s">
        <v>1202</v>
      </c>
      <c r="G84" t="s">
        <v>1193</v>
      </c>
      <c r="H84" t="s">
        <v>1214</v>
      </c>
      <c r="I84" t="s">
        <v>1215</v>
      </c>
      <c r="J84" t="s">
        <v>1216</v>
      </c>
      <c r="K84" s="90" t="s">
        <v>1223</v>
      </c>
      <c r="L84" t="s">
        <v>1204</v>
      </c>
      <c r="M84" t="s">
        <v>1205</v>
      </c>
      <c r="N84" t="s">
        <v>1224</v>
      </c>
      <c r="O84" t="s">
        <v>1225</v>
      </c>
    </row>
    <row r="85" spans="3:19" ht="15" customHeight="1" x14ac:dyDescent="0.2">
      <c r="C85" t="s">
        <v>173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135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930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932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459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174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178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1181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234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233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136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1182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1196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1195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276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1199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13" t="s">
        <v>1226</v>
      </c>
    </row>
    <row r="2" spans="2:8" ht="15" customHeight="1" x14ac:dyDescent="0.2">
      <c r="B2" s="41" t="s">
        <v>1227</v>
      </c>
    </row>
    <row r="3" spans="2:8" ht="15" customHeight="1" x14ac:dyDescent="0.2"/>
    <row r="4" spans="2:8" ht="15" customHeight="1" x14ac:dyDescent="0.2">
      <c r="B4" s="42" t="s">
        <v>684</v>
      </c>
      <c r="C4" s="42" t="s">
        <v>1228</v>
      </c>
      <c r="D4" s="42" t="s">
        <v>1229</v>
      </c>
      <c r="E4" s="42" t="s">
        <v>99</v>
      </c>
      <c r="F4" s="42" t="s">
        <v>100</v>
      </c>
      <c r="G4" s="42" t="s">
        <v>101</v>
      </c>
      <c r="H4" s="42" t="s">
        <v>727</v>
      </c>
    </row>
    <row r="5" spans="2:8" ht="15" customHeight="1" x14ac:dyDescent="0.2">
      <c r="B5" s="43" t="s">
        <v>135</v>
      </c>
      <c r="C5" s="52"/>
      <c r="D5" s="52" t="s">
        <v>685</v>
      </c>
      <c r="E5" s="52">
        <f>COUNTIFS(Archives!$D$2:$D$1048576,1,Archives!$AB$2:$AB$1048576,"W",Archives!$V$2:$V$1048576,$B5)+COUNTIFS(Archives!$D$2:$D$1048576,1,Archives!$AB$2:$AB$1048576,"W",Archives!$Y$2:$Y$1048576,$B5)</f>
        <v>5</v>
      </c>
      <c r="F5" s="52">
        <f>COUNTIFS(Archives!$D$2:$D$1048576,1,Archives!$AB$2:$AB$1048576,"L",Archives!$V$2:$V$1048576,$B5)+COUNTIFS(Archives!$D$2:$D$1048576,1,Archives!$AB$2:$AB$1048576,"L",Archives!$Y$2:$Y$1048576,$B5)</f>
        <v>0</v>
      </c>
      <c r="G5" s="52">
        <f>COUNTIFS(Archives!$D$2:$D$1048576,1,Archives!$AB$2:$AB$1048576,"T",Archives!$V$2:$V$1048576,$B5)+COUNTIFS(Archives!$D$2:$D$1048576,1,Archives!$AB$2:$AB$1048576,"T",Archives!$Y$2:$Y$1048576,$B5)</f>
        <v>0</v>
      </c>
      <c r="H5" s="53">
        <f t="shared" ref="H5:H35" si="0">IF((E5+F5+G5)=0,0,(E5+0.5*G5)/(E5+F5+G5))</f>
        <v>1</v>
      </c>
    </row>
    <row r="6" spans="2:8" ht="15" customHeight="1" x14ac:dyDescent="0.2">
      <c r="B6" s="46" t="s">
        <v>127</v>
      </c>
      <c r="C6" s="55"/>
      <c r="D6" s="55" t="s">
        <v>685</v>
      </c>
      <c r="E6" s="55">
        <f>COUNTIFS(Archives!$D$2:$D$1048576,1,Archives!$AB$2:$AB$1048576,"W",Archives!$V$2:$V$1048576,$B6)+COUNTIFS(Archives!$D$2:$D$1048576,1,Archives!$AB$2:$AB$1048576,"W",Archives!$Y$2:$Y$1048576,$B6)</f>
        <v>4</v>
      </c>
      <c r="F6" s="55">
        <f>COUNTIFS(Archives!$D$2:$D$1048576,1,Archives!$AB$2:$AB$1048576,"L",Archives!$V$2:$V$1048576,$B6)+COUNTIFS(Archives!$D$2:$D$1048576,1,Archives!$AB$2:$AB$1048576,"L",Archives!$Y$2:$Y$1048576,$B6)</f>
        <v>0</v>
      </c>
      <c r="G6" s="55">
        <f>COUNTIFS(Archives!$D$2:$D$1048576,1,Archives!$AB$2:$AB$1048576,"T",Archives!$V$2:$V$1048576,$B6)+COUNTIFS(Archives!$D$2:$D$1048576,1,Archives!$AB$2:$AB$1048576,"T",Archives!$Y$2:$Y$1048576,$B6)</f>
        <v>1</v>
      </c>
      <c r="H6" s="56">
        <f t="shared" si="0"/>
        <v>0.9</v>
      </c>
    </row>
    <row r="7" spans="2:8" ht="15" customHeight="1" x14ac:dyDescent="0.2">
      <c r="B7" s="43" t="s">
        <v>132</v>
      </c>
      <c r="C7" s="52"/>
      <c r="D7" s="52" t="s">
        <v>685</v>
      </c>
      <c r="E7" s="52">
        <f>COUNTIFS(Archives!$D$2:$D$1048576,1,Archives!$AB$2:$AB$1048576,"W",Archives!$V$2:$V$1048576,$B7)+COUNTIFS(Archives!$D$2:$D$1048576,1,Archives!$AB$2:$AB$1048576,"W",Archives!$Y$2:$Y$1048576,$B7)</f>
        <v>1</v>
      </c>
      <c r="F7" s="52">
        <f>COUNTIFS(Archives!$D$2:$D$1048576,1,Archives!$AB$2:$AB$1048576,"L",Archives!$V$2:$V$1048576,$B7)+COUNTIFS(Archives!$D$2:$D$1048576,1,Archives!$AB$2:$AB$1048576,"L",Archives!$Y$2:$Y$1048576,$B7)</f>
        <v>4</v>
      </c>
      <c r="G7" s="52">
        <f>COUNTIFS(Archives!$D$2:$D$1048576,1,Archives!$AB$2:$AB$1048576,"T",Archives!$V$2:$V$1048576,$B7)+COUNTIFS(Archives!$D$2:$D$1048576,1,Archives!$AB$2:$AB$1048576,"T",Archives!$Y$2:$Y$1048576,$B7)</f>
        <v>0</v>
      </c>
      <c r="H7" s="53">
        <f t="shared" si="0"/>
        <v>0.2</v>
      </c>
    </row>
    <row r="8" spans="2:8" ht="15" customHeight="1" x14ac:dyDescent="0.2">
      <c r="B8" s="46" t="s">
        <v>119</v>
      </c>
      <c r="C8" s="55"/>
      <c r="D8" s="55" t="s">
        <v>685</v>
      </c>
      <c r="E8" s="55">
        <f>COUNTIFS(Archives!$D$2:$D$1048576,1,Archives!$AB$2:$AB$1048576,"W",Archives!$V$2:$V$1048576,$B8)+COUNTIFS(Archives!$D$2:$D$1048576,1,Archives!$AB$2:$AB$1048576,"W",Archives!$Y$2:$Y$1048576,$B8)</f>
        <v>2</v>
      </c>
      <c r="F8" s="55">
        <f>COUNTIFS(Archives!$D$2:$D$1048576,1,Archives!$AB$2:$AB$1048576,"L",Archives!$V$2:$V$1048576,$B8)+COUNTIFS(Archives!$D$2:$D$1048576,1,Archives!$AB$2:$AB$1048576,"L",Archives!$Y$2:$Y$1048576,$B8)</f>
        <v>2</v>
      </c>
      <c r="G8" s="55">
        <f>COUNTIFS(Archives!$D$2:$D$1048576,1,Archives!$AB$2:$AB$1048576,"T",Archives!$V$2:$V$1048576,$B8)+COUNTIFS(Archives!$D$2:$D$1048576,1,Archives!$AB$2:$AB$1048576,"T",Archives!$Y$2:$Y$1048576,$B8)</f>
        <v>1</v>
      </c>
      <c r="H8" s="56">
        <f t="shared" si="0"/>
        <v>0.5</v>
      </c>
    </row>
    <row r="9" spans="2:8" ht="15" customHeight="1" x14ac:dyDescent="0.2">
      <c r="B9" s="43" t="s">
        <v>120</v>
      </c>
      <c r="C9" s="52"/>
      <c r="D9" s="52" t="s">
        <v>685</v>
      </c>
      <c r="E9" s="52">
        <f>COUNTIFS(Archives!$D$2:$D$1048576,1,Archives!$AB$2:$AB$1048576,"W",Archives!$V$2:$V$1048576,$B9)+COUNTIFS(Archives!$D$2:$D$1048576,1,Archives!$AB$2:$AB$1048576,"W",Archives!$Y$2:$Y$1048576,$B9)</f>
        <v>2</v>
      </c>
      <c r="F9" s="52">
        <f>COUNTIFS(Archives!$D$2:$D$1048576,1,Archives!$AB$2:$AB$1048576,"L",Archives!$V$2:$V$1048576,$B9)+COUNTIFS(Archives!$D$2:$D$1048576,1,Archives!$AB$2:$AB$1048576,"L",Archives!$Y$2:$Y$1048576,$B9)</f>
        <v>1</v>
      </c>
      <c r="G9" s="52">
        <f>COUNTIFS(Archives!$D$2:$D$1048576,1,Archives!$AB$2:$AB$1048576,"T",Archives!$V$2:$V$1048576,$B9)+COUNTIFS(Archives!$D$2:$D$1048576,1,Archives!$AB$2:$AB$1048576,"T",Archives!$Y$2:$Y$1048576,$B9)</f>
        <v>2</v>
      </c>
      <c r="H9" s="53">
        <f t="shared" si="0"/>
        <v>0.6</v>
      </c>
    </row>
    <row r="10" spans="2:8" ht="15" customHeight="1" x14ac:dyDescent="0.2">
      <c r="B10" s="46" t="s">
        <v>122</v>
      </c>
      <c r="C10" s="55"/>
      <c r="D10" s="55" t="s">
        <v>685</v>
      </c>
      <c r="E10" s="55">
        <f>COUNTIFS(Archives!$D$2:$D$1048576,1,Archives!$AB$2:$AB$1048576,"W",Archives!$V$2:$V$1048576,$B10)+COUNTIFS(Archives!$D$2:$D$1048576,1,Archives!$AB$2:$AB$1048576,"W",Archives!$Y$2:$Y$1048576,$B10)</f>
        <v>1</v>
      </c>
      <c r="F10" s="55">
        <f>COUNTIFS(Archives!$D$2:$D$1048576,1,Archives!$AB$2:$AB$1048576,"L",Archives!$V$2:$V$1048576,$B10)+COUNTIFS(Archives!$D$2:$D$1048576,1,Archives!$AB$2:$AB$1048576,"L",Archives!$Y$2:$Y$1048576,$B10)</f>
        <v>3</v>
      </c>
      <c r="G10" s="55">
        <f>COUNTIFS(Archives!$D$2:$D$1048576,1,Archives!$AB$2:$AB$1048576,"T",Archives!$V$2:$V$1048576,$B10)+COUNTIFS(Archives!$D$2:$D$1048576,1,Archives!$AB$2:$AB$1048576,"T",Archives!$Y$2:$Y$1048576,$B10)</f>
        <v>1</v>
      </c>
      <c r="H10" s="56">
        <f t="shared" si="0"/>
        <v>0.3</v>
      </c>
    </row>
    <row r="11" spans="2:8" ht="15" customHeight="1" x14ac:dyDescent="0.2">
      <c r="B11" s="43" t="s">
        <v>118</v>
      </c>
      <c r="C11" s="52"/>
      <c r="D11" s="52" t="s">
        <v>685</v>
      </c>
      <c r="E11" s="52">
        <f>COUNTIFS(Archives!$D$2:$D$1048576,1,Archives!$AB$2:$AB$1048576,"W",Archives!$V$2:$V$1048576,$B11)+COUNTIFS(Archives!$D$2:$D$1048576,1,Archives!$AB$2:$AB$1048576,"W",Archives!$Y$2:$Y$1048576,$B11)</f>
        <v>3</v>
      </c>
      <c r="F11" s="52">
        <f>COUNTIFS(Archives!$D$2:$D$1048576,1,Archives!$AB$2:$AB$1048576,"L",Archives!$V$2:$V$1048576,$B11)+COUNTIFS(Archives!$D$2:$D$1048576,1,Archives!$AB$2:$AB$1048576,"L",Archives!$Y$2:$Y$1048576,$B11)</f>
        <v>1</v>
      </c>
      <c r="G11" s="52">
        <f>COUNTIFS(Archives!$D$2:$D$1048576,1,Archives!$AB$2:$AB$1048576,"T",Archives!$V$2:$V$1048576,$B11)+COUNTIFS(Archives!$D$2:$D$1048576,1,Archives!$AB$2:$AB$1048576,"T",Archives!$Y$2:$Y$1048576,$B11)</f>
        <v>1</v>
      </c>
      <c r="H11" s="53">
        <f t="shared" si="0"/>
        <v>0.7</v>
      </c>
    </row>
    <row r="12" spans="2:8" ht="15" customHeight="1" x14ac:dyDescent="0.2">
      <c r="B12" s="46" t="s">
        <v>123</v>
      </c>
      <c r="C12" s="55"/>
      <c r="D12" s="55" t="s">
        <v>685</v>
      </c>
      <c r="E12" s="55">
        <f>COUNTIFS(Archives!$D$2:$D$1048576,1,Archives!$AB$2:$AB$1048576,"W",Archives!$V$2:$V$1048576,$B12)+COUNTIFS(Archives!$D$2:$D$1048576,1,Archives!$AB$2:$AB$1048576,"W",Archives!$Y$2:$Y$1048576,$B12)</f>
        <v>0</v>
      </c>
      <c r="F12" s="55">
        <f>COUNTIFS(Archives!$D$2:$D$1048576,1,Archives!$AB$2:$AB$1048576,"L",Archives!$V$2:$V$1048576,$B12)+COUNTIFS(Archives!$D$2:$D$1048576,1,Archives!$AB$2:$AB$1048576,"L",Archives!$Y$2:$Y$1048576,$B12)</f>
        <v>3</v>
      </c>
      <c r="G12" s="55">
        <f>COUNTIFS(Archives!$D$2:$D$1048576,1,Archives!$AB$2:$AB$1048576,"T",Archives!$V$2:$V$1048576,$B12)+COUNTIFS(Archives!$D$2:$D$1048576,1,Archives!$AB$2:$AB$1048576,"T",Archives!$Y$2:$Y$1048576,$B12)</f>
        <v>2</v>
      </c>
      <c r="H12" s="56">
        <f t="shared" si="0"/>
        <v>0.2</v>
      </c>
    </row>
    <row r="13" spans="2:8" ht="15" customHeight="1" x14ac:dyDescent="0.2">
      <c r="B13" s="43" t="s">
        <v>129</v>
      </c>
      <c r="C13" s="52"/>
      <c r="D13" s="52" t="s">
        <v>685</v>
      </c>
      <c r="E13" s="52">
        <f>COUNTIFS(Archives!$D$2:$D$1048576,1,Archives!$AB$2:$AB$1048576,"W",Archives!$V$2:$V$1048576,$B13)+COUNTIFS(Archives!$D$2:$D$1048576,1,Archives!$AB$2:$AB$1048576,"W",Archives!$Y$2:$Y$1048576,$B13)</f>
        <v>1</v>
      </c>
      <c r="F13" s="52">
        <f>COUNTIFS(Archives!$D$2:$D$1048576,1,Archives!$AB$2:$AB$1048576,"L",Archives!$V$2:$V$1048576,$B13)+COUNTIFS(Archives!$D$2:$D$1048576,1,Archives!$AB$2:$AB$1048576,"L",Archives!$Y$2:$Y$1048576,$B13)</f>
        <v>3</v>
      </c>
      <c r="G13" s="52">
        <f>COUNTIFS(Archives!$D$2:$D$1048576,1,Archives!$AB$2:$AB$1048576,"T",Archives!$V$2:$V$1048576,$B13)+COUNTIFS(Archives!$D$2:$D$1048576,1,Archives!$AB$2:$AB$1048576,"T",Archives!$Y$2:$Y$1048576,$B13)</f>
        <v>1</v>
      </c>
      <c r="H13" s="53">
        <f t="shared" si="0"/>
        <v>0.3</v>
      </c>
    </row>
    <row r="14" spans="2:8" ht="15" customHeight="1" x14ac:dyDescent="0.2">
      <c r="B14" s="46" t="s">
        <v>133</v>
      </c>
      <c r="C14" s="55"/>
      <c r="D14" s="55" t="s">
        <v>685</v>
      </c>
      <c r="E14" s="55">
        <f>COUNTIFS(Archives!$D$2:$D$1048576,1,Archives!$AB$2:$AB$1048576,"W",Archives!$V$2:$V$1048576,$B14)+COUNTIFS(Archives!$D$2:$D$1048576,1,Archives!$AB$2:$AB$1048576,"W",Archives!$Y$2:$Y$1048576,$B14)</f>
        <v>0</v>
      </c>
      <c r="F14" s="55">
        <f>COUNTIFS(Archives!$D$2:$D$1048576,1,Archives!$AB$2:$AB$1048576,"L",Archives!$V$2:$V$1048576,$B14)+COUNTIFS(Archives!$D$2:$D$1048576,1,Archives!$AB$2:$AB$1048576,"L",Archives!$Y$2:$Y$1048576,$B14)</f>
        <v>5</v>
      </c>
      <c r="G14" s="55">
        <f>COUNTIFS(Archives!$D$2:$D$1048576,1,Archives!$AB$2:$AB$1048576,"T",Archives!$V$2:$V$1048576,$B14)+COUNTIFS(Archives!$D$2:$D$1048576,1,Archives!$AB$2:$AB$1048576,"T",Archives!$Y$2:$Y$1048576,$B14)</f>
        <v>0</v>
      </c>
      <c r="H14" s="56">
        <f t="shared" si="0"/>
        <v>0</v>
      </c>
    </row>
    <row r="15" spans="2:8" ht="15" customHeight="1" x14ac:dyDescent="0.2">
      <c r="B15" s="43" t="s">
        <v>130</v>
      </c>
      <c r="C15" s="52"/>
      <c r="D15" s="52" t="s">
        <v>685</v>
      </c>
      <c r="E15" s="52">
        <f>COUNTIFS(Archives!$D$2:$D$1048576,1,Archives!$AB$2:$AB$1048576,"W",Archives!$V$2:$V$1048576,$B15)+COUNTIFS(Archives!$D$2:$D$1048576,1,Archives!$AB$2:$AB$1048576,"W",Archives!$Y$2:$Y$1048576,$B15)</f>
        <v>2</v>
      </c>
      <c r="F15" s="52">
        <f>COUNTIFS(Archives!$D$2:$D$1048576,1,Archives!$AB$2:$AB$1048576,"L",Archives!$V$2:$V$1048576,$B15)+COUNTIFS(Archives!$D$2:$D$1048576,1,Archives!$AB$2:$AB$1048576,"L",Archives!$Y$2:$Y$1048576,$B15)</f>
        <v>2</v>
      </c>
      <c r="G15" s="52">
        <f>COUNTIFS(Archives!$D$2:$D$1048576,1,Archives!$AB$2:$AB$1048576,"T",Archives!$V$2:$V$1048576,$B15)+COUNTIFS(Archives!$D$2:$D$1048576,1,Archives!$AB$2:$AB$1048576,"T",Archives!$Y$2:$Y$1048576,$B15)</f>
        <v>1</v>
      </c>
      <c r="H15" s="53">
        <f t="shared" si="0"/>
        <v>0.5</v>
      </c>
    </row>
    <row r="16" spans="2:8" ht="15" customHeight="1" x14ac:dyDescent="0.2">
      <c r="B16" s="46" t="s">
        <v>136</v>
      </c>
      <c r="C16" s="55"/>
      <c r="D16" s="55" t="s">
        <v>685</v>
      </c>
      <c r="E16" s="55">
        <f>COUNTIFS(Archives!$D$2:$D$1048576,1,Archives!$AB$2:$AB$1048576,"W",Archives!$V$2:$V$1048576,$B16)+COUNTIFS(Archives!$D$2:$D$1048576,1,Archives!$AB$2:$AB$1048576,"W",Archives!$Y$2:$Y$1048576,$B16)</f>
        <v>4</v>
      </c>
      <c r="F16" s="55">
        <f>COUNTIFS(Archives!$D$2:$D$1048576,1,Archives!$AB$2:$AB$1048576,"L",Archives!$V$2:$V$1048576,$B16)+COUNTIFS(Archives!$D$2:$D$1048576,1,Archives!$AB$2:$AB$1048576,"L",Archives!$Y$2:$Y$1048576,$B16)</f>
        <v>1</v>
      </c>
      <c r="G16" s="55">
        <f>COUNTIFS(Archives!$D$2:$D$1048576,1,Archives!$AB$2:$AB$1048576,"T",Archives!$V$2:$V$1048576,$B16)+COUNTIFS(Archives!$D$2:$D$1048576,1,Archives!$AB$2:$AB$1048576,"T",Archives!$Y$2:$Y$1048576,$B16)</f>
        <v>0</v>
      </c>
      <c r="H16" s="56">
        <f t="shared" si="0"/>
        <v>0.8</v>
      </c>
    </row>
    <row r="17" spans="2:8" ht="15" customHeight="1" x14ac:dyDescent="0.2">
      <c r="B17" s="43" t="s">
        <v>173</v>
      </c>
      <c r="C17" s="52" t="s">
        <v>1230</v>
      </c>
      <c r="D17" s="52" t="s">
        <v>686</v>
      </c>
      <c r="E17" s="52">
        <f>COUNTIFS(Archives!$D$2:$D$1048576,2,Archives!$AB$2:$AB$1048576,"W",Archives!$V$2:$V$1048576,$B17)+COUNTIFS(Archives!$D$2:$D$1048576,2,Archives!$AB$2:$AB$1048576,"W",Archives!$Y$2:$Y$1048576,$B17)</f>
        <v>2</v>
      </c>
      <c r="F17" s="52">
        <f>COUNTIFS(Archives!$D$2:$D$1048576,2,Archives!$AB$2:$AB$1048576,"L",Archives!$V$2:$V$1048576,$B17)+COUNTIFS(Archives!$D$2:$D$1048576,2,Archives!$AB$2:$AB$1048576,"L",Archives!$Y$2:$Y$1048576,$B17)</f>
        <v>3</v>
      </c>
      <c r="G17" s="52">
        <f>COUNTIFS(Archives!$D$2:$D$1048576,2,Archives!$AB$2:$AB$1048576,"T",Archives!$V$2:$V$1048576,$B17)+COUNTIFS(Archives!$D$2:$D$1048576,2,Archives!$AB$2:$AB$1048576,"T",Archives!$Y$2:$Y$1048576,$B17)</f>
        <v>0</v>
      </c>
      <c r="H17" s="53">
        <f t="shared" si="0"/>
        <v>0.4</v>
      </c>
    </row>
    <row r="18" spans="2:8" ht="15" customHeight="1" x14ac:dyDescent="0.2">
      <c r="B18" s="46" t="s">
        <v>181</v>
      </c>
      <c r="C18" s="55" t="s">
        <v>1231</v>
      </c>
      <c r="D18" s="55" t="s">
        <v>686</v>
      </c>
      <c r="E18" s="55">
        <f>COUNTIFS(Archives!$D$2:$D$1048576,2,Archives!$AB$2:$AB$1048576,"W",Archives!$V$2:$V$1048576,$B18)+COUNTIFS(Archives!$D$2:$D$1048576,2,Archives!$AB$2:$AB$1048576,"W",Archives!$Y$2:$Y$1048576,$B18)</f>
        <v>0</v>
      </c>
      <c r="F18" s="55">
        <f>COUNTIFS(Archives!$D$2:$D$1048576,2,Archives!$AB$2:$AB$1048576,"L",Archives!$V$2:$V$1048576,$B18)+COUNTIFS(Archives!$D$2:$D$1048576,2,Archives!$AB$2:$AB$1048576,"L",Archives!$Y$2:$Y$1048576,$B18)</f>
        <v>4</v>
      </c>
      <c r="G18" s="55">
        <f>COUNTIFS(Archives!$D$2:$D$1048576,2,Archives!$AB$2:$AB$1048576,"T",Archives!$V$2:$V$1048576,$B18)+COUNTIFS(Archives!$D$2:$D$1048576,2,Archives!$AB$2:$AB$1048576,"T",Archives!$Y$2:$Y$1048576,$B18)</f>
        <v>1</v>
      </c>
      <c r="H18" s="56">
        <f t="shared" si="0"/>
        <v>0.1</v>
      </c>
    </row>
    <row r="19" spans="2:8" ht="15" customHeight="1" x14ac:dyDescent="0.2">
      <c r="B19" s="43" t="s">
        <v>180</v>
      </c>
      <c r="C19" s="52" t="s">
        <v>1232</v>
      </c>
      <c r="D19" s="52" t="s">
        <v>686</v>
      </c>
      <c r="E19" s="52">
        <f>COUNTIFS(Archives!$D$2:$D$1048576,2,Archives!$AB$2:$AB$1048576,"W",Archives!$V$2:$V$1048576,$B19)+COUNTIFS(Archives!$D$2:$D$1048576,2,Archives!$AB$2:$AB$1048576,"W",Archives!$Y$2:$Y$1048576,$B19)</f>
        <v>2</v>
      </c>
      <c r="F19" s="52">
        <f>COUNTIFS(Archives!$D$2:$D$1048576,2,Archives!$AB$2:$AB$1048576,"L",Archives!$V$2:$V$1048576,$B19)+COUNTIFS(Archives!$D$2:$D$1048576,2,Archives!$AB$2:$AB$1048576,"L",Archives!$Y$2:$Y$1048576,$B19)</f>
        <v>2</v>
      </c>
      <c r="G19" s="52">
        <f>COUNTIFS(Archives!$D$2:$D$1048576,2,Archives!$AB$2:$AB$1048576,"T",Archives!$V$2:$V$1048576,$B19)+COUNTIFS(Archives!$D$2:$D$1048576,2,Archives!$AB$2:$AB$1048576,"T",Archives!$Y$2:$Y$1048576,$B19)</f>
        <v>1</v>
      </c>
      <c r="H19" s="53">
        <f t="shared" si="0"/>
        <v>0.5</v>
      </c>
    </row>
    <row r="20" spans="2:8" ht="15" customHeight="1" x14ac:dyDescent="0.2">
      <c r="B20" s="46" t="s">
        <v>174</v>
      </c>
      <c r="C20" s="55" t="s">
        <v>1231</v>
      </c>
      <c r="D20" s="55" t="s">
        <v>686</v>
      </c>
      <c r="E20" s="55">
        <f>COUNTIFS(Archives!$D$2:$D$1048576,2,Archives!$AB$2:$AB$1048576,"W",Archives!$V$2:$V$1048576,$B20)+COUNTIFS(Archives!$D$2:$D$1048576,2,Archives!$AB$2:$AB$1048576,"W",Archives!$Y$2:$Y$1048576,$B20)</f>
        <v>1</v>
      </c>
      <c r="F20" s="55">
        <f>COUNTIFS(Archives!$D$2:$D$1048576,2,Archives!$AB$2:$AB$1048576,"L",Archives!$V$2:$V$1048576,$B20)+COUNTIFS(Archives!$D$2:$D$1048576,2,Archives!$AB$2:$AB$1048576,"L",Archives!$Y$2:$Y$1048576,$B20)</f>
        <v>4</v>
      </c>
      <c r="G20" s="55">
        <f>COUNTIFS(Archives!$D$2:$D$1048576,2,Archives!$AB$2:$AB$1048576,"T",Archives!$V$2:$V$1048576,$B20)+COUNTIFS(Archives!$D$2:$D$1048576,2,Archives!$AB$2:$AB$1048576,"T",Archives!$Y$2:$Y$1048576,$B20)</f>
        <v>0</v>
      </c>
      <c r="H20" s="56">
        <f t="shared" si="0"/>
        <v>0.2</v>
      </c>
    </row>
    <row r="21" spans="2:8" ht="15" customHeight="1" x14ac:dyDescent="0.2">
      <c r="B21" s="43" t="s">
        <v>178</v>
      </c>
      <c r="C21" s="52" t="s">
        <v>1231</v>
      </c>
      <c r="D21" s="52" t="s">
        <v>686</v>
      </c>
      <c r="E21" s="52">
        <f>COUNTIFS(Archives!$D$2:$D$1048576,2,Archives!$AB$2:$AB$1048576,"W",Archives!$V$2:$V$1048576,$B21)+COUNTIFS(Archives!$D$2:$D$1048576,2,Archives!$AB$2:$AB$1048576,"W",Archives!$Y$2:$Y$1048576,$B21)</f>
        <v>4</v>
      </c>
      <c r="F21" s="52">
        <f>COUNTIFS(Archives!$D$2:$D$1048576,2,Archives!$AB$2:$AB$1048576,"L",Archives!$V$2:$V$1048576,$B21)+COUNTIFS(Archives!$D$2:$D$1048576,2,Archives!$AB$2:$AB$1048576,"L",Archives!$Y$2:$Y$1048576,$B21)</f>
        <v>0</v>
      </c>
      <c r="G21" s="52">
        <f>COUNTIFS(Archives!$D$2:$D$1048576,2,Archives!$AB$2:$AB$1048576,"T",Archives!$V$2:$V$1048576,$B21)+COUNTIFS(Archives!$D$2:$D$1048576,2,Archives!$AB$2:$AB$1048576,"T",Archives!$Y$2:$Y$1048576,$B21)</f>
        <v>1</v>
      </c>
      <c r="H21" s="53">
        <f t="shared" si="0"/>
        <v>0.9</v>
      </c>
    </row>
    <row r="22" spans="2:8" ht="15" customHeight="1" x14ac:dyDescent="0.2">
      <c r="B22" s="46" t="s">
        <v>177</v>
      </c>
      <c r="C22" s="55" t="s">
        <v>1232</v>
      </c>
      <c r="D22" s="55" t="s">
        <v>686</v>
      </c>
      <c r="E22" s="55">
        <f>COUNTIFS(Archives!$D$2:$D$1048576,2,Archives!$AB$2:$AB$1048576,"W",Archives!$V$2:$V$1048576,$B22)+COUNTIFS(Archives!$D$2:$D$1048576,2,Archives!$AB$2:$AB$1048576,"W",Archives!$Y$2:$Y$1048576,$B22)</f>
        <v>1</v>
      </c>
      <c r="F22" s="55">
        <f>COUNTIFS(Archives!$D$2:$D$1048576,2,Archives!$AB$2:$AB$1048576,"L",Archives!$V$2:$V$1048576,$B22)+COUNTIFS(Archives!$D$2:$D$1048576,2,Archives!$AB$2:$AB$1048576,"L",Archives!$Y$2:$Y$1048576,$B22)</f>
        <v>3</v>
      </c>
      <c r="G22" s="55">
        <f>COUNTIFS(Archives!$D$2:$D$1048576,2,Archives!$AB$2:$AB$1048576,"T",Archives!$V$2:$V$1048576,$B22)+COUNTIFS(Archives!$D$2:$D$1048576,2,Archives!$AB$2:$AB$1048576,"T",Archives!$Y$2:$Y$1048576,$B22)</f>
        <v>1</v>
      </c>
      <c r="H22" s="56">
        <f t="shared" si="0"/>
        <v>0.3</v>
      </c>
    </row>
    <row r="23" spans="2:8" ht="15" customHeight="1" x14ac:dyDescent="0.2">
      <c r="B23" s="43" t="s">
        <v>229</v>
      </c>
      <c r="C23" s="52" t="s">
        <v>1230</v>
      </c>
      <c r="D23" s="52" t="s">
        <v>687</v>
      </c>
      <c r="E23" s="52">
        <f>COUNTIFS(Archives!$D$2:$D$1048576,3,Archives!$AB$2:$AB$1048576,"W",Archives!$V$2:$V$1048576,$B23)+COUNTIFS(Archives!$D$2:$D$1048576,3,Archives!$AB$2:$AB$1048576,"W",Archives!$Y$2:$Y$1048576,$B23)</f>
        <v>3</v>
      </c>
      <c r="F23" s="52">
        <f>COUNTIFS(Archives!$D$2:$D$1048576,3,Archives!$AB$2:$AB$1048576,"L",Archives!$V$2:$V$1048576,$B23)+COUNTIFS(Archives!$D$2:$D$1048576,3,Archives!$AB$2:$AB$1048576,"L",Archives!$Y$2:$Y$1048576,$B23)</f>
        <v>2</v>
      </c>
      <c r="G23" s="52">
        <f>COUNTIFS(Archives!$D$2:$D$1048576,3,Archives!$AB$2:$AB$1048576,"T",Archives!$V$2:$V$1048576,$B23)+COUNTIFS(Archives!$D$2:$D$1048576,3,Archives!$AB$2:$AB$1048576,"T",Archives!$Y$2:$Y$1048576,$B23)</f>
        <v>0</v>
      </c>
      <c r="H23" s="53">
        <f t="shared" si="0"/>
        <v>0.6</v>
      </c>
    </row>
    <row r="24" spans="2:8" ht="15" customHeight="1" x14ac:dyDescent="0.2">
      <c r="B24" s="46" t="s">
        <v>234</v>
      </c>
      <c r="C24" s="55" t="s">
        <v>1230</v>
      </c>
      <c r="D24" s="55" t="s">
        <v>687</v>
      </c>
      <c r="E24" s="55">
        <f>COUNTIFS(Archives!$D$2:$D$1048576,3,Archives!$AB$2:$AB$1048576,"W",Archives!$V$2:$V$1048576,$B24)+COUNTIFS(Archives!$D$2:$D$1048576,3,Archives!$AB$2:$AB$1048576,"W",Archives!$Y$2:$Y$1048576,$B24)</f>
        <v>2</v>
      </c>
      <c r="F24" s="55">
        <f>COUNTIFS(Archives!$D$2:$D$1048576,3,Archives!$AB$2:$AB$1048576,"L",Archives!$V$2:$V$1048576,$B24)+COUNTIFS(Archives!$D$2:$D$1048576,3,Archives!$AB$2:$AB$1048576,"L",Archives!$Y$2:$Y$1048576,$B24)</f>
        <v>2</v>
      </c>
      <c r="G24" s="55">
        <f>COUNTIFS(Archives!$D$2:$D$1048576,3,Archives!$AB$2:$AB$1048576,"T",Archives!$V$2:$V$1048576,$B24)+COUNTIFS(Archives!$D$2:$D$1048576,3,Archives!$AB$2:$AB$1048576,"T",Archives!$Y$2:$Y$1048576,$B24)</f>
        <v>1</v>
      </c>
      <c r="H24" s="56">
        <f t="shared" si="0"/>
        <v>0.5</v>
      </c>
    </row>
    <row r="25" spans="2:8" ht="15" customHeight="1" x14ac:dyDescent="0.2">
      <c r="B25" s="43" t="s">
        <v>233</v>
      </c>
      <c r="C25" s="52" t="s">
        <v>1231</v>
      </c>
      <c r="D25" s="52" t="s">
        <v>687</v>
      </c>
      <c r="E25" s="52">
        <f>COUNTIFS(Archives!$D$2:$D$1048576,3,Archives!$AB$2:$AB$1048576,"W",Archives!$V$2:$V$1048576,$B25)+COUNTIFS(Archives!$D$2:$D$1048576,3,Archives!$AB$2:$AB$1048576,"W",Archives!$Y$2:$Y$1048576,$B25)</f>
        <v>1</v>
      </c>
      <c r="F25" s="52">
        <f>COUNTIFS(Archives!$D$2:$D$1048576,3,Archives!$AB$2:$AB$1048576,"L",Archives!$V$2:$V$1048576,$B25)+COUNTIFS(Archives!$D$2:$D$1048576,3,Archives!$AB$2:$AB$1048576,"L",Archives!$Y$2:$Y$1048576,$B25)</f>
        <v>2</v>
      </c>
      <c r="G25" s="52">
        <f>COUNTIFS(Archives!$D$2:$D$1048576,3,Archives!$AB$2:$AB$1048576,"T",Archives!$V$2:$V$1048576,$B25)+COUNTIFS(Archives!$D$2:$D$1048576,3,Archives!$AB$2:$AB$1048576,"T",Archives!$Y$2:$Y$1048576,$B25)</f>
        <v>2</v>
      </c>
      <c r="H25" s="53">
        <f t="shared" si="0"/>
        <v>0.4</v>
      </c>
    </row>
    <row r="26" spans="2:8" ht="15" customHeight="1" x14ac:dyDescent="0.2">
      <c r="B26" s="46" t="s">
        <v>230</v>
      </c>
      <c r="C26" s="55" t="s">
        <v>1232</v>
      </c>
      <c r="D26" s="55" t="s">
        <v>687</v>
      </c>
      <c r="E26" s="55">
        <f>COUNTIFS(Archives!$D$2:$D$1048576,3,Archives!$AB$2:$AB$1048576,"W",Archives!$V$2:$V$1048576,$B26)+COUNTIFS(Archives!$D$2:$D$1048576,3,Archives!$AB$2:$AB$1048576,"W",Archives!$Y$2:$Y$1048576,$B26)</f>
        <v>3</v>
      </c>
      <c r="F26" s="55">
        <f>COUNTIFS(Archives!$D$2:$D$1048576,3,Archives!$AB$2:$AB$1048576,"L",Archives!$V$2:$V$1048576,$B26)+COUNTIFS(Archives!$D$2:$D$1048576,3,Archives!$AB$2:$AB$1048576,"L",Archives!$Y$2:$Y$1048576,$B26)</f>
        <v>2</v>
      </c>
      <c r="G26" s="55">
        <f>COUNTIFS(Archives!$D$2:$D$1048576,3,Archives!$AB$2:$AB$1048576,"T",Archives!$V$2:$V$1048576,$B26)+COUNTIFS(Archives!$D$2:$D$1048576,3,Archives!$AB$2:$AB$1048576,"T",Archives!$Y$2:$Y$1048576,$B26)</f>
        <v>0</v>
      </c>
      <c r="H26" s="56">
        <f t="shared" si="0"/>
        <v>0.6</v>
      </c>
    </row>
    <row r="27" spans="2:8" ht="15" customHeight="1" x14ac:dyDescent="0.2">
      <c r="B27" s="43" t="s">
        <v>276</v>
      </c>
      <c r="C27" s="52" t="s">
        <v>1232</v>
      </c>
      <c r="D27" s="52" t="s">
        <v>688</v>
      </c>
      <c r="E27" s="52">
        <f>COUNTIFS(Archives!$D$2:$D$1048576,4,Archives!$AB$2:$AB$1048576,"W",Archives!$V$2:$V$1048576,$B27)+COUNTIFS(Archives!$D$2:$D$1048576,4,Archives!$AB$2:$AB$1048576,"W",Archives!$Y$2:$Y$1048576,$B27)</f>
        <v>2</v>
      </c>
      <c r="F27" s="52">
        <f>COUNTIFS(Archives!$D$2:$D$1048576,4,Archives!$AB$2:$AB$1048576,"L",Archives!$V$2:$V$1048576,$B27)+COUNTIFS(Archives!$D$2:$D$1048576,4,Archives!$AB$2:$AB$1048576,"L",Archives!$Y$2:$Y$1048576,$B27)</f>
        <v>4</v>
      </c>
      <c r="G27" s="52">
        <f>COUNTIFS(Archives!$D$2:$D$1048576,4,Archives!$AB$2:$AB$1048576,"T",Archives!$V$2:$V$1048576,$B27)+COUNTIFS(Archives!$D$2:$D$1048576,4,Archives!$AB$2:$AB$1048576,"T",Archives!$Y$2:$Y$1048576,$B27)</f>
        <v>0</v>
      </c>
      <c r="H27" s="53">
        <f t="shared" si="0"/>
        <v>0.33333333333333331</v>
      </c>
    </row>
    <row r="28" spans="2:8" ht="15" customHeight="1" x14ac:dyDescent="0.2">
      <c r="B28" s="46" t="s">
        <v>326</v>
      </c>
      <c r="C28" s="55"/>
      <c r="D28" s="55" t="s">
        <v>689</v>
      </c>
      <c r="E28" s="55">
        <f>COUNTIFS(Archives!$D$2:$D$1048576,5,Archives!$AB$2:$AB$1048576,"W",Archives!$V$2:$V$1048576,$B28)+COUNTIFS(Archives!$D$2:$D$1048576,5,Archives!$AB$2:$AB$1048576,"W",Archives!$Y$2:$Y$1048576,$B28)</f>
        <v>4</v>
      </c>
      <c r="F28" s="55">
        <f>COUNTIFS(Archives!$D$2:$D$1048576,5,Archives!$AB$2:$AB$1048576,"L",Archives!$V$2:$V$1048576,$B28)+COUNTIFS(Archives!$D$2:$D$1048576,5,Archives!$AB$2:$AB$1048576,"L",Archives!$Y$2:$Y$1048576,$B28)</f>
        <v>1</v>
      </c>
      <c r="G28" s="55">
        <f>COUNTIFS(Archives!$D$2:$D$1048576,5,Archives!$AB$2:$AB$1048576,"T",Archives!$V$2:$V$1048576,$B28)+COUNTIFS(Archives!$D$2:$D$1048576,5,Archives!$AB$2:$AB$1048576,"T",Archives!$Y$2:$Y$1048576,$B28)</f>
        <v>1</v>
      </c>
      <c r="H28" s="56">
        <f t="shared" si="0"/>
        <v>0.75</v>
      </c>
    </row>
    <row r="29" spans="2:8" ht="15" customHeight="1" x14ac:dyDescent="0.2">
      <c r="B29" s="43" t="s">
        <v>459</v>
      </c>
      <c r="C29" s="52"/>
      <c r="D29" s="52" t="s">
        <v>692</v>
      </c>
      <c r="E29" s="52">
        <f>COUNTIFS(Archives!$D$2:$D$1048576,8,Archives!$AB$2:$AB$1048576,"W",Archives!$V$2:$V$1048576,$B29)+COUNTIFS(Archives!$D$2:$D$1048576,8,Archives!$AB$2:$AB$1048576,"W",Archives!$Y$2:$Y$1048576,$B29)</f>
        <v>1</v>
      </c>
      <c r="F29" s="52">
        <f>COUNTIFS(Archives!$D$2:$D$1048576,8,Archives!$AB$2:$AB$1048576,"L",Archives!$V$2:$V$1048576,$B29)+COUNTIFS(Archives!$D$2:$D$1048576,8,Archives!$AB$2:$AB$1048576,"L",Archives!$Y$2:$Y$1048576,$B29)</f>
        <v>3</v>
      </c>
      <c r="G29" s="52">
        <f>COUNTIFS(Archives!$D$2:$D$1048576,8,Archives!$AB$2:$AB$1048576,"T",Archives!$V$2:$V$1048576,$B29)+COUNTIFS(Archives!$D$2:$D$1048576,8,Archives!$AB$2:$AB$1048576,"T",Archives!$Y$2:$Y$1048576,$B29)</f>
        <v>1</v>
      </c>
      <c r="H29" s="53">
        <f t="shared" si="0"/>
        <v>0.3</v>
      </c>
    </row>
    <row r="30" spans="2:8" ht="15" customHeight="1" x14ac:dyDescent="0.2">
      <c r="B30" s="46" t="s">
        <v>462</v>
      </c>
      <c r="C30" s="55"/>
      <c r="D30" s="55" t="s">
        <v>692</v>
      </c>
      <c r="E30" s="55">
        <f>COUNTIFS(Archives!$D$2:$D$1048576,8,Archives!$AB$2:$AB$1048576,"W",Archives!$V$2:$V$1048576,$B30)+COUNTIFS(Archives!$D$2:$D$1048576,8,Archives!$AB$2:$AB$1048576,"W",Archives!$Y$2:$Y$1048576,$B30)</f>
        <v>3</v>
      </c>
      <c r="F30" s="55">
        <f>COUNTIFS(Archives!$D$2:$D$1048576,8,Archives!$AB$2:$AB$1048576,"L",Archives!$V$2:$V$1048576,$B30)+COUNTIFS(Archives!$D$2:$D$1048576,8,Archives!$AB$2:$AB$1048576,"L",Archives!$Y$2:$Y$1048576,$B30)</f>
        <v>2</v>
      </c>
      <c r="G30" s="55">
        <f>COUNTIFS(Archives!$D$2:$D$1048576,8,Archives!$AB$2:$AB$1048576,"T",Archives!$V$2:$V$1048576,$B30)+COUNTIFS(Archives!$D$2:$D$1048576,8,Archives!$AB$2:$AB$1048576,"T",Archives!$Y$2:$Y$1048576,$B30)</f>
        <v>0</v>
      </c>
      <c r="H30" s="56">
        <f t="shared" si="0"/>
        <v>0.6</v>
      </c>
    </row>
    <row r="31" spans="2:8" ht="15" customHeight="1" x14ac:dyDescent="0.2">
      <c r="B31" s="43" t="s">
        <v>464</v>
      </c>
      <c r="C31" s="52"/>
      <c r="D31" s="52" t="s">
        <v>692</v>
      </c>
      <c r="E31" s="52">
        <f>COUNTIFS(Archives!$D$2:$D$1048576,8,Archives!$AB$2:$AB$1048576,"W",Archives!$V$2:$V$1048576,$B31)+COUNTIFS(Archives!$D$2:$D$1048576,8,Archives!$AB$2:$AB$1048576,"W",Archives!$Y$2:$Y$1048576,$B31)</f>
        <v>4</v>
      </c>
      <c r="F31" s="52">
        <f>COUNTIFS(Archives!$D$2:$D$1048576,8,Archives!$AB$2:$AB$1048576,"L",Archives!$V$2:$V$1048576,$B31)+COUNTIFS(Archives!$D$2:$D$1048576,8,Archives!$AB$2:$AB$1048576,"L",Archives!$Y$2:$Y$1048576,$B31)</f>
        <v>1</v>
      </c>
      <c r="G31" s="52">
        <f>COUNTIFS(Archives!$D$2:$D$1048576,8,Archives!$AB$2:$AB$1048576,"T",Archives!$V$2:$V$1048576,$B31)+COUNTIFS(Archives!$D$2:$D$1048576,8,Archives!$AB$2:$AB$1048576,"T",Archives!$Y$2:$Y$1048576,$B31)</f>
        <v>1</v>
      </c>
      <c r="H31" s="53">
        <f t="shared" si="0"/>
        <v>0.75</v>
      </c>
    </row>
    <row r="32" spans="2:8" ht="15" customHeight="1" x14ac:dyDescent="0.2">
      <c r="B32" s="46" t="s">
        <v>465</v>
      </c>
      <c r="C32" s="55"/>
      <c r="D32" s="55" t="s">
        <v>692</v>
      </c>
      <c r="E32" s="55">
        <f>COUNTIFS(Archives!$D$2:$D$1048576,8,Archives!$AB$2:$AB$1048576,"W",Archives!$V$2:$V$1048576,$B32)+COUNTIFS(Archives!$D$2:$D$1048576,8,Archives!$AB$2:$AB$1048576,"W",Archives!$Y$2:$Y$1048576,$B32)</f>
        <v>2</v>
      </c>
      <c r="F32" s="55">
        <f>COUNTIFS(Archives!$D$2:$D$1048576,8,Archives!$AB$2:$AB$1048576,"L",Archives!$V$2:$V$1048576,$B32)+COUNTIFS(Archives!$D$2:$D$1048576,8,Archives!$AB$2:$AB$1048576,"L",Archives!$Y$2:$Y$1048576,$B32)</f>
        <v>4</v>
      </c>
      <c r="G32" s="55">
        <f>COUNTIFS(Archives!$D$2:$D$1048576,8,Archives!$AB$2:$AB$1048576,"T",Archives!$V$2:$V$1048576,$B32)+COUNTIFS(Archives!$D$2:$D$1048576,8,Archives!$AB$2:$AB$1048576,"T",Archives!$Y$2:$Y$1048576,$B32)</f>
        <v>0</v>
      </c>
      <c r="H32" s="56">
        <f t="shared" si="0"/>
        <v>0.33333333333333331</v>
      </c>
    </row>
    <row r="33" spans="2:8" ht="15" customHeight="1" x14ac:dyDescent="0.2">
      <c r="B33" s="43" t="s">
        <v>468</v>
      </c>
      <c r="C33" s="52"/>
      <c r="D33" s="52" t="s">
        <v>692</v>
      </c>
      <c r="E33" s="52">
        <f>COUNTIFS(Archives!$D$2:$D$1048576,8,Archives!$AB$2:$AB$1048576,"W",Archives!$V$2:$V$1048576,$B33)+COUNTIFS(Archives!$D$2:$D$1048576,8,Archives!$AB$2:$AB$1048576,"W",Archives!$Y$2:$Y$1048576,$B33)</f>
        <v>3</v>
      </c>
      <c r="F33" s="52">
        <f>COUNTIFS(Archives!$D$2:$D$1048576,8,Archives!$AB$2:$AB$1048576,"L",Archives!$V$2:$V$1048576,$B33)+COUNTIFS(Archives!$D$2:$D$1048576,8,Archives!$AB$2:$AB$1048576,"L",Archives!$Y$2:$Y$1048576,$B33)</f>
        <v>2</v>
      </c>
      <c r="G33" s="52">
        <f>COUNTIFS(Archives!$D$2:$D$1048576,8,Archives!$AB$2:$AB$1048576,"T",Archives!$V$2:$V$1048576,$B33)+COUNTIFS(Archives!$D$2:$D$1048576,8,Archives!$AB$2:$AB$1048576,"T",Archives!$Y$2:$Y$1048576,$B33)</f>
        <v>0</v>
      </c>
      <c r="H33" s="53">
        <f t="shared" si="0"/>
        <v>0.6</v>
      </c>
    </row>
    <row r="34" spans="2:8" ht="15" customHeight="1" x14ac:dyDescent="0.2">
      <c r="B34" s="46" t="s">
        <v>550</v>
      </c>
      <c r="C34" s="55"/>
      <c r="D34" s="55" t="s">
        <v>694</v>
      </c>
      <c r="E34" s="55">
        <f>COUNTIFS(Archives!$D$2:$D$1048576,10,Archives!$AB$2:$AB$1048576,"W",Archives!$V$2:$V$1048576,$B34)+COUNTIFS(Archives!$D$2:$D$1048576,10,Archives!$AB$2:$AB$1048576,"W",Archives!$Y$2:$Y$1048576,$B34)</f>
        <v>1</v>
      </c>
      <c r="F34" s="55">
        <f>COUNTIFS(Archives!$D$2:$D$1048576,10,Archives!$AB$2:$AB$1048576,"L",Archives!$V$2:$V$1048576,$B34)+COUNTIFS(Archives!$D$2:$D$1048576,10,Archives!$AB$2:$AB$1048576,"L",Archives!$Y$2:$Y$1048576,$B34)</f>
        <v>3</v>
      </c>
      <c r="G34" s="55">
        <f>COUNTIFS(Archives!$D$2:$D$1048576,10,Archives!$AB$2:$AB$1048576,"T",Archives!$V$2:$V$1048576,$B34)+COUNTIFS(Archives!$D$2:$D$1048576,10,Archives!$AB$2:$AB$1048576,"T",Archives!$Y$2:$Y$1048576,$B34)</f>
        <v>2</v>
      </c>
      <c r="H34" s="56">
        <f t="shared" si="0"/>
        <v>0.33333333333333331</v>
      </c>
    </row>
    <row r="35" spans="2:8" ht="15" customHeight="1" x14ac:dyDescent="0.2">
      <c r="B35" s="43" t="s">
        <v>641</v>
      </c>
      <c r="C35" s="52"/>
      <c r="D35" s="52" t="s">
        <v>696</v>
      </c>
      <c r="E35" s="52">
        <f>COUNTIFS(Archives!$D$2:$D$1048576,12,Archives!$AB$2:$AB$1048576,"W",Archives!$V$2:$V$1048576,$B35)+COUNTIFS(Archives!$D$2:$D$1048576,12,Archives!$AB$2:$AB$1048576,"W",Archives!$Y$2:$Y$1048576,$B35)</f>
        <v>2</v>
      </c>
      <c r="F35" s="52">
        <f>COUNTIFS(Archives!$D$2:$D$1048576,12,Archives!$AB$2:$AB$1048576,"L",Archives!$V$2:$V$1048576,$B35)+COUNTIFS(Archives!$D$2:$D$1048576,12,Archives!$AB$2:$AB$1048576,"L",Archives!$Y$2:$Y$1048576,$B35)</f>
        <v>3</v>
      </c>
      <c r="G35" s="52">
        <f>COUNTIFS(Archives!$D$2:$D$1048576,12,Archives!$AB$2:$AB$1048576,"T",Archives!$V$2:$V$1048576,$B35)+COUNTIFS(Archives!$D$2:$D$1048576,12,Archives!$AB$2:$AB$1048576,"T",Archives!$Y$2:$Y$1048576,$B35)</f>
        <v>2</v>
      </c>
      <c r="H35" s="53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26"/>
      <c r="B1" s="26"/>
      <c r="C1" s="26"/>
      <c r="D1" s="26"/>
      <c r="E1" s="26"/>
      <c r="F1" s="26"/>
      <c r="G1" s="26"/>
      <c r="H1" s="26"/>
    </row>
    <row r="4" spans="1:8" ht="15" customHeight="1" x14ac:dyDescent="0.2">
      <c r="D4" t="s">
        <v>1233</v>
      </c>
    </row>
    <row r="6" spans="1:8" ht="15" customHeight="1" x14ac:dyDescent="0.2">
      <c r="D6" t="s">
        <v>1234</v>
      </c>
      <c r="E6" t="s">
        <v>1235</v>
      </c>
    </row>
    <row r="7" spans="1:8" ht="15" customHeight="1" x14ac:dyDescent="0.2">
      <c r="D7" t="s">
        <v>1236</v>
      </c>
      <c r="E7">
        <v>100</v>
      </c>
    </row>
    <row r="8" spans="1:8" ht="15" customHeight="1" x14ac:dyDescent="0.2">
      <c r="D8" t="s">
        <v>1237</v>
      </c>
      <c r="E8">
        <v>60</v>
      </c>
    </row>
    <row r="9" spans="1:8" ht="15" customHeight="1" x14ac:dyDescent="0.2">
      <c r="D9" t="s">
        <v>1238</v>
      </c>
      <c r="E9">
        <v>60</v>
      </c>
    </row>
    <row r="10" spans="1:8" ht="15" customHeight="1" x14ac:dyDescent="0.2">
      <c r="D10" t="s">
        <v>1239</v>
      </c>
      <c r="E10">
        <v>100</v>
      </c>
    </row>
    <row r="11" spans="1:8" ht="15" customHeight="1" x14ac:dyDescent="0.2">
      <c r="D11" t="s">
        <v>1240</v>
      </c>
      <c r="E11">
        <v>100</v>
      </c>
    </row>
    <row r="12" spans="1:8" ht="15" customHeight="1" x14ac:dyDescent="0.2">
      <c r="D12" t="s">
        <v>1241</v>
      </c>
      <c r="E12">
        <v>75</v>
      </c>
    </row>
    <row r="13" spans="1:8" ht="15" customHeight="1" x14ac:dyDescent="0.2">
      <c r="D13" t="s">
        <v>1242</v>
      </c>
      <c r="E13">
        <v>75</v>
      </c>
    </row>
    <row r="14" spans="1:8" ht="15" customHeight="1" x14ac:dyDescent="0.2">
      <c r="D14" t="s">
        <v>1243</v>
      </c>
      <c r="E14">
        <v>75</v>
      </c>
    </row>
    <row r="15" spans="1:8" ht="15" customHeight="1" x14ac:dyDescent="0.2">
      <c r="D15" t="s">
        <v>1244</v>
      </c>
      <c r="E15">
        <v>75</v>
      </c>
    </row>
    <row r="16" spans="1:8" ht="15" customHeight="1" x14ac:dyDescent="0.2">
      <c r="D16" t="s">
        <v>1245</v>
      </c>
      <c r="E16">
        <v>75</v>
      </c>
      <c r="G16" t="s">
        <v>1246</v>
      </c>
      <c r="H16">
        <v>-540</v>
      </c>
    </row>
    <row r="17" spans="4:8" ht="15" customHeight="1" x14ac:dyDescent="0.2">
      <c r="D17" t="s">
        <v>1247</v>
      </c>
      <c r="E17">
        <v>795</v>
      </c>
      <c r="G17" t="s">
        <v>1248</v>
      </c>
      <c r="H17">
        <v>500</v>
      </c>
    </row>
    <row r="18" spans="4:8" ht="15" customHeight="1" x14ac:dyDescent="0.2">
      <c r="G18" t="s">
        <v>1249</v>
      </c>
      <c r="H18">
        <v>-40</v>
      </c>
    </row>
    <row r="19" spans="4:8" ht="15" customHeight="1" x14ac:dyDescent="0.2">
      <c r="D19" t="s">
        <v>1250</v>
      </c>
      <c r="E19">
        <v>-40</v>
      </c>
    </row>
    <row r="20" spans="4:8" ht="15" customHeight="1" x14ac:dyDescent="0.2">
      <c r="D20" t="s">
        <v>1251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13" t="s">
        <v>1252</v>
      </c>
    </row>
    <row r="2" spans="1:8" ht="15" customHeight="1" x14ac:dyDescent="0.2">
      <c r="A2" s="91" t="s">
        <v>1253</v>
      </c>
    </row>
    <row r="3" spans="1:8" ht="15" customHeight="1" x14ac:dyDescent="0.2"/>
    <row r="4" spans="1:8" ht="15" customHeight="1" x14ac:dyDescent="0.2">
      <c r="A4" s="42" t="s">
        <v>70</v>
      </c>
      <c r="B4" s="42" t="s">
        <v>79</v>
      </c>
      <c r="C4" s="42" t="s">
        <v>1254</v>
      </c>
      <c r="D4" s="42" t="s">
        <v>1255</v>
      </c>
      <c r="E4" s="42" t="s">
        <v>1256</v>
      </c>
      <c r="F4" s="42" t="s">
        <v>82</v>
      </c>
      <c r="G4" s="42" t="s">
        <v>81</v>
      </c>
      <c r="H4" s="42" t="s">
        <v>1257</v>
      </c>
    </row>
    <row r="5" spans="1:8" ht="15" customHeight="1" x14ac:dyDescent="0.2">
      <c r="A5" s="52">
        <v>1</v>
      </c>
      <c r="B5" s="43" t="s">
        <v>113</v>
      </c>
      <c r="C5" s="43" t="s">
        <v>1258</v>
      </c>
      <c r="D5" s="43" t="s">
        <v>1259</v>
      </c>
      <c r="E5" s="52">
        <v>6225</v>
      </c>
      <c r="F5" s="52">
        <v>130</v>
      </c>
      <c r="G5" s="52">
        <v>71.3</v>
      </c>
      <c r="H5" s="43" t="s">
        <v>1260</v>
      </c>
    </row>
    <row r="6" spans="1:8" ht="15" customHeight="1" x14ac:dyDescent="0.2">
      <c r="A6" s="55">
        <v>1</v>
      </c>
      <c r="B6" s="46" t="s">
        <v>1261</v>
      </c>
      <c r="C6" s="46" t="s">
        <v>1258</v>
      </c>
      <c r="D6" s="46" t="s">
        <v>1259</v>
      </c>
      <c r="E6" s="55">
        <v>6772</v>
      </c>
      <c r="F6" s="55">
        <v>128</v>
      </c>
      <c r="G6" s="55">
        <v>72.2</v>
      </c>
      <c r="H6" s="46" t="s">
        <v>1262</v>
      </c>
    </row>
    <row r="7" spans="1:8" ht="15" customHeight="1" x14ac:dyDescent="0.2">
      <c r="A7" s="52">
        <v>2</v>
      </c>
      <c r="B7" s="43" t="s">
        <v>190</v>
      </c>
      <c r="C7" s="43" t="s">
        <v>1263</v>
      </c>
      <c r="D7" s="43" t="s">
        <v>1259</v>
      </c>
      <c r="E7" s="52">
        <v>6328</v>
      </c>
      <c r="F7" s="52">
        <v>133</v>
      </c>
      <c r="G7" s="52">
        <v>70.599999999999994</v>
      </c>
      <c r="H7" s="43" t="s">
        <v>1264</v>
      </c>
    </row>
    <row r="8" spans="1:8" ht="15" customHeight="1" x14ac:dyDescent="0.2">
      <c r="A8" s="55">
        <v>2</v>
      </c>
      <c r="B8" s="46" t="s">
        <v>208</v>
      </c>
      <c r="C8" s="46" t="s">
        <v>1263</v>
      </c>
      <c r="D8" s="46" t="s">
        <v>1259</v>
      </c>
      <c r="E8" s="55">
        <v>6183</v>
      </c>
      <c r="F8" s="55">
        <v>132</v>
      </c>
      <c r="G8" s="55">
        <v>70.900000000000006</v>
      </c>
      <c r="H8" s="46" t="s">
        <v>1265</v>
      </c>
    </row>
    <row r="9" spans="1:8" ht="15" customHeight="1" x14ac:dyDescent="0.2">
      <c r="A9" s="52">
        <v>2</v>
      </c>
      <c r="B9" s="43" t="s">
        <v>170</v>
      </c>
      <c r="C9" s="43" t="s">
        <v>1263</v>
      </c>
      <c r="D9" s="43" t="s">
        <v>1259</v>
      </c>
      <c r="E9" s="52">
        <v>6561</v>
      </c>
      <c r="F9" s="52">
        <v>131</v>
      </c>
      <c r="G9" s="52">
        <v>71.599999999999994</v>
      </c>
      <c r="H9" s="43" t="s">
        <v>1266</v>
      </c>
    </row>
    <row r="10" spans="1:8" ht="15" customHeight="1" x14ac:dyDescent="0.2">
      <c r="A10" s="55">
        <v>3</v>
      </c>
      <c r="B10" s="46" t="s">
        <v>223</v>
      </c>
      <c r="C10" s="46" t="s">
        <v>1267</v>
      </c>
      <c r="D10" s="46" t="s">
        <v>1268</v>
      </c>
      <c r="E10" s="55">
        <v>6323</v>
      </c>
      <c r="F10" s="55">
        <v>135</v>
      </c>
      <c r="G10" s="55">
        <v>71.099999999999994</v>
      </c>
      <c r="H10" s="46" t="s">
        <v>1269</v>
      </c>
    </row>
    <row r="11" spans="1:8" ht="15" customHeight="1" x14ac:dyDescent="0.2">
      <c r="A11" s="52">
        <v>3</v>
      </c>
      <c r="B11" s="43" t="s">
        <v>258</v>
      </c>
      <c r="C11" s="43" t="s">
        <v>1267</v>
      </c>
      <c r="D11" s="43" t="s">
        <v>1268</v>
      </c>
      <c r="E11" s="52">
        <v>6326</v>
      </c>
      <c r="F11" s="52">
        <v>131</v>
      </c>
      <c r="G11" s="52">
        <v>71.3</v>
      </c>
      <c r="H11" s="43" t="s">
        <v>1270</v>
      </c>
    </row>
    <row r="12" spans="1:8" ht="15" customHeight="1" x14ac:dyDescent="0.2">
      <c r="A12" s="55">
        <v>4</v>
      </c>
      <c r="B12" s="46" t="s">
        <v>1271</v>
      </c>
      <c r="C12" s="46" t="s">
        <v>1272</v>
      </c>
      <c r="D12" s="46" t="s">
        <v>1273</v>
      </c>
      <c r="E12" s="55">
        <v>6111</v>
      </c>
      <c r="F12" s="55">
        <v>130</v>
      </c>
      <c r="G12" s="55">
        <v>70.599999999999994</v>
      </c>
      <c r="H12" s="46" t="s">
        <v>1274</v>
      </c>
    </row>
    <row r="13" spans="1:8" ht="15" customHeight="1" x14ac:dyDescent="0.2">
      <c r="A13" s="52">
        <v>4</v>
      </c>
      <c r="B13" s="43" t="s">
        <v>1275</v>
      </c>
      <c r="C13" s="43" t="s">
        <v>1272</v>
      </c>
      <c r="D13" s="43" t="s">
        <v>1273</v>
      </c>
      <c r="E13" s="52">
        <v>6517</v>
      </c>
      <c r="F13" s="52">
        <v>132</v>
      </c>
      <c r="G13" s="52">
        <v>72.3</v>
      </c>
      <c r="H13" s="43" t="s">
        <v>1276</v>
      </c>
    </row>
    <row r="14" spans="1:8" ht="15" customHeight="1" x14ac:dyDescent="0.2">
      <c r="A14" s="55">
        <v>5</v>
      </c>
      <c r="B14" s="46" t="s">
        <v>324</v>
      </c>
      <c r="C14" s="46" t="s">
        <v>1277</v>
      </c>
      <c r="D14" s="46" t="s">
        <v>1278</v>
      </c>
      <c r="E14" s="55">
        <v>6251</v>
      </c>
      <c r="F14" s="55">
        <v>136</v>
      </c>
      <c r="G14" s="55">
        <v>71.400000000000006</v>
      </c>
      <c r="H14" s="46" t="s">
        <v>1274</v>
      </c>
    </row>
    <row r="15" spans="1:8" ht="15" customHeight="1" x14ac:dyDescent="0.2">
      <c r="A15" s="52">
        <v>5</v>
      </c>
      <c r="B15" s="43" t="s">
        <v>354</v>
      </c>
      <c r="C15" s="43" t="s">
        <v>1277</v>
      </c>
      <c r="D15" s="43" t="s">
        <v>1278</v>
      </c>
      <c r="E15" s="52">
        <v>6522</v>
      </c>
      <c r="F15" s="52">
        <v>138</v>
      </c>
      <c r="G15" s="52">
        <v>72.2</v>
      </c>
      <c r="H15" s="43" t="s">
        <v>1279</v>
      </c>
    </row>
    <row r="16" spans="1:8" ht="15" customHeight="1" x14ac:dyDescent="0.2">
      <c r="A16" s="55">
        <v>6</v>
      </c>
      <c r="B16" s="46" t="s">
        <v>1280</v>
      </c>
      <c r="C16" s="46" t="s">
        <v>1281</v>
      </c>
      <c r="D16" s="46" t="s">
        <v>1282</v>
      </c>
      <c r="E16" s="55">
        <v>6389</v>
      </c>
      <c r="F16" s="55">
        <v>134</v>
      </c>
      <c r="G16" s="55">
        <v>70.5</v>
      </c>
      <c r="H16" s="46" t="s">
        <v>1283</v>
      </c>
    </row>
    <row r="17" spans="1:8" ht="15" customHeight="1" x14ac:dyDescent="0.2">
      <c r="A17" s="52">
        <v>7</v>
      </c>
      <c r="B17" s="43" t="s">
        <v>409</v>
      </c>
      <c r="C17" s="43" t="s">
        <v>409</v>
      </c>
      <c r="D17" s="43" t="s">
        <v>1284</v>
      </c>
      <c r="E17" s="52">
        <v>6454</v>
      </c>
      <c r="F17" s="52">
        <v>138</v>
      </c>
      <c r="G17" s="52"/>
      <c r="H17" s="43" t="s">
        <v>1285</v>
      </c>
    </row>
    <row r="18" spans="1:8" ht="15" customHeight="1" x14ac:dyDescent="0.2">
      <c r="A18" s="55">
        <v>7</v>
      </c>
      <c r="B18" s="46" t="s">
        <v>426</v>
      </c>
      <c r="C18" s="46" t="s">
        <v>409</v>
      </c>
      <c r="D18" s="46" t="s">
        <v>1284</v>
      </c>
      <c r="E18" s="55">
        <v>6123</v>
      </c>
      <c r="F18" s="55">
        <v>133</v>
      </c>
      <c r="G18" s="55"/>
      <c r="H18" s="46" t="s">
        <v>1286</v>
      </c>
    </row>
    <row r="19" spans="1:8" ht="15" customHeight="1" x14ac:dyDescent="0.2">
      <c r="A19" s="52">
        <v>7</v>
      </c>
      <c r="B19" s="43" t="s">
        <v>1287</v>
      </c>
      <c r="C19" s="43" t="s">
        <v>409</v>
      </c>
      <c r="D19" s="43" t="s">
        <v>1284</v>
      </c>
      <c r="E19" s="52">
        <v>6422</v>
      </c>
      <c r="F19" s="52">
        <v>136</v>
      </c>
      <c r="G19" s="52"/>
      <c r="H19" s="43" t="s">
        <v>1265</v>
      </c>
    </row>
    <row r="20" spans="1:8" ht="15" customHeight="1" x14ac:dyDescent="0.2">
      <c r="A20" s="55">
        <v>7</v>
      </c>
      <c r="B20" s="46" t="s">
        <v>438</v>
      </c>
      <c r="C20" s="46" t="s">
        <v>438</v>
      </c>
      <c r="D20" s="46" t="s">
        <v>1284</v>
      </c>
      <c r="E20" s="55">
        <v>5727</v>
      </c>
      <c r="F20" s="55">
        <v>113</v>
      </c>
      <c r="G20" s="55"/>
      <c r="H20" s="46" t="s">
        <v>1288</v>
      </c>
    </row>
    <row r="21" spans="1:8" ht="15" customHeight="1" x14ac:dyDescent="0.2">
      <c r="A21" s="52">
        <v>8</v>
      </c>
      <c r="B21" s="43" t="s">
        <v>457</v>
      </c>
      <c r="C21" s="43" t="s">
        <v>1289</v>
      </c>
      <c r="D21" s="43" t="s">
        <v>1290</v>
      </c>
      <c r="E21" s="52">
        <v>6535</v>
      </c>
      <c r="F21" s="52">
        <v>130</v>
      </c>
      <c r="G21" s="52"/>
      <c r="H21" s="43" t="s">
        <v>1291</v>
      </c>
    </row>
    <row r="22" spans="1:8" ht="15" customHeight="1" x14ac:dyDescent="0.2">
      <c r="A22" s="55">
        <v>8</v>
      </c>
      <c r="B22" s="46" t="s">
        <v>477</v>
      </c>
      <c r="C22" s="46" t="s">
        <v>1289</v>
      </c>
      <c r="D22" s="46" t="s">
        <v>1290</v>
      </c>
      <c r="E22" s="55">
        <v>6587</v>
      </c>
      <c r="F22" s="55">
        <v>124</v>
      </c>
      <c r="G22" s="55"/>
      <c r="H22" s="46" t="s">
        <v>1292</v>
      </c>
    </row>
    <row r="23" spans="1:8" ht="15" customHeight="1" x14ac:dyDescent="0.2">
      <c r="A23" s="52">
        <v>9</v>
      </c>
      <c r="B23" s="43" t="s">
        <v>223</v>
      </c>
      <c r="C23" s="43" t="s">
        <v>1267</v>
      </c>
      <c r="D23" s="43" t="s">
        <v>1268</v>
      </c>
      <c r="E23" s="52">
        <v>6323</v>
      </c>
      <c r="F23" s="52">
        <v>136</v>
      </c>
      <c r="G23" s="52">
        <v>71.099999999999994</v>
      </c>
      <c r="H23" s="43" t="s">
        <v>1269</v>
      </c>
    </row>
    <row r="24" spans="1:8" ht="15" customHeight="1" x14ac:dyDescent="0.2">
      <c r="A24" s="55">
        <v>9</v>
      </c>
      <c r="B24" s="46" t="s">
        <v>223</v>
      </c>
      <c r="C24" s="46" t="s">
        <v>1267</v>
      </c>
      <c r="D24" s="46" t="s">
        <v>1268</v>
      </c>
      <c r="E24" s="55">
        <v>6657</v>
      </c>
      <c r="F24" s="55">
        <v>139</v>
      </c>
      <c r="G24" s="55"/>
      <c r="H24" s="46" t="s">
        <v>1269</v>
      </c>
    </row>
    <row r="25" spans="1:8" ht="15" customHeight="1" x14ac:dyDescent="0.2">
      <c r="A25" s="52">
        <v>10</v>
      </c>
      <c r="B25" s="43" t="s">
        <v>544</v>
      </c>
      <c r="C25" s="43" t="s">
        <v>1293</v>
      </c>
      <c r="D25" s="43" t="s">
        <v>1294</v>
      </c>
      <c r="E25" s="52"/>
      <c r="F25" s="52"/>
      <c r="G25" s="52"/>
      <c r="H25" s="43" t="s">
        <v>1295</v>
      </c>
    </row>
    <row r="26" spans="1:8" ht="15" customHeight="1" x14ac:dyDescent="0.2">
      <c r="A26" s="55">
        <v>10</v>
      </c>
      <c r="B26" s="46" t="s">
        <v>1296</v>
      </c>
      <c r="C26" s="46" t="s">
        <v>1293</v>
      </c>
      <c r="D26" s="46" t="s">
        <v>1294</v>
      </c>
      <c r="E26" s="55"/>
      <c r="F26" s="55"/>
      <c r="G26" s="55"/>
      <c r="H26" s="46" t="s">
        <v>1297</v>
      </c>
    </row>
    <row r="27" spans="1:8" ht="15" customHeight="1" x14ac:dyDescent="0.2">
      <c r="A27" s="52">
        <v>10</v>
      </c>
      <c r="B27" s="43" t="s">
        <v>1298</v>
      </c>
      <c r="C27" s="43" t="s">
        <v>1299</v>
      </c>
      <c r="D27" s="43" t="s">
        <v>1294</v>
      </c>
      <c r="E27" s="52"/>
      <c r="F27" s="52"/>
      <c r="G27" s="52"/>
      <c r="H27" s="43" t="s">
        <v>1300</v>
      </c>
    </row>
    <row r="28" spans="1:8" ht="15" customHeight="1" x14ac:dyDescent="0.2">
      <c r="A28" s="55">
        <v>11</v>
      </c>
      <c r="B28" s="46" t="s">
        <v>595</v>
      </c>
      <c r="C28" s="46" t="s">
        <v>146</v>
      </c>
      <c r="D28" s="46" t="s">
        <v>1301</v>
      </c>
      <c r="E28" s="55"/>
      <c r="F28" s="55"/>
      <c r="G28" s="55"/>
      <c r="H28" s="46" t="s">
        <v>1276</v>
      </c>
    </row>
    <row r="29" spans="1:8" ht="15" customHeight="1" x14ac:dyDescent="0.2">
      <c r="A29" s="52">
        <v>11</v>
      </c>
      <c r="B29" s="43" t="s">
        <v>608</v>
      </c>
      <c r="C29" s="43" t="s">
        <v>146</v>
      </c>
      <c r="D29" s="43" t="s">
        <v>1301</v>
      </c>
      <c r="E29" s="52"/>
      <c r="F29" s="52"/>
      <c r="G29" s="52"/>
      <c r="H29" s="43" t="s">
        <v>1276</v>
      </c>
    </row>
    <row r="30" spans="1:8" ht="15" customHeight="1" x14ac:dyDescent="0.2">
      <c r="A30" s="55">
        <v>11</v>
      </c>
      <c r="B30" s="46" t="s">
        <v>623</v>
      </c>
      <c r="C30" s="46" t="s">
        <v>146</v>
      </c>
      <c r="D30" s="46" t="s">
        <v>1301</v>
      </c>
      <c r="E30" s="55"/>
      <c r="F30" s="55"/>
      <c r="G30" s="55"/>
      <c r="H30" s="46" t="s">
        <v>1302</v>
      </c>
    </row>
    <row r="31" spans="1:8" ht="15" customHeight="1" x14ac:dyDescent="0.2">
      <c r="A31" s="92"/>
      <c r="B31" s="49" t="s">
        <v>1303</v>
      </c>
      <c r="C31" s="92"/>
      <c r="D31" s="92"/>
      <c r="E31" s="93">
        <f>AVERAGE(E5:E30)</f>
        <v>6366.8</v>
      </c>
      <c r="F31" s="93">
        <f>AVERAGE(F5:F30)</f>
        <v>131.94999999999999</v>
      </c>
      <c r="G31" s="93">
        <f>AVERAGE(G5:G30)</f>
        <v>71.315384615384616</v>
      </c>
      <c r="H31" s="9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zoomScaleNormal="100" workbookViewId="0"/>
  </sheetViews>
  <sheetFormatPr baseColWidth="10" defaultColWidth="8.83203125" defaultRowHeight="15" x14ac:dyDescent="0.2"/>
  <sheetData>
    <row r="1" spans="1:43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1304</v>
      </c>
      <c r="W2" t="s">
        <v>86</v>
      </c>
      <c r="X2" t="s">
        <v>117</v>
      </c>
      <c r="AD2" t="s">
        <v>86</v>
      </c>
      <c r="AE2" t="s">
        <v>117</v>
      </c>
      <c r="AM2" t="s">
        <v>1305</v>
      </c>
    </row>
    <row r="3" spans="1:43" ht="15" customHeight="1" x14ac:dyDescent="0.2">
      <c r="R3" t="s">
        <v>1306</v>
      </c>
      <c r="S3" t="s">
        <v>728</v>
      </c>
      <c r="T3" t="s">
        <v>727</v>
      </c>
      <c r="U3" t="s">
        <v>87</v>
      </c>
      <c r="AN3" t="s">
        <v>1306</v>
      </c>
      <c r="AO3" t="s">
        <v>728</v>
      </c>
      <c r="AP3" t="s">
        <v>727</v>
      </c>
      <c r="AQ3" t="s">
        <v>87</v>
      </c>
    </row>
    <row r="4" spans="1:43" ht="15" customHeight="1" x14ac:dyDescent="0.2">
      <c r="B4" t="s">
        <v>732</v>
      </c>
      <c r="C4" t="s">
        <v>1172</v>
      </c>
      <c r="D4" t="s">
        <v>1173</v>
      </c>
      <c r="E4" t="s">
        <v>1178</v>
      </c>
      <c r="F4" t="s">
        <v>728</v>
      </c>
      <c r="I4" t="s">
        <v>732</v>
      </c>
      <c r="J4" t="s">
        <v>1172</v>
      </c>
      <c r="K4" t="s">
        <v>1173</v>
      </c>
      <c r="L4" t="s">
        <v>1178</v>
      </c>
      <c r="M4" t="s">
        <v>728</v>
      </c>
      <c r="Q4" t="s">
        <v>118</v>
      </c>
      <c r="R4">
        <v>5</v>
      </c>
      <c r="S4">
        <v>5</v>
      </c>
      <c r="T4">
        <v>1</v>
      </c>
      <c r="U4" t="s">
        <v>174</v>
      </c>
      <c r="X4" t="s">
        <v>732</v>
      </c>
      <c r="Y4" t="s">
        <v>1172</v>
      </c>
      <c r="Z4" t="s">
        <v>1173</v>
      </c>
      <c r="AA4" t="s">
        <v>1178</v>
      </c>
      <c r="AB4" t="s">
        <v>728</v>
      </c>
      <c r="AE4" t="s">
        <v>732</v>
      </c>
      <c r="AF4" t="s">
        <v>1172</v>
      </c>
      <c r="AG4" t="s">
        <v>1173</v>
      </c>
      <c r="AH4" t="s">
        <v>1178</v>
      </c>
      <c r="AI4" t="s">
        <v>728</v>
      </c>
      <c r="AM4" t="s">
        <v>123</v>
      </c>
      <c r="AN4">
        <v>0</v>
      </c>
      <c r="AO4">
        <v>0</v>
      </c>
      <c r="AQ4" t="s">
        <v>174</v>
      </c>
    </row>
    <row r="5" spans="1:43" ht="15" customHeight="1" x14ac:dyDescent="0.2">
      <c r="A5" t="s">
        <v>173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180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174</v>
      </c>
      <c r="W5" t="s">
        <v>173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180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174</v>
      </c>
    </row>
    <row r="6" spans="1:43" ht="15" customHeight="1" x14ac:dyDescent="0.2">
      <c r="A6" t="s">
        <v>181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174</v>
      </c>
      <c r="W6" t="s">
        <v>181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173</v>
      </c>
      <c r="AN6">
        <v>2</v>
      </c>
      <c r="AO6">
        <v>5</v>
      </c>
      <c r="AP6">
        <v>0.4</v>
      </c>
      <c r="AQ6" t="s">
        <v>174</v>
      </c>
    </row>
    <row r="7" spans="1:43" ht="15" customHeight="1" x14ac:dyDescent="0.2">
      <c r="A7" t="s">
        <v>135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174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174</v>
      </c>
      <c r="W7" t="s">
        <v>180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178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174</v>
      </c>
    </row>
    <row r="8" spans="1:43" ht="15" customHeight="1" x14ac:dyDescent="0.2">
      <c r="A8" t="s">
        <v>180</v>
      </c>
      <c r="B8">
        <v>1</v>
      </c>
      <c r="C8">
        <v>2</v>
      </c>
      <c r="D8">
        <v>0</v>
      </c>
      <c r="E8">
        <v>1</v>
      </c>
      <c r="F8">
        <v>3</v>
      </c>
      <c r="H8" t="s">
        <v>178</v>
      </c>
      <c r="I8">
        <v>2</v>
      </c>
      <c r="J8">
        <v>0</v>
      </c>
      <c r="K8">
        <v>2</v>
      </c>
      <c r="L8">
        <v>3</v>
      </c>
      <c r="M8">
        <v>4</v>
      </c>
      <c r="Q8" t="s">
        <v>173</v>
      </c>
      <c r="R8">
        <v>5.5</v>
      </c>
      <c r="S8">
        <v>11</v>
      </c>
      <c r="T8">
        <v>0.5</v>
      </c>
      <c r="U8" t="s">
        <v>174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174</v>
      </c>
    </row>
    <row r="9" spans="1:43" ht="15" customHeight="1" x14ac:dyDescent="0.2">
      <c r="A9" t="s">
        <v>326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136</v>
      </c>
      <c r="R9">
        <v>9.5</v>
      </c>
      <c r="S9">
        <v>22</v>
      </c>
      <c r="T9">
        <v>0.43181818181818199</v>
      </c>
      <c r="U9" t="s">
        <v>174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174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174</v>
      </c>
      <c r="W10" t="s">
        <v>174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136</v>
      </c>
      <c r="AN10">
        <v>1.5</v>
      </c>
      <c r="AO10">
        <v>5</v>
      </c>
      <c r="AP10">
        <v>0.3</v>
      </c>
      <c r="AQ10" t="s">
        <v>174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174</v>
      </c>
      <c r="R11">
        <v>6</v>
      </c>
      <c r="S11">
        <v>16</v>
      </c>
      <c r="T11">
        <v>0.375</v>
      </c>
      <c r="U11" t="s">
        <v>174</v>
      </c>
      <c r="W11" t="s">
        <v>178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174</v>
      </c>
      <c r="AN11">
        <v>1</v>
      </c>
      <c r="AO11">
        <v>6</v>
      </c>
      <c r="AP11">
        <v>0.16666666666666699</v>
      </c>
      <c r="AQ11" t="s">
        <v>174</v>
      </c>
    </row>
    <row r="12" spans="1:43" ht="15" customHeight="1" x14ac:dyDescent="0.2">
      <c r="A12" t="s">
        <v>174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178</v>
      </c>
      <c r="R12">
        <v>9</v>
      </c>
      <c r="S12">
        <v>11</v>
      </c>
      <c r="T12">
        <v>0.81818181818181801</v>
      </c>
      <c r="U12" t="s">
        <v>233</v>
      </c>
      <c r="W12" t="s">
        <v>229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234</v>
      </c>
      <c r="AN12">
        <v>0</v>
      </c>
      <c r="AO12">
        <v>0</v>
      </c>
      <c r="AQ12" t="s">
        <v>174</v>
      </c>
    </row>
    <row r="13" spans="1:43" ht="15" customHeight="1" x14ac:dyDescent="0.2">
      <c r="A13" t="s">
        <v>178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135</v>
      </c>
      <c r="R13">
        <v>19</v>
      </c>
      <c r="S13">
        <v>27</v>
      </c>
      <c r="T13">
        <v>0.70370370370370405</v>
      </c>
      <c r="U13" t="s">
        <v>233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233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229</v>
      </c>
      <c r="AN13">
        <v>6.5</v>
      </c>
      <c r="AO13">
        <v>12</v>
      </c>
      <c r="AP13">
        <v>0.54166666666666696</v>
      </c>
      <c r="AQ13" t="s">
        <v>174</v>
      </c>
    </row>
    <row r="14" spans="1:43" ht="15" customHeight="1" x14ac:dyDescent="0.2">
      <c r="A14" t="s">
        <v>229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233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234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180</v>
      </c>
      <c r="R15">
        <v>2.5</v>
      </c>
      <c r="S15">
        <v>7</v>
      </c>
      <c r="T15">
        <v>0.35714285714285698</v>
      </c>
      <c r="U15" t="s">
        <v>233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136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178</v>
      </c>
      <c r="AN15">
        <v>7.5</v>
      </c>
      <c r="AO15">
        <v>11</v>
      </c>
      <c r="AP15">
        <v>0.68181818181818199</v>
      </c>
      <c r="AQ15" t="s">
        <v>233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233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177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135</v>
      </c>
      <c r="AN16">
        <v>0</v>
      </c>
      <c r="AO16">
        <v>0</v>
      </c>
      <c r="AQ16" t="s">
        <v>233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136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233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276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233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177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181</v>
      </c>
      <c r="R18">
        <v>3.5</v>
      </c>
      <c r="S18">
        <v>12</v>
      </c>
      <c r="T18">
        <v>0.29166666666666702</v>
      </c>
      <c r="U18" t="s">
        <v>233</v>
      </c>
      <c r="W18" t="s">
        <v>233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230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233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276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1307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233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230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1308</v>
      </c>
      <c r="W20" t="s">
        <v>136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730</v>
      </c>
      <c r="AE20">
        <v>55</v>
      </c>
      <c r="AF20">
        <v>61</v>
      </c>
      <c r="AG20">
        <v>12</v>
      </c>
      <c r="AM20" t="s">
        <v>181</v>
      </c>
      <c r="AN20">
        <v>4</v>
      </c>
      <c r="AO20">
        <v>10</v>
      </c>
      <c r="AP20">
        <v>0.4</v>
      </c>
      <c r="AQ20" t="s">
        <v>233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1307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174</v>
      </c>
      <c r="T21">
        <v>0.56822452465834805</v>
      </c>
      <c r="W21" t="s">
        <v>177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180</v>
      </c>
      <c r="AN21">
        <v>5</v>
      </c>
      <c r="AO21">
        <v>15</v>
      </c>
      <c r="AP21">
        <v>0.33333333333333298</v>
      </c>
      <c r="AQ21" t="s">
        <v>233</v>
      </c>
    </row>
    <row r="22" spans="1:43" ht="15" customHeight="1" x14ac:dyDescent="0.2">
      <c r="A22" t="s">
        <v>234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730</v>
      </c>
      <c r="I22">
        <v>83</v>
      </c>
      <c r="J22">
        <v>77</v>
      </c>
      <c r="K22">
        <v>16</v>
      </c>
      <c r="Q22" t="s">
        <v>233</v>
      </c>
      <c r="T22">
        <v>0.46724214938500702</v>
      </c>
      <c r="W22" t="s">
        <v>276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276</v>
      </c>
      <c r="AN22">
        <v>3</v>
      </c>
      <c r="AO22">
        <v>6</v>
      </c>
      <c r="AP22">
        <v>0.5</v>
      </c>
      <c r="AQ22" t="s">
        <v>233</v>
      </c>
    </row>
    <row r="23" spans="1:43" ht="15" customHeight="1" x14ac:dyDescent="0.2">
      <c r="A23" t="s">
        <v>233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730</v>
      </c>
      <c r="X23">
        <v>55</v>
      </c>
      <c r="Y23">
        <v>61</v>
      </c>
      <c r="Z23">
        <v>12</v>
      </c>
      <c r="AM23" t="s">
        <v>230</v>
      </c>
      <c r="AN23">
        <v>2</v>
      </c>
      <c r="AO23">
        <v>2</v>
      </c>
      <c r="AP23">
        <v>1</v>
      </c>
      <c r="AQ23" t="s">
        <v>233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233</v>
      </c>
      <c r="AN24">
        <v>6.5</v>
      </c>
      <c r="AO24">
        <v>13</v>
      </c>
      <c r="AP24">
        <v>0.5</v>
      </c>
      <c r="AQ24" t="s">
        <v>233</v>
      </c>
    </row>
    <row r="25" spans="1:43" ht="15" customHeight="1" x14ac:dyDescent="0.2">
      <c r="A25" t="s">
        <v>136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177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276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230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728</v>
      </c>
      <c r="T28" t="s">
        <v>727</v>
      </c>
      <c r="AM28" t="s">
        <v>87</v>
      </c>
      <c r="AN28" t="s">
        <v>37</v>
      </c>
      <c r="AO28" t="s">
        <v>728</v>
      </c>
      <c r="AP28" t="s">
        <v>727</v>
      </c>
    </row>
    <row r="29" spans="1:43" ht="15" customHeight="1" x14ac:dyDescent="0.2">
      <c r="A29" t="s">
        <v>730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174</v>
      </c>
      <c r="R29">
        <v>65</v>
      </c>
      <c r="S29">
        <v>124</v>
      </c>
      <c r="T29">
        <v>0.52419354838709697</v>
      </c>
      <c r="AM29" t="s">
        <v>174</v>
      </c>
      <c r="AP29">
        <v>0.37438446969696998</v>
      </c>
    </row>
    <row r="30" spans="1:43" ht="15" customHeight="1" x14ac:dyDescent="0.2">
      <c r="Q30" t="s">
        <v>233</v>
      </c>
      <c r="R30">
        <v>39.5</v>
      </c>
      <c r="S30">
        <v>72</v>
      </c>
      <c r="T30">
        <v>0.54861111111111105</v>
      </c>
      <c r="AM30" t="s">
        <v>233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/>
  </sheetViews>
  <sheetFormatPr baseColWidth="10" defaultColWidth="8.83203125" defaultRowHeight="15" x14ac:dyDescent="0.2"/>
  <sheetData>
    <row r="1" spans="1:24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1309</v>
      </c>
    </row>
    <row r="3" spans="1:24" ht="15" customHeight="1" x14ac:dyDescent="0.2">
      <c r="R3" t="s">
        <v>1306</v>
      </c>
      <c r="S3" t="s">
        <v>728</v>
      </c>
      <c r="T3" t="s">
        <v>727</v>
      </c>
      <c r="U3" t="s">
        <v>87</v>
      </c>
    </row>
    <row r="4" spans="1:24" ht="15" customHeight="1" x14ac:dyDescent="0.2">
      <c r="B4" t="s">
        <v>732</v>
      </c>
      <c r="C4" t="s">
        <v>1172</v>
      </c>
      <c r="D4" t="s">
        <v>1173</v>
      </c>
      <c r="E4" t="s">
        <v>1178</v>
      </c>
      <c r="F4" t="s">
        <v>728</v>
      </c>
      <c r="I4" t="s">
        <v>732</v>
      </c>
      <c r="J4" t="s">
        <v>1172</v>
      </c>
      <c r="K4" t="s">
        <v>1173</v>
      </c>
      <c r="L4" t="s">
        <v>1178</v>
      </c>
      <c r="M4" t="s">
        <v>728</v>
      </c>
      <c r="Q4" t="s">
        <v>118</v>
      </c>
      <c r="R4">
        <v>8.5</v>
      </c>
      <c r="S4">
        <v>10</v>
      </c>
      <c r="T4">
        <v>0.85</v>
      </c>
      <c r="U4" t="s">
        <v>174</v>
      </c>
    </row>
    <row r="5" spans="1:24" ht="15" customHeight="1" x14ac:dyDescent="0.2">
      <c r="A5" t="s">
        <v>173</v>
      </c>
      <c r="B5">
        <v>2</v>
      </c>
      <c r="C5">
        <v>3</v>
      </c>
      <c r="D5">
        <v>0</v>
      </c>
      <c r="E5">
        <v>2</v>
      </c>
      <c r="F5">
        <v>5</v>
      </c>
      <c r="H5" t="s">
        <v>180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174</v>
      </c>
    </row>
    <row r="6" spans="1:24" ht="15" customHeight="1" x14ac:dyDescent="0.2">
      <c r="A6" t="s">
        <v>181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136</v>
      </c>
      <c r="R6">
        <v>6</v>
      </c>
      <c r="S6">
        <v>10</v>
      </c>
      <c r="T6">
        <v>0.6</v>
      </c>
      <c r="U6" t="s">
        <v>174</v>
      </c>
    </row>
    <row r="7" spans="1:24" ht="15" customHeight="1" x14ac:dyDescent="0.2">
      <c r="A7" t="s">
        <v>135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174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174</v>
      </c>
    </row>
    <row r="8" spans="1:24" ht="15" customHeight="1" x14ac:dyDescent="0.2">
      <c r="A8" t="s">
        <v>180</v>
      </c>
      <c r="B8">
        <v>1</v>
      </c>
      <c r="C8">
        <v>2</v>
      </c>
      <c r="D8">
        <v>0</v>
      </c>
      <c r="E8">
        <v>1</v>
      </c>
      <c r="F8">
        <v>3</v>
      </c>
      <c r="H8" t="s">
        <v>178</v>
      </c>
      <c r="I8">
        <v>1</v>
      </c>
      <c r="J8">
        <v>0</v>
      </c>
      <c r="K8">
        <v>1</v>
      </c>
      <c r="L8">
        <v>1.5</v>
      </c>
      <c r="M8">
        <v>2</v>
      </c>
      <c r="Q8" t="s">
        <v>173</v>
      </c>
      <c r="R8">
        <v>2</v>
      </c>
      <c r="S8">
        <v>5</v>
      </c>
      <c r="T8">
        <v>0.4</v>
      </c>
      <c r="U8" t="s">
        <v>174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174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174</v>
      </c>
    </row>
    <row r="11" spans="1:24" ht="15" customHeight="1" x14ac:dyDescent="0.2">
      <c r="A11" t="s">
        <v>174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174</v>
      </c>
      <c r="R11">
        <v>1</v>
      </c>
      <c r="S11">
        <v>5</v>
      </c>
      <c r="T11">
        <v>0.2</v>
      </c>
      <c r="U11" t="s">
        <v>174</v>
      </c>
    </row>
    <row r="12" spans="1:24" ht="15" customHeight="1" x14ac:dyDescent="0.2">
      <c r="A12" t="s">
        <v>178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178</v>
      </c>
      <c r="R12">
        <v>4.5</v>
      </c>
      <c r="S12">
        <v>5</v>
      </c>
      <c r="T12">
        <v>0.9</v>
      </c>
      <c r="U12" t="s">
        <v>233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135</v>
      </c>
      <c r="R13">
        <v>8.5</v>
      </c>
      <c r="S13">
        <v>10</v>
      </c>
      <c r="T13">
        <v>0.85</v>
      </c>
      <c r="U13" t="s">
        <v>233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233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180</v>
      </c>
      <c r="R15">
        <v>2.5</v>
      </c>
      <c r="S15">
        <v>5</v>
      </c>
      <c r="T15">
        <v>0.5</v>
      </c>
      <c r="U15" t="s">
        <v>233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136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233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177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233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1307</v>
      </c>
      <c r="I18">
        <v>13</v>
      </c>
      <c r="J18">
        <v>13</v>
      </c>
      <c r="K18">
        <v>2</v>
      </c>
      <c r="Q18" t="s">
        <v>181</v>
      </c>
      <c r="R18">
        <v>0.5</v>
      </c>
      <c r="S18">
        <v>5</v>
      </c>
      <c r="T18">
        <v>0.1</v>
      </c>
      <c r="U18" t="s">
        <v>233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730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728</v>
      </c>
      <c r="T20" t="s">
        <v>727</v>
      </c>
    </row>
    <row r="21" spans="1:24" ht="15" customHeight="1" x14ac:dyDescent="0.2">
      <c r="A21" t="s">
        <v>136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174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177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233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730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2026-06-21T22:47:17Z</dcterms:modified>
  <dc:language>en-US</dc:language>
</cp:coreProperties>
</file>