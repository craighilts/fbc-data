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200" yWindow="600" windowWidth="16380" windowHeight="8200" tabRatio="500" firstSheet="1" activeTab="7" autoFilterDateGrouping="1"/>
  </bookViews>
  <sheets>
    <sheet name="Runbook" sheetId="1" state="visible" r:id="rId1"/>
    <sheet name="Archives" sheetId="2" state="visible" r:id="rId2"/>
    <sheet name="Cups" sheetId="3" state="visible" r:id="rId3"/>
    <sheet name="Handicaps" sheetId="4" state="visible" r:id="rId4"/>
    <sheet name="Points" sheetId="5" state="visible" r:id="rId5"/>
    <sheet name="LifetimeLeaderboard" sheetId="6" state="visible" r:id="rId6"/>
    <sheet name="Bounties" sheetId="7" state="visible" r:id="rId7"/>
    <sheet name="CAPA PPC" sheetId="8" state="visible" r:id="rId8"/>
    <sheet name="Sandbagger Index" sheetId="9" state="visible" r:id="rId9"/>
    <sheet name="Chemistry Index" sheetId="10" state="visible" r:id="rId10"/>
    <sheet name="Clutch Rating" sheetId="11" state="visible" r:id="rId11"/>
    <sheet name="Pythagorean Luck" sheetId="12" state="visible" r:id="rId12"/>
    <sheet name="Form Guide" sheetId="13" state="visible" r:id="rId13"/>
    <sheet name="MVP Hall of Fame" sheetId="14" state="visible" r:id="rId14"/>
    <sheet name="Nemesis &amp; Patsy" sheetId="15" state="visible" r:id="rId15"/>
    <sheet name="Streak Tracker" sheetId="16" state="visible" r:id="rId16"/>
    <sheet name="RecordBook" sheetId="17" state="visible" r:id="rId17"/>
    <sheet name="NHI" sheetId="18" state="visible" r:id="rId18"/>
    <sheet name="Singles_Doubles records" sheetId="19" state="visible" r:id="rId19"/>
    <sheet name="7yrFund" sheetId="20" state="visible" r:id="rId20"/>
    <sheet name="Ratings" sheetId="21" state="visible" r:id="rId21"/>
    <sheet name="FBC3" sheetId="22" state="visible" r:id="rId22"/>
    <sheet name="Lifetime Mulligans" sheetId="23" state="visible" r:id="rId23"/>
    <sheet name="Rookies" sheetId="24" state="visible" r:id="rId24"/>
    <sheet name="Cyber Monday" sheetId="25" state="visible" r:id="rId25"/>
    <sheet name="Difficulty Graph" sheetId="26" state="visible" r:id="rId26"/>
    <sheet name="Size Analysis" sheetId="27" state="visible" r:id="rId27"/>
    <sheet name="North Analysis" sheetId="28" state="visible" r:id="rId28"/>
  </sheets>
  <definedNames>
    <definedName name="_xlnm._FilterDatabase" localSheetId="2" hidden="1">'Cups'!$B$3:$R$31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0">
    <font>
      <name val="Calibri"/>
      <charset val="1"/>
      <family val="2"/>
      <color theme="1"/>
      <sz val="11"/>
    </font>
    <font>
      <name val="Calibri"/>
      <charset val="1"/>
      <family val="2"/>
      <color theme="1"/>
      <sz val="12"/>
    </font>
    <font>
      <name val="Cambria"/>
      <charset val="1"/>
      <b val="1"/>
      <color rgb="FF15324F"/>
      <sz val="20"/>
    </font>
    <font>
      <name val="Cambria"/>
      <charset val="1"/>
      <i val="1"/>
      <color rgb="FF6B7785"/>
      <sz val="11"/>
    </font>
    <font>
      <name val="Cambria"/>
      <charset val="1"/>
      <b val="1"/>
      <color rgb="FFFFFFFF"/>
      <sz val="12"/>
    </font>
    <font>
      <name val="Cambria"/>
      <charset val="1"/>
      <color rgb="FF1C2733"/>
      <sz val="10"/>
    </font>
    <font>
      <name val="Cambria"/>
      <charset val="1"/>
      <b val="1"/>
      <color rgb="FFFFFFFF"/>
      <sz val="10"/>
    </font>
    <font>
      <name val="Cambria"/>
      <charset val="1"/>
      <b val="1"/>
      <color rgb="FF2E7D4F"/>
      <sz val="10"/>
    </font>
    <font>
      <name val="Cambria"/>
      <charset val="1"/>
      <b val="1"/>
      <color rgb="FFB06A00"/>
      <sz val="10"/>
    </font>
    <font>
      <name val="Cambria"/>
      <charset val="1"/>
      <i val="1"/>
      <color rgb="FF6B7785"/>
      <sz val="9"/>
    </font>
    <font>
      <name val="Calibri"/>
      <charset val="1"/>
      <family val="2"/>
      <b val="1"/>
      <sz val="11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color theme="1"/>
      <sz val="10"/>
      <u val="single"/>
    </font>
    <font>
      <name val="Calibri"/>
      <charset val="1"/>
      <family val="2"/>
      <b val="1"/>
      <color theme="1"/>
      <sz val="10"/>
      <u val="single"/>
    </font>
    <font>
      <name val="Calibri"/>
      <charset val="1"/>
      <b val="1"/>
      <sz val="13"/>
    </font>
    <font>
      <name val="Calibri"/>
      <charset val="1"/>
      <i val="1"/>
      <sz val="9"/>
    </font>
    <font>
      <name val="Calibri"/>
      <charset val="1"/>
      <b val="1"/>
      <color rgb="FFFFFFFF"/>
      <sz val="11"/>
    </font>
    <font>
      <name val="Calibri"/>
      <charset val="1"/>
      <b val="1"/>
      <sz val="11"/>
    </font>
    <font>
      <name val="Cambria"/>
      <charset val="1"/>
      <i val="1"/>
      <color rgb="FF6B7785"/>
      <sz val="10"/>
    </font>
    <font>
      <name val="Cambria"/>
      <charset val="1"/>
      <b val="1"/>
      <color rgb="FFFFFFFF"/>
      <sz val="10.5"/>
    </font>
    <font>
      <name val="Cambria"/>
      <charset val="1"/>
      <b val="1"/>
      <color rgb="FF1C2733"/>
      <sz val="10"/>
    </font>
    <font>
      <name val="Calibri"/>
      <charset val="1"/>
      <b val="1"/>
      <color rgb="FF000000"/>
      <sz val="14"/>
    </font>
    <font>
      <name val="Calibri"/>
      <charset val="1"/>
      <b val="1"/>
      <color rgb="FF000000"/>
      <sz val="10"/>
    </font>
    <font>
      <name val="Calibri"/>
      <charset val="1"/>
      <i val="1"/>
      <sz val="10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Cambria"/>
      <charset val="1"/>
      <b val="1"/>
      <color rgb="FF15324F"/>
      <sz val="18"/>
    </font>
    <font>
      <name val="Cambria"/>
      <charset val="1"/>
      <color rgb="FF6B7785"/>
      <sz val="10"/>
    </font>
    <font>
      <name val="Cambria"/>
      <charset val="1"/>
      <b val="1"/>
      <color rgb="FFC0392B"/>
      <sz val="10"/>
    </font>
  </fonts>
  <fills count="9">
    <fill>
      <patternFill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11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  <border>
      <left/>
      <right/>
      <top style="thin">
        <color rgb="FFD8DEE4"/>
      </top>
      <bottom/>
      <diagonal/>
    </border>
    <border>
      <left/>
      <right style="thin">
        <color rgb="FFD8DEE4"/>
      </right>
      <top style="thin">
        <color rgb="FFD8DEE4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3">
    <xf numFmtId="0" fontId="0" fillId="0" borderId="0" pivotButton="0" quotePrefix="0" xfId="0"/>
    <xf numFmtId="0" fontId="9" fillId="0" borderId="0" applyAlignment="1" pivotButton="0" quotePrefix="0" xfId="0">
      <alignment vertical="top" wrapText="1"/>
    </xf>
    <xf numFmtId="0" fontId="0" fillId="0" borderId="0" pivotButton="0" quotePrefix="0" xfId="0"/>
    <xf numFmtId="0" fontId="5" fillId="3" borderId="2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24" fillId="0" borderId="0" pivotButton="0" quotePrefix="0" xfId="0"/>
    <xf numFmtId="0" fontId="24" fillId="0" borderId="0" applyAlignment="1" pivotButton="0" quotePrefix="0" xfId="0">
      <alignment vertical="top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0" applyAlignment="1" pivotButton="0" quotePrefix="0" xfId="0">
      <alignment vertical="top" wrapText="1"/>
    </xf>
    <xf numFmtId="0" fontId="10" fillId="0" borderId="5" applyAlignment="1" pivotButton="0" quotePrefix="0" xfId="0">
      <alignment horizontal="center" vertical="top"/>
    </xf>
    <xf numFmtId="164" fontId="0" fillId="0" borderId="0" pivotButton="0" quotePrefix="0" xfId="0"/>
    <xf numFmtId="0" fontId="1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9" fontId="11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0" fontId="17" fillId="4" borderId="6" applyAlignment="1" pivotButton="0" quotePrefix="0" xfId="0">
      <alignment horizontal="center"/>
    </xf>
    <xf numFmtId="0" fontId="18" fillId="0" borderId="0" pivotButton="0" quotePrefix="0" xfId="0"/>
    <xf numFmtId="0" fontId="0" fillId="0" borderId="6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0" fontId="19" fillId="0" borderId="0" pivotButton="0" quotePrefix="0" xfId="0"/>
    <xf numFmtId="0" fontId="20" fillId="2" borderId="0" applyAlignment="1" pivotButton="0" quotePrefix="0" xfId="0">
      <alignment horizontal="center"/>
    </xf>
    <xf numFmtId="0" fontId="5" fillId="3" borderId="7" applyAlignment="1" pivotButton="0" quotePrefix="0" xfId="0">
      <alignment horizontal="left"/>
    </xf>
    <xf numFmtId="166" fontId="5" fillId="3" borderId="7" applyAlignment="1" pivotButton="0" quotePrefix="0" xfId="0">
      <alignment horizontal="center"/>
    </xf>
    <xf numFmtId="0" fontId="21" fillId="3" borderId="7" applyAlignment="1" pivotButton="0" quotePrefix="0" xfId="0">
      <alignment horizontal="center"/>
    </xf>
    <xf numFmtId="0" fontId="5" fillId="0" borderId="7" applyAlignment="1" pivotButton="0" quotePrefix="0" xfId="0">
      <alignment horizontal="left"/>
    </xf>
    <xf numFmtId="166" fontId="5" fillId="0" borderId="7" applyAlignment="1" pivotButton="0" quotePrefix="0" xfId="0">
      <alignment horizontal="center"/>
    </xf>
    <xf numFmtId="0" fontId="21" fillId="0" borderId="7" applyAlignment="1" pivotButton="0" quotePrefix="0" xfId="0">
      <alignment horizontal="center"/>
    </xf>
    <xf numFmtId="0" fontId="21" fillId="5" borderId="0" applyAlignment="1" pivotButton="0" quotePrefix="0" xfId="0">
      <alignment horizontal="left"/>
    </xf>
    <xf numFmtId="166" fontId="21" fillId="5" borderId="0" applyAlignment="1" pivotButton="0" quotePrefix="0" xfId="0">
      <alignment horizontal="center"/>
    </xf>
    <xf numFmtId="0" fontId="21" fillId="5" borderId="0" applyAlignment="1" pivotButton="0" quotePrefix="0" xfId="0">
      <alignment horizontal="center"/>
    </xf>
    <xf numFmtId="0" fontId="5" fillId="3" borderId="7" applyAlignment="1" pivotButton="0" quotePrefix="0" xfId="0">
      <alignment horizontal="center"/>
    </xf>
    <xf numFmtId="167" fontId="5" fillId="3" borderId="7" applyAlignment="1" pivotButton="0" quotePrefix="0" xfId="0">
      <alignment horizontal="center"/>
    </xf>
    <xf numFmtId="2" fontId="5" fillId="3" borderId="7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167" fontId="5" fillId="0" borderId="7" applyAlignment="1" pivotButton="0" quotePrefix="0" xfId="0">
      <alignment horizontal="center"/>
    </xf>
    <xf numFmtId="2" fontId="5" fillId="0" borderId="7" applyAlignment="1" pivotButton="0" quotePrefix="0" xfId="0">
      <alignment horizontal="center"/>
    </xf>
    <xf numFmtId="0" fontId="21" fillId="5" borderId="8" applyAlignment="1" pivotButton="0" quotePrefix="0" xfId="0">
      <alignment horizontal="left"/>
    </xf>
    <xf numFmtId="0" fontId="21" fillId="5" borderId="8" applyAlignment="1" pivotButton="0" quotePrefix="0" xfId="0">
      <alignment horizontal="center"/>
    </xf>
    <xf numFmtId="167" fontId="21" fillId="5" borderId="8" applyAlignment="1" pivotButton="0" quotePrefix="0" xfId="0">
      <alignment horizontal="center"/>
    </xf>
    <xf numFmtId="0" fontId="22" fillId="0" borderId="0" pivotButton="0" quotePrefix="0" xfId="0"/>
    <xf numFmtId="0" fontId="23" fillId="0" borderId="0" pivotButton="0" quotePrefix="0" xfId="0"/>
    <xf numFmtId="0" fontId="17" fillId="4" borderId="6" applyAlignment="1" pivotButton="0" quotePrefix="0" xfId="0">
      <alignment horizontal="center" vertical="center" wrapText="1"/>
    </xf>
    <xf numFmtId="0" fontId="17" fillId="6" borderId="6" applyAlignment="1" pivotButton="0" quotePrefix="0" xfId="0">
      <alignment horizontal="center" vertical="center" wrapText="1"/>
    </xf>
    <xf numFmtId="0" fontId="17" fillId="7" borderId="6" applyAlignment="1" pivotButton="0" quotePrefix="0" xfId="0">
      <alignment horizontal="center" vertical="center" wrapText="1"/>
    </xf>
    <xf numFmtId="0" fontId="17" fillId="8" borderId="6" applyAlignment="1" pivotButton="0" quotePrefix="0" xfId="0">
      <alignment horizontal="center" vertical="center" wrapText="1"/>
    </xf>
    <xf numFmtId="0" fontId="18" fillId="0" borderId="6" pivotButton="0" quotePrefix="0" xfId="0"/>
    <xf numFmtId="1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68" fontId="0" fillId="0" borderId="6" applyAlignment="1" pivotButton="0" quotePrefix="0" xfId="0">
      <alignment horizontal="center" vertical="center"/>
    </xf>
    <xf numFmtId="2" fontId="18" fillId="0" borderId="6" applyAlignment="1" pivotButton="0" quotePrefix="0" xfId="0">
      <alignment horizontal="center" vertical="center"/>
    </xf>
    <xf numFmtId="0" fontId="25" fillId="0" borderId="0" pivotButton="0" quotePrefix="0" xfId="0"/>
    <xf numFmtId="0" fontId="26" fillId="0" borderId="0" pivotButton="0" quotePrefix="0" xfId="0"/>
    <xf numFmtId="0" fontId="26" fillId="0" borderId="0" applyAlignment="1" pivotButton="0" quotePrefix="0" xfId="0">
      <alignment horizontal="left"/>
    </xf>
    <xf numFmtId="0" fontId="27" fillId="0" borderId="0" pivotButton="0" quotePrefix="0" xfId="0"/>
    <xf numFmtId="165" fontId="5" fillId="3" borderId="7" applyAlignment="1" pivotButton="0" quotePrefix="0" xfId="0">
      <alignment horizontal="center"/>
    </xf>
    <xf numFmtId="169" fontId="5" fillId="3" borderId="7" applyAlignment="1" pivotButton="0" quotePrefix="0" xfId="0">
      <alignment horizontal="center"/>
    </xf>
    <xf numFmtId="165" fontId="5" fillId="0" borderId="7" applyAlignment="1" pivotButton="0" quotePrefix="0" xfId="0">
      <alignment horizontal="center"/>
    </xf>
    <xf numFmtId="169" fontId="5" fillId="0" borderId="7" applyAlignment="1" pivotButton="0" quotePrefix="0" xfId="0">
      <alignment horizontal="center"/>
    </xf>
    <xf numFmtId="170" fontId="5" fillId="3" borderId="7" applyAlignment="1" pivotButton="0" quotePrefix="0" xfId="0">
      <alignment horizontal="center"/>
    </xf>
    <xf numFmtId="170" fontId="5" fillId="0" borderId="7" applyAlignment="1" pivotButton="0" quotePrefix="0" xfId="0">
      <alignment horizontal="center"/>
    </xf>
    <xf numFmtId="0" fontId="7" fillId="3" borderId="7" applyAlignment="1" pivotButton="0" quotePrefix="0" xfId="0">
      <alignment horizontal="center"/>
    </xf>
    <xf numFmtId="0" fontId="7" fillId="0" borderId="7" applyAlignment="1" pivotButton="0" quotePrefix="0" xfId="0">
      <alignment horizontal="center"/>
    </xf>
    <xf numFmtId="0" fontId="28" fillId="0" borderId="7" applyAlignment="1" pivotButton="0" quotePrefix="0" xfId="0">
      <alignment horizontal="center"/>
    </xf>
    <xf numFmtId="0" fontId="28" fillId="3" borderId="7" applyAlignment="1" pivotButton="0" quotePrefix="0" xfId="0">
      <alignment horizontal="center"/>
    </xf>
    <xf numFmtId="0" fontId="29" fillId="3" borderId="7" applyAlignment="1" pivotButton="0" quotePrefix="0" xfId="0">
      <alignment horizontal="center"/>
    </xf>
    <xf numFmtId="0" fontId="29" fillId="0" borderId="7" applyAlignment="1" pivotButton="0" quotePrefix="0" xfId="0">
      <alignment horizontal="center"/>
    </xf>
    <xf numFmtId="167" fontId="0" fillId="0" borderId="0" pivotButton="0" quotePrefix="0" xfId="0"/>
    <xf numFmtId="0" fontId="0" fillId="0" borderId="0" applyAlignment="1" pivotButton="0" quotePrefix="0" xfId="0">
      <alignment wrapText="1"/>
    </xf>
    <xf numFmtId="0" fontId="9" fillId="0" borderId="0" pivotButton="0" quotePrefix="0" xfId="0"/>
    <xf numFmtId="0" fontId="0" fillId="5" borderId="0" pivotButton="0" quotePrefix="0" xfId="0"/>
    <xf numFmtId="165" fontId="21" fillId="5" borderId="0" applyAlignment="1" pivotButton="0" quotePrefix="0" xfId="0">
      <alignment horizontal="center"/>
    </xf>
  </cellXfs>
  <cellStyles count="5">
    <cellStyle name="Normal" xfId="0" builtinId="0"/>
    <cellStyle name="Normal 2" xfId="1"/>
    <cellStyle name="Normal 3" xfId="2"/>
    <cellStyle name="Percent 2" xfId="3"/>
    <cellStyle name="Percent 3" xfId="4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5324F"/>
    <outlinePr summaryBelow="1" summaryRight="1"/>
    <pageSetUpPr/>
  </sheetPr>
  <dimension ref="B1:H57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2.5" customWidth="1" style="2" min="1" max="1"/>
    <col width="22" customWidth="1" style="2" min="2" max="2"/>
    <col width="16" customWidth="1" style="2" min="3" max="3"/>
    <col width="14" customWidth="1" style="2" min="4" max="4"/>
    <col width="12" customWidth="1" style="2" min="5" max="8"/>
  </cols>
  <sheetData>
    <row r="1" ht="27.75" customHeight="1" s="2">
      <c r="B1" s="13" t="inlineStr">
        <is>
          <t>FBC Workbook — Adding a New Cup</t>
        </is>
      </c>
    </row>
    <row r="2" ht="30" customHeight="1" s="2">
      <c r="B2" s="9" t="inlineStr">
        <is>
          <t>Runbook for adding a completed FBC (e.g., FBC 13). Most of the workbook updates itself — the manual steps are listed below.</t>
        </is>
      </c>
    </row>
    <row r="4" ht="21.75" customHeight="1" s="2">
      <c r="B4" s="8" t="inlineStr">
        <is>
          <t xml:space="preserve">  THE 30-SECOND VERSION</t>
        </is>
      </c>
    </row>
    <row r="5" ht="57.75" customHeight="1" s="2">
      <c r="B5" s="14" t="inlineStr">
        <is>
          <t>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Ratings). Finally, ask Claude to recompute CAPA and the analytics tabs.</t>
        </is>
      </c>
    </row>
    <row r="7" ht="21.75" customHeight="1" s="2">
      <c r="B7" s="8" t="inlineStr">
        <is>
          <t xml:space="preserve">  STEP 1  —  ENTER RESULTS IN ARCHIVES</t>
        </is>
      </c>
    </row>
    <row r="8" ht="15.75" customHeight="1" s="2">
      <c r="B8" s="14" t="inlineStr">
        <is>
          <t>This is the only data entry that drives the automatic tabs.</t>
        </is>
      </c>
    </row>
    <row r="9" ht="33" customHeight="1" s="2">
      <c r="B9" s="14" t="inlineStr">
        <is>
          <t xml:space="preserve">     •   Append the new cup’s matches to the bottom of the Archives tab (below the last row).</t>
        </is>
      </c>
    </row>
    <row r="10" ht="48" customHeight="1" s="2">
      <c r="B10" s="14" t="inlineStr">
        <is>
          <t xml:space="preserve">     •   Fill the same columns as existing rows: FBC #, Day, AM/PM, Format, Singles/Doubles, Team, Player 1, Player 2 (doubles), handicaps, Points at stake, W/L/T, Points earned, and the opponent columns.</t>
        </is>
      </c>
    </row>
    <row r="11" ht="33" customHeight="1" s="2">
      <c r="B11" s="14" t="inlineStr">
        <is>
          <t xml:space="preserve">     •   Each head-to-head match = 2 rows (one per side). Whole-field (FTAS) events = one row per player.</t>
        </is>
      </c>
    </row>
    <row r="12" ht="33" customHeight="1" s="2">
      <c r="B12" s="14" t="inlineStr">
        <is>
          <t xml:space="preserve">     •   Put the cup number (e.g., 13) in the FBC column, and use W, L, or T (uppercase) for the result.</t>
        </is>
      </c>
    </row>
    <row r="14" ht="21.75" customHeight="1" s="2">
      <c r="B14" s="8" t="inlineStr">
        <is>
          <t xml:space="preserve">  STEP 2  —  ADD A ROW FOR ANY FIRST-TIME PLAYER</t>
        </is>
      </c>
    </row>
    <row r="15" ht="30" customHeight="1" s="2">
      <c r="B15" s="14" t="inlineStr">
        <is>
          <t>A debuting player’s matches still count correctly for everyone else, but the live tabs won’t show the new player until you give them a row.</t>
        </is>
      </c>
    </row>
    <row r="16" ht="48" customHeight="1" s="2">
      <c r="B16" s="14" t="inlineStr">
        <is>
          <t xml:space="preserve">     •   On the Leaderboard, Points, Singles &amp; Doubles records, and Rookies tabs: INSERT a row inside the existing list (above the “Grand Total” row), then copy the formula pattern from the row above.</t>
        </is>
      </c>
    </row>
    <row r="17" ht="33" customHeight="1" s="2">
      <c r="B17" s="14" t="inlineStr">
        <is>
          <t xml:space="preserve">     •   Inserting WITHIN the block lets the totals and record formulas extend automatically. Do not add players below the Grand Total row.</t>
        </is>
      </c>
    </row>
    <row r="18" ht="33" customHeight="1" s="2">
      <c r="B18" s="14" t="inlineStr">
        <is>
          <t xml:space="preserve">     •   New doubles pairings work the same way on the Singles &amp; Doubles records tab (add a tandem row).</t>
        </is>
      </c>
    </row>
    <row r="20" ht="21.75" customHeight="1" s="2">
      <c r="B20" s="8" t="inlineStr">
        <is>
          <t xml:space="preserve">  STEP 3  —  FILL THE PER-CUP INPUT TABS</t>
        </is>
      </c>
    </row>
    <row r="21" ht="15.75" customHeight="1" s="2">
      <c r="B21" s="14" t="inlineStr">
        <is>
          <t>These hold information that isn’t in the match results, so they need manual entry:</t>
        </is>
      </c>
    </row>
    <row r="22" ht="33" customHeight="1" s="2">
      <c r="B22" s="14" t="inlineStr">
        <is>
          <t xml:space="preserve">     •   Cups: add a new “FBC 13” column; mark 1 (on winning team), 0 (played, lost), or X (didn’t play). Extend the Total / Played / % / Lost formulas to the new column.</t>
        </is>
      </c>
    </row>
    <row r="23" ht="33" customHeight="1" s="2">
      <c r="B23" s="14" t="inlineStr">
        <is>
          <t xml:space="preserve">     •   Handicaps: add a new “FBC 13” column with each player’s index. The Average updates on its own.</t>
        </is>
      </c>
    </row>
    <row r="24" ht="18" customHeight="1" s="2">
      <c r="B24" s="14" t="inlineStr">
        <is>
          <t xml:space="preserve">     •   Ratings: add a row for the new venue with your category scores.</t>
        </is>
      </c>
    </row>
    <row r="25" ht="33" customHeight="1" s="2">
      <c r="B25" s="14" t="inlineStr">
        <is>
          <t xml:space="preserve">     •   Difficulty Graph: add the new course row(s) — FBC, course, city, state, yardage, slope, designer.</t>
        </is>
      </c>
    </row>
    <row r="27" ht="21.75" customHeight="1" s="2">
      <c r="B27" s="8" t="inlineStr">
        <is>
          <t xml:space="preserve">  STEP 4  —  RECOMPUTE THE ANALYTICS TABS</t>
        </is>
      </c>
    </row>
    <row r="28" ht="30" customHeight="1" s="2">
      <c r="B28" s="14" t="inlineStr">
        <is>
      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      </is>
      </c>
    </row>
    <row r="30" ht="21.75" customHeight="1" s="2">
      <c r="B30" s="8" t="inlineStr">
        <is>
          <t xml:space="preserve">  STEP 5  —  VERIFY</t>
        </is>
      </c>
    </row>
    <row r="31" ht="18" customHeight="1" s="2">
      <c r="B31" s="14" t="inlineStr">
        <is>
          <t xml:space="preserve">     •   Spot-check a known player (e.g., the points leader) on the Leaderboard.</t>
        </is>
      </c>
    </row>
    <row r="32" ht="18" customHeight="1" s="2">
      <c r="B32" s="14" t="inlineStr">
        <is>
          <t xml:space="preserve">     •   Confirm the Grand Total rows look sensible.</t>
        </is>
      </c>
    </row>
    <row r="33" ht="33" customHeight="1" s="2">
      <c r="B33" s="14" t="inlineStr">
        <is>
          <t xml:space="preserve">     •   The Points tab already has FBC 13–15 columns ready; after FBC 15, add more columns.</t>
        </is>
      </c>
    </row>
    <row r="35" ht="21.75" customHeight="1" s="2">
      <c r="B35" s="8" t="inlineStr">
        <is>
          <t xml:space="preserve">  REFERENCE  —  AUTOMATIC vs MANUAL</t>
        </is>
      </c>
    </row>
    <row r="36" ht="18" customHeight="1" s="2">
      <c r="B36" s="15" t="inlineStr">
        <is>
          <t>Tab</t>
        </is>
      </c>
      <c r="C36" s="15" t="inlineStr">
        <is>
          <t>On Archives update</t>
        </is>
      </c>
      <c r="D36" s="15" t="inlineStr">
        <is>
          <t>Your action</t>
        </is>
      </c>
      <c r="E36" s="23" t="n"/>
      <c r="F36" s="23" t="n"/>
      <c r="G36" s="23" t="n"/>
      <c r="H36" s="24" t="n"/>
    </row>
    <row r="37" ht="25.5" customHeight="1" s="2">
      <c r="B37" s="16" t="inlineStr">
        <is>
          <t>Archives</t>
        </is>
      </c>
      <c r="C37" s="17" t="inlineStr">
        <is>
          <t>—</t>
        </is>
      </c>
      <c r="D37" s="16" t="inlineStr">
        <is>
          <t>Paste the new cup’s match rows here (Step 1).</t>
        </is>
      </c>
      <c r="E37" s="23" t="n"/>
      <c r="F37" s="23" t="n"/>
      <c r="G37" s="23" t="n"/>
      <c r="H37" s="24" t="n"/>
    </row>
    <row r="38" ht="25.5" customHeight="1" s="2">
      <c r="B38" s="18" t="inlineStr">
        <is>
          <t>Leaderboard</t>
        </is>
      </c>
      <c r="C38" s="19" t="inlineStr">
        <is>
          <t>Automatic</t>
        </is>
      </c>
      <c r="D38" s="18" t="inlineStr">
        <is>
          <t>Add a row only for a first-time player.</t>
        </is>
      </c>
      <c r="E38" s="23" t="n"/>
      <c r="F38" s="23" t="n"/>
      <c r="G38" s="23" t="n"/>
      <c r="H38" s="24" t="n"/>
    </row>
    <row r="39" ht="25.5" customHeight="1" s="2">
      <c r="B39" s="16" t="inlineStr">
        <is>
          <t>Points</t>
        </is>
      </c>
      <c r="C39" s="20" t="inlineStr">
        <is>
          <t>Automatic</t>
        </is>
      </c>
      <c r="D39" s="16" t="inlineStr">
        <is>
          <t>FBC 13–15 prebuilt. Add a row for new players; add columns after FBC 15.</t>
        </is>
      </c>
      <c r="E39" s="23" t="n"/>
      <c r="F39" s="23" t="n"/>
      <c r="G39" s="23" t="n"/>
      <c r="H39" s="24" t="n"/>
    </row>
    <row r="40" ht="25.5" customHeight="1" s="2">
      <c r="B40" s="18" t="inlineStr">
        <is>
          <t>Singles_Doubles records</t>
        </is>
      </c>
      <c r="C40" s="19" t="inlineStr">
        <is>
          <t>Automatic</t>
        </is>
      </c>
      <c r="D40" s="18" t="inlineStr">
        <is>
          <t>Add a row for a new player or a new tandem.</t>
        </is>
      </c>
      <c r="E40" s="23" t="n"/>
      <c r="F40" s="23" t="n"/>
      <c r="G40" s="23" t="n"/>
      <c r="H40" s="24" t="n"/>
    </row>
    <row r="41" ht="25.5" customHeight="1" s="2">
      <c r="B41" s="16" t="inlineStr">
        <is>
          <t>Rookies</t>
        </is>
      </c>
      <c r="C41" s="20" t="inlineStr">
        <is>
          <t>Automatic</t>
        </is>
      </c>
      <c r="D41" s="16" t="inlineStr">
        <is>
          <t>Add a row for a new player.</t>
        </is>
      </c>
      <c r="E41" s="23" t="n"/>
      <c r="F41" s="23" t="n"/>
      <c r="G41" s="23" t="n"/>
      <c r="H41" s="24" t="n"/>
    </row>
    <row r="42" ht="25.5" customHeight="1" s="2">
      <c r="B42" s="18" t="inlineStr">
        <is>
          <t>RecordBook</t>
        </is>
      </c>
      <c r="C42" s="19" t="inlineStr">
        <is>
          <t>Mostly automatic</t>
        </is>
      </c>
      <c r="D42" s="18" t="inlineStr">
        <is>
          <t>Margin records (8&amp;7, 5&amp;4, streaks) are entered by hand.</t>
        </is>
      </c>
      <c r="E42" s="23" t="n"/>
      <c r="F42" s="23" t="n"/>
      <c r="G42" s="23" t="n"/>
      <c r="H42" s="24" t="n"/>
    </row>
    <row r="43" ht="25.5" customHeight="1" s="2">
      <c r="B43" s="16" t="inlineStr">
        <is>
          <t>CAPA PPC</t>
        </is>
      </c>
      <c r="C43" s="21" t="inlineStr">
        <is>
          <t>Recompute</t>
        </is>
      </c>
      <c r="D43" s="16" t="inlineStr">
        <is>
          <t>Ask Claude — regression recalibration.</t>
        </is>
      </c>
      <c r="E43" s="23" t="n"/>
      <c r="F43" s="23" t="n"/>
      <c r="G43" s="23" t="n"/>
      <c r="H43" s="24" t="n"/>
    </row>
    <row r="44" ht="25.5" customHeight="1" s="2">
      <c r="B44" s="16" t="inlineStr">
        <is>
          <t>Sandbagger · Chemistry · Clutch · Pythagorean Luck · Form Guide · MVP Hall of Fame · Nemesis &amp; Patsy · Streak Tracker</t>
        </is>
      </c>
      <c r="C44" s="21" t="inlineStr">
        <is>
          <t>Recompute</t>
        </is>
      </c>
      <c r="D44" s="3" t="inlineStr">
        <is>
          <t>Ask Claude — computed analytics (same as CAPA).</t>
        </is>
      </c>
      <c r="E44" s="23" t="n"/>
      <c r="F44" s="23" t="n"/>
      <c r="G44" s="23" t="n"/>
      <c r="H44" s="23" t="n"/>
    </row>
    <row r="45" ht="25.5" customHeight="1" s="2">
      <c r="B45" s="18" t="inlineStr">
        <is>
          <t>Cups</t>
        </is>
      </c>
      <c r="C45" s="22" t="inlineStr">
        <is>
          <t>Manual</t>
        </is>
      </c>
      <c r="D45" s="18" t="inlineStr">
        <is>
          <t>New 1 / 0 / X column each cup.</t>
        </is>
      </c>
      <c r="E45" s="23" t="n"/>
      <c r="F45" s="23" t="n"/>
      <c r="G45" s="23" t="n"/>
      <c r="H45" s="24" t="n"/>
    </row>
    <row r="46" ht="25.5" customHeight="1" s="2">
      <c r="B46" s="16" t="inlineStr">
        <is>
          <t>Handicaps</t>
        </is>
      </c>
      <c r="C46" s="17" t="inlineStr">
        <is>
          <t>Manual</t>
        </is>
      </c>
      <c r="D46" s="16" t="inlineStr">
        <is>
          <t>New handicap-index column each cup.</t>
        </is>
      </c>
      <c r="E46" s="23" t="n"/>
      <c r="F46" s="23" t="n"/>
      <c r="G46" s="23" t="n"/>
      <c r="H46" s="24" t="n"/>
    </row>
    <row r="47" ht="25.5" customHeight="1" s="2">
      <c r="B47" s="18" t="inlineStr">
        <is>
          <t>Ratings</t>
        </is>
      </c>
      <c r="C47" s="22" t="inlineStr">
        <is>
          <t>Manual</t>
        </is>
      </c>
      <c r="D47" s="18" t="inlineStr">
        <is>
          <t>New venue-score row each cup.</t>
        </is>
      </c>
      <c r="E47" s="23" t="n"/>
      <c r="F47" s="23" t="n"/>
      <c r="G47" s="23" t="n"/>
      <c r="H47" s="24" t="n"/>
    </row>
    <row r="48" ht="30" customHeight="1" s="2">
      <c r="B48" s="16" t="inlineStr">
        <is>
          <t>Difficulty Graph</t>
        </is>
      </c>
      <c r="C48" s="17" t="inlineStr">
        <is>
          <t>Manual</t>
        </is>
      </c>
      <c r="D48" s="16" t="inlineStr">
        <is>
          <t>New course row(s) each cup.</t>
        </is>
      </c>
      <c r="E48" s="23" t="n"/>
      <c r="F48" s="23" t="n"/>
      <c r="G48" s="23" t="n"/>
      <c r="H48" s="24" t="n"/>
    </row>
    <row r="49" ht="34.5" customHeight="1" s="2">
      <c r="B49" s="18" t="inlineStr">
        <is>
          <t>Bounties · 7yrFund · Lifetime Mulligans · Cyber Monday · NHI</t>
        </is>
      </c>
      <c r="C49" s="22" t="inlineStr">
        <is>
          <t>Manual</t>
        </is>
      </c>
      <c r="D49" s="18" t="inlineStr">
        <is>
          <t>Maintain as you always have.</t>
        </is>
      </c>
      <c r="E49" s="23" t="n"/>
      <c r="F49" s="23" t="n"/>
      <c r="G49" s="23" t="n"/>
      <c r="H49" s="24" t="n"/>
    </row>
    <row r="50" ht="21.75" customHeight="1" s="2"/>
    <row r="51" ht="18" customHeight="1" s="2">
      <c r="B51" s="8" t="inlineStr">
        <is>
          <t xml:space="preserve">  NOTES</t>
        </is>
      </c>
    </row>
    <row r="52" ht="18" customHeight="1" s="2">
      <c r="B52" s="14" t="inlineStr">
        <is>
          <t xml:space="preserve">     •   Win % everywhere = (W + ½T) ÷ matches.</t>
        </is>
      </c>
    </row>
    <row r="53" ht="33" customHeight="1" s="2">
      <c r="B53" s="14" t="inlineStr">
        <is>
          <t xml:space="preserve">     •   The result column accepts lowercase “t”, but enter “T” for clean data.</t>
        </is>
      </c>
    </row>
    <row r="54" ht="33" customHeight="1" s="2">
      <c r="B54" s="14" t="inlineStr">
        <is>
          <t xml:space="preserve">     •   Three Archives columns — UniqueMatchID, SingleEntity, and the player-flag columns — are legacy/unused. Nothing reads them; you can ignore them.</t>
        </is>
      </c>
    </row>
    <row r="55" ht="6" customHeight="1" s="2">
      <c r="B55" s="14" t="inlineStr">
        <is>
          <t xml:space="preserve">     •   "Live" tabs recompute from Archives automatically. "Computed" tabs — CAPA and the eight analytics tabs — are refreshed by Claude.</t>
        </is>
      </c>
    </row>
    <row r="56" ht="13.5" customHeight="1" s="2"/>
    <row r="57" ht="21.75" customHeight="1" s="2">
      <c r="B57" s="25" t="inlineStr">
        <is>
          <t>Built June 2026 · current through FBC 12.</t>
        </is>
      </c>
    </row>
  </sheetData>
  <mergeCells count="47">
    <mergeCell ref="B9:H9"/>
    <mergeCell ref="B30:H30"/>
    <mergeCell ref="B24:H24"/>
    <mergeCell ref="B15:H15"/>
    <mergeCell ref="B33:H33"/>
    <mergeCell ref="D46:H46"/>
    <mergeCell ref="B5:H5"/>
    <mergeCell ref="B20:H20"/>
    <mergeCell ref="B51:H51"/>
    <mergeCell ref="D40:H40"/>
    <mergeCell ref="D36:H36"/>
    <mergeCell ref="D45:H45"/>
    <mergeCell ref="B32:H32"/>
    <mergeCell ref="B50:H50"/>
    <mergeCell ref="B35:H35"/>
    <mergeCell ref="B4:H4"/>
    <mergeCell ref="B54:H54"/>
    <mergeCell ref="D41:H41"/>
    <mergeCell ref="B16:H16"/>
    <mergeCell ref="B7:H7"/>
    <mergeCell ref="B25:H25"/>
    <mergeCell ref="D48:H48"/>
    <mergeCell ref="B31:H31"/>
    <mergeCell ref="B22:H22"/>
    <mergeCell ref="D47:H47"/>
    <mergeCell ref="B56:H56"/>
    <mergeCell ref="D43:H43"/>
    <mergeCell ref="B27:H27"/>
    <mergeCell ref="B52:H52"/>
    <mergeCell ref="B21:H21"/>
    <mergeCell ref="B18:H18"/>
    <mergeCell ref="B12:H12"/>
    <mergeCell ref="D37:H37"/>
    <mergeCell ref="B2:H2"/>
    <mergeCell ref="B11:H11"/>
    <mergeCell ref="B23:H23"/>
    <mergeCell ref="B14:H14"/>
    <mergeCell ref="D39:H39"/>
    <mergeCell ref="B8:H8"/>
    <mergeCell ref="B17:H17"/>
    <mergeCell ref="B1:H1"/>
    <mergeCell ref="B53:H53"/>
    <mergeCell ref="D42:H42"/>
    <mergeCell ref="D38:H38"/>
    <mergeCell ref="B10:H10"/>
    <mergeCell ref="B28:H28"/>
    <mergeCell ref="D44:H4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871"/>
  <sheetViews>
    <sheetView topLeftCell="A769" zoomScaleNormal="100" workbookViewId="0">
      <selection activeCell="G560" sqref="G560"/>
    </sheetView>
  </sheetViews>
  <sheetFormatPr baseColWidth="10" defaultColWidth="8.83203125" defaultRowHeight="15"/>
  <cols>
    <col width="26" customWidth="1" style="2" min="7" max="7"/>
    <col width="16.33203125" customWidth="1" style="2" min="13" max="13"/>
  </cols>
  <sheetData>
    <row r="1" ht="15" customHeight="1" s="2">
      <c r="A1" s="26" t="n"/>
      <c r="B1" s="26" t="inlineStr">
        <is>
          <t>Match #</t>
        </is>
      </c>
      <c r="C1" s="26" t="inlineStr">
        <is>
          <t>Match of Session</t>
        </is>
      </c>
      <c r="D1" s="26" t="inlineStr">
        <is>
          <t>FBC</t>
        </is>
      </c>
      <c r="E1" s="26" t="inlineStr">
        <is>
          <t>UniqueMatchID</t>
        </is>
      </c>
      <c r="F1" s="26" t="inlineStr">
        <is>
          <t>Day</t>
        </is>
      </c>
      <c r="G1" s="26" t="inlineStr">
        <is>
          <t>Date</t>
        </is>
      </c>
      <c r="H1" s="26" t="inlineStr">
        <is>
          <t>AM/PM</t>
        </is>
      </c>
      <c r="I1" s="26" t="inlineStr">
        <is>
          <t>Geographic Location</t>
        </is>
      </c>
      <c r="J1" s="26" t="inlineStr">
        <is>
          <t>Region</t>
        </is>
      </c>
      <c r="K1" s="26" t="inlineStr">
        <is>
          <t>Holes</t>
        </is>
      </c>
      <c r="L1" s="26" t="inlineStr">
        <is>
          <t>Front / Back / Full</t>
        </is>
      </c>
      <c r="M1" s="26" t="inlineStr">
        <is>
          <t>Course</t>
        </is>
      </c>
      <c r="N1" s="26" t="inlineStr">
        <is>
          <t>Tees</t>
        </is>
      </c>
      <c r="O1" s="26" t="inlineStr">
        <is>
          <t>Rating</t>
        </is>
      </c>
      <c r="P1" s="26" t="inlineStr">
        <is>
          <t>Slope</t>
        </is>
      </c>
      <c r="Q1" s="26" t="inlineStr">
        <is>
          <t>Yds</t>
        </is>
      </c>
      <c r="R1" s="26" t="inlineStr">
        <is>
          <t>Format</t>
        </is>
      </c>
      <c r="S1" s="26" t="inlineStr">
        <is>
          <t>Singles/Doubles</t>
        </is>
      </c>
      <c r="T1" s="26" t="inlineStr">
        <is>
          <t>Captain Size</t>
        </is>
      </c>
      <c r="U1" s="26" t="inlineStr">
        <is>
          <t>Team</t>
        </is>
      </c>
      <c r="V1" s="26" t="inlineStr">
        <is>
          <t>Player 1</t>
        </is>
      </c>
      <c r="W1" s="26" t="inlineStr">
        <is>
          <t>Shirt</t>
        </is>
      </c>
      <c r="X1" s="26" t="inlineStr">
        <is>
          <t>Player 1 HCP</t>
        </is>
      </c>
      <c r="Y1" s="26" t="inlineStr">
        <is>
          <t>Player 2</t>
        </is>
      </c>
      <c r="Z1" s="26" t="inlineStr">
        <is>
          <t>Player 2 HCP</t>
        </is>
      </c>
      <c r="AA1" s="26" t="inlineStr">
        <is>
          <t>Points at stake</t>
        </is>
      </c>
      <c r="AB1" s="26" t="inlineStr">
        <is>
          <t>W/L/T</t>
        </is>
      </c>
      <c r="AC1" s="26" t="inlineStr">
        <is>
          <t>Result</t>
        </is>
      </c>
      <c r="AD1" s="26" t="inlineStr">
        <is>
          <t>Singles Opponent</t>
        </is>
      </c>
      <c r="AE1" s="26" t="inlineStr">
        <is>
          <t>SingleEntity</t>
        </is>
      </c>
      <c r="AF1" s="26" t="inlineStr">
        <is>
          <t>Points earned</t>
        </is>
      </c>
      <c r="AG1" s="26" t="inlineStr">
        <is>
          <t>W</t>
        </is>
      </c>
      <c r="AH1" s="26" t="inlineStr">
        <is>
          <t>L</t>
        </is>
      </c>
      <c r="AI1" s="26" t="inlineStr">
        <is>
          <t>T</t>
        </is>
      </c>
      <c r="AJ1" s="26" t="inlineStr">
        <is>
          <t>W%</t>
        </is>
      </c>
      <c r="AK1" s="26" t="inlineStr">
        <is>
          <t>Opponent1</t>
        </is>
      </c>
      <c r="AL1" s="26" t="inlineStr">
        <is>
          <t>Opponent1 Win%</t>
        </is>
      </c>
      <c r="AM1" s="26" t="inlineStr">
        <is>
          <t>Opponent2</t>
        </is>
      </c>
      <c r="AN1" s="26" t="inlineStr">
        <is>
          <t>Opponent2 Win%</t>
        </is>
      </c>
    </row>
    <row r="2" ht="15" customHeight="1" s="2">
      <c r="B2" t="n">
        <v>1</v>
      </c>
      <c r="C2" t="n">
        <v>1</v>
      </c>
      <c r="D2" t="n">
        <v>1</v>
      </c>
      <c r="E2" t="inlineStr">
        <is>
          <t>FBC1-D1</t>
        </is>
      </c>
      <c r="F2" t="inlineStr">
        <is>
          <t>Saturday</t>
        </is>
      </c>
      <c r="G2" s="27" t="n">
        <v>41447</v>
      </c>
      <c r="H2" t="inlineStr">
        <is>
          <t>AM</t>
        </is>
      </c>
      <c r="I2" t="inlineStr">
        <is>
          <t>Saratoga, NY</t>
        </is>
      </c>
      <c r="J2" t="inlineStr">
        <is>
          <t>Northeast</t>
        </is>
      </c>
      <c r="K2" t="n">
        <v>9</v>
      </c>
      <c r="L2" t="inlineStr">
        <is>
          <t>Front</t>
        </is>
      </c>
      <c r="M2" t="inlineStr">
        <is>
          <t>Saratoga National</t>
        </is>
      </c>
      <c r="N2" t="inlineStr">
        <is>
          <t>White</t>
        </is>
      </c>
      <c r="O2" t="n">
        <v>71.3</v>
      </c>
      <c r="P2" t="n">
        <v>130</v>
      </c>
      <c r="Q2" t="n">
        <v>6225</v>
      </c>
      <c r="R2" t="inlineStr">
        <is>
          <t>Best Ball</t>
        </is>
      </c>
      <c r="S2" t="inlineStr">
        <is>
          <t>Doubles</t>
        </is>
      </c>
      <c r="T2" t="inlineStr">
        <is>
          <t>Under 6'</t>
        </is>
      </c>
      <c r="U2" t="inlineStr">
        <is>
          <t>Jackson</t>
        </is>
      </c>
      <c r="V2" t="inlineStr">
        <is>
          <t>Grise</t>
        </is>
      </c>
      <c r="W2" t="inlineStr">
        <is>
          <t>White</t>
        </is>
      </c>
      <c r="X2" t="n">
        <v>15</v>
      </c>
      <c r="Y2" t="inlineStr">
        <is>
          <t>Hickerson</t>
        </is>
      </c>
      <c r="Z2" t="n">
        <v>20</v>
      </c>
      <c r="AA2" t="n">
        <v>1</v>
      </c>
      <c r="AB2" t="inlineStr">
        <is>
          <t>W</t>
        </is>
      </c>
      <c r="AC2" t="inlineStr">
        <is>
          <t>3 &amp; 2</t>
        </is>
      </c>
      <c r="AE2">
        <f>$V2&amp;$Y2</f>
        <v/>
      </c>
      <c r="AF2" t="n">
        <v>1</v>
      </c>
      <c r="AG2" t="n">
        <v>1</v>
      </c>
      <c r="AH2" t="n">
        <v>0</v>
      </c>
      <c r="AI2" t="n">
        <v>0</v>
      </c>
      <c r="AJ2" t="n">
        <v>1</v>
      </c>
      <c r="AK2" t="inlineStr">
        <is>
          <t>Hilts</t>
        </is>
      </c>
      <c r="AL2" t="n">
        <v>0.473214285714286</v>
      </c>
      <c r="AM2" t="inlineStr">
        <is>
          <t>Lynch</t>
        </is>
      </c>
      <c r="AN2" t="n">
        <v>0.5546875</v>
      </c>
    </row>
    <row r="3" ht="15" customHeight="1" s="2">
      <c r="B3" t="n">
        <v>1</v>
      </c>
      <c r="C3" t="n">
        <v>1</v>
      </c>
      <c r="D3" t="n">
        <v>1</v>
      </c>
      <c r="E3" t="inlineStr">
        <is>
          <t>FBC1-D1</t>
        </is>
      </c>
      <c r="F3" t="inlineStr">
        <is>
          <t>Saturday</t>
        </is>
      </c>
      <c r="G3" s="27" t="n">
        <v>41447</v>
      </c>
      <c r="H3" t="inlineStr">
        <is>
          <t>AM</t>
        </is>
      </c>
      <c r="I3" t="inlineStr">
        <is>
          <t>Saratoga, NY</t>
        </is>
      </c>
      <c r="J3" t="inlineStr">
        <is>
          <t>Northeast</t>
        </is>
      </c>
      <c r="K3" t="n">
        <v>9</v>
      </c>
      <c r="L3" t="inlineStr">
        <is>
          <t>Front</t>
        </is>
      </c>
      <c r="M3" t="inlineStr">
        <is>
          <t>Saratoga National</t>
        </is>
      </c>
      <c r="N3" t="inlineStr">
        <is>
          <t>White</t>
        </is>
      </c>
      <c r="O3" t="n">
        <v>71.3</v>
      </c>
      <c r="P3" t="n">
        <v>130</v>
      </c>
      <c r="Q3" t="n">
        <v>6225</v>
      </c>
      <c r="R3" t="inlineStr">
        <is>
          <t>Best Ball</t>
        </is>
      </c>
      <c r="S3" t="inlineStr">
        <is>
          <t>Doubles</t>
        </is>
      </c>
      <c r="T3" t="inlineStr">
        <is>
          <t>Over 6'</t>
        </is>
      </c>
      <c r="U3" t="inlineStr">
        <is>
          <t>Hilts</t>
        </is>
      </c>
      <c r="V3" t="inlineStr">
        <is>
          <t>Hilts</t>
        </is>
      </c>
      <c r="W3" t="inlineStr">
        <is>
          <t>Red</t>
        </is>
      </c>
      <c r="X3" t="n">
        <v>18</v>
      </c>
      <c r="Y3" t="inlineStr">
        <is>
          <t>Lynch</t>
        </is>
      </c>
      <c r="Z3" t="n">
        <v>20</v>
      </c>
      <c r="AA3" t="n">
        <v>1</v>
      </c>
      <c r="AB3" t="inlineStr">
        <is>
          <t>L</t>
        </is>
      </c>
      <c r="AC3" t="inlineStr">
        <is>
          <t>3 &amp; 2</t>
        </is>
      </c>
      <c r="AE3">
        <f>$V3&amp;$Y3</f>
        <v/>
      </c>
      <c r="AF3" t="n">
        <v>0</v>
      </c>
      <c r="AG3" t="n">
        <v>0</v>
      </c>
      <c r="AH3" t="n">
        <v>1</v>
      </c>
      <c r="AI3" t="n">
        <v>0</v>
      </c>
      <c r="AJ3" t="n">
        <v>0</v>
      </c>
      <c r="AK3" t="inlineStr">
        <is>
          <t>Grise</t>
        </is>
      </c>
      <c r="AL3" t="n">
        <v>0.546875</v>
      </c>
      <c r="AM3" t="inlineStr">
        <is>
          <t>Hickerson</t>
        </is>
      </c>
      <c r="AN3" t="n">
        <v>0.357142857142857</v>
      </c>
    </row>
    <row r="4" ht="15" customHeight="1" s="2">
      <c r="B4" t="n">
        <v>2</v>
      </c>
      <c r="C4" t="n">
        <v>2</v>
      </c>
      <c r="D4" t="n">
        <v>1</v>
      </c>
      <c r="E4" t="inlineStr">
        <is>
          <t>FBC1-D2</t>
        </is>
      </c>
      <c r="F4" t="inlineStr">
        <is>
          <t>Saturday</t>
        </is>
      </c>
      <c r="G4" s="27" t="n">
        <v>41447</v>
      </c>
      <c r="H4" t="inlineStr">
        <is>
          <t>AM</t>
        </is>
      </c>
      <c r="I4" t="inlineStr">
        <is>
          <t>Saratoga, NY</t>
        </is>
      </c>
      <c r="J4" t="inlineStr">
        <is>
          <t>Northeast</t>
        </is>
      </c>
      <c r="K4" t="n">
        <v>9</v>
      </c>
      <c r="L4" t="inlineStr">
        <is>
          <t>Front</t>
        </is>
      </c>
      <c r="M4" t="inlineStr">
        <is>
          <t>Saratoga National</t>
        </is>
      </c>
      <c r="N4" t="inlineStr">
        <is>
          <t>White</t>
        </is>
      </c>
      <c r="O4" t="n">
        <v>71.3</v>
      </c>
      <c r="P4" t="n">
        <v>130</v>
      </c>
      <c r="Q4" t="n">
        <v>6225</v>
      </c>
      <c r="R4" t="inlineStr">
        <is>
          <t>Best Ball</t>
        </is>
      </c>
      <c r="S4" t="inlineStr">
        <is>
          <t>Doubles</t>
        </is>
      </c>
      <c r="T4" t="inlineStr">
        <is>
          <t>Under 6'</t>
        </is>
      </c>
      <c r="U4" t="inlineStr">
        <is>
          <t>Jackson</t>
        </is>
      </c>
      <c r="V4" t="inlineStr">
        <is>
          <t>Ferrin</t>
        </is>
      </c>
      <c r="W4" t="inlineStr">
        <is>
          <t>White</t>
        </is>
      </c>
      <c r="X4" t="n">
        <v>28</v>
      </c>
      <c r="Y4" t="inlineStr">
        <is>
          <t>Jackson</t>
        </is>
      </c>
      <c r="Z4" t="n">
        <v>15</v>
      </c>
      <c r="AA4" t="n">
        <v>1</v>
      </c>
      <c r="AB4" t="inlineStr">
        <is>
          <t>W</t>
        </is>
      </c>
      <c r="AC4" t="inlineStr">
        <is>
          <t>2 &amp; 1</t>
        </is>
      </c>
      <c r="AE4">
        <f>$V4&amp;$Y4</f>
        <v/>
      </c>
      <c r="AF4" t="n">
        <v>1</v>
      </c>
      <c r="AG4" t="n">
        <v>1</v>
      </c>
      <c r="AH4" t="n">
        <v>0</v>
      </c>
      <c r="AI4" t="n">
        <v>0</v>
      </c>
      <c r="AJ4" t="n">
        <v>1</v>
      </c>
      <c r="AK4" t="inlineStr">
        <is>
          <t>Macklin</t>
        </is>
      </c>
      <c r="AL4" t="n">
        <v>0.3</v>
      </c>
      <c r="AM4" t="inlineStr">
        <is>
          <t>Poirier</t>
        </is>
      </c>
      <c r="AN4" t="n">
        <v>0.486111111111111</v>
      </c>
    </row>
    <row r="5" ht="15" customHeight="1" s="2">
      <c r="B5" t="n">
        <v>2</v>
      </c>
      <c r="C5" t="n">
        <v>2</v>
      </c>
      <c r="D5" t="n">
        <v>1</v>
      </c>
      <c r="E5" t="inlineStr">
        <is>
          <t>FBC1-D2</t>
        </is>
      </c>
      <c r="F5" t="inlineStr">
        <is>
          <t>Saturday</t>
        </is>
      </c>
      <c r="G5" s="27" t="n">
        <v>41447</v>
      </c>
      <c r="H5" t="inlineStr">
        <is>
          <t>AM</t>
        </is>
      </c>
      <c r="I5" t="inlineStr">
        <is>
          <t>Saratoga, NY</t>
        </is>
      </c>
      <c r="J5" t="inlineStr">
        <is>
          <t>Northeast</t>
        </is>
      </c>
      <c r="K5" t="n">
        <v>9</v>
      </c>
      <c r="L5" t="inlineStr">
        <is>
          <t>Front</t>
        </is>
      </c>
      <c r="M5" t="inlineStr">
        <is>
          <t>Saratoga National</t>
        </is>
      </c>
      <c r="N5" t="inlineStr">
        <is>
          <t>White</t>
        </is>
      </c>
      <c r="O5" t="n">
        <v>71.3</v>
      </c>
      <c r="P5" t="n">
        <v>130</v>
      </c>
      <c r="Q5" t="n">
        <v>6225</v>
      </c>
      <c r="R5" t="inlineStr">
        <is>
          <t>Best Ball</t>
        </is>
      </c>
      <c r="S5" t="inlineStr">
        <is>
          <t>Doubles</t>
        </is>
      </c>
      <c r="T5" t="inlineStr">
        <is>
          <t>Over 6'</t>
        </is>
      </c>
      <c r="U5" t="inlineStr">
        <is>
          <t>Hilts</t>
        </is>
      </c>
      <c r="V5" t="inlineStr">
        <is>
          <t>Macklin</t>
        </is>
      </c>
      <c r="W5" t="inlineStr">
        <is>
          <t>Red</t>
        </is>
      </c>
      <c r="X5" t="n">
        <v>15</v>
      </c>
      <c r="Y5" t="inlineStr">
        <is>
          <t>Poirier</t>
        </is>
      </c>
      <c r="Z5" t="n">
        <v>10</v>
      </c>
      <c r="AA5" t="n">
        <v>1</v>
      </c>
      <c r="AB5" t="inlineStr">
        <is>
          <t>L</t>
        </is>
      </c>
      <c r="AC5" t="inlineStr">
        <is>
          <t>2 &amp; 1</t>
        </is>
      </c>
      <c r="AE5">
        <f>$V5&amp;$Y5</f>
        <v/>
      </c>
      <c r="AF5" t="n">
        <v>0</v>
      </c>
      <c r="AG5" t="n">
        <v>0</v>
      </c>
      <c r="AH5" t="n">
        <v>1</v>
      </c>
      <c r="AI5" t="n">
        <v>0</v>
      </c>
      <c r="AJ5" t="n">
        <v>0</v>
      </c>
      <c r="AK5" t="inlineStr">
        <is>
          <t>Ferrin</t>
        </is>
      </c>
      <c r="AL5" t="n">
        <v>0.595238095238095</v>
      </c>
      <c r="AM5" t="inlineStr">
        <is>
          <t>Jackson</t>
        </is>
      </c>
      <c r="AN5" t="n">
        <v>0.6171875</v>
      </c>
    </row>
    <row r="6" ht="15" customHeight="1" s="2">
      <c r="B6" t="n">
        <v>3</v>
      </c>
      <c r="C6" t="n">
        <v>3</v>
      </c>
      <c r="D6" t="n">
        <v>1</v>
      </c>
      <c r="E6" t="inlineStr">
        <is>
          <t>FBC1-D3</t>
        </is>
      </c>
      <c r="F6" t="inlineStr">
        <is>
          <t>Saturday</t>
        </is>
      </c>
      <c r="G6" s="27" t="n">
        <v>41447</v>
      </c>
      <c r="H6" t="inlineStr">
        <is>
          <t>AM</t>
        </is>
      </c>
      <c r="I6" t="inlineStr">
        <is>
          <t>Saratoga, NY</t>
        </is>
      </c>
      <c r="J6" t="inlineStr">
        <is>
          <t>Northeast</t>
        </is>
      </c>
      <c r="K6" t="n">
        <v>9</v>
      </c>
      <c r="L6" t="inlineStr">
        <is>
          <t>Front</t>
        </is>
      </c>
      <c r="M6" t="inlineStr">
        <is>
          <t>Saratoga National</t>
        </is>
      </c>
      <c r="N6" t="inlineStr">
        <is>
          <t>White</t>
        </is>
      </c>
      <c r="O6" t="n">
        <v>71.3</v>
      </c>
      <c r="P6" t="n">
        <v>130</v>
      </c>
      <c r="Q6" t="n">
        <v>6225</v>
      </c>
      <c r="R6" t="inlineStr">
        <is>
          <t>Best Ball</t>
        </is>
      </c>
      <c r="S6" t="inlineStr">
        <is>
          <t>Doubles</t>
        </is>
      </c>
      <c r="T6" t="inlineStr">
        <is>
          <t>Under 6'</t>
        </is>
      </c>
      <c r="U6" t="inlineStr">
        <is>
          <t>Jackson</t>
        </is>
      </c>
      <c r="V6" t="inlineStr">
        <is>
          <t>Flanders</t>
        </is>
      </c>
      <c r="W6" t="inlineStr">
        <is>
          <t>White</t>
        </is>
      </c>
      <c r="X6" t="n">
        <v>15</v>
      </c>
      <c r="Y6" t="inlineStr">
        <is>
          <t>Mangold</t>
        </is>
      </c>
      <c r="Z6" t="n">
        <v>15</v>
      </c>
      <c r="AA6" t="n">
        <v>1</v>
      </c>
      <c r="AB6" t="inlineStr">
        <is>
          <t>L</t>
        </is>
      </c>
      <c r="AC6" t="inlineStr">
        <is>
          <t>5 &amp; 4</t>
        </is>
      </c>
      <c r="AE6">
        <f>$V6&amp;$Y6</f>
        <v/>
      </c>
      <c r="AF6" t="n">
        <v>0</v>
      </c>
      <c r="AG6" t="n">
        <v>0</v>
      </c>
      <c r="AH6" t="n">
        <v>1</v>
      </c>
      <c r="AI6" t="n">
        <v>0</v>
      </c>
      <c r="AJ6" t="n">
        <v>0</v>
      </c>
      <c r="AK6" t="inlineStr">
        <is>
          <t>Connolly</t>
        </is>
      </c>
      <c r="AL6" t="n">
        <v>0.59375</v>
      </c>
      <c r="AM6" t="inlineStr">
        <is>
          <t>Shively</t>
        </is>
      </c>
    </row>
    <row r="7" ht="15" customHeight="1" s="2">
      <c r="B7" t="n">
        <v>3</v>
      </c>
      <c r="C7" t="n">
        <v>3</v>
      </c>
      <c r="D7" t="n">
        <v>1</v>
      </c>
      <c r="E7" t="inlineStr">
        <is>
          <t>FBC1-D3</t>
        </is>
      </c>
      <c r="F7" t="inlineStr">
        <is>
          <t>Saturday</t>
        </is>
      </c>
      <c r="G7" s="27" t="n">
        <v>41447</v>
      </c>
      <c r="H7" t="inlineStr">
        <is>
          <t>AM</t>
        </is>
      </c>
      <c r="I7" t="inlineStr">
        <is>
          <t>Saratoga, NY</t>
        </is>
      </c>
      <c r="J7" t="inlineStr">
        <is>
          <t>Northeast</t>
        </is>
      </c>
      <c r="K7" t="n">
        <v>9</v>
      </c>
      <c r="L7" t="inlineStr">
        <is>
          <t>Front</t>
        </is>
      </c>
      <c r="M7" t="inlineStr">
        <is>
          <t>Saratoga National</t>
        </is>
      </c>
      <c r="N7" t="inlineStr">
        <is>
          <t>White</t>
        </is>
      </c>
      <c r="O7" t="n">
        <v>71.3</v>
      </c>
      <c r="P7" t="n">
        <v>130</v>
      </c>
      <c r="Q7" t="n">
        <v>6225</v>
      </c>
      <c r="R7" t="inlineStr">
        <is>
          <t>Best Ball</t>
        </is>
      </c>
      <c r="S7" t="inlineStr">
        <is>
          <t>Doubles</t>
        </is>
      </c>
      <c r="T7" t="inlineStr">
        <is>
          <t>Over 6'</t>
        </is>
      </c>
      <c r="U7" t="inlineStr">
        <is>
          <t>Hilts</t>
        </is>
      </c>
      <c r="V7" t="inlineStr">
        <is>
          <t>Connolly</t>
        </is>
      </c>
      <c r="W7" t="inlineStr">
        <is>
          <t>Red</t>
        </is>
      </c>
      <c r="X7" t="n">
        <v>15</v>
      </c>
      <c r="Y7" t="inlineStr">
        <is>
          <t>Shively</t>
        </is>
      </c>
      <c r="Z7" t="n">
        <v>30</v>
      </c>
      <c r="AA7" t="n">
        <v>1</v>
      </c>
      <c r="AB7" t="inlineStr">
        <is>
          <t>W</t>
        </is>
      </c>
      <c r="AC7" t="inlineStr">
        <is>
          <t>5 &amp; 4</t>
        </is>
      </c>
      <c r="AE7">
        <f>$V7&amp;$Y7</f>
        <v/>
      </c>
      <c r="AF7" t="n">
        <v>1</v>
      </c>
      <c r="AG7" t="n">
        <v>1</v>
      </c>
      <c r="AH7" t="n">
        <v>0</v>
      </c>
      <c r="AI7" t="n">
        <v>0</v>
      </c>
      <c r="AJ7" t="n">
        <v>1</v>
      </c>
      <c r="AK7" t="inlineStr">
        <is>
          <t>Flanders</t>
        </is>
      </c>
      <c r="AL7" t="n">
        <v>0.4296875</v>
      </c>
      <c r="AM7" t="inlineStr">
        <is>
          <t>Mangold</t>
        </is>
      </c>
      <c r="AN7" t="n">
        <v>0.383928571428572</v>
      </c>
    </row>
    <row r="8" ht="15" customHeight="1" s="2">
      <c r="B8" t="n">
        <v>4</v>
      </c>
      <c r="C8" t="n">
        <v>1</v>
      </c>
      <c r="D8" t="n">
        <v>1</v>
      </c>
      <c r="E8" t="inlineStr">
        <is>
          <t>FBC1-D4</t>
        </is>
      </c>
      <c r="F8" t="inlineStr">
        <is>
          <t>Saturday</t>
        </is>
      </c>
      <c r="G8" s="27" t="n">
        <v>41447</v>
      </c>
      <c r="H8" t="inlineStr">
        <is>
          <t>AM</t>
        </is>
      </c>
      <c r="I8" t="inlineStr">
        <is>
          <t>Saratoga, NY</t>
        </is>
      </c>
      <c r="J8" t="inlineStr">
        <is>
          <t>Northeast</t>
        </is>
      </c>
      <c r="K8" t="n">
        <v>9</v>
      </c>
      <c r="L8" t="inlineStr">
        <is>
          <t>Back</t>
        </is>
      </c>
      <c r="M8" t="inlineStr">
        <is>
          <t>Saratoga National</t>
        </is>
      </c>
      <c r="N8" t="inlineStr">
        <is>
          <t>White</t>
        </is>
      </c>
      <c r="O8" t="n">
        <v>71.3</v>
      </c>
      <c r="P8" t="n">
        <v>130</v>
      </c>
      <c r="Q8" t="n">
        <v>6225</v>
      </c>
      <c r="R8" t="inlineStr">
        <is>
          <t>Scramble</t>
        </is>
      </c>
      <c r="S8" t="inlineStr">
        <is>
          <t>Doubles</t>
        </is>
      </c>
      <c r="T8" t="inlineStr">
        <is>
          <t>Under 6'</t>
        </is>
      </c>
      <c r="U8" t="inlineStr">
        <is>
          <t>Jackson</t>
        </is>
      </c>
      <c r="V8" t="inlineStr">
        <is>
          <t>Grise</t>
        </is>
      </c>
      <c r="W8" t="inlineStr">
        <is>
          <t>White</t>
        </is>
      </c>
      <c r="X8" t="n">
        <v>15</v>
      </c>
      <c r="Y8" t="inlineStr">
        <is>
          <t>Hickerson</t>
        </is>
      </c>
      <c r="Z8" t="n">
        <v>20</v>
      </c>
      <c r="AA8" t="n">
        <v>1</v>
      </c>
      <c r="AB8" t="inlineStr">
        <is>
          <t>T</t>
        </is>
      </c>
      <c r="AC8" t="inlineStr">
        <is>
          <t>Halved</t>
        </is>
      </c>
      <c r="AE8">
        <f>$V8&amp;$Y8</f>
        <v/>
      </c>
      <c r="AF8" t="n">
        <v>0.5</v>
      </c>
      <c r="AG8" t="n">
        <v>0</v>
      </c>
      <c r="AH8" t="n">
        <v>0</v>
      </c>
      <c r="AI8" t="n">
        <v>1</v>
      </c>
      <c r="AJ8" t="n">
        <v>0.5</v>
      </c>
      <c r="AK8" t="inlineStr">
        <is>
          <t>Hilts</t>
        </is>
      </c>
      <c r="AL8" t="n">
        <v>0.473214285714286</v>
      </c>
      <c r="AM8" t="inlineStr">
        <is>
          <t>Lynch</t>
        </is>
      </c>
      <c r="AN8" t="n">
        <v>0.5546875</v>
      </c>
    </row>
    <row r="9" ht="15" customHeight="1" s="2">
      <c r="B9" t="n">
        <v>4</v>
      </c>
      <c r="C9" t="n">
        <v>1</v>
      </c>
      <c r="D9" t="n">
        <v>1</v>
      </c>
      <c r="E9" t="inlineStr">
        <is>
          <t>FBC1-D4</t>
        </is>
      </c>
      <c r="F9" t="inlineStr">
        <is>
          <t>Saturday</t>
        </is>
      </c>
      <c r="G9" s="27" t="n">
        <v>41447</v>
      </c>
      <c r="H9" t="inlineStr">
        <is>
          <t>AM</t>
        </is>
      </c>
      <c r="I9" t="inlineStr">
        <is>
          <t>Saratoga, NY</t>
        </is>
      </c>
      <c r="J9" t="inlineStr">
        <is>
          <t>Northeast</t>
        </is>
      </c>
      <c r="K9" t="n">
        <v>9</v>
      </c>
      <c r="L9" t="inlineStr">
        <is>
          <t>Back</t>
        </is>
      </c>
      <c r="M9" t="inlineStr">
        <is>
          <t>Saratoga National</t>
        </is>
      </c>
      <c r="N9" t="inlineStr">
        <is>
          <t>White</t>
        </is>
      </c>
      <c r="O9" t="n">
        <v>71.3</v>
      </c>
      <c r="P9" t="n">
        <v>130</v>
      </c>
      <c r="Q9" t="n">
        <v>6225</v>
      </c>
      <c r="R9" t="inlineStr">
        <is>
          <t>Scramble</t>
        </is>
      </c>
      <c r="S9" t="inlineStr">
        <is>
          <t>Doubles</t>
        </is>
      </c>
      <c r="T9" t="inlineStr">
        <is>
          <t>Over 6'</t>
        </is>
      </c>
      <c r="U9" t="inlineStr">
        <is>
          <t>Hilts</t>
        </is>
      </c>
      <c r="V9" t="inlineStr">
        <is>
          <t>Hilts</t>
        </is>
      </c>
      <c r="W9" t="inlineStr">
        <is>
          <t>Red</t>
        </is>
      </c>
      <c r="X9" t="n">
        <v>18</v>
      </c>
      <c r="Y9" t="inlineStr">
        <is>
          <t>Lynch</t>
        </is>
      </c>
      <c r="Z9" t="n">
        <v>20</v>
      </c>
      <c r="AA9" t="n">
        <v>1</v>
      </c>
      <c r="AB9" t="inlineStr">
        <is>
          <t>T</t>
        </is>
      </c>
      <c r="AC9" t="inlineStr">
        <is>
          <t>Halved</t>
        </is>
      </c>
      <c r="AE9">
        <f>$V9&amp;$Y9</f>
        <v/>
      </c>
      <c r="AF9" t="n">
        <v>0.5</v>
      </c>
      <c r="AG9" t="n">
        <v>0</v>
      </c>
      <c r="AH9" t="n">
        <v>0</v>
      </c>
      <c r="AI9" t="n">
        <v>1</v>
      </c>
      <c r="AJ9" t="n">
        <v>0.5</v>
      </c>
      <c r="AK9" t="inlineStr">
        <is>
          <t>Grise</t>
        </is>
      </c>
      <c r="AL9" t="n">
        <v>0.546875</v>
      </c>
      <c r="AM9" t="inlineStr">
        <is>
          <t>Hickerson</t>
        </is>
      </c>
      <c r="AN9" t="n">
        <v>0.357142857142857</v>
      </c>
    </row>
    <row r="10" ht="15" customHeight="1" s="2">
      <c r="B10" t="n">
        <v>5</v>
      </c>
      <c r="C10" t="n">
        <v>2</v>
      </c>
      <c r="D10" t="n">
        <v>1</v>
      </c>
      <c r="E10" t="inlineStr">
        <is>
          <t>FBC1-D5</t>
        </is>
      </c>
      <c r="F10" t="inlineStr">
        <is>
          <t>Saturday</t>
        </is>
      </c>
      <c r="G10" s="27" t="n">
        <v>41447</v>
      </c>
      <c r="H10" t="inlineStr">
        <is>
          <t>AM</t>
        </is>
      </c>
      <c r="I10" t="inlineStr">
        <is>
          <t>Saratoga, NY</t>
        </is>
      </c>
      <c r="J10" t="inlineStr">
        <is>
          <t>Northeast</t>
        </is>
      </c>
      <c r="K10" t="n">
        <v>9</v>
      </c>
      <c r="L10" t="inlineStr">
        <is>
          <t>Back</t>
        </is>
      </c>
      <c r="M10" t="inlineStr">
        <is>
          <t>Saratoga National</t>
        </is>
      </c>
      <c r="N10" t="inlineStr">
        <is>
          <t>White</t>
        </is>
      </c>
      <c r="O10" t="n">
        <v>71.3</v>
      </c>
      <c r="P10" t="n">
        <v>130</v>
      </c>
      <c r="Q10" t="n">
        <v>6225</v>
      </c>
      <c r="R10" t="inlineStr">
        <is>
          <t>Scramble</t>
        </is>
      </c>
      <c r="S10" t="inlineStr">
        <is>
          <t>Doubles</t>
        </is>
      </c>
      <c r="T10" t="inlineStr">
        <is>
          <t>Under 6'</t>
        </is>
      </c>
      <c r="U10" t="inlineStr">
        <is>
          <t>Jackson</t>
        </is>
      </c>
      <c r="V10" t="inlineStr">
        <is>
          <t>Ferrin</t>
        </is>
      </c>
      <c r="W10" t="inlineStr">
        <is>
          <t>White</t>
        </is>
      </c>
      <c r="X10" t="n">
        <v>28</v>
      </c>
      <c r="Y10" t="inlineStr">
        <is>
          <t>Jackson</t>
        </is>
      </c>
      <c r="Z10" t="n">
        <v>15</v>
      </c>
      <c r="AA10" t="n">
        <v>1</v>
      </c>
      <c r="AB10" t="inlineStr">
        <is>
          <t>T</t>
        </is>
      </c>
      <c r="AC10" t="inlineStr">
        <is>
          <t>Halved</t>
        </is>
      </c>
      <c r="AE10">
        <f>$V10&amp;$Y10</f>
        <v/>
      </c>
      <c r="AF10" t="n">
        <v>0.5</v>
      </c>
      <c r="AG10" t="n">
        <v>0</v>
      </c>
      <c r="AH10" t="n">
        <v>0</v>
      </c>
      <c r="AI10" t="n">
        <v>1</v>
      </c>
      <c r="AJ10" t="n">
        <v>0.5</v>
      </c>
      <c r="AK10" t="inlineStr">
        <is>
          <t>Macklin</t>
        </is>
      </c>
      <c r="AL10" t="n">
        <v>0.3</v>
      </c>
      <c r="AM10" t="inlineStr">
        <is>
          <t>Poirier</t>
        </is>
      </c>
      <c r="AN10" t="n">
        <v>0.486111111111111</v>
      </c>
    </row>
    <row r="11" ht="15" customHeight="1" s="2">
      <c r="B11" t="n">
        <v>5</v>
      </c>
      <c r="C11" t="n">
        <v>2</v>
      </c>
      <c r="D11" t="n">
        <v>1</v>
      </c>
      <c r="E11" t="inlineStr">
        <is>
          <t>FBC1-D5</t>
        </is>
      </c>
      <c r="F11" t="inlineStr">
        <is>
          <t>Saturday</t>
        </is>
      </c>
      <c r="G11" s="27" t="n">
        <v>41447</v>
      </c>
      <c r="H11" t="inlineStr">
        <is>
          <t>AM</t>
        </is>
      </c>
      <c r="I11" t="inlineStr">
        <is>
          <t>Saratoga, NY</t>
        </is>
      </c>
      <c r="J11" t="inlineStr">
        <is>
          <t>Northeast</t>
        </is>
      </c>
      <c r="K11" t="n">
        <v>9</v>
      </c>
      <c r="L11" t="inlineStr">
        <is>
          <t>Back</t>
        </is>
      </c>
      <c r="M11" t="inlineStr">
        <is>
          <t>Saratoga National</t>
        </is>
      </c>
      <c r="N11" t="inlineStr">
        <is>
          <t>White</t>
        </is>
      </c>
      <c r="O11" t="n">
        <v>71.3</v>
      </c>
      <c r="P11" t="n">
        <v>130</v>
      </c>
      <c r="Q11" t="n">
        <v>6225</v>
      </c>
      <c r="R11" t="inlineStr">
        <is>
          <t>Scramble</t>
        </is>
      </c>
      <c r="S11" t="inlineStr">
        <is>
          <t>Doubles</t>
        </is>
      </c>
      <c r="T11" t="inlineStr">
        <is>
          <t>Over 6'</t>
        </is>
      </c>
      <c r="U11" t="inlineStr">
        <is>
          <t>Hilts</t>
        </is>
      </c>
      <c r="V11" t="inlineStr">
        <is>
          <t>Macklin</t>
        </is>
      </c>
      <c r="W11" t="inlineStr">
        <is>
          <t>Red</t>
        </is>
      </c>
      <c r="X11" t="n">
        <v>15</v>
      </c>
      <c r="Y11" t="inlineStr">
        <is>
          <t>Poirier</t>
        </is>
      </c>
      <c r="Z11" t="n">
        <v>10</v>
      </c>
      <c r="AA11" t="n">
        <v>1</v>
      </c>
      <c r="AB11" t="inlineStr">
        <is>
          <t>T</t>
        </is>
      </c>
      <c r="AC11" t="inlineStr">
        <is>
          <t>Halved</t>
        </is>
      </c>
      <c r="AE11">
        <f>$V11&amp;$Y11</f>
        <v/>
      </c>
      <c r="AF11" t="n">
        <v>0.5</v>
      </c>
      <c r="AG11" t="n">
        <v>0</v>
      </c>
      <c r="AH11" t="n">
        <v>0</v>
      </c>
      <c r="AI11" t="n">
        <v>1</v>
      </c>
      <c r="AJ11" t="n">
        <v>0.5</v>
      </c>
      <c r="AK11" t="inlineStr">
        <is>
          <t>Ferrin</t>
        </is>
      </c>
      <c r="AL11" t="n">
        <v>0.595238095238095</v>
      </c>
      <c r="AM11" t="inlineStr">
        <is>
          <t>Jackson</t>
        </is>
      </c>
      <c r="AN11" t="n">
        <v>0.6171875</v>
      </c>
    </row>
    <row r="12" ht="15" customHeight="1" s="2">
      <c r="B12" t="n">
        <v>6</v>
      </c>
      <c r="C12" t="n">
        <v>3</v>
      </c>
      <c r="D12" t="n">
        <v>1</v>
      </c>
      <c r="E12" t="inlineStr">
        <is>
          <t>FBC1-D6</t>
        </is>
      </c>
      <c r="F12" t="inlineStr">
        <is>
          <t>Saturday</t>
        </is>
      </c>
      <c r="G12" s="27" t="n">
        <v>41447</v>
      </c>
      <c r="H12" t="inlineStr">
        <is>
          <t>AM</t>
        </is>
      </c>
      <c r="I12" t="inlineStr">
        <is>
          <t>Saratoga, NY</t>
        </is>
      </c>
      <c r="J12" t="inlineStr">
        <is>
          <t>Northeast</t>
        </is>
      </c>
      <c r="K12" t="n">
        <v>9</v>
      </c>
      <c r="L12" t="inlineStr">
        <is>
          <t>Back</t>
        </is>
      </c>
      <c r="M12" t="inlineStr">
        <is>
          <t>Saratoga National</t>
        </is>
      </c>
      <c r="N12" t="inlineStr">
        <is>
          <t>White</t>
        </is>
      </c>
      <c r="O12" t="n">
        <v>71.3</v>
      </c>
      <c r="P12" t="n">
        <v>130</v>
      </c>
      <c r="Q12" t="n">
        <v>6225</v>
      </c>
      <c r="R12" t="inlineStr">
        <is>
          <t>Scramble</t>
        </is>
      </c>
      <c r="S12" t="inlineStr">
        <is>
          <t>Doubles</t>
        </is>
      </c>
      <c r="T12" t="inlineStr">
        <is>
          <t>Under 6'</t>
        </is>
      </c>
      <c r="U12" t="inlineStr">
        <is>
          <t>Jackson</t>
        </is>
      </c>
      <c r="V12" t="inlineStr">
        <is>
          <t>Flanders</t>
        </is>
      </c>
      <c r="W12" t="inlineStr">
        <is>
          <t>White</t>
        </is>
      </c>
      <c r="X12" t="n">
        <v>15</v>
      </c>
      <c r="Y12" t="inlineStr">
        <is>
          <t>Mangold</t>
        </is>
      </c>
      <c r="Z12" t="n">
        <v>15</v>
      </c>
      <c r="AA12" t="n">
        <v>1</v>
      </c>
      <c r="AB12" t="inlineStr">
        <is>
          <t>L</t>
        </is>
      </c>
      <c r="AC12" t="inlineStr">
        <is>
          <t>1UP</t>
        </is>
      </c>
      <c r="AE12">
        <f>$V12&amp;$Y12</f>
        <v/>
      </c>
      <c r="AF12" t="n">
        <v>0</v>
      </c>
      <c r="AG12" t="n">
        <v>0</v>
      </c>
      <c r="AH12" t="n">
        <v>1</v>
      </c>
      <c r="AI12" t="n">
        <v>0</v>
      </c>
      <c r="AJ12" t="n">
        <v>0</v>
      </c>
      <c r="AK12" t="inlineStr">
        <is>
          <t>Connolly</t>
        </is>
      </c>
      <c r="AL12" t="n">
        <v>0.59375</v>
      </c>
      <c r="AM12" t="inlineStr">
        <is>
          <t>Shively</t>
        </is>
      </c>
    </row>
    <row r="13" ht="15" customHeight="1" s="2">
      <c r="B13" t="n">
        <v>6</v>
      </c>
      <c r="C13" t="n">
        <v>3</v>
      </c>
      <c r="D13" t="n">
        <v>1</v>
      </c>
      <c r="E13" t="inlineStr">
        <is>
          <t>FBC1-D6</t>
        </is>
      </c>
      <c r="F13" t="inlineStr">
        <is>
          <t>Saturday</t>
        </is>
      </c>
      <c r="G13" s="27" t="n">
        <v>41447</v>
      </c>
      <c r="H13" t="inlineStr">
        <is>
          <t>AM</t>
        </is>
      </c>
      <c r="I13" t="inlineStr">
        <is>
          <t>Saratoga, NY</t>
        </is>
      </c>
      <c r="J13" t="inlineStr">
        <is>
          <t>Northeast</t>
        </is>
      </c>
      <c r="K13" t="n">
        <v>9</v>
      </c>
      <c r="L13" t="inlineStr">
        <is>
          <t>Back</t>
        </is>
      </c>
      <c r="M13" t="inlineStr">
        <is>
          <t>Saratoga National</t>
        </is>
      </c>
      <c r="N13" t="inlineStr">
        <is>
          <t>White</t>
        </is>
      </c>
      <c r="O13" t="n">
        <v>71.3</v>
      </c>
      <c r="P13" t="n">
        <v>130</v>
      </c>
      <c r="Q13" t="n">
        <v>6225</v>
      </c>
      <c r="R13" t="inlineStr">
        <is>
          <t>Scramble</t>
        </is>
      </c>
      <c r="S13" t="inlineStr">
        <is>
          <t>Doubles</t>
        </is>
      </c>
      <c r="T13" t="inlineStr">
        <is>
          <t>Over 6'</t>
        </is>
      </c>
      <c r="U13" t="inlineStr">
        <is>
          <t>Hilts</t>
        </is>
      </c>
      <c r="V13" t="inlineStr">
        <is>
          <t>Connolly</t>
        </is>
      </c>
      <c r="W13" t="inlineStr">
        <is>
          <t>Red</t>
        </is>
      </c>
      <c r="X13" t="n">
        <v>15</v>
      </c>
      <c r="Y13" t="inlineStr">
        <is>
          <t>Shively</t>
        </is>
      </c>
      <c r="Z13" t="n">
        <v>30</v>
      </c>
      <c r="AA13" t="n">
        <v>1</v>
      </c>
      <c r="AB13" t="inlineStr">
        <is>
          <t>W</t>
        </is>
      </c>
      <c r="AC13" t="inlineStr">
        <is>
          <t>1UP</t>
        </is>
      </c>
      <c r="AE13">
        <f>$V13&amp;$Y13</f>
        <v/>
      </c>
      <c r="AF13" t="n">
        <v>1</v>
      </c>
      <c r="AG13" t="n">
        <v>1</v>
      </c>
      <c r="AH13" t="n">
        <v>0</v>
      </c>
      <c r="AI13" t="n">
        <v>0</v>
      </c>
      <c r="AJ13" t="n">
        <v>1</v>
      </c>
      <c r="AK13" t="inlineStr">
        <is>
          <t>Flanders</t>
        </is>
      </c>
      <c r="AL13" t="n">
        <v>0.4296875</v>
      </c>
      <c r="AM13" t="inlineStr">
        <is>
          <t>Mangold</t>
        </is>
      </c>
      <c r="AN13" t="n">
        <v>0.383928571428572</v>
      </c>
    </row>
    <row r="14" ht="15" customHeight="1" s="2">
      <c r="B14" t="n">
        <v>7</v>
      </c>
      <c r="C14" t="n">
        <v>1</v>
      </c>
      <c r="D14" t="n">
        <v>1</v>
      </c>
      <c r="E14" t="inlineStr">
        <is>
          <t>FBC1-D7</t>
        </is>
      </c>
      <c r="F14" t="inlineStr">
        <is>
          <t>Saturday</t>
        </is>
      </c>
      <c r="G14" s="27" t="n">
        <v>41447</v>
      </c>
      <c r="H14" t="inlineStr">
        <is>
          <t>PM</t>
        </is>
      </c>
      <c r="I14" t="inlineStr">
        <is>
          <t>Saratoga, NY</t>
        </is>
      </c>
      <c r="J14" t="inlineStr">
        <is>
          <t>Northeast</t>
        </is>
      </c>
      <c r="K14" t="n">
        <v>9</v>
      </c>
      <c r="L14" t="inlineStr">
        <is>
          <t>Front</t>
        </is>
      </c>
      <c r="M14" t="inlineStr">
        <is>
          <t>Saratoga National</t>
        </is>
      </c>
      <c r="N14" t="inlineStr">
        <is>
          <t>White</t>
        </is>
      </c>
      <c r="O14" t="n">
        <v>71.3</v>
      </c>
      <c r="P14" t="n">
        <v>130</v>
      </c>
      <c r="Q14" t="n">
        <v>6225</v>
      </c>
      <c r="R14" t="inlineStr">
        <is>
          <t>Pinehurst</t>
        </is>
      </c>
      <c r="S14" t="inlineStr">
        <is>
          <t>Doubles</t>
        </is>
      </c>
      <c r="T14" t="inlineStr">
        <is>
          <t>Over 6'</t>
        </is>
      </c>
      <c r="U14" t="inlineStr">
        <is>
          <t>Hilts</t>
        </is>
      </c>
      <c r="V14" t="inlineStr">
        <is>
          <t>Macklin</t>
        </is>
      </c>
      <c r="W14" t="inlineStr">
        <is>
          <t>Red</t>
        </is>
      </c>
      <c r="X14" t="n">
        <v>15</v>
      </c>
      <c r="Y14" t="inlineStr">
        <is>
          <t>Poirier</t>
        </is>
      </c>
      <c r="Z14" t="n">
        <v>10</v>
      </c>
      <c r="AA14" t="n">
        <v>1</v>
      </c>
      <c r="AB14" t="inlineStr">
        <is>
          <t>W</t>
        </is>
      </c>
      <c r="AC14" t="inlineStr">
        <is>
          <t>2 &amp; 1</t>
        </is>
      </c>
      <c r="AE14">
        <f>$V14&amp;$Y14</f>
        <v/>
      </c>
      <c r="AF14" t="n">
        <v>1</v>
      </c>
      <c r="AG14" t="n">
        <v>1</v>
      </c>
      <c r="AH14" t="n">
        <v>0</v>
      </c>
      <c r="AI14" t="n">
        <v>0</v>
      </c>
      <c r="AJ14" t="n">
        <v>1</v>
      </c>
      <c r="AK14" t="inlineStr">
        <is>
          <t>Grise</t>
        </is>
      </c>
      <c r="AL14" t="n">
        <v>0.546875</v>
      </c>
      <c r="AM14" t="inlineStr">
        <is>
          <t>Hickerson</t>
        </is>
      </c>
      <c r="AN14" t="n">
        <v>0.357142857142857</v>
      </c>
    </row>
    <row r="15" ht="15" customHeight="1" s="2">
      <c r="B15" t="n">
        <v>7</v>
      </c>
      <c r="C15" t="n">
        <v>1</v>
      </c>
      <c r="D15" t="n">
        <v>1</v>
      </c>
      <c r="E15" t="inlineStr">
        <is>
          <t>FBC1-D7</t>
        </is>
      </c>
      <c r="F15" t="inlineStr">
        <is>
          <t>Saturday</t>
        </is>
      </c>
      <c r="G15" s="27" t="n">
        <v>41447</v>
      </c>
      <c r="H15" t="inlineStr">
        <is>
          <t>PM</t>
        </is>
      </c>
      <c r="I15" t="inlineStr">
        <is>
          <t>Saratoga, NY</t>
        </is>
      </c>
      <c r="J15" t="inlineStr">
        <is>
          <t>Northeast</t>
        </is>
      </c>
      <c r="K15" t="n">
        <v>9</v>
      </c>
      <c r="L15" t="inlineStr">
        <is>
          <t>Front</t>
        </is>
      </c>
      <c r="M15" t="inlineStr">
        <is>
          <t>Saratoga National</t>
        </is>
      </c>
      <c r="N15" t="inlineStr">
        <is>
          <t>White</t>
        </is>
      </c>
      <c r="O15" t="n">
        <v>71.3</v>
      </c>
      <c r="P15" t="n">
        <v>130</v>
      </c>
      <c r="Q15" t="n">
        <v>6225</v>
      </c>
      <c r="R15" t="inlineStr">
        <is>
          <t>Pinehurst</t>
        </is>
      </c>
      <c r="S15" t="inlineStr">
        <is>
          <t>Doubles</t>
        </is>
      </c>
      <c r="T15" t="inlineStr">
        <is>
          <t>Under 6'</t>
        </is>
      </c>
      <c r="U15" t="inlineStr">
        <is>
          <t>Jackson</t>
        </is>
      </c>
      <c r="V15" t="inlineStr">
        <is>
          <t>Grise</t>
        </is>
      </c>
      <c r="W15" t="inlineStr">
        <is>
          <t>White</t>
        </is>
      </c>
      <c r="X15" t="n">
        <v>15</v>
      </c>
      <c r="Y15" t="inlineStr">
        <is>
          <t>Hickerson</t>
        </is>
      </c>
      <c r="Z15" t="n">
        <v>20</v>
      </c>
      <c r="AA15" t="n">
        <v>1</v>
      </c>
      <c r="AB15" t="inlineStr">
        <is>
          <t>L</t>
        </is>
      </c>
      <c r="AC15" t="inlineStr">
        <is>
          <t>2 &amp; 1</t>
        </is>
      </c>
      <c r="AE15">
        <f>$V15&amp;$Y15</f>
        <v/>
      </c>
      <c r="AF15" t="n">
        <v>0</v>
      </c>
      <c r="AG15" t="n">
        <v>0</v>
      </c>
      <c r="AH15" t="n">
        <v>1</v>
      </c>
      <c r="AI15" t="n">
        <v>0</v>
      </c>
      <c r="AJ15" t="n">
        <v>0</v>
      </c>
      <c r="AK15" t="inlineStr">
        <is>
          <t>Macklin</t>
        </is>
      </c>
      <c r="AL15" t="n">
        <v>0.3</v>
      </c>
      <c r="AM15" t="inlineStr">
        <is>
          <t>Poirier</t>
        </is>
      </c>
      <c r="AN15" t="n">
        <v>0.486111111111111</v>
      </c>
    </row>
    <row r="16" ht="15" customHeight="1" s="2">
      <c r="B16" t="n">
        <v>8</v>
      </c>
      <c r="C16" t="n">
        <v>2</v>
      </c>
      <c r="D16" t="n">
        <v>1</v>
      </c>
      <c r="E16" t="inlineStr">
        <is>
          <t>FBC1-D8</t>
        </is>
      </c>
      <c r="F16" t="inlineStr">
        <is>
          <t>Saturday</t>
        </is>
      </c>
      <c r="G16" s="27" t="n">
        <v>41447</v>
      </c>
      <c r="H16" t="inlineStr">
        <is>
          <t>PM</t>
        </is>
      </c>
      <c r="I16" t="inlineStr">
        <is>
          <t>Saratoga, NY</t>
        </is>
      </c>
      <c r="J16" t="inlineStr">
        <is>
          <t>Northeast</t>
        </is>
      </c>
      <c r="K16" t="n">
        <v>9</v>
      </c>
      <c r="L16" t="inlineStr">
        <is>
          <t>Front</t>
        </is>
      </c>
      <c r="M16" t="inlineStr">
        <is>
          <t>Saratoga National</t>
        </is>
      </c>
      <c r="N16" t="inlineStr">
        <is>
          <t>White</t>
        </is>
      </c>
      <c r="O16" t="n">
        <v>71.3</v>
      </c>
      <c r="P16" t="n">
        <v>130</v>
      </c>
      <c r="Q16" t="n">
        <v>6225</v>
      </c>
      <c r="R16" t="inlineStr">
        <is>
          <t>Pinehurst</t>
        </is>
      </c>
      <c r="S16" t="inlineStr">
        <is>
          <t>Doubles</t>
        </is>
      </c>
      <c r="T16" t="inlineStr">
        <is>
          <t>Over 6'</t>
        </is>
      </c>
      <c r="U16" t="inlineStr">
        <is>
          <t>Hilts</t>
        </is>
      </c>
      <c r="V16" t="inlineStr">
        <is>
          <t>Hilts</t>
        </is>
      </c>
      <c r="W16" t="inlineStr">
        <is>
          <t>Red</t>
        </is>
      </c>
      <c r="X16" t="n">
        <v>18</v>
      </c>
      <c r="Y16" t="inlineStr">
        <is>
          <t>Lynch</t>
        </is>
      </c>
      <c r="Z16" t="n">
        <v>20</v>
      </c>
      <c r="AA16" t="n">
        <v>1</v>
      </c>
      <c r="AB16" t="inlineStr">
        <is>
          <t>L</t>
        </is>
      </c>
      <c r="AC16" t="inlineStr">
        <is>
          <t>3 &amp; 2</t>
        </is>
      </c>
      <c r="AE16">
        <f>$V16&amp;$Y16</f>
        <v/>
      </c>
      <c r="AF16" t="n">
        <v>0</v>
      </c>
      <c r="AG16" t="n">
        <v>0</v>
      </c>
      <c r="AH16" t="n">
        <v>1</v>
      </c>
      <c r="AI16" t="n">
        <v>0</v>
      </c>
      <c r="AJ16" t="n">
        <v>0</v>
      </c>
      <c r="AK16" t="inlineStr">
        <is>
          <t>Ferrin</t>
        </is>
      </c>
      <c r="AL16" t="n">
        <v>0.595238095238095</v>
      </c>
      <c r="AM16" t="inlineStr">
        <is>
          <t>Jackson</t>
        </is>
      </c>
      <c r="AN16" t="n">
        <v>0.6171875</v>
      </c>
    </row>
    <row r="17" ht="15" customHeight="1" s="2">
      <c r="B17" t="n">
        <v>8</v>
      </c>
      <c r="C17" t="n">
        <v>2</v>
      </c>
      <c r="D17" t="n">
        <v>1</v>
      </c>
      <c r="E17" t="inlineStr">
        <is>
          <t>FBC1-D8</t>
        </is>
      </c>
      <c r="F17" t="inlineStr">
        <is>
          <t>Saturday</t>
        </is>
      </c>
      <c r="G17" s="27" t="n">
        <v>41447</v>
      </c>
      <c r="H17" t="inlineStr">
        <is>
          <t>PM</t>
        </is>
      </c>
      <c r="I17" t="inlineStr">
        <is>
          <t>Saratoga, NY</t>
        </is>
      </c>
      <c r="J17" t="inlineStr">
        <is>
          <t>Northeast</t>
        </is>
      </c>
      <c r="K17" t="n">
        <v>9</v>
      </c>
      <c r="L17" t="inlineStr">
        <is>
          <t>Front</t>
        </is>
      </c>
      <c r="M17" t="inlineStr">
        <is>
          <t>Saratoga National</t>
        </is>
      </c>
      <c r="N17" t="inlineStr">
        <is>
          <t>White</t>
        </is>
      </c>
      <c r="O17" t="n">
        <v>71.3</v>
      </c>
      <c r="P17" t="n">
        <v>130</v>
      </c>
      <c r="Q17" t="n">
        <v>6225</v>
      </c>
      <c r="R17" t="inlineStr">
        <is>
          <t>Pinehurst</t>
        </is>
      </c>
      <c r="S17" t="inlineStr">
        <is>
          <t>Doubles</t>
        </is>
      </c>
      <c r="T17" t="inlineStr">
        <is>
          <t>Under 6'</t>
        </is>
      </c>
      <c r="U17" t="inlineStr">
        <is>
          <t>Jackson</t>
        </is>
      </c>
      <c r="V17" t="inlineStr">
        <is>
          <t>Ferrin</t>
        </is>
      </c>
      <c r="W17" t="inlineStr">
        <is>
          <t>White</t>
        </is>
      </c>
      <c r="X17" t="n">
        <v>28</v>
      </c>
      <c r="Y17" t="inlineStr">
        <is>
          <t>Jackson</t>
        </is>
      </c>
      <c r="Z17" t="n">
        <v>15</v>
      </c>
      <c r="AA17" t="n">
        <v>1</v>
      </c>
      <c r="AB17" t="inlineStr">
        <is>
          <t>W</t>
        </is>
      </c>
      <c r="AC17" t="inlineStr">
        <is>
          <t>3 &amp; 2</t>
        </is>
      </c>
      <c r="AE17">
        <f>$V17&amp;$Y17</f>
        <v/>
      </c>
      <c r="AF17" t="n">
        <v>1</v>
      </c>
      <c r="AG17" t="n">
        <v>1</v>
      </c>
      <c r="AH17" t="n">
        <v>0</v>
      </c>
      <c r="AI17" t="n">
        <v>0</v>
      </c>
      <c r="AJ17" t="n">
        <v>1</v>
      </c>
      <c r="AK17" t="inlineStr">
        <is>
          <t>Hilts</t>
        </is>
      </c>
      <c r="AL17" t="n">
        <v>0.473214285714286</v>
      </c>
      <c r="AM17" t="inlineStr">
        <is>
          <t>Lynch</t>
        </is>
      </c>
      <c r="AN17" t="n">
        <v>0.5546875</v>
      </c>
    </row>
    <row r="18" ht="15" customHeight="1" s="2">
      <c r="B18" t="n">
        <v>9</v>
      </c>
      <c r="C18" t="n">
        <v>3</v>
      </c>
      <c r="D18" t="n">
        <v>1</v>
      </c>
      <c r="E18" t="inlineStr">
        <is>
          <t>FBC1-D9</t>
        </is>
      </c>
      <c r="F18" t="inlineStr">
        <is>
          <t>Saturday</t>
        </is>
      </c>
      <c r="G18" s="27" t="n">
        <v>41447</v>
      </c>
      <c r="H18" t="inlineStr">
        <is>
          <t>PM</t>
        </is>
      </c>
      <c r="I18" t="inlineStr">
        <is>
          <t>Saratoga, NY</t>
        </is>
      </c>
      <c r="J18" t="inlineStr">
        <is>
          <t>Northeast</t>
        </is>
      </c>
      <c r="K18" t="n">
        <v>9</v>
      </c>
      <c r="L18" t="inlineStr">
        <is>
          <t>Front</t>
        </is>
      </c>
      <c r="M18" t="inlineStr">
        <is>
          <t>Saratoga National</t>
        </is>
      </c>
      <c r="N18" t="inlineStr">
        <is>
          <t>White</t>
        </is>
      </c>
      <c r="O18" t="n">
        <v>71.3</v>
      </c>
      <c r="P18" t="n">
        <v>130</v>
      </c>
      <c r="Q18" t="n">
        <v>6225</v>
      </c>
      <c r="R18" t="inlineStr">
        <is>
          <t>Pinehurst</t>
        </is>
      </c>
      <c r="S18" t="inlineStr">
        <is>
          <t>Doubles</t>
        </is>
      </c>
      <c r="T18" t="inlineStr">
        <is>
          <t>Over 6'</t>
        </is>
      </c>
      <c r="U18" t="inlineStr">
        <is>
          <t>Hilts</t>
        </is>
      </c>
      <c r="V18" t="inlineStr">
        <is>
          <t>Connolly</t>
        </is>
      </c>
      <c r="W18" t="inlineStr">
        <is>
          <t>Red</t>
        </is>
      </c>
      <c r="X18" t="n">
        <v>15</v>
      </c>
      <c r="Y18" t="inlineStr">
        <is>
          <t>Shively</t>
        </is>
      </c>
      <c r="Z18" t="n">
        <v>30</v>
      </c>
      <c r="AA18" t="n">
        <v>1</v>
      </c>
      <c r="AB18" t="inlineStr">
        <is>
          <t>W</t>
        </is>
      </c>
      <c r="AC18" t="inlineStr">
        <is>
          <t>5 &amp; 4</t>
        </is>
      </c>
      <c r="AE18">
        <f>$V18&amp;$Y18</f>
        <v/>
      </c>
      <c r="AF18" t="n">
        <v>1</v>
      </c>
      <c r="AG18" t="n">
        <v>1</v>
      </c>
      <c r="AH18" t="n">
        <v>0</v>
      </c>
      <c r="AI18" t="n">
        <v>0</v>
      </c>
      <c r="AJ18" t="n">
        <v>1</v>
      </c>
      <c r="AK18" t="inlineStr">
        <is>
          <t>Flanders</t>
        </is>
      </c>
      <c r="AL18" t="n">
        <v>0.4296875</v>
      </c>
      <c r="AM18" t="inlineStr">
        <is>
          <t>Mangold</t>
        </is>
      </c>
      <c r="AN18" t="n">
        <v>0.383928571428572</v>
      </c>
    </row>
    <row r="19" ht="15" customHeight="1" s="2">
      <c r="B19" t="n">
        <v>9</v>
      </c>
      <c r="C19" t="n">
        <v>3</v>
      </c>
      <c r="D19" t="n">
        <v>1</v>
      </c>
      <c r="E19" t="inlineStr">
        <is>
          <t>FBC1-D9</t>
        </is>
      </c>
      <c r="F19" t="inlineStr">
        <is>
          <t>Saturday</t>
        </is>
      </c>
      <c r="G19" s="27" t="n">
        <v>41447</v>
      </c>
      <c r="H19" t="inlineStr">
        <is>
          <t>PM</t>
        </is>
      </c>
      <c r="I19" t="inlineStr">
        <is>
          <t>Saratoga, NY</t>
        </is>
      </c>
      <c r="J19" t="inlineStr">
        <is>
          <t>Northeast</t>
        </is>
      </c>
      <c r="K19" t="n">
        <v>9</v>
      </c>
      <c r="L19" t="inlineStr">
        <is>
          <t>Front</t>
        </is>
      </c>
      <c r="M19" t="inlineStr">
        <is>
          <t>Saratoga National</t>
        </is>
      </c>
      <c r="N19" t="inlineStr">
        <is>
          <t>White</t>
        </is>
      </c>
      <c r="O19" t="n">
        <v>71.3</v>
      </c>
      <c r="P19" t="n">
        <v>130</v>
      </c>
      <c r="Q19" t="n">
        <v>6225</v>
      </c>
      <c r="R19" t="inlineStr">
        <is>
          <t>Pinehurst</t>
        </is>
      </c>
      <c r="S19" t="inlineStr">
        <is>
          <t>Doubles</t>
        </is>
      </c>
      <c r="T19" t="inlineStr">
        <is>
          <t>Under 6'</t>
        </is>
      </c>
      <c r="U19" t="inlineStr">
        <is>
          <t>Jackson</t>
        </is>
      </c>
      <c r="V19" t="inlineStr">
        <is>
          <t>Flanders</t>
        </is>
      </c>
      <c r="W19" t="inlineStr">
        <is>
          <t>White</t>
        </is>
      </c>
      <c r="X19" t="n">
        <v>15</v>
      </c>
      <c r="Y19" t="inlineStr">
        <is>
          <t>Mangold</t>
        </is>
      </c>
      <c r="Z19" t="n">
        <v>15</v>
      </c>
      <c r="AA19" t="n">
        <v>1</v>
      </c>
      <c r="AB19" t="inlineStr">
        <is>
          <t>L</t>
        </is>
      </c>
      <c r="AC19" t="inlineStr">
        <is>
          <t>5 &amp; 4</t>
        </is>
      </c>
      <c r="AE19">
        <f>$V19&amp;$Y19</f>
        <v/>
      </c>
      <c r="AF19" t="n">
        <v>0</v>
      </c>
      <c r="AG19" t="n">
        <v>0</v>
      </c>
      <c r="AH19" t="n">
        <v>1</v>
      </c>
      <c r="AI19" t="n">
        <v>0</v>
      </c>
      <c r="AJ19" t="n">
        <v>0</v>
      </c>
      <c r="AK19" t="inlineStr">
        <is>
          <t>Connolly</t>
        </is>
      </c>
      <c r="AL19" t="n">
        <v>0.59375</v>
      </c>
      <c r="AM19" t="inlineStr">
        <is>
          <t>Shively</t>
        </is>
      </c>
    </row>
    <row r="20" ht="15" customHeight="1" s="2">
      <c r="B20" t="n">
        <v>10</v>
      </c>
      <c r="C20" t="n">
        <v>1</v>
      </c>
      <c r="D20" t="n">
        <v>1</v>
      </c>
      <c r="E20" t="inlineStr">
        <is>
          <t>FBC1-D10</t>
        </is>
      </c>
      <c r="F20" t="inlineStr">
        <is>
          <t>Saturday</t>
        </is>
      </c>
      <c r="G20" s="27" t="n">
        <v>41447</v>
      </c>
      <c r="H20" t="inlineStr">
        <is>
          <t>PM</t>
        </is>
      </c>
      <c r="I20" t="inlineStr">
        <is>
          <t>Saratoga, NY</t>
        </is>
      </c>
      <c r="J20" t="inlineStr">
        <is>
          <t>Northeast</t>
        </is>
      </c>
      <c r="K20" t="n">
        <v>9</v>
      </c>
      <c r="L20" t="inlineStr">
        <is>
          <t>Back</t>
        </is>
      </c>
      <c r="M20" t="inlineStr">
        <is>
          <t>Saratoga National</t>
        </is>
      </c>
      <c r="N20" t="inlineStr">
        <is>
          <t>White</t>
        </is>
      </c>
      <c r="O20" t="n">
        <v>71.3</v>
      </c>
      <c r="P20" t="n">
        <v>130</v>
      </c>
      <c r="Q20" t="n">
        <v>6225</v>
      </c>
      <c r="R20" t="inlineStr">
        <is>
          <t>Best Ball</t>
        </is>
      </c>
      <c r="S20" t="inlineStr">
        <is>
          <t>Doubles</t>
        </is>
      </c>
      <c r="T20" t="inlineStr">
        <is>
          <t>Over 6'</t>
        </is>
      </c>
      <c r="U20" t="inlineStr">
        <is>
          <t>Hilts</t>
        </is>
      </c>
      <c r="V20" t="inlineStr">
        <is>
          <t>Macklin</t>
        </is>
      </c>
      <c r="W20" t="inlineStr">
        <is>
          <t>Red</t>
        </is>
      </c>
      <c r="X20" t="n">
        <v>15</v>
      </c>
      <c r="Y20" t="inlineStr">
        <is>
          <t>Poirier</t>
        </is>
      </c>
      <c r="Z20" t="n">
        <v>10</v>
      </c>
      <c r="AA20" t="n">
        <v>1</v>
      </c>
      <c r="AB20" t="inlineStr">
        <is>
          <t>L</t>
        </is>
      </c>
      <c r="AC20" t="inlineStr">
        <is>
          <t>2 &amp; 1</t>
        </is>
      </c>
      <c r="AE20">
        <f>$V20&amp;$Y20</f>
        <v/>
      </c>
      <c r="AF20" t="n">
        <v>0</v>
      </c>
      <c r="AG20" t="n">
        <v>0</v>
      </c>
      <c r="AH20" t="n">
        <v>1</v>
      </c>
      <c r="AI20" t="n">
        <v>0</v>
      </c>
      <c r="AJ20" t="n">
        <v>0</v>
      </c>
      <c r="AK20" t="inlineStr">
        <is>
          <t>Grise</t>
        </is>
      </c>
      <c r="AL20" t="n">
        <v>0.546875</v>
      </c>
      <c r="AM20" t="inlineStr">
        <is>
          <t>Hickerson</t>
        </is>
      </c>
      <c r="AN20" t="n">
        <v>0.357142857142857</v>
      </c>
    </row>
    <row r="21" ht="15" customHeight="1" s="2">
      <c r="B21" t="n">
        <v>10</v>
      </c>
      <c r="C21" t="n">
        <v>1</v>
      </c>
      <c r="D21" t="n">
        <v>1</v>
      </c>
      <c r="E21" t="inlineStr">
        <is>
          <t>FBC1-D10</t>
        </is>
      </c>
      <c r="F21" t="inlineStr">
        <is>
          <t>Saturday</t>
        </is>
      </c>
      <c r="G21" s="27" t="n">
        <v>41447</v>
      </c>
      <c r="H21" t="inlineStr">
        <is>
          <t>PM</t>
        </is>
      </c>
      <c r="I21" t="inlineStr">
        <is>
          <t>Saratoga, NY</t>
        </is>
      </c>
      <c r="J21" t="inlineStr">
        <is>
          <t>Northeast</t>
        </is>
      </c>
      <c r="K21" t="n">
        <v>9</v>
      </c>
      <c r="L21" t="inlineStr">
        <is>
          <t>Back</t>
        </is>
      </c>
      <c r="M21" t="inlineStr">
        <is>
          <t>Saratoga National</t>
        </is>
      </c>
      <c r="N21" t="inlineStr">
        <is>
          <t>White</t>
        </is>
      </c>
      <c r="O21" t="n">
        <v>71.3</v>
      </c>
      <c r="P21" t="n">
        <v>130</v>
      </c>
      <c r="Q21" t="n">
        <v>6225</v>
      </c>
      <c r="R21" t="inlineStr">
        <is>
          <t>Best Ball</t>
        </is>
      </c>
      <c r="S21" t="inlineStr">
        <is>
          <t>Doubles</t>
        </is>
      </c>
      <c r="T21" t="inlineStr">
        <is>
          <t>Under 6'</t>
        </is>
      </c>
      <c r="U21" t="inlineStr">
        <is>
          <t>Jackson</t>
        </is>
      </c>
      <c r="V21" t="inlineStr">
        <is>
          <t>Grise</t>
        </is>
      </c>
      <c r="W21" t="inlineStr">
        <is>
          <t>White</t>
        </is>
      </c>
      <c r="X21" t="n">
        <v>15</v>
      </c>
      <c r="Y21" t="inlineStr">
        <is>
          <t>Hickerson</t>
        </is>
      </c>
      <c r="Z21" t="n">
        <v>20</v>
      </c>
      <c r="AA21" t="n">
        <v>1</v>
      </c>
      <c r="AB21" t="inlineStr">
        <is>
          <t>W</t>
        </is>
      </c>
      <c r="AC21" t="inlineStr">
        <is>
          <t>2 &amp; 1</t>
        </is>
      </c>
      <c r="AE21">
        <f>$V21&amp;$Y21</f>
        <v/>
      </c>
      <c r="AF21" t="n">
        <v>1</v>
      </c>
      <c r="AG21" t="n">
        <v>1</v>
      </c>
      <c r="AH21" t="n">
        <v>0</v>
      </c>
      <c r="AI21" t="n">
        <v>0</v>
      </c>
      <c r="AJ21" t="n">
        <v>1</v>
      </c>
      <c r="AK21" t="inlineStr">
        <is>
          <t>Macklin</t>
        </is>
      </c>
      <c r="AL21" t="n">
        <v>0.3</v>
      </c>
      <c r="AM21" t="inlineStr">
        <is>
          <t>Poirier</t>
        </is>
      </c>
      <c r="AN21" t="n">
        <v>0.486111111111111</v>
      </c>
    </row>
    <row r="22" ht="15" customHeight="1" s="2">
      <c r="B22" t="n">
        <v>11</v>
      </c>
      <c r="C22" t="n">
        <v>2</v>
      </c>
      <c r="D22" t="n">
        <v>1</v>
      </c>
      <c r="E22" t="inlineStr">
        <is>
          <t>FBC1-D11</t>
        </is>
      </c>
      <c r="F22" t="inlineStr">
        <is>
          <t>Saturday</t>
        </is>
      </c>
      <c r="G22" s="27" t="n">
        <v>41447</v>
      </c>
      <c r="H22" t="inlineStr">
        <is>
          <t>PM</t>
        </is>
      </c>
      <c r="I22" t="inlineStr">
        <is>
          <t>Saratoga, NY</t>
        </is>
      </c>
      <c r="J22" t="inlineStr">
        <is>
          <t>Northeast</t>
        </is>
      </c>
      <c r="K22" t="n">
        <v>9</v>
      </c>
      <c r="L22" t="inlineStr">
        <is>
          <t>Back</t>
        </is>
      </c>
      <c r="M22" t="inlineStr">
        <is>
          <t>Saratoga National</t>
        </is>
      </c>
      <c r="N22" t="inlineStr">
        <is>
          <t>White</t>
        </is>
      </c>
      <c r="O22" t="n">
        <v>71.3</v>
      </c>
      <c r="P22" t="n">
        <v>130</v>
      </c>
      <c r="Q22" t="n">
        <v>6225</v>
      </c>
      <c r="R22" t="inlineStr">
        <is>
          <t>Best Ball</t>
        </is>
      </c>
      <c r="S22" t="inlineStr">
        <is>
          <t>Doubles</t>
        </is>
      </c>
      <c r="T22" t="inlineStr">
        <is>
          <t>Over 6'</t>
        </is>
      </c>
      <c r="U22" t="inlineStr">
        <is>
          <t>Hilts</t>
        </is>
      </c>
      <c r="V22" t="inlineStr">
        <is>
          <t>Hilts</t>
        </is>
      </c>
      <c r="W22" t="inlineStr">
        <is>
          <t>Red</t>
        </is>
      </c>
      <c r="X22" t="n">
        <v>18</v>
      </c>
      <c r="Y22" t="inlineStr">
        <is>
          <t>Lynch</t>
        </is>
      </c>
      <c r="Z22" t="n">
        <v>20</v>
      </c>
      <c r="AA22" t="n">
        <v>1</v>
      </c>
      <c r="AB22" t="inlineStr">
        <is>
          <t>L</t>
        </is>
      </c>
      <c r="AC22" t="inlineStr">
        <is>
          <t>2 Up</t>
        </is>
      </c>
      <c r="AE22">
        <f>$V22&amp;$Y22</f>
        <v/>
      </c>
      <c r="AF22" t="n">
        <v>0</v>
      </c>
      <c r="AG22" t="n">
        <v>0</v>
      </c>
      <c r="AH22" t="n">
        <v>1</v>
      </c>
      <c r="AI22" t="n">
        <v>0</v>
      </c>
      <c r="AJ22" t="n">
        <v>0</v>
      </c>
      <c r="AK22" t="inlineStr">
        <is>
          <t>Ferrin</t>
        </is>
      </c>
      <c r="AL22" t="n">
        <v>0.595238095238095</v>
      </c>
      <c r="AM22" t="inlineStr">
        <is>
          <t>Jackson</t>
        </is>
      </c>
      <c r="AN22" t="n">
        <v>0.6171875</v>
      </c>
    </row>
    <row r="23" ht="15" customHeight="1" s="2">
      <c r="B23" t="n">
        <v>11</v>
      </c>
      <c r="C23" t="n">
        <v>2</v>
      </c>
      <c r="D23" t="n">
        <v>1</v>
      </c>
      <c r="E23" t="inlineStr">
        <is>
          <t>FBC1-D11</t>
        </is>
      </c>
      <c r="F23" t="inlineStr">
        <is>
          <t>Saturday</t>
        </is>
      </c>
      <c r="G23" s="27" t="n">
        <v>41447</v>
      </c>
      <c r="H23" t="inlineStr">
        <is>
          <t>PM</t>
        </is>
      </c>
      <c r="I23" t="inlineStr">
        <is>
          <t>Saratoga, NY</t>
        </is>
      </c>
      <c r="J23" t="inlineStr">
        <is>
          <t>Northeast</t>
        </is>
      </c>
      <c r="K23" t="n">
        <v>9</v>
      </c>
      <c r="L23" t="inlineStr">
        <is>
          <t>Back</t>
        </is>
      </c>
      <c r="M23" t="inlineStr">
        <is>
          <t>Saratoga National</t>
        </is>
      </c>
      <c r="N23" t="inlineStr">
        <is>
          <t>White</t>
        </is>
      </c>
      <c r="O23" t="n">
        <v>71.3</v>
      </c>
      <c r="P23" t="n">
        <v>130</v>
      </c>
      <c r="Q23" t="n">
        <v>6225</v>
      </c>
      <c r="R23" t="inlineStr">
        <is>
          <t>Best Ball</t>
        </is>
      </c>
      <c r="S23" t="inlineStr">
        <is>
          <t>Doubles</t>
        </is>
      </c>
      <c r="T23" t="inlineStr">
        <is>
          <t>Under 6'</t>
        </is>
      </c>
      <c r="U23" t="inlineStr">
        <is>
          <t>Jackson</t>
        </is>
      </c>
      <c r="V23" t="inlineStr">
        <is>
          <t>Ferrin</t>
        </is>
      </c>
      <c r="W23" t="inlineStr">
        <is>
          <t>White</t>
        </is>
      </c>
      <c r="X23" t="n">
        <v>28</v>
      </c>
      <c r="Y23" t="inlineStr">
        <is>
          <t>Jackson</t>
        </is>
      </c>
      <c r="Z23" t="n">
        <v>15</v>
      </c>
      <c r="AA23" t="n">
        <v>1</v>
      </c>
      <c r="AB23" t="inlineStr">
        <is>
          <t>W</t>
        </is>
      </c>
      <c r="AC23" t="inlineStr">
        <is>
          <t>2 Up</t>
        </is>
      </c>
      <c r="AE23">
        <f>$V23&amp;$Y23</f>
        <v/>
      </c>
      <c r="AF23" t="n">
        <v>1</v>
      </c>
      <c r="AG23" t="n">
        <v>1</v>
      </c>
      <c r="AH23" t="n">
        <v>0</v>
      </c>
      <c r="AI23" t="n">
        <v>0</v>
      </c>
      <c r="AJ23" t="n">
        <v>1</v>
      </c>
      <c r="AK23" t="inlineStr">
        <is>
          <t>Hilts</t>
        </is>
      </c>
      <c r="AL23" t="n">
        <v>0.473214285714286</v>
      </c>
      <c r="AM23" t="inlineStr">
        <is>
          <t>Lynch</t>
        </is>
      </c>
      <c r="AN23" t="n">
        <v>0.5546875</v>
      </c>
    </row>
    <row r="24" ht="15" customHeight="1" s="2">
      <c r="B24" t="n">
        <v>12</v>
      </c>
      <c r="C24" t="n">
        <v>3</v>
      </c>
      <c r="D24" t="n">
        <v>1</v>
      </c>
      <c r="E24" t="inlineStr">
        <is>
          <t>FBC1-D12</t>
        </is>
      </c>
      <c r="F24" t="inlineStr">
        <is>
          <t>Saturday</t>
        </is>
      </c>
      <c r="G24" s="27" t="n">
        <v>41447</v>
      </c>
      <c r="H24" t="inlineStr">
        <is>
          <t>PM</t>
        </is>
      </c>
      <c r="I24" t="inlineStr">
        <is>
          <t>Saratoga, NY</t>
        </is>
      </c>
      <c r="J24" t="inlineStr">
        <is>
          <t>Northeast</t>
        </is>
      </c>
      <c r="K24" t="n">
        <v>9</v>
      </c>
      <c r="L24" t="inlineStr">
        <is>
          <t>Back</t>
        </is>
      </c>
      <c r="M24" t="inlineStr">
        <is>
          <t>Saratoga National</t>
        </is>
      </c>
      <c r="N24" t="inlineStr">
        <is>
          <t>White</t>
        </is>
      </c>
      <c r="O24" t="n">
        <v>71.3</v>
      </c>
      <c r="P24" t="n">
        <v>130</v>
      </c>
      <c r="Q24" t="n">
        <v>6225</v>
      </c>
      <c r="R24" t="inlineStr">
        <is>
          <t>Best Ball</t>
        </is>
      </c>
      <c r="S24" t="inlineStr">
        <is>
          <t>Doubles</t>
        </is>
      </c>
      <c r="T24" t="inlineStr">
        <is>
          <t>Over 6'</t>
        </is>
      </c>
      <c r="U24" t="inlineStr">
        <is>
          <t>Hilts</t>
        </is>
      </c>
      <c r="V24" t="inlineStr">
        <is>
          <t>Connolly</t>
        </is>
      </c>
      <c r="W24" t="inlineStr">
        <is>
          <t>Red</t>
        </is>
      </c>
      <c r="X24" t="n">
        <v>15</v>
      </c>
      <c r="Y24" t="inlineStr">
        <is>
          <t>Shively</t>
        </is>
      </c>
      <c r="Z24" t="n">
        <v>30</v>
      </c>
      <c r="AA24" t="n">
        <v>1</v>
      </c>
      <c r="AB24" t="inlineStr">
        <is>
          <t>W</t>
        </is>
      </c>
      <c r="AC24" t="inlineStr">
        <is>
          <t>3 &amp; 2</t>
        </is>
      </c>
      <c r="AE24">
        <f>$V24&amp;$Y24</f>
        <v/>
      </c>
      <c r="AF24" t="n">
        <v>1</v>
      </c>
      <c r="AG24" t="n">
        <v>1</v>
      </c>
      <c r="AH24" t="n">
        <v>0</v>
      </c>
      <c r="AI24" t="n">
        <v>0</v>
      </c>
      <c r="AJ24" t="n">
        <v>1</v>
      </c>
      <c r="AK24" t="inlineStr">
        <is>
          <t>Flanders</t>
        </is>
      </c>
      <c r="AL24" t="n">
        <v>0.4296875</v>
      </c>
      <c r="AM24" t="inlineStr">
        <is>
          <t>Mangold</t>
        </is>
      </c>
      <c r="AN24" t="n">
        <v>0.383928571428572</v>
      </c>
    </row>
    <row r="25" ht="15" customHeight="1" s="2">
      <c r="B25" t="n">
        <v>12</v>
      </c>
      <c r="C25" t="n">
        <v>3</v>
      </c>
      <c r="D25" t="n">
        <v>1</v>
      </c>
      <c r="E25" t="inlineStr">
        <is>
          <t>FBC1-D12</t>
        </is>
      </c>
      <c r="F25" t="inlineStr">
        <is>
          <t>Saturday</t>
        </is>
      </c>
      <c r="G25" s="27" t="n">
        <v>41447</v>
      </c>
      <c r="H25" t="inlineStr">
        <is>
          <t>PM</t>
        </is>
      </c>
      <c r="I25" t="inlineStr">
        <is>
          <t>Saratoga, NY</t>
        </is>
      </c>
      <c r="J25" t="inlineStr">
        <is>
          <t>Northeast</t>
        </is>
      </c>
      <c r="K25" t="n">
        <v>9</v>
      </c>
      <c r="L25" t="inlineStr">
        <is>
          <t>Back</t>
        </is>
      </c>
      <c r="M25" t="inlineStr">
        <is>
          <t>Saratoga National</t>
        </is>
      </c>
      <c r="N25" t="inlineStr">
        <is>
          <t>White</t>
        </is>
      </c>
      <c r="O25" t="n">
        <v>71.3</v>
      </c>
      <c r="P25" t="n">
        <v>130</v>
      </c>
      <c r="Q25" t="n">
        <v>6225</v>
      </c>
      <c r="R25" t="inlineStr">
        <is>
          <t>Best Ball</t>
        </is>
      </c>
      <c r="S25" t="inlineStr">
        <is>
          <t>Doubles</t>
        </is>
      </c>
      <c r="T25" t="inlineStr">
        <is>
          <t>Under 6'</t>
        </is>
      </c>
      <c r="U25" t="inlineStr">
        <is>
          <t>Jackson</t>
        </is>
      </c>
      <c r="V25" t="inlineStr">
        <is>
          <t>Flanders</t>
        </is>
      </c>
      <c r="W25" t="inlineStr">
        <is>
          <t>White</t>
        </is>
      </c>
      <c r="X25" t="n">
        <v>15</v>
      </c>
      <c r="Y25" t="inlineStr">
        <is>
          <t>Mangold</t>
        </is>
      </c>
      <c r="Z25" t="n">
        <v>15</v>
      </c>
      <c r="AA25" t="n">
        <v>1</v>
      </c>
      <c r="AB25" t="inlineStr">
        <is>
          <t>L</t>
        </is>
      </c>
      <c r="AC25" t="inlineStr">
        <is>
          <t>3 &amp; 2</t>
        </is>
      </c>
      <c r="AE25">
        <f>$V25&amp;$Y25</f>
        <v/>
      </c>
      <c r="AF25" t="n">
        <v>0</v>
      </c>
      <c r="AG25" t="n">
        <v>0</v>
      </c>
      <c r="AH25" t="n">
        <v>1</v>
      </c>
      <c r="AI25" t="n">
        <v>0</v>
      </c>
      <c r="AJ25" t="n">
        <v>0</v>
      </c>
      <c r="AK25" t="inlineStr">
        <is>
          <t>Connolly</t>
        </is>
      </c>
      <c r="AL25" t="n">
        <v>0.59375</v>
      </c>
      <c r="AM25" t="inlineStr">
        <is>
          <t>Shively</t>
        </is>
      </c>
    </row>
    <row r="26" ht="15" customHeight="1" s="2">
      <c r="B26" t="n">
        <v>13</v>
      </c>
      <c r="C26" t="n">
        <v>1</v>
      </c>
      <c r="D26" t="n">
        <v>1</v>
      </c>
      <c r="E26" t="inlineStr">
        <is>
          <t>FBC1-S-Hilts-Mangold</t>
        </is>
      </c>
      <c r="F26" t="inlineStr">
        <is>
          <t>Sunday</t>
        </is>
      </c>
      <c r="G26" s="27" t="n">
        <v>41448</v>
      </c>
      <c r="H26" t="inlineStr">
        <is>
          <t>AM</t>
        </is>
      </c>
      <c r="I26" t="inlineStr">
        <is>
          <t>Saratoga, NY</t>
        </is>
      </c>
      <c r="J26" t="inlineStr">
        <is>
          <t>Northeast</t>
        </is>
      </c>
      <c r="K26" t="n">
        <v>18</v>
      </c>
      <c r="L26" t="inlineStr">
        <is>
          <t>Full</t>
        </is>
      </c>
      <c r="M26" t="inlineStr">
        <is>
          <t>Saratoga Spa</t>
        </is>
      </c>
      <c r="N26" t="inlineStr">
        <is>
          <t>Blue</t>
        </is>
      </c>
      <c r="O26" t="n">
        <v>72.2</v>
      </c>
      <c r="P26" t="n">
        <v>128</v>
      </c>
      <c r="Q26" t="n">
        <v>6772</v>
      </c>
      <c r="R26" t="inlineStr">
        <is>
          <t>Match Play</t>
        </is>
      </c>
      <c r="S26" t="inlineStr">
        <is>
          <t>Singles</t>
        </is>
      </c>
      <c r="T26" t="inlineStr">
        <is>
          <t>Over 6'</t>
        </is>
      </c>
      <c r="U26" t="inlineStr">
        <is>
          <t>Hilts</t>
        </is>
      </c>
      <c r="V26" t="inlineStr">
        <is>
          <t>Hilts</t>
        </is>
      </c>
      <c r="W26" t="inlineStr">
        <is>
          <t>Blue</t>
        </is>
      </c>
      <c r="X26" t="n">
        <v>18</v>
      </c>
      <c r="AA26" t="n">
        <v>2</v>
      </c>
      <c r="AB26" t="inlineStr">
        <is>
          <t>W</t>
        </is>
      </c>
      <c r="AC26" t="inlineStr">
        <is>
          <t>4 &amp; 3</t>
        </is>
      </c>
      <c r="AD26" t="inlineStr">
        <is>
          <t>Mangold</t>
        </is>
      </c>
      <c r="AE26">
        <f>$V26&amp;$Y26</f>
        <v/>
      </c>
      <c r="AF26" t="n">
        <v>2</v>
      </c>
      <c r="AG26" t="n">
        <v>1</v>
      </c>
      <c r="AH26" t="n">
        <v>0</v>
      </c>
      <c r="AI26" t="n">
        <v>0</v>
      </c>
      <c r="AJ26" t="n">
        <v>1</v>
      </c>
      <c r="AK26" t="inlineStr">
        <is>
          <t>Mangold</t>
        </is>
      </c>
      <c r="AL26" t="n">
        <v>0.383928571428572</v>
      </c>
    </row>
    <row r="27" ht="15" customHeight="1" s="2">
      <c r="B27" t="n">
        <v>13</v>
      </c>
      <c r="C27" t="n">
        <v>1</v>
      </c>
      <c r="D27" t="n">
        <v>1</v>
      </c>
      <c r="E27" t="inlineStr">
        <is>
          <t>FBC1-S-Hilts-Mangold</t>
        </is>
      </c>
      <c r="F27" t="inlineStr">
        <is>
          <t>Sunday</t>
        </is>
      </c>
      <c r="G27" s="27" t="n">
        <v>41448</v>
      </c>
      <c r="H27" t="inlineStr">
        <is>
          <t>AM</t>
        </is>
      </c>
      <c r="I27" t="inlineStr">
        <is>
          <t>Saratoga, NY</t>
        </is>
      </c>
      <c r="J27" t="inlineStr">
        <is>
          <t>Northeast</t>
        </is>
      </c>
      <c r="K27" t="n">
        <v>18</v>
      </c>
      <c r="L27" t="inlineStr">
        <is>
          <t>Full</t>
        </is>
      </c>
      <c r="M27" t="inlineStr">
        <is>
          <t>Saratoga Spa</t>
        </is>
      </c>
      <c r="N27" t="inlineStr">
        <is>
          <t>Blue</t>
        </is>
      </c>
      <c r="O27" t="n">
        <v>72.2</v>
      </c>
      <c r="P27" t="n">
        <v>128</v>
      </c>
      <c r="Q27" t="n">
        <v>6772</v>
      </c>
      <c r="R27" t="inlineStr">
        <is>
          <t>Match Play</t>
        </is>
      </c>
      <c r="S27" t="inlineStr">
        <is>
          <t>Singles</t>
        </is>
      </c>
      <c r="T27" t="inlineStr">
        <is>
          <t>Under 6'</t>
        </is>
      </c>
      <c r="U27" t="inlineStr">
        <is>
          <t>Jackson</t>
        </is>
      </c>
      <c r="V27" t="inlineStr">
        <is>
          <t>Mangold</t>
        </is>
      </c>
      <c r="W27" t="inlineStr">
        <is>
          <t>Blue</t>
        </is>
      </c>
      <c r="X27" t="n">
        <v>15</v>
      </c>
      <c r="AA27" t="n">
        <v>2</v>
      </c>
      <c r="AB27" t="inlineStr">
        <is>
          <t>L</t>
        </is>
      </c>
      <c r="AC27" t="inlineStr">
        <is>
          <t>4 &amp; 3</t>
        </is>
      </c>
      <c r="AD27" t="inlineStr">
        <is>
          <t>Hilts</t>
        </is>
      </c>
      <c r="AE27">
        <f>$V27&amp;$Y27</f>
        <v/>
      </c>
      <c r="AF27" t="n">
        <v>0</v>
      </c>
      <c r="AG27" t="n">
        <v>0</v>
      </c>
      <c r="AH27" t="n">
        <v>1</v>
      </c>
      <c r="AI27" t="n">
        <v>0</v>
      </c>
      <c r="AJ27" t="n">
        <v>0</v>
      </c>
      <c r="AK27" t="inlineStr">
        <is>
          <t>Hilts</t>
        </is>
      </c>
      <c r="AL27" t="n">
        <v>0.473214285714286</v>
      </c>
    </row>
    <row r="28" ht="15" customHeight="1" s="2">
      <c r="B28" t="n">
        <v>14</v>
      </c>
      <c r="C28" t="n">
        <v>2</v>
      </c>
      <c r="D28" t="n">
        <v>1</v>
      </c>
      <c r="E28" t="inlineStr">
        <is>
          <t>FBC1-S-Hickerson-Lynch</t>
        </is>
      </c>
      <c r="F28" t="inlineStr">
        <is>
          <t>Sunday</t>
        </is>
      </c>
      <c r="G28" s="27" t="n">
        <v>41448</v>
      </c>
      <c r="H28" t="inlineStr">
        <is>
          <t>AM</t>
        </is>
      </c>
      <c r="I28" t="inlineStr">
        <is>
          <t>Saratoga, NY</t>
        </is>
      </c>
      <c r="J28" t="inlineStr">
        <is>
          <t>Northeast</t>
        </is>
      </c>
      <c r="K28" t="n">
        <v>18</v>
      </c>
      <c r="L28" t="inlineStr">
        <is>
          <t>Full</t>
        </is>
      </c>
      <c r="M28" t="inlineStr">
        <is>
          <t>Saratoga Spa</t>
        </is>
      </c>
      <c r="N28" t="inlineStr">
        <is>
          <t>Blue</t>
        </is>
      </c>
      <c r="O28" t="n">
        <v>72.2</v>
      </c>
      <c r="P28" t="n">
        <v>128</v>
      </c>
      <c r="Q28" t="n">
        <v>6772</v>
      </c>
      <c r="R28" t="inlineStr">
        <is>
          <t>Match Play</t>
        </is>
      </c>
      <c r="S28" t="inlineStr">
        <is>
          <t>Singles</t>
        </is>
      </c>
      <c r="T28" t="inlineStr">
        <is>
          <t>Under 6'</t>
        </is>
      </c>
      <c r="U28" t="inlineStr">
        <is>
          <t>Jackson</t>
        </is>
      </c>
      <c r="V28" t="inlineStr">
        <is>
          <t>Hickerson</t>
        </is>
      </c>
      <c r="W28" t="inlineStr">
        <is>
          <t>Blue</t>
        </is>
      </c>
      <c r="X28" t="n">
        <v>20</v>
      </c>
      <c r="AA28" t="n">
        <v>2</v>
      </c>
      <c r="AB28" t="inlineStr">
        <is>
          <t>T</t>
        </is>
      </c>
      <c r="AC28" t="inlineStr">
        <is>
          <t>Halved</t>
        </is>
      </c>
      <c r="AD28" t="inlineStr">
        <is>
          <t>Lynch</t>
        </is>
      </c>
      <c r="AE28">
        <f>$V28&amp;$Y28</f>
        <v/>
      </c>
      <c r="AF28" t="n">
        <v>1</v>
      </c>
      <c r="AG28" t="n">
        <v>0</v>
      </c>
      <c r="AH28" t="n">
        <v>0</v>
      </c>
      <c r="AI28" t="n">
        <v>1</v>
      </c>
      <c r="AJ28" t="n">
        <v>0.5</v>
      </c>
      <c r="AK28" t="inlineStr">
        <is>
          <t>Lynch</t>
        </is>
      </c>
      <c r="AL28" t="n">
        <v>0.5546875</v>
      </c>
    </row>
    <row r="29" ht="15" customHeight="1" s="2">
      <c r="B29" t="n">
        <v>14</v>
      </c>
      <c r="C29" t="n">
        <v>2</v>
      </c>
      <c r="D29" t="n">
        <v>1</v>
      </c>
      <c r="E29" t="inlineStr">
        <is>
          <t>FBC1-S-Hickerson-Lynch</t>
        </is>
      </c>
      <c r="F29" t="inlineStr">
        <is>
          <t>Sunday</t>
        </is>
      </c>
      <c r="G29" s="27" t="n">
        <v>41448</v>
      </c>
      <c r="H29" t="inlineStr">
        <is>
          <t>AM</t>
        </is>
      </c>
      <c r="I29" t="inlineStr">
        <is>
          <t>Saratoga, NY</t>
        </is>
      </c>
      <c r="J29" t="inlineStr">
        <is>
          <t>Northeast</t>
        </is>
      </c>
      <c r="K29" t="n">
        <v>18</v>
      </c>
      <c r="L29" t="inlineStr">
        <is>
          <t>Full</t>
        </is>
      </c>
      <c r="M29" t="inlineStr">
        <is>
          <t>Saratoga Spa</t>
        </is>
      </c>
      <c r="N29" t="inlineStr">
        <is>
          <t>Blue</t>
        </is>
      </c>
      <c r="O29" t="n">
        <v>72.2</v>
      </c>
      <c r="P29" t="n">
        <v>128</v>
      </c>
      <c r="Q29" t="n">
        <v>6772</v>
      </c>
      <c r="R29" t="inlineStr">
        <is>
          <t>Match Play</t>
        </is>
      </c>
      <c r="S29" t="inlineStr">
        <is>
          <t>Singles</t>
        </is>
      </c>
      <c r="T29" t="inlineStr">
        <is>
          <t>Over 6'</t>
        </is>
      </c>
      <c r="U29" t="inlineStr">
        <is>
          <t>Hilts</t>
        </is>
      </c>
      <c r="V29" t="inlineStr">
        <is>
          <t>Lynch</t>
        </is>
      </c>
      <c r="W29" t="inlineStr">
        <is>
          <t>Blue</t>
        </is>
      </c>
      <c r="X29" t="n">
        <v>20</v>
      </c>
      <c r="AA29" t="n">
        <v>2</v>
      </c>
      <c r="AB29" t="inlineStr">
        <is>
          <t>T</t>
        </is>
      </c>
      <c r="AC29" t="inlineStr">
        <is>
          <t>Halved</t>
        </is>
      </c>
      <c r="AD29" t="inlineStr">
        <is>
          <t>Hickerson</t>
        </is>
      </c>
      <c r="AE29">
        <f>$V29&amp;$Y29</f>
        <v/>
      </c>
      <c r="AF29" t="n">
        <v>1</v>
      </c>
      <c r="AG29" t="n">
        <v>0</v>
      </c>
      <c r="AH29" t="n">
        <v>0</v>
      </c>
      <c r="AI29" t="n">
        <v>1</v>
      </c>
      <c r="AJ29" t="n">
        <v>0.5</v>
      </c>
      <c r="AK29" t="inlineStr">
        <is>
          <t>Hickerson</t>
        </is>
      </c>
      <c r="AL29" t="n">
        <v>0.357142857142857</v>
      </c>
    </row>
    <row r="30" ht="15" customHeight="1" s="2">
      <c r="B30" t="n">
        <v>15</v>
      </c>
      <c r="C30" t="n">
        <v>3</v>
      </c>
      <c r="D30" t="n">
        <v>1</v>
      </c>
      <c r="E30" t="inlineStr">
        <is>
          <t>FBC1-S-Ferrin-Shively</t>
        </is>
      </c>
      <c r="F30" t="inlineStr">
        <is>
          <t>Sunday</t>
        </is>
      </c>
      <c r="G30" s="27" t="n">
        <v>41448</v>
      </c>
      <c r="H30" t="inlineStr">
        <is>
          <t>AM</t>
        </is>
      </c>
      <c r="I30" t="inlineStr">
        <is>
          <t>Saratoga, NY</t>
        </is>
      </c>
      <c r="J30" t="inlineStr">
        <is>
          <t>Northeast</t>
        </is>
      </c>
      <c r="K30" t="n">
        <v>18</v>
      </c>
      <c r="L30" t="inlineStr">
        <is>
          <t>Full</t>
        </is>
      </c>
      <c r="M30" t="inlineStr">
        <is>
          <t>Saratoga Spa</t>
        </is>
      </c>
      <c r="N30" t="inlineStr">
        <is>
          <t>Blue</t>
        </is>
      </c>
      <c r="O30" t="n">
        <v>72.2</v>
      </c>
      <c r="P30" t="n">
        <v>128</v>
      </c>
      <c r="Q30" t="n">
        <v>6772</v>
      </c>
      <c r="R30" t="inlineStr">
        <is>
          <t>Match Play</t>
        </is>
      </c>
      <c r="S30" t="inlineStr">
        <is>
          <t>Singles</t>
        </is>
      </c>
      <c r="T30" t="inlineStr">
        <is>
          <t>Over 6'</t>
        </is>
      </c>
      <c r="U30" t="inlineStr">
        <is>
          <t>Hilts</t>
        </is>
      </c>
      <c r="V30" t="inlineStr">
        <is>
          <t>Shively</t>
        </is>
      </c>
      <c r="W30" t="inlineStr">
        <is>
          <t>Blue</t>
        </is>
      </c>
      <c r="X30" t="n">
        <v>30</v>
      </c>
      <c r="AA30" t="n">
        <v>2</v>
      </c>
      <c r="AB30" t="inlineStr">
        <is>
          <t>L</t>
        </is>
      </c>
      <c r="AC30" t="inlineStr">
        <is>
          <t>3 &amp; 2</t>
        </is>
      </c>
      <c r="AD30" t="inlineStr">
        <is>
          <t>Ferrin</t>
        </is>
      </c>
      <c r="AE30">
        <f>$V30&amp;$Y30</f>
        <v/>
      </c>
      <c r="AF30" t="n">
        <v>0</v>
      </c>
      <c r="AG30" t="n">
        <v>0</v>
      </c>
      <c r="AH30" t="n">
        <v>1</v>
      </c>
      <c r="AI30" t="n">
        <v>0</v>
      </c>
      <c r="AJ30" t="n">
        <v>0</v>
      </c>
      <c r="AK30" t="inlineStr">
        <is>
          <t>Ferrin</t>
        </is>
      </c>
      <c r="AL30" t="n">
        <v>0.595238095238095</v>
      </c>
    </row>
    <row r="31" ht="15" customHeight="1" s="2">
      <c r="B31" t="n">
        <v>15</v>
      </c>
      <c r="C31" t="n">
        <v>3</v>
      </c>
      <c r="D31" t="n">
        <v>1</v>
      </c>
      <c r="E31" t="inlineStr">
        <is>
          <t>FBC1-S-Ferrin-Shively</t>
        </is>
      </c>
      <c r="F31" t="inlineStr">
        <is>
          <t>Sunday</t>
        </is>
      </c>
      <c r="G31" s="27" t="n">
        <v>41448</v>
      </c>
      <c r="H31" t="inlineStr">
        <is>
          <t>AM</t>
        </is>
      </c>
      <c r="I31" t="inlineStr">
        <is>
          <t>Saratoga, NY</t>
        </is>
      </c>
      <c r="J31" t="inlineStr">
        <is>
          <t>Northeast</t>
        </is>
      </c>
      <c r="K31" t="n">
        <v>18</v>
      </c>
      <c r="L31" t="inlineStr">
        <is>
          <t>Full</t>
        </is>
      </c>
      <c r="M31" t="inlineStr">
        <is>
          <t>Saratoga Spa</t>
        </is>
      </c>
      <c r="N31" t="inlineStr">
        <is>
          <t>Blue</t>
        </is>
      </c>
      <c r="O31" t="n">
        <v>72.2</v>
      </c>
      <c r="P31" t="n">
        <v>128</v>
      </c>
      <c r="Q31" t="n">
        <v>6772</v>
      </c>
      <c r="R31" t="inlineStr">
        <is>
          <t>Match Play</t>
        </is>
      </c>
      <c r="S31" t="inlineStr">
        <is>
          <t>Singles</t>
        </is>
      </c>
      <c r="T31" t="inlineStr">
        <is>
          <t>Under 6'</t>
        </is>
      </c>
      <c r="U31" t="inlineStr">
        <is>
          <t>Jackson</t>
        </is>
      </c>
      <c r="V31" t="inlineStr">
        <is>
          <t>Ferrin</t>
        </is>
      </c>
      <c r="W31" t="inlineStr">
        <is>
          <t>Blue</t>
        </is>
      </c>
      <c r="X31" t="n">
        <v>28</v>
      </c>
      <c r="AA31" t="n">
        <v>2</v>
      </c>
      <c r="AB31" t="inlineStr">
        <is>
          <t>W</t>
        </is>
      </c>
      <c r="AC31" t="inlineStr">
        <is>
          <t>3 &amp; 2</t>
        </is>
      </c>
      <c r="AD31" t="inlineStr">
        <is>
          <t>Shively</t>
        </is>
      </c>
      <c r="AE31">
        <f>$V31&amp;$Y31</f>
        <v/>
      </c>
      <c r="AF31" t="n">
        <v>2</v>
      </c>
      <c r="AG31" t="n">
        <v>1</v>
      </c>
      <c r="AH31" t="n">
        <v>0</v>
      </c>
      <c r="AI31" t="n">
        <v>0</v>
      </c>
      <c r="AJ31" t="n">
        <v>1</v>
      </c>
      <c r="AK31" t="inlineStr">
        <is>
          <t>Shively</t>
        </is>
      </c>
    </row>
    <row r="32" ht="15" customHeight="1" s="2">
      <c r="B32" t="n">
        <v>16</v>
      </c>
      <c r="C32" t="n">
        <v>4</v>
      </c>
      <c r="D32" t="n">
        <v>1</v>
      </c>
      <c r="E32" t="inlineStr">
        <is>
          <t>FBC1-S-Flanders-Macklin</t>
        </is>
      </c>
      <c r="F32" t="inlineStr">
        <is>
          <t>Sunday</t>
        </is>
      </c>
      <c r="G32" s="27" t="n">
        <v>41448</v>
      </c>
      <c r="H32" t="inlineStr">
        <is>
          <t>AM</t>
        </is>
      </c>
      <c r="I32" t="inlineStr">
        <is>
          <t>Saratoga, NY</t>
        </is>
      </c>
      <c r="J32" t="inlineStr">
        <is>
          <t>Northeast</t>
        </is>
      </c>
      <c r="K32" t="n">
        <v>18</v>
      </c>
      <c r="L32" t="inlineStr">
        <is>
          <t>Full</t>
        </is>
      </c>
      <c r="M32" t="inlineStr">
        <is>
          <t>Saratoga Spa</t>
        </is>
      </c>
      <c r="N32" t="inlineStr">
        <is>
          <t>Blue</t>
        </is>
      </c>
      <c r="O32" t="n">
        <v>72.2</v>
      </c>
      <c r="P32" t="n">
        <v>128</v>
      </c>
      <c r="Q32" t="n">
        <v>6772</v>
      </c>
      <c r="R32" t="inlineStr">
        <is>
          <t>Match Play</t>
        </is>
      </c>
      <c r="S32" t="inlineStr">
        <is>
          <t>Singles</t>
        </is>
      </c>
      <c r="T32" t="inlineStr">
        <is>
          <t>Under 6'</t>
        </is>
      </c>
      <c r="U32" t="inlineStr">
        <is>
          <t>Jackson</t>
        </is>
      </c>
      <c r="V32" t="inlineStr">
        <is>
          <t>Flanders</t>
        </is>
      </c>
      <c r="W32" t="inlineStr">
        <is>
          <t>Blue</t>
        </is>
      </c>
      <c r="X32" t="n">
        <v>15</v>
      </c>
      <c r="AA32" t="n">
        <v>2</v>
      </c>
      <c r="AB32" t="inlineStr">
        <is>
          <t>W</t>
        </is>
      </c>
      <c r="AC32" t="inlineStr">
        <is>
          <t>4 &amp; 3</t>
        </is>
      </c>
      <c r="AD32" t="inlineStr">
        <is>
          <t>Macklin</t>
        </is>
      </c>
      <c r="AE32">
        <f>$V32&amp;$Y32</f>
        <v/>
      </c>
      <c r="AF32" t="n">
        <v>2</v>
      </c>
      <c r="AG32" t="n">
        <v>1</v>
      </c>
      <c r="AH32" t="n">
        <v>0</v>
      </c>
      <c r="AI32" t="n">
        <v>0</v>
      </c>
      <c r="AJ32" t="n">
        <v>1</v>
      </c>
      <c r="AK32" t="inlineStr">
        <is>
          <t>Macklin</t>
        </is>
      </c>
      <c r="AL32" t="n">
        <v>0.3</v>
      </c>
    </row>
    <row r="33" ht="15" customHeight="1" s="2">
      <c r="B33" t="n">
        <v>16</v>
      </c>
      <c r="C33" t="n">
        <v>4</v>
      </c>
      <c r="D33" t="n">
        <v>1</v>
      </c>
      <c r="E33" t="inlineStr">
        <is>
          <t>FBC1-S-Flanders-Macklin</t>
        </is>
      </c>
      <c r="F33" t="inlineStr">
        <is>
          <t>Sunday</t>
        </is>
      </c>
      <c r="G33" s="27" t="n">
        <v>41448</v>
      </c>
      <c r="H33" t="inlineStr">
        <is>
          <t>AM</t>
        </is>
      </c>
      <c r="I33" t="inlineStr">
        <is>
          <t>Saratoga, NY</t>
        </is>
      </c>
      <c r="J33" t="inlineStr">
        <is>
          <t>Northeast</t>
        </is>
      </c>
      <c r="K33" t="n">
        <v>18</v>
      </c>
      <c r="L33" t="inlineStr">
        <is>
          <t>Full</t>
        </is>
      </c>
      <c r="M33" t="inlineStr">
        <is>
          <t>Saratoga Spa</t>
        </is>
      </c>
      <c r="N33" t="inlineStr">
        <is>
          <t>Blue</t>
        </is>
      </c>
      <c r="O33" t="n">
        <v>72.2</v>
      </c>
      <c r="P33" t="n">
        <v>128</v>
      </c>
      <c r="Q33" t="n">
        <v>6772</v>
      </c>
      <c r="R33" t="inlineStr">
        <is>
          <t>Match Play</t>
        </is>
      </c>
      <c r="S33" t="inlineStr">
        <is>
          <t>Singles</t>
        </is>
      </c>
      <c r="T33" t="inlineStr">
        <is>
          <t>Over 6'</t>
        </is>
      </c>
      <c r="U33" t="inlineStr">
        <is>
          <t>Hilts</t>
        </is>
      </c>
      <c r="V33" t="inlineStr">
        <is>
          <t>Macklin</t>
        </is>
      </c>
      <c r="W33" t="inlineStr">
        <is>
          <t>Blue</t>
        </is>
      </c>
      <c r="X33" t="n">
        <v>15</v>
      </c>
      <c r="AA33" t="n">
        <v>2</v>
      </c>
      <c r="AB33" t="inlineStr">
        <is>
          <t>L</t>
        </is>
      </c>
      <c r="AC33" t="inlineStr">
        <is>
          <t>4 &amp; 3</t>
        </is>
      </c>
      <c r="AD33" t="inlineStr">
        <is>
          <t>Flanders</t>
        </is>
      </c>
      <c r="AE33">
        <f>$V33&amp;$Y33</f>
        <v/>
      </c>
      <c r="AF33" t="n">
        <v>0</v>
      </c>
      <c r="AG33" t="n">
        <v>0</v>
      </c>
      <c r="AH33" t="n">
        <v>1</v>
      </c>
      <c r="AI33" t="n">
        <v>0</v>
      </c>
      <c r="AJ33" t="n">
        <v>0</v>
      </c>
      <c r="AK33" t="inlineStr">
        <is>
          <t>Flanders</t>
        </is>
      </c>
      <c r="AL33" t="n">
        <v>0.4296875</v>
      </c>
    </row>
    <row r="34" ht="15" customHeight="1" s="2">
      <c r="B34" t="n">
        <v>17</v>
      </c>
      <c r="C34" t="n">
        <v>5</v>
      </c>
      <c r="D34" t="n">
        <v>1</v>
      </c>
      <c r="E34" t="inlineStr">
        <is>
          <t>FBC1-S-Connolly-Jackson</t>
        </is>
      </c>
      <c r="F34" t="inlineStr">
        <is>
          <t>Sunday</t>
        </is>
      </c>
      <c r="G34" s="27" t="n">
        <v>41448</v>
      </c>
      <c r="H34" t="inlineStr">
        <is>
          <t>AM</t>
        </is>
      </c>
      <c r="I34" t="inlineStr">
        <is>
          <t>Saratoga, NY</t>
        </is>
      </c>
      <c r="J34" t="inlineStr">
        <is>
          <t>Northeast</t>
        </is>
      </c>
      <c r="K34" t="n">
        <v>18</v>
      </c>
      <c r="L34" t="inlineStr">
        <is>
          <t>Full</t>
        </is>
      </c>
      <c r="M34" t="inlineStr">
        <is>
          <t>Saratoga Spa</t>
        </is>
      </c>
      <c r="N34" t="inlineStr">
        <is>
          <t>Blue</t>
        </is>
      </c>
      <c r="O34" t="n">
        <v>72.2</v>
      </c>
      <c r="P34" t="n">
        <v>128</v>
      </c>
      <c r="Q34" t="n">
        <v>6772</v>
      </c>
      <c r="R34" t="inlineStr">
        <is>
          <t>Match Play</t>
        </is>
      </c>
      <c r="S34" t="inlineStr">
        <is>
          <t>Singles</t>
        </is>
      </c>
      <c r="T34" t="inlineStr">
        <is>
          <t>Over 6'</t>
        </is>
      </c>
      <c r="U34" t="inlineStr">
        <is>
          <t>Hilts</t>
        </is>
      </c>
      <c r="V34" t="inlineStr">
        <is>
          <t>Connolly</t>
        </is>
      </c>
      <c r="W34" t="inlineStr">
        <is>
          <t>Blue</t>
        </is>
      </c>
      <c r="X34" t="n">
        <v>15</v>
      </c>
      <c r="AA34" t="n">
        <v>2</v>
      </c>
      <c r="AB34" t="inlineStr">
        <is>
          <t>W</t>
        </is>
      </c>
      <c r="AC34" t="inlineStr">
        <is>
          <t>5 &amp; 3</t>
        </is>
      </c>
      <c r="AD34" t="inlineStr">
        <is>
          <t>Jackson</t>
        </is>
      </c>
      <c r="AE34">
        <f>$V34&amp;$Y34</f>
        <v/>
      </c>
      <c r="AF34" t="n">
        <v>2</v>
      </c>
      <c r="AG34" t="n">
        <v>1</v>
      </c>
      <c r="AH34" t="n">
        <v>0</v>
      </c>
      <c r="AI34" t="n">
        <v>0</v>
      </c>
      <c r="AJ34" t="n">
        <v>1</v>
      </c>
      <c r="AK34" t="inlineStr">
        <is>
          <t>Jackson</t>
        </is>
      </c>
      <c r="AL34" t="n">
        <v>0.6171875</v>
      </c>
    </row>
    <row r="35" ht="15" customHeight="1" s="2">
      <c r="B35" t="n">
        <v>17</v>
      </c>
      <c r="C35" t="n">
        <v>5</v>
      </c>
      <c r="D35" t="n">
        <v>1</v>
      </c>
      <c r="E35" t="inlineStr">
        <is>
          <t>FBC1-S-Connolly-Jackson</t>
        </is>
      </c>
      <c r="F35" t="inlineStr">
        <is>
          <t>Sunday</t>
        </is>
      </c>
      <c r="G35" s="27" t="n">
        <v>41448</v>
      </c>
      <c r="H35" t="inlineStr">
        <is>
          <t>AM</t>
        </is>
      </c>
      <c r="I35" t="inlineStr">
        <is>
          <t>Saratoga, NY</t>
        </is>
      </c>
      <c r="J35" t="inlineStr">
        <is>
          <t>Northeast</t>
        </is>
      </c>
      <c r="K35" t="n">
        <v>18</v>
      </c>
      <c r="L35" t="inlineStr">
        <is>
          <t>Full</t>
        </is>
      </c>
      <c r="M35" t="inlineStr">
        <is>
          <t>Saratoga Spa</t>
        </is>
      </c>
      <c r="N35" t="inlineStr">
        <is>
          <t>Blue</t>
        </is>
      </c>
      <c r="O35" t="n">
        <v>72.2</v>
      </c>
      <c r="P35" t="n">
        <v>128</v>
      </c>
      <c r="Q35" t="n">
        <v>6772</v>
      </c>
      <c r="R35" t="inlineStr">
        <is>
          <t>Match Play</t>
        </is>
      </c>
      <c r="S35" t="inlineStr">
        <is>
          <t>Singles</t>
        </is>
      </c>
      <c r="T35" t="inlineStr">
        <is>
          <t>Under 6'</t>
        </is>
      </c>
      <c r="U35" t="inlineStr">
        <is>
          <t>Jackson</t>
        </is>
      </c>
      <c r="V35" t="inlineStr">
        <is>
          <t>Jackson</t>
        </is>
      </c>
      <c r="W35" t="inlineStr">
        <is>
          <t>Blue</t>
        </is>
      </c>
      <c r="X35" t="n">
        <v>15</v>
      </c>
      <c r="AA35" t="n">
        <v>2</v>
      </c>
      <c r="AB35" t="inlineStr">
        <is>
          <t>L</t>
        </is>
      </c>
      <c r="AC35" t="inlineStr">
        <is>
          <t>5 &amp; 3</t>
        </is>
      </c>
      <c r="AD35" t="inlineStr">
        <is>
          <t>Connolly</t>
        </is>
      </c>
      <c r="AE35">
        <f>$V35&amp;$Y35</f>
        <v/>
      </c>
      <c r="AF35" t="n">
        <v>0</v>
      </c>
      <c r="AG35" t="n">
        <v>0</v>
      </c>
      <c r="AH35" t="n">
        <v>1</v>
      </c>
      <c r="AI35" t="n">
        <v>0</v>
      </c>
      <c r="AJ35" t="n">
        <v>0</v>
      </c>
      <c r="AK35" t="inlineStr">
        <is>
          <t>Connolly</t>
        </is>
      </c>
      <c r="AL35" t="n">
        <v>0.59375</v>
      </c>
    </row>
    <row r="36" ht="15" customHeight="1" s="2">
      <c r="B36" t="n">
        <v>18</v>
      </c>
      <c r="C36" t="n">
        <v>6</v>
      </c>
      <c r="D36" t="n">
        <v>1</v>
      </c>
      <c r="E36" t="inlineStr">
        <is>
          <t>FBC1-S-Grise-Poirier</t>
        </is>
      </c>
      <c r="F36" t="inlineStr">
        <is>
          <t>Sunday</t>
        </is>
      </c>
      <c r="G36" s="27" t="n">
        <v>41448</v>
      </c>
      <c r="H36" t="inlineStr">
        <is>
          <t>AM</t>
        </is>
      </c>
      <c r="I36" t="inlineStr">
        <is>
          <t>Saratoga, NY</t>
        </is>
      </c>
      <c r="J36" t="inlineStr">
        <is>
          <t>Northeast</t>
        </is>
      </c>
      <c r="K36" t="n">
        <v>18</v>
      </c>
      <c r="L36" t="inlineStr">
        <is>
          <t>Full</t>
        </is>
      </c>
      <c r="M36" t="inlineStr">
        <is>
          <t>Saratoga Spa</t>
        </is>
      </c>
      <c r="N36" t="inlineStr">
        <is>
          <t>Blue</t>
        </is>
      </c>
      <c r="O36" t="n">
        <v>72.2</v>
      </c>
      <c r="P36" t="n">
        <v>128</v>
      </c>
      <c r="Q36" t="n">
        <v>6772</v>
      </c>
      <c r="R36" t="inlineStr">
        <is>
          <t>Match Play</t>
        </is>
      </c>
      <c r="S36" t="inlineStr">
        <is>
          <t>Singles</t>
        </is>
      </c>
      <c r="T36" t="inlineStr">
        <is>
          <t>Under 6'</t>
        </is>
      </c>
      <c r="U36" t="inlineStr">
        <is>
          <t>Jackson</t>
        </is>
      </c>
      <c r="V36" t="inlineStr">
        <is>
          <t>Grise</t>
        </is>
      </c>
      <c r="W36" t="inlineStr">
        <is>
          <t>Blue</t>
        </is>
      </c>
      <c r="X36" t="n">
        <v>15</v>
      </c>
      <c r="AA36" t="n">
        <v>2</v>
      </c>
      <c r="AB36" t="inlineStr">
        <is>
          <t>L</t>
        </is>
      </c>
      <c r="AC36" t="inlineStr">
        <is>
          <t>6 &amp; 5</t>
        </is>
      </c>
      <c r="AD36" t="inlineStr">
        <is>
          <t>Poirier</t>
        </is>
      </c>
      <c r="AE36">
        <f>$V36&amp;$Y36</f>
        <v/>
      </c>
      <c r="AF36" t="n">
        <v>0</v>
      </c>
      <c r="AG36" t="n">
        <v>0</v>
      </c>
      <c r="AH36" t="n">
        <v>1</v>
      </c>
      <c r="AI36" t="n">
        <v>0</v>
      </c>
      <c r="AJ36" t="n">
        <v>0</v>
      </c>
      <c r="AK36" t="inlineStr">
        <is>
          <t>Poirier</t>
        </is>
      </c>
      <c r="AL36" t="n">
        <v>0.486111111111111</v>
      </c>
    </row>
    <row r="37" ht="15" customHeight="1" s="2">
      <c r="B37" t="n">
        <v>18</v>
      </c>
      <c r="C37" t="n">
        <v>6</v>
      </c>
      <c r="D37" t="n">
        <v>1</v>
      </c>
      <c r="E37" t="inlineStr">
        <is>
          <t>FBC1-S-Grise-Poirier</t>
        </is>
      </c>
      <c r="F37" t="inlineStr">
        <is>
          <t>Sunday</t>
        </is>
      </c>
      <c r="G37" s="27" t="n">
        <v>41448</v>
      </c>
      <c r="H37" t="inlineStr">
        <is>
          <t>AM</t>
        </is>
      </c>
      <c r="I37" t="inlineStr">
        <is>
          <t>Saratoga, NY</t>
        </is>
      </c>
      <c r="J37" t="inlineStr">
        <is>
          <t>Northeast</t>
        </is>
      </c>
      <c r="K37" t="n">
        <v>18</v>
      </c>
      <c r="L37" t="inlineStr">
        <is>
          <t>Full</t>
        </is>
      </c>
      <c r="M37" t="inlineStr">
        <is>
          <t>Saratoga Spa</t>
        </is>
      </c>
      <c r="N37" t="inlineStr">
        <is>
          <t>Blue</t>
        </is>
      </c>
      <c r="O37" t="n">
        <v>72.2</v>
      </c>
      <c r="P37" t="n">
        <v>128</v>
      </c>
      <c r="Q37" t="n">
        <v>6772</v>
      </c>
      <c r="R37" t="inlineStr">
        <is>
          <t>Match Play</t>
        </is>
      </c>
      <c r="S37" t="inlineStr">
        <is>
          <t>Singles</t>
        </is>
      </c>
      <c r="T37" t="inlineStr">
        <is>
          <t>Over 6'</t>
        </is>
      </c>
      <c r="U37" t="inlineStr">
        <is>
          <t>Hilts</t>
        </is>
      </c>
      <c r="V37" t="inlineStr">
        <is>
          <t>Poirier</t>
        </is>
      </c>
      <c r="W37" t="inlineStr">
        <is>
          <t>Blue</t>
        </is>
      </c>
      <c r="X37" t="n">
        <v>10</v>
      </c>
      <c r="AA37" t="n">
        <v>2</v>
      </c>
      <c r="AB37" t="inlineStr">
        <is>
          <t>W</t>
        </is>
      </c>
      <c r="AC37" t="inlineStr">
        <is>
          <t>6 &amp; 5</t>
        </is>
      </c>
      <c r="AD37" t="inlineStr">
        <is>
          <t>Grise</t>
        </is>
      </c>
      <c r="AE37">
        <f>$V37&amp;$Y37</f>
        <v/>
      </c>
      <c r="AF37" t="n">
        <v>2</v>
      </c>
      <c r="AG37" t="n">
        <v>1</v>
      </c>
      <c r="AH37" t="n">
        <v>0</v>
      </c>
      <c r="AI37" t="n">
        <v>0</v>
      </c>
      <c r="AJ37" t="n">
        <v>1</v>
      </c>
      <c r="AK37" t="inlineStr">
        <is>
          <t>Grise</t>
        </is>
      </c>
      <c r="AL37" t="n">
        <v>0.546875</v>
      </c>
    </row>
    <row r="38" ht="15" customHeight="1" s="2">
      <c r="B38" t="n">
        <v>1</v>
      </c>
      <c r="C38" t="n">
        <v>1</v>
      </c>
      <c r="D38" t="n">
        <v>2</v>
      </c>
      <c r="E38" t="inlineStr">
        <is>
          <t>FBC2-D1</t>
        </is>
      </c>
      <c r="F38" t="inlineStr">
        <is>
          <t>Saturday</t>
        </is>
      </c>
      <c r="G38" s="27" t="n">
        <v>41797</v>
      </c>
      <c r="H38" t="inlineStr">
        <is>
          <t>AM</t>
        </is>
      </c>
      <c r="I38" t="inlineStr">
        <is>
          <t>Verona, NY (Turning Stone)</t>
        </is>
      </c>
      <c r="J38" t="inlineStr">
        <is>
          <t>Northeast</t>
        </is>
      </c>
      <c r="K38" t="n">
        <v>9</v>
      </c>
      <c r="L38" t="inlineStr">
        <is>
          <t>Front</t>
        </is>
      </c>
      <c r="M38" t="inlineStr">
        <is>
          <t>Atunyote</t>
        </is>
      </c>
      <c r="N38" t="inlineStr">
        <is>
          <t>White</t>
        </is>
      </c>
      <c r="O38" t="n">
        <v>71.59999999999999</v>
      </c>
      <c r="P38" t="n">
        <v>131</v>
      </c>
      <c r="Q38" t="n">
        <v>6561</v>
      </c>
      <c r="R38" t="inlineStr">
        <is>
          <t>Best Ball</t>
        </is>
      </c>
      <c r="S38" t="inlineStr">
        <is>
          <t>Doubles</t>
        </is>
      </c>
      <c r="T38" t="inlineStr">
        <is>
          <t>Over 6'</t>
        </is>
      </c>
      <c r="U38" t="inlineStr">
        <is>
          <t>Connolly</t>
        </is>
      </c>
      <c r="V38" t="inlineStr">
        <is>
          <t>Grise</t>
        </is>
      </c>
      <c r="W38" t="inlineStr">
        <is>
          <t>Green</t>
        </is>
      </c>
      <c r="X38" t="n">
        <v>2</v>
      </c>
      <c r="Y38" t="inlineStr">
        <is>
          <t>Jackson</t>
        </is>
      </c>
      <c r="Z38" t="n">
        <v>0</v>
      </c>
      <c r="AA38" t="n">
        <v>1</v>
      </c>
      <c r="AB38" t="inlineStr">
        <is>
          <t>W</t>
        </is>
      </c>
      <c r="AC38" t="inlineStr">
        <is>
          <t>3 &amp; 1</t>
        </is>
      </c>
      <c r="AE38">
        <f>$V38&amp;$Y38</f>
        <v/>
      </c>
      <c r="AF38" t="n">
        <v>1</v>
      </c>
      <c r="AG38" t="n">
        <v>1</v>
      </c>
      <c r="AH38" t="n">
        <v>0</v>
      </c>
      <c r="AI38" t="n">
        <v>0</v>
      </c>
      <c r="AJ38" t="n">
        <v>1</v>
      </c>
      <c r="AK38" t="inlineStr">
        <is>
          <t>Buss</t>
        </is>
      </c>
      <c r="AL38" t="n">
        <v>0.448275862068966</v>
      </c>
      <c r="AM38" t="inlineStr">
        <is>
          <t>Fogan</t>
        </is>
      </c>
      <c r="AN38" t="n">
        <v>0.372881355932203</v>
      </c>
    </row>
    <row r="39" ht="15" customHeight="1" s="2">
      <c r="B39" t="n">
        <v>1</v>
      </c>
      <c r="C39" t="n">
        <v>1</v>
      </c>
      <c r="D39" t="n">
        <v>2</v>
      </c>
      <c r="E39" t="inlineStr">
        <is>
          <t>FBC2-D1</t>
        </is>
      </c>
      <c r="F39" t="inlineStr">
        <is>
          <t>Saturday</t>
        </is>
      </c>
      <c r="G39" s="27" t="n">
        <v>41797</v>
      </c>
      <c r="H39" t="inlineStr">
        <is>
          <t>AM</t>
        </is>
      </c>
      <c r="I39" t="inlineStr">
        <is>
          <t>Verona, NY (Turning Stone)</t>
        </is>
      </c>
      <c r="J39" t="inlineStr">
        <is>
          <t>Northeast</t>
        </is>
      </c>
      <c r="K39" t="n">
        <v>9</v>
      </c>
      <c r="L39" t="inlineStr">
        <is>
          <t>Front</t>
        </is>
      </c>
      <c r="M39" t="inlineStr">
        <is>
          <t>Atunyote</t>
        </is>
      </c>
      <c r="N39" t="inlineStr">
        <is>
          <t>White</t>
        </is>
      </c>
      <c r="O39" t="n">
        <v>71.59999999999999</v>
      </c>
      <c r="P39" t="n">
        <v>131</v>
      </c>
      <c r="Q39" t="n">
        <v>6561</v>
      </c>
      <c r="R39" t="inlineStr">
        <is>
          <t>Best Ball</t>
        </is>
      </c>
      <c r="S39" t="inlineStr">
        <is>
          <t>Doubles</t>
        </is>
      </c>
      <c r="T39" t="inlineStr">
        <is>
          <t>Over 6'</t>
        </is>
      </c>
      <c r="U39" t="inlineStr">
        <is>
          <t>Ferrin</t>
        </is>
      </c>
      <c r="V39" t="inlineStr">
        <is>
          <t>Buss</t>
        </is>
      </c>
      <c r="W39" t="inlineStr">
        <is>
          <t>Blue/White</t>
        </is>
      </c>
      <c r="X39" t="n">
        <v>0</v>
      </c>
      <c r="Y39" t="inlineStr">
        <is>
          <t>Fogan</t>
        </is>
      </c>
      <c r="Z39" t="n">
        <v>22</v>
      </c>
      <c r="AA39" t="n">
        <v>1</v>
      </c>
      <c r="AB39" t="inlineStr">
        <is>
          <t>L</t>
        </is>
      </c>
      <c r="AC39" t="inlineStr">
        <is>
          <t>3 &amp; 1</t>
        </is>
      </c>
      <c r="AE39">
        <f>$V39&amp;$Y39</f>
        <v/>
      </c>
      <c r="AF39" t="n">
        <v>0</v>
      </c>
      <c r="AG39" t="n">
        <v>0</v>
      </c>
      <c r="AH39" t="n">
        <v>1</v>
      </c>
      <c r="AI39" t="n">
        <v>0</v>
      </c>
      <c r="AJ39" t="n">
        <v>0</v>
      </c>
      <c r="AK39" t="inlineStr">
        <is>
          <t>Grise</t>
        </is>
      </c>
      <c r="AL39" t="n">
        <v>0.546875</v>
      </c>
      <c r="AM39" t="inlineStr">
        <is>
          <t>Jackson</t>
        </is>
      </c>
      <c r="AN39" t="n">
        <v>0.6171875</v>
      </c>
    </row>
    <row r="40" ht="15" customHeight="1" s="2">
      <c r="B40" t="n">
        <v>2</v>
      </c>
      <c r="C40" t="n">
        <v>2</v>
      </c>
      <c r="D40" t="n">
        <v>2</v>
      </c>
      <c r="E40" t="inlineStr">
        <is>
          <t>FBC2-D2</t>
        </is>
      </c>
      <c r="F40" t="inlineStr">
        <is>
          <t>Saturday</t>
        </is>
      </c>
      <c r="G40" s="27" t="n">
        <v>41797</v>
      </c>
      <c r="H40" t="inlineStr">
        <is>
          <t>AM</t>
        </is>
      </c>
      <c r="I40" t="inlineStr">
        <is>
          <t>Verona, NY (Turning Stone)</t>
        </is>
      </c>
      <c r="J40" t="inlineStr">
        <is>
          <t>Northeast</t>
        </is>
      </c>
      <c r="K40" t="n">
        <v>9</v>
      </c>
      <c r="L40" t="inlineStr">
        <is>
          <t>Front</t>
        </is>
      </c>
      <c r="M40" t="inlineStr">
        <is>
          <t>Atunyote</t>
        </is>
      </c>
      <c r="N40" t="inlineStr">
        <is>
          <t>White</t>
        </is>
      </c>
      <c r="O40" t="n">
        <v>71.59999999999999</v>
      </c>
      <c r="P40" t="n">
        <v>131</v>
      </c>
      <c r="Q40" t="n">
        <v>6561</v>
      </c>
      <c r="R40" t="inlineStr">
        <is>
          <t>Best Ball</t>
        </is>
      </c>
      <c r="S40" t="inlineStr">
        <is>
          <t>Doubles</t>
        </is>
      </c>
      <c r="T40" t="inlineStr">
        <is>
          <t>Over 6'</t>
        </is>
      </c>
      <c r="U40" t="inlineStr">
        <is>
          <t>Ferrin</t>
        </is>
      </c>
      <c r="V40" t="inlineStr">
        <is>
          <t>Ferrin</t>
        </is>
      </c>
      <c r="W40" t="inlineStr">
        <is>
          <t>Blue/White</t>
        </is>
      </c>
      <c r="X40" t="n">
        <v>12</v>
      </c>
      <c r="Y40" t="inlineStr">
        <is>
          <t>Weisberger</t>
        </is>
      </c>
      <c r="Z40" t="n">
        <v>5</v>
      </c>
      <c r="AA40" t="n">
        <v>1</v>
      </c>
      <c r="AB40" t="inlineStr">
        <is>
          <t>T</t>
        </is>
      </c>
      <c r="AC40" t="inlineStr">
        <is>
          <t>Halved</t>
        </is>
      </c>
      <c r="AE40">
        <f>$V40&amp;$Y40</f>
        <v/>
      </c>
      <c r="AF40" t="n">
        <v>0.5</v>
      </c>
      <c r="AG40" t="n">
        <v>0</v>
      </c>
      <c r="AH40" t="n">
        <v>0</v>
      </c>
      <c r="AI40" t="n">
        <v>1</v>
      </c>
      <c r="AJ40" t="n">
        <v>0.5</v>
      </c>
      <c r="AK40" t="inlineStr">
        <is>
          <t>Flanders</t>
        </is>
      </c>
      <c r="AL40" t="n">
        <v>0.4296875</v>
      </c>
      <c r="AM40" t="inlineStr">
        <is>
          <t>Forster</t>
        </is>
      </c>
      <c r="AN40" t="n">
        <v>0.596491228070175</v>
      </c>
    </row>
    <row r="41" ht="15" customHeight="1" s="2">
      <c r="B41" t="n">
        <v>2</v>
      </c>
      <c r="C41" t="n">
        <v>2</v>
      </c>
      <c r="D41" t="n">
        <v>2</v>
      </c>
      <c r="E41" t="inlineStr">
        <is>
          <t>FBC2-D2</t>
        </is>
      </c>
      <c r="F41" t="inlineStr">
        <is>
          <t>Saturday</t>
        </is>
      </c>
      <c r="G41" s="27" t="n">
        <v>41797</v>
      </c>
      <c r="H41" t="inlineStr">
        <is>
          <t>AM</t>
        </is>
      </c>
      <c r="I41" t="inlineStr">
        <is>
          <t>Verona, NY (Turning Stone)</t>
        </is>
      </c>
      <c r="J41" t="inlineStr">
        <is>
          <t>Northeast</t>
        </is>
      </c>
      <c r="K41" t="n">
        <v>9</v>
      </c>
      <c r="L41" t="inlineStr">
        <is>
          <t>Front</t>
        </is>
      </c>
      <c r="M41" t="inlineStr">
        <is>
          <t>Atunyote</t>
        </is>
      </c>
      <c r="N41" t="inlineStr">
        <is>
          <t>White</t>
        </is>
      </c>
      <c r="O41" t="n">
        <v>71.59999999999999</v>
      </c>
      <c r="P41" t="n">
        <v>131</v>
      </c>
      <c r="Q41" t="n">
        <v>6561</v>
      </c>
      <c r="R41" t="inlineStr">
        <is>
          <t>Best Ball</t>
        </is>
      </c>
      <c r="S41" t="inlineStr">
        <is>
          <t>Doubles</t>
        </is>
      </c>
      <c r="T41" t="inlineStr">
        <is>
          <t>Over 6'</t>
        </is>
      </c>
      <c r="U41" t="inlineStr">
        <is>
          <t>Connolly</t>
        </is>
      </c>
      <c r="V41" t="inlineStr">
        <is>
          <t>Flanders</t>
        </is>
      </c>
      <c r="W41" t="inlineStr">
        <is>
          <t>Green</t>
        </is>
      </c>
      <c r="X41" t="n">
        <v>5</v>
      </c>
      <c r="Y41" t="inlineStr">
        <is>
          <t>Forster</t>
        </is>
      </c>
      <c r="Z41" t="n">
        <v>21</v>
      </c>
      <c r="AA41" t="n">
        <v>1</v>
      </c>
      <c r="AB41" t="inlineStr">
        <is>
          <t>T</t>
        </is>
      </c>
      <c r="AC41" t="inlineStr">
        <is>
          <t>Halved</t>
        </is>
      </c>
      <c r="AE41">
        <f>$V41&amp;$Y41</f>
        <v/>
      </c>
      <c r="AF41" t="n">
        <v>0.5</v>
      </c>
      <c r="AG41" t="n">
        <v>0</v>
      </c>
      <c r="AH41" t="n">
        <v>0</v>
      </c>
      <c r="AI41" t="n">
        <v>1</v>
      </c>
      <c r="AJ41" t="n">
        <v>0.5</v>
      </c>
      <c r="AK41" t="inlineStr">
        <is>
          <t>Ferrin</t>
        </is>
      </c>
      <c r="AL41" t="n">
        <v>0.595238095238095</v>
      </c>
      <c r="AM41" t="inlineStr">
        <is>
          <t>Weisberger</t>
        </is>
      </c>
      <c r="AN41" t="n">
        <v>0.5</v>
      </c>
    </row>
    <row r="42" ht="15" customHeight="1" s="2">
      <c r="B42" t="n">
        <v>3</v>
      </c>
      <c r="C42" t="n">
        <v>3</v>
      </c>
      <c r="D42" t="n">
        <v>2</v>
      </c>
      <c r="E42" t="inlineStr">
        <is>
          <t>FBC2-D3</t>
        </is>
      </c>
      <c r="F42" t="inlineStr">
        <is>
          <t>Saturday</t>
        </is>
      </c>
      <c r="G42" s="27" t="n">
        <v>41797</v>
      </c>
      <c r="H42" t="inlineStr">
        <is>
          <t>AM</t>
        </is>
      </c>
      <c r="I42" t="inlineStr">
        <is>
          <t>Verona, NY (Turning Stone)</t>
        </is>
      </c>
      <c r="J42" t="inlineStr">
        <is>
          <t>Northeast</t>
        </is>
      </c>
      <c r="K42" t="n">
        <v>9</v>
      </c>
      <c r="L42" t="inlineStr">
        <is>
          <t>Front</t>
        </is>
      </c>
      <c r="M42" t="inlineStr">
        <is>
          <t>Atunyote</t>
        </is>
      </c>
      <c r="N42" t="inlineStr">
        <is>
          <t>White</t>
        </is>
      </c>
      <c r="O42" t="n">
        <v>71.59999999999999</v>
      </c>
      <c r="P42" t="n">
        <v>131</v>
      </c>
      <c r="Q42" t="n">
        <v>6561</v>
      </c>
      <c r="R42" t="inlineStr">
        <is>
          <t>Best Ball</t>
        </is>
      </c>
      <c r="S42" t="inlineStr">
        <is>
          <t>Doubles</t>
        </is>
      </c>
      <c r="T42" t="inlineStr">
        <is>
          <t>Over 6'</t>
        </is>
      </c>
      <c r="U42" t="inlineStr">
        <is>
          <t>Connolly</t>
        </is>
      </c>
      <c r="V42" t="inlineStr">
        <is>
          <t>Connolly</t>
        </is>
      </c>
      <c r="W42" t="inlineStr">
        <is>
          <t>Green</t>
        </is>
      </c>
      <c r="X42" t="n">
        <v>0</v>
      </c>
      <c r="Y42" t="inlineStr">
        <is>
          <t>Connors</t>
        </is>
      </c>
      <c r="Z42" t="n">
        <v>8</v>
      </c>
      <c r="AA42" t="n">
        <v>1</v>
      </c>
      <c r="AB42" t="inlineStr">
        <is>
          <t>T</t>
        </is>
      </c>
      <c r="AC42" t="inlineStr">
        <is>
          <t>Halved</t>
        </is>
      </c>
      <c r="AE42">
        <f>$V42&amp;$Y42</f>
        <v/>
      </c>
      <c r="AF42" t="n">
        <v>0.5</v>
      </c>
      <c r="AG42" t="n">
        <v>0</v>
      </c>
      <c r="AH42" t="n">
        <v>0</v>
      </c>
      <c r="AI42" t="n">
        <v>1</v>
      </c>
      <c r="AJ42" t="n">
        <v>0.5</v>
      </c>
      <c r="AK42" t="inlineStr">
        <is>
          <t>Cole</t>
        </is>
      </c>
      <c r="AL42" t="n">
        <v>0.440677966101695</v>
      </c>
      <c r="AM42" t="inlineStr">
        <is>
          <t>Mangold</t>
        </is>
      </c>
      <c r="AN42" t="n">
        <v>0.383928571428572</v>
      </c>
    </row>
    <row r="43" ht="15" customHeight="1" s="2">
      <c r="B43" t="n">
        <v>3</v>
      </c>
      <c r="C43" t="n">
        <v>3</v>
      </c>
      <c r="D43" t="n">
        <v>2</v>
      </c>
      <c r="E43" t="inlineStr">
        <is>
          <t>FBC2-D3</t>
        </is>
      </c>
      <c r="F43" t="inlineStr">
        <is>
          <t>Saturday</t>
        </is>
      </c>
      <c r="G43" s="27" t="n">
        <v>41797</v>
      </c>
      <c r="H43" t="inlineStr">
        <is>
          <t>AM</t>
        </is>
      </c>
      <c r="I43" t="inlineStr">
        <is>
          <t>Verona, NY (Turning Stone)</t>
        </is>
      </c>
      <c r="J43" t="inlineStr">
        <is>
          <t>Northeast</t>
        </is>
      </c>
      <c r="K43" t="n">
        <v>9</v>
      </c>
      <c r="L43" t="inlineStr">
        <is>
          <t>Front</t>
        </is>
      </c>
      <c r="M43" t="inlineStr">
        <is>
          <t>Atunyote</t>
        </is>
      </c>
      <c r="N43" t="inlineStr">
        <is>
          <t>White</t>
        </is>
      </c>
      <c r="O43" t="n">
        <v>71.59999999999999</v>
      </c>
      <c r="P43" t="n">
        <v>131</v>
      </c>
      <c r="Q43" t="n">
        <v>6561</v>
      </c>
      <c r="R43" t="inlineStr">
        <is>
          <t>Best Ball</t>
        </is>
      </c>
      <c r="S43" t="inlineStr">
        <is>
          <t>Doubles</t>
        </is>
      </c>
      <c r="T43" t="inlineStr">
        <is>
          <t>Over 6'</t>
        </is>
      </c>
      <c r="U43" t="inlineStr">
        <is>
          <t>Ferrin</t>
        </is>
      </c>
      <c r="V43" t="inlineStr">
        <is>
          <t>Cole</t>
        </is>
      </c>
      <c r="W43" t="inlineStr">
        <is>
          <t>Blue/White</t>
        </is>
      </c>
      <c r="X43" t="n">
        <v>24</v>
      </c>
      <c r="Y43" t="inlineStr">
        <is>
          <t>Mangold</t>
        </is>
      </c>
      <c r="Z43" t="n">
        <v>4</v>
      </c>
      <c r="AA43" t="n">
        <v>1</v>
      </c>
      <c r="AB43" t="inlineStr">
        <is>
          <t>T</t>
        </is>
      </c>
      <c r="AC43" t="inlineStr">
        <is>
          <t>Halved</t>
        </is>
      </c>
      <c r="AE43">
        <f>$V43&amp;$Y43</f>
        <v/>
      </c>
      <c r="AF43" t="n">
        <v>0.5</v>
      </c>
      <c r="AG43" t="n">
        <v>0</v>
      </c>
      <c r="AH43" t="n">
        <v>0</v>
      </c>
      <c r="AI43" t="n">
        <v>1</v>
      </c>
      <c r="AJ43" t="n">
        <v>0.5</v>
      </c>
      <c r="AK43" t="inlineStr">
        <is>
          <t>Connolly</t>
        </is>
      </c>
      <c r="AL43" t="n">
        <v>0.59375</v>
      </c>
      <c r="AM43" t="inlineStr">
        <is>
          <t>Connors</t>
        </is>
      </c>
      <c r="AN43" t="n">
        <v>0.347457627118644</v>
      </c>
    </row>
    <row r="44" ht="15" customHeight="1" s="2">
      <c r="B44" t="n">
        <v>4</v>
      </c>
      <c r="C44" t="n">
        <v>4</v>
      </c>
      <c r="D44" t="n">
        <v>2</v>
      </c>
      <c r="E44" t="inlineStr">
        <is>
          <t>FBC2-D4</t>
        </is>
      </c>
      <c r="F44" t="inlineStr">
        <is>
          <t>Saturday</t>
        </is>
      </c>
      <c r="G44" s="27" t="n">
        <v>41797</v>
      </c>
      <c r="H44" t="inlineStr">
        <is>
          <t>AM</t>
        </is>
      </c>
      <c r="I44" t="inlineStr">
        <is>
          <t>Verona, NY (Turning Stone)</t>
        </is>
      </c>
      <c r="J44" t="inlineStr">
        <is>
          <t>Northeast</t>
        </is>
      </c>
      <c r="K44" t="n">
        <v>9</v>
      </c>
      <c r="L44" t="inlineStr">
        <is>
          <t>Front</t>
        </is>
      </c>
      <c r="M44" t="inlineStr">
        <is>
          <t>Atunyote</t>
        </is>
      </c>
      <c r="N44" t="inlineStr">
        <is>
          <t>White</t>
        </is>
      </c>
      <c r="O44" t="n">
        <v>71.59999999999999</v>
      </c>
      <c r="P44" t="n">
        <v>131</v>
      </c>
      <c r="Q44" t="n">
        <v>6561</v>
      </c>
      <c r="R44" t="inlineStr">
        <is>
          <t>Best Ball</t>
        </is>
      </c>
      <c r="S44" t="inlineStr">
        <is>
          <t>Doubles</t>
        </is>
      </c>
      <c r="T44" t="inlineStr">
        <is>
          <t>Over 6'</t>
        </is>
      </c>
      <c r="U44" t="inlineStr">
        <is>
          <t>Ferrin</t>
        </is>
      </c>
      <c r="V44" t="inlineStr">
        <is>
          <t>Hickerson</t>
        </is>
      </c>
      <c r="W44" t="inlineStr">
        <is>
          <t>Blue/White</t>
        </is>
      </c>
      <c r="X44" t="n">
        <v>8</v>
      </c>
      <c r="Y44" t="inlineStr">
        <is>
          <t>Shively</t>
        </is>
      </c>
      <c r="Z44" t="n">
        <v>11</v>
      </c>
      <c r="AA44" t="n">
        <v>1</v>
      </c>
      <c r="AB44" t="inlineStr">
        <is>
          <t>L</t>
        </is>
      </c>
      <c r="AC44" t="inlineStr">
        <is>
          <t>2 UP</t>
        </is>
      </c>
      <c r="AE44">
        <f>$V44&amp;$Y44</f>
        <v/>
      </c>
      <c r="AF44" t="n">
        <v>0</v>
      </c>
      <c r="AG44" t="n">
        <v>0</v>
      </c>
      <c r="AH44" t="n">
        <v>1</v>
      </c>
      <c r="AI44" t="n">
        <v>0</v>
      </c>
      <c r="AJ44" t="n">
        <v>0</v>
      </c>
      <c r="AK44" t="inlineStr">
        <is>
          <t>Hilts</t>
        </is>
      </c>
      <c r="AL44" t="n">
        <v>0.473214285714286</v>
      </c>
      <c r="AM44" t="inlineStr">
        <is>
          <t>Lynch</t>
        </is>
      </c>
      <c r="AN44" t="n">
        <v>0.5546875</v>
      </c>
    </row>
    <row r="45" ht="15" customHeight="1" s="2">
      <c r="B45" t="n">
        <v>4</v>
      </c>
      <c r="C45" t="n">
        <v>4</v>
      </c>
      <c r="D45" t="n">
        <v>2</v>
      </c>
      <c r="E45" t="inlineStr">
        <is>
          <t>FBC2-D4</t>
        </is>
      </c>
      <c r="F45" t="inlineStr">
        <is>
          <t>Saturday</t>
        </is>
      </c>
      <c r="G45" s="27" t="n">
        <v>41797</v>
      </c>
      <c r="H45" t="inlineStr">
        <is>
          <t>AM</t>
        </is>
      </c>
      <c r="I45" t="inlineStr">
        <is>
          <t>Verona, NY (Turning Stone)</t>
        </is>
      </c>
      <c r="J45" t="inlineStr">
        <is>
          <t>Northeast</t>
        </is>
      </c>
      <c r="K45" t="n">
        <v>9</v>
      </c>
      <c r="L45" t="inlineStr">
        <is>
          <t>Front</t>
        </is>
      </c>
      <c r="M45" t="inlineStr">
        <is>
          <t>Atunyote</t>
        </is>
      </c>
      <c r="N45" t="inlineStr">
        <is>
          <t>White</t>
        </is>
      </c>
      <c r="O45" t="n">
        <v>71.59999999999999</v>
      </c>
      <c r="P45" t="n">
        <v>131</v>
      </c>
      <c r="Q45" t="n">
        <v>6561</v>
      </c>
      <c r="R45" t="inlineStr">
        <is>
          <t>Best Ball</t>
        </is>
      </c>
      <c r="S45" t="inlineStr">
        <is>
          <t>Doubles</t>
        </is>
      </c>
      <c r="T45" t="inlineStr">
        <is>
          <t>Over 6'</t>
        </is>
      </c>
      <c r="U45" t="inlineStr">
        <is>
          <t>Connolly</t>
        </is>
      </c>
      <c r="V45" t="inlineStr">
        <is>
          <t>Hilts</t>
        </is>
      </c>
      <c r="W45" t="inlineStr">
        <is>
          <t>Green</t>
        </is>
      </c>
      <c r="X45" t="n">
        <v>7</v>
      </c>
      <c r="Y45" t="inlineStr">
        <is>
          <t>Lynch</t>
        </is>
      </c>
      <c r="Z45" t="n">
        <v>8</v>
      </c>
      <c r="AA45" t="n">
        <v>1</v>
      </c>
      <c r="AB45" t="inlineStr">
        <is>
          <t>W</t>
        </is>
      </c>
      <c r="AC45" t="inlineStr">
        <is>
          <t>2 UP</t>
        </is>
      </c>
      <c r="AE45">
        <f>$V45&amp;$Y45</f>
        <v/>
      </c>
      <c r="AF45" t="n">
        <v>1</v>
      </c>
      <c r="AG45" t="n">
        <v>1</v>
      </c>
      <c r="AH45" t="n">
        <v>0</v>
      </c>
      <c r="AI45" t="n">
        <v>0</v>
      </c>
      <c r="AJ45" t="n">
        <v>1</v>
      </c>
      <c r="AK45" t="inlineStr">
        <is>
          <t>Hickerson</t>
        </is>
      </c>
      <c r="AL45" t="n">
        <v>0.357142857142857</v>
      </c>
      <c r="AM45" t="inlineStr">
        <is>
          <t>Shively</t>
        </is>
      </c>
    </row>
    <row r="46" ht="15" customHeight="1" s="2">
      <c r="B46" t="n">
        <v>5</v>
      </c>
      <c r="C46" t="n">
        <v>1</v>
      </c>
      <c r="D46" t="n">
        <v>2</v>
      </c>
      <c r="E46" t="inlineStr">
        <is>
          <t>FBC2-D5</t>
        </is>
      </c>
      <c r="F46" t="inlineStr">
        <is>
          <t>Saturday</t>
        </is>
      </c>
      <c r="G46" s="27" t="n">
        <v>41797</v>
      </c>
      <c r="H46" t="inlineStr">
        <is>
          <t>AM</t>
        </is>
      </c>
      <c r="I46" t="inlineStr">
        <is>
          <t>Verona, NY (Turning Stone)</t>
        </is>
      </c>
      <c r="J46" t="inlineStr">
        <is>
          <t>Northeast</t>
        </is>
      </c>
      <c r="K46" t="n">
        <v>9</v>
      </c>
      <c r="L46" t="inlineStr">
        <is>
          <t>Back</t>
        </is>
      </c>
      <c r="M46" t="inlineStr">
        <is>
          <t>Atunyote</t>
        </is>
      </c>
      <c r="N46" t="inlineStr">
        <is>
          <t>White</t>
        </is>
      </c>
      <c r="O46" t="n">
        <v>71.59999999999999</v>
      </c>
      <c r="P46" t="n">
        <v>131</v>
      </c>
      <c r="Q46" t="n">
        <v>6561</v>
      </c>
      <c r="R46" t="inlineStr">
        <is>
          <t>Shamble</t>
        </is>
      </c>
      <c r="S46" t="inlineStr">
        <is>
          <t>Doubles</t>
        </is>
      </c>
      <c r="T46" t="inlineStr">
        <is>
          <t>Over 6'</t>
        </is>
      </c>
      <c r="U46" t="inlineStr">
        <is>
          <t>Connolly</t>
        </is>
      </c>
      <c r="V46" t="inlineStr">
        <is>
          <t>Grise</t>
        </is>
      </c>
      <c r="W46" t="inlineStr">
        <is>
          <t>Green</t>
        </is>
      </c>
      <c r="X46" t="n">
        <v>2</v>
      </c>
      <c r="Y46" t="inlineStr">
        <is>
          <t>Jackson</t>
        </is>
      </c>
      <c r="Z46" t="n">
        <v>0</v>
      </c>
      <c r="AA46" t="n">
        <v>1</v>
      </c>
      <c r="AB46" t="inlineStr">
        <is>
          <t>W</t>
        </is>
      </c>
      <c r="AC46" t="inlineStr">
        <is>
          <t>4 &amp; 3</t>
        </is>
      </c>
      <c r="AE46">
        <f>$V46&amp;$Y46</f>
        <v/>
      </c>
      <c r="AF46" t="n">
        <v>1</v>
      </c>
      <c r="AG46" t="n">
        <v>1</v>
      </c>
      <c r="AH46" t="n">
        <v>0</v>
      </c>
      <c r="AI46" t="n">
        <v>0</v>
      </c>
      <c r="AJ46" t="n">
        <v>1</v>
      </c>
      <c r="AK46" t="inlineStr">
        <is>
          <t>Buss</t>
        </is>
      </c>
      <c r="AL46" t="n">
        <v>0.448275862068966</v>
      </c>
      <c r="AM46" t="inlineStr">
        <is>
          <t>Fogan</t>
        </is>
      </c>
      <c r="AN46" t="n">
        <v>0.372881355932203</v>
      </c>
    </row>
    <row r="47" ht="15" customHeight="1" s="2">
      <c r="B47" t="n">
        <v>5</v>
      </c>
      <c r="C47" t="n">
        <v>1</v>
      </c>
      <c r="D47" t="n">
        <v>2</v>
      </c>
      <c r="E47" t="inlineStr">
        <is>
          <t>FBC2-D5</t>
        </is>
      </c>
      <c r="F47" t="inlineStr">
        <is>
          <t>Saturday</t>
        </is>
      </c>
      <c r="G47" s="27" t="n">
        <v>41797</v>
      </c>
      <c r="H47" t="inlineStr">
        <is>
          <t>AM</t>
        </is>
      </c>
      <c r="I47" t="inlineStr">
        <is>
          <t>Verona, NY (Turning Stone)</t>
        </is>
      </c>
      <c r="J47" t="inlineStr">
        <is>
          <t>Northeast</t>
        </is>
      </c>
      <c r="K47" t="n">
        <v>9</v>
      </c>
      <c r="L47" t="inlineStr">
        <is>
          <t>Back</t>
        </is>
      </c>
      <c r="M47" t="inlineStr">
        <is>
          <t>Atunyote</t>
        </is>
      </c>
      <c r="N47" t="inlineStr">
        <is>
          <t>White</t>
        </is>
      </c>
      <c r="O47" t="n">
        <v>71.59999999999999</v>
      </c>
      <c r="P47" t="n">
        <v>131</v>
      </c>
      <c r="Q47" t="n">
        <v>6561</v>
      </c>
      <c r="R47" t="inlineStr">
        <is>
          <t>Shamble</t>
        </is>
      </c>
      <c r="S47" t="inlineStr">
        <is>
          <t>Doubles</t>
        </is>
      </c>
      <c r="T47" t="inlineStr">
        <is>
          <t>Over 6'</t>
        </is>
      </c>
      <c r="U47" t="inlineStr">
        <is>
          <t>Ferrin</t>
        </is>
      </c>
      <c r="V47" t="inlineStr">
        <is>
          <t>Buss</t>
        </is>
      </c>
      <c r="W47" t="inlineStr">
        <is>
          <t>Blue/White</t>
        </is>
      </c>
      <c r="X47" t="n">
        <v>0</v>
      </c>
      <c r="Y47" t="inlineStr">
        <is>
          <t>Fogan</t>
        </is>
      </c>
      <c r="Z47" t="n">
        <v>22</v>
      </c>
      <c r="AA47" t="n">
        <v>1</v>
      </c>
      <c r="AB47" t="inlineStr">
        <is>
          <t>L</t>
        </is>
      </c>
      <c r="AC47" t="inlineStr">
        <is>
          <t>4 &amp; 3</t>
        </is>
      </c>
      <c r="AE47">
        <f>$V47&amp;$Y47</f>
        <v/>
      </c>
      <c r="AF47" t="n">
        <v>0</v>
      </c>
      <c r="AG47" t="n">
        <v>0</v>
      </c>
      <c r="AH47" t="n">
        <v>1</v>
      </c>
      <c r="AI47" t="n">
        <v>0</v>
      </c>
      <c r="AJ47" t="n">
        <v>0</v>
      </c>
      <c r="AK47" t="inlineStr">
        <is>
          <t>Grise</t>
        </is>
      </c>
      <c r="AL47" t="n">
        <v>0.546875</v>
      </c>
      <c r="AM47" t="inlineStr">
        <is>
          <t>Jackson</t>
        </is>
      </c>
      <c r="AN47" t="n">
        <v>0.6171875</v>
      </c>
    </row>
    <row r="48" ht="15" customHeight="1" s="2">
      <c r="B48" t="n">
        <v>6</v>
      </c>
      <c r="C48" t="n">
        <v>2</v>
      </c>
      <c r="D48" t="n">
        <v>2</v>
      </c>
      <c r="E48" t="inlineStr">
        <is>
          <t>FBC2-D6</t>
        </is>
      </c>
      <c r="F48" t="inlineStr">
        <is>
          <t>Saturday</t>
        </is>
      </c>
      <c r="G48" s="27" t="n">
        <v>41797</v>
      </c>
      <c r="H48" t="inlineStr">
        <is>
          <t>AM</t>
        </is>
      </c>
      <c r="I48" t="inlineStr">
        <is>
          <t>Verona, NY (Turning Stone)</t>
        </is>
      </c>
      <c r="J48" t="inlineStr">
        <is>
          <t>Northeast</t>
        </is>
      </c>
      <c r="K48" t="n">
        <v>9</v>
      </c>
      <c r="L48" t="inlineStr">
        <is>
          <t>Back</t>
        </is>
      </c>
      <c r="M48" t="inlineStr">
        <is>
          <t>Atunyote</t>
        </is>
      </c>
      <c r="N48" t="inlineStr">
        <is>
          <t>White</t>
        </is>
      </c>
      <c r="O48" t="n">
        <v>71.59999999999999</v>
      </c>
      <c r="P48" t="n">
        <v>131</v>
      </c>
      <c r="Q48" t="n">
        <v>6561</v>
      </c>
      <c r="R48" t="inlineStr">
        <is>
          <t>Shamble</t>
        </is>
      </c>
      <c r="S48" t="inlineStr">
        <is>
          <t>Doubles</t>
        </is>
      </c>
      <c r="T48" t="inlineStr">
        <is>
          <t>Over 6'</t>
        </is>
      </c>
      <c r="U48" t="inlineStr">
        <is>
          <t>Ferrin</t>
        </is>
      </c>
      <c r="V48" t="inlineStr">
        <is>
          <t>Ferrin</t>
        </is>
      </c>
      <c r="W48" t="inlineStr">
        <is>
          <t>Blue/White</t>
        </is>
      </c>
      <c r="X48" t="n">
        <v>12</v>
      </c>
      <c r="Y48" t="inlineStr">
        <is>
          <t>Weisberger</t>
        </is>
      </c>
      <c r="Z48" t="n">
        <v>5</v>
      </c>
      <c r="AA48" t="n">
        <v>1</v>
      </c>
      <c r="AB48" t="inlineStr">
        <is>
          <t>L</t>
        </is>
      </c>
      <c r="AC48" t="inlineStr">
        <is>
          <t>4 &amp; 3</t>
        </is>
      </c>
      <c r="AE48">
        <f>$V48&amp;$Y48</f>
        <v/>
      </c>
      <c r="AF48" t="n">
        <v>0</v>
      </c>
      <c r="AG48" t="n">
        <v>0</v>
      </c>
      <c r="AH48" t="n">
        <v>1</v>
      </c>
      <c r="AI48" t="n">
        <v>0</v>
      </c>
      <c r="AJ48" t="n">
        <v>0</v>
      </c>
      <c r="AK48" t="inlineStr">
        <is>
          <t>Flanders</t>
        </is>
      </c>
      <c r="AL48" t="n">
        <v>0.4296875</v>
      </c>
      <c r="AM48" t="inlineStr">
        <is>
          <t>Forster</t>
        </is>
      </c>
      <c r="AN48" t="n">
        <v>0.596491228070175</v>
      </c>
    </row>
    <row r="49" ht="15" customHeight="1" s="2">
      <c r="B49" t="n">
        <v>6</v>
      </c>
      <c r="C49" t="n">
        <v>2</v>
      </c>
      <c r="D49" t="n">
        <v>2</v>
      </c>
      <c r="E49" t="inlineStr">
        <is>
          <t>FBC2-D6</t>
        </is>
      </c>
      <c r="F49" t="inlineStr">
        <is>
          <t>Saturday</t>
        </is>
      </c>
      <c r="G49" s="27" t="n">
        <v>41797</v>
      </c>
      <c r="H49" t="inlineStr">
        <is>
          <t>AM</t>
        </is>
      </c>
      <c r="I49" t="inlineStr">
        <is>
          <t>Verona, NY (Turning Stone)</t>
        </is>
      </c>
      <c r="J49" t="inlineStr">
        <is>
          <t>Northeast</t>
        </is>
      </c>
      <c r="K49" t="n">
        <v>9</v>
      </c>
      <c r="L49" t="inlineStr">
        <is>
          <t>Back</t>
        </is>
      </c>
      <c r="M49" t="inlineStr">
        <is>
          <t>Atunyote</t>
        </is>
      </c>
      <c r="N49" t="inlineStr">
        <is>
          <t>White</t>
        </is>
      </c>
      <c r="O49" t="n">
        <v>71.59999999999999</v>
      </c>
      <c r="P49" t="n">
        <v>131</v>
      </c>
      <c r="Q49" t="n">
        <v>6561</v>
      </c>
      <c r="R49" t="inlineStr">
        <is>
          <t>Shamble</t>
        </is>
      </c>
      <c r="S49" t="inlineStr">
        <is>
          <t>Doubles</t>
        </is>
      </c>
      <c r="T49" t="inlineStr">
        <is>
          <t>Over 6'</t>
        </is>
      </c>
      <c r="U49" t="inlineStr">
        <is>
          <t>Connolly</t>
        </is>
      </c>
      <c r="V49" t="inlineStr">
        <is>
          <t>Flanders</t>
        </is>
      </c>
      <c r="W49" t="inlineStr">
        <is>
          <t>Green</t>
        </is>
      </c>
      <c r="X49" t="n">
        <v>5</v>
      </c>
      <c r="Y49" t="inlineStr">
        <is>
          <t>Forster</t>
        </is>
      </c>
      <c r="Z49" t="n">
        <v>21</v>
      </c>
      <c r="AA49" t="n">
        <v>1</v>
      </c>
      <c r="AB49" t="inlineStr">
        <is>
          <t>W</t>
        </is>
      </c>
      <c r="AC49" t="inlineStr">
        <is>
          <t>4 &amp; 3</t>
        </is>
      </c>
      <c r="AE49">
        <f>$V49&amp;$Y49</f>
        <v/>
      </c>
      <c r="AF49" t="n">
        <v>1</v>
      </c>
      <c r="AG49" t="n">
        <v>1</v>
      </c>
      <c r="AH49" t="n">
        <v>0</v>
      </c>
      <c r="AI49" t="n">
        <v>0</v>
      </c>
      <c r="AJ49" t="n">
        <v>1</v>
      </c>
      <c r="AK49" t="inlineStr">
        <is>
          <t>Ferrin</t>
        </is>
      </c>
      <c r="AL49" t="n">
        <v>0.595238095238095</v>
      </c>
      <c r="AM49" t="inlineStr">
        <is>
          <t>Weisberger</t>
        </is>
      </c>
      <c r="AN49" t="n">
        <v>0.5</v>
      </c>
    </row>
    <row r="50" ht="15" customHeight="1" s="2">
      <c r="B50" t="n">
        <v>7</v>
      </c>
      <c r="C50" t="n">
        <v>3</v>
      </c>
      <c r="D50" t="n">
        <v>2</v>
      </c>
      <c r="E50" t="inlineStr">
        <is>
          <t>FBC2-D7</t>
        </is>
      </c>
      <c r="F50" t="inlineStr">
        <is>
          <t>Saturday</t>
        </is>
      </c>
      <c r="G50" s="27" t="n">
        <v>41797</v>
      </c>
      <c r="H50" t="inlineStr">
        <is>
          <t>AM</t>
        </is>
      </c>
      <c r="I50" t="inlineStr">
        <is>
          <t>Verona, NY (Turning Stone)</t>
        </is>
      </c>
      <c r="J50" t="inlineStr">
        <is>
          <t>Northeast</t>
        </is>
      </c>
      <c r="K50" t="n">
        <v>9</v>
      </c>
      <c r="L50" t="inlineStr">
        <is>
          <t>Back</t>
        </is>
      </c>
      <c r="M50" t="inlineStr">
        <is>
          <t>Atunyote</t>
        </is>
      </c>
      <c r="N50" t="inlineStr">
        <is>
          <t>White</t>
        </is>
      </c>
      <c r="O50" t="n">
        <v>71.59999999999999</v>
      </c>
      <c r="P50" t="n">
        <v>131</v>
      </c>
      <c r="Q50" t="n">
        <v>6561</v>
      </c>
      <c r="R50" t="inlineStr">
        <is>
          <t>Shamble</t>
        </is>
      </c>
      <c r="S50" t="inlineStr">
        <is>
          <t>Doubles</t>
        </is>
      </c>
      <c r="T50" t="inlineStr">
        <is>
          <t>Over 6'</t>
        </is>
      </c>
      <c r="U50" t="inlineStr">
        <is>
          <t>Connolly</t>
        </is>
      </c>
      <c r="V50" t="inlineStr">
        <is>
          <t>Connolly</t>
        </is>
      </c>
      <c r="W50" t="inlineStr">
        <is>
          <t>Green</t>
        </is>
      </c>
      <c r="X50" t="n">
        <v>0</v>
      </c>
      <c r="Y50" t="inlineStr">
        <is>
          <t>Connors</t>
        </is>
      </c>
      <c r="Z50" t="n">
        <v>8</v>
      </c>
      <c r="AA50" t="n">
        <v>1</v>
      </c>
      <c r="AB50" t="inlineStr">
        <is>
          <t>W</t>
        </is>
      </c>
      <c r="AC50" t="inlineStr">
        <is>
          <t>4 &amp; 3</t>
        </is>
      </c>
      <c r="AE50">
        <f>$V50&amp;$Y50</f>
        <v/>
      </c>
      <c r="AF50" t="n">
        <v>1</v>
      </c>
      <c r="AG50" t="n">
        <v>1</v>
      </c>
      <c r="AH50" t="n">
        <v>0</v>
      </c>
      <c r="AI50" t="n">
        <v>0</v>
      </c>
      <c r="AJ50" t="n">
        <v>1</v>
      </c>
      <c r="AK50" t="inlineStr">
        <is>
          <t>Cole</t>
        </is>
      </c>
      <c r="AL50" t="n">
        <v>0.440677966101695</v>
      </c>
      <c r="AM50" t="inlineStr">
        <is>
          <t>Mangold</t>
        </is>
      </c>
      <c r="AN50" t="n">
        <v>0.383928571428572</v>
      </c>
    </row>
    <row r="51" ht="15" customHeight="1" s="2">
      <c r="B51" t="n">
        <v>7</v>
      </c>
      <c r="C51" t="n">
        <v>3</v>
      </c>
      <c r="D51" t="n">
        <v>2</v>
      </c>
      <c r="E51" t="inlineStr">
        <is>
          <t>FBC2-D7</t>
        </is>
      </c>
      <c r="F51" t="inlineStr">
        <is>
          <t>Saturday</t>
        </is>
      </c>
      <c r="G51" s="27" t="n">
        <v>41797</v>
      </c>
      <c r="H51" t="inlineStr">
        <is>
          <t>AM</t>
        </is>
      </c>
      <c r="I51" t="inlineStr">
        <is>
          <t>Verona, NY (Turning Stone)</t>
        </is>
      </c>
      <c r="J51" t="inlineStr">
        <is>
          <t>Northeast</t>
        </is>
      </c>
      <c r="K51" t="n">
        <v>9</v>
      </c>
      <c r="L51" t="inlineStr">
        <is>
          <t>Back</t>
        </is>
      </c>
      <c r="M51" t="inlineStr">
        <is>
          <t>Atunyote</t>
        </is>
      </c>
      <c r="N51" t="inlineStr">
        <is>
          <t>White</t>
        </is>
      </c>
      <c r="O51" t="n">
        <v>71.59999999999999</v>
      </c>
      <c r="P51" t="n">
        <v>131</v>
      </c>
      <c r="Q51" t="n">
        <v>6561</v>
      </c>
      <c r="R51" t="inlineStr">
        <is>
          <t>Shamble</t>
        </is>
      </c>
      <c r="S51" t="inlineStr">
        <is>
          <t>Doubles</t>
        </is>
      </c>
      <c r="T51" t="inlineStr">
        <is>
          <t>Over 6'</t>
        </is>
      </c>
      <c r="U51" t="inlineStr">
        <is>
          <t>Ferrin</t>
        </is>
      </c>
      <c r="V51" t="inlineStr">
        <is>
          <t>Cole</t>
        </is>
      </c>
      <c r="W51" t="inlineStr">
        <is>
          <t>Blue/White</t>
        </is>
      </c>
      <c r="X51" t="n">
        <v>24</v>
      </c>
      <c r="Y51" t="inlineStr">
        <is>
          <t>Mangold</t>
        </is>
      </c>
      <c r="Z51" t="n">
        <v>4</v>
      </c>
      <c r="AA51" t="n">
        <v>1</v>
      </c>
      <c r="AB51" t="inlineStr">
        <is>
          <t>L</t>
        </is>
      </c>
      <c r="AC51" t="inlineStr">
        <is>
          <t>4 &amp; 3</t>
        </is>
      </c>
      <c r="AE51">
        <f>$V51&amp;$Y51</f>
        <v/>
      </c>
      <c r="AF51" t="n">
        <v>0</v>
      </c>
      <c r="AG51" t="n">
        <v>0</v>
      </c>
      <c r="AH51" t="n">
        <v>1</v>
      </c>
      <c r="AI51" t="n">
        <v>0</v>
      </c>
      <c r="AJ51" t="n">
        <v>0</v>
      </c>
      <c r="AK51" t="inlineStr">
        <is>
          <t>Connolly</t>
        </is>
      </c>
      <c r="AL51" t="n">
        <v>0.59375</v>
      </c>
      <c r="AM51" t="inlineStr">
        <is>
          <t>Connors</t>
        </is>
      </c>
      <c r="AN51" t="n">
        <v>0.347457627118644</v>
      </c>
    </row>
    <row r="52" ht="15" customHeight="1" s="2">
      <c r="B52" t="n">
        <v>8</v>
      </c>
      <c r="C52" t="n">
        <v>4</v>
      </c>
      <c r="D52" t="n">
        <v>2</v>
      </c>
      <c r="E52" t="inlineStr">
        <is>
          <t>FBC2-D8</t>
        </is>
      </c>
      <c r="F52" t="inlineStr">
        <is>
          <t>Saturday</t>
        </is>
      </c>
      <c r="G52" s="27" t="n">
        <v>41797</v>
      </c>
      <c r="H52" t="inlineStr">
        <is>
          <t>AM</t>
        </is>
      </c>
      <c r="I52" t="inlineStr">
        <is>
          <t>Verona, NY (Turning Stone)</t>
        </is>
      </c>
      <c r="J52" t="inlineStr">
        <is>
          <t>Northeast</t>
        </is>
      </c>
      <c r="K52" t="n">
        <v>9</v>
      </c>
      <c r="L52" t="inlineStr">
        <is>
          <t>Back</t>
        </is>
      </c>
      <c r="M52" t="inlineStr">
        <is>
          <t>Atunyote</t>
        </is>
      </c>
      <c r="N52" t="inlineStr">
        <is>
          <t>White</t>
        </is>
      </c>
      <c r="O52" t="n">
        <v>71.59999999999999</v>
      </c>
      <c r="P52" t="n">
        <v>131</v>
      </c>
      <c r="Q52" t="n">
        <v>6561</v>
      </c>
      <c r="R52" t="inlineStr">
        <is>
          <t>Shamble</t>
        </is>
      </c>
      <c r="S52" t="inlineStr">
        <is>
          <t>Doubles</t>
        </is>
      </c>
      <c r="T52" t="inlineStr">
        <is>
          <t>Over 6'</t>
        </is>
      </c>
      <c r="U52" t="inlineStr">
        <is>
          <t>Ferrin</t>
        </is>
      </c>
      <c r="V52" t="inlineStr">
        <is>
          <t>Hickerson</t>
        </is>
      </c>
      <c r="W52" t="inlineStr">
        <is>
          <t>Blue/White</t>
        </is>
      </c>
      <c r="X52" t="n">
        <v>8</v>
      </c>
      <c r="Y52" t="inlineStr">
        <is>
          <t>Shively</t>
        </is>
      </c>
      <c r="Z52" t="n">
        <v>11</v>
      </c>
      <c r="AA52" t="n">
        <v>1</v>
      </c>
      <c r="AB52" t="inlineStr">
        <is>
          <t>L</t>
        </is>
      </c>
      <c r="AC52" t="inlineStr">
        <is>
          <t>3 &amp; 2</t>
        </is>
      </c>
      <c r="AE52">
        <f>$V52&amp;$Y52</f>
        <v/>
      </c>
      <c r="AF52" t="n">
        <v>0</v>
      </c>
      <c r="AG52" t="n">
        <v>0</v>
      </c>
      <c r="AH52" t="n">
        <v>1</v>
      </c>
      <c r="AI52" t="n">
        <v>0</v>
      </c>
      <c r="AJ52" t="n">
        <v>0</v>
      </c>
      <c r="AK52" t="inlineStr">
        <is>
          <t>Hilts</t>
        </is>
      </c>
      <c r="AL52" t="n">
        <v>0.473214285714286</v>
      </c>
      <c r="AM52" t="inlineStr">
        <is>
          <t>Lynch</t>
        </is>
      </c>
      <c r="AN52" t="n">
        <v>0.5546875</v>
      </c>
    </row>
    <row r="53" ht="15" customHeight="1" s="2">
      <c r="B53" t="n">
        <v>8</v>
      </c>
      <c r="C53" t="n">
        <v>4</v>
      </c>
      <c r="D53" t="n">
        <v>2</v>
      </c>
      <c r="E53" t="inlineStr">
        <is>
          <t>FBC2-D8</t>
        </is>
      </c>
      <c r="F53" t="inlineStr">
        <is>
          <t>Saturday</t>
        </is>
      </c>
      <c r="G53" s="27" t="n">
        <v>41797</v>
      </c>
      <c r="H53" t="inlineStr">
        <is>
          <t>AM</t>
        </is>
      </c>
      <c r="I53" t="inlineStr">
        <is>
          <t>Verona, NY (Turning Stone)</t>
        </is>
      </c>
      <c r="J53" t="inlineStr">
        <is>
          <t>Northeast</t>
        </is>
      </c>
      <c r="K53" t="n">
        <v>9</v>
      </c>
      <c r="L53" t="inlineStr">
        <is>
          <t>Back</t>
        </is>
      </c>
      <c r="M53" t="inlineStr">
        <is>
          <t>Atunyote</t>
        </is>
      </c>
      <c r="N53" t="inlineStr">
        <is>
          <t>White</t>
        </is>
      </c>
      <c r="O53" t="n">
        <v>71.59999999999999</v>
      </c>
      <c r="P53" t="n">
        <v>131</v>
      </c>
      <c r="Q53" t="n">
        <v>6561</v>
      </c>
      <c r="R53" t="inlineStr">
        <is>
          <t>Shamble</t>
        </is>
      </c>
      <c r="S53" t="inlineStr">
        <is>
          <t>Doubles</t>
        </is>
      </c>
      <c r="T53" t="inlineStr">
        <is>
          <t>Over 6'</t>
        </is>
      </c>
      <c r="U53" t="inlineStr">
        <is>
          <t>Connolly</t>
        </is>
      </c>
      <c r="V53" t="inlineStr">
        <is>
          <t>Hilts</t>
        </is>
      </c>
      <c r="W53" t="inlineStr">
        <is>
          <t>Green</t>
        </is>
      </c>
      <c r="X53" t="n">
        <v>7</v>
      </c>
      <c r="Y53" t="inlineStr">
        <is>
          <t>Lynch</t>
        </is>
      </c>
      <c r="Z53" t="n">
        <v>8</v>
      </c>
      <c r="AA53" t="n">
        <v>1</v>
      </c>
      <c r="AB53" t="inlineStr">
        <is>
          <t>W</t>
        </is>
      </c>
      <c r="AC53" t="inlineStr">
        <is>
          <t>3 &amp; 2</t>
        </is>
      </c>
      <c r="AE53">
        <f>$V53&amp;$Y53</f>
        <v/>
      </c>
      <c r="AF53" t="n">
        <v>1</v>
      </c>
      <c r="AG53" t="n">
        <v>1</v>
      </c>
      <c r="AH53" t="n">
        <v>0</v>
      </c>
      <c r="AI53" t="n">
        <v>0</v>
      </c>
      <c r="AJ53" t="n">
        <v>1</v>
      </c>
      <c r="AK53" t="inlineStr">
        <is>
          <t>Hickerson</t>
        </is>
      </c>
      <c r="AL53" t="n">
        <v>0.357142857142857</v>
      </c>
      <c r="AM53" t="inlineStr">
        <is>
          <t>Shively</t>
        </is>
      </c>
    </row>
    <row r="54" ht="15" customHeight="1" s="2">
      <c r="B54" t="n">
        <v>9</v>
      </c>
      <c r="C54" t="n">
        <v>1</v>
      </c>
      <c r="D54" t="n">
        <v>2</v>
      </c>
      <c r="E54" t="inlineStr">
        <is>
          <t>FBC2-D9</t>
        </is>
      </c>
      <c r="F54" t="inlineStr">
        <is>
          <t>Saturday</t>
        </is>
      </c>
      <c r="G54" s="27" t="n">
        <v>41797</v>
      </c>
      <c r="H54" t="inlineStr">
        <is>
          <t>PM</t>
        </is>
      </c>
      <c r="I54" t="inlineStr">
        <is>
          <t>Verona, NY (Turning Stone)</t>
        </is>
      </c>
      <c r="J54" t="inlineStr">
        <is>
          <t>Northeast</t>
        </is>
      </c>
      <c r="K54" t="n">
        <v>9</v>
      </c>
      <c r="L54" t="inlineStr">
        <is>
          <t>Front</t>
        </is>
      </c>
      <c r="M54" t="inlineStr">
        <is>
          <t>Shenendoah</t>
        </is>
      </c>
      <c r="N54" t="inlineStr">
        <is>
          <t>White</t>
        </is>
      </c>
      <c r="O54" t="n">
        <v>70.59999999999999</v>
      </c>
      <c r="P54" t="n">
        <v>133</v>
      </c>
      <c r="Q54" t="n">
        <v>6328</v>
      </c>
      <c r="R54" t="inlineStr">
        <is>
          <t>Hi-Lo</t>
        </is>
      </c>
      <c r="S54" t="inlineStr">
        <is>
          <t>Doubles</t>
        </is>
      </c>
      <c r="T54" t="inlineStr">
        <is>
          <t>Over 6'</t>
        </is>
      </c>
      <c r="U54" t="inlineStr">
        <is>
          <t>Connolly</t>
        </is>
      </c>
      <c r="V54" t="inlineStr">
        <is>
          <t>Forster</t>
        </is>
      </c>
      <c r="W54" t="inlineStr">
        <is>
          <t>Green</t>
        </is>
      </c>
      <c r="X54" t="n">
        <v>21</v>
      </c>
      <c r="Y54" t="inlineStr">
        <is>
          <t>Lynch</t>
        </is>
      </c>
      <c r="Z54" t="n">
        <v>8</v>
      </c>
      <c r="AA54" t="n">
        <v>1</v>
      </c>
      <c r="AB54" t="inlineStr">
        <is>
          <t>W</t>
        </is>
      </c>
      <c r="AC54" t="inlineStr">
        <is>
          <t>7UP</t>
        </is>
      </c>
      <c r="AE54">
        <f>$V54&amp;$Y54</f>
        <v/>
      </c>
      <c r="AF54" t="n">
        <v>1</v>
      </c>
      <c r="AG54" t="n">
        <v>1</v>
      </c>
      <c r="AH54" t="n">
        <v>0</v>
      </c>
      <c r="AI54" t="n">
        <v>0</v>
      </c>
      <c r="AJ54" t="n">
        <v>1</v>
      </c>
      <c r="AK54" t="inlineStr">
        <is>
          <t>Cole</t>
        </is>
      </c>
      <c r="AL54" t="n">
        <v>0.440677966101695</v>
      </c>
      <c r="AM54" t="inlineStr">
        <is>
          <t>Ferrin</t>
        </is>
      </c>
      <c r="AN54" t="n">
        <v>0.595238095238095</v>
      </c>
    </row>
    <row r="55" ht="15" customHeight="1" s="2">
      <c r="B55" t="n">
        <v>9</v>
      </c>
      <c r="C55" t="n">
        <v>1</v>
      </c>
      <c r="D55" t="n">
        <v>2</v>
      </c>
      <c r="E55" t="inlineStr">
        <is>
          <t>FBC2-D9</t>
        </is>
      </c>
      <c r="F55" t="inlineStr">
        <is>
          <t>Saturday</t>
        </is>
      </c>
      <c r="G55" s="27" t="n">
        <v>41797</v>
      </c>
      <c r="H55" t="inlineStr">
        <is>
          <t>PM</t>
        </is>
      </c>
      <c r="I55" t="inlineStr">
        <is>
          <t>Verona, NY (Turning Stone)</t>
        </is>
      </c>
      <c r="J55" t="inlineStr">
        <is>
          <t>Northeast</t>
        </is>
      </c>
      <c r="K55" t="n">
        <v>9</v>
      </c>
      <c r="L55" t="inlineStr">
        <is>
          <t>Front</t>
        </is>
      </c>
      <c r="M55" t="inlineStr">
        <is>
          <t>Shenendoah</t>
        </is>
      </c>
      <c r="N55" t="inlineStr">
        <is>
          <t>White</t>
        </is>
      </c>
      <c r="O55" t="n">
        <v>70.59999999999999</v>
      </c>
      <c r="P55" t="n">
        <v>133</v>
      </c>
      <c r="Q55" t="n">
        <v>6328</v>
      </c>
      <c r="R55" t="inlineStr">
        <is>
          <t>Hi-Lo</t>
        </is>
      </c>
      <c r="S55" t="inlineStr">
        <is>
          <t>Doubles</t>
        </is>
      </c>
      <c r="T55" t="inlineStr">
        <is>
          <t>Over 6'</t>
        </is>
      </c>
      <c r="U55" t="inlineStr">
        <is>
          <t>Ferrin</t>
        </is>
      </c>
      <c r="V55" t="inlineStr">
        <is>
          <t>Cole</t>
        </is>
      </c>
      <c r="W55" t="inlineStr">
        <is>
          <t>Blue/White</t>
        </is>
      </c>
      <c r="X55" t="n">
        <v>24</v>
      </c>
      <c r="Y55" t="inlineStr">
        <is>
          <t>Ferrin</t>
        </is>
      </c>
      <c r="Z55" t="n">
        <v>12</v>
      </c>
      <c r="AA55" t="n">
        <v>1</v>
      </c>
      <c r="AB55" t="inlineStr">
        <is>
          <t>L</t>
        </is>
      </c>
      <c r="AC55" t="inlineStr">
        <is>
          <t>7UP</t>
        </is>
      </c>
      <c r="AE55">
        <f>$V55&amp;$Y55</f>
        <v/>
      </c>
      <c r="AF55" t="n">
        <v>0</v>
      </c>
      <c r="AG55" t="n">
        <v>0</v>
      </c>
      <c r="AH55" t="n">
        <v>1</v>
      </c>
      <c r="AI55" t="n">
        <v>0</v>
      </c>
      <c r="AJ55" t="n">
        <v>0</v>
      </c>
      <c r="AK55" t="inlineStr">
        <is>
          <t>Forster</t>
        </is>
      </c>
      <c r="AL55" t="n">
        <v>0.596491228070175</v>
      </c>
      <c r="AM55" t="inlineStr">
        <is>
          <t>Lynch</t>
        </is>
      </c>
      <c r="AN55" t="n">
        <v>0.5546875</v>
      </c>
    </row>
    <row r="56" ht="15" customHeight="1" s="2">
      <c r="B56" t="n">
        <v>10</v>
      </c>
      <c r="C56" t="n">
        <v>2</v>
      </c>
      <c r="D56" t="n">
        <v>2</v>
      </c>
      <c r="E56" t="inlineStr">
        <is>
          <t>FBC2-D10</t>
        </is>
      </c>
      <c r="F56" t="inlineStr">
        <is>
          <t>Saturday</t>
        </is>
      </c>
      <c r="G56" s="27" t="n">
        <v>41797</v>
      </c>
      <c r="H56" t="inlineStr">
        <is>
          <t>PM</t>
        </is>
      </c>
      <c r="I56" t="inlineStr">
        <is>
          <t>Verona, NY (Turning Stone)</t>
        </is>
      </c>
      <c r="J56" t="inlineStr">
        <is>
          <t>Northeast</t>
        </is>
      </c>
      <c r="K56" t="n">
        <v>9</v>
      </c>
      <c r="L56" t="inlineStr">
        <is>
          <t>Front</t>
        </is>
      </c>
      <c r="M56" t="inlineStr">
        <is>
          <t>Shenendoah</t>
        </is>
      </c>
      <c r="N56" t="inlineStr">
        <is>
          <t>White</t>
        </is>
      </c>
      <c r="O56" t="n">
        <v>70.59999999999999</v>
      </c>
      <c r="P56" t="n">
        <v>133</v>
      </c>
      <c r="Q56" t="n">
        <v>6328</v>
      </c>
      <c r="R56" t="inlineStr">
        <is>
          <t>Hi-Lo</t>
        </is>
      </c>
      <c r="S56" t="inlineStr">
        <is>
          <t>Doubles</t>
        </is>
      </c>
      <c r="T56" t="inlineStr">
        <is>
          <t>Over 6'</t>
        </is>
      </c>
      <c r="U56" t="inlineStr">
        <is>
          <t>Ferrin</t>
        </is>
      </c>
      <c r="V56" t="inlineStr">
        <is>
          <t>Fogan</t>
        </is>
      </c>
      <c r="W56" t="inlineStr">
        <is>
          <t>Blue/White</t>
        </is>
      </c>
      <c r="X56" t="n">
        <v>22</v>
      </c>
      <c r="Y56" t="inlineStr">
        <is>
          <t>Weisberger</t>
        </is>
      </c>
      <c r="Z56" t="n">
        <v>5</v>
      </c>
      <c r="AA56" t="n">
        <v>1</v>
      </c>
      <c r="AB56" t="inlineStr">
        <is>
          <t>L</t>
        </is>
      </c>
      <c r="AC56" t="inlineStr">
        <is>
          <t>2UP</t>
        </is>
      </c>
      <c r="AE56">
        <f>$V56&amp;$Y56</f>
        <v/>
      </c>
      <c r="AF56" t="n">
        <v>0</v>
      </c>
      <c r="AG56" t="n">
        <v>0</v>
      </c>
      <c r="AH56" t="n">
        <v>1</v>
      </c>
      <c r="AI56" t="n">
        <v>0</v>
      </c>
      <c r="AJ56" t="n">
        <v>0</v>
      </c>
      <c r="AK56" t="inlineStr">
        <is>
          <t>Connolly</t>
        </is>
      </c>
      <c r="AL56" t="n">
        <v>0.59375</v>
      </c>
      <c r="AM56" t="inlineStr">
        <is>
          <t>Jackson</t>
        </is>
      </c>
      <c r="AN56" t="n">
        <v>0.6171875</v>
      </c>
    </row>
    <row r="57" ht="15" customHeight="1" s="2">
      <c r="B57" t="n">
        <v>10</v>
      </c>
      <c r="C57" t="n">
        <v>2</v>
      </c>
      <c r="D57" t="n">
        <v>2</v>
      </c>
      <c r="E57" t="inlineStr">
        <is>
          <t>FBC2-D10</t>
        </is>
      </c>
      <c r="F57" t="inlineStr">
        <is>
          <t>Saturday</t>
        </is>
      </c>
      <c r="G57" s="27" t="n">
        <v>41797</v>
      </c>
      <c r="H57" t="inlineStr">
        <is>
          <t>PM</t>
        </is>
      </c>
      <c r="I57" t="inlineStr">
        <is>
          <t>Verona, NY (Turning Stone)</t>
        </is>
      </c>
      <c r="J57" t="inlineStr">
        <is>
          <t>Northeast</t>
        </is>
      </c>
      <c r="K57" t="n">
        <v>9</v>
      </c>
      <c r="L57" t="inlineStr">
        <is>
          <t>Front</t>
        </is>
      </c>
      <c r="M57" t="inlineStr">
        <is>
          <t>Shenendoah</t>
        </is>
      </c>
      <c r="N57" t="inlineStr">
        <is>
          <t>White</t>
        </is>
      </c>
      <c r="O57" t="n">
        <v>70.59999999999999</v>
      </c>
      <c r="P57" t="n">
        <v>133</v>
      </c>
      <c r="Q57" t="n">
        <v>6328</v>
      </c>
      <c r="R57" t="inlineStr">
        <is>
          <t>Hi-Lo</t>
        </is>
      </c>
      <c r="S57" t="inlineStr">
        <is>
          <t>Doubles</t>
        </is>
      </c>
      <c r="T57" t="inlineStr">
        <is>
          <t>Over 6'</t>
        </is>
      </c>
      <c r="U57" t="inlineStr">
        <is>
          <t>Connolly</t>
        </is>
      </c>
      <c r="V57" t="inlineStr">
        <is>
          <t>Connolly</t>
        </is>
      </c>
      <c r="W57" t="inlineStr">
        <is>
          <t>Green</t>
        </is>
      </c>
      <c r="X57" t="n">
        <v>0</v>
      </c>
      <c r="Y57" t="inlineStr">
        <is>
          <t>Jackson</t>
        </is>
      </c>
      <c r="Z57" t="n">
        <v>0</v>
      </c>
      <c r="AA57" t="n">
        <v>1</v>
      </c>
      <c r="AB57" t="inlineStr">
        <is>
          <t>W</t>
        </is>
      </c>
      <c r="AC57" t="inlineStr">
        <is>
          <t>2UP</t>
        </is>
      </c>
      <c r="AE57">
        <f>$V57&amp;$Y57</f>
        <v/>
      </c>
      <c r="AF57" t="n">
        <v>1</v>
      </c>
      <c r="AG57" t="n">
        <v>1</v>
      </c>
      <c r="AH57" t="n">
        <v>0</v>
      </c>
      <c r="AI57" t="n">
        <v>0</v>
      </c>
      <c r="AJ57" t="n">
        <v>1</v>
      </c>
      <c r="AK57" t="inlineStr">
        <is>
          <t>Fogan</t>
        </is>
      </c>
      <c r="AL57" t="n">
        <v>0.372881355932203</v>
      </c>
      <c r="AM57" t="inlineStr">
        <is>
          <t>Weisberger</t>
        </is>
      </c>
      <c r="AN57" t="n">
        <v>0.5</v>
      </c>
    </row>
    <row r="58" ht="15" customHeight="1" s="2">
      <c r="B58" t="n">
        <v>11</v>
      </c>
      <c r="C58" t="n">
        <v>3</v>
      </c>
      <c r="D58" t="n">
        <v>2</v>
      </c>
      <c r="E58" t="inlineStr">
        <is>
          <t>FBC2-D11</t>
        </is>
      </c>
      <c r="F58" t="inlineStr">
        <is>
          <t>Saturday</t>
        </is>
      </c>
      <c r="G58" s="27" t="n">
        <v>41797</v>
      </c>
      <c r="H58" t="inlineStr">
        <is>
          <t>PM</t>
        </is>
      </c>
      <c r="I58" t="inlineStr">
        <is>
          <t>Verona, NY (Turning Stone)</t>
        </is>
      </c>
      <c r="J58" t="inlineStr">
        <is>
          <t>Northeast</t>
        </is>
      </c>
      <c r="K58" t="n">
        <v>9</v>
      </c>
      <c r="L58" t="inlineStr">
        <is>
          <t>Front</t>
        </is>
      </c>
      <c r="M58" t="inlineStr">
        <is>
          <t>Shenendoah</t>
        </is>
      </c>
      <c r="N58" t="inlineStr">
        <is>
          <t>White</t>
        </is>
      </c>
      <c r="O58" t="n">
        <v>70.59999999999999</v>
      </c>
      <c r="P58" t="n">
        <v>133</v>
      </c>
      <c r="Q58" t="n">
        <v>6328</v>
      </c>
      <c r="R58" t="inlineStr">
        <is>
          <t>Hi-Lo</t>
        </is>
      </c>
      <c r="S58" t="inlineStr">
        <is>
          <t>Doubles</t>
        </is>
      </c>
      <c r="T58" t="inlineStr">
        <is>
          <t>Over 6'</t>
        </is>
      </c>
      <c r="U58" t="inlineStr">
        <is>
          <t>Connolly</t>
        </is>
      </c>
      <c r="V58" t="inlineStr">
        <is>
          <t>Flanders</t>
        </is>
      </c>
      <c r="W58" t="inlineStr">
        <is>
          <t>Green</t>
        </is>
      </c>
      <c r="X58" t="n">
        <v>5</v>
      </c>
      <c r="Y58" t="inlineStr">
        <is>
          <t>Hilts</t>
        </is>
      </c>
      <c r="Z58" t="n">
        <v>7</v>
      </c>
      <c r="AA58" t="n">
        <v>1</v>
      </c>
      <c r="AB58" t="inlineStr">
        <is>
          <t>L</t>
        </is>
      </c>
      <c r="AC58" t="inlineStr">
        <is>
          <t>1UP</t>
        </is>
      </c>
      <c r="AE58">
        <f>$V58&amp;$Y58</f>
        <v/>
      </c>
      <c r="AF58" t="n">
        <v>0</v>
      </c>
      <c r="AG58" t="n">
        <v>0</v>
      </c>
      <c r="AH58" t="n">
        <v>1</v>
      </c>
      <c r="AI58" t="n">
        <v>0</v>
      </c>
      <c r="AJ58" t="n">
        <v>0</v>
      </c>
      <c r="AK58" t="inlineStr">
        <is>
          <t>Buss</t>
        </is>
      </c>
      <c r="AL58" t="n">
        <v>0.448275862068966</v>
      </c>
      <c r="AM58" t="inlineStr">
        <is>
          <t>Hickerson</t>
        </is>
      </c>
      <c r="AN58" t="n">
        <v>0.357142857142857</v>
      </c>
    </row>
    <row r="59" ht="15" customHeight="1" s="2">
      <c r="B59" t="n">
        <v>11</v>
      </c>
      <c r="C59" t="n">
        <v>3</v>
      </c>
      <c r="D59" t="n">
        <v>2</v>
      </c>
      <c r="E59" t="inlineStr">
        <is>
          <t>FBC2-D11</t>
        </is>
      </c>
      <c r="F59" t="inlineStr">
        <is>
          <t>Saturday</t>
        </is>
      </c>
      <c r="G59" s="27" t="n">
        <v>41797</v>
      </c>
      <c r="H59" t="inlineStr">
        <is>
          <t>PM</t>
        </is>
      </c>
      <c r="I59" t="inlineStr">
        <is>
          <t>Verona, NY (Turning Stone)</t>
        </is>
      </c>
      <c r="J59" t="inlineStr">
        <is>
          <t>Northeast</t>
        </is>
      </c>
      <c r="K59" t="n">
        <v>9</v>
      </c>
      <c r="L59" t="inlineStr">
        <is>
          <t>Front</t>
        </is>
      </c>
      <c r="M59" t="inlineStr">
        <is>
          <t>Shenendoah</t>
        </is>
      </c>
      <c r="N59" t="inlineStr">
        <is>
          <t>White</t>
        </is>
      </c>
      <c r="O59" t="n">
        <v>70.59999999999999</v>
      </c>
      <c r="P59" t="n">
        <v>133</v>
      </c>
      <c r="Q59" t="n">
        <v>6328</v>
      </c>
      <c r="R59" t="inlineStr">
        <is>
          <t>Hi-Lo</t>
        </is>
      </c>
      <c r="S59" t="inlineStr">
        <is>
          <t>Doubles</t>
        </is>
      </c>
      <c r="T59" t="inlineStr">
        <is>
          <t>Over 6'</t>
        </is>
      </c>
      <c r="U59" t="inlineStr">
        <is>
          <t>Ferrin</t>
        </is>
      </c>
      <c r="V59" t="inlineStr">
        <is>
          <t>Buss</t>
        </is>
      </c>
      <c r="W59" t="inlineStr">
        <is>
          <t>Blue/White</t>
        </is>
      </c>
      <c r="X59" t="n">
        <v>0</v>
      </c>
      <c r="Y59" t="inlineStr">
        <is>
          <t>Hickerson</t>
        </is>
      </c>
      <c r="Z59" t="n">
        <v>8</v>
      </c>
      <c r="AA59" t="n">
        <v>1</v>
      </c>
      <c r="AB59" t="inlineStr">
        <is>
          <t>W</t>
        </is>
      </c>
      <c r="AC59" t="inlineStr">
        <is>
          <t>1UP</t>
        </is>
      </c>
      <c r="AE59">
        <f>$V59&amp;$Y59</f>
        <v/>
      </c>
      <c r="AF59" t="n">
        <v>1</v>
      </c>
      <c r="AG59" t="n">
        <v>1</v>
      </c>
      <c r="AH59" t="n">
        <v>0</v>
      </c>
      <c r="AI59" t="n">
        <v>0</v>
      </c>
      <c r="AJ59" t="n">
        <v>1</v>
      </c>
      <c r="AK59" t="inlineStr">
        <is>
          <t>Flanders</t>
        </is>
      </c>
      <c r="AL59" t="n">
        <v>0.4296875</v>
      </c>
      <c r="AM59" t="inlineStr">
        <is>
          <t>Hilts</t>
        </is>
      </c>
      <c r="AN59" t="n">
        <v>0.473214285714286</v>
      </c>
    </row>
    <row r="60" ht="15" customHeight="1" s="2">
      <c r="B60" t="n">
        <v>12</v>
      </c>
      <c r="C60" t="n">
        <v>4</v>
      </c>
      <c r="D60" t="n">
        <v>2</v>
      </c>
      <c r="E60" t="inlineStr">
        <is>
          <t>FBC2-D12</t>
        </is>
      </c>
      <c r="F60" t="inlineStr">
        <is>
          <t>Saturday</t>
        </is>
      </c>
      <c r="G60" s="27" t="n">
        <v>41797</v>
      </c>
      <c r="H60" t="inlineStr">
        <is>
          <t>PM</t>
        </is>
      </c>
      <c r="I60" t="inlineStr">
        <is>
          <t>Verona, NY (Turning Stone)</t>
        </is>
      </c>
      <c r="J60" t="inlineStr">
        <is>
          <t>Northeast</t>
        </is>
      </c>
      <c r="K60" t="n">
        <v>9</v>
      </c>
      <c r="L60" t="inlineStr">
        <is>
          <t>Front</t>
        </is>
      </c>
      <c r="M60" t="inlineStr">
        <is>
          <t>Shenendoah</t>
        </is>
      </c>
      <c r="N60" t="inlineStr">
        <is>
          <t>White</t>
        </is>
      </c>
      <c r="O60" t="n">
        <v>70.59999999999999</v>
      </c>
      <c r="P60" t="n">
        <v>133</v>
      </c>
      <c r="Q60" t="n">
        <v>6328</v>
      </c>
      <c r="R60" t="inlineStr">
        <is>
          <t>Hi-Lo</t>
        </is>
      </c>
      <c r="S60" t="inlineStr">
        <is>
          <t>Doubles</t>
        </is>
      </c>
      <c r="T60" t="inlineStr">
        <is>
          <t>Over 6'</t>
        </is>
      </c>
      <c r="U60" t="inlineStr">
        <is>
          <t>Ferrin</t>
        </is>
      </c>
      <c r="V60" t="inlineStr">
        <is>
          <t>Mangold</t>
        </is>
      </c>
      <c r="W60" t="inlineStr">
        <is>
          <t>Blue/White</t>
        </is>
      </c>
      <c r="X60" t="n">
        <v>4</v>
      </c>
      <c r="Y60" t="inlineStr">
        <is>
          <t>Shively</t>
        </is>
      </c>
      <c r="Z60" t="n">
        <v>11</v>
      </c>
      <c r="AA60" t="n">
        <v>1</v>
      </c>
      <c r="AB60" t="inlineStr">
        <is>
          <t>W</t>
        </is>
      </c>
      <c r="AC60" t="inlineStr">
        <is>
          <t>4UP</t>
        </is>
      </c>
      <c r="AE60">
        <f>$V60&amp;$Y60</f>
        <v/>
      </c>
      <c r="AF60" t="n">
        <v>1</v>
      </c>
      <c r="AG60" t="n">
        <v>1</v>
      </c>
      <c r="AH60" t="n">
        <v>0</v>
      </c>
      <c r="AI60" t="n">
        <v>0</v>
      </c>
      <c r="AJ60" t="n">
        <v>1</v>
      </c>
      <c r="AK60" t="inlineStr">
        <is>
          <t>Connors</t>
        </is>
      </c>
      <c r="AL60" t="n">
        <v>0.347457627118644</v>
      </c>
      <c r="AM60" t="inlineStr">
        <is>
          <t>Grise</t>
        </is>
      </c>
      <c r="AN60" t="n">
        <v>0.546875</v>
      </c>
    </row>
    <row r="61" ht="15" customHeight="1" s="2">
      <c r="B61" t="n">
        <v>12</v>
      </c>
      <c r="C61" t="n">
        <v>4</v>
      </c>
      <c r="D61" t="n">
        <v>2</v>
      </c>
      <c r="E61" t="inlineStr">
        <is>
          <t>FBC2-D12</t>
        </is>
      </c>
      <c r="F61" t="inlineStr">
        <is>
          <t>Saturday</t>
        </is>
      </c>
      <c r="G61" s="27" t="n">
        <v>41797</v>
      </c>
      <c r="H61" t="inlineStr">
        <is>
          <t>PM</t>
        </is>
      </c>
      <c r="I61" t="inlineStr">
        <is>
          <t>Verona, NY (Turning Stone)</t>
        </is>
      </c>
      <c r="J61" t="inlineStr">
        <is>
          <t>Northeast</t>
        </is>
      </c>
      <c r="K61" t="n">
        <v>9</v>
      </c>
      <c r="L61" t="inlineStr">
        <is>
          <t>Front</t>
        </is>
      </c>
      <c r="M61" t="inlineStr">
        <is>
          <t>Shenendoah</t>
        </is>
      </c>
      <c r="N61" t="inlineStr">
        <is>
          <t>White</t>
        </is>
      </c>
      <c r="O61" t="n">
        <v>70.59999999999999</v>
      </c>
      <c r="P61" t="n">
        <v>133</v>
      </c>
      <c r="Q61" t="n">
        <v>6328</v>
      </c>
      <c r="R61" t="inlineStr">
        <is>
          <t>Hi-Lo</t>
        </is>
      </c>
      <c r="S61" t="inlineStr">
        <is>
          <t>Doubles</t>
        </is>
      </c>
      <c r="T61" t="inlineStr">
        <is>
          <t>Over 6'</t>
        </is>
      </c>
      <c r="U61" t="inlineStr">
        <is>
          <t>Connolly</t>
        </is>
      </c>
      <c r="V61" t="inlineStr">
        <is>
          <t>Connors</t>
        </is>
      </c>
      <c r="W61" t="inlineStr">
        <is>
          <t>Green</t>
        </is>
      </c>
      <c r="X61" t="n">
        <v>8</v>
      </c>
      <c r="Y61" t="inlineStr">
        <is>
          <t>Grise</t>
        </is>
      </c>
      <c r="Z61" t="n">
        <v>2</v>
      </c>
      <c r="AA61" t="n">
        <v>1</v>
      </c>
      <c r="AB61" t="inlineStr">
        <is>
          <t>L</t>
        </is>
      </c>
      <c r="AC61" t="inlineStr">
        <is>
          <t>4UP</t>
        </is>
      </c>
      <c r="AE61">
        <f>$V61&amp;$Y61</f>
        <v/>
      </c>
      <c r="AF61" t="n">
        <v>0</v>
      </c>
      <c r="AG61" t="n">
        <v>0</v>
      </c>
      <c r="AH61" t="n">
        <v>1</v>
      </c>
      <c r="AI61" t="n">
        <v>0</v>
      </c>
      <c r="AJ61" t="n">
        <v>0</v>
      </c>
      <c r="AK61" t="inlineStr">
        <is>
          <t>Mangold</t>
        </is>
      </c>
      <c r="AL61" t="n">
        <v>0.383928571428572</v>
      </c>
      <c r="AM61" t="inlineStr">
        <is>
          <t>Shively</t>
        </is>
      </c>
    </row>
    <row r="62" ht="15" customHeight="1" s="2">
      <c r="B62" t="n">
        <v>13</v>
      </c>
      <c r="C62" t="n">
        <v>1</v>
      </c>
      <c r="D62" t="n">
        <v>2</v>
      </c>
      <c r="E62" t="inlineStr">
        <is>
          <t>FBC2-D13</t>
        </is>
      </c>
      <c r="F62" t="inlineStr">
        <is>
          <t>Saturday</t>
        </is>
      </c>
      <c r="G62" s="27" t="n">
        <v>41797</v>
      </c>
      <c r="H62" t="inlineStr">
        <is>
          <t>PM</t>
        </is>
      </c>
      <c r="I62" t="inlineStr">
        <is>
          <t>Verona, NY (Turning Stone)</t>
        </is>
      </c>
      <c r="J62" t="inlineStr">
        <is>
          <t>Northeast</t>
        </is>
      </c>
      <c r="K62" t="n">
        <v>9</v>
      </c>
      <c r="L62" t="inlineStr">
        <is>
          <t>Back</t>
        </is>
      </c>
      <c r="M62" t="inlineStr">
        <is>
          <t>Shenendoah</t>
        </is>
      </c>
      <c r="N62" t="inlineStr">
        <is>
          <t>White</t>
        </is>
      </c>
      <c r="O62" t="n">
        <v>70.59999999999999</v>
      </c>
      <c r="P62" t="n">
        <v>133</v>
      </c>
      <c r="Q62" t="n">
        <v>6328</v>
      </c>
      <c r="R62" t="inlineStr">
        <is>
          <t>Scramble-Stableford</t>
        </is>
      </c>
      <c r="S62" t="inlineStr">
        <is>
          <t>Doubles</t>
        </is>
      </c>
      <c r="T62" t="inlineStr">
        <is>
          <t>Over 6'</t>
        </is>
      </c>
      <c r="U62" t="inlineStr">
        <is>
          <t>Connolly</t>
        </is>
      </c>
      <c r="V62" t="inlineStr">
        <is>
          <t>Forster</t>
        </is>
      </c>
      <c r="W62" t="inlineStr">
        <is>
          <t>Green</t>
        </is>
      </c>
      <c r="X62" t="n">
        <v>21</v>
      </c>
      <c r="Y62" t="inlineStr">
        <is>
          <t>Lynch</t>
        </is>
      </c>
      <c r="Z62" t="n">
        <v>8</v>
      </c>
      <c r="AA62" t="n">
        <v>1</v>
      </c>
      <c r="AB62" t="inlineStr">
        <is>
          <t>W</t>
        </is>
      </c>
      <c r="AC62" t="inlineStr">
        <is>
          <t>11.5-7</t>
        </is>
      </c>
      <c r="AE62">
        <f>$V62&amp;$Y62</f>
        <v/>
      </c>
      <c r="AF62" t="n">
        <v>1</v>
      </c>
      <c r="AG62" t="n">
        <v>1</v>
      </c>
      <c r="AH62" t="n">
        <v>0</v>
      </c>
      <c r="AI62" t="n">
        <v>0</v>
      </c>
      <c r="AJ62" t="n">
        <v>1</v>
      </c>
      <c r="AK62" t="inlineStr">
        <is>
          <t>Cole</t>
        </is>
      </c>
      <c r="AL62" t="n">
        <v>0.440677966101695</v>
      </c>
      <c r="AM62" t="inlineStr">
        <is>
          <t>Ferrin</t>
        </is>
      </c>
      <c r="AN62" t="n">
        <v>0.595238095238095</v>
      </c>
    </row>
    <row r="63" ht="15" customHeight="1" s="2">
      <c r="B63" t="n">
        <v>13</v>
      </c>
      <c r="C63" t="n">
        <v>1</v>
      </c>
      <c r="D63" t="n">
        <v>2</v>
      </c>
      <c r="E63" t="inlineStr">
        <is>
          <t>FBC2-D13</t>
        </is>
      </c>
      <c r="F63" t="inlineStr">
        <is>
          <t>Saturday</t>
        </is>
      </c>
      <c r="G63" s="27" t="n">
        <v>41797</v>
      </c>
      <c r="H63" t="inlineStr">
        <is>
          <t>PM</t>
        </is>
      </c>
      <c r="I63" t="inlineStr">
        <is>
          <t>Verona, NY (Turning Stone)</t>
        </is>
      </c>
      <c r="J63" t="inlineStr">
        <is>
          <t>Northeast</t>
        </is>
      </c>
      <c r="K63" t="n">
        <v>9</v>
      </c>
      <c r="L63" t="inlineStr">
        <is>
          <t>Back</t>
        </is>
      </c>
      <c r="M63" t="inlineStr">
        <is>
          <t>Shenendoah</t>
        </is>
      </c>
      <c r="N63" t="inlineStr">
        <is>
          <t>White</t>
        </is>
      </c>
      <c r="O63" t="n">
        <v>70.59999999999999</v>
      </c>
      <c r="P63" t="n">
        <v>133</v>
      </c>
      <c r="Q63" t="n">
        <v>6328</v>
      </c>
      <c r="R63" t="inlineStr">
        <is>
          <t>Scramble-Stableford</t>
        </is>
      </c>
      <c r="S63" t="inlineStr">
        <is>
          <t>Doubles</t>
        </is>
      </c>
      <c r="T63" t="inlineStr">
        <is>
          <t>Over 6'</t>
        </is>
      </c>
      <c r="U63" t="inlineStr">
        <is>
          <t>Ferrin</t>
        </is>
      </c>
      <c r="V63" t="inlineStr">
        <is>
          <t>Cole</t>
        </is>
      </c>
      <c r="W63" t="inlineStr">
        <is>
          <t>Blue/White</t>
        </is>
      </c>
      <c r="X63" t="n">
        <v>24</v>
      </c>
      <c r="Y63" t="inlineStr">
        <is>
          <t>Ferrin</t>
        </is>
      </c>
      <c r="Z63" t="n">
        <v>12</v>
      </c>
      <c r="AA63" t="n">
        <v>1</v>
      </c>
      <c r="AB63" t="inlineStr">
        <is>
          <t>L</t>
        </is>
      </c>
      <c r="AC63" t="inlineStr">
        <is>
          <t>11.5-7</t>
        </is>
      </c>
      <c r="AE63">
        <f>$V63&amp;$Y63</f>
        <v/>
      </c>
      <c r="AF63" t="n">
        <v>0</v>
      </c>
      <c r="AG63" t="n">
        <v>0</v>
      </c>
      <c r="AH63" t="n">
        <v>1</v>
      </c>
      <c r="AI63" t="n">
        <v>0</v>
      </c>
      <c r="AJ63" t="n">
        <v>0</v>
      </c>
      <c r="AK63" t="inlineStr">
        <is>
          <t>Forster</t>
        </is>
      </c>
      <c r="AL63" t="n">
        <v>0.596491228070175</v>
      </c>
      <c r="AM63" t="inlineStr">
        <is>
          <t>Lynch</t>
        </is>
      </c>
      <c r="AN63" t="n">
        <v>0.5546875</v>
      </c>
    </row>
    <row r="64" ht="15" customHeight="1" s="2">
      <c r="B64" t="n">
        <v>14</v>
      </c>
      <c r="C64" t="n">
        <v>2</v>
      </c>
      <c r="D64" t="n">
        <v>2</v>
      </c>
      <c r="E64" t="inlineStr">
        <is>
          <t>FBC2-D14</t>
        </is>
      </c>
      <c r="F64" t="inlineStr">
        <is>
          <t>Saturday</t>
        </is>
      </c>
      <c r="G64" s="27" t="n">
        <v>41797</v>
      </c>
      <c r="H64" t="inlineStr">
        <is>
          <t>PM</t>
        </is>
      </c>
      <c r="I64" t="inlineStr">
        <is>
          <t>Verona, NY (Turning Stone)</t>
        </is>
      </c>
      <c r="J64" t="inlineStr">
        <is>
          <t>Northeast</t>
        </is>
      </c>
      <c r="K64" t="n">
        <v>9</v>
      </c>
      <c r="L64" t="inlineStr">
        <is>
          <t>Back</t>
        </is>
      </c>
      <c r="M64" t="inlineStr">
        <is>
          <t>Shenendoah</t>
        </is>
      </c>
      <c r="N64" t="inlineStr">
        <is>
          <t>White</t>
        </is>
      </c>
      <c r="O64" t="n">
        <v>70.59999999999999</v>
      </c>
      <c r="P64" t="n">
        <v>133</v>
      </c>
      <c r="Q64" t="n">
        <v>6328</v>
      </c>
      <c r="R64" t="inlineStr">
        <is>
          <t>Scramble-Stableford</t>
        </is>
      </c>
      <c r="S64" t="inlineStr">
        <is>
          <t>Doubles</t>
        </is>
      </c>
      <c r="T64" t="inlineStr">
        <is>
          <t>Over 6'</t>
        </is>
      </c>
      <c r="U64" t="inlineStr">
        <is>
          <t>Ferrin</t>
        </is>
      </c>
      <c r="V64" t="inlineStr">
        <is>
          <t>Fogan</t>
        </is>
      </c>
      <c r="W64" t="inlineStr">
        <is>
          <t>Blue/White</t>
        </is>
      </c>
      <c r="X64" t="n">
        <v>22</v>
      </c>
      <c r="Y64" t="inlineStr">
        <is>
          <t>Weisberger</t>
        </is>
      </c>
      <c r="Z64" t="n">
        <v>5</v>
      </c>
      <c r="AA64" t="n">
        <v>1</v>
      </c>
      <c r="AB64" t="inlineStr">
        <is>
          <t>L</t>
        </is>
      </c>
      <c r="AC64" t="inlineStr">
        <is>
          <t>22.5-10</t>
        </is>
      </c>
      <c r="AE64">
        <f>$V64&amp;$Y64</f>
        <v/>
      </c>
      <c r="AF64" t="n">
        <v>0</v>
      </c>
      <c r="AG64" t="n">
        <v>0</v>
      </c>
      <c r="AH64" t="n">
        <v>1</v>
      </c>
      <c r="AI64" t="n">
        <v>0</v>
      </c>
      <c r="AJ64" t="n">
        <v>0</v>
      </c>
      <c r="AK64" t="inlineStr">
        <is>
          <t>Connolly</t>
        </is>
      </c>
      <c r="AL64" t="n">
        <v>0.59375</v>
      </c>
      <c r="AM64" t="inlineStr">
        <is>
          <t>Jackson</t>
        </is>
      </c>
      <c r="AN64" t="n">
        <v>0.6171875</v>
      </c>
    </row>
    <row r="65" ht="15" customHeight="1" s="2">
      <c r="B65" t="n">
        <v>14</v>
      </c>
      <c r="C65" t="n">
        <v>2</v>
      </c>
      <c r="D65" t="n">
        <v>2</v>
      </c>
      <c r="E65" t="inlineStr">
        <is>
          <t>FBC2-D14</t>
        </is>
      </c>
      <c r="F65" t="inlineStr">
        <is>
          <t>Saturday</t>
        </is>
      </c>
      <c r="G65" s="27" t="n">
        <v>41797</v>
      </c>
      <c r="H65" t="inlineStr">
        <is>
          <t>PM</t>
        </is>
      </c>
      <c r="I65" t="inlineStr">
        <is>
          <t>Verona, NY (Turning Stone)</t>
        </is>
      </c>
      <c r="J65" t="inlineStr">
        <is>
          <t>Northeast</t>
        </is>
      </c>
      <c r="K65" t="n">
        <v>9</v>
      </c>
      <c r="L65" t="inlineStr">
        <is>
          <t>Back</t>
        </is>
      </c>
      <c r="M65" t="inlineStr">
        <is>
          <t>Shenendoah</t>
        </is>
      </c>
      <c r="N65" t="inlineStr">
        <is>
          <t>White</t>
        </is>
      </c>
      <c r="O65" t="n">
        <v>70.59999999999999</v>
      </c>
      <c r="P65" t="n">
        <v>133</v>
      </c>
      <c r="Q65" t="n">
        <v>6328</v>
      </c>
      <c r="R65" t="inlineStr">
        <is>
          <t>Scramble-Stableford</t>
        </is>
      </c>
      <c r="S65" t="inlineStr">
        <is>
          <t>Doubles</t>
        </is>
      </c>
      <c r="T65" t="inlineStr">
        <is>
          <t>Over 6'</t>
        </is>
      </c>
      <c r="U65" t="inlineStr">
        <is>
          <t>Connolly</t>
        </is>
      </c>
      <c r="V65" t="inlineStr">
        <is>
          <t>Connolly</t>
        </is>
      </c>
      <c r="W65" t="inlineStr">
        <is>
          <t>Green</t>
        </is>
      </c>
      <c r="X65" t="n">
        <v>0</v>
      </c>
      <c r="Y65" t="inlineStr">
        <is>
          <t>Jackson</t>
        </is>
      </c>
      <c r="Z65" t="n">
        <v>0</v>
      </c>
      <c r="AA65" t="n">
        <v>1</v>
      </c>
      <c r="AB65" t="inlineStr">
        <is>
          <t>W</t>
        </is>
      </c>
      <c r="AC65" t="inlineStr">
        <is>
          <t>22.5-10</t>
        </is>
      </c>
      <c r="AE65">
        <f>$V65&amp;$Y65</f>
        <v/>
      </c>
      <c r="AF65" t="n">
        <v>1</v>
      </c>
      <c r="AG65" t="n">
        <v>1</v>
      </c>
      <c r="AH65" t="n">
        <v>0</v>
      </c>
      <c r="AI65" t="n">
        <v>0</v>
      </c>
      <c r="AJ65" t="n">
        <v>1</v>
      </c>
      <c r="AK65" t="inlineStr">
        <is>
          <t>Fogan</t>
        </is>
      </c>
      <c r="AL65" t="n">
        <v>0.372881355932203</v>
      </c>
      <c r="AM65" t="inlineStr">
        <is>
          <t>Weisberger</t>
        </is>
      </c>
      <c r="AN65" t="n">
        <v>0.5</v>
      </c>
    </row>
    <row r="66" ht="15" customHeight="1" s="2">
      <c r="B66" t="n">
        <v>15</v>
      </c>
      <c r="C66" t="n">
        <v>3</v>
      </c>
      <c r="D66" t="n">
        <v>2</v>
      </c>
      <c r="E66" t="inlineStr">
        <is>
          <t>FBC2-D15</t>
        </is>
      </c>
      <c r="F66" t="inlineStr">
        <is>
          <t>Saturday</t>
        </is>
      </c>
      <c r="G66" s="27" t="n">
        <v>41797</v>
      </c>
      <c r="H66" t="inlineStr">
        <is>
          <t>PM</t>
        </is>
      </c>
      <c r="I66" t="inlineStr">
        <is>
          <t>Verona, NY (Turning Stone)</t>
        </is>
      </c>
      <c r="J66" t="inlineStr">
        <is>
          <t>Northeast</t>
        </is>
      </c>
      <c r="K66" t="n">
        <v>9</v>
      </c>
      <c r="L66" t="inlineStr">
        <is>
          <t>Back</t>
        </is>
      </c>
      <c r="M66" t="inlineStr">
        <is>
          <t>Shenendoah</t>
        </is>
      </c>
      <c r="N66" t="inlineStr">
        <is>
          <t>White</t>
        </is>
      </c>
      <c r="O66" t="n">
        <v>70.59999999999999</v>
      </c>
      <c r="P66" t="n">
        <v>133</v>
      </c>
      <c r="Q66" t="n">
        <v>6328</v>
      </c>
      <c r="R66" t="inlineStr">
        <is>
          <t>Scramble-Stableford</t>
        </is>
      </c>
      <c r="S66" t="inlineStr">
        <is>
          <t>Doubles</t>
        </is>
      </c>
      <c r="T66" t="inlineStr">
        <is>
          <t>Over 6'</t>
        </is>
      </c>
      <c r="U66" t="inlineStr">
        <is>
          <t>Connolly</t>
        </is>
      </c>
      <c r="V66" t="inlineStr">
        <is>
          <t>Flanders</t>
        </is>
      </c>
      <c r="W66" t="inlineStr">
        <is>
          <t>Green</t>
        </is>
      </c>
      <c r="X66" t="n">
        <v>5</v>
      </c>
      <c r="Y66" t="inlineStr">
        <is>
          <t>Hilts</t>
        </is>
      </c>
      <c r="Z66" t="n">
        <v>7</v>
      </c>
      <c r="AA66" t="n">
        <v>1</v>
      </c>
      <c r="AB66" t="inlineStr">
        <is>
          <t>L</t>
        </is>
      </c>
      <c r="AC66" t="inlineStr">
        <is>
          <t>12.5-8</t>
        </is>
      </c>
      <c r="AE66">
        <f>$V66&amp;$Y66</f>
        <v/>
      </c>
      <c r="AF66" t="n">
        <v>0</v>
      </c>
      <c r="AG66" t="n">
        <v>0</v>
      </c>
      <c r="AH66" t="n">
        <v>1</v>
      </c>
      <c r="AI66" t="n">
        <v>0</v>
      </c>
      <c r="AJ66" t="n">
        <v>0</v>
      </c>
      <c r="AK66" t="inlineStr">
        <is>
          <t>Buss</t>
        </is>
      </c>
      <c r="AL66" t="n">
        <v>0.448275862068966</v>
      </c>
      <c r="AM66" t="inlineStr">
        <is>
          <t>Hickerson</t>
        </is>
      </c>
      <c r="AN66" t="n">
        <v>0.357142857142857</v>
      </c>
    </row>
    <row r="67" ht="15" customHeight="1" s="2">
      <c r="B67" t="n">
        <v>15</v>
      </c>
      <c r="C67" t="n">
        <v>3</v>
      </c>
      <c r="D67" t="n">
        <v>2</v>
      </c>
      <c r="E67" t="inlineStr">
        <is>
          <t>FBC2-D15</t>
        </is>
      </c>
      <c r="F67" t="inlineStr">
        <is>
          <t>Saturday</t>
        </is>
      </c>
      <c r="G67" s="27" t="n">
        <v>41797</v>
      </c>
      <c r="H67" t="inlineStr">
        <is>
          <t>PM</t>
        </is>
      </c>
      <c r="I67" t="inlineStr">
        <is>
          <t>Verona, NY (Turning Stone)</t>
        </is>
      </c>
      <c r="J67" t="inlineStr">
        <is>
          <t>Northeast</t>
        </is>
      </c>
      <c r="K67" t="n">
        <v>9</v>
      </c>
      <c r="L67" t="inlineStr">
        <is>
          <t>Back</t>
        </is>
      </c>
      <c r="M67" t="inlineStr">
        <is>
          <t>Shenendoah</t>
        </is>
      </c>
      <c r="N67" t="inlineStr">
        <is>
          <t>White</t>
        </is>
      </c>
      <c r="O67" t="n">
        <v>70.59999999999999</v>
      </c>
      <c r="P67" t="n">
        <v>133</v>
      </c>
      <c r="Q67" t="n">
        <v>6328</v>
      </c>
      <c r="R67" t="inlineStr">
        <is>
          <t>Scramble-Stableford</t>
        </is>
      </c>
      <c r="S67" t="inlineStr">
        <is>
          <t>Doubles</t>
        </is>
      </c>
      <c r="T67" t="inlineStr">
        <is>
          <t>Over 6'</t>
        </is>
      </c>
      <c r="U67" t="inlineStr">
        <is>
          <t>Ferrin</t>
        </is>
      </c>
      <c r="V67" t="inlineStr">
        <is>
          <t>Buss</t>
        </is>
      </c>
      <c r="W67" t="inlineStr">
        <is>
          <t>Blue/White</t>
        </is>
      </c>
      <c r="X67" t="n">
        <v>0</v>
      </c>
      <c r="Y67" t="inlineStr">
        <is>
          <t>Hickerson</t>
        </is>
      </c>
      <c r="Z67" t="n">
        <v>8</v>
      </c>
      <c r="AA67" t="n">
        <v>1</v>
      </c>
      <c r="AB67" t="inlineStr">
        <is>
          <t>W</t>
        </is>
      </c>
      <c r="AC67" t="inlineStr">
        <is>
          <t>12.5-8</t>
        </is>
      </c>
      <c r="AE67">
        <f>$V67&amp;$Y67</f>
        <v/>
      </c>
      <c r="AF67" t="n">
        <v>1</v>
      </c>
      <c r="AG67" t="n">
        <v>1</v>
      </c>
      <c r="AH67" t="n">
        <v>0</v>
      </c>
      <c r="AI67" t="n">
        <v>0</v>
      </c>
      <c r="AJ67" t="n">
        <v>1</v>
      </c>
      <c r="AK67" t="inlineStr">
        <is>
          <t>Flanders</t>
        </is>
      </c>
      <c r="AL67" t="n">
        <v>0.4296875</v>
      </c>
      <c r="AM67" t="inlineStr">
        <is>
          <t>Hilts</t>
        </is>
      </c>
      <c r="AN67" t="n">
        <v>0.473214285714286</v>
      </c>
    </row>
    <row r="68" ht="15" customHeight="1" s="2">
      <c r="B68" t="n">
        <v>16</v>
      </c>
      <c r="C68" t="n">
        <v>4</v>
      </c>
      <c r="D68" t="n">
        <v>2</v>
      </c>
      <c r="E68" t="inlineStr">
        <is>
          <t>FBC2-D16</t>
        </is>
      </c>
      <c r="F68" t="inlineStr">
        <is>
          <t>Saturday</t>
        </is>
      </c>
      <c r="G68" s="27" t="n">
        <v>41797</v>
      </c>
      <c r="H68" t="inlineStr">
        <is>
          <t>PM</t>
        </is>
      </c>
      <c r="I68" t="inlineStr">
        <is>
          <t>Verona, NY (Turning Stone)</t>
        </is>
      </c>
      <c r="J68" t="inlineStr">
        <is>
          <t>Northeast</t>
        </is>
      </c>
      <c r="K68" t="n">
        <v>9</v>
      </c>
      <c r="L68" t="inlineStr">
        <is>
          <t>Back</t>
        </is>
      </c>
      <c r="M68" t="inlineStr">
        <is>
          <t>Shenendoah</t>
        </is>
      </c>
      <c r="N68" t="inlineStr">
        <is>
          <t>White</t>
        </is>
      </c>
      <c r="O68" t="n">
        <v>70.59999999999999</v>
      </c>
      <c r="P68" t="n">
        <v>133</v>
      </c>
      <c r="Q68" t="n">
        <v>6328</v>
      </c>
      <c r="R68" t="inlineStr">
        <is>
          <t>Scramble-Stableford</t>
        </is>
      </c>
      <c r="S68" t="inlineStr">
        <is>
          <t>Doubles</t>
        </is>
      </c>
      <c r="T68" t="inlineStr">
        <is>
          <t>Over 6'</t>
        </is>
      </c>
      <c r="U68" t="inlineStr">
        <is>
          <t>Ferrin</t>
        </is>
      </c>
      <c r="V68" t="inlineStr">
        <is>
          <t>Mangold</t>
        </is>
      </c>
      <c r="W68" t="inlineStr">
        <is>
          <t>Blue/White</t>
        </is>
      </c>
      <c r="X68" t="n">
        <v>4</v>
      </c>
      <c r="Y68" t="inlineStr">
        <is>
          <t>Shively</t>
        </is>
      </c>
      <c r="Z68" t="n">
        <v>11</v>
      </c>
      <c r="AA68" t="n">
        <v>1</v>
      </c>
      <c r="AB68" t="inlineStr">
        <is>
          <t>L</t>
        </is>
      </c>
      <c r="AC68" t="inlineStr">
        <is>
          <t>20-11</t>
        </is>
      </c>
      <c r="AE68">
        <f>$V68&amp;$Y68</f>
        <v/>
      </c>
      <c r="AF68" t="n">
        <v>0</v>
      </c>
      <c r="AG68" t="n">
        <v>0</v>
      </c>
      <c r="AH68" t="n">
        <v>1</v>
      </c>
      <c r="AI68" t="n">
        <v>0</v>
      </c>
      <c r="AJ68" t="n">
        <v>0</v>
      </c>
      <c r="AK68" t="inlineStr">
        <is>
          <t>Connors</t>
        </is>
      </c>
      <c r="AL68" t="n">
        <v>0.347457627118644</v>
      </c>
      <c r="AM68" t="inlineStr">
        <is>
          <t>Grise</t>
        </is>
      </c>
      <c r="AN68" t="n">
        <v>0.546875</v>
      </c>
    </row>
    <row r="69" ht="15" customHeight="1" s="2">
      <c r="B69" t="n">
        <v>16</v>
      </c>
      <c r="C69" t="n">
        <v>4</v>
      </c>
      <c r="D69" t="n">
        <v>2</v>
      </c>
      <c r="E69" t="inlineStr">
        <is>
          <t>FBC2-D16</t>
        </is>
      </c>
      <c r="F69" t="inlineStr">
        <is>
          <t>Saturday</t>
        </is>
      </c>
      <c r="G69" s="27" t="n">
        <v>41797</v>
      </c>
      <c r="H69" t="inlineStr">
        <is>
          <t>PM</t>
        </is>
      </c>
      <c r="I69" t="inlineStr">
        <is>
          <t>Verona, NY (Turning Stone)</t>
        </is>
      </c>
      <c r="J69" t="inlineStr">
        <is>
          <t>Northeast</t>
        </is>
      </c>
      <c r="K69" t="n">
        <v>9</v>
      </c>
      <c r="L69" t="inlineStr">
        <is>
          <t>Back</t>
        </is>
      </c>
      <c r="M69" t="inlineStr">
        <is>
          <t>Shenendoah</t>
        </is>
      </c>
      <c r="N69" t="inlineStr">
        <is>
          <t>White</t>
        </is>
      </c>
      <c r="O69" t="n">
        <v>70.59999999999999</v>
      </c>
      <c r="P69" t="n">
        <v>133</v>
      </c>
      <c r="Q69" t="n">
        <v>6328</v>
      </c>
      <c r="R69" t="inlineStr">
        <is>
          <t>Scramble-Stableford</t>
        </is>
      </c>
      <c r="S69" t="inlineStr">
        <is>
          <t>Doubles</t>
        </is>
      </c>
      <c r="T69" t="inlineStr">
        <is>
          <t>Over 6'</t>
        </is>
      </c>
      <c r="U69" t="inlineStr">
        <is>
          <t>Connolly</t>
        </is>
      </c>
      <c r="V69" t="inlineStr">
        <is>
          <t>Connors</t>
        </is>
      </c>
      <c r="W69" t="inlineStr">
        <is>
          <t>Green</t>
        </is>
      </c>
      <c r="X69" t="n">
        <v>8</v>
      </c>
      <c r="Y69" t="inlineStr">
        <is>
          <t>Grise</t>
        </is>
      </c>
      <c r="Z69" t="n">
        <v>2</v>
      </c>
      <c r="AA69" t="n">
        <v>1</v>
      </c>
      <c r="AB69" t="inlineStr">
        <is>
          <t>W</t>
        </is>
      </c>
      <c r="AC69" t="inlineStr">
        <is>
          <t>20-11</t>
        </is>
      </c>
      <c r="AE69">
        <f>$V69&amp;$Y69</f>
        <v/>
      </c>
      <c r="AF69" t="n">
        <v>1</v>
      </c>
      <c r="AG69" t="n">
        <v>1</v>
      </c>
      <c r="AH69" t="n">
        <v>0</v>
      </c>
      <c r="AI69" t="n">
        <v>0</v>
      </c>
      <c r="AJ69" t="n">
        <v>1</v>
      </c>
      <c r="AK69" t="inlineStr">
        <is>
          <t>Mangold</t>
        </is>
      </c>
      <c r="AL69" t="n">
        <v>0.383928571428572</v>
      </c>
      <c r="AM69" t="inlineStr">
        <is>
          <t>Shively</t>
        </is>
      </c>
    </row>
    <row r="70" ht="15" customHeight="1" s="2">
      <c r="B70" t="n">
        <v>17</v>
      </c>
      <c r="C70" t="n">
        <v>1</v>
      </c>
      <c r="D70" t="n">
        <v>2</v>
      </c>
      <c r="E70" t="inlineStr">
        <is>
          <t>FBC2-S-Ferrin-Flanders</t>
        </is>
      </c>
      <c r="F70" t="inlineStr">
        <is>
          <t>Sunday</t>
        </is>
      </c>
      <c r="G70" s="27" t="n">
        <v>41798</v>
      </c>
      <c r="H70" t="inlineStr">
        <is>
          <t>AM</t>
        </is>
      </c>
      <c r="I70" t="inlineStr">
        <is>
          <t>Verona, NY (Turning Stone)</t>
        </is>
      </c>
      <c r="J70" t="inlineStr">
        <is>
          <t>Northeast</t>
        </is>
      </c>
      <c r="K70" t="n">
        <v>18</v>
      </c>
      <c r="L70" t="inlineStr">
        <is>
          <t>Full</t>
        </is>
      </c>
      <c r="M70" t="inlineStr">
        <is>
          <t>Kaluhyat</t>
        </is>
      </c>
      <c r="N70" t="inlineStr">
        <is>
          <t>White</t>
        </is>
      </c>
      <c r="O70" t="n">
        <v>70.90000000000001</v>
      </c>
      <c r="P70" t="n">
        <v>132</v>
      </c>
      <c r="Q70" t="n">
        <v>6183</v>
      </c>
      <c r="R70" t="inlineStr">
        <is>
          <t>Match Play</t>
        </is>
      </c>
      <c r="S70" t="inlineStr">
        <is>
          <t>Singles</t>
        </is>
      </c>
      <c r="T70" t="inlineStr">
        <is>
          <t>Over 6'</t>
        </is>
      </c>
      <c r="U70" t="inlineStr">
        <is>
          <t>Connolly</t>
        </is>
      </c>
      <c r="V70" t="inlineStr">
        <is>
          <t>Flanders</t>
        </is>
      </c>
      <c r="W70" t="inlineStr">
        <is>
          <t>White</t>
        </is>
      </c>
      <c r="X70" t="n">
        <v>5</v>
      </c>
      <c r="AA70" t="n">
        <v>2</v>
      </c>
      <c r="AB70" t="inlineStr">
        <is>
          <t>L</t>
        </is>
      </c>
      <c r="AC70" t="inlineStr">
        <is>
          <t>6 &amp; 4</t>
        </is>
      </c>
      <c r="AD70" t="inlineStr">
        <is>
          <t>Ferrin</t>
        </is>
      </c>
      <c r="AE70">
        <f>$V70&amp;$Y70</f>
        <v/>
      </c>
      <c r="AF70" t="n">
        <v>0</v>
      </c>
      <c r="AG70" t="n">
        <v>0</v>
      </c>
      <c r="AH70" t="n">
        <v>1</v>
      </c>
      <c r="AI70" t="n">
        <v>0</v>
      </c>
      <c r="AJ70" t="n">
        <v>0</v>
      </c>
      <c r="AK70" t="inlineStr">
        <is>
          <t>Ferrin</t>
        </is>
      </c>
      <c r="AL70" t="n">
        <v>0.595238095238095</v>
      </c>
    </row>
    <row r="71" ht="15" customHeight="1" s="2">
      <c r="B71" t="n">
        <v>18</v>
      </c>
      <c r="C71" t="n">
        <v>2</v>
      </c>
      <c r="D71" t="n">
        <v>2</v>
      </c>
      <c r="E71" t="inlineStr">
        <is>
          <t>FBC2-S-Connors-Fogan</t>
        </is>
      </c>
      <c r="F71" t="inlineStr">
        <is>
          <t>Sunday</t>
        </is>
      </c>
      <c r="G71" s="27" t="n">
        <v>41798</v>
      </c>
      <c r="H71" t="inlineStr">
        <is>
          <t>AM</t>
        </is>
      </c>
      <c r="I71" t="inlineStr">
        <is>
          <t>Verona, NY (Turning Stone)</t>
        </is>
      </c>
      <c r="J71" t="inlineStr">
        <is>
          <t>Northeast</t>
        </is>
      </c>
      <c r="K71" t="n">
        <v>18</v>
      </c>
      <c r="L71" t="inlineStr">
        <is>
          <t>Full</t>
        </is>
      </c>
      <c r="M71" t="inlineStr">
        <is>
          <t>Kaluhyat</t>
        </is>
      </c>
      <c r="N71" t="inlineStr">
        <is>
          <t>White</t>
        </is>
      </c>
      <c r="O71" t="n">
        <v>70.90000000000001</v>
      </c>
      <c r="P71" t="n">
        <v>132</v>
      </c>
      <c r="Q71" t="n">
        <v>6183</v>
      </c>
      <c r="R71" t="inlineStr">
        <is>
          <t>Match Play</t>
        </is>
      </c>
      <c r="S71" t="inlineStr">
        <is>
          <t>Singles</t>
        </is>
      </c>
      <c r="T71" t="inlineStr">
        <is>
          <t>Over 6'</t>
        </is>
      </c>
      <c r="U71" t="inlineStr">
        <is>
          <t>Connolly</t>
        </is>
      </c>
      <c r="V71" t="inlineStr">
        <is>
          <t>Connors</t>
        </is>
      </c>
      <c r="W71" t="inlineStr">
        <is>
          <t>White</t>
        </is>
      </c>
      <c r="X71" t="n">
        <v>8</v>
      </c>
      <c r="AA71" t="n">
        <v>2</v>
      </c>
      <c r="AB71" t="inlineStr">
        <is>
          <t>L</t>
        </is>
      </c>
      <c r="AC71" t="inlineStr">
        <is>
          <t>7 &amp; 5</t>
        </is>
      </c>
      <c r="AD71" t="inlineStr">
        <is>
          <t>Fogan</t>
        </is>
      </c>
      <c r="AE71">
        <f>$V71&amp;$Y71</f>
        <v/>
      </c>
      <c r="AF71" t="n">
        <v>0</v>
      </c>
      <c r="AG71" t="n">
        <v>0</v>
      </c>
      <c r="AH71" t="n">
        <v>1</v>
      </c>
      <c r="AI71" t="n">
        <v>0</v>
      </c>
      <c r="AJ71" t="n">
        <v>0</v>
      </c>
      <c r="AK71" t="inlineStr">
        <is>
          <t>Fogan</t>
        </is>
      </c>
      <c r="AL71" t="n">
        <v>0.372881355932203</v>
      </c>
    </row>
    <row r="72" ht="15" customHeight="1" s="2">
      <c r="B72" t="n">
        <v>18</v>
      </c>
      <c r="C72" t="n">
        <v>3</v>
      </c>
      <c r="D72" t="n">
        <v>2</v>
      </c>
      <c r="E72" t="inlineStr">
        <is>
          <t>FBC2-S-Connolly-Shively</t>
        </is>
      </c>
      <c r="F72" t="inlineStr">
        <is>
          <t>Sunday</t>
        </is>
      </c>
      <c r="G72" s="27" t="n">
        <v>41798</v>
      </c>
      <c r="H72" t="inlineStr">
        <is>
          <t>AM</t>
        </is>
      </c>
      <c r="I72" t="inlineStr">
        <is>
          <t>Verona, NY (Turning Stone)</t>
        </is>
      </c>
      <c r="J72" t="inlineStr">
        <is>
          <t>Northeast</t>
        </is>
      </c>
      <c r="K72" t="n">
        <v>18</v>
      </c>
      <c r="L72" t="inlineStr">
        <is>
          <t>Full</t>
        </is>
      </c>
      <c r="M72" t="inlineStr">
        <is>
          <t>Kaluhyat</t>
        </is>
      </c>
      <c r="N72" t="inlineStr">
        <is>
          <t>White</t>
        </is>
      </c>
      <c r="O72" t="n">
        <v>70.90000000000001</v>
      </c>
      <c r="P72" t="n">
        <v>132</v>
      </c>
      <c r="Q72" t="n">
        <v>6183</v>
      </c>
      <c r="R72" t="inlineStr">
        <is>
          <t>Match Play</t>
        </is>
      </c>
      <c r="S72" t="inlineStr">
        <is>
          <t>Singles</t>
        </is>
      </c>
      <c r="T72" t="inlineStr">
        <is>
          <t>Over 6'</t>
        </is>
      </c>
      <c r="U72" t="inlineStr">
        <is>
          <t>Connolly</t>
        </is>
      </c>
      <c r="V72" t="inlineStr">
        <is>
          <t>Connolly</t>
        </is>
      </c>
      <c r="W72" t="inlineStr">
        <is>
          <t>White</t>
        </is>
      </c>
      <c r="X72" t="n">
        <v>0</v>
      </c>
      <c r="AA72" t="n">
        <v>2</v>
      </c>
      <c r="AB72" t="inlineStr">
        <is>
          <t>L</t>
        </is>
      </c>
      <c r="AC72" t="inlineStr">
        <is>
          <t>1 UP</t>
        </is>
      </c>
      <c r="AD72" t="inlineStr">
        <is>
          <t>Shively</t>
        </is>
      </c>
      <c r="AE72">
        <f>$V72&amp;$Y72</f>
        <v/>
      </c>
      <c r="AF72" t="n">
        <v>0</v>
      </c>
      <c r="AG72" t="n">
        <v>0</v>
      </c>
      <c r="AH72" t="n">
        <v>1</v>
      </c>
      <c r="AI72" t="n">
        <v>0</v>
      </c>
      <c r="AJ72" t="n">
        <v>0</v>
      </c>
      <c r="AK72" t="inlineStr">
        <is>
          <t>Shively</t>
        </is>
      </c>
    </row>
    <row r="73" ht="15" customHeight="1" s="2">
      <c r="B73" t="n">
        <v>18</v>
      </c>
      <c r="C73" t="n">
        <v>4</v>
      </c>
      <c r="D73" t="n">
        <v>2</v>
      </c>
      <c r="E73" t="inlineStr">
        <is>
          <t>FBC2-S-Cole-Grise</t>
        </is>
      </c>
      <c r="F73" t="inlineStr">
        <is>
          <t>Sunday</t>
        </is>
      </c>
      <c r="G73" s="27" t="n">
        <v>41798</v>
      </c>
      <c r="H73" t="inlineStr">
        <is>
          <t>AM</t>
        </is>
      </c>
      <c r="I73" t="inlineStr">
        <is>
          <t>Verona, NY (Turning Stone)</t>
        </is>
      </c>
      <c r="J73" t="inlineStr">
        <is>
          <t>Northeast</t>
        </is>
      </c>
      <c r="K73" t="n">
        <v>18</v>
      </c>
      <c r="L73" t="inlineStr">
        <is>
          <t>Full</t>
        </is>
      </c>
      <c r="M73" t="inlineStr">
        <is>
          <t>Kaluhyat</t>
        </is>
      </c>
      <c r="N73" t="inlineStr">
        <is>
          <t>White</t>
        </is>
      </c>
      <c r="O73" t="n">
        <v>70.90000000000001</v>
      </c>
      <c r="P73" t="n">
        <v>132</v>
      </c>
      <c r="Q73" t="n">
        <v>6183</v>
      </c>
      <c r="R73" t="inlineStr">
        <is>
          <t>Match Play</t>
        </is>
      </c>
      <c r="S73" t="inlineStr">
        <is>
          <t>Singles</t>
        </is>
      </c>
      <c r="T73" t="inlineStr">
        <is>
          <t>Over 6'</t>
        </is>
      </c>
      <c r="U73" t="inlineStr">
        <is>
          <t>Connolly</t>
        </is>
      </c>
      <c r="V73" t="inlineStr">
        <is>
          <t>Grise</t>
        </is>
      </c>
      <c r="W73" t="inlineStr">
        <is>
          <t>White</t>
        </is>
      </c>
      <c r="X73" t="n">
        <v>2</v>
      </c>
      <c r="AA73" t="n">
        <v>2</v>
      </c>
      <c r="AB73" t="inlineStr">
        <is>
          <t>W</t>
        </is>
      </c>
      <c r="AC73" t="inlineStr">
        <is>
          <t>8 &amp; 6</t>
        </is>
      </c>
      <c r="AD73" t="inlineStr">
        <is>
          <t>Cole</t>
        </is>
      </c>
      <c r="AE73">
        <f>$V73&amp;$Y73</f>
        <v/>
      </c>
      <c r="AF73" t="n">
        <v>2</v>
      </c>
      <c r="AG73" t="n">
        <v>1</v>
      </c>
      <c r="AH73" t="n">
        <v>0</v>
      </c>
      <c r="AI73" t="n">
        <v>0</v>
      </c>
      <c r="AJ73" t="n">
        <v>1</v>
      </c>
      <c r="AK73" t="inlineStr">
        <is>
          <t>Cole</t>
        </is>
      </c>
      <c r="AL73" t="n">
        <v>0.440677966101695</v>
      </c>
    </row>
    <row r="74" ht="15" customHeight="1" s="2">
      <c r="B74" t="n">
        <v>19</v>
      </c>
      <c r="C74" t="n">
        <v>5</v>
      </c>
      <c r="D74" t="n">
        <v>2</v>
      </c>
      <c r="E74" t="inlineStr">
        <is>
          <t>FBC2-S-Lynch-Weisberger</t>
        </is>
      </c>
      <c r="F74" t="inlineStr">
        <is>
          <t>Sunday</t>
        </is>
      </c>
      <c r="G74" s="27" t="n">
        <v>41798</v>
      </c>
      <c r="H74" t="inlineStr">
        <is>
          <t>AM</t>
        </is>
      </c>
      <c r="I74" t="inlineStr">
        <is>
          <t>Verona, NY (Turning Stone)</t>
        </is>
      </c>
      <c r="J74" t="inlineStr">
        <is>
          <t>Northeast</t>
        </is>
      </c>
      <c r="K74" t="n">
        <v>18</v>
      </c>
      <c r="L74" t="inlineStr">
        <is>
          <t>Full</t>
        </is>
      </c>
      <c r="M74" t="inlineStr">
        <is>
          <t>Kaluhyat</t>
        </is>
      </c>
      <c r="N74" t="inlineStr">
        <is>
          <t>White</t>
        </is>
      </c>
      <c r="O74" t="n">
        <v>70.90000000000001</v>
      </c>
      <c r="P74" t="n">
        <v>132</v>
      </c>
      <c r="Q74" t="n">
        <v>6183</v>
      </c>
      <c r="R74" t="inlineStr">
        <is>
          <t>Match Play</t>
        </is>
      </c>
      <c r="S74" t="inlineStr">
        <is>
          <t>Singles</t>
        </is>
      </c>
      <c r="T74" t="inlineStr">
        <is>
          <t>Over 6'</t>
        </is>
      </c>
      <c r="U74" t="inlineStr">
        <is>
          <t>Connolly</t>
        </is>
      </c>
      <c r="V74" t="inlineStr">
        <is>
          <t>Lynch</t>
        </is>
      </c>
      <c r="W74" t="inlineStr">
        <is>
          <t>White</t>
        </is>
      </c>
      <c r="X74" t="n">
        <v>8</v>
      </c>
      <c r="AA74" t="n">
        <v>2</v>
      </c>
      <c r="AB74" t="inlineStr">
        <is>
          <t>L</t>
        </is>
      </c>
      <c r="AC74" t="inlineStr">
        <is>
          <t>5 &amp; 3</t>
        </is>
      </c>
      <c r="AD74" t="inlineStr">
        <is>
          <t>Weisberger</t>
        </is>
      </c>
      <c r="AE74">
        <f>$V74&amp;$Y74</f>
        <v/>
      </c>
      <c r="AF74" t="n">
        <v>0</v>
      </c>
      <c r="AG74" t="n">
        <v>0</v>
      </c>
      <c r="AH74" t="n">
        <v>1</v>
      </c>
      <c r="AI74" t="n">
        <v>0</v>
      </c>
      <c r="AJ74" t="n">
        <v>0</v>
      </c>
      <c r="AK74" t="inlineStr">
        <is>
          <t>Weisberger</t>
        </is>
      </c>
      <c r="AL74" t="n">
        <v>0.5</v>
      </c>
    </row>
    <row r="75" ht="15" customHeight="1" s="2">
      <c r="B75" t="n">
        <v>19</v>
      </c>
      <c r="C75" t="n">
        <v>6</v>
      </c>
      <c r="D75" t="n">
        <v>2</v>
      </c>
      <c r="E75" t="inlineStr">
        <is>
          <t>FBC2-S-Forster-Hickerson</t>
        </is>
      </c>
      <c r="F75" t="inlineStr">
        <is>
          <t>Sunday</t>
        </is>
      </c>
      <c r="G75" s="27" t="n">
        <v>41798</v>
      </c>
      <c r="H75" t="inlineStr">
        <is>
          <t>AM</t>
        </is>
      </c>
      <c r="I75" t="inlineStr">
        <is>
          <t>Verona, NY (Turning Stone)</t>
        </is>
      </c>
      <c r="J75" t="inlineStr">
        <is>
          <t>Northeast</t>
        </is>
      </c>
      <c r="K75" t="n">
        <v>18</v>
      </c>
      <c r="L75" t="inlineStr">
        <is>
          <t>Full</t>
        </is>
      </c>
      <c r="M75" t="inlineStr">
        <is>
          <t>Kaluhyat</t>
        </is>
      </c>
      <c r="N75" t="inlineStr">
        <is>
          <t>White</t>
        </is>
      </c>
      <c r="O75" t="n">
        <v>70.90000000000001</v>
      </c>
      <c r="P75" t="n">
        <v>132</v>
      </c>
      <c r="Q75" t="n">
        <v>6183</v>
      </c>
      <c r="R75" t="inlineStr">
        <is>
          <t>Match Play</t>
        </is>
      </c>
      <c r="S75" t="inlineStr">
        <is>
          <t>Singles</t>
        </is>
      </c>
      <c r="T75" t="inlineStr">
        <is>
          <t>Over 6'</t>
        </is>
      </c>
      <c r="U75" t="inlineStr">
        <is>
          <t>Connolly</t>
        </is>
      </c>
      <c r="V75" t="inlineStr">
        <is>
          <t>Forster</t>
        </is>
      </c>
      <c r="W75" t="inlineStr">
        <is>
          <t>White</t>
        </is>
      </c>
      <c r="X75" t="n">
        <v>21</v>
      </c>
      <c r="AA75" t="n">
        <v>2</v>
      </c>
      <c r="AB75" t="inlineStr">
        <is>
          <t>W</t>
        </is>
      </c>
      <c r="AC75" t="inlineStr">
        <is>
          <t>1UP</t>
        </is>
      </c>
      <c r="AD75" t="inlineStr">
        <is>
          <t>Hickerson</t>
        </is>
      </c>
      <c r="AE75">
        <f>$V75&amp;$Y75</f>
        <v/>
      </c>
      <c r="AF75" t="n">
        <v>2</v>
      </c>
      <c r="AG75" t="n">
        <v>1</v>
      </c>
      <c r="AH75" t="n">
        <v>0</v>
      </c>
      <c r="AI75" t="n">
        <v>0</v>
      </c>
      <c r="AJ75" t="n">
        <v>1</v>
      </c>
      <c r="AK75" t="inlineStr">
        <is>
          <t>Hickerson</t>
        </is>
      </c>
      <c r="AL75" t="n">
        <v>0.357142857142857</v>
      </c>
    </row>
    <row r="76" ht="15" customHeight="1" s="2">
      <c r="B76" t="n">
        <v>20</v>
      </c>
      <c r="C76" t="n">
        <v>7</v>
      </c>
      <c r="D76" t="n">
        <v>2</v>
      </c>
      <c r="E76" t="inlineStr">
        <is>
          <t>FBC2-S-Buss-Jackson</t>
        </is>
      </c>
      <c r="F76" t="inlineStr">
        <is>
          <t>Sunday</t>
        </is>
      </c>
      <c r="G76" s="27" t="n">
        <v>41798</v>
      </c>
      <c r="H76" t="inlineStr">
        <is>
          <t>AM</t>
        </is>
      </c>
      <c r="I76" t="inlineStr">
        <is>
          <t>Verona, NY (Turning Stone)</t>
        </is>
      </c>
      <c r="J76" t="inlineStr">
        <is>
          <t>Northeast</t>
        </is>
      </c>
      <c r="K76" t="n">
        <v>18</v>
      </c>
      <c r="L76" t="inlineStr">
        <is>
          <t>Full</t>
        </is>
      </c>
      <c r="M76" t="inlineStr">
        <is>
          <t>Kaluhyat</t>
        </is>
      </c>
      <c r="N76" t="inlineStr">
        <is>
          <t>White</t>
        </is>
      </c>
      <c r="O76" t="n">
        <v>70.90000000000001</v>
      </c>
      <c r="P76" t="n">
        <v>132</v>
      </c>
      <c r="Q76" t="n">
        <v>6183</v>
      </c>
      <c r="R76" t="inlineStr">
        <is>
          <t>Match Play</t>
        </is>
      </c>
      <c r="S76" t="inlineStr">
        <is>
          <t>Singles</t>
        </is>
      </c>
      <c r="T76" t="inlineStr">
        <is>
          <t>Over 6'</t>
        </is>
      </c>
      <c r="U76" t="inlineStr">
        <is>
          <t>Connolly</t>
        </is>
      </c>
      <c r="V76" t="inlineStr">
        <is>
          <t>Jackson</t>
        </is>
      </c>
      <c r="W76" t="inlineStr">
        <is>
          <t>White</t>
        </is>
      </c>
      <c r="X76" t="n">
        <v>0</v>
      </c>
      <c r="AA76" t="n">
        <v>2</v>
      </c>
      <c r="AB76" t="inlineStr">
        <is>
          <t>W</t>
        </is>
      </c>
      <c r="AC76" t="inlineStr">
        <is>
          <t>5 &amp; 3</t>
        </is>
      </c>
      <c r="AD76" t="inlineStr">
        <is>
          <t>Buss</t>
        </is>
      </c>
      <c r="AE76">
        <f>$V76&amp;$Y76</f>
        <v/>
      </c>
      <c r="AF76" t="n">
        <v>2</v>
      </c>
      <c r="AG76" t="n">
        <v>1</v>
      </c>
      <c r="AH76" t="n">
        <v>0</v>
      </c>
      <c r="AI76" t="n">
        <v>0</v>
      </c>
      <c r="AJ76" t="n">
        <v>1</v>
      </c>
      <c r="AK76" t="inlineStr">
        <is>
          <t>Buss</t>
        </is>
      </c>
      <c r="AL76" t="n">
        <v>0.448275862068966</v>
      </c>
    </row>
    <row r="77" ht="15" customHeight="1" s="2">
      <c r="B77" t="n">
        <v>20</v>
      </c>
      <c r="C77" t="n">
        <v>8</v>
      </c>
      <c r="D77" t="n">
        <v>2</v>
      </c>
      <c r="E77" t="inlineStr">
        <is>
          <t>FBC2-S-Hilts-Mangold</t>
        </is>
      </c>
      <c r="F77" t="inlineStr">
        <is>
          <t>Sunday</t>
        </is>
      </c>
      <c r="G77" s="27" t="n">
        <v>41798</v>
      </c>
      <c r="H77" t="inlineStr">
        <is>
          <t>AM</t>
        </is>
      </c>
      <c r="I77" t="inlineStr">
        <is>
          <t>Verona, NY (Turning Stone)</t>
        </is>
      </c>
      <c r="J77" t="inlineStr">
        <is>
          <t>Northeast</t>
        </is>
      </c>
      <c r="K77" t="n">
        <v>18</v>
      </c>
      <c r="L77" t="inlineStr">
        <is>
          <t>Full</t>
        </is>
      </c>
      <c r="M77" t="inlineStr">
        <is>
          <t>Kaluhyat</t>
        </is>
      </c>
      <c r="N77" t="inlineStr">
        <is>
          <t>White</t>
        </is>
      </c>
      <c r="O77" t="n">
        <v>70.90000000000001</v>
      </c>
      <c r="P77" t="n">
        <v>132</v>
      </c>
      <c r="Q77" t="n">
        <v>6183</v>
      </c>
      <c r="R77" t="inlineStr">
        <is>
          <t>Match Play</t>
        </is>
      </c>
      <c r="S77" t="inlineStr">
        <is>
          <t>Singles</t>
        </is>
      </c>
      <c r="T77" t="inlineStr">
        <is>
          <t>Over 6'</t>
        </is>
      </c>
      <c r="U77" t="inlineStr">
        <is>
          <t>Connolly</t>
        </is>
      </c>
      <c r="V77" t="inlineStr">
        <is>
          <t>Hilts</t>
        </is>
      </c>
      <c r="W77" t="inlineStr">
        <is>
          <t>White</t>
        </is>
      </c>
      <c r="X77" t="n">
        <v>7</v>
      </c>
      <c r="AA77" t="n">
        <v>2</v>
      </c>
      <c r="AB77" t="inlineStr">
        <is>
          <t>L</t>
        </is>
      </c>
      <c r="AC77" t="inlineStr">
        <is>
          <t>2 &amp; 1</t>
        </is>
      </c>
      <c r="AD77" t="inlineStr">
        <is>
          <t>Mangold</t>
        </is>
      </c>
      <c r="AE77">
        <f>$V77&amp;$Y77</f>
        <v/>
      </c>
      <c r="AF77" t="n">
        <v>0</v>
      </c>
      <c r="AG77" t="n">
        <v>0</v>
      </c>
      <c r="AH77" t="n">
        <v>1</v>
      </c>
      <c r="AI77" t="n">
        <v>0</v>
      </c>
      <c r="AJ77" t="n">
        <v>0</v>
      </c>
      <c r="AK77" t="inlineStr">
        <is>
          <t>Mangold</t>
        </is>
      </c>
      <c r="AL77" t="n">
        <v>0.383928571428572</v>
      </c>
    </row>
    <row r="78" ht="15" customHeight="1" s="2">
      <c r="B78" t="n">
        <v>21</v>
      </c>
      <c r="C78" t="n">
        <v>1</v>
      </c>
      <c r="D78" t="n">
        <v>2</v>
      </c>
      <c r="E78" t="inlineStr">
        <is>
          <t>FBC2-S-Ferrin-Flanders</t>
        </is>
      </c>
      <c r="F78" t="inlineStr">
        <is>
          <t>Sunday</t>
        </is>
      </c>
      <c r="G78" s="27" t="n">
        <v>41798</v>
      </c>
      <c r="H78" t="inlineStr">
        <is>
          <t>AM</t>
        </is>
      </c>
      <c r="I78" t="inlineStr">
        <is>
          <t>Verona, NY (Turning Stone)</t>
        </is>
      </c>
      <c r="J78" t="inlineStr">
        <is>
          <t>Northeast</t>
        </is>
      </c>
      <c r="K78" t="n">
        <v>18</v>
      </c>
      <c r="L78" t="inlineStr">
        <is>
          <t>Full</t>
        </is>
      </c>
      <c r="M78" t="inlineStr">
        <is>
          <t>Kaluhyat</t>
        </is>
      </c>
      <c r="N78" t="inlineStr">
        <is>
          <t>White</t>
        </is>
      </c>
      <c r="O78" t="n">
        <v>70.90000000000001</v>
      </c>
      <c r="P78" t="n">
        <v>132</v>
      </c>
      <c r="Q78" t="n">
        <v>6183</v>
      </c>
      <c r="R78" t="inlineStr">
        <is>
          <t>Match Play</t>
        </is>
      </c>
      <c r="S78" t="inlineStr">
        <is>
          <t>Singles</t>
        </is>
      </c>
      <c r="T78" t="inlineStr">
        <is>
          <t>Over 6'</t>
        </is>
      </c>
      <c r="U78" t="inlineStr">
        <is>
          <t>Ferrin</t>
        </is>
      </c>
      <c r="V78" t="inlineStr">
        <is>
          <t>Ferrin</t>
        </is>
      </c>
      <c r="W78" t="inlineStr">
        <is>
          <t>Blue</t>
        </is>
      </c>
      <c r="X78" t="n">
        <v>12</v>
      </c>
      <c r="AA78" t="n">
        <v>2</v>
      </c>
      <c r="AB78" t="inlineStr">
        <is>
          <t>W</t>
        </is>
      </c>
      <c r="AC78" t="inlineStr">
        <is>
          <t>6 &amp; 4</t>
        </is>
      </c>
      <c r="AD78" t="inlineStr">
        <is>
          <t>Flanders</t>
        </is>
      </c>
      <c r="AE78">
        <f>$V78&amp;$Y78</f>
        <v/>
      </c>
      <c r="AF78" t="n">
        <v>2</v>
      </c>
      <c r="AG78" t="n">
        <v>1</v>
      </c>
      <c r="AH78" t="n">
        <v>0</v>
      </c>
      <c r="AI78" t="n">
        <v>0</v>
      </c>
      <c r="AJ78" t="n">
        <v>1</v>
      </c>
      <c r="AK78" t="inlineStr">
        <is>
          <t>Flanders</t>
        </is>
      </c>
      <c r="AL78" t="n">
        <v>0.4296875</v>
      </c>
    </row>
    <row r="79" ht="15" customHeight="1" s="2">
      <c r="B79" t="n">
        <v>21</v>
      </c>
      <c r="C79" t="n">
        <v>2</v>
      </c>
      <c r="D79" t="n">
        <v>2</v>
      </c>
      <c r="E79" t="inlineStr">
        <is>
          <t>FBC2-S-Connors-Fogan</t>
        </is>
      </c>
      <c r="F79" t="inlineStr">
        <is>
          <t>Sunday</t>
        </is>
      </c>
      <c r="G79" s="27" t="n">
        <v>41798</v>
      </c>
      <c r="H79" t="inlineStr">
        <is>
          <t>AM</t>
        </is>
      </c>
      <c r="I79" t="inlineStr">
        <is>
          <t>Verona, NY (Turning Stone)</t>
        </is>
      </c>
      <c r="J79" t="inlineStr">
        <is>
          <t>Northeast</t>
        </is>
      </c>
      <c r="K79" t="n">
        <v>18</v>
      </c>
      <c r="L79" t="inlineStr">
        <is>
          <t>Full</t>
        </is>
      </c>
      <c r="M79" t="inlineStr">
        <is>
          <t>Kaluhyat</t>
        </is>
      </c>
      <c r="N79" t="inlineStr">
        <is>
          <t>White</t>
        </is>
      </c>
      <c r="O79" t="n">
        <v>70.90000000000001</v>
      </c>
      <c r="P79" t="n">
        <v>132</v>
      </c>
      <c r="Q79" t="n">
        <v>6183</v>
      </c>
      <c r="R79" t="inlineStr">
        <is>
          <t>Match Play</t>
        </is>
      </c>
      <c r="S79" t="inlineStr">
        <is>
          <t>Singles</t>
        </is>
      </c>
      <c r="T79" t="inlineStr">
        <is>
          <t>Over 6'</t>
        </is>
      </c>
      <c r="U79" t="inlineStr">
        <is>
          <t>Ferrin</t>
        </is>
      </c>
      <c r="V79" t="inlineStr">
        <is>
          <t>Fogan</t>
        </is>
      </c>
      <c r="W79" t="inlineStr">
        <is>
          <t>Blue</t>
        </is>
      </c>
      <c r="X79" t="n">
        <v>22</v>
      </c>
      <c r="AA79" t="n">
        <v>2</v>
      </c>
      <c r="AB79" t="inlineStr">
        <is>
          <t>W</t>
        </is>
      </c>
      <c r="AC79" t="inlineStr">
        <is>
          <t>7 &amp; 5</t>
        </is>
      </c>
      <c r="AD79" t="inlineStr">
        <is>
          <t>Connors</t>
        </is>
      </c>
      <c r="AE79">
        <f>$V79&amp;$Y79</f>
        <v/>
      </c>
      <c r="AF79" t="n">
        <v>2</v>
      </c>
      <c r="AG79" t="n">
        <v>1</v>
      </c>
      <c r="AH79" t="n">
        <v>0</v>
      </c>
      <c r="AI79" t="n">
        <v>0</v>
      </c>
      <c r="AJ79" t="n">
        <v>1</v>
      </c>
      <c r="AK79" t="inlineStr">
        <is>
          <t>Connors</t>
        </is>
      </c>
      <c r="AL79" t="n">
        <v>0.347457627118644</v>
      </c>
    </row>
    <row r="80" ht="15" customHeight="1" s="2">
      <c r="B80" t="n">
        <v>22</v>
      </c>
      <c r="C80" t="n">
        <v>3</v>
      </c>
      <c r="D80" t="n">
        <v>2</v>
      </c>
      <c r="E80" t="inlineStr">
        <is>
          <t>FBC2-S-Connolly-Shively</t>
        </is>
      </c>
      <c r="F80" t="inlineStr">
        <is>
          <t>Sunday</t>
        </is>
      </c>
      <c r="G80" s="27" t="n">
        <v>41798</v>
      </c>
      <c r="H80" t="inlineStr">
        <is>
          <t>AM</t>
        </is>
      </c>
      <c r="I80" t="inlineStr">
        <is>
          <t>Verona, NY (Turning Stone)</t>
        </is>
      </c>
      <c r="J80" t="inlineStr">
        <is>
          <t>Northeast</t>
        </is>
      </c>
      <c r="K80" t="n">
        <v>18</v>
      </c>
      <c r="L80" t="inlineStr">
        <is>
          <t>Full</t>
        </is>
      </c>
      <c r="M80" t="inlineStr">
        <is>
          <t>Kaluhyat</t>
        </is>
      </c>
      <c r="N80" t="inlineStr">
        <is>
          <t>White</t>
        </is>
      </c>
      <c r="O80" t="n">
        <v>70.90000000000001</v>
      </c>
      <c r="P80" t="n">
        <v>132</v>
      </c>
      <c r="Q80" t="n">
        <v>6183</v>
      </c>
      <c r="R80" t="inlineStr">
        <is>
          <t>Match Play</t>
        </is>
      </c>
      <c r="S80" t="inlineStr">
        <is>
          <t>Singles</t>
        </is>
      </c>
      <c r="T80" t="inlineStr">
        <is>
          <t>Over 6'</t>
        </is>
      </c>
      <c r="U80" t="inlineStr">
        <is>
          <t>Ferrin</t>
        </is>
      </c>
      <c r="V80" t="inlineStr">
        <is>
          <t>Shively</t>
        </is>
      </c>
      <c r="W80" t="inlineStr">
        <is>
          <t>Blue</t>
        </is>
      </c>
      <c r="X80" t="n">
        <v>11</v>
      </c>
      <c r="AA80" t="n">
        <v>2</v>
      </c>
      <c r="AB80" t="inlineStr">
        <is>
          <t>W</t>
        </is>
      </c>
      <c r="AC80" t="inlineStr">
        <is>
          <t>1 UP</t>
        </is>
      </c>
      <c r="AD80" t="inlineStr">
        <is>
          <t>Connolly</t>
        </is>
      </c>
      <c r="AE80">
        <f>$V80&amp;$Y80</f>
        <v/>
      </c>
      <c r="AF80" t="n">
        <v>2</v>
      </c>
      <c r="AG80" t="n">
        <v>1</v>
      </c>
      <c r="AH80" t="n">
        <v>0</v>
      </c>
      <c r="AI80" t="n">
        <v>0</v>
      </c>
      <c r="AJ80" t="n">
        <v>1</v>
      </c>
      <c r="AK80" t="inlineStr">
        <is>
          <t>Connolly</t>
        </is>
      </c>
      <c r="AL80" t="n">
        <v>0.59375</v>
      </c>
    </row>
    <row r="81" ht="15" customHeight="1" s="2">
      <c r="B81" t="n">
        <v>22</v>
      </c>
      <c r="C81" t="n">
        <v>4</v>
      </c>
      <c r="D81" t="n">
        <v>2</v>
      </c>
      <c r="E81" t="inlineStr">
        <is>
          <t>FBC2-S-Cole-Grise</t>
        </is>
      </c>
      <c r="F81" t="inlineStr">
        <is>
          <t>Sunday</t>
        </is>
      </c>
      <c r="G81" s="27" t="n">
        <v>41798</v>
      </c>
      <c r="H81" t="inlineStr">
        <is>
          <t>AM</t>
        </is>
      </c>
      <c r="I81" t="inlineStr">
        <is>
          <t>Verona, NY (Turning Stone)</t>
        </is>
      </c>
      <c r="J81" t="inlineStr">
        <is>
          <t>Northeast</t>
        </is>
      </c>
      <c r="K81" t="n">
        <v>18</v>
      </c>
      <c r="L81" t="inlineStr">
        <is>
          <t>Full</t>
        </is>
      </c>
      <c r="M81" t="inlineStr">
        <is>
          <t>Kaluhyat</t>
        </is>
      </c>
      <c r="N81" t="inlineStr">
        <is>
          <t>White</t>
        </is>
      </c>
      <c r="O81" t="n">
        <v>70.90000000000001</v>
      </c>
      <c r="P81" t="n">
        <v>132</v>
      </c>
      <c r="Q81" t="n">
        <v>6183</v>
      </c>
      <c r="R81" t="inlineStr">
        <is>
          <t>Match Play</t>
        </is>
      </c>
      <c r="S81" t="inlineStr">
        <is>
          <t>Singles</t>
        </is>
      </c>
      <c r="T81" t="inlineStr">
        <is>
          <t>Over 6'</t>
        </is>
      </c>
      <c r="U81" t="inlineStr">
        <is>
          <t>Ferrin</t>
        </is>
      </c>
      <c r="V81" t="inlineStr">
        <is>
          <t>Cole</t>
        </is>
      </c>
      <c r="W81" t="inlineStr">
        <is>
          <t>Blue</t>
        </is>
      </c>
      <c r="X81" t="n">
        <v>24</v>
      </c>
      <c r="AA81" t="n">
        <v>2</v>
      </c>
      <c r="AB81" t="inlineStr">
        <is>
          <t>L</t>
        </is>
      </c>
      <c r="AC81" t="inlineStr">
        <is>
          <t>8 &amp; 6</t>
        </is>
      </c>
      <c r="AD81" t="inlineStr">
        <is>
          <t>Grise</t>
        </is>
      </c>
      <c r="AE81">
        <f>$V81&amp;$Y81</f>
        <v/>
      </c>
      <c r="AF81" t="n">
        <v>0</v>
      </c>
      <c r="AG81" t="n">
        <v>0</v>
      </c>
      <c r="AH81" t="n">
        <v>1</v>
      </c>
      <c r="AI81" t="n">
        <v>0</v>
      </c>
      <c r="AJ81" t="n">
        <v>0</v>
      </c>
      <c r="AK81" t="inlineStr">
        <is>
          <t>Grise</t>
        </is>
      </c>
      <c r="AL81" t="n">
        <v>0.546875</v>
      </c>
    </row>
    <row r="82" ht="15" customHeight="1" s="2">
      <c r="B82" t="n">
        <v>23</v>
      </c>
      <c r="C82" t="n">
        <v>5</v>
      </c>
      <c r="D82" t="n">
        <v>2</v>
      </c>
      <c r="E82" t="inlineStr">
        <is>
          <t>FBC2-S-Lynch-Weisberger</t>
        </is>
      </c>
      <c r="F82" t="inlineStr">
        <is>
          <t>Sunday</t>
        </is>
      </c>
      <c r="G82" s="27" t="n">
        <v>41798</v>
      </c>
      <c r="H82" t="inlineStr">
        <is>
          <t>AM</t>
        </is>
      </c>
      <c r="I82" t="inlineStr">
        <is>
          <t>Verona, NY (Turning Stone)</t>
        </is>
      </c>
      <c r="J82" t="inlineStr">
        <is>
          <t>Northeast</t>
        </is>
      </c>
      <c r="K82" t="n">
        <v>18</v>
      </c>
      <c r="L82" t="inlineStr">
        <is>
          <t>Full</t>
        </is>
      </c>
      <c r="M82" t="inlineStr">
        <is>
          <t>Kaluhyat</t>
        </is>
      </c>
      <c r="N82" t="inlineStr">
        <is>
          <t>White</t>
        </is>
      </c>
      <c r="O82" t="n">
        <v>70.90000000000001</v>
      </c>
      <c r="P82" t="n">
        <v>132</v>
      </c>
      <c r="Q82" t="n">
        <v>6183</v>
      </c>
      <c r="R82" t="inlineStr">
        <is>
          <t>Match Play</t>
        </is>
      </c>
      <c r="S82" t="inlineStr">
        <is>
          <t>Singles</t>
        </is>
      </c>
      <c r="T82" t="inlineStr">
        <is>
          <t>Over 6'</t>
        </is>
      </c>
      <c r="U82" t="inlineStr">
        <is>
          <t>Ferrin</t>
        </is>
      </c>
      <c r="V82" t="inlineStr">
        <is>
          <t>Weisberger</t>
        </is>
      </c>
      <c r="W82" t="inlineStr">
        <is>
          <t>Blue</t>
        </is>
      </c>
      <c r="X82" t="n">
        <v>5</v>
      </c>
      <c r="AA82" t="n">
        <v>2</v>
      </c>
      <c r="AB82" t="inlineStr">
        <is>
          <t>W</t>
        </is>
      </c>
      <c r="AC82" t="inlineStr">
        <is>
          <t>5 &amp; 3</t>
        </is>
      </c>
      <c r="AD82" t="inlineStr">
        <is>
          <t>Lynch</t>
        </is>
      </c>
      <c r="AE82">
        <f>$V82&amp;$Y82</f>
        <v/>
      </c>
      <c r="AF82" t="n">
        <v>2</v>
      </c>
      <c r="AG82" t="n">
        <v>1</v>
      </c>
      <c r="AH82" t="n">
        <v>0</v>
      </c>
      <c r="AI82" t="n">
        <v>0</v>
      </c>
      <c r="AJ82" t="n">
        <v>1</v>
      </c>
      <c r="AK82" t="inlineStr">
        <is>
          <t>Lynch</t>
        </is>
      </c>
      <c r="AL82" t="n">
        <v>0.5546875</v>
      </c>
    </row>
    <row r="83" ht="15" customHeight="1" s="2">
      <c r="B83" t="n">
        <v>23</v>
      </c>
      <c r="C83" t="n">
        <v>6</v>
      </c>
      <c r="D83" t="n">
        <v>2</v>
      </c>
      <c r="E83" t="inlineStr">
        <is>
          <t>FBC2-S-Forster-Hickerson</t>
        </is>
      </c>
      <c r="F83" t="inlineStr">
        <is>
          <t>Sunday</t>
        </is>
      </c>
      <c r="G83" s="27" t="n">
        <v>41798</v>
      </c>
      <c r="H83" t="inlineStr">
        <is>
          <t>AM</t>
        </is>
      </c>
      <c r="I83" t="inlineStr">
        <is>
          <t>Verona, NY (Turning Stone)</t>
        </is>
      </c>
      <c r="J83" t="inlineStr">
        <is>
          <t>Northeast</t>
        </is>
      </c>
      <c r="K83" t="n">
        <v>18</v>
      </c>
      <c r="L83" t="inlineStr">
        <is>
          <t>Full</t>
        </is>
      </c>
      <c r="M83" t="inlineStr">
        <is>
          <t>Kaluhyat</t>
        </is>
      </c>
      <c r="N83" t="inlineStr">
        <is>
          <t>White</t>
        </is>
      </c>
      <c r="O83" t="n">
        <v>70.90000000000001</v>
      </c>
      <c r="P83" t="n">
        <v>132</v>
      </c>
      <c r="Q83" t="n">
        <v>6183</v>
      </c>
      <c r="R83" t="inlineStr">
        <is>
          <t>Match Play</t>
        </is>
      </c>
      <c r="S83" t="inlineStr">
        <is>
          <t>Singles</t>
        </is>
      </c>
      <c r="T83" t="inlineStr">
        <is>
          <t>Over 6'</t>
        </is>
      </c>
      <c r="U83" t="inlineStr">
        <is>
          <t>Ferrin</t>
        </is>
      </c>
      <c r="V83" t="inlineStr">
        <is>
          <t>Hickerson</t>
        </is>
      </c>
      <c r="W83" t="inlineStr">
        <is>
          <t>Blue</t>
        </is>
      </c>
      <c r="X83" t="n">
        <v>8</v>
      </c>
      <c r="AA83" t="n">
        <v>2</v>
      </c>
      <c r="AB83" t="inlineStr">
        <is>
          <t>L</t>
        </is>
      </c>
      <c r="AC83" t="inlineStr">
        <is>
          <t>1UP</t>
        </is>
      </c>
      <c r="AD83" t="inlineStr">
        <is>
          <t>Forster</t>
        </is>
      </c>
      <c r="AE83">
        <f>$V83&amp;$Y83</f>
        <v/>
      </c>
      <c r="AF83" t="n">
        <v>0</v>
      </c>
      <c r="AG83" t="n">
        <v>0</v>
      </c>
      <c r="AH83" t="n">
        <v>1</v>
      </c>
      <c r="AI83" t="n">
        <v>0</v>
      </c>
      <c r="AJ83" t="n">
        <v>0</v>
      </c>
      <c r="AK83" t="inlineStr">
        <is>
          <t>Forster</t>
        </is>
      </c>
      <c r="AL83" t="n">
        <v>0.596491228070175</v>
      </c>
    </row>
    <row r="84" ht="15" customHeight="1" s="2">
      <c r="B84" t="n">
        <v>24</v>
      </c>
      <c r="C84" t="n">
        <v>7</v>
      </c>
      <c r="D84" t="n">
        <v>2</v>
      </c>
      <c r="E84" t="inlineStr">
        <is>
          <t>FBC2-S-Buss-Jackson</t>
        </is>
      </c>
      <c r="F84" t="inlineStr">
        <is>
          <t>Sunday</t>
        </is>
      </c>
      <c r="G84" s="27" t="n">
        <v>41798</v>
      </c>
      <c r="H84" t="inlineStr">
        <is>
          <t>AM</t>
        </is>
      </c>
      <c r="I84" t="inlineStr">
        <is>
          <t>Verona, NY (Turning Stone)</t>
        </is>
      </c>
      <c r="J84" t="inlineStr">
        <is>
          <t>Northeast</t>
        </is>
      </c>
      <c r="K84" t="n">
        <v>18</v>
      </c>
      <c r="L84" t="inlineStr">
        <is>
          <t>Full</t>
        </is>
      </c>
      <c r="M84" t="inlineStr">
        <is>
          <t>Kaluhyat</t>
        </is>
      </c>
      <c r="N84" t="inlineStr">
        <is>
          <t>White</t>
        </is>
      </c>
      <c r="O84" t="n">
        <v>70.90000000000001</v>
      </c>
      <c r="P84" t="n">
        <v>132</v>
      </c>
      <c r="Q84" t="n">
        <v>6183</v>
      </c>
      <c r="R84" t="inlineStr">
        <is>
          <t>Match Play</t>
        </is>
      </c>
      <c r="S84" t="inlineStr">
        <is>
          <t>Singles</t>
        </is>
      </c>
      <c r="T84" t="inlineStr">
        <is>
          <t>Over 6'</t>
        </is>
      </c>
      <c r="U84" t="inlineStr">
        <is>
          <t>Ferrin</t>
        </is>
      </c>
      <c r="V84" t="inlineStr">
        <is>
          <t>Buss</t>
        </is>
      </c>
      <c r="W84" t="inlineStr">
        <is>
          <t>Blue</t>
        </is>
      </c>
      <c r="X84" t="n">
        <v>0</v>
      </c>
      <c r="AA84" t="n">
        <v>2</v>
      </c>
      <c r="AB84" t="inlineStr">
        <is>
          <t>L</t>
        </is>
      </c>
      <c r="AC84" t="inlineStr">
        <is>
          <t>5 &amp; 3</t>
        </is>
      </c>
      <c r="AD84" t="inlineStr">
        <is>
          <t>Jackson</t>
        </is>
      </c>
      <c r="AE84">
        <f>$V84&amp;$Y84</f>
        <v/>
      </c>
      <c r="AF84" t="n">
        <v>0</v>
      </c>
      <c r="AG84" t="n">
        <v>0</v>
      </c>
      <c r="AH84" t="n">
        <v>1</v>
      </c>
      <c r="AI84" t="n">
        <v>0</v>
      </c>
      <c r="AJ84" t="n">
        <v>0</v>
      </c>
      <c r="AK84" t="inlineStr">
        <is>
          <t>Jackson</t>
        </is>
      </c>
      <c r="AL84" t="n">
        <v>0.6171875</v>
      </c>
    </row>
    <row r="85" ht="15" customHeight="1" s="2">
      <c r="B85" t="n">
        <v>24</v>
      </c>
      <c r="C85" t="n">
        <v>8</v>
      </c>
      <c r="D85" t="n">
        <v>2</v>
      </c>
      <c r="E85" t="inlineStr">
        <is>
          <t>FBC2-S-Hilts-Mangold</t>
        </is>
      </c>
      <c r="F85" t="inlineStr">
        <is>
          <t>Sunday</t>
        </is>
      </c>
      <c r="G85" s="27" t="n">
        <v>41798</v>
      </c>
      <c r="H85" t="inlineStr">
        <is>
          <t>AM</t>
        </is>
      </c>
      <c r="I85" t="inlineStr">
        <is>
          <t>Verona, NY (Turning Stone)</t>
        </is>
      </c>
      <c r="J85" t="inlineStr">
        <is>
          <t>Northeast</t>
        </is>
      </c>
      <c r="K85" t="n">
        <v>18</v>
      </c>
      <c r="L85" t="inlineStr">
        <is>
          <t>Full</t>
        </is>
      </c>
      <c r="M85" t="inlineStr">
        <is>
          <t>Kaluhyat</t>
        </is>
      </c>
      <c r="N85" t="inlineStr">
        <is>
          <t>White</t>
        </is>
      </c>
      <c r="O85" t="n">
        <v>70.90000000000001</v>
      </c>
      <c r="P85" t="n">
        <v>132</v>
      </c>
      <c r="Q85" t="n">
        <v>6183</v>
      </c>
      <c r="R85" t="inlineStr">
        <is>
          <t>Match Play</t>
        </is>
      </c>
      <c r="S85" t="inlineStr">
        <is>
          <t>Singles</t>
        </is>
      </c>
      <c r="T85" t="inlineStr">
        <is>
          <t>Over 6'</t>
        </is>
      </c>
      <c r="U85" t="inlineStr">
        <is>
          <t>Ferrin</t>
        </is>
      </c>
      <c r="V85" t="inlineStr">
        <is>
          <t>Mangold</t>
        </is>
      </c>
      <c r="W85" t="inlineStr">
        <is>
          <t>Blue</t>
        </is>
      </c>
      <c r="X85" t="n">
        <v>4</v>
      </c>
      <c r="AA85" t="n">
        <v>2</v>
      </c>
      <c r="AB85" t="inlineStr">
        <is>
          <t>W</t>
        </is>
      </c>
      <c r="AC85" t="inlineStr">
        <is>
          <t>2 &amp; 1</t>
        </is>
      </c>
      <c r="AD85" t="inlineStr">
        <is>
          <t>Hilts</t>
        </is>
      </c>
      <c r="AE85">
        <f>$V85&amp;$Y85</f>
        <v/>
      </c>
      <c r="AF85" t="n">
        <v>2</v>
      </c>
      <c r="AG85" t="n">
        <v>1</v>
      </c>
      <c r="AH85" t="n">
        <v>0</v>
      </c>
      <c r="AI85" t="n">
        <v>0</v>
      </c>
      <c r="AJ85" t="n">
        <v>1</v>
      </c>
      <c r="AK85" t="inlineStr">
        <is>
          <t>Hilts</t>
        </is>
      </c>
      <c r="AL85" t="n">
        <v>0.473214285714286</v>
      </c>
    </row>
    <row r="86" ht="15" customHeight="1" s="2">
      <c r="B86" t="n">
        <v>1</v>
      </c>
      <c r="C86" t="n">
        <v>1</v>
      </c>
      <c r="D86" t="n">
        <v>3</v>
      </c>
      <c r="E86" t="inlineStr">
        <is>
          <t>FBC3-D1</t>
        </is>
      </c>
      <c r="F86" t="inlineStr">
        <is>
          <t>Saturday</t>
        </is>
      </c>
      <c r="G86" s="27" t="n">
        <v>42168</v>
      </c>
      <c r="H86" t="inlineStr">
        <is>
          <t>AM</t>
        </is>
      </c>
      <c r="I86" t="inlineStr">
        <is>
          <t>Sea Island, GA</t>
        </is>
      </c>
      <c r="J86" t="inlineStr">
        <is>
          <t>South</t>
        </is>
      </c>
      <c r="K86" t="n">
        <v>9</v>
      </c>
      <c r="L86" t="inlineStr">
        <is>
          <t>Front</t>
        </is>
      </c>
      <c r="M86" t="inlineStr">
        <is>
          <t>Seaside</t>
        </is>
      </c>
      <c r="N86" t="inlineStr">
        <is>
          <t>Green</t>
        </is>
      </c>
      <c r="O86" t="n">
        <v>71.09999999999999</v>
      </c>
      <c r="P86" t="n">
        <v>135</v>
      </c>
      <c r="Q86" t="n">
        <v>6323</v>
      </c>
      <c r="R86" t="inlineStr">
        <is>
          <t>Best Ball</t>
        </is>
      </c>
      <c r="S86" t="inlineStr">
        <is>
          <t>Doubles</t>
        </is>
      </c>
      <c r="T86" t="inlineStr">
        <is>
          <t>Under 6'</t>
        </is>
      </c>
      <c r="U86" t="inlineStr">
        <is>
          <t>Shively</t>
        </is>
      </c>
      <c r="V86" t="inlineStr">
        <is>
          <t>Ferrin</t>
        </is>
      </c>
      <c r="W86" t="inlineStr">
        <is>
          <t xml:space="preserve">Steel </t>
        </is>
      </c>
      <c r="X86" t="n">
        <v>24</v>
      </c>
      <c r="Y86" t="inlineStr">
        <is>
          <t>Shively</t>
        </is>
      </c>
      <c r="Z86" t="n">
        <v>21</v>
      </c>
      <c r="AA86" t="n">
        <v>1</v>
      </c>
      <c r="AB86" t="inlineStr">
        <is>
          <t>W</t>
        </is>
      </c>
      <c r="AC86" t="inlineStr">
        <is>
          <t>4&amp;3</t>
        </is>
      </c>
      <c r="AE86">
        <f>$V86&amp;$Y86</f>
        <v/>
      </c>
      <c r="AF86" t="n">
        <v>1</v>
      </c>
      <c r="AG86" t="n">
        <v>1</v>
      </c>
      <c r="AH86" t="n">
        <v>0</v>
      </c>
      <c r="AI86" t="n">
        <v>0</v>
      </c>
      <c r="AJ86" t="n">
        <v>1</v>
      </c>
      <c r="AK86" t="inlineStr">
        <is>
          <t>Connolly</t>
        </is>
      </c>
      <c r="AL86" t="n">
        <v>0.59375</v>
      </c>
      <c r="AM86" t="inlineStr">
        <is>
          <t>Hilts</t>
        </is>
      </c>
      <c r="AN86" t="n">
        <v>0.473214285714286</v>
      </c>
    </row>
    <row r="87" ht="15" customHeight="1" s="2">
      <c r="B87" t="n">
        <v>1</v>
      </c>
      <c r="C87" t="n">
        <v>1</v>
      </c>
      <c r="D87" t="n">
        <v>3</v>
      </c>
      <c r="E87" t="inlineStr">
        <is>
          <t>FBC3-D1</t>
        </is>
      </c>
      <c r="F87" t="inlineStr">
        <is>
          <t>Saturday</t>
        </is>
      </c>
      <c r="G87" s="27" t="n">
        <v>42168</v>
      </c>
      <c r="H87" t="inlineStr">
        <is>
          <t>AM</t>
        </is>
      </c>
      <c r="I87" t="inlineStr">
        <is>
          <t>Sea Island, GA</t>
        </is>
      </c>
      <c r="J87" t="inlineStr">
        <is>
          <t>South</t>
        </is>
      </c>
      <c r="K87" t="n">
        <v>9</v>
      </c>
      <c r="L87" t="inlineStr">
        <is>
          <t>Front</t>
        </is>
      </c>
      <c r="M87" t="inlineStr">
        <is>
          <t>Seaside</t>
        </is>
      </c>
      <c r="N87" t="inlineStr">
        <is>
          <t>Green</t>
        </is>
      </c>
      <c r="O87" t="n">
        <v>71.09999999999999</v>
      </c>
      <c r="P87" t="n">
        <v>135</v>
      </c>
      <c r="Q87" t="n">
        <v>6323</v>
      </c>
      <c r="R87" t="inlineStr">
        <is>
          <t>Best Ball</t>
        </is>
      </c>
      <c r="S87" t="inlineStr">
        <is>
          <t>Doubles</t>
        </is>
      </c>
      <c r="T87" t="inlineStr">
        <is>
          <t>Over 6'</t>
        </is>
      </c>
      <c r="U87" t="inlineStr">
        <is>
          <t>Lynch</t>
        </is>
      </c>
      <c r="V87" t="inlineStr">
        <is>
          <t>Connolly</t>
        </is>
      </c>
      <c r="W87" t="inlineStr">
        <is>
          <t>Green</t>
        </is>
      </c>
      <c r="X87" t="n">
        <v>10.7911504424779</v>
      </c>
      <c r="Y87" t="inlineStr">
        <is>
          <t>Hilts</t>
        </is>
      </c>
      <c r="Z87" t="n">
        <v>21.2265486725664</v>
      </c>
      <c r="AA87" t="n">
        <v>1</v>
      </c>
      <c r="AB87" t="inlineStr">
        <is>
          <t>L</t>
        </is>
      </c>
      <c r="AC87" t="inlineStr">
        <is>
          <t>4&amp;3</t>
        </is>
      </c>
      <c r="AE87">
        <f>$V87&amp;$Y87</f>
        <v/>
      </c>
      <c r="AF87" t="n">
        <v>0</v>
      </c>
      <c r="AG87" t="n">
        <v>0</v>
      </c>
      <c r="AH87" t="n">
        <v>1</v>
      </c>
      <c r="AI87" t="n">
        <v>0</v>
      </c>
      <c r="AJ87" t="n">
        <v>0</v>
      </c>
      <c r="AK87" t="inlineStr">
        <is>
          <t>Ferrin</t>
        </is>
      </c>
      <c r="AL87" t="n">
        <v>0.595238095238095</v>
      </c>
      <c r="AM87" t="inlineStr">
        <is>
          <t>Shively</t>
        </is>
      </c>
    </row>
    <row r="88" ht="15" customHeight="1" s="2">
      <c r="B88" t="n">
        <v>2</v>
      </c>
      <c r="C88" t="n">
        <v>2</v>
      </c>
      <c r="D88" t="n">
        <v>3</v>
      </c>
      <c r="E88" t="inlineStr">
        <is>
          <t>FBC3-D2</t>
        </is>
      </c>
      <c r="F88" t="inlineStr">
        <is>
          <t>Saturday</t>
        </is>
      </c>
      <c r="G88" s="27" t="n">
        <v>42168</v>
      </c>
      <c r="H88" t="inlineStr">
        <is>
          <t>AM</t>
        </is>
      </c>
      <c r="I88" t="inlineStr">
        <is>
          <t>Sea Island, GA</t>
        </is>
      </c>
      <c r="J88" t="inlineStr">
        <is>
          <t>South</t>
        </is>
      </c>
      <c r="K88" t="n">
        <v>9</v>
      </c>
      <c r="L88" t="inlineStr">
        <is>
          <t>Front</t>
        </is>
      </c>
      <c r="M88" t="inlineStr">
        <is>
          <t>Seaside</t>
        </is>
      </c>
      <c r="N88" t="inlineStr">
        <is>
          <t>Green</t>
        </is>
      </c>
      <c r="O88" t="n">
        <v>71.09999999999999</v>
      </c>
      <c r="P88" t="n">
        <v>135</v>
      </c>
      <c r="Q88" t="n">
        <v>6323</v>
      </c>
      <c r="R88" t="inlineStr">
        <is>
          <t>Best Ball</t>
        </is>
      </c>
      <c r="S88" t="inlineStr">
        <is>
          <t>Doubles</t>
        </is>
      </c>
      <c r="T88" t="inlineStr">
        <is>
          <t>Over 6'</t>
        </is>
      </c>
      <c r="U88" t="inlineStr">
        <is>
          <t>Lynch</t>
        </is>
      </c>
      <c r="V88" t="inlineStr">
        <is>
          <t>Fogan</t>
        </is>
      </c>
      <c r="W88" t="inlineStr">
        <is>
          <t>Green</t>
        </is>
      </c>
      <c r="X88" t="n">
        <v>29.6460176991151</v>
      </c>
      <c r="Y88" t="inlineStr">
        <is>
          <t>Weisberger</t>
        </is>
      </c>
      <c r="Z88" t="n">
        <v>18.7362831858407</v>
      </c>
      <c r="AA88" t="n">
        <v>1</v>
      </c>
      <c r="AB88" t="inlineStr">
        <is>
          <t>W</t>
        </is>
      </c>
      <c r="AC88" t="inlineStr">
        <is>
          <t>4&amp;3</t>
        </is>
      </c>
      <c r="AE88">
        <f>$V88&amp;$Y88</f>
        <v/>
      </c>
      <c r="AF88" t="n">
        <v>1</v>
      </c>
      <c r="AG88" t="n">
        <v>1</v>
      </c>
      <c r="AH88" t="n">
        <v>0</v>
      </c>
      <c r="AI88" t="n">
        <v>0</v>
      </c>
      <c r="AJ88" t="n">
        <v>1</v>
      </c>
      <c r="AK88" t="inlineStr">
        <is>
          <t>Grise</t>
        </is>
      </c>
      <c r="AL88" t="n">
        <v>0.546875</v>
      </c>
      <c r="AM88" t="inlineStr">
        <is>
          <t>Jackson</t>
        </is>
      </c>
      <c r="AN88" t="n">
        <v>0.6171875</v>
      </c>
    </row>
    <row r="89" ht="15" customHeight="1" s="2">
      <c r="B89" t="n">
        <v>2</v>
      </c>
      <c r="C89" t="n">
        <v>2</v>
      </c>
      <c r="D89" t="n">
        <v>3</v>
      </c>
      <c r="E89" t="inlineStr">
        <is>
          <t>FBC3-D2</t>
        </is>
      </c>
      <c r="F89" t="inlineStr">
        <is>
          <t>Saturday</t>
        </is>
      </c>
      <c r="G89" s="27" t="n">
        <v>42168</v>
      </c>
      <c r="H89" t="inlineStr">
        <is>
          <t>AM</t>
        </is>
      </c>
      <c r="I89" t="inlineStr">
        <is>
          <t>Sea Island, GA</t>
        </is>
      </c>
      <c r="J89" t="inlineStr">
        <is>
          <t>South</t>
        </is>
      </c>
      <c r="K89" t="n">
        <v>9</v>
      </c>
      <c r="L89" t="inlineStr">
        <is>
          <t>Front</t>
        </is>
      </c>
      <c r="M89" t="inlineStr">
        <is>
          <t>Seaside</t>
        </is>
      </c>
      <c r="N89" t="inlineStr">
        <is>
          <t>Green</t>
        </is>
      </c>
      <c r="O89" t="n">
        <v>71.09999999999999</v>
      </c>
      <c r="P89" t="n">
        <v>135</v>
      </c>
      <c r="Q89" t="n">
        <v>6323</v>
      </c>
      <c r="R89" t="inlineStr">
        <is>
          <t>Best Ball</t>
        </is>
      </c>
      <c r="S89" t="inlineStr">
        <is>
          <t>Doubles</t>
        </is>
      </c>
      <c r="T89" t="inlineStr">
        <is>
          <t>Under 6'</t>
        </is>
      </c>
      <c r="U89" t="inlineStr">
        <is>
          <t>Shively</t>
        </is>
      </c>
      <c r="V89" t="inlineStr">
        <is>
          <t>Grise</t>
        </is>
      </c>
      <c r="W89" t="inlineStr">
        <is>
          <t xml:space="preserve">Steel </t>
        </is>
      </c>
      <c r="X89" t="n">
        <v>17</v>
      </c>
      <c r="Y89" t="inlineStr">
        <is>
          <t>Jackson</t>
        </is>
      </c>
      <c r="Z89" t="n">
        <v>15</v>
      </c>
      <c r="AA89" t="n">
        <v>1</v>
      </c>
      <c r="AB89" t="inlineStr">
        <is>
          <t>L</t>
        </is>
      </c>
      <c r="AC89" t="inlineStr">
        <is>
          <t>4&amp;3</t>
        </is>
      </c>
      <c r="AE89">
        <f>$V89&amp;$Y89</f>
        <v/>
      </c>
      <c r="AF89" t="n">
        <v>0</v>
      </c>
      <c r="AG89" t="n">
        <v>0</v>
      </c>
      <c r="AH89" t="n">
        <v>1</v>
      </c>
      <c r="AI89" t="n">
        <v>0</v>
      </c>
      <c r="AJ89" t="n">
        <v>0</v>
      </c>
      <c r="AK89" t="inlineStr">
        <is>
          <t>Fogan</t>
        </is>
      </c>
      <c r="AL89" t="n">
        <v>0.372881355932203</v>
      </c>
      <c r="AM89" t="inlineStr">
        <is>
          <t>Weisberger</t>
        </is>
      </c>
      <c r="AN89" t="n">
        <v>0.5</v>
      </c>
    </row>
    <row r="90" ht="15" customHeight="1" s="2">
      <c r="B90" t="n">
        <v>3</v>
      </c>
      <c r="C90" t="n">
        <v>3</v>
      </c>
      <c r="D90" t="n">
        <v>3</v>
      </c>
      <c r="E90" t="inlineStr">
        <is>
          <t>FBC3-D3</t>
        </is>
      </c>
      <c r="F90" t="inlineStr">
        <is>
          <t>Saturday</t>
        </is>
      </c>
      <c r="G90" s="27" t="n">
        <v>42168</v>
      </c>
      <c r="H90" t="inlineStr">
        <is>
          <t>AM</t>
        </is>
      </c>
      <c r="I90" t="inlineStr">
        <is>
          <t>Sea Island, GA</t>
        </is>
      </c>
      <c r="J90" t="inlineStr">
        <is>
          <t>South</t>
        </is>
      </c>
      <c r="K90" t="n">
        <v>9</v>
      </c>
      <c r="L90" t="inlineStr">
        <is>
          <t>Front</t>
        </is>
      </c>
      <c r="M90" t="inlineStr">
        <is>
          <t>Seaside</t>
        </is>
      </c>
      <c r="N90" t="inlineStr">
        <is>
          <t>Green</t>
        </is>
      </c>
      <c r="O90" t="n">
        <v>71.09999999999999</v>
      </c>
      <c r="P90" t="n">
        <v>135</v>
      </c>
      <c r="Q90" t="n">
        <v>6323</v>
      </c>
      <c r="R90" t="inlineStr">
        <is>
          <t>Best Ball</t>
        </is>
      </c>
      <c r="S90" t="inlineStr">
        <is>
          <t>Doubles</t>
        </is>
      </c>
      <c r="T90" t="inlineStr">
        <is>
          <t>Under 6'</t>
        </is>
      </c>
      <c r="U90" t="inlineStr">
        <is>
          <t>Shively</t>
        </is>
      </c>
      <c r="V90" t="inlineStr">
        <is>
          <t>Flanders</t>
        </is>
      </c>
      <c r="W90" t="inlineStr">
        <is>
          <t xml:space="preserve">Steel </t>
        </is>
      </c>
      <c r="X90" t="n">
        <v>15.8902654867257</v>
      </c>
      <c r="Y90" t="inlineStr">
        <is>
          <t>Forster</t>
        </is>
      </c>
      <c r="Z90" t="n">
        <v>29.6460176991151</v>
      </c>
      <c r="AA90" t="n">
        <v>1</v>
      </c>
      <c r="AB90" t="inlineStr">
        <is>
          <t>L</t>
        </is>
      </c>
      <c r="AC90" t="inlineStr">
        <is>
          <t>2&amp;1</t>
        </is>
      </c>
      <c r="AE90">
        <f>$V90&amp;$Y90</f>
        <v/>
      </c>
      <c r="AF90" t="n">
        <v>0</v>
      </c>
      <c r="AG90" t="n">
        <v>0</v>
      </c>
      <c r="AH90" t="n">
        <v>1</v>
      </c>
      <c r="AI90" t="n">
        <v>0</v>
      </c>
      <c r="AJ90" t="n">
        <v>0</v>
      </c>
      <c r="AK90" t="inlineStr">
        <is>
          <t>Gray</t>
        </is>
      </c>
      <c r="AL90" t="n">
        <v>0.654761904761905</v>
      </c>
      <c r="AM90" t="inlineStr">
        <is>
          <t>Zimmer</t>
        </is>
      </c>
      <c r="AN90" t="n">
        <v>0.5</v>
      </c>
    </row>
    <row r="91" ht="15" customHeight="1" s="2">
      <c r="B91" t="n">
        <v>3</v>
      </c>
      <c r="C91" t="n">
        <v>3</v>
      </c>
      <c r="D91" t="n">
        <v>3</v>
      </c>
      <c r="E91" t="inlineStr">
        <is>
          <t>FBC3-D3</t>
        </is>
      </c>
      <c r="F91" t="inlineStr">
        <is>
          <t>Saturday</t>
        </is>
      </c>
      <c r="G91" s="27" t="n">
        <v>42168</v>
      </c>
      <c r="H91" t="inlineStr">
        <is>
          <t>AM</t>
        </is>
      </c>
      <c r="I91" t="inlineStr">
        <is>
          <t>Sea Island, GA</t>
        </is>
      </c>
      <c r="J91" t="inlineStr">
        <is>
          <t>South</t>
        </is>
      </c>
      <c r="K91" t="n">
        <v>9</v>
      </c>
      <c r="L91" t="inlineStr">
        <is>
          <t>Front</t>
        </is>
      </c>
      <c r="M91" t="inlineStr">
        <is>
          <t>Seaside</t>
        </is>
      </c>
      <c r="N91" t="inlineStr">
        <is>
          <t>Green</t>
        </is>
      </c>
      <c r="O91" t="n">
        <v>71.09999999999999</v>
      </c>
      <c r="P91" t="n">
        <v>135</v>
      </c>
      <c r="Q91" t="n">
        <v>6323</v>
      </c>
      <c r="R91" t="inlineStr">
        <is>
          <t>Best Ball</t>
        </is>
      </c>
      <c r="S91" t="inlineStr">
        <is>
          <t>Doubles</t>
        </is>
      </c>
      <c r="T91" t="inlineStr">
        <is>
          <t>Over 6'</t>
        </is>
      </c>
      <c r="U91" t="inlineStr">
        <is>
          <t>Lynch</t>
        </is>
      </c>
      <c r="V91" t="inlineStr">
        <is>
          <t>Gray</t>
        </is>
      </c>
      <c r="W91" t="inlineStr">
        <is>
          <t>Green</t>
        </is>
      </c>
      <c r="X91" t="n">
        <v>13.0442477876106</v>
      </c>
      <c r="Y91" t="inlineStr">
        <is>
          <t>Zimmer</t>
        </is>
      </c>
      <c r="Z91" t="n">
        <v>16.9575221238938</v>
      </c>
      <c r="AA91" t="n">
        <v>1</v>
      </c>
      <c r="AB91" t="inlineStr">
        <is>
          <t>W</t>
        </is>
      </c>
      <c r="AC91" t="inlineStr">
        <is>
          <t>2&amp;1</t>
        </is>
      </c>
      <c r="AE91">
        <f>$V91&amp;$Y91</f>
        <v/>
      </c>
      <c r="AF91" t="n">
        <v>1</v>
      </c>
      <c r="AG91" t="n">
        <v>1</v>
      </c>
      <c r="AH91" t="n">
        <v>0</v>
      </c>
      <c r="AI91" t="n">
        <v>0</v>
      </c>
      <c r="AJ91" t="n">
        <v>1</v>
      </c>
      <c r="AK91" t="inlineStr">
        <is>
          <t>Flanders</t>
        </is>
      </c>
      <c r="AL91" t="n">
        <v>0.4296875</v>
      </c>
      <c r="AM91" t="inlineStr">
        <is>
          <t>Forster</t>
        </is>
      </c>
      <c r="AN91" t="n">
        <v>0.596491228070175</v>
      </c>
    </row>
    <row r="92" ht="15" customHeight="1" s="2">
      <c r="B92" t="n">
        <v>4</v>
      </c>
      <c r="C92" t="n">
        <v>4</v>
      </c>
      <c r="D92" t="n">
        <v>3</v>
      </c>
      <c r="E92" t="inlineStr">
        <is>
          <t>FBC3-D4</t>
        </is>
      </c>
      <c r="F92" t="inlineStr">
        <is>
          <t>Saturday</t>
        </is>
      </c>
      <c r="G92" s="27" t="n">
        <v>42168</v>
      </c>
      <c r="H92" t="inlineStr">
        <is>
          <t>AM</t>
        </is>
      </c>
      <c r="I92" t="inlineStr">
        <is>
          <t>Sea Island, GA</t>
        </is>
      </c>
      <c r="J92" t="inlineStr">
        <is>
          <t>South</t>
        </is>
      </c>
      <c r="K92" t="n">
        <v>9</v>
      </c>
      <c r="L92" t="inlineStr">
        <is>
          <t>Front</t>
        </is>
      </c>
      <c r="M92" t="inlineStr">
        <is>
          <t>Seaside</t>
        </is>
      </c>
      <c r="N92" t="inlineStr">
        <is>
          <t>Green</t>
        </is>
      </c>
      <c r="O92" t="n">
        <v>71.09999999999999</v>
      </c>
      <c r="P92" t="n">
        <v>135</v>
      </c>
      <c r="Q92" t="n">
        <v>6323</v>
      </c>
      <c r="R92" t="inlineStr">
        <is>
          <t>Best Ball</t>
        </is>
      </c>
      <c r="S92" t="inlineStr">
        <is>
          <t>Doubles</t>
        </is>
      </c>
      <c r="T92" t="inlineStr">
        <is>
          <t>Over 6'</t>
        </is>
      </c>
      <c r="U92" t="inlineStr">
        <is>
          <t>Lynch</t>
        </is>
      </c>
      <c r="V92" t="inlineStr">
        <is>
          <t>Hickerson</t>
        </is>
      </c>
      <c r="W92" t="inlineStr">
        <is>
          <t>Green</t>
        </is>
      </c>
      <c r="X92" t="n">
        <v>22.2938053097345</v>
      </c>
      <c r="Y92" t="inlineStr">
        <is>
          <t>Lynch</t>
        </is>
      </c>
      <c r="Z92" t="n">
        <v>18.9734513274336</v>
      </c>
      <c r="AA92" t="n">
        <v>1</v>
      </c>
      <c r="AB92" t="inlineStr">
        <is>
          <t>W</t>
        </is>
      </c>
      <c r="AC92" t="inlineStr">
        <is>
          <t>2&amp;1</t>
        </is>
      </c>
      <c r="AE92">
        <f>$V92&amp;$Y92</f>
        <v/>
      </c>
      <c r="AF92" t="n">
        <v>1</v>
      </c>
      <c r="AG92" t="n">
        <v>1</v>
      </c>
      <c r="AH92" t="n">
        <v>0</v>
      </c>
      <c r="AI92" t="n">
        <v>0</v>
      </c>
      <c r="AJ92" t="n">
        <v>1</v>
      </c>
      <c r="AK92" t="inlineStr">
        <is>
          <t>Buss</t>
        </is>
      </c>
      <c r="AL92" t="n">
        <v>0.448275862068966</v>
      </c>
      <c r="AM92" t="inlineStr">
        <is>
          <t>Mangold</t>
        </is>
      </c>
      <c r="AN92" t="n">
        <v>0.383928571428572</v>
      </c>
    </row>
    <row r="93" ht="15" customHeight="1" s="2">
      <c r="B93" t="n">
        <v>4</v>
      </c>
      <c r="C93" t="n">
        <v>4</v>
      </c>
      <c r="D93" t="n">
        <v>3</v>
      </c>
      <c r="E93" t="inlineStr">
        <is>
          <t>FBC3-D4</t>
        </is>
      </c>
      <c r="F93" t="inlineStr">
        <is>
          <t>Saturday</t>
        </is>
      </c>
      <c r="G93" s="27" t="n">
        <v>42168</v>
      </c>
      <c r="H93" t="inlineStr">
        <is>
          <t>AM</t>
        </is>
      </c>
      <c r="I93" t="inlineStr">
        <is>
          <t>Sea Island, GA</t>
        </is>
      </c>
      <c r="J93" t="inlineStr">
        <is>
          <t>South</t>
        </is>
      </c>
      <c r="K93" t="n">
        <v>9</v>
      </c>
      <c r="L93" t="inlineStr">
        <is>
          <t>Front</t>
        </is>
      </c>
      <c r="M93" t="inlineStr">
        <is>
          <t>Seaside</t>
        </is>
      </c>
      <c r="N93" t="inlineStr">
        <is>
          <t>Green</t>
        </is>
      </c>
      <c r="O93" t="n">
        <v>71.09999999999999</v>
      </c>
      <c r="P93" t="n">
        <v>135</v>
      </c>
      <c r="Q93" t="n">
        <v>6323</v>
      </c>
      <c r="R93" t="inlineStr">
        <is>
          <t>Best Ball</t>
        </is>
      </c>
      <c r="S93" t="inlineStr">
        <is>
          <t>Doubles</t>
        </is>
      </c>
      <c r="T93" t="inlineStr">
        <is>
          <t>Under 6'</t>
        </is>
      </c>
      <c r="U93" t="inlineStr">
        <is>
          <t>Shively</t>
        </is>
      </c>
      <c r="V93" t="inlineStr">
        <is>
          <t>Buss</t>
        </is>
      </c>
      <c r="W93" t="inlineStr">
        <is>
          <t xml:space="preserve">Steel </t>
        </is>
      </c>
      <c r="X93" t="n">
        <v>16</v>
      </c>
      <c r="Y93" t="inlineStr">
        <is>
          <t>Mangold</t>
        </is>
      </c>
      <c r="Z93" t="n">
        <v>19</v>
      </c>
      <c r="AA93" t="n">
        <v>1</v>
      </c>
      <c r="AB93" t="inlineStr">
        <is>
          <t>L</t>
        </is>
      </c>
      <c r="AC93" t="inlineStr">
        <is>
          <t>2&amp;1</t>
        </is>
      </c>
      <c r="AE93">
        <f>$V93&amp;$Y93</f>
        <v/>
      </c>
      <c r="AF93" t="n">
        <v>0</v>
      </c>
      <c r="AG93" t="n">
        <v>0</v>
      </c>
      <c r="AH93" t="n">
        <v>1</v>
      </c>
      <c r="AI93" t="n">
        <v>0</v>
      </c>
      <c r="AJ93" t="n">
        <v>0</v>
      </c>
      <c r="AK93" t="inlineStr">
        <is>
          <t>Hickerson</t>
        </is>
      </c>
      <c r="AL93" t="n">
        <v>0.357142857142857</v>
      </c>
      <c r="AM93" t="inlineStr">
        <is>
          <t>Lynch</t>
        </is>
      </c>
      <c r="AN93" t="n">
        <v>0.5546875</v>
      </c>
    </row>
    <row r="94" ht="15" customHeight="1" s="2">
      <c r="B94" t="n">
        <v>5</v>
      </c>
      <c r="C94" t="n">
        <v>5</v>
      </c>
      <c r="D94" t="n">
        <v>3</v>
      </c>
      <c r="E94" t="inlineStr">
        <is>
          <t>FBC3-D5</t>
        </is>
      </c>
      <c r="F94" t="inlineStr">
        <is>
          <t>Saturday</t>
        </is>
      </c>
      <c r="G94" s="27" t="n">
        <v>42168</v>
      </c>
      <c r="H94" t="inlineStr">
        <is>
          <t>AM</t>
        </is>
      </c>
      <c r="I94" t="inlineStr">
        <is>
          <t>Sea Island, GA</t>
        </is>
      </c>
      <c r="J94" t="inlineStr">
        <is>
          <t>South</t>
        </is>
      </c>
      <c r="K94" t="n">
        <v>9</v>
      </c>
      <c r="L94" t="inlineStr">
        <is>
          <t>Front</t>
        </is>
      </c>
      <c r="M94" t="inlineStr">
        <is>
          <t>Seaside</t>
        </is>
      </c>
      <c r="N94" t="inlineStr">
        <is>
          <t>Green</t>
        </is>
      </c>
      <c r="O94" t="n">
        <v>71.09999999999999</v>
      </c>
      <c r="P94" t="n">
        <v>135</v>
      </c>
      <c r="Q94" t="n">
        <v>6323</v>
      </c>
      <c r="R94" t="inlineStr">
        <is>
          <t>Best Ball</t>
        </is>
      </c>
      <c r="S94" t="inlineStr">
        <is>
          <t>Doubles</t>
        </is>
      </c>
      <c r="T94" t="inlineStr">
        <is>
          <t>Under 6'</t>
        </is>
      </c>
      <c r="U94" t="inlineStr">
        <is>
          <t>Shively</t>
        </is>
      </c>
      <c r="V94" t="inlineStr">
        <is>
          <t>Connors</t>
        </is>
      </c>
      <c r="W94" t="inlineStr">
        <is>
          <t xml:space="preserve">Steel </t>
        </is>
      </c>
      <c r="X94" t="n">
        <v>19.8035398230089</v>
      </c>
      <c r="Y94" t="inlineStr">
        <is>
          <t>Norat</t>
        </is>
      </c>
      <c r="Z94" t="n">
        <v>22.1752212389381</v>
      </c>
      <c r="AA94" t="n">
        <v>1</v>
      </c>
      <c r="AB94" t="inlineStr">
        <is>
          <t>L</t>
        </is>
      </c>
      <c r="AC94" t="inlineStr">
        <is>
          <t>2&amp;1</t>
        </is>
      </c>
      <c r="AE94">
        <f>$V94&amp;$Y94</f>
        <v/>
      </c>
      <c r="AF94" t="n">
        <v>0</v>
      </c>
      <c r="AG94" t="n">
        <v>0</v>
      </c>
      <c r="AH94" t="n">
        <v>1</v>
      </c>
      <c r="AI94" t="n">
        <v>0</v>
      </c>
      <c r="AJ94" t="n">
        <v>0</v>
      </c>
      <c r="AK94" t="inlineStr">
        <is>
          <t>Cole</t>
        </is>
      </c>
      <c r="AL94" t="n">
        <v>0.440677966101695</v>
      </c>
      <c r="AM94" t="inlineStr">
        <is>
          <t>McInerney</t>
        </is>
      </c>
      <c r="AN94" t="n">
        <v>0.5</v>
      </c>
    </row>
    <row r="95" ht="15" customHeight="1" s="2">
      <c r="B95" t="n">
        <v>5</v>
      </c>
      <c r="C95" t="n">
        <v>5</v>
      </c>
      <c r="D95" t="n">
        <v>3</v>
      </c>
      <c r="E95" t="inlineStr">
        <is>
          <t>FBC3-D5</t>
        </is>
      </c>
      <c r="F95" t="inlineStr">
        <is>
          <t>Saturday</t>
        </is>
      </c>
      <c r="G95" s="27" t="n">
        <v>42168</v>
      </c>
      <c r="H95" t="inlineStr">
        <is>
          <t>AM</t>
        </is>
      </c>
      <c r="I95" t="inlineStr">
        <is>
          <t>Sea Island, GA</t>
        </is>
      </c>
      <c r="J95" t="inlineStr">
        <is>
          <t>South</t>
        </is>
      </c>
      <c r="K95" t="n">
        <v>9</v>
      </c>
      <c r="L95" t="inlineStr">
        <is>
          <t>Front</t>
        </is>
      </c>
      <c r="M95" t="inlineStr">
        <is>
          <t>Seaside</t>
        </is>
      </c>
      <c r="N95" t="inlineStr">
        <is>
          <t>Green</t>
        </is>
      </c>
      <c r="O95" t="n">
        <v>71.09999999999999</v>
      </c>
      <c r="P95" t="n">
        <v>135</v>
      </c>
      <c r="Q95" t="n">
        <v>6323</v>
      </c>
      <c r="R95" t="inlineStr">
        <is>
          <t>Best Ball</t>
        </is>
      </c>
      <c r="S95" t="inlineStr">
        <is>
          <t>Doubles</t>
        </is>
      </c>
      <c r="T95" t="inlineStr">
        <is>
          <t>Over 6'</t>
        </is>
      </c>
      <c r="U95" t="inlineStr">
        <is>
          <t>Lynch</t>
        </is>
      </c>
      <c r="V95" t="inlineStr">
        <is>
          <t>Cole</t>
        </is>
      </c>
      <c r="W95" t="inlineStr">
        <is>
          <t>Green</t>
        </is>
      </c>
      <c r="X95" t="n">
        <v>29.4088495575221</v>
      </c>
      <c r="Y95" t="inlineStr">
        <is>
          <t>McInerney</t>
        </is>
      </c>
      <c r="Z95" t="n">
        <v>11.2654867256637</v>
      </c>
      <c r="AA95" t="n">
        <v>1</v>
      </c>
      <c r="AB95" t="inlineStr">
        <is>
          <t>W</t>
        </is>
      </c>
      <c r="AC95" t="inlineStr">
        <is>
          <t>2&amp;1</t>
        </is>
      </c>
      <c r="AE95">
        <f>$V95&amp;$Y95</f>
        <v/>
      </c>
      <c r="AF95" t="n">
        <v>1</v>
      </c>
      <c r="AG95" t="n">
        <v>1</v>
      </c>
      <c r="AH95" t="n">
        <v>0</v>
      </c>
      <c r="AI95" t="n">
        <v>0</v>
      </c>
      <c r="AJ95" t="n">
        <v>1</v>
      </c>
      <c r="AK95" t="inlineStr">
        <is>
          <t>Connors</t>
        </is>
      </c>
      <c r="AL95" t="n">
        <v>0.347457627118644</v>
      </c>
      <c r="AM95" t="inlineStr">
        <is>
          <t>Norat</t>
        </is>
      </c>
      <c r="AN95" t="n">
        <v>0.527777777777778</v>
      </c>
    </row>
    <row r="96" ht="15" customHeight="1" s="2">
      <c r="B96" t="n">
        <v>6</v>
      </c>
      <c r="C96" t="n">
        <v>1</v>
      </c>
      <c r="D96" t="n">
        <v>3</v>
      </c>
      <c r="E96" t="inlineStr">
        <is>
          <t>FBC3-D6</t>
        </is>
      </c>
      <c r="F96" t="inlineStr">
        <is>
          <t>Saturday</t>
        </is>
      </c>
      <c r="G96" s="27" t="n">
        <v>42168</v>
      </c>
      <c r="H96" t="inlineStr">
        <is>
          <t>AM</t>
        </is>
      </c>
      <c r="I96" t="inlineStr">
        <is>
          <t>Sea Island, GA</t>
        </is>
      </c>
      <c r="J96" t="inlineStr">
        <is>
          <t>South</t>
        </is>
      </c>
      <c r="K96" t="n">
        <v>9</v>
      </c>
      <c r="L96" t="inlineStr">
        <is>
          <t>Back</t>
        </is>
      </c>
      <c r="M96" t="inlineStr">
        <is>
          <t>Seaside</t>
        </is>
      </c>
      <c r="N96" t="inlineStr">
        <is>
          <t>Green</t>
        </is>
      </c>
      <c r="O96" t="n">
        <v>71.09999999999999</v>
      </c>
      <c r="P96" t="n">
        <v>135</v>
      </c>
      <c r="Q96" t="n">
        <v>6323</v>
      </c>
      <c r="R96" t="inlineStr">
        <is>
          <t>Hi-Lo</t>
        </is>
      </c>
      <c r="S96" t="inlineStr">
        <is>
          <t>Doubles</t>
        </is>
      </c>
      <c r="T96" t="inlineStr">
        <is>
          <t>Under 6'</t>
        </is>
      </c>
      <c r="U96" t="inlineStr">
        <is>
          <t>Shively</t>
        </is>
      </c>
      <c r="V96" t="inlineStr">
        <is>
          <t>Ferrin</t>
        </is>
      </c>
      <c r="W96" t="inlineStr">
        <is>
          <t xml:space="preserve">Steel </t>
        </is>
      </c>
      <c r="X96" t="n">
        <v>24</v>
      </c>
      <c r="Y96" t="inlineStr">
        <is>
          <t>Shively</t>
        </is>
      </c>
      <c r="Z96" t="n">
        <v>21</v>
      </c>
      <c r="AA96" t="n">
        <v>1</v>
      </c>
      <c r="AB96" t="inlineStr">
        <is>
          <t>L</t>
        </is>
      </c>
      <c r="AC96" t="inlineStr">
        <is>
          <t>4UP</t>
        </is>
      </c>
      <c r="AE96">
        <f>$V96&amp;$Y96</f>
        <v/>
      </c>
      <c r="AF96" t="n">
        <v>0</v>
      </c>
      <c r="AG96" t="n">
        <v>0</v>
      </c>
      <c r="AH96" t="n">
        <v>1</v>
      </c>
      <c r="AI96" t="n">
        <v>0</v>
      </c>
      <c r="AJ96" t="n">
        <v>0</v>
      </c>
      <c r="AK96" t="inlineStr">
        <is>
          <t>Connolly</t>
        </is>
      </c>
      <c r="AL96" t="n">
        <v>0.59375</v>
      </c>
      <c r="AM96" t="inlineStr">
        <is>
          <t>Hilts</t>
        </is>
      </c>
      <c r="AN96" t="n">
        <v>0.473214285714286</v>
      </c>
    </row>
    <row r="97" ht="15" customHeight="1" s="2">
      <c r="B97" t="n">
        <v>6</v>
      </c>
      <c r="C97" t="n">
        <v>1</v>
      </c>
      <c r="D97" t="n">
        <v>3</v>
      </c>
      <c r="E97" t="inlineStr">
        <is>
          <t>FBC3-D6</t>
        </is>
      </c>
      <c r="F97" t="inlineStr">
        <is>
          <t>Saturday</t>
        </is>
      </c>
      <c r="G97" s="27" t="n">
        <v>42168</v>
      </c>
      <c r="H97" t="inlineStr">
        <is>
          <t>AM</t>
        </is>
      </c>
      <c r="I97" t="inlineStr">
        <is>
          <t>Sea Island, GA</t>
        </is>
      </c>
      <c r="J97" t="inlineStr">
        <is>
          <t>South</t>
        </is>
      </c>
      <c r="K97" t="n">
        <v>9</v>
      </c>
      <c r="L97" t="inlineStr">
        <is>
          <t>Back</t>
        </is>
      </c>
      <c r="M97" t="inlineStr">
        <is>
          <t>Seaside</t>
        </is>
      </c>
      <c r="N97" t="inlineStr">
        <is>
          <t>Green</t>
        </is>
      </c>
      <c r="O97" t="n">
        <v>71.09999999999999</v>
      </c>
      <c r="P97" t="n">
        <v>135</v>
      </c>
      <c r="Q97" t="n">
        <v>6323</v>
      </c>
      <c r="R97" t="inlineStr">
        <is>
          <t>Hi-Lo</t>
        </is>
      </c>
      <c r="S97" t="inlineStr">
        <is>
          <t>Doubles</t>
        </is>
      </c>
      <c r="T97" t="inlineStr">
        <is>
          <t>Over 6'</t>
        </is>
      </c>
      <c r="U97" t="inlineStr">
        <is>
          <t>Lynch</t>
        </is>
      </c>
      <c r="V97" t="inlineStr">
        <is>
          <t>Connolly</t>
        </is>
      </c>
      <c r="W97" t="inlineStr">
        <is>
          <t>Green</t>
        </is>
      </c>
      <c r="X97" t="n">
        <v>10.7911504424779</v>
      </c>
      <c r="Y97" t="inlineStr">
        <is>
          <t>Hilts</t>
        </is>
      </c>
      <c r="Z97" t="n">
        <v>21.2265486725664</v>
      </c>
      <c r="AA97" t="n">
        <v>1</v>
      </c>
      <c r="AB97" t="inlineStr">
        <is>
          <t>W</t>
        </is>
      </c>
      <c r="AC97" t="inlineStr">
        <is>
          <t>4UP</t>
        </is>
      </c>
      <c r="AE97">
        <f>$V97&amp;$Y97</f>
        <v/>
      </c>
      <c r="AF97" t="n">
        <v>1</v>
      </c>
      <c r="AG97" t="n">
        <v>1</v>
      </c>
      <c r="AH97" t="n">
        <v>0</v>
      </c>
      <c r="AI97" t="n">
        <v>0</v>
      </c>
      <c r="AJ97" t="n">
        <v>1</v>
      </c>
      <c r="AK97" t="inlineStr">
        <is>
          <t>Ferrin</t>
        </is>
      </c>
      <c r="AL97" t="n">
        <v>0.595238095238095</v>
      </c>
      <c r="AM97" t="inlineStr">
        <is>
          <t>Shively</t>
        </is>
      </c>
    </row>
    <row r="98" ht="15" customHeight="1" s="2">
      <c r="B98" t="n">
        <v>7</v>
      </c>
      <c r="C98" t="n">
        <v>2</v>
      </c>
      <c r="D98" t="n">
        <v>3</v>
      </c>
      <c r="E98" t="inlineStr">
        <is>
          <t>FBC3-D7</t>
        </is>
      </c>
      <c r="F98" t="inlineStr">
        <is>
          <t>Saturday</t>
        </is>
      </c>
      <c r="G98" s="27" t="n">
        <v>42168</v>
      </c>
      <c r="H98" t="inlineStr">
        <is>
          <t>AM</t>
        </is>
      </c>
      <c r="I98" t="inlineStr">
        <is>
          <t>Sea Island, GA</t>
        </is>
      </c>
      <c r="J98" t="inlineStr">
        <is>
          <t>South</t>
        </is>
      </c>
      <c r="K98" t="n">
        <v>9</v>
      </c>
      <c r="L98" t="inlineStr">
        <is>
          <t>Back</t>
        </is>
      </c>
      <c r="M98" t="inlineStr">
        <is>
          <t>Seaside</t>
        </is>
      </c>
      <c r="N98" t="inlineStr">
        <is>
          <t>Green</t>
        </is>
      </c>
      <c r="O98" t="n">
        <v>71.09999999999999</v>
      </c>
      <c r="P98" t="n">
        <v>135</v>
      </c>
      <c r="Q98" t="n">
        <v>6323</v>
      </c>
      <c r="R98" t="inlineStr">
        <is>
          <t>Hi-Lo</t>
        </is>
      </c>
      <c r="S98" t="inlineStr">
        <is>
          <t>Doubles</t>
        </is>
      </c>
      <c r="T98" t="inlineStr">
        <is>
          <t>Over 6'</t>
        </is>
      </c>
      <c r="U98" t="inlineStr">
        <is>
          <t>Lynch</t>
        </is>
      </c>
      <c r="V98" t="inlineStr">
        <is>
          <t>Fogan</t>
        </is>
      </c>
      <c r="W98" t="inlineStr">
        <is>
          <t>Green</t>
        </is>
      </c>
      <c r="X98" t="n">
        <v>29.6460176991151</v>
      </c>
      <c r="Y98" t="inlineStr">
        <is>
          <t>Weisberger</t>
        </is>
      </c>
      <c r="Z98" t="n">
        <v>18.7362831858407</v>
      </c>
      <c r="AA98" t="n">
        <v>1</v>
      </c>
      <c r="AB98" t="inlineStr">
        <is>
          <t>L</t>
        </is>
      </c>
      <c r="AC98" t="inlineStr">
        <is>
          <t>3UP</t>
        </is>
      </c>
      <c r="AE98">
        <f>$V98&amp;$Y98</f>
        <v/>
      </c>
      <c r="AF98" t="n">
        <v>0</v>
      </c>
      <c r="AG98" t="n">
        <v>0</v>
      </c>
      <c r="AH98" t="n">
        <v>1</v>
      </c>
      <c r="AI98" t="n">
        <v>0</v>
      </c>
      <c r="AJ98" t="n">
        <v>0</v>
      </c>
      <c r="AK98" t="inlineStr">
        <is>
          <t>Grise</t>
        </is>
      </c>
      <c r="AL98" t="n">
        <v>0.546875</v>
      </c>
      <c r="AM98" t="inlineStr">
        <is>
          <t>Jackson</t>
        </is>
      </c>
      <c r="AN98" t="n">
        <v>0.6171875</v>
      </c>
    </row>
    <row r="99" ht="15" customHeight="1" s="2">
      <c r="B99" t="n">
        <v>7</v>
      </c>
      <c r="C99" t="n">
        <v>2</v>
      </c>
      <c r="D99" t="n">
        <v>3</v>
      </c>
      <c r="E99" t="inlineStr">
        <is>
          <t>FBC3-D7</t>
        </is>
      </c>
      <c r="F99" t="inlineStr">
        <is>
          <t>Saturday</t>
        </is>
      </c>
      <c r="G99" s="27" t="n">
        <v>42168</v>
      </c>
      <c r="H99" t="inlineStr">
        <is>
          <t>AM</t>
        </is>
      </c>
      <c r="I99" t="inlineStr">
        <is>
          <t>Sea Island, GA</t>
        </is>
      </c>
      <c r="J99" t="inlineStr">
        <is>
          <t>South</t>
        </is>
      </c>
      <c r="K99" t="n">
        <v>9</v>
      </c>
      <c r="L99" t="inlineStr">
        <is>
          <t>Back</t>
        </is>
      </c>
      <c r="M99" t="inlineStr">
        <is>
          <t>Seaside</t>
        </is>
      </c>
      <c r="N99" t="inlineStr">
        <is>
          <t>Green</t>
        </is>
      </c>
      <c r="O99" t="n">
        <v>71.09999999999999</v>
      </c>
      <c r="P99" t="n">
        <v>135</v>
      </c>
      <c r="Q99" t="n">
        <v>6323</v>
      </c>
      <c r="R99" t="inlineStr">
        <is>
          <t>Hi-Lo</t>
        </is>
      </c>
      <c r="S99" t="inlineStr">
        <is>
          <t>Doubles</t>
        </is>
      </c>
      <c r="T99" t="inlineStr">
        <is>
          <t>Under 6'</t>
        </is>
      </c>
      <c r="U99" t="inlineStr">
        <is>
          <t>Shively</t>
        </is>
      </c>
      <c r="V99" t="inlineStr">
        <is>
          <t>Grise</t>
        </is>
      </c>
      <c r="W99" t="inlineStr">
        <is>
          <t xml:space="preserve">Steel </t>
        </is>
      </c>
      <c r="X99" t="n">
        <v>17</v>
      </c>
      <c r="Y99" t="inlineStr">
        <is>
          <t>Jackson</t>
        </is>
      </c>
      <c r="Z99" t="n">
        <v>15</v>
      </c>
      <c r="AA99" t="n">
        <v>1</v>
      </c>
      <c r="AB99" t="inlineStr">
        <is>
          <t>W</t>
        </is>
      </c>
      <c r="AC99" t="inlineStr">
        <is>
          <t>3UP</t>
        </is>
      </c>
      <c r="AE99">
        <f>$V99&amp;$Y99</f>
        <v/>
      </c>
      <c r="AF99" t="n">
        <v>1</v>
      </c>
      <c r="AG99" t="n">
        <v>1</v>
      </c>
      <c r="AH99" t="n">
        <v>0</v>
      </c>
      <c r="AI99" t="n">
        <v>0</v>
      </c>
      <c r="AJ99" t="n">
        <v>1</v>
      </c>
      <c r="AK99" t="inlineStr">
        <is>
          <t>Fogan</t>
        </is>
      </c>
      <c r="AL99" t="n">
        <v>0.372881355932203</v>
      </c>
      <c r="AM99" t="inlineStr">
        <is>
          <t>Weisberger</t>
        </is>
      </c>
      <c r="AN99" t="n">
        <v>0.5</v>
      </c>
    </row>
    <row r="100" ht="15" customHeight="1" s="2">
      <c r="B100" t="n">
        <v>8</v>
      </c>
      <c r="C100" t="n">
        <v>3</v>
      </c>
      <c r="D100" t="n">
        <v>3</v>
      </c>
      <c r="E100" t="inlineStr">
        <is>
          <t>FBC3-D8</t>
        </is>
      </c>
      <c r="F100" t="inlineStr">
        <is>
          <t>Saturday</t>
        </is>
      </c>
      <c r="G100" s="27" t="n">
        <v>42168</v>
      </c>
      <c r="H100" t="inlineStr">
        <is>
          <t>AM</t>
        </is>
      </c>
      <c r="I100" t="inlineStr">
        <is>
          <t>Sea Island, GA</t>
        </is>
      </c>
      <c r="J100" t="inlineStr">
        <is>
          <t>South</t>
        </is>
      </c>
      <c r="K100" t="n">
        <v>9</v>
      </c>
      <c r="L100" t="inlineStr">
        <is>
          <t>Back</t>
        </is>
      </c>
      <c r="M100" t="inlineStr">
        <is>
          <t>Seaside</t>
        </is>
      </c>
      <c r="N100" t="inlineStr">
        <is>
          <t>Green</t>
        </is>
      </c>
      <c r="O100" t="n">
        <v>71.09999999999999</v>
      </c>
      <c r="P100" t="n">
        <v>135</v>
      </c>
      <c r="Q100" t="n">
        <v>6323</v>
      </c>
      <c r="R100" t="inlineStr">
        <is>
          <t>Hi-Lo</t>
        </is>
      </c>
      <c r="S100" t="inlineStr">
        <is>
          <t>Doubles</t>
        </is>
      </c>
      <c r="T100" t="inlineStr">
        <is>
          <t>Under 6'</t>
        </is>
      </c>
      <c r="U100" t="inlineStr">
        <is>
          <t>Shively</t>
        </is>
      </c>
      <c r="V100" t="inlineStr">
        <is>
          <t>Flanders</t>
        </is>
      </c>
      <c r="W100" t="inlineStr">
        <is>
          <t xml:space="preserve">Steel </t>
        </is>
      </c>
      <c r="X100" t="n">
        <v>15.8902654867257</v>
      </c>
      <c r="Y100" t="inlineStr">
        <is>
          <t>Forster</t>
        </is>
      </c>
      <c r="Z100" t="n">
        <v>29.6460176991151</v>
      </c>
      <c r="AA100" t="n">
        <v>1</v>
      </c>
      <c r="AB100" t="inlineStr">
        <is>
          <t>L</t>
        </is>
      </c>
      <c r="AC100" t="inlineStr">
        <is>
          <t>1UP</t>
        </is>
      </c>
      <c r="AE100">
        <f>$V100&amp;$Y100</f>
        <v/>
      </c>
      <c r="AF100" t="n">
        <v>0</v>
      </c>
      <c r="AG100" t="n">
        <v>0</v>
      </c>
      <c r="AH100" t="n">
        <v>1</v>
      </c>
      <c r="AI100" t="n">
        <v>0</v>
      </c>
      <c r="AJ100" t="n">
        <v>0</v>
      </c>
      <c r="AK100" t="inlineStr">
        <is>
          <t>Gray</t>
        </is>
      </c>
      <c r="AL100" t="n">
        <v>0.654761904761905</v>
      </c>
      <c r="AM100" t="inlineStr">
        <is>
          <t>Zimmer</t>
        </is>
      </c>
      <c r="AN100" t="n">
        <v>0.5</v>
      </c>
    </row>
    <row r="101" ht="15" customHeight="1" s="2">
      <c r="B101" t="n">
        <v>8</v>
      </c>
      <c r="C101" t="n">
        <v>3</v>
      </c>
      <c r="D101" t="n">
        <v>3</v>
      </c>
      <c r="E101" t="inlineStr">
        <is>
          <t>FBC3-D8</t>
        </is>
      </c>
      <c r="F101" t="inlineStr">
        <is>
          <t>Saturday</t>
        </is>
      </c>
      <c r="G101" s="27" t="n">
        <v>42168</v>
      </c>
      <c r="H101" t="inlineStr">
        <is>
          <t>AM</t>
        </is>
      </c>
      <c r="I101" t="inlineStr">
        <is>
          <t>Sea Island, GA</t>
        </is>
      </c>
      <c r="J101" t="inlineStr">
        <is>
          <t>South</t>
        </is>
      </c>
      <c r="K101" t="n">
        <v>9</v>
      </c>
      <c r="L101" t="inlineStr">
        <is>
          <t>Back</t>
        </is>
      </c>
      <c r="M101" t="inlineStr">
        <is>
          <t>Seaside</t>
        </is>
      </c>
      <c r="N101" t="inlineStr">
        <is>
          <t>Green</t>
        </is>
      </c>
      <c r="O101" t="n">
        <v>71.09999999999999</v>
      </c>
      <c r="P101" t="n">
        <v>135</v>
      </c>
      <c r="Q101" t="n">
        <v>6323</v>
      </c>
      <c r="R101" t="inlineStr">
        <is>
          <t>Hi-Lo</t>
        </is>
      </c>
      <c r="S101" t="inlineStr">
        <is>
          <t>Doubles</t>
        </is>
      </c>
      <c r="T101" t="inlineStr">
        <is>
          <t>Over 6'</t>
        </is>
      </c>
      <c r="U101" t="inlineStr">
        <is>
          <t>Lynch</t>
        </is>
      </c>
      <c r="V101" t="inlineStr">
        <is>
          <t>Gray</t>
        </is>
      </c>
      <c r="W101" t="inlineStr">
        <is>
          <t>Green</t>
        </is>
      </c>
      <c r="X101" t="n">
        <v>13.0442477876106</v>
      </c>
      <c r="Y101" t="inlineStr">
        <is>
          <t>Zimmer</t>
        </is>
      </c>
      <c r="Z101" t="n">
        <v>16.9575221238938</v>
      </c>
      <c r="AA101" t="n">
        <v>1</v>
      </c>
      <c r="AB101" t="inlineStr">
        <is>
          <t>W</t>
        </is>
      </c>
      <c r="AC101" t="inlineStr">
        <is>
          <t>1UP</t>
        </is>
      </c>
      <c r="AE101">
        <f>$V101&amp;$Y101</f>
        <v/>
      </c>
      <c r="AF101" t="n">
        <v>1</v>
      </c>
      <c r="AG101" t="n">
        <v>1</v>
      </c>
      <c r="AH101" t="n">
        <v>0</v>
      </c>
      <c r="AI101" t="n">
        <v>0</v>
      </c>
      <c r="AJ101" t="n">
        <v>1</v>
      </c>
      <c r="AK101" t="inlineStr">
        <is>
          <t>Flanders</t>
        </is>
      </c>
      <c r="AL101" t="n">
        <v>0.4296875</v>
      </c>
      <c r="AM101" t="inlineStr">
        <is>
          <t>Forster</t>
        </is>
      </c>
      <c r="AN101" t="n">
        <v>0.596491228070175</v>
      </c>
    </row>
    <row r="102" ht="15" customHeight="1" s="2">
      <c r="B102" t="n">
        <v>9</v>
      </c>
      <c r="C102" t="n">
        <v>4</v>
      </c>
      <c r="D102" t="n">
        <v>3</v>
      </c>
      <c r="E102" t="inlineStr">
        <is>
          <t>FBC3-D9</t>
        </is>
      </c>
      <c r="F102" t="inlineStr">
        <is>
          <t>Saturday</t>
        </is>
      </c>
      <c r="G102" s="27" t="n">
        <v>42168</v>
      </c>
      <c r="H102" t="inlineStr">
        <is>
          <t>AM</t>
        </is>
      </c>
      <c r="I102" t="inlineStr">
        <is>
          <t>Sea Island, GA</t>
        </is>
      </c>
      <c r="J102" t="inlineStr">
        <is>
          <t>South</t>
        </is>
      </c>
      <c r="K102" t="n">
        <v>9</v>
      </c>
      <c r="L102" t="inlineStr">
        <is>
          <t>Back</t>
        </is>
      </c>
      <c r="M102" t="inlineStr">
        <is>
          <t>Seaside</t>
        </is>
      </c>
      <c r="N102" t="inlineStr">
        <is>
          <t>Green</t>
        </is>
      </c>
      <c r="O102" t="n">
        <v>71.09999999999999</v>
      </c>
      <c r="P102" t="n">
        <v>135</v>
      </c>
      <c r="Q102" t="n">
        <v>6323</v>
      </c>
      <c r="R102" t="inlineStr">
        <is>
          <t>Hi-Lo</t>
        </is>
      </c>
      <c r="S102" t="inlineStr">
        <is>
          <t>Doubles</t>
        </is>
      </c>
      <c r="T102" t="inlineStr">
        <is>
          <t>Over 6'</t>
        </is>
      </c>
      <c r="U102" t="inlineStr">
        <is>
          <t>Lynch</t>
        </is>
      </c>
      <c r="V102" t="inlineStr">
        <is>
          <t>Hickerson</t>
        </is>
      </c>
      <c r="W102" t="inlineStr">
        <is>
          <t>Green</t>
        </is>
      </c>
      <c r="X102" t="n">
        <v>22.2938053097345</v>
      </c>
      <c r="Y102" t="inlineStr">
        <is>
          <t>Lynch</t>
        </is>
      </c>
      <c r="Z102" t="n">
        <v>18.9734513274336</v>
      </c>
      <c r="AA102" t="n">
        <v>1</v>
      </c>
      <c r="AB102" t="inlineStr">
        <is>
          <t>L</t>
        </is>
      </c>
      <c r="AC102" t="inlineStr">
        <is>
          <t>1UP</t>
        </is>
      </c>
      <c r="AE102">
        <f>$V102&amp;$Y102</f>
        <v/>
      </c>
      <c r="AF102" t="n">
        <v>0</v>
      </c>
      <c r="AG102" t="n">
        <v>0</v>
      </c>
      <c r="AH102" t="n">
        <v>1</v>
      </c>
      <c r="AI102" t="n">
        <v>0</v>
      </c>
      <c r="AJ102" t="n">
        <v>0</v>
      </c>
      <c r="AK102" t="inlineStr">
        <is>
          <t>Buss</t>
        </is>
      </c>
      <c r="AL102" t="n">
        <v>0.448275862068966</v>
      </c>
      <c r="AM102" t="inlineStr">
        <is>
          <t>Mangold</t>
        </is>
      </c>
      <c r="AN102" t="n">
        <v>0.383928571428572</v>
      </c>
    </row>
    <row r="103" ht="15" customHeight="1" s="2">
      <c r="B103" t="n">
        <v>9</v>
      </c>
      <c r="C103" t="n">
        <v>4</v>
      </c>
      <c r="D103" t="n">
        <v>3</v>
      </c>
      <c r="E103" t="inlineStr">
        <is>
          <t>FBC3-D9</t>
        </is>
      </c>
      <c r="F103" t="inlineStr">
        <is>
          <t>Saturday</t>
        </is>
      </c>
      <c r="G103" s="27" t="n">
        <v>42168</v>
      </c>
      <c r="H103" t="inlineStr">
        <is>
          <t>AM</t>
        </is>
      </c>
      <c r="I103" t="inlineStr">
        <is>
          <t>Sea Island, GA</t>
        </is>
      </c>
      <c r="J103" t="inlineStr">
        <is>
          <t>South</t>
        </is>
      </c>
      <c r="K103" t="n">
        <v>9</v>
      </c>
      <c r="L103" t="inlineStr">
        <is>
          <t>Back</t>
        </is>
      </c>
      <c r="M103" t="inlineStr">
        <is>
          <t>Seaside</t>
        </is>
      </c>
      <c r="N103" t="inlineStr">
        <is>
          <t>Green</t>
        </is>
      </c>
      <c r="O103" t="n">
        <v>71.09999999999999</v>
      </c>
      <c r="P103" t="n">
        <v>135</v>
      </c>
      <c r="Q103" t="n">
        <v>6323</v>
      </c>
      <c r="R103" t="inlineStr">
        <is>
          <t>Hi-Lo</t>
        </is>
      </c>
      <c r="S103" t="inlineStr">
        <is>
          <t>Doubles</t>
        </is>
      </c>
      <c r="T103" t="inlineStr">
        <is>
          <t>Under 6'</t>
        </is>
      </c>
      <c r="U103" t="inlineStr">
        <is>
          <t>Shively</t>
        </is>
      </c>
      <c r="V103" t="inlineStr">
        <is>
          <t>Buss</t>
        </is>
      </c>
      <c r="W103" t="inlineStr">
        <is>
          <t xml:space="preserve">Steel </t>
        </is>
      </c>
      <c r="X103" t="n">
        <v>16</v>
      </c>
      <c r="Y103" t="inlineStr">
        <is>
          <t>Mangold</t>
        </is>
      </c>
      <c r="Z103" t="n">
        <v>19</v>
      </c>
      <c r="AA103" t="n">
        <v>1</v>
      </c>
      <c r="AB103" t="inlineStr">
        <is>
          <t>W</t>
        </is>
      </c>
      <c r="AC103" t="inlineStr">
        <is>
          <t>1UP</t>
        </is>
      </c>
      <c r="AE103">
        <f>$V103&amp;$Y103</f>
        <v/>
      </c>
      <c r="AF103" t="n">
        <v>1</v>
      </c>
      <c r="AG103" t="n">
        <v>1</v>
      </c>
      <c r="AH103" t="n">
        <v>0</v>
      </c>
      <c r="AI103" t="n">
        <v>0</v>
      </c>
      <c r="AJ103" t="n">
        <v>1</v>
      </c>
      <c r="AK103" t="inlineStr">
        <is>
          <t>Hickerson</t>
        </is>
      </c>
      <c r="AL103" t="n">
        <v>0.357142857142857</v>
      </c>
      <c r="AM103" t="inlineStr">
        <is>
          <t>Lynch</t>
        </is>
      </c>
      <c r="AN103" t="n">
        <v>0.5546875</v>
      </c>
    </row>
    <row r="104" ht="15" customHeight="1" s="2">
      <c r="B104" t="n">
        <v>10</v>
      </c>
      <c r="C104" t="n">
        <v>5</v>
      </c>
      <c r="D104" t="n">
        <v>3</v>
      </c>
      <c r="E104" t="inlineStr">
        <is>
          <t>FBC3-D10</t>
        </is>
      </c>
      <c r="F104" t="inlineStr">
        <is>
          <t>Saturday</t>
        </is>
      </c>
      <c r="G104" s="27" t="n">
        <v>42168</v>
      </c>
      <c r="H104" t="inlineStr">
        <is>
          <t>AM</t>
        </is>
      </c>
      <c r="I104" t="inlineStr">
        <is>
          <t>Sea Island, GA</t>
        </is>
      </c>
      <c r="J104" t="inlineStr">
        <is>
          <t>South</t>
        </is>
      </c>
      <c r="K104" t="n">
        <v>9</v>
      </c>
      <c r="L104" t="inlineStr">
        <is>
          <t>Back</t>
        </is>
      </c>
      <c r="M104" t="inlineStr">
        <is>
          <t>Seaside</t>
        </is>
      </c>
      <c r="N104" t="inlineStr">
        <is>
          <t>Green</t>
        </is>
      </c>
      <c r="O104" t="n">
        <v>71.09999999999999</v>
      </c>
      <c r="P104" t="n">
        <v>135</v>
      </c>
      <c r="Q104" t="n">
        <v>6323</v>
      </c>
      <c r="R104" t="inlineStr">
        <is>
          <t>Hi-Lo</t>
        </is>
      </c>
      <c r="S104" t="inlineStr">
        <is>
          <t>Doubles</t>
        </is>
      </c>
      <c r="T104" t="inlineStr">
        <is>
          <t>Under 6'</t>
        </is>
      </c>
      <c r="U104" t="inlineStr">
        <is>
          <t>Shively</t>
        </is>
      </c>
      <c r="V104" t="inlineStr">
        <is>
          <t>Connors</t>
        </is>
      </c>
      <c r="W104" t="inlineStr">
        <is>
          <t xml:space="preserve">Steel </t>
        </is>
      </c>
      <c r="X104" t="n">
        <v>19.8035398230089</v>
      </c>
      <c r="Y104" t="inlineStr">
        <is>
          <t>Norat</t>
        </is>
      </c>
      <c r="Z104" t="n">
        <v>22.1752212389381</v>
      </c>
      <c r="AA104" t="n">
        <v>1</v>
      </c>
      <c r="AB104" t="inlineStr">
        <is>
          <t>L</t>
        </is>
      </c>
      <c r="AC104" t="inlineStr">
        <is>
          <t>2UP</t>
        </is>
      </c>
      <c r="AE104">
        <f>$V104&amp;$Y104</f>
        <v/>
      </c>
      <c r="AF104" t="n">
        <v>0</v>
      </c>
      <c r="AG104" t="n">
        <v>0</v>
      </c>
      <c r="AH104" t="n">
        <v>1</v>
      </c>
      <c r="AI104" t="n">
        <v>0</v>
      </c>
      <c r="AJ104" t="n">
        <v>0</v>
      </c>
      <c r="AK104" t="inlineStr">
        <is>
          <t>Cole</t>
        </is>
      </c>
      <c r="AL104" t="n">
        <v>0.440677966101695</v>
      </c>
      <c r="AM104" t="inlineStr">
        <is>
          <t>McInerney</t>
        </is>
      </c>
      <c r="AN104" t="n">
        <v>0.5</v>
      </c>
    </row>
    <row r="105" ht="15" customHeight="1" s="2">
      <c r="B105" t="n">
        <v>10</v>
      </c>
      <c r="C105" t="n">
        <v>5</v>
      </c>
      <c r="D105" t="n">
        <v>3</v>
      </c>
      <c r="E105" t="inlineStr">
        <is>
          <t>FBC3-D10</t>
        </is>
      </c>
      <c r="F105" t="inlineStr">
        <is>
          <t>Saturday</t>
        </is>
      </c>
      <c r="G105" s="27" t="n">
        <v>42168</v>
      </c>
      <c r="H105" t="inlineStr">
        <is>
          <t>AM</t>
        </is>
      </c>
      <c r="I105" t="inlineStr">
        <is>
          <t>Sea Island, GA</t>
        </is>
      </c>
      <c r="J105" t="inlineStr">
        <is>
          <t>South</t>
        </is>
      </c>
      <c r="K105" t="n">
        <v>9</v>
      </c>
      <c r="L105" t="inlineStr">
        <is>
          <t>Back</t>
        </is>
      </c>
      <c r="M105" t="inlineStr">
        <is>
          <t>Seaside</t>
        </is>
      </c>
      <c r="N105" t="inlineStr">
        <is>
          <t>Green</t>
        </is>
      </c>
      <c r="O105" t="n">
        <v>71.09999999999999</v>
      </c>
      <c r="P105" t="n">
        <v>135</v>
      </c>
      <c r="Q105" t="n">
        <v>6323</v>
      </c>
      <c r="R105" t="inlineStr">
        <is>
          <t>Hi-Lo</t>
        </is>
      </c>
      <c r="S105" t="inlineStr">
        <is>
          <t>Doubles</t>
        </is>
      </c>
      <c r="T105" t="inlineStr">
        <is>
          <t>Over 6'</t>
        </is>
      </c>
      <c r="U105" t="inlineStr">
        <is>
          <t>Lynch</t>
        </is>
      </c>
      <c r="V105" t="inlineStr">
        <is>
          <t>Cole</t>
        </is>
      </c>
      <c r="W105" t="inlineStr">
        <is>
          <t>Green</t>
        </is>
      </c>
      <c r="X105" t="n">
        <v>29.4088495575221</v>
      </c>
      <c r="Y105" t="inlineStr">
        <is>
          <t>McInerney</t>
        </is>
      </c>
      <c r="Z105" t="n">
        <v>11.2654867256637</v>
      </c>
      <c r="AA105" t="n">
        <v>1</v>
      </c>
      <c r="AB105" t="inlineStr">
        <is>
          <t>W</t>
        </is>
      </c>
      <c r="AC105" t="inlineStr">
        <is>
          <t>2UP</t>
        </is>
      </c>
      <c r="AE105">
        <f>$V105&amp;$Y105</f>
        <v/>
      </c>
      <c r="AF105" t="n">
        <v>1</v>
      </c>
      <c r="AG105" t="n">
        <v>1</v>
      </c>
      <c r="AH105" t="n">
        <v>0</v>
      </c>
      <c r="AI105" t="n">
        <v>0</v>
      </c>
      <c r="AJ105" t="n">
        <v>1</v>
      </c>
      <c r="AK105" t="inlineStr">
        <is>
          <t>Connors</t>
        </is>
      </c>
      <c r="AL105" t="n">
        <v>0.347457627118644</v>
      </c>
      <c r="AM105" t="inlineStr">
        <is>
          <t>Norat</t>
        </is>
      </c>
      <c r="AN105" t="n">
        <v>0.527777777777778</v>
      </c>
    </row>
    <row r="106" ht="15" customHeight="1" s="2">
      <c r="B106" t="n">
        <v>11</v>
      </c>
      <c r="C106" t="n">
        <v>1</v>
      </c>
      <c r="D106" t="n">
        <v>3</v>
      </c>
      <c r="E106" t="inlineStr">
        <is>
          <t>FBC3-D11</t>
        </is>
      </c>
      <c r="F106" t="inlineStr">
        <is>
          <t>Saturday</t>
        </is>
      </c>
      <c r="G106" s="27" t="n">
        <v>42168</v>
      </c>
      <c r="H106" t="inlineStr">
        <is>
          <t>PM</t>
        </is>
      </c>
      <c r="I106" t="inlineStr">
        <is>
          <t>Sea Island, GA</t>
        </is>
      </c>
      <c r="J106" t="inlineStr">
        <is>
          <t>South</t>
        </is>
      </c>
      <c r="K106" t="n">
        <v>9</v>
      </c>
      <c r="L106" t="inlineStr">
        <is>
          <t>Front</t>
        </is>
      </c>
      <c r="M106" t="inlineStr">
        <is>
          <t>Seaside</t>
        </is>
      </c>
      <c r="N106" t="inlineStr">
        <is>
          <t>White</t>
        </is>
      </c>
      <c r="O106" t="n">
        <v>70.90000000000001</v>
      </c>
      <c r="P106" t="n">
        <v>133</v>
      </c>
      <c r="Q106" t="n">
        <v>5980</v>
      </c>
      <c r="R106" t="inlineStr">
        <is>
          <t>Pinehurst</t>
        </is>
      </c>
      <c r="S106" t="inlineStr">
        <is>
          <t>Doubles</t>
        </is>
      </c>
      <c r="T106" t="inlineStr">
        <is>
          <t>Under 6'</t>
        </is>
      </c>
      <c r="U106" t="inlineStr">
        <is>
          <t>Shively</t>
        </is>
      </c>
      <c r="V106" t="inlineStr">
        <is>
          <t>Ferrin</t>
        </is>
      </c>
      <c r="W106" t="inlineStr">
        <is>
          <t xml:space="preserve">Steel </t>
        </is>
      </c>
      <c r="X106" t="n">
        <v>24</v>
      </c>
      <c r="Y106" t="inlineStr">
        <is>
          <t>Jackson</t>
        </is>
      </c>
      <c r="Z106" t="n">
        <v>15</v>
      </c>
      <c r="AA106" t="n">
        <v>1</v>
      </c>
      <c r="AB106" t="inlineStr">
        <is>
          <t>W</t>
        </is>
      </c>
      <c r="AC106" t="inlineStr">
        <is>
          <t>3&amp;2</t>
        </is>
      </c>
      <c r="AE106">
        <f>$V106&amp;$Y106</f>
        <v/>
      </c>
      <c r="AF106" t="n">
        <v>1</v>
      </c>
      <c r="AG106" t="n">
        <v>1</v>
      </c>
      <c r="AH106" t="n">
        <v>0</v>
      </c>
      <c r="AI106" t="n">
        <v>0</v>
      </c>
      <c r="AJ106" t="n">
        <v>1</v>
      </c>
      <c r="AK106" t="inlineStr">
        <is>
          <t>Gray</t>
        </is>
      </c>
      <c r="AL106" t="n">
        <v>0.654761904761905</v>
      </c>
      <c r="AM106" t="inlineStr">
        <is>
          <t>Zimmer</t>
        </is>
      </c>
      <c r="AN106" t="n">
        <v>0.5</v>
      </c>
    </row>
    <row r="107" ht="15" customHeight="1" s="2">
      <c r="B107" t="n">
        <v>11</v>
      </c>
      <c r="C107" t="n">
        <v>1</v>
      </c>
      <c r="D107" t="n">
        <v>3</v>
      </c>
      <c r="E107" t="inlineStr">
        <is>
          <t>FBC3-D11</t>
        </is>
      </c>
      <c r="F107" t="inlineStr">
        <is>
          <t>Saturday</t>
        </is>
      </c>
      <c r="G107" s="27" t="n">
        <v>42168</v>
      </c>
      <c r="H107" t="inlineStr">
        <is>
          <t>PM</t>
        </is>
      </c>
      <c r="I107" t="inlineStr">
        <is>
          <t>Sea Island, GA</t>
        </is>
      </c>
      <c r="J107" t="inlineStr">
        <is>
          <t>South</t>
        </is>
      </c>
      <c r="K107" t="n">
        <v>9</v>
      </c>
      <c r="L107" t="inlineStr">
        <is>
          <t>Front</t>
        </is>
      </c>
      <c r="M107" t="inlineStr">
        <is>
          <t>Seaside</t>
        </is>
      </c>
      <c r="N107" t="inlineStr">
        <is>
          <t>White</t>
        </is>
      </c>
      <c r="O107" t="n">
        <v>70.90000000000001</v>
      </c>
      <c r="P107" t="n">
        <v>133</v>
      </c>
      <c r="Q107" t="n">
        <v>5980</v>
      </c>
      <c r="R107" t="inlineStr">
        <is>
          <t>Pinehurst</t>
        </is>
      </c>
      <c r="S107" t="inlineStr">
        <is>
          <t>Doubles</t>
        </is>
      </c>
      <c r="T107" t="inlineStr">
        <is>
          <t>Over 6'</t>
        </is>
      </c>
      <c r="U107" t="inlineStr">
        <is>
          <t>Lynch</t>
        </is>
      </c>
      <c r="V107" t="inlineStr">
        <is>
          <t>Gray</t>
        </is>
      </c>
      <c r="W107" t="inlineStr">
        <is>
          <t>Green</t>
        </is>
      </c>
      <c r="X107" t="n">
        <v>13.0442477876106</v>
      </c>
      <c r="Y107" t="inlineStr">
        <is>
          <t>Zimmer</t>
        </is>
      </c>
      <c r="Z107" t="n">
        <v>16.9575221238938</v>
      </c>
      <c r="AA107" t="n">
        <v>1</v>
      </c>
      <c r="AB107" t="inlineStr">
        <is>
          <t>L</t>
        </is>
      </c>
      <c r="AC107" t="inlineStr">
        <is>
          <t>3&amp;2</t>
        </is>
      </c>
      <c r="AE107">
        <f>$V107&amp;$Y107</f>
        <v/>
      </c>
      <c r="AF107" t="n">
        <v>0</v>
      </c>
      <c r="AG107" t="n">
        <v>0</v>
      </c>
      <c r="AH107" t="n">
        <v>1</v>
      </c>
      <c r="AI107" t="n">
        <v>0</v>
      </c>
      <c r="AJ107" t="n">
        <v>0</v>
      </c>
      <c r="AK107" t="inlineStr">
        <is>
          <t>Ferrin</t>
        </is>
      </c>
      <c r="AL107" t="n">
        <v>0.595238095238095</v>
      </c>
      <c r="AM107" t="inlineStr">
        <is>
          <t>Jackson</t>
        </is>
      </c>
      <c r="AN107" t="n">
        <v>0.6171875</v>
      </c>
    </row>
    <row r="108" ht="15" customHeight="1" s="2">
      <c r="B108" t="n">
        <v>12</v>
      </c>
      <c r="C108" t="n">
        <v>2</v>
      </c>
      <c r="D108" t="n">
        <v>3</v>
      </c>
      <c r="E108" t="inlineStr">
        <is>
          <t>FBC3-D12</t>
        </is>
      </c>
      <c r="F108" t="inlineStr">
        <is>
          <t>Saturday</t>
        </is>
      </c>
      <c r="G108" s="27" t="n">
        <v>42168</v>
      </c>
      <c r="H108" t="inlineStr">
        <is>
          <t>PM</t>
        </is>
      </c>
      <c r="I108" t="inlineStr">
        <is>
          <t>Sea Island, GA</t>
        </is>
      </c>
      <c r="J108" t="inlineStr">
        <is>
          <t>South</t>
        </is>
      </c>
      <c r="K108" t="n">
        <v>9</v>
      </c>
      <c r="L108" t="inlineStr">
        <is>
          <t>Front</t>
        </is>
      </c>
      <c r="M108" t="inlineStr">
        <is>
          <t>Seaside</t>
        </is>
      </c>
      <c r="N108" t="inlineStr">
        <is>
          <t>White</t>
        </is>
      </c>
      <c r="O108" t="n">
        <v>70.90000000000001</v>
      </c>
      <c r="P108" t="n">
        <v>133</v>
      </c>
      <c r="Q108" t="n">
        <v>5980</v>
      </c>
      <c r="R108" t="inlineStr">
        <is>
          <t>Pinehurst</t>
        </is>
      </c>
      <c r="S108" t="inlineStr">
        <is>
          <t>Doubles</t>
        </is>
      </c>
      <c r="T108" t="inlineStr">
        <is>
          <t>Over 6'</t>
        </is>
      </c>
      <c r="U108" t="inlineStr">
        <is>
          <t>Lynch</t>
        </is>
      </c>
      <c r="V108" t="inlineStr">
        <is>
          <t>Connolly</t>
        </is>
      </c>
      <c r="W108" t="inlineStr">
        <is>
          <t>Green</t>
        </is>
      </c>
      <c r="X108" t="n">
        <v>10.7911504424779</v>
      </c>
      <c r="Y108" t="inlineStr">
        <is>
          <t>Hilts</t>
        </is>
      </c>
      <c r="Z108" t="n">
        <v>21.2265486725664</v>
      </c>
      <c r="AA108" t="n">
        <v>1</v>
      </c>
      <c r="AB108" t="inlineStr">
        <is>
          <t>T</t>
        </is>
      </c>
      <c r="AC108" t="inlineStr">
        <is>
          <t>Halved</t>
        </is>
      </c>
      <c r="AE108">
        <f>$V108&amp;$Y108</f>
        <v/>
      </c>
      <c r="AF108" t="n">
        <v>0.5</v>
      </c>
      <c r="AG108" t="n">
        <v>0</v>
      </c>
      <c r="AH108" t="n">
        <v>0</v>
      </c>
      <c r="AI108" t="n">
        <v>1</v>
      </c>
      <c r="AJ108" t="n">
        <v>0.5</v>
      </c>
      <c r="AK108" t="inlineStr">
        <is>
          <t>Flanders</t>
        </is>
      </c>
      <c r="AL108" t="n">
        <v>0.4296875</v>
      </c>
      <c r="AM108" t="inlineStr">
        <is>
          <t>Shively</t>
        </is>
      </c>
    </row>
    <row r="109" ht="15" customHeight="1" s="2">
      <c r="B109" t="n">
        <v>12</v>
      </c>
      <c r="C109" t="n">
        <v>2</v>
      </c>
      <c r="D109" t="n">
        <v>3</v>
      </c>
      <c r="E109" t="inlineStr">
        <is>
          <t>FBC3-D12</t>
        </is>
      </c>
      <c r="F109" t="inlineStr">
        <is>
          <t>Saturday</t>
        </is>
      </c>
      <c r="G109" s="27" t="n">
        <v>42168</v>
      </c>
      <c r="H109" t="inlineStr">
        <is>
          <t>PM</t>
        </is>
      </c>
      <c r="I109" t="inlineStr">
        <is>
          <t>Sea Island, GA</t>
        </is>
      </c>
      <c r="J109" t="inlineStr">
        <is>
          <t>South</t>
        </is>
      </c>
      <c r="K109" t="n">
        <v>9</v>
      </c>
      <c r="L109" t="inlineStr">
        <is>
          <t>Front</t>
        </is>
      </c>
      <c r="M109" t="inlineStr">
        <is>
          <t>Seaside</t>
        </is>
      </c>
      <c r="N109" t="inlineStr">
        <is>
          <t>White</t>
        </is>
      </c>
      <c r="O109" t="n">
        <v>70.90000000000001</v>
      </c>
      <c r="P109" t="n">
        <v>133</v>
      </c>
      <c r="Q109" t="n">
        <v>5980</v>
      </c>
      <c r="R109" t="inlineStr">
        <is>
          <t>Pinehurst</t>
        </is>
      </c>
      <c r="S109" t="inlineStr">
        <is>
          <t>Doubles</t>
        </is>
      </c>
      <c r="T109" t="inlineStr">
        <is>
          <t>Under 6'</t>
        </is>
      </c>
      <c r="U109" t="inlineStr">
        <is>
          <t>Shively</t>
        </is>
      </c>
      <c r="V109" t="inlineStr">
        <is>
          <t>Flanders</t>
        </is>
      </c>
      <c r="W109" t="inlineStr">
        <is>
          <t xml:space="preserve">Steel </t>
        </is>
      </c>
      <c r="X109" t="n">
        <v>16</v>
      </c>
      <c r="Y109" t="inlineStr">
        <is>
          <t>Shively</t>
        </is>
      </c>
      <c r="Z109" t="n">
        <v>21</v>
      </c>
      <c r="AA109" t="n">
        <v>1</v>
      </c>
      <c r="AB109" t="inlineStr">
        <is>
          <t>T</t>
        </is>
      </c>
      <c r="AC109" t="inlineStr">
        <is>
          <t>Halved</t>
        </is>
      </c>
      <c r="AE109">
        <f>$V109&amp;$Y109</f>
        <v/>
      </c>
      <c r="AF109" t="n">
        <v>0.5</v>
      </c>
      <c r="AG109" t="n">
        <v>0</v>
      </c>
      <c r="AH109" t="n">
        <v>0</v>
      </c>
      <c r="AI109" t="n">
        <v>1</v>
      </c>
      <c r="AJ109" t="n">
        <v>0.5</v>
      </c>
      <c r="AK109" t="inlineStr">
        <is>
          <t>Connolly</t>
        </is>
      </c>
      <c r="AL109" t="n">
        <v>0.59375</v>
      </c>
      <c r="AM109" t="inlineStr">
        <is>
          <t>Hilts</t>
        </is>
      </c>
      <c r="AN109" t="n">
        <v>0.473214285714286</v>
      </c>
    </row>
    <row r="110" ht="15" customHeight="1" s="2">
      <c r="B110" t="n">
        <v>13</v>
      </c>
      <c r="C110" t="n">
        <v>3</v>
      </c>
      <c r="D110" t="n">
        <v>3</v>
      </c>
      <c r="E110" t="inlineStr">
        <is>
          <t>FBC3-D13</t>
        </is>
      </c>
      <c r="F110" t="inlineStr">
        <is>
          <t>Saturday</t>
        </is>
      </c>
      <c r="G110" s="27" t="n">
        <v>42168</v>
      </c>
      <c r="H110" t="inlineStr">
        <is>
          <t>PM</t>
        </is>
      </c>
      <c r="I110" t="inlineStr">
        <is>
          <t>Sea Island, GA</t>
        </is>
      </c>
      <c r="J110" t="inlineStr">
        <is>
          <t>South</t>
        </is>
      </c>
      <c r="K110" t="n">
        <v>9</v>
      </c>
      <c r="L110" t="inlineStr">
        <is>
          <t>Front</t>
        </is>
      </c>
      <c r="M110" t="inlineStr">
        <is>
          <t>Seaside</t>
        </is>
      </c>
      <c r="N110" t="inlineStr">
        <is>
          <t>White</t>
        </is>
      </c>
      <c r="O110" t="n">
        <v>70.90000000000001</v>
      </c>
      <c r="P110" t="n">
        <v>133</v>
      </c>
      <c r="Q110" t="n">
        <v>5980</v>
      </c>
      <c r="R110" t="inlineStr">
        <is>
          <t>Pinehurst</t>
        </is>
      </c>
      <c r="S110" t="inlineStr">
        <is>
          <t>Doubles</t>
        </is>
      </c>
      <c r="T110" t="inlineStr">
        <is>
          <t>Under 6'</t>
        </is>
      </c>
      <c r="U110" t="inlineStr">
        <is>
          <t>Shively</t>
        </is>
      </c>
      <c r="V110" t="inlineStr">
        <is>
          <t>Connors</t>
        </is>
      </c>
      <c r="W110" t="inlineStr">
        <is>
          <t xml:space="preserve">Steel </t>
        </is>
      </c>
      <c r="X110" t="n">
        <v>20</v>
      </c>
      <c r="Y110" t="inlineStr">
        <is>
          <t>Grise</t>
        </is>
      </c>
      <c r="Z110" t="n">
        <v>17</v>
      </c>
      <c r="AA110" t="n">
        <v>1</v>
      </c>
      <c r="AB110" t="inlineStr">
        <is>
          <t>L</t>
        </is>
      </c>
      <c r="AC110" t="inlineStr">
        <is>
          <t>3&amp;2</t>
        </is>
      </c>
      <c r="AE110">
        <f>$V110&amp;$Y110</f>
        <v/>
      </c>
      <c r="AF110" t="n">
        <v>0</v>
      </c>
      <c r="AG110" t="n">
        <v>0</v>
      </c>
      <c r="AH110" t="n">
        <v>1</v>
      </c>
      <c r="AI110" t="n">
        <v>0</v>
      </c>
      <c r="AJ110" t="n">
        <v>0</v>
      </c>
      <c r="AK110" t="inlineStr">
        <is>
          <t>Fogan</t>
        </is>
      </c>
      <c r="AL110" t="n">
        <v>0.372881355932203</v>
      </c>
      <c r="AM110" t="inlineStr">
        <is>
          <t>Weisberger</t>
        </is>
      </c>
      <c r="AN110" t="n">
        <v>0.5</v>
      </c>
    </row>
    <row r="111" ht="15" customHeight="1" s="2">
      <c r="B111" t="n">
        <v>13</v>
      </c>
      <c r="C111" t="n">
        <v>3</v>
      </c>
      <c r="D111" t="n">
        <v>3</v>
      </c>
      <c r="E111" t="inlineStr">
        <is>
          <t>FBC3-D13</t>
        </is>
      </c>
      <c r="F111" t="inlineStr">
        <is>
          <t>Saturday</t>
        </is>
      </c>
      <c r="G111" s="27" t="n">
        <v>42168</v>
      </c>
      <c r="H111" t="inlineStr">
        <is>
          <t>PM</t>
        </is>
      </c>
      <c r="I111" t="inlineStr">
        <is>
          <t>Sea Island, GA</t>
        </is>
      </c>
      <c r="J111" t="inlineStr">
        <is>
          <t>South</t>
        </is>
      </c>
      <c r="K111" t="n">
        <v>9</v>
      </c>
      <c r="L111" t="inlineStr">
        <is>
          <t>Front</t>
        </is>
      </c>
      <c r="M111" t="inlineStr">
        <is>
          <t>Seaside</t>
        </is>
      </c>
      <c r="N111" t="inlineStr">
        <is>
          <t>White</t>
        </is>
      </c>
      <c r="O111" t="n">
        <v>70.90000000000001</v>
      </c>
      <c r="P111" t="n">
        <v>133</v>
      </c>
      <c r="Q111" t="n">
        <v>5980</v>
      </c>
      <c r="R111" t="inlineStr">
        <is>
          <t>Pinehurst</t>
        </is>
      </c>
      <c r="S111" t="inlineStr">
        <is>
          <t>Doubles</t>
        </is>
      </c>
      <c r="T111" t="inlineStr">
        <is>
          <t>Over 6'</t>
        </is>
      </c>
      <c r="U111" t="inlineStr">
        <is>
          <t>Lynch</t>
        </is>
      </c>
      <c r="V111" t="inlineStr">
        <is>
          <t>Fogan</t>
        </is>
      </c>
      <c r="W111" t="inlineStr">
        <is>
          <t>Green</t>
        </is>
      </c>
      <c r="X111" t="n">
        <v>30</v>
      </c>
      <c r="Y111" t="inlineStr">
        <is>
          <t>Weisberger</t>
        </is>
      </c>
      <c r="Z111" t="n">
        <v>19</v>
      </c>
      <c r="AA111" t="n">
        <v>1</v>
      </c>
      <c r="AB111" t="inlineStr">
        <is>
          <t>W</t>
        </is>
      </c>
      <c r="AC111" t="inlineStr">
        <is>
          <t>3&amp;2</t>
        </is>
      </c>
      <c r="AE111">
        <f>$V111&amp;$Y111</f>
        <v/>
      </c>
      <c r="AF111" t="n">
        <v>1</v>
      </c>
      <c r="AG111" t="n">
        <v>1</v>
      </c>
      <c r="AH111" t="n">
        <v>0</v>
      </c>
      <c r="AI111" t="n">
        <v>0</v>
      </c>
      <c r="AJ111" t="n">
        <v>1</v>
      </c>
      <c r="AK111" t="inlineStr">
        <is>
          <t>Connors</t>
        </is>
      </c>
      <c r="AL111" t="n">
        <v>0.347457627118644</v>
      </c>
      <c r="AM111" t="inlineStr">
        <is>
          <t>Grise</t>
        </is>
      </c>
      <c r="AN111" t="n">
        <v>0.546875</v>
      </c>
    </row>
    <row r="112" ht="15" customHeight="1" s="2">
      <c r="B112" t="n">
        <v>14</v>
      </c>
      <c r="C112" t="n">
        <v>4</v>
      </c>
      <c r="D112" t="n">
        <v>3</v>
      </c>
      <c r="E112" t="inlineStr">
        <is>
          <t>FBC3-D14</t>
        </is>
      </c>
      <c r="F112" t="inlineStr">
        <is>
          <t>Saturday</t>
        </is>
      </c>
      <c r="G112" s="27" t="n">
        <v>42168</v>
      </c>
      <c r="H112" t="inlineStr">
        <is>
          <t>PM</t>
        </is>
      </c>
      <c r="I112" t="inlineStr">
        <is>
          <t>Sea Island, GA</t>
        </is>
      </c>
      <c r="J112" t="inlineStr">
        <is>
          <t>South</t>
        </is>
      </c>
      <c r="K112" t="n">
        <v>9</v>
      </c>
      <c r="L112" t="inlineStr">
        <is>
          <t>Front</t>
        </is>
      </c>
      <c r="M112" t="inlineStr">
        <is>
          <t>Seaside</t>
        </is>
      </c>
      <c r="N112" t="inlineStr">
        <is>
          <t>White</t>
        </is>
      </c>
      <c r="O112" t="n">
        <v>70.90000000000001</v>
      </c>
      <c r="P112" t="n">
        <v>133</v>
      </c>
      <c r="Q112" t="n">
        <v>5980</v>
      </c>
      <c r="R112" t="inlineStr">
        <is>
          <t>Pinehurst</t>
        </is>
      </c>
      <c r="S112" t="inlineStr">
        <is>
          <t>Doubles</t>
        </is>
      </c>
      <c r="T112" t="inlineStr">
        <is>
          <t>Over 6'</t>
        </is>
      </c>
      <c r="U112" t="inlineStr">
        <is>
          <t>Lynch</t>
        </is>
      </c>
      <c r="V112" t="inlineStr">
        <is>
          <t>Hickerson</t>
        </is>
      </c>
      <c r="W112" t="inlineStr">
        <is>
          <t>Green</t>
        </is>
      </c>
      <c r="X112" t="n">
        <v>22</v>
      </c>
      <c r="Y112" t="inlineStr">
        <is>
          <t>Lynch</t>
        </is>
      </c>
      <c r="Z112" t="n">
        <v>19</v>
      </c>
      <c r="AA112" t="n">
        <v>1</v>
      </c>
      <c r="AB112" t="inlineStr">
        <is>
          <t>L</t>
        </is>
      </c>
      <c r="AC112" t="inlineStr">
        <is>
          <t>2&amp;1</t>
        </is>
      </c>
      <c r="AE112">
        <f>$V112&amp;$Y112</f>
        <v/>
      </c>
      <c r="AF112" t="n">
        <v>0</v>
      </c>
      <c r="AG112" t="n">
        <v>0</v>
      </c>
      <c r="AH112" t="n">
        <v>1</v>
      </c>
      <c r="AI112" t="n">
        <v>0</v>
      </c>
      <c r="AJ112" t="n">
        <v>0</v>
      </c>
      <c r="AK112" t="inlineStr">
        <is>
          <t>Buss</t>
        </is>
      </c>
      <c r="AL112" t="n">
        <v>0.448275862068966</v>
      </c>
      <c r="AM112" t="inlineStr">
        <is>
          <t>Mangold</t>
        </is>
      </c>
      <c r="AN112" t="n">
        <v>0.383928571428572</v>
      </c>
    </row>
    <row r="113" ht="15" customHeight="1" s="2">
      <c r="B113" t="n">
        <v>14</v>
      </c>
      <c r="C113" t="n">
        <v>4</v>
      </c>
      <c r="D113" t="n">
        <v>3</v>
      </c>
      <c r="E113" t="inlineStr">
        <is>
          <t>FBC3-D14</t>
        </is>
      </c>
      <c r="F113" t="inlineStr">
        <is>
          <t>Saturday</t>
        </is>
      </c>
      <c r="G113" s="27" t="n">
        <v>42168</v>
      </c>
      <c r="H113" t="inlineStr">
        <is>
          <t>PM</t>
        </is>
      </c>
      <c r="I113" t="inlineStr">
        <is>
          <t>Sea Island, GA</t>
        </is>
      </c>
      <c r="J113" t="inlineStr">
        <is>
          <t>South</t>
        </is>
      </c>
      <c r="K113" t="n">
        <v>9</v>
      </c>
      <c r="L113" t="inlineStr">
        <is>
          <t>Front</t>
        </is>
      </c>
      <c r="M113" t="inlineStr">
        <is>
          <t>Seaside</t>
        </is>
      </c>
      <c r="N113" t="inlineStr">
        <is>
          <t>White</t>
        </is>
      </c>
      <c r="O113" t="n">
        <v>70.90000000000001</v>
      </c>
      <c r="P113" t="n">
        <v>133</v>
      </c>
      <c r="Q113" t="n">
        <v>5980</v>
      </c>
      <c r="R113" t="inlineStr">
        <is>
          <t>Pinehurst</t>
        </is>
      </c>
      <c r="S113" t="inlineStr">
        <is>
          <t>Doubles</t>
        </is>
      </c>
      <c r="T113" t="inlineStr">
        <is>
          <t>Under 6'</t>
        </is>
      </c>
      <c r="U113" t="inlineStr">
        <is>
          <t>Shively</t>
        </is>
      </c>
      <c r="V113" t="inlineStr">
        <is>
          <t>Buss</t>
        </is>
      </c>
      <c r="W113" t="inlineStr">
        <is>
          <t xml:space="preserve">Steel </t>
        </is>
      </c>
      <c r="X113" t="n">
        <v>16</v>
      </c>
      <c r="Y113" t="inlineStr">
        <is>
          <t>Mangold</t>
        </is>
      </c>
      <c r="Z113" t="n">
        <v>19</v>
      </c>
      <c r="AA113" t="n">
        <v>1</v>
      </c>
      <c r="AB113" t="inlineStr">
        <is>
          <t>W</t>
        </is>
      </c>
      <c r="AC113" t="inlineStr">
        <is>
          <t>2&amp;1</t>
        </is>
      </c>
      <c r="AE113">
        <f>$V113&amp;$Y113</f>
        <v/>
      </c>
      <c r="AF113" t="n">
        <v>1</v>
      </c>
      <c r="AG113" t="n">
        <v>1</v>
      </c>
      <c r="AH113" t="n">
        <v>0</v>
      </c>
      <c r="AI113" t="n">
        <v>0</v>
      </c>
      <c r="AJ113" t="n">
        <v>1</v>
      </c>
      <c r="AK113" t="inlineStr">
        <is>
          <t>Hickerson</t>
        </is>
      </c>
      <c r="AL113" t="n">
        <v>0.357142857142857</v>
      </c>
      <c r="AM113" t="inlineStr">
        <is>
          <t>Lynch</t>
        </is>
      </c>
      <c r="AN113" t="n">
        <v>0.5546875</v>
      </c>
    </row>
    <row r="114" ht="15" customHeight="1" s="2">
      <c r="B114" t="n">
        <v>15</v>
      </c>
      <c r="C114" t="n">
        <v>5</v>
      </c>
      <c r="D114" t="n">
        <v>3</v>
      </c>
      <c r="E114" t="inlineStr">
        <is>
          <t>FBC3-D15</t>
        </is>
      </c>
      <c r="F114" t="inlineStr">
        <is>
          <t>Saturday</t>
        </is>
      </c>
      <c r="G114" s="27" t="n">
        <v>42168</v>
      </c>
      <c r="H114" t="inlineStr">
        <is>
          <t>PM</t>
        </is>
      </c>
      <c r="I114" t="inlineStr">
        <is>
          <t>Sea Island, GA</t>
        </is>
      </c>
      <c r="J114" t="inlineStr">
        <is>
          <t>South</t>
        </is>
      </c>
      <c r="K114" t="n">
        <v>9</v>
      </c>
      <c r="L114" t="inlineStr">
        <is>
          <t>Front</t>
        </is>
      </c>
      <c r="M114" t="inlineStr">
        <is>
          <t>Seaside</t>
        </is>
      </c>
      <c r="N114" t="inlineStr">
        <is>
          <t>White</t>
        </is>
      </c>
      <c r="O114" t="n">
        <v>70.90000000000001</v>
      </c>
      <c r="P114" t="n">
        <v>133</v>
      </c>
      <c r="Q114" t="n">
        <v>5980</v>
      </c>
      <c r="R114" t="inlineStr">
        <is>
          <t>Pinehurst</t>
        </is>
      </c>
      <c r="S114" t="inlineStr">
        <is>
          <t>Doubles</t>
        </is>
      </c>
      <c r="T114" t="inlineStr">
        <is>
          <t>Under 6'</t>
        </is>
      </c>
      <c r="U114" t="inlineStr">
        <is>
          <t>Shively</t>
        </is>
      </c>
      <c r="V114" t="inlineStr">
        <is>
          <t>Forster</t>
        </is>
      </c>
      <c r="W114" t="inlineStr">
        <is>
          <t xml:space="preserve">Steel </t>
        </is>
      </c>
      <c r="X114" t="n">
        <v>29.6460176991151</v>
      </c>
      <c r="Y114" t="inlineStr">
        <is>
          <t>Norat</t>
        </is>
      </c>
      <c r="Z114" t="n">
        <v>22.1752212389381</v>
      </c>
      <c r="AA114" t="n">
        <v>1</v>
      </c>
      <c r="AB114" t="inlineStr">
        <is>
          <t>W</t>
        </is>
      </c>
      <c r="AC114" t="inlineStr">
        <is>
          <t>2&amp;1</t>
        </is>
      </c>
      <c r="AE114">
        <f>$V114&amp;$Y114</f>
        <v/>
      </c>
      <c r="AF114" t="n">
        <v>1</v>
      </c>
      <c r="AG114" t="n">
        <v>1</v>
      </c>
      <c r="AH114" t="n">
        <v>0</v>
      </c>
      <c r="AI114" t="n">
        <v>0</v>
      </c>
      <c r="AJ114" t="n">
        <v>1</v>
      </c>
      <c r="AK114" t="inlineStr">
        <is>
          <t>Cole</t>
        </is>
      </c>
      <c r="AL114" t="n">
        <v>0.440677966101695</v>
      </c>
      <c r="AM114" t="inlineStr">
        <is>
          <t>McInerney</t>
        </is>
      </c>
      <c r="AN114" t="n">
        <v>0.5</v>
      </c>
    </row>
    <row r="115" ht="15" customHeight="1" s="2">
      <c r="B115" t="n">
        <v>15</v>
      </c>
      <c r="C115" t="n">
        <v>5</v>
      </c>
      <c r="D115" t="n">
        <v>3</v>
      </c>
      <c r="E115" t="inlineStr">
        <is>
          <t>FBC3-D15</t>
        </is>
      </c>
      <c r="F115" t="inlineStr">
        <is>
          <t>Saturday</t>
        </is>
      </c>
      <c r="G115" s="27" t="n">
        <v>42168</v>
      </c>
      <c r="H115" t="inlineStr">
        <is>
          <t>PM</t>
        </is>
      </c>
      <c r="I115" t="inlineStr">
        <is>
          <t>Sea Island, GA</t>
        </is>
      </c>
      <c r="J115" t="inlineStr">
        <is>
          <t>South</t>
        </is>
      </c>
      <c r="K115" t="n">
        <v>9</v>
      </c>
      <c r="L115" t="inlineStr">
        <is>
          <t>Front</t>
        </is>
      </c>
      <c r="M115" t="inlineStr">
        <is>
          <t>Seaside</t>
        </is>
      </c>
      <c r="N115" t="inlineStr">
        <is>
          <t>White</t>
        </is>
      </c>
      <c r="O115" t="n">
        <v>70.90000000000001</v>
      </c>
      <c r="P115" t="n">
        <v>133</v>
      </c>
      <c r="Q115" t="n">
        <v>5980</v>
      </c>
      <c r="R115" t="inlineStr">
        <is>
          <t>Pinehurst</t>
        </is>
      </c>
      <c r="S115" t="inlineStr">
        <is>
          <t>Doubles</t>
        </is>
      </c>
      <c r="T115" t="inlineStr">
        <is>
          <t>Over 6'</t>
        </is>
      </c>
      <c r="U115" t="inlineStr">
        <is>
          <t>Lynch</t>
        </is>
      </c>
      <c r="V115" t="inlineStr">
        <is>
          <t>Cole</t>
        </is>
      </c>
      <c r="W115" t="inlineStr">
        <is>
          <t>Green</t>
        </is>
      </c>
      <c r="X115" t="n">
        <v>29.4088495575221</v>
      </c>
      <c r="Y115" t="inlineStr">
        <is>
          <t>McInerney</t>
        </is>
      </c>
      <c r="Z115" t="n">
        <v>11.2654867256637</v>
      </c>
      <c r="AA115" t="n">
        <v>1</v>
      </c>
      <c r="AB115" t="inlineStr">
        <is>
          <t>L</t>
        </is>
      </c>
      <c r="AC115" t="inlineStr">
        <is>
          <t>2&amp;1</t>
        </is>
      </c>
      <c r="AE115">
        <f>$V115&amp;$Y115</f>
        <v/>
      </c>
      <c r="AF115" t="n">
        <v>0</v>
      </c>
      <c r="AG115" t="n">
        <v>0</v>
      </c>
      <c r="AH115" t="n">
        <v>1</v>
      </c>
      <c r="AI115" t="n">
        <v>0</v>
      </c>
      <c r="AJ115" t="n">
        <v>0</v>
      </c>
      <c r="AK115" t="inlineStr">
        <is>
          <t>Forster</t>
        </is>
      </c>
      <c r="AL115" t="n">
        <v>0.596491228070175</v>
      </c>
      <c r="AM115" t="inlineStr">
        <is>
          <t>Norat</t>
        </is>
      </c>
      <c r="AN115" t="n">
        <v>0.527777777777778</v>
      </c>
    </row>
    <row r="116" ht="15" customHeight="1" s="2">
      <c r="B116" t="n">
        <v>16</v>
      </c>
      <c r="C116" t="n">
        <v>1</v>
      </c>
      <c r="D116" t="n">
        <v>3</v>
      </c>
      <c r="E116" t="inlineStr">
        <is>
          <t>FBC3-D16</t>
        </is>
      </c>
      <c r="F116" t="inlineStr">
        <is>
          <t>Saturday</t>
        </is>
      </c>
      <c r="G116" s="27" t="n">
        <v>42168</v>
      </c>
      <c r="H116" t="inlineStr">
        <is>
          <t>PM</t>
        </is>
      </c>
      <c r="I116" t="inlineStr">
        <is>
          <t>Sea Island, GA</t>
        </is>
      </c>
      <c r="J116" t="inlineStr">
        <is>
          <t>South</t>
        </is>
      </c>
      <c r="K116" t="n">
        <v>9</v>
      </c>
      <c r="L116" t="inlineStr">
        <is>
          <t>Back</t>
        </is>
      </c>
      <c r="M116" t="inlineStr">
        <is>
          <t>Seaside</t>
        </is>
      </c>
      <c r="N116" t="inlineStr">
        <is>
          <t>White</t>
        </is>
      </c>
      <c r="O116" t="n">
        <v>70.90000000000001</v>
      </c>
      <c r="P116" t="n">
        <v>133</v>
      </c>
      <c r="Q116" t="n">
        <v>5980</v>
      </c>
      <c r="R116" t="inlineStr">
        <is>
          <t>Scramble-Stableford</t>
        </is>
      </c>
      <c r="S116" t="inlineStr">
        <is>
          <t>Doubles</t>
        </is>
      </c>
      <c r="T116" t="inlineStr">
        <is>
          <t>Under 6'</t>
        </is>
      </c>
      <c r="U116" t="inlineStr">
        <is>
          <t>Shively</t>
        </is>
      </c>
      <c r="V116" t="inlineStr">
        <is>
          <t>Ferrin</t>
        </is>
      </c>
      <c r="W116" t="inlineStr">
        <is>
          <t xml:space="preserve">Steel </t>
        </is>
      </c>
      <c r="X116" t="n">
        <v>24</v>
      </c>
      <c r="Y116" t="inlineStr">
        <is>
          <t>Jackson</t>
        </is>
      </c>
      <c r="Z116" t="n">
        <v>15</v>
      </c>
      <c r="AA116" t="n">
        <v>1</v>
      </c>
      <c r="AB116" t="inlineStr">
        <is>
          <t>W</t>
        </is>
      </c>
      <c r="AC116" t="inlineStr">
        <is>
          <t>18-15</t>
        </is>
      </c>
      <c r="AE116">
        <f>$V116&amp;$Y116</f>
        <v/>
      </c>
      <c r="AF116" t="n">
        <v>1</v>
      </c>
      <c r="AG116" t="n">
        <v>1</v>
      </c>
      <c r="AH116" t="n">
        <v>0</v>
      </c>
      <c r="AI116" t="n">
        <v>0</v>
      </c>
      <c r="AJ116" t="n">
        <v>1</v>
      </c>
      <c r="AK116" t="inlineStr">
        <is>
          <t>Gray</t>
        </is>
      </c>
      <c r="AL116" t="n">
        <v>0.654761904761905</v>
      </c>
      <c r="AM116" t="inlineStr">
        <is>
          <t>Zimmer</t>
        </is>
      </c>
      <c r="AN116" t="n">
        <v>0.5</v>
      </c>
    </row>
    <row r="117" ht="15" customHeight="1" s="2">
      <c r="B117" t="n">
        <v>16</v>
      </c>
      <c r="C117" t="n">
        <v>1</v>
      </c>
      <c r="D117" t="n">
        <v>3</v>
      </c>
      <c r="E117" t="inlineStr">
        <is>
          <t>FBC3-D16</t>
        </is>
      </c>
      <c r="F117" t="inlineStr">
        <is>
          <t>Saturday</t>
        </is>
      </c>
      <c r="G117" s="27" t="n">
        <v>42168</v>
      </c>
      <c r="H117" t="inlineStr">
        <is>
          <t>PM</t>
        </is>
      </c>
      <c r="I117" t="inlineStr">
        <is>
          <t>Sea Island, GA</t>
        </is>
      </c>
      <c r="J117" t="inlineStr">
        <is>
          <t>South</t>
        </is>
      </c>
      <c r="K117" t="n">
        <v>9</v>
      </c>
      <c r="L117" t="inlineStr">
        <is>
          <t>Back</t>
        </is>
      </c>
      <c r="M117" t="inlineStr">
        <is>
          <t>Seaside</t>
        </is>
      </c>
      <c r="N117" t="inlineStr">
        <is>
          <t>White</t>
        </is>
      </c>
      <c r="O117" t="n">
        <v>70.90000000000001</v>
      </c>
      <c r="P117" t="n">
        <v>133</v>
      </c>
      <c r="Q117" t="n">
        <v>5980</v>
      </c>
      <c r="R117" t="inlineStr">
        <is>
          <t>Scramble-Stableford</t>
        </is>
      </c>
      <c r="S117" t="inlineStr">
        <is>
          <t>Doubles</t>
        </is>
      </c>
      <c r="T117" t="inlineStr">
        <is>
          <t>Over 6'</t>
        </is>
      </c>
      <c r="U117" t="inlineStr">
        <is>
          <t>Lynch</t>
        </is>
      </c>
      <c r="V117" t="inlineStr">
        <is>
          <t>Gray</t>
        </is>
      </c>
      <c r="W117" t="inlineStr">
        <is>
          <t>Green</t>
        </is>
      </c>
      <c r="X117" t="n">
        <v>13.0442477876106</v>
      </c>
      <c r="Y117" t="inlineStr">
        <is>
          <t>Zimmer</t>
        </is>
      </c>
      <c r="Z117" t="n">
        <v>16.9575221238938</v>
      </c>
      <c r="AA117" t="n">
        <v>1</v>
      </c>
      <c r="AB117" t="inlineStr">
        <is>
          <t>L</t>
        </is>
      </c>
      <c r="AC117" t="inlineStr">
        <is>
          <t>18-15</t>
        </is>
      </c>
      <c r="AE117">
        <f>$V117&amp;$Y117</f>
        <v/>
      </c>
      <c r="AF117" t="n">
        <v>0</v>
      </c>
      <c r="AG117" t="n">
        <v>0</v>
      </c>
      <c r="AH117" t="n">
        <v>1</v>
      </c>
      <c r="AI117" t="n">
        <v>0</v>
      </c>
      <c r="AJ117" t="n">
        <v>0</v>
      </c>
      <c r="AK117" t="inlineStr">
        <is>
          <t>Ferrin</t>
        </is>
      </c>
      <c r="AL117" t="n">
        <v>0.595238095238095</v>
      </c>
      <c r="AM117" t="inlineStr">
        <is>
          <t>Jackson</t>
        </is>
      </c>
      <c r="AN117" t="n">
        <v>0.6171875</v>
      </c>
    </row>
    <row r="118" ht="15" customHeight="1" s="2">
      <c r="B118" t="n">
        <v>17</v>
      </c>
      <c r="C118" t="n">
        <v>2</v>
      </c>
      <c r="D118" t="n">
        <v>3</v>
      </c>
      <c r="E118" t="inlineStr">
        <is>
          <t>FBC3-D17</t>
        </is>
      </c>
      <c r="F118" t="inlineStr">
        <is>
          <t>Saturday</t>
        </is>
      </c>
      <c r="G118" s="27" t="n">
        <v>42168</v>
      </c>
      <c r="H118" t="inlineStr">
        <is>
          <t>PM</t>
        </is>
      </c>
      <c r="I118" t="inlineStr">
        <is>
          <t>Sea Island, GA</t>
        </is>
      </c>
      <c r="J118" t="inlineStr">
        <is>
          <t>South</t>
        </is>
      </c>
      <c r="K118" t="n">
        <v>9</v>
      </c>
      <c r="L118" t="inlineStr">
        <is>
          <t>Back</t>
        </is>
      </c>
      <c r="M118" t="inlineStr">
        <is>
          <t>Seaside</t>
        </is>
      </c>
      <c r="N118" t="inlineStr">
        <is>
          <t>White</t>
        </is>
      </c>
      <c r="O118" t="n">
        <v>70.90000000000001</v>
      </c>
      <c r="P118" t="n">
        <v>133</v>
      </c>
      <c r="Q118" t="n">
        <v>5980</v>
      </c>
      <c r="R118" t="inlineStr">
        <is>
          <t>Scramble-Stableford</t>
        </is>
      </c>
      <c r="S118" t="inlineStr">
        <is>
          <t>Doubles</t>
        </is>
      </c>
      <c r="T118" t="inlineStr">
        <is>
          <t>Over 6'</t>
        </is>
      </c>
      <c r="U118" t="inlineStr">
        <is>
          <t>Lynch</t>
        </is>
      </c>
      <c r="V118" t="inlineStr">
        <is>
          <t>Connolly</t>
        </is>
      </c>
      <c r="W118" t="inlineStr">
        <is>
          <t>Green</t>
        </is>
      </c>
      <c r="X118" t="n">
        <v>10.7911504424779</v>
      </c>
      <c r="Y118" t="inlineStr">
        <is>
          <t>Hilts</t>
        </is>
      </c>
      <c r="Z118" t="n">
        <v>21.2265486725664</v>
      </c>
      <c r="AA118" t="n">
        <v>1</v>
      </c>
      <c r="AB118" t="inlineStr">
        <is>
          <t>W</t>
        </is>
      </c>
      <c r="AC118" t="inlineStr">
        <is>
          <t>17-14</t>
        </is>
      </c>
      <c r="AE118">
        <f>$V118&amp;$Y118</f>
        <v/>
      </c>
      <c r="AF118" t="n">
        <v>1</v>
      </c>
      <c r="AG118" t="n">
        <v>1</v>
      </c>
      <c r="AH118" t="n">
        <v>0</v>
      </c>
      <c r="AI118" t="n">
        <v>0</v>
      </c>
      <c r="AJ118" t="n">
        <v>1</v>
      </c>
      <c r="AK118" t="inlineStr">
        <is>
          <t>Flanders</t>
        </is>
      </c>
      <c r="AL118" t="n">
        <v>0.4296875</v>
      </c>
      <c r="AM118" t="inlineStr">
        <is>
          <t>Shively</t>
        </is>
      </c>
    </row>
    <row r="119" ht="15" customHeight="1" s="2">
      <c r="B119" t="n">
        <v>17</v>
      </c>
      <c r="C119" t="n">
        <v>2</v>
      </c>
      <c r="D119" t="n">
        <v>3</v>
      </c>
      <c r="E119" t="inlineStr">
        <is>
          <t>FBC3-D17</t>
        </is>
      </c>
      <c r="F119" t="inlineStr">
        <is>
          <t>Saturday</t>
        </is>
      </c>
      <c r="G119" s="27" t="n">
        <v>42168</v>
      </c>
      <c r="H119" t="inlineStr">
        <is>
          <t>PM</t>
        </is>
      </c>
      <c r="I119" t="inlineStr">
        <is>
          <t>Sea Island, GA</t>
        </is>
      </c>
      <c r="J119" t="inlineStr">
        <is>
          <t>South</t>
        </is>
      </c>
      <c r="K119" t="n">
        <v>9</v>
      </c>
      <c r="L119" t="inlineStr">
        <is>
          <t>Back</t>
        </is>
      </c>
      <c r="M119" t="inlineStr">
        <is>
          <t>Seaside</t>
        </is>
      </c>
      <c r="N119" t="inlineStr">
        <is>
          <t>White</t>
        </is>
      </c>
      <c r="O119" t="n">
        <v>70.90000000000001</v>
      </c>
      <c r="P119" t="n">
        <v>133</v>
      </c>
      <c r="Q119" t="n">
        <v>5980</v>
      </c>
      <c r="R119" t="inlineStr">
        <is>
          <t>Scramble-Stableford</t>
        </is>
      </c>
      <c r="S119" t="inlineStr">
        <is>
          <t>Doubles</t>
        </is>
      </c>
      <c r="T119" t="inlineStr">
        <is>
          <t>Under 6'</t>
        </is>
      </c>
      <c r="U119" t="inlineStr">
        <is>
          <t>Shively</t>
        </is>
      </c>
      <c r="V119" t="inlineStr">
        <is>
          <t>Flanders</t>
        </is>
      </c>
      <c r="W119" t="inlineStr">
        <is>
          <t xml:space="preserve">Steel </t>
        </is>
      </c>
      <c r="X119" t="n">
        <v>16</v>
      </c>
      <c r="Y119" t="inlineStr">
        <is>
          <t>Shively</t>
        </is>
      </c>
      <c r="Z119" t="n">
        <v>21</v>
      </c>
      <c r="AA119" t="n">
        <v>1</v>
      </c>
      <c r="AB119" t="inlineStr">
        <is>
          <t>L</t>
        </is>
      </c>
      <c r="AC119" t="inlineStr">
        <is>
          <t>17-14</t>
        </is>
      </c>
      <c r="AE119">
        <f>$V119&amp;$Y119</f>
        <v/>
      </c>
      <c r="AF119" t="n">
        <v>0</v>
      </c>
      <c r="AG119" t="n">
        <v>0</v>
      </c>
      <c r="AH119" t="n">
        <v>1</v>
      </c>
      <c r="AI119" t="n">
        <v>0</v>
      </c>
      <c r="AJ119" t="n">
        <v>0</v>
      </c>
      <c r="AK119" t="inlineStr">
        <is>
          <t>Connolly</t>
        </is>
      </c>
      <c r="AL119" t="n">
        <v>0.59375</v>
      </c>
      <c r="AM119" t="inlineStr">
        <is>
          <t>Hilts</t>
        </is>
      </c>
      <c r="AN119" t="n">
        <v>0.473214285714286</v>
      </c>
    </row>
    <row r="120" ht="15" customHeight="1" s="2">
      <c r="B120" t="n">
        <v>18</v>
      </c>
      <c r="C120" t="n">
        <v>3</v>
      </c>
      <c r="D120" t="n">
        <v>3</v>
      </c>
      <c r="E120" t="inlineStr">
        <is>
          <t>FBC3-D18</t>
        </is>
      </c>
      <c r="F120" t="inlineStr">
        <is>
          <t>Saturday</t>
        </is>
      </c>
      <c r="G120" s="27" t="n">
        <v>42168</v>
      </c>
      <c r="H120" t="inlineStr">
        <is>
          <t>PM</t>
        </is>
      </c>
      <c r="I120" t="inlineStr">
        <is>
          <t>Sea Island, GA</t>
        </is>
      </c>
      <c r="J120" t="inlineStr">
        <is>
          <t>South</t>
        </is>
      </c>
      <c r="K120" t="n">
        <v>9</v>
      </c>
      <c r="L120" t="inlineStr">
        <is>
          <t>Back</t>
        </is>
      </c>
      <c r="M120" t="inlineStr">
        <is>
          <t>Seaside</t>
        </is>
      </c>
      <c r="N120" t="inlineStr">
        <is>
          <t>White</t>
        </is>
      </c>
      <c r="O120" t="n">
        <v>70.90000000000001</v>
      </c>
      <c r="P120" t="n">
        <v>133</v>
      </c>
      <c r="Q120" t="n">
        <v>5980</v>
      </c>
      <c r="R120" t="inlineStr">
        <is>
          <t>Scramble-Stableford</t>
        </is>
      </c>
      <c r="S120" t="inlineStr">
        <is>
          <t>Doubles</t>
        </is>
      </c>
      <c r="T120" t="inlineStr">
        <is>
          <t>Under 6'</t>
        </is>
      </c>
      <c r="U120" t="inlineStr">
        <is>
          <t>Shively</t>
        </is>
      </c>
      <c r="V120" t="inlineStr">
        <is>
          <t>Connors</t>
        </is>
      </c>
      <c r="W120" t="inlineStr">
        <is>
          <t xml:space="preserve">Steel </t>
        </is>
      </c>
      <c r="X120" t="n">
        <v>20</v>
      </c>
      <c r="Y120" t="inlineStr">
        <is>
          <t>Grise</t>
        </is>
      </c>
      <c r="Z120" t="n">
        <v>17</v>
      </c>
      <c r="AA120" t="n">
        <v>1</v>
      </c>
      <c r="AB120" t="inlineStr">
        <is>
          <t>L</t>
        </is>
      </c>
      <c r="AC120" t="inlineStr">
        <is>
          <t>16-12</t>
        </is>
      </c>
      <c r="AE120">
        <f>$V120&amp;$Y120</f>
        <v/>
      </c>
      <c r="AF120" t="n">
        <v>0</v>
      </c>
      <c r="AG120" t="n">
        <v>0</v>
      </c>
      <c r="AH120" t="n">
        <v>1</v>
      </c>
      <c r="AI120" t="n">
        <v>0</v>
      </c>
      <c r="AJ120" t="n">
        <v>0</v>
      </c>
      <c r="AK120" t="inlineStr">
        <is>
          <t>Fogan</t>
        </is>
      </c>
      <c r="AL120" t="n">
        <v>0.372881355932203</v>
      </c>
      <c r="AM120" t="inlineStr">
        <is>
          <t>Weisberger</t>
        </is>
      </c>
      <c r="AN120" t="n">
        <v>0.5</v>
      </c>
    </row>
    <row r="121" ht="15" customHeight="1" s="2">
      <c r="B121" t="n">
        <v>18</v>
      </c>
      <c r="C121" t="n">
        <v>3</v>
      </c>
      <c r="D121" t="n">
        <v>3</v>
      </c>
      <c r="E121" t="inlineStr">
        <is>
          <t>FBC3-D18</t>
        </is>
      </c>
      <c r="F121" t="inlineStr">
        <is>
          <t>Saturday</t>
        </is>
      </c>
      <c r="G121" s="27" t="n">
        <v>42168</v>
      </c>
      <c r="H121" t="inlineStr">
        <is>
          <t>PM</t>
        </is>
      </c>
      <c r="I121" t="inlineStr">
        <is>
          <t>Sea Island, GA</t>
        </is>
      </c>
      <c r="J121" t="inlineStr">
        <is>
          <t>South</t>
        </is>
      </c>
      <c r="K121" t="n">
        <v>9</v>
      </c>
      <c r="L121" t="inlineStr">
        <is>
          <t>Back</t>
        </is>
      </c>
      <c r="M121" t="inlineStr">
        <is>
          <t>Seaside</t>
        </is>
      </c>
      <c r="N121" t="inlineStr">
        <is>
          <t>White</t>
        </is>
      </c>
      <c r="O121" t="n">
        <v>70.90000000000001</v>
      </c>
      <c r="P121" t="n">
        <v>133</v>
      </c>
      <c r="Q121" t="n">
        <v>5980</v>
      </c>
      <c r="R121" t="inlineStr">
        <is>
          <t>Scramble-Stableford</t>
        </is>
      </c>
      <c r="S121" t="inlineStr">
        <is>
          <t>Doubles</t>
        </is>
      </c>
      <c r="T121" t="inlineStr">
        <is>
          <t>Over 6'</t>
        </is>
      </c>
      <c r="U121" t="inlineStr">
        <is>
          <t>Lynch</t>
        </is>
      </c>
      <c r="V121" t="inlineStr">
        <is>
          <t>Fogan</t>
        </is>
      </c>
      <c r="W121" t="inlineStr">
        <is>
          <t>Green</t>
        </is>
      </c>
      <c r="X121" t="n">
        <v>30</v>
      </c>
      <c r="Y121" t="inlineStr">
        <is>
          <t>Weisberger</t>
        </is>
      </c>
      <c r="Z121" t="n">
        <v>19</v>
      </c>
      <c r="AA121" t="n">
        <v>1</v>
      </c>
      <c r="AB121" t="inlineStr">
        <is>
          <t>W</t>
        </is>
      </c>
      <c r="AC121" t="inlineStr">
        <is>
          <t>16-12</t>
        </is>
      </c>
      <c r="AE121">
        <f>$V121&amp;$Y121</f>
        <v/>
      </c>
      <c r="AF121" t="n">
        <v>1</v>
      </c>
      <c r="AG121" t="n">
        <v>1</v>
      </c>
      <c r="AH121" t="n">
        <v>0</v>
      </c>
      <c r="AI121" t="n">
        <v>0</v>
      </c>
      <c r="AJ121" t="n">
        <v>1</v>
      </c>
      <c r="AK121" t="inlineStr">
        <is>
          <t>Connors</t>
        </is>
      </c>
      <c r="AL121" t="n">
        <v>0.347457627118644</v>
      </c>
      <c r="AM121" t="inlineStr">
        <is>
          <t>Grise</t>
        </is>
      </c>
      <c r="AN121" t="n">
        <v>0.546875</v>
      </c>
    </row>
    <row r="122" ht="15" customHeight="1" s="2">
      <c r="B122" t="n">
        <v>19</v>
      </c>
      <c r="C122" t="n">
        <v>4</v>
      </c>
      <c r="D122" t="n">
        <v>3</v>
      </c>
      <c r="E122" t="inlineStr">
        <is>
          <t>FBC3-D19</t>
        </is>
      </c>
      <c r="F122" t="inlineStr">
        <is>
          <t>Saturday</t>
        </is>
      </c>
      <c r="G122" s="27" t="n">
        <v>42168</v>
      </c>
      <c r="H122" t="inlineStr">
        <is>
          <t>PM</t>
        </is>
      </c>
      <c r="I122" t="inlineStr">
        <is>
          <t>Sea Island, GA</t>
        </is>
      </c>
      <c r="J122" t="inlineStr">
        <is>
          <t>South</t>
        </is>
      </c>
      <c r="K122" t="n">
        <v>9</v>
      </c>
      <c r="L122" t="inlineStr">
        <is>
          <t>Back</t>
        </is>
      </c>
      <c r="M122" t="inlineStr">
        <is>
          <t>Seaside</t>
        </is>
      </c>
      <c r="N122" t="inlineStr">
        <is>
          <t>White</t>
        </is>
      </c>
      <c r="O122" t="n">
        <v>70.90000000000001</v>
      </c>
      <c r="P122" t="n">
        <v>133</v>
      </c>
      <c r="Q122" t="n">
        <v>5980</v>
      </c>
      <c r="R122" t="inlineStr">
        <is>
          <t>Scramble-Stableford</t>
        </is>
      </c>
      <c r="S122" t="inlineStr">
        <is>
          <t>Doubles</t>
        </is>
      </c>
      <c r="T122" t="inlineStr">
        <is>
          <t>Over 6'</t>
        </is>
      </c>
      <c r="U122" t="inlineStr">
        <is>
          <t>Lynch</t>
        </is>
      </c>
      <c r="V122" t="inlineStr">
        <is>
          <t>Hickerson</t>
        </is>
      </c>
      <c r="W122" t="inlineStr">
        <is>
          <t>Green</t>
        </is>
      </c>
      <c r="X122" t="n">
        <v>22</v>
      </c>
      <c r="Y122" t="inlineStr">
        <is>
          <t>Lynch</t>
        </is>
      </c>
      <c r="Z122" t="n">
        <v>19</v>
      </c>
      <c r="AA122" t="n">
        <v>1</v>
      </c>
      <c r="AB122" t="inlineStr">
        <is>
          <t>W</t>
        </is>
      </c>
      <c r="AC122" t="inlineStr">
        <is>
          <t>14-12</t>
        </is>
      </c>
      <c r="AE122">
        <f>$V122&amp;$Y122</f>
        <v/>
      </c>
      <c r="AF122" t="n">
        <v>1</v>
      </c>
      <c r="AG122" t="n">
        <v>1</v>
      </c>
      <c r="AH122" t="n">
        <v>0</v>
      </c>
      <c r="AI122" t="n">
        <v>0</v>
      </c>
      <c r="AJ122" t="n">
        <v>1</v>
      </c>
      <c r="AK122" t="inlineStr">
        <is>
          <t>Buss</t>
        </is>
      </c>
      <c r="AL122" t="n">
        <v>0.448275862068966</v>
      </c>
      <c r="AM122" t="inlineStr">
        <is>
          <t>Mangold</t>
        </is>
      </c>
      <c r="AN122" t="n">
        <v>0.383928571428572</v>
      </c>
    </row>
    <row r="123" ht="15" customHeight="1" s="2">
      <c r="B123" t="n">
        <v>19</v>
      </c>
      <c r="C123" t="n">
        <v>4</v>
      </c>
      <c r="D123" t="n">
        <v>3</v>
      </c>
      <c r="E123" t="inlineStr">
        <is>
          <t>FBC3-D19</t>
        </is>
      </c>
      <c r="F123" t="inlineStr">
        <is>
          <t>Saturday</t>
        </is>
      </c>
      <c r="G123" s="27" t="n">
        <v>42168</v>
      </c>
      <c r="H123" t="inlineStr">
        <is>
          <t>PM</t>
        </is>
      </c>
      <c r="I123" t="inlineStr">
        <is>
          <t>Sea Island, GA</t>
        </is>
      </c>
      <c r="J123" t="inlineStr">
        <is>
          <t>South</t>
        </is>
      </c>
      <c r="K123" t="n">
        <v>9</v>
      </c>
      <c r="L123" t="inlineStr">
        <is>
          <t>Back</t>
        </is>
      </c>
      <c r="M123" t="inlineStr">
        <is>
          <t>Seaside</t>
        </is>
      </c>
      <c r="N123" t="inlineStr">
        <is>
          <t>White</t>
        </is>
      </c>
      <c r="O123" t="n">
        <v>70.90000000000001</v>
      </c>
      <c r="P123" t="n">
        <v>133</v>
      </c>
      <c r="Q123" t="n">
        <v>5980</v>
      </c>
      <c r="R123" t="inlineStr">
        <is>
          <t>Scramble-Stableford</t>
        </is>
      </c>
      <c r="S123" t="inlineStr">
        <is>
          <t>Doubles</t>
        </is>
      </c>
      <c r="T123" t="inlineStr">
        <is>
          <t>Under 6'</t>
        </is>
      </c>
      <c r="U123" t="inlineStr">
        <is>
          <t>Shively</t>
        </is>
      </c>
      <c r="V123" t="inlineStr">
        <is>
          <t>Buss</t>
        </is>
      </c>
      <c r="W123" t="inlineStr">
        <is>
          <t xml:space="preserve">Steel </t>
        </is>
      </c>
      <c r="X123" t="n">
        <v>16</v>
      </c>
      <c r="Y123" t="inlineStr">
        <is>
          <t>Mangold</t>
        </is>
      </c>
      <c r="Z123" t="n">
        <v>19</v>
      </c>
      <c r="AA123" t="n">
        <v>1</v>
      </c>
      <c r="AB123" t="inlineStr">
        <is>
          <t>L</t>
        </is>
      </c>
      <c r="AC123" t="inlineStr">
        <is>
          <t>14-12</t>
        </is>
      </c>
      <c r="AE123">
        <f>$V123&amp;$Y123</f>
        <v/>
      </c>
      <c r="AF123" t="n">
        <v>0</v>
      </c>
      <c r="AG123" t="n">
        <v>0</v>
      </c>
      <c r="AH123" t="n">
        <v>1</v>
      </c>
      <c r="AI123" t="n">
        <v>0</v>
      </c>
      <c r="AJ123" t="n">
        <v>0</v>
      </c>
      <c r="AK123" t="inlineStr">
        <is>
          <t>Hickerson</t>
        </is>
      </c>
      <c r="AL123" t="n">
        <v>0.357142857142857</v>
      </c>
      <c r="AM123" t="inlineStr">
        <is>
          <t>Lynch</t>
        </is>
      </c>
      <c r="AN123" t="n">
        <v>0.5546875</v>
      </c>
    </row>
    <row r="124" ht="15" customHeight="1" s="2">
      <c r="B124" t="n">
        <v>20</v>
      </c>
      <c r="C124" t="n">
        <v>5</v>
      </c>
      <c r="D124" t="n">
        <v>3</v>
      </c>
      <c r="E124" t="inlineStr">
        <is>
          <t>FBC3-D20</t>
        </is>
      </c>
      <c r="F124" t="inlineStr">
        <is>
          <t>Saturday</t>
        </is>
      </c>
      <c r="G124" s="27" t="n">
        <v>42168</v>
      </c>
      <c r="H124" t="inlineStr">
        <is>
          <t>PM</t>
        </is>
      </c>
      <c r="I124" t="inlineStr">
        <is>
          <t>Sea Island, GA</t>
        </is>
      </c>
      <c r="J124" t="inlineStr">
        <is>
          <t>South</t>
        </is>
      </c>
      <c r="K124" t="n">
        <v>9</v>
      </c>
      <c r="L124" t="inlineStr">
        <is>
          <t>Back</t>
        </is>
      </c>
      <c r="M124" t="inlineStr">
        <is>
          <t>Seaside</t>
        </is>
      </c>
      <c r="N124" t="inlineStr">
        <is>
          <t>White</t>
        </is>
      </c>
      <c r="O124" t="n">
        <v>70.90000000000001</v>
      </c>
      <c r="P124" t="n">
        <v>133</v>
      </c>
      <c r="Q124" t="n">
        <v>5980</v>
      </c>
      <c r="R124" t="inlineStr">
        <is>
          <t>Scramble-Stableford</t>
        </is>
      </c>
      <c r="S124" t="inlineStr">
        <is>
          <t>Doubles</t>
        </is>
      </c>
      <c r="T124" t="inlineStr">
        <is>
          <t>Under 6'</t>
        </is>
      </c>
      <c r="U124" t="inlineStr">
        <is>
          <t>Shively</t>
        </is>
      </c>
      <c r="V124" t="inlineStr">
        <is>
          <t>Forster</t>
        </is>
      </c>
      <c r="W124" t="inlineStr">
        <is>
          <t xml:space="preserve">Steel </t>
        </is>
      </c>
      <c r="X124" t="n">
        <v>29.6460176991151</v>
      </c>
      <c r="Y124" t="inlineStr">
        <is>
          <t>Norat</t>
        </is>
      </c>
      <c r="Z124" t="n">
        <v>22.1752212389381</v>
      </c>
      <c r="AA124" t="n">
        <v>1</v>
      </c>
      <c r="AB124" t="inlineStr">
        <is>
          <t>T</t>
        </is>
      </c>
      <c r="AC124" t="inlineStr">
        <is>
          <t>13-13</t>
        </is>
      </c>
      <c r="AE124">
        <f>$V124&amp;$Y124</f>
        <v/>
      </c>
      <c r="AF124" t="n">
        <v>0.5</v>
      </c>
      <c r="AG124" t="n">
        <v>0</v>
      </c>
      <c r="AH124" t="n">
        <v>0</v>
      </c>
      <c r="AI124" t="n">
        <v>1</v>
      </c>
      <c r="AJ124" t="n">
        <v>0.5</v>
      </c>
      <c r="AK124" t="inlineStr">
        <is>
          <t>Cole</t>
        </is>
      </c>
      <c r="AL124" t="n">
        <v>0.440677966101695</v>
      </c>
      <c r="AM124" t="inlineStr">
        <is>
          <t>McInerney</t>
        </is>
      </c>
      <c r="AN124" t="n">
        <v>0.5</v>
      </c>
    </row>
    <row r="125" ht="15" customHeight="1" s="2">
      <c r="B125" t="n">
        <v>20</v>
      </c>
      <c r="C125" t="n">
        <v>5</v>
      </c>
      <c r="D125" t="n">
        <v>3</v>
      </c>
      <c r="E125" t="inlineStr">
        <is>
          <t>FBC3-D20</t>
        </is>
      </c>
      <c r="F125" t="inlineStr">
        <is>
          <t>Saturday</t>
        </is>
      </c>
      <c r="G125" s="27" t="n">
        <v>42168</v>
      </c>
      <c r="H125" t="inlineStr">
        <is>
          <t>PM</t>
        </is>
      </c>
      <c r="I125" t="inlineStr">
        <is>
          <t>Sea Island, GA</t>
        </is>
      </c>
      <c r="J125" t="inlineStr">
        <is>
          <t>South</t>
        </is>
      </c>
      <c r="K125" t="n">
        <v>9</v>
      </c>
      <c r="L125" t="inlineStr">
        <is>
          <t>Back</t>
        </is>
      </c>
      <c r="M125" t="inlineStr">
        <is>
          <t>Seaside</t>
        </is>
      </c>
      <c r="N125" t="inlineStr">
        <is>
          <t>White</t>
        </is>
      </c>
      <c r="O125" t="n">
        <v>70.90000000000001</v>
      </c>
      <c r="P125" t="n">
        <v>133</v>
      </c>
      <c r="Q125" t="n">
        <v>5980</v>
      </c>
      <c r="R125" t="inlineStr">
        <is>
          <t>Scramble-Stableford</t>
        </is>
      </c>
      <c r="S125" t="inlineStr">
        <is>
          <t>Doubles</t>
        </is>
      </c>
      <c r="T125" t="inlineStr">
        <is>
          <t>Over 6'</t>
        </is>
      </c>
      <c r="U125" t="inlineStr">
        <is>
          <t>Lynch</t>
        </is>
      </c>
      <c r="V125" t="inlineStr">
        <is>
          <t>Cole</t>
        </is>
      </c>
      <c r="W125" t="inlineStr">
        <is>
          <t>Green</t>
        </is>
      </c>
      <c r="X125" t="n">
        <v>29.4088495575221</v>
      </c>
      <c r="Y125" t="inlineStr">
        <is>
          <t>McInerney</t>
        </is>
      </c>
      <c r="Z125" t="n">
        <v>11.2654867256637</v>
      </c>
      <c r="AA125" t="n">
        <v>1</v>
      </c>
      <c r="AB125" t="inlineStr">
        <is>
          <t>T</t>
        </is>
      </c>
      <c r="AC125" t="inlineStr">
        <is>
          <t>13-13</t>
        </is>
      </c>
      <c r="AE125">
        <f>$V125&amp;$Y125</f>
        <v/>
      </c>
      <c r="AF125" t="n">
        <v>0.5</v>
      </c>
      <c r="AG125" t="n">
        <v>0</v>
      </c>
      <c r="AH125" t="n">
        <v>0</v>
      </c>
      <c r="AI125" t="n">
        <v>1</v>
      </c>
      <c r="AJ125" t="n">
        <v>0.5</v>
      </c>
      <c r="AK125" t="inlineStr">
        <is>
          <t>Forster</t>
        </is>
      </c>
      <c r="AL125" t="n">
        <v>0.596491228070175</v>
      </c>
      <c r="AM125" t="inlineStr">
        <is>
          <t>Norat</t>
        </is>
      </c>
      <c r="AN125" t="n">
        <v>0.527777777777778</v>
      </c>
    </row>
    <row r="126" ht="15" customHeight="1" s="2">
      <c r="B126" t="n">
        <v>21</v>
      </c>
      <c r="C126" t="n">
        <v>1</v>
      </c>
      <c r="D126" t="n">
        <v>3</v>
      </c>
      <c r="E126" t="inlineStr">
        <is>
          <t>FBC3-S-Hickerson-Norat</t>
        </is>
      </c>
      <c r="F126" t="inlineStr">
        <is>
          <t>Sunday</t>
        </is>
      </c>
      <c r="G126" s="27" t="n">
        <v>42169</v>
      </c>
      <c r="H126" t="inlineStr">
        <is>
          <t>AM</t>
        </is>
      </c>
      <c r="I126" t="inlineStr">
        <is>
          <t>Sea Island, GA</t>
        </is>
      </c>
      <c r="J126" t="inlineStr">
        <is>
          <t>South</t>
        </is>
      </c>
      <c r="K126" t="n">
        <v>18</v>
      </c>
      <c r="L126" t="inlineStr">
        <is>
          <t>Full</t>
        </is>
      </c>
      <c r="M126" t="inlineStr">
        <is>
          <t>Plantation</t>
        </is>
      </c>
      <c r="N126" t="inlineStr">
        <is>
          <t>Green</t>
        </is>
      </c>
      <c r="O126" t="n">
        <v>71.3</v>
      </c>
      <c r="P126" t="n">
        <v>130</v>
      </c>
      <c r="Q126" t="n">
        <v>6326</v>
      </c>
      <c r="R126" t="inlineStr">
        <is>
          <t>Match Play</t>
        </is>
      </c>
      <c r="S126" t="inlineStr">
        <is>
          <t>Singles</t>
        </is>
      </c>
      <c r="T126" t="inlineStr">
        <is>
          <t>Under 6'</t>
        </is>
      </c>
      <c r="U126" t="inlineStr">
        <is>
          <t>Shively</t>
        </is>
      </c>
      <c r="V126" t="inlineStr">
        <is>
          <t>Norat</t>
        </is>
      </c>
      <c r="W126" t="inlineStr">
        <is>
          <t>Blue</t>
        </is>
      </c>
      <c r="X126" t="n">
        <v>21.6787610619469</v>
      </c>
      <c r="AA126" t="n">
        <v>2</v>
      </c>
      <c r="AB126" t="inlineStr">
        <is>
          <t>T</t>
        </is>
      </c>
      <c r="AC126" t="inlineStr">
        <is>
          <t>Halved</t>
        </is>
      </c>
      <c r="AD126" t="inlineStr">
        <is>
          <t>Hickerson</t>
        </is>
      </c>
      <c r="AE126">
        <f>$V126&amp;$Y126</f>
        <v/>
      </c>
      <c r="AF126" t="n">
        <v>1</v>
      </c>
      <c r="AG126" t="n">
        <v>0</v>
      </c>
      <c r="AH126" t="n">
        <v>0</v>
      </c>
      <c r="AI126" t="n">
        <v>1</v>
      </c>
      <c r="AJ126" t="n">
        <v>0.5</v>
      </c>
      <c r="AK126" t="inlineStr">
        <is>
          <t>Hickerson</t>
        </is>
      </c>
      <c r="AL126" t="n">
        <v>0.357142857142857</v>
      </c>
    </row>
    <row r="127" ht="15" customHeight="1" s="2">
      <c r="B127" t="n">
        <v>21</v>
      </c>
      <c r="C127" t="n">
        <v>2</v>
      </c>
      <c r="D127" t="n">
        <v>3</v>
      </c>
      <c r="E127" t="inlineStr">
        <is>
          <t>FBC3-S-Connors-Fogan</t>
        </is>
      </c>
      <c r="F127" t="inlineStr">
        <is>
          <t>Sunday</t>
        </is>
      </c>
      <c r="G127" s="27" t="n">
        <v>42169</v>
      </c>
      <c r="H127" t="inlineStr">
        <is>
          <t>AM</t>
        </is>
      </c>
      <c r="I127" t="inlineStr">
        <is>
          <t>Sea Island, GA</t>
        </is>
      </c>
      <c r="J127" t="inlineStr">
        <is>
          <t>South</t>
        </is>
      </c>
      <c r="K127" t="n">
        <v>18</v>
      </c>
      <c r="L127" t="inlineStr">
        <is>
          <t>Full</t>
        </is>
      </c>
      <c r="M127" t="inlineStr">
        <is>
          <t>Plantation</t>
        </is>
      </c>
      <c r="N127" t="inlineStr">
        <is>
          <t>Green</t>
        </is>
      </c>
      <c r="O127" t="n">
        <v>71.3</v>
      </c>
      <c r="P127" t="n">
        <v>130</v>
      </c>
      <c r="Q127" t="n">
        <v>6326</v>
      </c>
      <c r="R127" t="inlineStr">
        <is>
          <t>Match Play</t>
        </is>
      </c>
      <c r="S127" t="inlineStr">
        <is>
          <t>Singles</t>
        </is>
      </c>
      <c r="T127" t="inlineStr">
        <is>
          <t>Under 6'</t>
        </is>
      </c>
      <c r="U127" t="inlineStr">
        <is>
          <t>Shively</t>
        </is>
      </c>
      <c r="V127" t="inlineStr">
        <is>
          <t>Connors</t>
        </is>
      </c>
      <c r="W127" t="inlineStr">
        <is>
          <t>Blue</t>
        </is>
      </c>
      <c r="X127" t="n">
        <v>19.3601769911504</v>
      </c>
      <c r="AA127" t="n">
        <v>2</v>
      </c>
      <c r="AB127" t="inlineStr">
        <is>
          <t>W</t>
        </is>
      </c>
      <c r="AC127" t="inlineStr">
        <is>
          <t>5&amp;4</t>
        </is>
      </c>
      <c r="AD127" t="inlineStr">
        <is>
          <t>Fogan</t>
        </is>
      </c>
      <c r="AE127">
        <f>$V127&amp;$Y127</f>
        <v/>
      </c>
      <c r="AF127" t="n">
        <v>2</v>
      </c>
      <c r="AG127" t="n">
        <v>1</v>
      </c>
      <c r="AH127" t="n">
        <v>0</v>
      </c>
      <c r="AI127" t="n">
        <v>0</v>
      </c>
      <c r="AJ127" t="n">
        <v>1</v>
      </c>
      <c r="AK127" t="inlineStr">
        <is>
          <t>Fogan</t>
        </is>
      </c>
      <c r="AL127" t="n">
        <v>0.372881355932203</v>
      </c>
    </row>
    <row r="128" ht="15" customHeight="1" s="2">
      <c r="B128" t="n">
        <v>22</v>
      </c>
      <c r="C128" t="n">
        <v>3</v>
      </c>
      <c r="D128" t="n">
        <v>3</v>
      </c>
      <c r="E128" t="inlineStr">
        <is>
          <t>FBC3-S-Flanders-Gray</t>
        </is>
      </c>
      <c r="F128" t="inlineStr">
        <is>
          <t>Sunday</t>
        </is>
      </c>
      <c r="G128" s="27" t="n">
        <v>42169</v>
      </c>
      <c r="H128" t="inlineStr">
        <is>
          <t>AM</t>
        </is>
      </c>
      <c r="I128" t="inlineStr">
        <is>
          <t>Sea Island, GA</t>
        </is>
      </c>
      <c r="J128" t="inlineStr">
        <is>
          <t>South</t>
        </is>
      </c>
      <c r="K128" t="n">
        <v>18</v>
      </c>
      <c r="L128" t="inlineStr">
        <is>
          <t>Full</t>
        </is>
      </c>
      <c r="M128" t="inlineStr">
        <is>
          <t>Plantation</t>
        </is>
      </c>
      <c r="N128" t="inlineStr">
        <is>
          <t>Green</t>
        </is>
      </c>
      <c r="O128" t="n">
        <v>71.3</v>
      </c>
      <c r="P128" t="n">
        <v>130</v>
      </c>
      <c r="Q128" t="n">
        <v>6326</v>
      </c>
      <c r="R128" t="inlineStr">
        <is>
          <t>Match Play</t>
        </is>
      </c>
      <c r="S128" t="inlineStr">
        <is>
          <t>Singles</t>
        </is>
      </c>
      <c r="T128" t="inlineStr">
        <is>
          <t>Under 6'</t>
        </is>
      </c>
      <c r="U128" t="inlineStr">
        <is>
          <t>Shively</t>
        </is>
      </c>
      <c r="V128" t="inlineStr">
        <is>
          <t>Flanders</t>
        </is>
      </c>
      <c r="W128" t="inlineStr">
        <is>
          <t>Blue</t>
        </is>
      </c>
      <c r="X128" t="n">
        <v>15.5345132743363</v>
      </c>
      <c r="AA128" t="n">
        <v>2</v>
      </c>
      <c r="AB128" t="inlineStr">
        <is>
          <t>L</t>
        </is>
      </c>
      <c r="AC128" t="inlineStr">
        <is>
          <t>5&amp;3</t>
        </is>
      </c>
      <c r="AD128" t="inlineStr">
        <is>
          <t>Gray</t>
        </is>
      </c>
      <c r="AE128">
        <f>$V128&amp;$Y128</f>
        <v/>
      </c>
      <c r="AF128" t="n">
        <v>0</v>
      </c>
      <c r="AG128" t="n">
        <v>0</v>
      </c>
      <c r="AH128" t="n">
        <v>1</v>
      </c>
      <c r="AI128" t="n">
        <v>0</v>
      </c>
      <c r="AJ128" t="n">
        <v>0</v>
      </c>
      <c r="AK128" t="inlineStr">
        <is>
          <t>Gray</t>
        </is>
      </c>
      <c r="AL128" t="n">
        <v>0.654761904761905</v>
      </c>
    </row>
    <row r="129" ht="15" customHeight="1" s="2">
      <c r="B129" t="n">
        <v>22</v>
      </c>
      <c r="C129" t="n">
        <v>4</v>
      </c>
      <c r="D129" t="n">
        <v>3</v>
      </c>
      <c r="E129" t="inlineStr">
        <is>
          <t>FBC3-S-Forster-Hilts</t>
        </is>
      </c>
      <c r="F129" t="inlineStr">
        <is>
          <t>Sunday</t>
        </is>
      </c>
      <c r="G129" s="27" t="n">
        <v>42169</v>
      </c>
      <c r="H129" t="inlineStr">
        <is>
          <t>AM</t>
        </is>
      </c>
      <c r="I129" t="inlineStr">
        <is>
          <t>Sea Island, GA</t>
        </is>
      </c>
      <c r="J129" t="inlineStr">
        <is>
          <t>South</t>
        </is>
      </c>
      <c r="K129" t="n">
        <v>18</v>
      </c>
      <c r="L129" t="inlineStr">
        <is>
          <t>Full</t>
        </is>
      </c>
      <c r="M129" t="inlineStr">
        <is>
          <t>Plantation</t>
        </is>
      </c>
      <c r="N129" t="inlineStr">
        <is>
          <t>Green</t>
        </is>
      </c>
      <c r="O129" t="n">
        <v>71.3</v>
      </c>
      <c r="P129" t="n">
        <v>130</v>
      </c>
      <c r="Q129" t="n">
        <v>6326</v>
      </c>
      <c r="R129" t="inlineStr">
        <is>
          <t>Match Play</t>
        </is>
      </c>
      <c r="S129" t="inlineStr">
        <is>
          <t>Singles</t>
        </is>
      </c>
      <c r="T129" t="inlineStr">
        <is>
          <t>Under 6'</t>
        </is>
      </c>
      <c r="U129" t="inlineStr">
        <is>
          <t>Shively</t>
        </is>
      </c>
      <c r="V129" t="inlineStr">
        <is>
          <t>Forster</t>
        </is>
      </c>
      <c r="W129" t="inlineStr">
        <is>
          <t>Blue</t>
        </is>
      </c>
      <c r="X129" t="n">
        <v>28.9823008849558</v>
      </c>
      <c r="AA129" t="n">
        <v>2</v>
      </c>
      <c r="AB129" t="inlineStr">
        <is>
          <t>W</t>
        </is>
      </c>
      <c r="AC129" t="inlineStr">
        <is>
          <t>3&amp;2</t>
        </is>
      </c>
      <c r="AD129" t="inlineStr">
        <is>
          <t>Hilts</t>
        </is>
      </c>
      <c r="AE129">
        <f>$V129&amp;$Y129</f>
        <v/>
      </c>
      <c r="AF129" t="n">
        <v>2</v>
      </c>
      <c r="AG129" t="n">
        <v>1</v>
      </c>
      <c r="AH129" t="n">
        <v>0</v>
      </c>
      <c r="AI129" t="n">
        <v>0</v>
      </c>
      <c r="AJ129" t="n">
        <v>1</v>
      </c>
      <c r="AK129" t="inlineStr">
        <is>
          <t>Hilts</t>
        </is>
      </c>
      <c r="AL129" t="n">
        <v>0.473214285714286</v>
      </c>
    </row>
    <row r="130" ht="15" customHeight="1" s="2">
      <c r="B130" t="n">
        <v>23</v>
      </c>
      <c r="C130" t="n">
        <v>5</v>
      </c>
      <c r="D130" t="n">
        <v>3</v>
      </c>
      <c r="E130" t="inlineStr">
        <is>
          <t>FBC3-S-Cole-Mangold</t>
        </is>
      </c>
      <c r="F130" t="inlineStr">
        <is>
          <t>Sunday</t>
        </is>
      </c>
      <c r="G130" s="27" t="n">
        <v>42169</v>
      </c>
      <c r="H130" t="inlineStr">
        <is>
          <t>AM</t>
        </is>
      </c>
      <c r="I130" t="inlineStr">
        <is>
          <t>Sea Island, GA</t>
        </is>
      </c>
      <c r="J130" t="inlineStr">
        <is>
          <t>South</t>
        </is>
      </c>
      <c r="K130" t="n">
        <v>18</v>
      </c>
      <c r="L130" t="inlineStr">
        <is>
          <t>Full</t>
        </is>
      </c>
      <c r="M130" t="inlineStr">
        <is>
          <t>Plantation</t>
        </is>
      </c>
      <c r="N130" t="inlineStr">
        <is>
          <t>Green</t>
        </is>
      </c>
      <c r="O130" t="n">
        <v>71.3</v>
      </c>
      <c r="P130" t="n">
        <v>130</v>
      </c>
      <c r="Q130" t="n">
        <v>6326</v>
      </c>
      <c r="R130" t="inlineStr">
        <is>
          <t>Match Play</t>
        </is>
      </c>
      <c r="S130" t="inlineStr">
        <is>
          <t>Singles</t>
        </is>
      </c>
      <c r="T130" t="inlineStr">
        <is>
          <t>Under 6'</t>
        </is>
      </c>
      <c r="U130" t="inlineStr">
        <is>
          <t>Shively</t>
        </is>
      </c>
      <c r="V130" t="inlineStr">
        <is>
          <t>Mangold</t>
        </is>
      </c>
      <c r="W130" t="inlineStr">
        <is>
          <t>Blue</t>
        </is>
      </c>
      <c r="X130" t="n">
        <v>19.012389380531</v>
      </c>
      <c r="AA130" t="n">
        <v>2</v>
      </c>
      <c r="AB130" t="inlineStr">
        <is>
          <t>T</t>
        </is>
      </c>
      <c r="AC130" t="inlineStr">
        <is>
          <t>Halved</t>
        </is>
      </c>
      <c r="AD130" t="inlineStr">
        <is>
          <t>Cole</t>
        </is>
      </c>
      <c r="AE130">
        <f>$V130&amp;$Y130</f>
        <v/>
      </c>
      <c r="AF130" t="n">
        <v>1</v>
      </c>
      <c r="AG130" t="n">
        <v>0</v>
      </c>
      <c r="AH130" t="n">
        <v>0</v>
      </c>
      <c r="AI130" t="n">
        <v>1</v>
      </c>
      <c r="AJ130" t="n">
        <v>0.5</v>
      </c>
      <c r="AK130" t="inlineStr">
        <is>
          <t>Cole</t>
        </is>
      </c>
      <c r="AL130" t="n">
        <v>0.440677966101695</v>
      </c>
    </row>
    <row r="131" ht="15" customHeight="1" s="2">
      <c r="B131" t="n">
        <v>23</v>
      </c>
      <c r="C131" t="n">
        <v>6</v>
      </c>
      <c r="D131" t="n">
        <v>3</v>
      </c>
      <c r="E131" t="inlineStr">
        <is>
          <t>FBC3-S-Jackson-McInerney</t>
        </is>
      </c>
      <c r="F131" t="inlineStr">
        <is>
          <t>Sunday</t>
        </is>
      </c>
      <c r="G131" s="27" t="n">
        <v>42169</v>
      </c>
      <c r="H131" t="inlineStr">
        <is>
          <t>AM</t>
        </is>
      </c>
      <c r="I131" t="inlineStr">
        <is>
          <t>Sea Island, GA</t>
        </is>
      </c>
      <c r="J131" t="inlineStr">
        <is>
          <t>South</t>
        </is>
      </c>
      <c r="K131" t="n">
        <v>18</v>
      </c>
      <c r="L131" t="inlineStr">
        <is>
          <t>Full</t>
        </is>
      </c>
      <c r="M131" t="inlineStr">
        <is>
          <t>Plantation</t>
        </is>
      </c>
      <c r="N131" t="inlineStr">
        <is>
          <t>Green</t>
        </is>
      </c>
      <c r="O131" t="n">
        <v>71.3</v>
      </c>
      <c r="P131" t="n">
        <v>130</v>
      </c>
      <c r="Q131" t="n">
        <v>6326</v>
      </c>
      <c r="R131" t="inlineStr">
        <is>
          <t>Match Play</t>
        </is>
      </c>
      <c r="S131" t="inlineStr">
        <is>
          <t>Singles</t>
        </is>
      </c>
      <c r="T131" t="inlineStr">
        <is>
          <t>Under 6'</t>
        </is>
      </c>
      <c r="U131" t="inlineStr">
        <is>
          <t>Shively</t>
        </is>
      </c>
      <c r="V131" t="inlineStr">
        <is>
          <t>Jackson</t>
        </is>
      </c>
      <c r="W131" t="inlineStr">
        <is>
          <t>Blue</t>
        </is>
      </c>
      <c r="X131" t="n">
        <v>14.2592920353982</v>
      </c>
      <c r="AA131" t="n">
        <v>2</v>
      </c>
      <c r="AB131" t="inlineStr">
        <is>
          <t>W</t>
        </is>
      </c>
      <c r="AC131" t="inlineStr">
        <is>
          <t>3&amp;2</t>
        </is>
      </c>
      <c r="AD131" t="inlineStr">
        <is>
          <t>McInerney</t>
        </is>
      </c>
      <c r="AE131">
        <f>$V131&amp;$Y131</f>
        <v/>
      </c>
      <c r="AF131" t="n">
        <v>2</v>
      </c>
      <c r="AG131" t="n">
        <v>1</v>
      </c>
      <c r="AH131" t="n">
        <v>0</v>
      </c>
      <c r="AI131" t="n">
        <v>0</v>
      </c>
      <c r="AJ131" t="n">
        <v>1</v>
      </c>
      <c r="AK131" t="inlineStr">
        <is>
          <t>McInerney</t>
        </is>
      </c>
      <c r="AL131" t="n">
        <v>0.5</v>
      </c>
    </row>
    <row r="132" ht="15" customHeight="1" s="2">
      <c r="B132" t="n">
        <v>24</v>
      </c>
      <c r="C132" t="n">
        <v>7</v>
      </c>
      <c r="D132" t="n">
        <v>3</v>
      </c>
      <c r="E132" t="inlineStr">
        <is>
          <t>FBC3-S-Buss-Zimmer</t>
        </is>
      </c>
      <c r="F132" t="inlineStr">
        <is>
          <t>Sunday</t>
        </is>
      </c>
      <c r="G132" s="27" t="n">
        <v>42169</v>
      </c>
      <c r="H132" t="inlineStr">
        <is>
          <t>AM</t>
        </is>
      </c>
      <c r="I132" t="inlineStr">
        <is>
          <t>Sea Island, GA</t>
        </is>
      </c>
      <c r="J132" t="inlineStr">
        <is>
          <t>South</t>
        </is>
      </c>
      <c r="K132" t="n">
        <v>18</v>
      </c>
      <c r="L132" t="inlineStr">
        <is>
          <t>Full</t>
        </is>
      </c>
      <c r="M132" t="inlineStr">
        <is>
          <t>Plantation</t>
        </is>
      </c>
      <c r="N132" t="inlineStr">
        <is>
          <t>Green</t>
        </is>
      </c>
      <c r="O132" t="n">
        <v>71.3</v>
      </c>
      <c r="P132" t="n">
        <v>130</v>
      </c>
      <c r="Q132" t="n">
        <v>6326</v>
      </c>
      <c r="R132" t="inlineStr">
        <is>
          <t>Match Play</t>
        </is>
      </c>
      <c r="S132" t="inlineStr">
        <is>
          <t>Singles</t>
        </is>
      </c>
      <c r="T132" t="inlineStr">
        <is>
          <t>Under 6'</t>
        </is>
      </c>
      <c r="U132" t="inlineStr">
        <is>
          <t>Shively</t>
        </is>
      </c>
      <c r="V132" t="inlineStr">
        <is>
          <t>Buss</t>
        </is>
      </c>
      <c r="W132" t="inlineStr">
        <is>
          <t>Blue</t>
        </is>
      </c>
      <c r="X132" t="n">
        <v>15.9982300884956</v>
      </c>
      <c r="AA132" t="n">
        <v>2</v>
      </c>
      <c r="AB132" t="inlineStr">
        <is>
          <t>L</t>
        </is>
      </c>
      <c r="AC132" t="inlineStr">
        <is>
          <t>1Up</t>
        </is>
      </c>
      <c r="AD132" t="inlineStr">
        <is>
          <t>Zimmer</t>
        </is>
      </c>
      <c r="AE132">
        <f>$V132&amp;$Y132</f>
        <v/>
      </c>
      <c r="AF132" t="n">
        <v>0</v>
      </c>
      <c r="AG132" t="n">
        <v>0</v>
      </c>
      <c r="AH132" t="n">
        <v>1</v>
      </c>
      <c r="AI132" t="n">
        <v>0</v>
      </c>
      <c r="AJ132" t="n">
        <v>0</v>
      </c>
      <c r="AK132" t="inlineStr">
        <is>
          <t>Zimmer</t>
        </is>
      </c>
      <c r="AL132" t="n">
        <v>0.5</v>
      </c>
    </row>
    <row r="133" ht="15" customHeight="1" s="2">
      <c r="B133" t="n">
        <v>24</v>
      </c>
      <c r="C133" t="n">
        <v>8</v>
      </c>
      <c r="D133" t="n">
        <v>3</v>
      </c>
      <c r="E133" t="inlineStr">
        <is>
          <t>FBC3-S-Connolly-Grise</t>
        </is>
      </c>
      <c r="F133" t="inlineStr">
        <is>
          <t>Sunday</t>
        </is>
      </c>
      <c r="G133" s="27" t="n">
        <v>42169</v>
      </c>
      <c r="H133" t="inlineStr">
        <is>
          <t>AM</t>
        </is>
      </c>
      <c r="I133" t="inlineStr">
        <is>
          <t>Sea Island, GA</t>
        </is>
      </c>
      <c r="J133" t="inlineStr">
        <is>
          <t>South</t>
        </is>
      </c>
      <c r="K133" t="n">
        <v>18</v>
      </c>
      <c r="L133" t="inlineStr">
        <is>
          <t>Full</t>
        </is>
      </c>
      <c r="M133" t="inlineStr">
        <is>
          <t>Plantation</t>
        </is>
      </c>
      <c r="N133" t="inlineStr">
        <is>
          <t>Green</t>
        </is>
      </c>
      <c r="O133" t="n">
        <v>71.3</v>
      </c>
      <c r="P133" t="n">
        <v>130</v>
      </c>
      <c r="Q133" t="n">
        <v>6326</v>
      </c>
      <c r="R133" t="inlineStr">
        <is>
          <t>Match Play</t>
        </is>
      </c>
      <c r="S133" t="inlineStr">
        <is>
          <t>Singles</t>
        </is>
      </c>
      <c r="T133" t="inlineStr">
        <is>
          <t>Under 6'</t>
        </is>
      </c>
      <c r="U133" t="inlineStr">
        <is>
          <t>Shively</t>
        </is>
      </c>
      <c r="V133" t="inlineStr">
        <is>
          <t>Grise</t>
        </is>
      </c>
      <c r="W133" t="inlineStr">
        <is>
          <t>Blue</t>
        </is>
      </c>
      <c r="X133" t="n">
        <v>17.041592920354</v>
      </c>
      <c r="AA133" t="n">
        <v>2</v>
      </c>
      <c r="AB133" t="inlineStr">
        <is>
          <t>L</t>
        </is>
      </c>
      <c r="AC133" t="inlineStr">
        <is>
          <t>2&amp;1</t>
        </is>
      </c>
      <c r="AD133" t="inlineStr">
        <is>
          <t>Connolly</t>
        </is>
      </c>
      <c r="AE133">
        <f>$V133&amp;$Y133</f>
        <v/>
      </c>
      <c r="AF133" t="n">
        <v>0</v>
      </c>
      <c r="AG133" t="n">
        <v>0</v>
      </c>
      <c r="AH133" t="n">
        <v>1</v>
      </c>
      <c r="AI133" t="n">
        <v>0</v>
      </c>
      <c r="AJ133" t="n">
        <v>0</v>
      </c>
      <c r="AK133" t="inlineStr">
        <is>
          <t>Connolly</t>
        </is>
      </c>
      <c r="AL133" t="n">
        <v>0.59375</v>
      </c>
    </row>
    <row r="134" ht="15" customHeight="1" s="2">
      <c r="B134" t="n">
        <v>25</v>
      </c>
      <c r="C134" t="n">
        <v>9</v>
      </c>
      <c r="D134" t="n">
        <v>3</v>
      </c>
      <c r="E134" t="inlineStr">
        <is>
          <t>FBC3-S-Ferrin-Weisberger</t>
        </is>
      </c>
      <c r="F134" t="inlineStr">
        <is>
          <t>Sunday</t>
        </is>
      </c>
      <c r="G134" s="27" t="n">
        <v>42169</v>
      </c>
      <c r="H134" t="inlineStr">
        <is>
          <t>AM</t>
        </is>
      </c>
      <c r="I134" t="inlineStr">
        <is>
          <t>Sea Island, GA</t>
        </is>
      </c>
      <c r="J134" t="inlineStr">
        <is>
          <t>South</t>
        </is>
      </c>
      <c r="K134" t="n">
        <v>18</v>
      </c>
      <c r="L134" t="inlineStr">
        <is>
          <t>Full</t>
        </is>
      </c>
      <c r="M134" t="inlineStr">
        <is>
          <t>Plantation</t>
        </is>
      </c>
      <c r="N134" t="inlineStr">
        <is>
          <t>Green</t>
        </is>
      </c>
      <c r="O134" t="n">
        <v>71.3</v>
      </c>
      <c r="P134" t="n">
        <v>130</v>
      </c>
      <c r="Q134" t="n">
        <v>6326</v>
      </c>
      <c r="R134" t="inlineStr">
        <is>
          <t>Match Play</t>
        </is>
      </c>
      <c r="S134" t="inlineStr">
        <is>
          <t>Singles</t>
        </is>
      </c>
      <c r="T134" t="inlineStr">
        <is>
          <t>Under 6'</t>
        </is>
      </c>
      <c r="U134" t="inlineStr">
        <is>
          <t>Shively</t>
        </is>
      </c>
      <c r="V134" t="inlineStr">
        <is>
          <t>Ferrin</t>
        </is>
      </c>
      <c r="W134" t="inlineStr">
        <is>
          <t>Blue</t>
        </is>
      </c>
      <c r="X134" t="n">
        <v>23.0699115044248</v>
      </c>
      <c r="AA134" t="n">
        <v>2</v>
      </c>
      <c r="AB134" t="inlineStr">
        <is>
          <t>W</t>
        </is>
      </c>
      <c r="AC134" t="inlineStr">
        <is>
          <t>4&amp;3</t>
        </is>
      </c>
      <c r="AD134" t="inlineStr">
        <is>
          <t>Weisberger</t>
        </is>
      </c>
      <c r="AE134">
        <f>$V134&amp;$Y134</f>
        <v/>
      </c>
      <c r="AF134" t="n">
        <v>2</v>
      </c>
      <c r="AG134" t="n">
        <v>1</v>
      </c>
      <c r="AH134" t="n">
        <v>0</v>
      </c>
      <c r="AI134" t="n">
        <v>0</v>
      </c>
      <c r="AJ134" t="n">
        <v>1</v>
      </c>
      <c r="AK134" t="inlineStr">
        <is>
          <t>Weisberger</t>
        </is>
      </c>
      <c r="AL134" t="n">
        <v>0.5</v>
      </c>
    </row>
    <row r="135" ht="15" customHeight="1" s="2">
      <c r="B135" t="n">
        <v>25</v>
      </c>
      <c r="C135" t="n">
        <v>10</v>
      </c>
      <c r="D135" t="n">
        <v>3</v>
      </c>
      <c r="E135" t="inlineStr">
        <is>
          <t>FBC3-S-Lynch-Shively</t>
        </is>
      </c>
      <c r="F135" t="inlineStr">
        <is>
          <t>Sunday</t>
        </is>
      </c>
      <c r="G135" s="27" t="n">
        <v>42169</v>
      </c>
      <c r="H135" t="inlineStr">
        <is>
          <t>AM</t>
        </is>
      </c>
      <c r="I135" t="inlineStr">
        <is>
          <t>Sea Island, GA</t>
        </is>
      </c>
      <c r="J135" t="inlineStr">
        <is>
          <t>South</t>
        </is>
      </c>
      <c r="K135" t="n">
        <v>18</v>
      </c>
      <c r="L135" t="inlineStr">
        <is>
          <t>Full</t>
        </is>
      </c>
      <c r="M135" t="inlineStr">
        <is>
          <t>Plantation</t>
        </is>
      </c>
      <c r="N135" t="inlineStr">
        <is>
          <t>Green</t>
        </is>
      </c>
      <c r="O135" t="n">
        <v>71.3</v>
      </c>
      <c r="P135" t="n">
        <v>130</v>
      </c>
      <c r="Q135" t="n">
        <v>6326</v>
      </c>
      <c r="R135" t="inlineStr">
        <is>
          <t>Match Play</t>
        </is>
      </c>
      <c r="S135" t="inlineStr">
        <is>
          <t>Singles</t>
        </is>
      </c>
      <c r="T135" t="inlineStr">
        <is>
          <t>Under 6'</t>
        </is>
      </c>
      <c r="U135" t="inlineStr">
        <is>
          <t>Shively</t>
        </is>
      </c>
      <c r="V135" t="inlineStr">
        <is>
          <t>Shively</t>
        </is>
      </c>
      <c r="W135" t="inlineStr">
        <is>
          <t>Blue</t>
        </is>
      </c>
      <c r="X135" t="n">
        <v>20.5194690265487</v>
      </c>
      <c r="AA135" t="n">
        <v>2</v>
      </c>
      <c r="AB135" t="inlineStr">
        <is>
          <t>L</t>
        </is>
      </c>
      <c r="AC135" t="inlineStr">
        <is>
          <t>1UP</t>
        </is>
      </c>
      <c r="AD135" t="inlineStr">
        <is>
          <t>Lynch</t>
        </is>
      </c>
      <c r="AE135">
        <f>$V135&amp;$Y135</f>
        <v/>
      </c>
      <c r="AF135" t="n">
        <v>0</v>
      </c>
      <c r="AG135" t="n">
        <v>0</v>
      </c>
      <c r="AH135" t="n">
        <v>1</v>
      </c>
      <c r="AI135" t="n">
        <v>0</v>
      </c>
      <c r="AJ135" t="n">
        <v>0</v>
      </c>
      <c r="AK135" t="inlineStr">
        <is>
          <t>Lynch</t>
        </is>
      </c>
      <c r="AL135" t="n">
        <v>0.5546875</v>
      </c>
    </row>
    <row r="136" ht="15" customHeight="1" s="2">
      <c r="B136" t="n">
        <v>26</v>
      </c>
      <c r="C136" t="n">
        <v>1</v>
      </c>
      <c r="D136" t="n">
        <v>3</v>
      </c>
      <c r="E136" t="inlineStr">
        <is>
          <t>FBC3-S-Hickerson-Norat</t>
        </is>
      </c>
      <c r="F136" t="inlineStr">
        <is>
          <t>Sunday</t>
        </is>
      </c>
      <c r="G136" s="27" t="n">
        <v>42169</v>
      </c>
      <c r="H136" t="inlineStr">
        <is>
          <t>AM</t>
        </is>
      </c>
      <c r="I136" t="inlineStr">
        <is>
          <t>Sea Island, GA</t>
        </is>
      </c>
      <c r="J136" t="inlineStr">
        <is>
          <t>South</t>
        </is>
      </c>
      <c r="K136" t="n">
        <v>18</v>
      </c>
      <c r="L136" t="inlineStr">
        <is>
          <t>Full</t>
        </is>
      </c>
      <c r="M136" t="inlineStr">
        <is>
          <t>Plantation</t>
        </is>
      </c>
      <c r="N136" t="inlineStr">
        <is>
          <t>Green</t>
        </is>
      </c>
      <c r="O136" t="n">
        <v>71.3</v>
      </c>
      <c r="P136" t="n">
        <v>130</v>
      </c>
      <c r="Q136" t="n">
        <v>6326</v>
      </c>
      <c r="R136" t="inlineStr">
        <is>
          <t>Match Play</t>
        </is>
      </c>
      <c r="S136" t="inlineStr">
        <is>
          <t>Singles</t>
        </is>
      </c>
      <c r="T136" t="inlineStr">
        <is>
          <t>Over 6'</t>
        </is>
      </c>
      <c r="U136" t="inlineStr">
        <is>
          <t>Lynch</t>
        </is>
      </c>
      <c r="V136" t="inlineStr">
        <is>
          <t>Hickerson</t>
        </is>
      </c>
      <c r="W136" t="inlineStr">
        <is>
          <t>White</t>
        </is>
      </c>
      <c r="X136" t="n">
        <v>21.7946902654867</v>
      </c>
      <c r="AA136" t="n">
        <v>2</v>
      </c>
      <c r="AB136" t="inlineStr">
        <is>
          <t>T</t>
        </is>
      </c>
      <c r="AC136" t="inlineStr">
        <is>
          <t>Halved</t>
        </is>
      </c>
      <c r="AD136" t="inlineStr">
        <is>
          <t>Norat</t>
        </is>
      </c>
      <c r="AE136">
        <f>$V136&amp;$Y136</f>
        <v/>
      </c>
      <c r="AF136" t="n">
        <v>1</v>
      </c>
      <c r="AG136" t="n">
        <v>0</v>
      </c>
      <c r="AH136" t="n">
        <v>0</v>
      </c>
      <c r="AI136" t="n">
        <v>1</v>
      </c>
      <c r="AJ136" t="n">
        <v>0.5</v>
      </c>
      <c r="AK136" t="inlineStr">
        <is>
          <t>Norat</t>
        </is>
      </c>
      <c r="AL136" t="n">
        <v>0.527777777777778</v>
      </c>
    </row>
    <row r="137" ht="15" customHeight="1" s="2">
      <c r="B137" t="n">
        <v>26</v>
      </c>
      <c r="C137" t="n">
        <v>2</v>
      </c>
      <c r="D137" t="n">
        <v>3</v>
      </c>
      <c r="E137" t="inlineStr">
        <is>
          <t>FBC3-S-Connors-Fogan</t>
        </is>
      </c>
      <c r="F137" t="inlineStr">
        <is>
          <t>Sunday</t>
        </is>
      </c>
      <c r="G137" s="27" t="n">
        <v>42169</v>
      </c>
      <c r="H137" t="inlineStr">
        <is>
          <t>AM</t>
        </is>
      </c>
      <c r="I137" t="inlineStr">
        <is>
          <t>Sea Island, GA</t>
        </is>
      </c>
      <c r="J137" t="inlineStr">
        <is>
          <t>South</t>
        </is>
      </c>
      <c r="K137" t="n">
        <v>18</v>
      </c>
      <c r="L137" t="inlineStr">
        <is>
          <t>Full</t>
        </is>
      </c>
      <c r="M137" t="inlineStr">
        <is>
          <t>Plantation</t>
        </is>
      </c>
      <c r="N137" t="inlineStr">
        <is>
          <t>Green</t>
        </is>
      </c>
      <c r="O137" t="n">
        <v>71.3</v>
      </c>
      <c r="P137" t="n">
        <v>130</v>
      </c>
      <c r="Q137" t="n">
        <v>6326</v>
      </c>
      <c r="R137" t="inlineStr">
        <is>
          <t>Match Play</t>
        </is>
      </c>
      <c r="S137" t="inlineStr">
        <is>
          <t>Singles</t>
        </is>
      </c>
      <c r="T137" t="inlineStr">
        <is>
          <t>Over 6'</t>
        </is>
      </c>
      <c r="U137" t="inlineStr">
        <is>
          <t>Lynch</t>
        </is>
      </c>
      <c r="V137" t="inlineStr">
        <is>
          <t>Fogan</t>
        </is>
      </c>
      <c r="W137" t="inlineStr">
        <is>
          <t>White</t>
        </is>
      </c>
      <c r="X137" t="n">
        <v>28.9823008849558</v>
      </c>
      <c r="AA137" t="n">
        <v>2</v>
      </c>
      <c r="AB137" t="inlineStr">
        <is>
          <t>L</t>
        </is>
      </c>
      <c r="AC137" t="inlineStr">
        <is>
          <t>5&amp;4</t>
        </is>
      </c>
      <c r="AD137" t="inlineStr">
        <is>
          <t>Connors</t>
        </is>
      </c>
      <c r="AE137">
        <f>$V137&amp;$Y137</f>
        <v/>
      </c>
      <c r="AF137" t="n">
        <v>0</v>
      </c>
      <c r="AG137" t="n">
        <v>0</v>
      </c>
      <c r="AH137" t="n">
        <v>1</v>
      </c>
      <c r="AI137" t="n">
        <v>0</v>
      </c>
      <c r="AJ137" t="n">
        <v>0</v>
      </c>
      <c r="AK137" t="inlineStr">
        <is>
          <t>Connors</t>
        </is>
      </c>
      <c r="AL137" t="n">
        <v>0.347457627118644</v>
      </c>
    </row>
    <row r="138" ht="15" customHeight="1" s="2">
      <c r="B138" t="n">
        <v>27</v>
      </c>
      <c r="C138" t="n">
        <v>3</v>
      </c>
      <c r="D138" t="n">
        <v>3</v>
      </c>
      <c r="E138" t="inlineStr">
        <is>
          <t>FBC3-S-Flanders-Gray</t>
        </is>
      </c>
      <c r="F138" t="inlineStr">
        <is>
          <t>Sunday</t>
        </is>
      </c>
      <c r="G138" s="27" t="n">
        <v>42169</v>
      </c>
      <c r="H138" t="inlineStr">
        <is>
          <t>AM</t>
        </is>
      </c>
      <c r="I138" t="inlineStr">
        <is>
          <t>Sea Island, GA</t>
        </is>
      </c>
      <c r="J138" t="inlineStr">
        <is>
          <t>South</t>
        </is>
      </c>
      <c r="K138" t="n">
        <v>18</v>
      </c>
      <c r="L138" t="inlineStr">
        <is>
          <t>Full</t>
        </is>
      </c>
      <c r="M138" t="inlineStr">
        <is>
          <t>Plantation</t>
        </is>
      </c>
      <c r="N138" t="inlineStr">
        <is>
          <t>Green</t>
        </is>
      </c>
      <c r="O138" t="n">
        <v>71.3</v>
      </c>
      <c r="P138" t="n">
        <v>130</v>
      </c>
      <c r="Q138" t="n">
        <v>6326</v>
      </c>
      <c r="R138" t="inlineStr">
        <is>
          <t>Match Play</t>
        </is>
      </c>
      <c r="S138" t="inlineStr">
        <is>
          <t>Singles</t>
        </is>
      </c>
      <c r="T138" t="inlineStr">
        <is>
          <t>Over 6'</t>
        </is>
      </c>
      <c r="U138" t="inlineStr">
        <is>
          <t>Lynch</t>
        </is>
      </c>
      <c r="V138" t="inlineStr">
        <is>
          <t>Gray</t>
        </is>
      </c>
      <c r="W138" t="inlineStr">
        <is>
          <t>White</t>
        </is>
      </c>
      <c r="X138" t="n">
        <v>12.7522123893805</v>
      </c>
      <c r="AA138" t="n">
        <v>2</v>
      </c>
      <c r="AB138" t="inlineStr">
        <is>
          <t>W</t>
        </is>
      </c>
      <c r="AC138" t="inlineStr">
        <is>
          <t>5&amp;3</t>
        </is>
      </c>
      <c r="AD138" t="inlineStr">
        <is>
          <t>Flanders</t>
        </is>
      </c>
      <c r="AE138">
        <f>$V138&amp;$Y138</f>
        <v/>
      </c>
      <c r="AF138" t="n">
        <v>2</v>
      </c>
      <c r="AG138" t="n">
        <v>1</v>
      </c>
      <c r="AH138" t="n">
        <v>0</v>
      </c>
      <c r="AI138" t="n">
        <v>0</v>
      </c>
      <c r="AJ138" t="n">
        <v>1</v>
      </c>
      <c r="AK138" t="inlineStr">
        <is>
          <t>Flanders</t>
        </is>
      </c>
      <c r="AL138" t="n">
        <v>0.4296875</v>
      </c>
    </row>
    <row r="139" ht="15" customHeight="1" s="2">
      <c r="B139" t="n">
        <v>27</v>
      </c>
      <c r="C139" t="n">
        <v>4</v>
      </c>
      <c r="D139" t="n">
        <v>3</v>
      </c>
      <c r="E139" t="inlineStr">
        <is>
          <t>FBC3-S-Forster-Hilts</t>
        </is>
      </c>
      <c r="F139" t="inlineStr">
        <is>
          <t>Sunday</t>
        </is>
      </c>
      <c r="G139" s="27" t="n">
        <v>42169</v>
      </c>
      <c r="H139" t="inlineStr">
        <is>
          <t>AM</t>
        </is>
      </c>
      <c r="I139" t="inlineStr">
        <is>
          <t>Sea Island, GA</t>
        </is>
      </c>
      <c r="J139" t="inlineStr">
        <is>
          <t>South</t>
        </is>
      </c>
      <c r="K139" t="n">
        <v>18</v>
      </c>
      <c r="L139" t="inlineStr">
        <is>
          <t>Full</t>
        </is>
      </c>
      <c r="M139" t="inlineStr">
        <is>
          <t>Plantation</t>
        </is>
      </c>
      <c r="N139" t="inlineStr">
        <is>
          <t>Green</t>
        </is>
      </c>
      <c r="O139" t="n">
        <v>71.3</v>
      </c>
      <c r="P139" t="n">
        <v>130</v>
      </c>
      <c r="Q139" t="n">
        <v>6326</v>
      </c>
      <c r="R139" t="inlineStr">
        <is>
          <t>Match Play</t>
        </is>
      </c>
      <c r="S139" t="inlineStr">
        <is>
          <t>Singles</t>
        </is>
      </c>
      <c r="T139" t="inlineStr">
        <is>
          <t>Over 6'</t>
        </is>
      </c>
      <c r="U139" t="inlineStr">
        <is>
          <t>Lynch</t>
        </is>
      </c>
      <c r="V139" t="inlineStr">
        <is>
          <t>Hilts</t>
        </is>
      </c>
      <c r="W139" t="inlineStr">
        <is>
          <t>White</t>
        </is>
      </c>
      <c r="X139" t="n">
        <v>20.7513274336283</v>
      </c>
      <c r="AA139" t="n">
        <v>2</v>
      </c>
      <c r="AB139" t="inlineStr">
        <is>
          <t>L</t>
        </is>
      </c>
      <c r="AC139" t="inlineStr">
        <is>
          <t>3&amp;2</t>
        </is>
      </c>
      <c r="AD139" t="inlineStr">
        <is>
          <t>Forster</t>
        </is>
      </c>
      <c r="AE139">
        <f>$V139&amp;$Y139</f>
        <v/>
      </c>
      <c r="AF139" t="n">
        <v>0</v>
      </c>
      <c r="AG139" t="n">
        <v>0</v>
      </c>
      <c r="AH139" t="n">
        <v>1</v>
      </c>
      <c r="AI139" t="n">
        <v>0</v>
      </c>
      <c r="AJ139" t="n">
        <v>0</v>
      </c>
      <c r="AK139" t="inlineStr">
        <is>
          <t>Forster</t>
        </is>
      </c>
      <c r="AL139" t="n">
        <v>0.596491228070175</v>
      </c>
    </row>
    <row r="140" ht="15" customHeight="1" s="2">
      <c r="B140" t="n">
        <v>28</v>
      </c>
      <c r="C140" t="n">
        <v>5</v>
      </c>
      <c r="D140" t="n">
        <v>3</v>
      </c>
      <c r="E140" t="inlineStr">
        <is>
          <t>FBC3-S-Cole-Mangold</t>
        </is>
      </c>
      <c r="F140" t="inlineStr">
        <is>
          <t>Sunday</t>
        </is>
      </c>
      <c r="G140" s="27" t="n">
        <v>42169</v>
      </c>
      <c r="H140" t="inlineStr">
        <is>
          <t>AM</t>
        </is>
      </c>
      <c r="I140" t="inlineStr">
        <is>
          <t>Sea Island, GA</t>
        </is>
      </c>
      <c r="J140" t="inlineStr">
        <is>
          <t>South</t>
        </is>
      </c>
      <c r="K140" t="n">
        <v>18</v>
      </c>
      <c r="L140" t="inlineStr">
        <is>
          <t>Full</t>
        </is>
      </c>
      <c r="M140" t="inlineStr">
        <is>
          <t>Plantation</t>
        </is>
      </c>
      <c r="N140" t="inlineStr">
        <is>
          <t>Green</t>
        </is>
      </c>
      <c r="O140" t="n">
        <v>71.3</v>
      </c>
      <c r="P140" t="n">
        <v>130</v>
      </c>
      <c r="Q140" t="n">
        <v>6326</v>
      </c>
      <c r="R140" t="inlineStr">
        <is>
          <t>Match Play</t>
        </is>
      </c>
      <c r="S140" t="inlineStr">
        <is>
          <t>Singles</t>
        </is>
      </c>
      <c r="T140" t="inlineStr">
        <is>
          <t>Over 6'</t>
        </is>
      </c>
      <c r="U140" t="inlineStr">
        <is>
          <t>Lynch</t>
        </is>
      </c>
      <c r="V140" t="inlineStr">
        <is>
          <t>Cole</t>
        </is>
      </c>
      <c r="W140" t="inlineStr">
        <is>
          <t>White</t>
        </is>
      </c>
      <c r="X140" t="n">
        <v>28.7504424778761</v>
      </c>
      <c r="AA140" t="n">
        <v>2</v>
      </c>
      <c r="AB140" t="inlineStr">
        <is>
          <t>T</t>
        </is>
      </c>
      <c r="AC140" t="inlineStr">
        <is>
          <t>Halved</t>
        </is>
      </c>
      <c r="AD140" t="inlineStr">
        <is>
          <t>Mangold</t>
        </is>
      </c>
      <c r="AE140">
        <f>$V140&amp;$Y140</f>
        <v/>
      </c>
      <c r="AF140" t="n">
        <v>1</v>
      </c>
      <c r="AG140" t="n">
        <v>0</v>
      </c>
      <c r="AH140" t="n">
        <v>0</v>
      </c>
      <c r="AI140" t="n">
        <v>1</v>
      </c>
      <c r="AJ140" t="n">
        <v>0.5</v>
      </c>
      <c r="AK140" t="inlineStr">
        <is>
          <t>Mangold</t>
        </is>
      </c>
      <c r="AL140" t="n">
        <v>0.383928571428572</v>
      </c>
    </row>
    <row r="141" ht="15" customHeight="1" s="2">
      <c r="B141" t="n">
        <v>28</v>
      </c>
      <c r="C141" t="n">
        <v>6</v>
      </c>
      <c r="D141" t="n">
        <v>3</v>
      </c>
      <c r="E141" t="inlineStr">
        <is>
          <t>FBC3-S-Jackson-McInerney</t>
        </is>
      </c>
      <c r="F141" t="inlineStr">
        <is>
          <t>Sunday</t>
        </is>
      </c>
      <c r="G141" s="27" t="n">
        <v>42169</v>
      </c>
      <c r="H141" t="inlineStr">
        <is>
          <t>AM</t>
        </is>
      </c>
      <c r="I141" t="inlineStr">
        <is>
          <t>Sea Island, GA</t>
        </is>
      </c>
      <c r="J141" t="inlineStr">
        <is>
          <t>South</t>
        </is>
      </c>
      <c r="K141" t="n">
        <v>18</v>
      </c>
      <c r="L141" t="inlineStr">
        <is>
          <t>Full</t>
        </is>
      </c>
      <c r="M141" t="inlineStr">
        <is>
          <t>Plantation</t>
        </is>
      </c>
      <c r="N141" t="inlineStr">
        <is>
          <t>Green</t>
        </is>
      </c>
      <c r="O141" t="n">
        <v>71.3</v>
      </c>
      <c r="P141" t="n">
        <v>130</v>
      </c>
      <c r="Q141" t="n">
        <v>6326</v>
      </c>
      <c r="R141" t="inlineStr">
        <is>
          <t>Match Play</t>
        </is>
      </c>
      <c r="S141" t="inlineStr">
        <is>
          <t>Singles</t>
        </is>
      </c>
      <c r="T141" t="inlineStr">
        <is>
          <t>Over 6'</t>
        </is>
      </c>
      <c r="U141" t="inlineStr">
        <is>
          <t>Lynch</t>
        </is>
      </c>
      <c r="V141" t="inlineStr">
        <is>
          <t>McInerney</t>
        </is>
      </c>
      <c r="W141" t="inlineStr">
        <is>
          <t>White</t>
        </is>
      </c>
      <c r="X141" t="n">
        <v>11.0132743362832</v>
      </c>
      <c r="AA141" t="n">
        <v>2</v>
      </c>
      <c r="AB141" t="inlineStr">
        <is>
          <t>L</t>
        </is>
      </c>
      <c r="AC141" t="inlineStr">
        <is>
          <t>3&amp;2</t>
        </is>
      </c>
      <c r="AD141" t="inlineStr">
        <is>
          <t>Jackson</t>
        </is>
      </c>
      <c r="AE141">
        <f>$V141&amp;$Y141</f>
        <v/>
      </c>
      <c r="AF141" t="n">
        <v>0</v>
      </c>
      <c r="AG141" t="n">
        <v>0</v>
      </c>
      <c r="AH141" t="n">
        <v>1</v>
      </c>
      <c r="AI141" t="n">
        <v>0</v>
      </c>
      <c r="AJ141" t="n">
        <v>0</v>
      </c>
      <c r="AK141" t="inlineStr">
        <is>
          <t>Jackson</t>
        </is>
      </c>
      <c r="AL141" t="n">
        <v>0.6171875</v>
      </c>
    </row>
    <row r="142" ht="15" customHeight="1" s="2">
      <c r="B142" t="n">
        <v>29</v>
      </c>
      <c r="C142" t="n">
        <v>7</v>
      </c>
      <c r="D142" t="n">
        <v>3</v>
      </c>
      <c r="E142" t="inlineStr">
        <is>
          <t>FBC3-S-Buss-Zimmer</t>
        </is>
      </c>
      <c r="F142" t="inlineStr">
        <is>
          <t>Sunday</t>
        </is>
      </c>
      <c r="G142" s="27" t="n">
        <v>42169</v>
      </c>
      <c r="H142" t="inlineStr">
        <is>
          <t>AM</t>
        </is>
      </c>
      <c r="I142" t="inlineStr">
        <is>
          <t>Sea Island, GA</t>
        </is>
      </c>
      <c r="J142" t="inlineStr">
        <is>
          <t>South</t>
        </is>
      </c>
      <c r="K142" t="n">
        <v>18</v>
      </c>
      <c r="L142" t="inlineStr">
        <is>
          <t>Full</t>
        </is>
      </c>
      <c r="M142" t="inlineStr">
        <is>
          <t>Plantation</t>
        </is>
      </c>
      <c r="N142" t="inlineStr">
        <is>
          <t>Green</t>
        </is>
      </c>
      <c r="O142" t="n">
        <v>71.3</v>
      </c>
      <c r="P142" t="n">
        <v>130</v>
      </c>
      <c r="Q142" t="n">
        <v>6326</v>
      </c>
      <c r="R142" t="inlineStr">
        <is>
          <t>Match Play</t>
        </is>
      </c>
      <c r="S142" t="inlineStr">
        <is>
          <t>Singles</t>
        </is>
      </c>
      <c r="T142" t="inlineStr">
        <is>
          <t>Over 6'</t>
        </is>
      </c>
      <c r="U142" t="inlineStr">
        <is>
          <t>Lynch</t>
        </is>
      </c>
      <c r="V142" t="inlineStr">
        <is>
          <t>Zimmer</t>
        </is>
      </c>
      <c r="W142" t="inlineStr">
        <is>
          <t>White</t>
        </is>
      </c>
      <c r="X142" t="n">
        <v>16.5778761061947</v>
      </c>
      <c r="AA142" t="n">
        <v>2</v>
      </c>
      <c r="AB142" t="inlineStr">
        <is>
          <t>W</t>
        </is>
      </c>
      <c r="AC142" t="inlineStr">
        <is>
          <t>1Up</t>
        </is>
      </c>
      <c r="AD142" t="inlineStr">
        <is>
          <t>Buss</t>
        </is>
      </c>
      <c r="AE142">
        <f>$V142&amp;$Y142</f>
        <v/>
      </c>
      <c r="AF142" t="n">
        <v>2</v>
      </c>
      <c r="AG142" t="n">
        <v>1</v>
      </c>
      <c r="AH142" t="n">
        <v>0</v>
      </c>
      <c r="AI142" t="n">
        <v>0</v>
      </c>
      <c r="AJ142" t="n">
        <v>1</v>
      </c>
      <c r="AK142" t="inlineStr">
        <is>
          <t>Buss</t>
        </is>
      </c>
      <c r="AL142" t="n">
        <v>0.448275862068966</v>
      </c>
    </row>
    <row r="143" ht="15" customHeight="1" s="2">
      <c r="B143" t="n">
        <v>29</v>
      </c>
      <c r="C143" t="n">
        <v>8</v>
      </c>
      <c r="D143" t="n">
        <v>3</v>
      </c>
      <c r="E143" t="inlineStr">
        <is>
          <t>FBC3-S-Connolly-Grise</t>
        </is>
      </c>
      <c r="F143" t="inlineStr">
        <is>
          <t>Sunday</t>
        </is>
      </c>
      <c r="G143" s="27" t="n">
        <v>42169</v>
      </c>
      <c r="H143" t="inlineStr">
        <is>
          <t>AM</t>
        </is>
      </c>
      <c r="I143" t="inlineStr">
        <is>
          <t>Sea Island, GA</t>
        </is>
      </c>
      <c r="J143" t="inlineStr">
        <is>
          <t>South</t>
        </is>
      </c>
      <c r="K143" t="n">
        <v>18</v>
      </c>
      <c r="L143" t="inlineStr">
        <is>
          <t>Full</t>
        </is>
      </c>
      <c r="M143" t="inlineStr">
        <is>
          <t>Plantation</t>
        </is>
      </c>
      <c r="N143" t="inlineStr">
        <is>
          <t>Green</t>
        </is>
      </c>
      <c r="O143" t="n">
        <v>71.3</v>
      </c>
      <c r="P143" t="n">
        <v>130</v>
      </c>
      <c r="Q143" t="n">
        <v>6326</v>
      </c>
      <c r="R143" t="inlineStr">
        <is>
          <t>Match Play</t>
        </is>
      </c>
      <c r="S143" t="inlineStr">
        <is>
          <t>Singles</t>
        </is>
      </c>
      <c r="T143" t="inlineStr">
        <is>
          <t>Over 6'</t>
        </is>
      </c>
      <c r="U143" t="inlineStr">
        <is>
          <t>Lynch</t>
        </is>
      </c>
      <c r="V143" t="inlineStr">
        <is>
          <t>Connolly</t>
        </is>
      </c>
      <c r="W143" t="inlineStr">
        <is>
          <t>White</t>
        </is>
      </c>
      <c r="X143" t="n">
        <v>10.5495575221239</v>
      </c>
      <c r="AA143" t="n">
        <v>2</v>
      </c>
      <c r="AB143" t="inlineStr">
        <is>
          <t>W</t>
        </is>
      </c>
      <c r="AC143" t="inlineStr">
        <is>
          <t>2&amp;1</t>
        </is>
      </c>
      <c r="AD143" t="inlineStr">
        <is>
          <t>Grise</t>
        </is>
      </c>
      <c r="AE143">
        <f>$V143&amp;$Y143</f>
        <v/>
      </c>
      <c r="AF143" t="n">
        <v>2</v>
      </c>
      <c r="AG143" t="n">
        <v>1</v>
      </c>
      <c r="AH143" t="n">
        <v>0</v>
      </c>
      <c r="AI143" t="n">
        <v>0</v>
      </c>
      <c r="AJ143" t="n">
        <v>1</v>
      </c>
      <c r="AK143" t="inlineStr">
        <is>
          <t>Grise</t>
        </is>
      </c>
      <c r="AL143" t="n">
        <v>0.546875</v>
      </c>
    </row>
    <row r="144" ht="15" customHeight="1" s="2">
      <c r="B144" t="n">
        <v>30</v>
      </c>
      <c r="C144" t="n">
        <v>9</v>
      </c>
      <c r="D144" t="n">
        <v>3</v>
      </c>
      <c r="E144" t="inlineStr">
        <is>
          <t>FBC3-S-Ferrin-Weisberger</t>
        </is>
      </c>
      <c r="F144" t="inlineStr">
        <is>
          <t>Sunday</t>
        </is>
      </c>
      <c r="G144" s="27" t="n">
        <v>42169</v>
      </c>
      <c r="H144" t="inlineStr">
        <is>
          <t>AM</t>
        </is>
      </c>
      <c r="I144" t="inlineStr">
        <is>
          <t>Sea Island, GA</t>
        </is>
      </c>
      <c r="J144" t="inlineStr">
        <is>
          <t>South</t>
        </is>
      </c>
      <c r="K144" t="n">
        <v>18</v>
      </c>
      <c r="L144" t="inlineStr">
        <is>
          <t>Full</t>
        </is>
      </c>
      <c r="M144" t="inlineStr">
        <is>
          <t>Plantation</t>
        </is>
      </c>
      <c r="N144" t="inlineStr">
        <is>
          <t>Green</t>
        </is>
      </c>
      <c r="O144" t="n">
        <v>71.3</v>
      </c>
      <c r="P144" t="n">
        <v>130</v>
      </c>
      <c r="Q144" t="n">
        <v>6326</v>
      </c>
      <c r="R144" t="inlineStr">
        <is>
          <t>Match Play</t>
        </is>
      </c>
      <c r="S144" t="inlineStr">
        <is>
          <t>Singles</t>
        </is>
      </c>
      <c r="T144" t="inlineStr">
        <is>
          <t>Over 6'</t>
        </is>
      </c>
      <c r="U144" t="inlineStr">
        <is>
          <t>Lynch</t>
        </is>
      </c>
      <c r="V144" t="inlineStr">
        <is>
          <t>Weisberger</t>
        </is>
      </c>
      <c r="W144" t="inlineStr">
        <is>
          <t>White</t>
        </is>
      </c>
      <c r="X144" t="n">
        <v>18.316814159292</v>
      </c>
      <c r="AA144" t="n">
        <v>2</v>
      </c>
      <c r="AB144" t="inlineStr">
        <is>
          <t>L</t>
        </is>
      </c>
      <c r="AC144" t="inlineStr">
        <is>
          <t>4&amp;3</t>
        </is>
      </c>
      <c r="AD144" t="inlineStr">
        <is>
          <t>Ferrin</t>
        </is>
      </c>
      <c r="AE144">
        <f>$V144&amp;$Y144</f>
        <v/>
      </c>
      <c r="AF144" t="n">
        <v>0</v>
      </c>
      <c r="AG144" t="n">
        <v>0</v>
      </c>
      <c r="AH144" t="n">
        <v>1</v>
      </c>
      <c r="AI144" t="n">
        <v>0</v>
      </c>
      <c r="AJ144" t="n">
        <v>0</v>
      </c>
      <c r="AK144" t="inlineStr">
        <is>
          <t>Ferrin</t>
        </is>
      </c>
      <c r="AL144" t="n">
        <v>0.595238095238095</v>
      </c>
    </row>
    <row r="145" ht="15" customHeight="1" s="2">
      <c r="B145" t="n">
        <v>30</v>
      </c>
      <c r="C145" t="n">
        <v>10</v>
      </c>
      <c r="D145" t="n">
        <v>3</v>
      </c>
      <c r="E145" t="inlineStr">
        <is>
          <t>FBC3-S-Lynch-Shively</t>
        </is>
      </c>
      <c r="F145" t="inlineStr">
        <is>
          <t>Sunday</t>
        </is>
      </c>
      <c r="G145" s="27" t="n">
        <v>42169</v>
      </c>
      <c r="H145" t="inlineStr">
        <is>
          <t>AM</t>
        </is>
      </c>
      <c r="I145" t="inlineStr">
        <is>
          <t>Sea Island, GA</t>
        </is>
      </c>
      <c r="J145" t="inlineStr">
        <is>
          <t>South</t>
        </is>
      </c>
      <c r="K145" t="n">
        <v>18</v>
      </c>
      <c r="L145" t="inlineStr">
        <is>
          <t>Full</t>
        </is>
      </c>
      <c r="M145" t="inlineStr">
        <is>
          <t>Plantation</t>
        </is>
      </c>
      <c r="N145" t="inlineStr">
        <is>
          <t>Green</t>
        </is>
      </c>
      <c r="O145" t="n">
        <v>71.3</v>
      </c>
      <c r="P145" t="n">
        <v>130</v>
      </c>
      <c r="Q145" t="n">
        <v>6326</v>
      </c>
      <c r="R145" t="inlineStr">
        <is>
          <t>Match Play</t>
        </is>
      </c>
      <c r="S145" t="inlineStr">
        <is>
          <t>Singles</t>
        </is>
      </c>
      <c r="T145" t="inlineStr">
        <is>
          <t>Over 6'</t>
        </is>
      </c>
      <c r="U145" t="inlineStr">
        <is>
          <t>Lynch</t>
        </is>
      </c>
      <c r="V145" t="inlineStr">
        <is>
          <t>Lynch</t>
        </is>
      </c>
      <c r="W145" t="inlineStr">
        <is>
          <t>White</t>
        </is>
      </c>
      <c r="X145" t="n">
        <v>18.5486725663717</v>
      </c>
      <c r="AA145" t="n">
        <v>2</v>
      </c>
      <c r="AB145" t="inlineStr">
        <is>
          <t>W</t>
        </is>
      </c>
      <c r="AC145" t="inlineStr">
        <is>
          <t>1UP</t>
        </is>
      </c>
      <c r="AD145" t="inlineStr">
        <is>
          <t>Shively</t>
        </is>
      </c>
      <c r="AE145">
        <f>$V145&amp;$Y145</f>
        <v/>
      </c>
      <c r="AF145" t="n">
        <v>2</v>
      </c>
      <c r="AG145" t="n">
        <v>1</v>
      </c>
      <c r="AH145" t="n">
        <v>0</v>
      </c>
      <c r="AI145" t="n">
        <v>0</v>
      </c>
      <c r="AJ145" t="n">
        <v>1</v>
      </c>
      <c r="AK145" t="inlineStr">
        <is>
          <t>Shively</t>
        </is>
      </c>
    </row>
    <row r="146" ht="15" customHeight="1" s="2">
      <c r="B146" t="n">
        <v>1</v>
      </c>
      <c r="C146" t="n">
        <v>1</v>
      </c>
      <c r="D146" t="n">
        <v>4</v>
      </c>
      <c r="E146" t="inlineStr">
        <is>
          <t>FBC4-D1</t>
        </is>
      </c>
      <c r="F146" t="inlineStr">
        <is>
          <t>Friday</t>
        </is>
      </c>
      <c r="G146" s="27" t="n">
        <v>42573</v>
      </c>
      <c r="H146" t="inlineStr">
        <is>
          <t>AM</t>
        </is>
      </c>
      <c r="I146" t="inlineStr">
        <is>
          <t>French Lick, IN</t>
        </is>
      </c>
      <c r="J146" t="inlineStr">
        <is>
          <t>Midwest</t>
        </is>
      </c>
      <c r="K146" t="n">
        <v>9</v>
      </c>
      <c r="L146" t="inlineStr">
        <is>
          <t>Front</t>
        </is>
      </c>
      <c r="M146" t="inlineStr">
        <is>
          <t>Dye</t>
        </is>
      </c>
      <c r="N146" t="inlineStr">
        <is>
          <t>White</t>
        </is>
      </c>
      <c r="O146" t="n">
        <v>70.59999999999999</v>
      </c>
      <c r="P146" t="n">
        <v>130</v>
      </c>
      <c r="Q146" t="n">
        <v>6111</v>
      </c>
      <c r="R146" t="inlineStr">
        <is>
          <t>Best Ball</t>
        </is>
      </c>
      <c r="S146" t="inlineStr">
        <is>
          <t>Doubles</t>
        </is>
      </c>
      <c r="T146" t="inlineStr">
        <is>
          <t>Under 6'</t>
        </is>
      </c>
      <c r="U146" t="inlineStr">
        <is>
          <t>Mangold</t>
        </is>
      </c>
      <c r="V146" t="inlineStr">
        <is>
          <t>Ferrin</t>
        </is>
      </c>
      <c r="W146" t="inlineStr">
        <is>
          <t>Green</t>
        </is>
      </c>
      <c r="Y146" t="inlineStr">
        <is>
          <t>Jackson</t>
        </is>
      </c>
      <c r="AA146" t="n">
        <v>1</v>
      </c>
      <c r="AB146" t="inlineStr">
        <is>
          <t>L</t>
        </is>
      </c>
      <c r="AC146" t="inlineStr">
        <is>
          <t>2&amp;1</t>
        </is>
      </c>
      <c r="AE146">
        <f>$V146&amp;$Y146</f>
        <v/>
      </c>
      <c r="AF146" t="n">
        <v>0</v>
      </c>
      <c r="AG146" t="n">
        <v>0</v>
      </c>
      <c r="AH146" t="n">
        <v>1</v>
      </c>
      <c r="AI146" t="n">
        <v>0</v>
      </c>
      <c r="AJ146" t="n">
        <v>0</v>
      </c>
      <c r="AK146" t="inlineStr">
        <is>
          <t>Grise</t>
        </is>
      </c>
      <c r="AL146" t="n">
        <v>0.546875</v>
      </c>
      <c r="AM146" t="inlineStr">
        <is>
          <t>Welker</t>
        </is>
      </c>
      <c r="AN146" t="n">
        <v>0.510416666666667</v>
      </c>
    </row>
    <row r="147" ht="15" customHeight="1" s="2">
      <c r="B147" t="n">
        <v>1</v>
      </c>
      <c r="C147" t="n">
        <v>1</v>
      </c>
      <c r="D147" t="n">
        <v>4</v>
      </c>
      <c r="E147" t="inlineStr">
        <is>
          <t>FBC4-D1</t>
        </is>
      </c>
      <c r="F147" t="inlineStr">
        <is>
          <t>Friday</t>
        </is>
      </c>
      <c r="G147" s="27" t="n">
        <v>42573</v>
      </c>
      <c r="H147" t="inlineStr">
        <is>
          <t>AM</t>
        </is>
      </c>
      <c r="I147" t="inlineStr">
        <is>
          <t>French Lick, IN</t>
        </is>
      </c>
      <c r="J147" t="inlineStr">
        <is>
          <t>Midwest</t>
        </is>
      </c>
      <c r="K147" t="n">
        <v>9</v>
      </c>
      <c r="L147" t="inlineStr">
        <is>
          <t>Front</t>
        </is>
      </c>
      <c r="M147" t="inlineStr">
        <is>
          <t>Dye</t>
        </is>
      </c>
      <c r="N147" t="inlineStr">
        <is>
          <t>White</t>
        </is>
      </c>
      <c r="O147" t="n">
        <v>70.59999999999999</v>
      </c>
      <c r="P147" t="n">
        <v>130</v>
      </c>
      <c r="Q147" t="n">
        <v>6111</v>
      </c>
      <c r="R147" t="inlineStr">
        <is>
          <t>Best Ball</t>
        </is>
      </c>
      <c r="S147" t="inlineStr">
        <is>
          <t>Doubles</t>
        </is>
      </c>
      <c r="T147" t="inlineStr">
        <is>
          <t>Over 6'</t>
        </is>
      </c>
      <c r="U147" t="inlineStr">
        <is>
          <t>Grise</t>
        </is>
      </c>
      <c r="V147" t="inlineStr">
        <is>
          <t>Grise</t>
        </is>
      </c>
      <c r="W147" t="inlineStr">
        <is>
          <t>Blue</t>
        </is>
      </c>
      <c r="Y147" t="inlineStr">
        <is>
          <t>Welker</t>
        </is>
      </c>
      <c r="AA147" t="n">
        <v>1</v>
      </c>
      <c r="AB147" t="inlineStr">
        <is>
          <t>W</t>
        </is>
      </c>
      <c r="AC147" t="inlineStr">
        <is>
          <t>2&amp;1</t>
        </is>
      </c>
      <c r="AE147">
        <f>$V147&amp;$Y147</f>
        <v/>
      </c>
      <c r="AF147" t="n">
        <v>1</v>
      </c>
      <c r="AG147" t="n">
        <v>1</v>
      </c>
      <c r="AH147" t="n">
        <v>0</v>
      </c>
      <c r="AI147" t="n">
        <v>0</v>
      </c>
      <c r="AJ147" t="n">
        <v>1</v>
      </c>
      <c r="AK147" t="inlineStr">
        <is>
          <t>Ferrin</t>
        </is>
      </c>
      <c r="AL147" t="n">
        <v>0.595238095238095</v>
      </c>
      <c r="AM147" t="inlineStr">
        <is>
          <t>Jackson</t>
        </is>
      </c>
      <c r="AN147" t="n">
        <v>0.6171875</v>
      </c>
    </row>
    <row r="148" ht="15" customHeight="1" s="2">
      <c r="B148" t="n">
        <v>2</v>
      </c>
      <c r="C148" t="n">
        <v>2</v>
      </c>
      <c r="D148" t="n">
        <v>4</v>
      </c>
      <c r="E148" t="inlineStr">
        <is>
          <t>FBC4-D2</t>
        </is>
      </c>
      <c r="F148" t="inlineStr">
        <is>
          <t>Friday</t>
        </is>
      </c>
      <c r="G148" s="27" t="n">
        <v>42573</v>
      </c>
      <c r="H148" t="inlineStr">
        <is>
          <t>AM</t>
        </is>
      </c>
      <c r="I148" t="inlineStr">
        <is>
          <t>French Lick, IN</t>
        </is>
      </c>
      <c r="J148" t="inlineStr">
        <is>
          <t>Midwest</t>
        </is>
      </c>
      <c r="K148" t="n">
        <v>9</v>
      </c>
      <c r="L148" t="inlineStr">
        <is>
          <t>Front</t>
        </is>
      </c>
      <c r="M148" t="inlineStr">
        <is>
          <t>Dye</t>
        </is>
      </c>
      <c r="N148" t="inlineStr">
        <is>
          <t>White</t>
        </is>
      </c>
      <c r="O148" t="n">
        <v>70.59999999999999</v>
      </c>
      <c r="P148" t="n">
        <v>130</v>
      </c>
      <c r="Q148" t="n">
        <v>6111</v>
      </c>
      <c r="R148" t="inlineStr">
        <is>
          <t>Best Ball</t>
        </is>
      </c>
      <c r="S148" t="inlineStr">
        <is>
          <t>Doubles</t>
        </is>
      </c>
      <c r="T148" t="inlineStr">
        <is>
          <t>Over 6'</t>
        </is>
      </c>
      <c r="U148" t="inlineStr">
        <is>
          <t>Grise</t>
        </is>
      </c>
      <c r="V148" t="inlineStr">
        <is>
          <t>Buss</t>
        </is>
      </c>
      <c r="W148" t="inlineStr">
        <is>
          <t>Blue</t>
        </is>
      </c>
      <c r="Y148" t="inlineStr">
        <is>
          <t>Shively</t>
        </is>
      </c>
      <c r="AA148" t="n">
        <v>1</v>
      </c>
      <c r="AB148" t="inlineStr">
        <is>
          <t>W</t>
        </is>
      </c>
      <c r="AC148" t="inlineStr">
        <is>
          <t>1UP</t>
        </is>
      </c>
      <c r="AE148">
        <f>$V148&amp;$Y148</f>
        <v/>
      </c>
      <c r="AF148" t="n">
        <v>1</v>
      </c>
      <c r="AG148" t="n">
        <v>1</v>
      </c>
      <c r="AH148" t="n">
        <v>0</v>
      </c>
      <c r="AI148" t="n">
        <v>0</v>
      </c>
      <c r="AJ148" t="n">
        <v>1</v>
      </c>
      <c r="AK148" t="inlineStr">
        <is>
          <t>Mangold</t>
        </is>
      </c>
      <c r="AL148" t="n">
        <v>0.383928571428572</v>
      </c>
      <c r="AM148" t="inlineStr">
        <is>
          <t>Weisberger</t>
        </is>
      </c>
      <c r="AN148" t="n">
        <v>0.5</v>
      </c>
    </row>
    <row r="149" ht="15" customHeight="1" s="2">
      <c r="B149" t="n">
        <v>2</v>
      </c>
      <c r="C149" t="n">
        <v>2</v>
      </c>
      <c r="D149" t="n">
        <v>4</v>
      </c>
      <c r="E149" t="inlineStr">
        <is>
          <t>FBC4-D2</t>
        </is>
      </c>
      <c r="F149" t="inlineStr">
        <is>
          <t>Friday</t>
        </is>
      </c>
      <c r="G149" s="27" t="n">
        <v>42573</v>
      </c>
      <c r="H149" t="inlineStr">
        <is>
          <t>AM</t>
        </is>
      </c>
      <c r="I149" t="inlineStr">
        <is>
          <t>French Lick, IN</t>
        </is>
      </c>
      <c r="J149" t="inlineStr">
        <is>
          <t>Midwest</t>
        </is>
      </c>
      <c r="K149" t="n">
        <v>9</v>
      </c>
      <c r="L149" t="inlineStr">
        <is>
          <t>Front</t>
        </is>
      </c>
      <c r="M149" t="inlineStr">
        <is>
          <t>Dye</t>
        </is>
      </c>
      <c r="N149" t="inlineStr">
        <is>
          <t>White</t>
        </is>
      </c>
      <c r="O149" t="n">
        <v>70.59999999999999</v>
      </c>
      <c r="P149" t="n">
        <v>130</v>
      </c>
      <c r="Q149" t="n">
        <v>6111</v>
      </c>
      <c r="R149" t="inlineStr">
        <is>
          <t>Best Ball</t>
        </is>
      </c>
      <c r="S149" t="inlineStr">
        <is>
          <t>Doubles</t>
        </is>
      </c>
      <c r="T149" t="inlineStr">
        <is>
          <t>Under 6'</t>
        </is>
      </c>
      <c r="U149" t="inlineStr">
        <is>
          <t>Mangold</t>
        </is>
      </c>
      <c r="V149" t="inlineStr">
        <is>
          <t>Mangold</t>
        </is>
      </c>
      <c r="W149" t="inlineStr">
        <is>
          <t>Green</t>
        </is>
      </c>
      <c r="Y149" t="inlineStr">
        <is>
          <t>Weisberger</t>
        </is>
      </c>
      <c r="AA149" t="n">
        <v>1</v>
      </c>
      <c r="AB149" t="inlineStr">
        <is>
          <t>L</t>
        </is>
      </c>
      <c r="AC149" t="inlineStr">
        <is>
          <t>1UP</t>
        </is>
      </c>
      <c r="AE149">
        <f>$V149&amp;$Y149</f>
        <v/>
      </c>
      <c r="AF149" t="n">
        <v>0</v>
      </c>
      <c r="AG149" t="n">
        <v>0</v>
      </c>
      <c r="AH149" t="n">
        <v>1</v>
      </c>
      <c r="AI149" t="n">
        <v>0</v>
      </c>
      <c r="AJ149" t="n">
        <v>0</v>
      </c>
      <c r="AK149" t="inlineStr">
        <is>
          <t>Buss</t>
        </is>
      </c>
      <c r="AL149" t="n">
        <v>0.448275862068966</v>
      </c>
      <c r="AM149" t="inlineStr">
        <is>
          <t>Shively</t>
        </is>
      </c>
    </row>
    <row r="150" ht="15" customHeight="1" s="2">
      <c r="B150" t="n">
        <v>3</v>
      </c>
      <c r="C150" t="n">
        <v>3</v>
      </c>
      <c r="D150" t="n">
        <v>4</v>
      </c>
      <c r="E150" t="inlineStr">
        <is>
          <t>FBC4-D3</t>
        </is>
      </c>
      <c r="F150" t="inlineStr">
        <is>
          <t>Friday</t>
        </is>
      </c>
      <c r="G150" s="27" t="n">
        <v>42573</v>
      </c>
      <c r="H150" t="inlineStr">
        <is>
          <t>AM</t>
        </is>
      </c>
      <c r="I150" t="inlineStr">
        <is>
          <t>French Lick, IN</t>
        </is>
      </c>
      <c r="J150" t="inlineStr">
        <is>
          <t>Midwest</t>
        </is>
      </c>
      <c r="K150" t="n">
        <v>9</v>
      </c>
      <c r="L150" t="inlineStr">
        <is>
          <t>Front</t>
        </is>
      </c>
      <c r="M150" t="inlineStr">
        <is>
          <t>Dye</t>
        </is>
      </c>
      <c r="N150" t="inlineStr">
        <is>
          <t>White</t>
        </is>
      </c>
      <c r="O150" t="n">
        <v>70.59999999999999</v>
      </c>
      <c r="P150" t="n">
        <v>130</v>
      </c>
      <c r="Q150" t="n">
        <v>6111</v>
      </c>
      <c r="R150" t="inlineStr">
        <is>
          <t>Best Ball</t>
        </is>
      </c>
      <c r="S150" t="inlineStr">
        <is>
          <t>Doubles</t>
        </is>
      </c>
      <c r="T150" t="inlineStr">
        <is>
          <t>Under 6'</t>
        </is>
      </c>
      <c r="U150" t="inlineStr">
        <is>
          <t>Mangold</t>
        </is>
      </c>
      <c r="V150" t="inlineStr">
        <is>
          <t>Flanders</t>
        </is>
      </c>
      <c r="W150" t="inlineStr">
        <is>
          <t>Green</t>
        </is>
      </c>
      <c r="Y150" t="inlineStr">
        <is>
          <t>Forster</t>
        </is>
      </c>
      <c r="AA150" t="n">
        <v>1</v>
      </c>
      <c r="AB150" t="inlineStr">
        <is>
          <t>W</t>
        </is>
      </c>
      <c r="AC150" t="inlineStr">
        <is>
          <t>3&amp;2</t>
        </is>
      </c>
      <c r="AE150">
        <f>$V150&amp;$Y150</f>
        <v/>
      </c>
      <c r="AF150" t="n">
        <v>1</v>
      </c>
      <c r="AG150" t="n">
        <v>1</v>
      </c>
      <c r="AH150" t="n">
        <v>0</v>
      </c>
      <c r="AI150" t="n">
        <v>0</v>
      </c>
      <c r="AJ150" t="n">
        <v>1</v>
      </c>
      <c r="AK150" t="inlineStr">
        <is>
          <t>Hickerson</t>
        </is>
      </c>
      <c r="AL150" t="n">
        <v>0.357142857142857</v>
      </c>
      <c r="AM150" t="inlineStr">
        <is>
          <t>McInerney</t>
        </is>
      </c>
      <c r="AN150" t="n">
        <v>0.5</v>
      </c>
    </row>
    <row r="151" ht="15" customHeight="1" s="2">
      <c r="B151" t="n">
        <v>3</v>
      </c>
      <c r="C151" t="n">
        <v>3</v>
      </c>
      <c r="D151" t="n">
        <v>4</v>
      </c>
      <c r="E151" t="inlineStr">
        <is>
          <t>FBC4-D3</t>
        </is>
      </c>
      <c r="F151" t="inlineStr">
        <is>
          <t>Friday</t>
        </is>
      </c>
      <c r="G151" s="27" t="n">
        <v>42573</v>
      </c>
      <c r="H151" t="inlineStr">
        <is>
          <t>AM</t>
        </is>
      </c>
      <c r="I151" t="inlineStr">
        <is>
          <t>French Lick, IN</t>
        </is>
      </c>
      <c r="J151" t="inlineStr">
        <is>
          <t>Midwest</t>
        </is>
      </c>
      <c r="K151" t="n">
        <v>9</v>
      </c>
      <c r="L151" t="inlineStr">
        <is>
          <t>Front</t>
        </is>
      </c>
      <c r="M151" t="inlineStr">
        <is>
          <t>Dye</t>
        </is>
      </c>
      <c r="N151" t="inlineStr">
        <is>
          <t>White</t>
        </is>
      </c>
      <c r="O151" t="n">
        <v>70.59999999999999</v>
      </c>
      <c r="P151" t="n">
        <v>130</v>
      </c>
      <c r="Q151" t="n">
        <v>6111</v>
      </c>
      <c r="R151" t="inlineStr">
        <is>
          <t>Best Ball</t>
        </is>
      </c>
      <c r="S151" t="inlineStr">
        <is>
          <t>Doubles</t>
        </is>
      </c>
      <c r="T151" t="inlineStr">
        <is>
          <t>Over 6'</t>
        </is>
      </c>
      <c r="U151" t="inlineStr">
        <is>
          <t>Grise</t>
        </is>
      </c>
      <c r="V151" t="inlineStr">
        <is>
          <t>Hickerson</t>
        </is>
      </c>
      <c r="W151" t="inlineStr">
        <is>
          <t>Blue</t>
        </is>
      </c>
      <c r="Y151" t="inlineStr">
        <is>
          <t>McInerney</t>
        </is>
      </c>
      <c r="AA151" t="n">
        <v>1</v>
      </c>
      <c r="AB151" t="inlineStr">
        <is>
          <t>L</t>
        </is>
      </c>
      <c r="AC151" t="inlineStr">
        <is>
          <t>3&amp;2</t>
        </is>
      </c>
      <c r="AE151">
        <f>$V151&amp;$Y151</f>
        <v/>
      </c>
      <c r="AF151" t="n">
        <v>0</v>
      </c>
      <c r="AG151" t="n">
        <v>0</v>
      </c>
      <c r="AH151" t="n">
        <v>1</v>
      </c>
      <c r="AI151" t="n">
        <v>0</v>
      </c>
      <c r="AJ151" t="n">
        <v>0</v>
      </c>
      <c r="AK151" t="inlineStr">
        <is>
          <t>Flanders</t>
        </is>
      </c>
      <c r="AL151" t="n">
        <v>0.4296875</v>
      </c>
      <c r="AM151" t="inlineStr">
        <is>
          <t>Forster</t>
        </is>
      </c>
      <c r="AN151" t="n">
        <v>0.596491228070175</v>
      </c>
    </row>
    <row r="152" ht="15" customHeight="1" s="2">
      <c r="B152" t="n">
        <v>4</v>
      </c>
      <c r="C152" t="n">
        <v>4</v>
      </c>
      <c r="D152" t="n">
        <v>4</v>
      </c>
      <c r="E152" t="inlineStr">
        <is>
          <t>FBC4-D4</t>
        </is>
      </c>
      <c r="F152" t="inlineStr">
        <is>
          <t>Friday</t>
        </is>
      </c>
      <c r="G152" s="27" t="n">
        <v>42573</v>
      </c>
      <c r="H152" t="inlineStr">
        <is>
          <t>AM</t>
        </is>
      </c>
      <c r="I152" t="inlineStr">
        <is>
          <t>French Lick, IN</t>
        </is>
      </c>
      <c r="J152" t="inlineStr">
        <is>
          <t>Midwest</t>
        </is>
      </c>
      <c r="K152" t="n">
        <v>9</v>
      </c>
      <c r="L152" t="inlineStr">
        <is>
          <t>Front</t>
        </is>
      </c>
      <c r="M152" t="inlineStr">
        <is>
          <t>Dye</t>
        </is>
      </c>
      <c r="N152" t="inlineStr">
        <is>
          <t>White</t>
        </is>
      </c>
      <c r="O152" t="n">
        <v>70.59999999999999</v>
      </c>
      <c r="P152" t="n">
        <v>130</v>
      </c>
      <c r="Q152" t="n">
        <v>6111</v>
      </c>
      <c r="R152" t="inlineStr">
        <is>
          <t>Best Ball</t>
        </is>
      </c>
      <c r="S152" t="inlineStr">
        <is>
          <t>Doubles</t>
        </is>
      </c>
      <c r="T152" t="inlineStr">
        <is>
          <t>Over 6'</t>
        </is>
      </c>
      <c r="U152" t="inlineStr">
        <is>
          <t>Grise</t>
        </is>
      </c>
      <c r="V152" t="inlineStr">
        <is>
          <t>Connolly</t>
        </is>
      </c>
      <c r="W152" t="inlineStr">
        <is>
          <t>Blue</t>
        </is>
      </c>
      <c r="Y152" t="inlineStr">
        <is>
          <t>Zimmer</t>
        </is>
      </c>
      <c r="AA152" t="n">
        <v>1</v>
      </c>
      <c r="AB152" t="inlineStr">
        <is>
          <t>W</t>
        </is>
      </c>
      <c r="AC152" t="inlineStr">
        <is>
          <t>4&amp;2</t>
        </is>
      </c>
      <c r="AE152">
        <f>$V152&amp;$Y152</f>
        <v/>
      </c>
      <c r="AF152" t="n">
        <v>1</v>
      </c>
      <c r="AG152" t="n">
        <v>1</v>
      </c>
      <c r="AH152" t="n">
        <v>0</v>
      </c>
      <c r="AI152" t="n">
        <v>0</v>
      </c>
      <c r="AJ152" t="n">
        <v>1</v>
      </c>
      <c r="AK152" t="inlineStr">
        <is>
          <t>Cole</t>
        </is>
      </c>
      <c r="AL152" t="n">
        <v>0.440677966101695</v>
      </c>
      <c r="AM152" t="inlineStr">
        <is>
          <t>Connors</t>
        </is>
      </c>
      <c r="AN152" t="n">
        <v>0.347457627118644</v>
      </c>
    </row>
    <row r="153" ht="15" customHeight="1" s="2">
      <c r="B153" t="n">
        <v>4</v>
      </c>
      <c r="C153" t="n">
        <v>4</v>
      </c>
      <c r="D153" t="n">
        <v>4</v>
      </c>
      <c r="E153" t="inlineStr">
        <is>
          <t>FBC4-D4</t>
        </is>
      </c>
      <c r="F153" t="inlineStr">
        <is>
          <t>Friday</t>
        </is>
      </c>
      <c r="G153" s="27" t="n">
        <v>42573</v>
      </c>
      <c r="H153" t="inlineStr">
        <is>
          <t>AM</t>
        </is>
      </c>
      <c r="I153" t="inlineStr">
        <is>
          <t>French Lick, IN</t>
        </is>
      </c>
      <c r="J153" t="inlineStr">
        <is>
          <t>Midwest</t>
        </is>
      </c>
      <c r="K153" t="n">
        <v>9</v>
      </c>
      <c r="L153" t="inlineStr">
        <is>
          <t>Front</t>
        </is>
      </c>
      <c r="M153" t="inlineStr">
        <is>
          <t>Dye</t>
        </is>
      </c>
      <c r="N153" t="inlineStr">
        <is>
          <t>White</t>
        </is>
      </c>
      <c r="O153" t="n">
        <v>70.59999999999999</v>
      </c>
      <c r="P153" t="n">
        <v>130</v>
      </c>
      <c r="Q153" t="n">
        <v>6111</v>
      </c>
      <c r="R153" t="inlineStr">
        <is>
          <t>Best Ball</t>
        </is>
      </c>
      <c r="S153" t="inlineStr">
        <is>
          <t>Doubles</t>
        </is>
      </c>
      <c r="T153" t="inlineStr">
        <is>
          <t>Under 6'</t>
        </is>
      </c>
      <c r="U153" t="inlineStr">
        <is>
          <t>Mangold</t>
        </is>
      </c>
      <c r="V153" t="inlineStr">
        <is>
          <t>Cole</t>
        </is>
      </c>
      <c r="W153" t="inlineStr">
        <is>
          <t>Green</t>
        </is>
      </c>
      <c r="Y153" t="inlineStr">
        <is>
          <t>Connors</t>
        </is>
      </c>
      <c r="AA153" t="n">
        <v>1</v>
      </c>
      <c r="AB153" t="inlineStr">
        <is>
          <t>L</t>
        </is>
      </c>
      <c r="AC153" t="inlineStr">
        <is>
          <t>4&amp;2</t>
        </is>
      </c>
      <c r="AE153">
        <f>$V153&amp;$Y153</f>
        <v/>
      </c>
      <c r="AF153" t="n">
        <v>0</v>
      </c>
      <c r="AG153" t="n">
        <v>0</v>
      </c>
      <c r="AH153" t="n">
        <v>1</v>
      </c>
      <c r="AI153" t="n">
        <v>0</v>
      </c>
      <c r="AJ153" t="n">
        <v>0</v>
      </c>
      <c r="AK153" t="inlineStr">
        <is>
          <t>Connolly</t>
        </is>
      </c>
      <c r="AL153" t="n">
        <v>0.59375</v>
      </c>
      <c r="AM153" t="inlineStr">
        <is>
          <t>Zimmer</t>
        </is>
      </c>
      <c r="AN153" t="n">
        <v>0.5</v>
      </c>
    </row>
    <row r="154" ht="15" customHeight="1" s="2">
      <c r="B154" t="n">
        <v>5</v>
      </c>
      <c r="C154" t="n">
        <v>5</v>
      </c>
      <c r="D154" t="n">
        <v>4</v>
      </c>
      <c r="E154" t="inlineStr">
        <is>
          <t>FBC4-D5</t>
        </is>
      </c>
      <c r="F154" t="inlineStr">
        <is>
          <t>Friday</t>
        </is>
      </c>
      <c r="G154" s="27" t="n">
        <v>42573</v>
      </c>
      <c r="H154" t="inlineStr">
        <is>
          <t>AM</t>
        </is>
      </c>
      <c r="I154" t="inlineStr">
        <is>
          <t>French Lick, IN</t>
        </is>
      </c>
      <c r="J154" t="inlineStr">
        <is>
          <t>Midwest</t>
        </is>
      </c>
      <c r="K154" t="n">
        <v>9</v>
      </c>
      <c r="L154" t="inlineStr">
        <is>
          <t>Front</t>
        </is>
      </c>
      <c r="M154" t="inlineStr">
        <is>
          <t>Dye</t>
        </is>
      </c>
      <c r="N154" t="inlineStr">
        <is>
          <t>White</t>
        </is>
      </c>
      <c r="O154" t="n">
        <v>70.59999999999999</v>
      </c>
      <c r="P154" t="n">
        <v>130</v>
      </c>
      <c r="Q154" t="n">
        <v>6111</v>
      </c>
      <c r="R154" t="inlineStr">
        <is>
          <t>Best Ball</t>
        </is>
      </c>
      <c r="S154" t="inlineStr">
        <is>
          <t>Doubles</t>
        </is>
      </c>
      <c r="T154" t="inlineStr">
        <is>
          <t>Under 6'</t>
        </is>
      </c>
      <c r="U154" t="inlineStr">
        <is>
          <t>Mangold</t>
        </is>
      </c>
      <c r="V154" t="inlineStr">
        <is>
          <t>Gray</t>
        </is>
      </c>
      <c r="W154" t="inlineStr">
        <is>
          <t>Green</t>
        </is>
      </c>
      <c r="Y154" t="inlineStr">
        <is>
          <t>Norat</t>
        </is>
      </c>
      <c r="AA154" t="n">
        <v>1</v>
      </c>
      <c r="AB154" t="inlineStr">
        <is>
          <t>L</t>
        </is>
      </c>
      <c r="AC154" t="inlineStr">
        <is>
          <t>5&amp;4</t>
        </is>
      </c>
      <c r="AE154">
        <f>$V154&amp;$Y154</f>
        <v/>
      </c>
      <c r="AF154" t="n">
        <v>0</v>
      </c>
      <c r="AG154" t="n">
        <v>0</v>
      </c>
      <c r="AH154" t="n">
        <v>1</v>
      </c>
      <c r="AI154" t="n">
        <v>0</v>
      </c>
      <c r="AJ154" t="n">
        <v>0</v>
      </c>
      <c r="AK154" t="inlineStr">
        <is>
          <t>Fogan</t>
        </is>
      </c>
      <c r="AL154" t="n">
        <v>0.372881355932203</v>
      </c>
      <c r="AM154" t="inlineStr">
        <is>
          <t>Lynch</t>
        </is>
      </c>
      <c r="AN154" t="n">
        <v>0.5546875</v>
      </c>
    </row>
    <row r="155" ht="15" customHeight="1" s="2">
      <c r="B155" t="n">
        <v>5</v>
      </c>
      <c r="C155" t="n">
        <v>5</v>
      </c>
      <c r="D155" t="n">
        <v>4</v>
      </c>
      <c r="E155" t="inlineStr">
        <is>
          <t>FBC4-D5</t>
        </is>
      </c>
      <c r="F155" t="inlineStr">
        <is>
          <t>Friday</t>
        </is>
      </c>
      <c r="G155" s="27" t="n">
        <v>42573</v>
      </c>
      <c r="H155" t="inlineStr">
        <is>
          <t>AM</t>
        </is>
      </c>
      <c r="I155" t="inlineStr">
        <is>
          <t>French Lick, IN</t>
        </is>
      </c>
      <c r="J155" t="inlineStr">
        <is>
          <t>Midwest</t>
        </is>
      </c>
      <c r="K155" t="n">
        <v>9</v>
      </c>
      <c r="L155" t="inlineStr">
        <is>
          <t>Front</t>
        </is>
      </c>
      <c r="M155" t="inlineStr">
        <is>
          <t>Dye</t>
        </is>
      </c>
      <c r="N155" t="inlineStr">
        <is>
          <t>White</t>
        </is>
      </c>
      <c r="O155" t="n">
        <v>70.59999999999999</v>
      </c>
      <c r="P155" t="n">
        <v>130</v>
      </c>
      <c r="Q155" t="n">
        <v>6111</v>
      </c>
      <c r="R155" t="inlineStr">
        <is>
          <t>Best Ball</t>
        </is>
      </c>
      <c r="S155" t="inlineStr">
        <is>
          <t>Doubles</t>
        </is>
      </c>
      <c r="T155" t="inlineStr">
        <is>
          <t>Over 6'</t>
        </is>
      </c>
      <c r="U155" t="inlineStr">
        <is>
          <t>Grise</t>
        </is>
      </c>
      <c r="V155" t="inlineStr">
        <is>
          <t>Fogan</t>
        </is>
      </c>
      <c r="W155" t="inlineStr">
        <is>
          <t>Blue</t>
        </is>
      </c>
      <c r="Y155" t="inlineStr">
        <is>
          <t>Lynch</t>
        </is>
      </c>
      <c r="AA155" t="n">
        <v>1</v>
      </c>
      <c r="AB155" t="inlineStr">
        <is>
          <t>W</t>
        </is>
      </c>
      <c r="AC155" t="inlineStr">
        <is>
          <t>5&amp;4</t>
        </is>
      </c>
      <c r="AE155">
        <f>$V155&amp;$Y155</f>
        <v/>
      </c>
      <c r="AF155" t="n">
        <v>1</v>
      </c>
      <c r="AG155" t="n">
        <v>1</v>
      </c>
      <c r="AH155" t="n">
        <v>0</v>
      </c>
      <c r="AI155" t="n">
        <v>0</v>
      </c>
      <c r="AJ155" t="n">
        <v>1</v>
      </c>
      <c r="AK155" t="inlineStr">
        <is>
          <t>Gray</t>
        </is>
      </c>
      <c r="AL155" t="n">
        <v>0.654761904761905</v>
      </c>
      <c r="AM155" t="inlineStr">
        <is>
          <t>Norat</t>
        </is>
      </c>
      <c r="AN155" t="n">
        <v>0.527777777777778</v>
      </c>
    </row>
    <row r="156" ht="15" customHeight="1" s="2">
      <c r="B156" t="n">
        <v>6</v>
      </c>
      <c r="C156" t="n">
        <v>1</v>
      </c>
      <c r="D156" t="n">
        <v>4</v>
      </c>
      <c r="E156" t="inlineStr">
        <is>
          <t>FBC4-D6</t>
        </is>
      </c>
      <c r="F156" t="inlineStr">
        <is>
          <t>Friday</t>
        </is>
      </c>
      <c r="G156" s="27" t="n">
        <v>42573</v>
      </c>
      <c r="H156" t="inlineStr">
        <is>
          <t>AM</t>
        </is>
      </c>
      <c r="I156" t="inlineStr">
        <is>
          <t>French Lick, IN</t>
        </is>
      </c>
      <c r="J156" t="inlineStr">
        <is>
          <t>Midwest</t>
        </is>
      </c>
      <c r="K156" t="n">
        <v>9</v>
      </c>
      <c r="L156" t="inlineStr">
        <is>
          <t>Back</t>
        </is>
      </c>
      <c r="M156" t="inlineStr">
        <is>
          <t>Dye</t>
        </is>
      </c>
      <c r="N156" t="inlineStr">
        <is>
          <t>White</t>
        </is>
      </c>
      <c r="O156" t="n">
        <v>70.59999999999999</v>
      </c>
      <c r="P156" t="n">
        <v>130</v>
      </c>
      <c r="Q156" t="n">
        <v>6111</v>
      </c>
      <c r="R156" t="inlineStr">
        <is>
          <t>Hi-Lo</t>
        </is>
      </c>
      <c r="S156" t="inlineStr">
        <is>
          <t>Doubles</t>
        </is>
      </c>
      <c r="T156" t="inlineStr">
        <is>
          <t>Under 6'</t>
        </is>
      </c>
      <c r="U156" t="inlineStr">
        <is>
          <t>Mangold</t>
        </is>
      </c>
      <c r="V156" t="inlineStr">
        <is>
          <t>Ferrin</t>
        </is>
      </c>
      <c r="W156" t="inlineStr">
        <is>
          <t>Green</t>
        </is>
      </c>
      <c r="Y156" t="inlineStr">
        <is>
          <t>Jackson</t>
        </is>
      </c>
      <c r="AA156" t="n">
        <v>1</v>
      </c>
      <c r="AB156" t="inlineStr">
        <is>
          <t>L</t>
        </is>
      </c>
      <c r="AC156" t="inlineStr">
        <is>
          <t>1Up</t>
        </is>
      </c>
      <c r="AE156">
        <f>$V156&amp;$Y156</f>
        <v/>
      </c>
      <c r="AF156" t="n">
        <v>0</v>
      </c>
      <c r="AG156" t="n">
        <v>0</v>
      </c>
      <c r="AH156" t="n">
        <v>1</v>
      </c>
      <c r="AI156" t="n">
        <v>0</v>
      </c>
      <c r="AJ156" t="n">
        <v>0</v>
      </c>
      <c r="AK156" t="inlineStr">
        <is>
          <t>Grise</t>
        </is>
      </c>
      <c r="AL156" t="n">
        <v>0.546875</v>
      </c>
      <c r="AM156" t="inlineStr">
        <is>
          <t>Welker</t>
        </is>
      </c>
      <c r="AN156" t="n">
        <v>0.510416666666667</v>
      </c>
    </row>
    <row r="157" ht="15" customHeight="1" s="2">
      <c r="B157" t="n">
        <v>6</v>
      </c>
      <c r="C157" t="n">
        <v>1</v>
      </c>
      <c r="D157" t="n">
        <v>4</v>
      </c>
      <c r="E157" t="inlineStr">
        <is>
          <t>FBC4-D6</t>
        </is>
      </c>
      <c r="F157" t="inlineStr">
        <is>
          <t>Friday</t>
        </is>
      </c>
      <c r="G157" s="27" t="n">
        <v>42573</v>
      </c>
      <c r="H157" t="inlineStr">
        <is>
          <t>AM</t>
        </is>
      </c>
      <c r="I157" t="inlineStr">
        <is>
          <t>French Lick, IN</t>
        </is>
      </c>
      <c r="J157" t="inlineStr">
        <is>
          <t>Midwest</t>
        </is>
      </c>
      <c r="K157" t="n">
        <v>9</v>
      </c>
      <c r="L157" t="inlineStr">
        <is>
          <t>Back</t>
        </is>
      </c>
      <c r="M157" t="inlineStr">
        <is>
          <t>Dye</t>
        </is>
      </c>
      <c r="N157" t="inlineStr">
        <is>
          <t>White</t>
        </is>
      </c>
      <c r="O157" t="n">
        <v>70.59999999999999</v>
      </c>
      <c r="P157" t="n">
        <v>130</v>
      </c>
      <c r="Q157" t="n">
        <v>6111</v>
      </c>
      <c r="R157" t="inlineStr">
        <is>
          <t>Hi-Lo</t>
        </is>
      </c>
      <c r="S157" t="inlineStr">
        <is>
          <t>Doubles</t>
        </is>
      </c>
      <c r="T157" t="inlineStr">
        <is>
          <t>Over 6'</t>
        </is>
      </c>
      <c r="U157" t="inlineStr">
        <is>
          <t>Grise</t>
        </is>
      </c>
      <c r="V157" t="inlineStr">
        <is>
          <t>Grise</t>
        </is>
      </c>
      <c r="W157" t="inlineStr">
        <is>
          <t>Blue</t>
        </is>
      </c>
      <c r="Y157" t="inlineStr">
        <is>
          <t>Welker</t>
        </is>
      </c>
      <c r="AA157" t="n">
        <v>1</v>
      </c>
      <c r="AB157" t="inlineStr">
        <is>
          <t>W</t>
        </is>
      </c>
      <c r="AC157" t="inlineStr">
        <is>
          <t>1Up</t>
        </is>
      </c>
      <c r="AE157">
        <f>$V157&amp;$Y157</f>
        <v/>
      </c>
      <c r="AF157" t="n">
        <v>1</v>
      </c>
      <c r="AG157" t="n">
        <v>1</v>
      </c>
      <c r="AH157" t="n">
        <v>0</v>
      </c>
      <c r="AI157" t="n">
        <v>0</v>
      </c>
      <c r="AJ157" t="n">
        <v>1</v>
      </c>
      <c r="AK157" t="inlineStr">
        <is>
          <t>Ferrin</t>
        </is>
      </c>
      <c r="AL157" t="n">
        <v>0.595238095238095</v>
      </c>
      <c r="AM157" t="inlineStr">
        <is>
          <t>Jackson</t>
        </is>
      </c>
      <c r="AN157" t="n">
        <v>0.6171875</v>
      </c>
    </row>
    <row r="158" ht="15" customHeight="1" s="2">
      <c r="B158" t="n">
        <v>7</v>
      </c>
      <c r="C158" t="n">
        <v>2</v>
      </c>
      <c r="D158" t="n">
        <v>4</v>
      </c>
      <c r="E158" t="inlineStr">
        <is>
          <t>FBC4-D7</t>
        </is>
      </c>
      <c r="F158" t="inlineStr">
        <is>
          <t>Friday</t>
        </is>
      </c>
      <c r="G158" s="27" t="n">
        <v>42573</v>
      </c>
      <c r="H158" t="inlineStr">
        <is>
          <t>AM</t>
        </is>
      </c>
      <c r="I158" t="inlineStr">
        <is>
          <t>French Lick, IN</t>
        </is>
      </c>
      <c r="J158" t="inlineStr">
        <is>
          <t>Midwest</t>
        </is>
      </c>
      <c r="K158" t="n">
        <v>9</v>
      </c>
      <c r="L158" t="inlineStr">
        <is>
          <t>Back</t>
        </is>
      </c>
      <c r="M158" t="inlineStr">
        <is>
          <t>Dye</t>
        </is>
      </c>
      <c r="N158" t="inlineStr">
        <is>
          <t>White</t>
        </is>
      </c>
      <c r="O158" t="n">
        <v>70.59999999999999</v>
      </c>
      <c r="P158" t="n">
        <v>130</v>
      </c>
      <c r="Q158" t="n">
        <v>6111</v>
      </c>
      <c r="R158" t="inlineStr">
        <is>
          <t>Hi-Lo</t>
        </is>
      </c>
      <c r="S158" t="inlineStr">
        <is>
          <t>Doubles</t>
        </is>
      </c>
      <c r="T158" t="inlineStr">
        <is>
          <t>Over 6'</t>
        </is>
      </c>
      <c r="U158" t="inlineStr">
        <is>
          <t>Grise</t>
        </is>
      </c>
      <c r="V158" t="inlineStr">
        <is>
          <t>Buss</t>
        </is>
      </c>
      <c r="W158" t="inlineStr">
        <is>
          <t>Blue</t>
        </is>
      </c>
      <c r="Y158" t="inlineStr">
        <is>
          <t>Shively</t>
        </is>
      </c>
      <c r="AA158" t="n">
        <v>1</v>
      </c>
      <c r="AB158" t="inlineStr">
        <is>
          <t>T</t>
        </is>
      </c>
      <c r="AC158" t="inlineStr">
        <is>
          <t>Halved</t>
        </is>
      </c>
      <c r="AE158">
        <f>$V158&amp;$Y158</f>
        <v/>
      </c>
      <c r="AF158" t="n">
        <v>0.5</v>
      </c>
      <c r="AG158" t="n">
        <v>0</v>
      </c>
      <c r="AH158" t="n">
        <v>0</v>
      </c>
      <c r="AI158" t="n">
        <v>1</v>
      </c>
      <c r="AJ158" t="n">
        <v>0.5</v>
      </c>
      <c r="AK158" t="inlineStr">
        <is>
          <t>Mangold</t>
        </is>
      </c>
      <c r="AL158" t="n">
        <v>0.383928571428572</v>
      </c>
      <c r="AM158" t="inlineStr">
        <is>
          <t>Weisberger</t>
        </is>
      </c>
      <c r="AN158" t="n">
        <v>0.5</v>
      </c>
    </row>
    <row r="159" ht="15" customHeight="1" s="2">
      <c r="B159" t="n">
        <v>7</v>
      </c>
      <c r="C159" t="n">
        <v>2</v>
      </c>
      <c r="D159" t="n">
        <v>4</v>
      </c>
      <c r="E159" t="inlineStr">
        <is>
          <t>FBC4-D7</t>
        </is>
      </c>
      <c r="F159" t="inlineStr">
        <is>
          <t>Friday</t>
        </is>
      </c>
      <c r="G159" s="27" t="n">
        <v>42573</v>
      </c>
      <c r="H159" t="inlineStr">
        <is>
          <t>AM</t>
        </is>
      </c>
      <c r="I159" t="inlineStr">
        <is>
          <t>French Lick, IN</t>
        </is>
      </c>
      <c r="J159" t="inlineStr">
        <is>
          <t>Midwest</t>
        </is>
      </c>
      <c r="K159" t="n">
        <v>9</v>
      </c>
      <c r="L159" t="inlineStr">
        <is>
          <t>Back</t>
        </is>
      </c>
      <c r="M159" t="inlineStr">
        <is>
          <t>Dye</t>
        </is>
      </c>
      <c r="N159" t="inlineStr">
        <is>
          <t>White</t>
        </is>
      </c>
      <c r="O159" t="n">
        <v>70.59999999999999</v>
      </c>
      <c r="P159" t="n">
        <v>130</v>
      </c>
      <c r="Q159" t="n">
        <v>6111</v>
      </c>
      <c r="R159" t="inlineStr">
        <is>
          <t>Hi-Lo</t>
        </is>
      </c>
      <c r="S159" t="inlineStr">
        <is>
          <t>Doubles</t>
        </is>
      </c>
      <c r="T159" t="inlineStr">
        <is>
          <t>Under 6'</t>
        </is>
      </c>
      <c r="U159" t="inlineStr">
        <is>
          <t>Mangold</t>
        </is>
      </c>
      <c r="V159" t="inlineStr">
        <is>
          <t>Mangold</t>
        </is>
      </c>
      <c r="W159" t="inlineStr">
        <is>
          <t>Green</t>
        </is>
      </c>
      <c r="Y159" t="inlineStr">
        <is>
          <t>Weisberger</t>
        </is>
      </c>
      <c r="AA159" t="n">
        <v>1</v>
      </c>
      <c r="AB159" t="inlineStr">
        <is>
          <t>T</t>
        </is>
      </c>
      <c r="AC159" t="inlineStr">
        <is>
          <t>Halved</t>
        </is>
      </c>
      <c r="AE159">
        <f>$V159&amp;$Y159</f>
        <v/>
      </c>
      <c r="AF159" t="n">
        <v>0.5</v>
      </c>
      <c r="AG159" t="n">
        <v>0</v>
      </c>
      <c r="AH159" t="n">
        <v>0</v>
      </c>
      <c r="AI159" t="n">
        <v>1</v>
      </c>
      <c r="AJ159" t="n">
        <v>0.5</v>
      </c>
      <c r="AK159" t="inlineStr">
        <is>
          <t>Buss</t>
        </is>
      </c>
      <c r="AL159" t="n">
        <v>0.448275862068966</v>
      </c>
      <c r="AM159" t="inlineStr">
        <is>
          <t>Shively</t>
        </is>
      </c>
    </row>
    <row r="160" ht="15" customHeight="1" s="2">
      <c r="B160" t="n">
        <v>8</v>
      </c>
      <c r="C160" t="n">
        <v>3</v>
      </c>
      <c r="D160" t="n">
        <v>4</v>
      </c>
      <c r="E160" t="inlineStr">
        <is>
          <t>FBC4-D8</t>
        </is>
      </c>
      <c r="F160" t="inlineStr">
        <is>
          <t>Friday</t>
        </is>
      </c>
      <c r="G160" s="27" t="n">
        <v>42573</v>
      </c>
      <c r="H160" t="inlineStr">
        <is>
          <t>AM</t>
        </is>
      </c>
      <c r="I160" t="inlineStr">
        <is>
          <t>French Lick, IN</t>
        </is>
      </c>
      <c r="J160" t="inlineStr">
        <is>
          <t>Midwest</t>
        </is>
      </c>
      <c r="K160" t="n">
        <v>9</v>
      </c>
      <c r="L160" t="inlineStr">
        <is>
          <t>Back</t>
        </is>
      </c>
      <c r="M160" t="inlineStr">
        <is>
          <t>Dye</t>
        </is>
      </c>
      <c r="N160" t="inlineStr">
        <is>
          <t>White</t>
        </is>
      </c>
      <c r="O160" t="n">
        <v>70.59999999999999</v>
      </c>
      <c r="P160" t="n">
        <v>130</v>
      </c>
      <c r="Q160" t="n">
        <v>6111</v>
      </c>
      <c r="R160" t="inlineStr">
        <is>
          <t>Hi-Lo</t>
        </is>
      </c>
      <c r="S160" t="inlineStr">
        <is>
          <t>Doubles</t>
        </is>
      </c>
      <c r="T160" t="inlineStr">
        <is>
          <t>Under 6'</t>
        </is>
      </c>
      <c r="U160" t="inlineStr">
        <is>
          <t>Mangold</t>
        </is>
      </c>
      <c r="V160" t="inlineStr">
        <is>
          <t>Flanders</t>
        </is>
      </c>
      <c r="W160" t="inlineStr">
        <is>
          <t>Green</t>
        </is>
      </c>
      <c r="Y160" t="inlineStr">
        <is>
          <t>Forster</t>
        </is>
      </c>
      <c r="AA160" t="n">
        <v>1</v>
      </c>
      <c r="AB160" t="inlineStr">
        <is>
          <t>W</t>
        </is>
      </c>
      <c r="AC160" t="inlineStr">
        <is>
          <t>4&amp;2</t>
        </is>
      </c>
      <c r="AE160">
        <f>$V160&amp;$Y160</f>
        <v/>
      </c>
      <c r="AF160" t="n">
        <v>1</v>
      </c>
      <c r="AG160" t="n">
        <v>1</v>
      </c>
      <c r="AH160" t="n">
        <v>0</v>
      </c>
      <c r="AI160" t="n">
        <v>0</v>
      </c>
      <c r="AJ160" t="n">
        <v>1</v>
      </c>
      <c r="AK160" t="inlineStr">
        <is>
          <t>Hickerson</t>
        </is>
      </c>
      <c r="AL160" t="n">
        <v>0.357142857142857</v>
      </c>
      <c r="AM160" t="inlineStr">
        <is>
          <t>McInerney</t>
        </is>
      </c>
      <c r="AN160" t="n">
        <v>0.5</v>
      </c>
    </row>
    <row r="161" ht="15" customHeight="1" s="2">
      <c r="B161" t="n">
        <v>8</v>
      </c>
      <c r="C161" t="n">
        <v>3</v>
      </c>
      <c r="D161" t="n">
        <v>4</v>
      </c>
      <c r="E161" t="inlineStr">
        <is>
          <t>FBC4-D8</t>
        </is>
      </c>
      <c r="F161" t="inlineStr">
        <is>
          <t>Friday</t>
        </is>
      </c>
      <c r="G161" s="27" t="n">
        <v>42573</v>
      </c>
      <c r="H161" t="inlineStr">
        <is>
          <t>AM</t>
        </is>
      </c>
      <c r="I161" t="inlineStr">
        <is>
          <t>French Lick, IN</t>
        </is>
      </c>
      <c r="J161" t="inlineStr">
        <is>
          <t>Midwest</t>
        </is>
      </c>
      <c r="K161" t="n">
        <v>9</v>
      </c>
      <c r="L161" t="inlineStr">
        <is>
          <t>Back</t>
        </is>
      </c>
      <c r="M161" t="inlineStr">
        <is>
          <t>Dye</t>
        </is>
      </c>
      <c r="N161" t="inlineStr">
        <is>
          <t>White</t>
        </is>
      </c>
      <c r="O161" t="n">
        <v>70.59999999999999</v>
      </c>
      <c r="P161" t="n">
        <v>130</v>
      </c>
      <c r="Q161" t="n">
        <v>6111</v>
      </c>
      <c r="R161" t="inlineStr">
        <is>
          <t>Hi-Lo</t>
        </is>
      </c>
      <c r="S161" t="inlineStr">
        <is>
          <t>Doubles</t>
        </is>
      </c>
      <c r="T161" t="inlineStr">
        <is>
          <t>Over 6'</t>
        </is>
      </c>
      <c r="U161" t="inlineStr">
        <is>
          <t>Grise</t>
        </is>
      </c>
      <c r="V161" t="inlineStr">
        <is>
          <t>Hickerson</t>
        </is>
      </c>
      <c r="W161" t="inlineStr">
        <is>
          <t>Blue</t>
        </is>
      </c>
      <c r="Y161" t="inlineStr">
        <is>
          <t>McInerney</t>
        </is>
      </c>
      <c r="AA161" t="n">
        <v>1</v>
      </c>
      <c r="AB161" t="inlineStr">
        <is>
          <t>L</t>
        </is>
      </c>
      <c r="AC161" t="inlineStr">
        <is>
          <t>4&amp;2</t>
        </is>
      </c>
      <c r="AE161">
        <f>$V161&amp;$Y161</f>
        <v/>
      </c>
      <c r="AF161" t="n">
        <v>0</v>
      </c>
      <c r="AG161" t="n">
        <v>0</v>
      </c>
      <c r="AH161" t="n">
        <v>1</v>
      </c>
      <c r="AI161" t="n">
        <v>0</v>
      </c>
      <c r="AJ161" t="n">
        <v>0</v>
      </c>
      <c r="AK161" t="inlineStr">
        <is>
          <t>Flanders</t>
        </is>
      </c>
      <c r="AL161" t="n">
        <v>0.4296875</v>
      </c>
      <c r="AM161" t="inlineStr">
        <is>
          <t>Forster</t>
        </is>
      </c>
      <c r="AN161" t="n">
        <v>0.596491228070175</v>
      </c>
    </row>
    <row r="162" ht="15" customHeight="1" s="2">
      <c r="B162" t="n">
        <v>9</v>
      </c>
      <c r="C162" t="n">
        <v>4</v>
      </c>
      <c r="D162" t="n">
        <v>4</v>
      </c>
      <c r="E162" t="inlineStr">
        <is>
          <t>FBC4-D9</t>
        </is>
      </c>
      <c r="F162" t="inlineStr">
        <is>
          <t>Friday</t>
        </is>
      </c>
      <c r="G162" s="27" t="n">
        <v>42573</v>
      </c>
      <c r="H162" t="inlineStr">
        <is>
          <t>AM</t>
        </is>
      </c>
      <c r="I162" t="inlineStr">
        <is>
          <t>French Lick, IN</t>
        </is>
      </c>
      <c r="J162" t="inlineStr">
        <is>
          <t>Midwest</t>
        </is>
      </c>
      <c r="K162" t="n">
        <v>9</v>
      </c>
      <c r="L162" t="inlineStr">
        <is>
          <t>Back</t>
        </is>
      </c>
      <c r="M162" t="inlineStr">
        <is>
          <t>Dye</t>
        </is>
      </c>
      <c r="N162" t="inlineStr">
        <is>
          <t>White</t>
        </is>
      </c>
      <c r="O162" t="n">
        <v>70.59999999999999</v>
      </c>
      <c r="P162" t="n">
        <v>130</v>
      </c>
      <c r="Q162" t="n">
        <v>6111</v>
      </c>
      <c r="R162" t="inlineStr">
        <is>
          <t>Hi-Lo</t>
        </is>
      </c>
      <c r="S162" t="inlineStr">
        <is>
          <t>Doubles</t>
        </is>
      </c>
      <c r="T162" t="inlineStr">
        <is>
          <t>Over 6'</t>
        </is>
      </c>
      <c r="U162" t="inlineStr">
        <is>
          <t>Grise</t>
        </is>
      </c>
      <c r="V162" t="inlineStr">
        <is>
          <t>Connolly</t>
        </is>
      </c>
      <c r="W162" t="inlineStr">
        <is>
          <t>Blue</t>
        </is>
      </c>
      <c r="Y162" t="inlineStr">
        <is>
          <t>Zimmer</t>
        </is>
      </c>
      <c r="AA162" t="n">
        <v>1</v>
      </c>
      <c r="AB162" t="inlineStr">
        <is>
          <t>W</t>
        </is>
      </c>
      <c r="AC162" t="inlineStr">
        <is>
          <t>1Up</t>
        </is>
      </c>
      <c r="AE162">
        <f>$V162&amp;$Y162</f>
        <v/>
      </c>
      <c r="AF162" t="n">
        <v>1</v>
      </c>
      <c r="AG162" t="n">
        <v>1</v>
      </c>
      <c r="AH162" t="n">
        <v>0</v>
      </c>
      <c r="AI162" t="n">
        <v>0</v>
      </c>
      <c r="AJ162" t="n">
        <v>1</v>
      </c>
      <c r="AK162" t="inlineStr">
        <is>
          <t>Cole</t>
        </is>
      </c>
      <c r="AL162" t="n">
        <v>0.440677966101695</v>
      </c>
      <c r="AM162" t="inlineStr">
        <is>
          <t>Connors</t>
        </is>
      </c>
      <c r="AN162" t="n">
        <v>0.347457627118644</v>
      </c>
    </row>
    <row r="163" ht="15" customHeight="1" s="2">
      <c r="B163" t="n">
        <v>9</v>
      </c>
      <c r="C163" t="n">
        <v>4</v>
      </c>
      <c r="D163" t="n">
        <v>4</v>
      </c>
      <c r="E163" t="inlineStr">
        <is>
          <t>FBC4-D9</t>
        </is>
      </c>
      <c r="F163" t="inlineStr">
        <is>
          <t>Friday</t>
        </is>
      </c>
      <c r="G163" s="27" t="n">
        <v>42573</v>
      </c>
      <c r="H163" t="inlineStr">
        <is>
          <t>AM</t>
        </is>
      </c>
      <c r="I163" t="inlineStr">
        <is>
          <t>French Lick, IN</t>
        </is>
      </c>
      <c r="J163" t="inlineStr">
        <is>
          <t>Midwest</t>
        </is>
      </c>
      <c r="K163" t="n">
        <v>9</v>
      </c>
      <c r="L163" t="inlineStr">
        <is>
          <t>Back</t>
        </is>
      </c>
      <c r="M163" t="inlineStr">
        <is>
          <t>Dye</t>
        </is>
      </c>
      <c r="N163" t="inlineStr">
        <is>
          <t>White</t>
        </is>
      </c>
      <c r="O163" t="n">
        <v>70.59999999999999</v>
      </c>
      <c r="P163" t="n">
        <v>130</v>
      </c>
      <c r="Q163" t="n">
        <v>6111</v>
      </c>
      <c r="R163" t="inlineStr">
        <is>
          <t>Hi-Lo</t>
        </is>
      </c>
      <c r="S163" t="inlineStr">
        <is>
          <t>Doubles</t>
        </is>
      </c>
      <c r="T163" t="inlineStr">
        <is>
          <t>Under 6'</t>
        </is>
      </c>
      <c r="U163" t="inlineStr">
        <is>
          <t>Mangold</t>
        </is>
      </c>
      <c r="V163" t="inlineStr">
        <is>
          <t>Cole</t>
        </is>
      </c>
      <c r="W163" t="inlineStr">
        <is>
          <t>Green</t>
        </is>
      </c>
      <c r="Y163" t="inlineStr">
        <is>
          <t>Connors</t>
        </is>
      </c>
      <c r="AA163" t="n">
        <v>1</v>
      </c>
      <c r="AB163" t="inlineStr">
        <is>
          <t>L</t>
        </is>
      </c>
      <c r="AC163" t="inlineStr">
        <is>
          <t>1Up</t>
        </is>
      </c>
      <c r="AE163">
        <f>$V163&amp;$Y163</f>
        <v/>
      </c>
      <c r="AF163" t="n">
        <v>0</v>
      </c>
      <c r="AG163" t="n">
        <v>0</v>
      </c>
      <c r="AH163" t="n">
        <v>1</v>
      </c>
      <c r="AI163" t="n">
        <v>0</v>
      </c>
      <c r="AJ163" t="n">
        <v>0</v>
      </c>
      <c r="AK163" t="inlineStr">
        <is>
          <t>Connolly</t>
        </is>
      </c>
      <c r="AL163" t="n">
        <v>0.59375</v>
      </c>
      <c r="AM163" t="inlineStr">
        <is>
          <t>Zimmer</t>
        </is>
      </c>
      <c r="AN163" t="n">
        <v>0.5</v>
      </c>
    </row>
    <row r="164" ht="15" customHeight="1" s="2">
      <c r="B164" t="n">
        <v>10</v>
      </c>
      <c r="C164" t="n">
        <v>5</v>
      </c>
      <c r="D164" t="n">
        <v>4</v>
      </c>
      <c r="E164" t="inlineStr">
        <is>
          <t>FBC4-D10</t>
        </is>
      </c>
      <c r="F164" t="inlineStr">
        <is>
          <t>Friday</t>
        </is>
      </c>
      <c r="G164" s="27" t="n">
        <v>42573</v>
      </c>
      <c r="H164" t="inlineStr">
        <is>
          <t>AM</t>
        </is>
      </c>
      <c r="I164" t="inlineStr">
        <is>
          <t>French Lick, IN</t>
        </is>
      </c>
      <c r="J164" t="inlineStr">
        <is>
          <t>Midwest</t>
        </is>
      </c>
      <c r="K164" t="n">
        <v>9</v>
      </c>
      <c r="L164" t="inlineStr">
        <is>
          <t>Back</t>
        </is>
      </c>
      <c r="M164" t="inlineStr">
        <is>
          <t>Dye</t>
        </is>
      </c>
      <c r="N164" t="inlineStr">
        <is>
          <t>White</t>
        </is>
      </c>
      <c r="O164" t="n">
        <v>70.59999999999999</v>
      </c>
      <c r="P164" t="n">
        <v>130</v>
      </c>
      <c r="Q164" t="n">
        <v>6111</v>
      </c>
      <c r="R164" t="inlineStr">
        <is>
          <t>Hi-Lo</t>
        </is>
      </c>
      <c r="S164" t="inlineStr">
        <is>
          <t>Doubles</t>
        </is>
      </c>
      <c r="T164" t="inlineStr">
        <is>
          <t>Under 6'</t>
        </is>
      </c>
      <c r="U164" t="inlineStr">
        <is>
          <t>Mangold</t>
        </is>
      </c>
      <c r="V164" t="inlineStr">
        <is>
          <t>Gray</t>
        </is>
      </c>
      <c r="W164" t="inlineStr">
        <is>
          <t>Green</t>
        </is>
      </c>
      <c r="Y164" t="inlineStr">
        <is>
          <t>Norat</t>
        </is>
      </c>
      <c r="AA164" t="n">
        <v>1</v>
      </c>
      <c r="AB164" t="inlineStr">
        <is>
          <t>W</t>
        </is>
      </c>
      <c r="AC164" t="inlineStr">
        <is>
          <t>5&amp;4</t>
        </is>
      </c>
      <c r="AE164">
        <f>$V164&amp;$Y164</f>
        <v/>
      </c>
      <c r="AF164" t="n">
        <v>1</v>
      </c>
      <c r="AG164" t="n">
        <v>1</v>
      </c>
      <c r="AH164" t="n">
        <v>0</v>
      </c>
      <c r="AI164" t="n">
        <v>0</v>
      </c>
      <c r="AJ164" t="n">
        <v>1</v>
      </c>
      <c r="AK164" t="inlineStr">
        <is>
          <t>Fogan</t>
        </is>
      </c>
      <c r="AL164" t="n">
        <v>0.372881355932203</v>
      </c>
      <c r="AM164" t="inlineStr">
        <is>
          <t>Lynch</t>
        </is>
      </c>
      <c r="AN164" t="n">
        <v>0.5546875</v>
      </c>
    </row>
    <row r="165" ht="15" customHeight="1" s="2">
      <c r="B165" t="n">
        <v>10</v>
      </c>
      <c r="C165" t="n">
        <v>5</v>
      </c>
      <c r="D165" t="n">
        <v>4</v>
      </c>
      <c r="E165" t="inlineStr">
        <is>
          <t>FBC4-D10</t>
        </is>
      </c>
      <c r="F165" t="inlineStr">
        <is>
          <t>Friday</t>
        </is>
      </c>
      <c r="G165" s="27" t="n">
        <v>42573</v>
      </c>
      <c r="H165" t="inlineStr">
        <is>
          <t>AM</t>
        </is>
      </c>
      <c r="I165" t="inlineStr">
        <is>
          <t>French Lick, IN</t>
        </is>
      </c>
      <c r="J165" t="inlineStr">
        <is>
          <t>Midwest</t>
        </is>
      </c>
      <c r="K165" t="n">
        <v>9</v>
      </c>
      <c r="L165" t="inlineStr">
        <is>
          <t>Back</t>
        </is>
      </c>
      <c r="M165" t="inlineStr">
        <is>
          <t>Dye</t>
        </is>
      </c>
      <c r="N165" t="inlineStr">
        <is>
          <t>White</t>
        </is>
      </c>
      <c r="O165" t="n">
        <v>70.59999999999999</v>
      </c>
      <c r="P165" t="n">
        <v>130</v>
      </c>
      <c r="Q165" t="n">
        <v>6111</v>
      </c>
      <c r="R165" t="inlineStr">
        <is>
          <t>Hi-Lo</t>
        </is>
      </c>
      <c r="S165" t="inlineStr">
        <is>
          <t>Doubles</t>
        </is>
      </c>
      <c r="T165" t="inlineStr">
        <is>
          <t>Over 6'</t>
        </is>
      </c>
      <c r="U165" t="inlineStr">
        <is>
          <t>Grise</t>
        </is>
      </c>
      <c r="V165" t="inlineStr">
        <is>
          <t>Fogan</t>
        </is>
      </c>
      <c r="W165" t="inlineStr">
        <is>
          <t>Blue</t>
        </is>
      </c>
      <c r="Y165" t="inlineStr">
        <is>
          <t>Lynch</t>
        </is>
      </c>
      <c r="AA165" t="n">
        <v>1</v>
      </c>
      <c r="AB165" t="inlineStr">
        <is>
          <t>L</t>
        </is>
      </c>
      <c r="AC165" t="inlineStr">
        <is>
          <t>5&amp;4</t>
        </is>
      </c>
      <c r="AE165">
        <f>$V165&amp;$Y165</f>
        <v/>
      </c>
      <c r="AF165" t="n">
        <v>0</v>
      </c>
      <c r="AG165" t="n">
        <v>0</v>
      </c>
      <c r="AH165" t="n">
        <v>1</v>
      </c>
      <c r="AI165" t="n">
        <v>0</v>
      </c>
      <c r="AJ165" t="n">
        <v>0</v>
      </c>
      <c r="AK165" t="inlineStr">
        <is>
          <t>Gray</t>
        </is>
      </c>
      <c r="AL165" t="n">
        <v>0.654761904761905</v>
      </c>
      <c r="AM165" t="inlineStr">
        <is>
          <t>Norat</t>
        </is>
      </c>
      <c r="AN165" t="n">
        <v>0.527777777777778</v>
      </c>
    </row>
    <row r="166" ht="15" customHeight="1" s="2">
      <c r="B166" t="n">
        <v>11</v>
      </c>
      <c r="C166" t="n">
        <v>1</v>
      </c>
      <c r="D166" t="n">
        <v>4</v>
      </c>
      <c r="E166" t="inlineStr">
        <is>
          <t>FBC4-D11</t>
        </is>
      </c>
      <c r="F166" t="inlineStr">
        <is>
          <t>Friday</t>
        </is>
      </c>
      <c r="G166" s="27" t="n">
        <v>42573</v>
      </c>
      <c r="H166" t="inlineStr">
        <is>
          <t>PM</t>
        </is>
      </c>
      <c r="I166" t="inlineStr">
        <is>
          <t>French Lick, IN</t>
        </is>
      </c>
      <c r="J166" t="inlineStr">
        <is>
          <t>Midwest</t>
        </is>
      </c>
      <c r="K166" t="n">
        <v>9</v>
      </c>
      <c r="L166" t="inlineStr">
        <is>
          <t>Front</t>
        </is>
      </c>
      <c r="M166" t="inlineStr">
        <is>
          <t>Dye</t>
        </is>
      </c>
      <c r="N166" t="inlineStr">
        <is>
          <t>White</t>
        </is>
      </c>
      <c r="O166" t="n">
        <v>70.59999999999999</v>
      </c>
      <c r="P166" t="n">
        <v>130</v>
      </c>
      <c r="Q166" t="n">
        <v>6111</v>
      </c>
      <c r="R166" t="inlineStr">
        <is>
          <t>Pinehurst</t>
        </is>
      </c>
      <c r="S166" t="inlineStr">
        <is>
          <t>Doubles</t>
        </is>
      </c>
      <c r="T166" t="inlineStr">
        <is>
          <t>Under 6'</t>
        </is>
      </c>
      <c r="U166" t="inlineStr">
        <is>
          <t>Mangold</t>
        </is>
      </c>
      <c r="V166" t="inlineStr">
        <is>
          <t>Connors</t>
        </is>
      </c>
      <c r="W166" t="inlineStr">
        <is>
          <t>Green</t>
        </is>
      </c>
      <c r="Y166" t="inlineStr">
        <is>
          <t>Mangold</t>
        </is>
      </c>
      <c r="AA166" t="n">
        <v>1</v>
      </c>
      <c r="AB166" t="inlineStr">
        <is>
          <t>W</t>
        </is>
      </c>
      <c r="AC166" t="inlineStr">
        <is>
          <t>2&amp;1</t>
        </is>
      </c>
      <c r="AE166">
        <f>$V166&amp;$Y166</f>
        <v/>
      </c>
      <c r="AF166" t="n">
        <v>1</v>
      </c>
      <c r="AG166" t="n">
        <v>1</v>
      </c>
      <c r="AH166" t="n">
        <v>0</v>
      </c>
      <c r="AI166" t="n">
        <v>0</v>
      </c>
      <c r="AJ166" t="n">
        <v>1</v>
      </c>
      <c r="AK166" t="inlineStr">
        <is>
          <t>Grise</t>
        </is>
      </c>
      <c r="AL166" t="n">
        <v>0.546875</v>
      </c>
      <c r="AM166" t="inlineStr">
        <is>
          <t>Shively</t>
        </is>
      </c>
    </row>
    <row r="167" ht="15" customHeight="1" s="2">
      <c r="B167" t="n">
        <v>11</v>
      </c>
      <c r="C167" t="n">
        <v>1</v>
      </c>
      <c r="D167" t="n">
        <v>4</v>
      </c>
      <c r="E167" t="inlineStr">
        <is>
          <t>FBC4-D11</t>
        </is>
      </c>
      <c r="F167" t="inlineStr">
        <is>
          <t>Friday</t>
        </is>
      </c>
      <c r="G167" s="27" t="n">
        <v>42573</v>
      </c>
      <c r="H167" t="inlineStr">
        <is>
          <t>PM</t>
        </is>
      </c>
      <c r="I167" t="inlineStr">
        <is>
          <t>French Lick, IN</t>
        </is>
      </c>
      <c r="J167" t="inlineStr">
        <is>
          <t>Midwest</t>
        </is>
      </c>
      <c r="K167" t="n">
        <v>9</v>
      </c>
      <c r="L167" t="inlineStr">
        <is>
          <t>Front</t>
        </is>
      </c>
      <c r="M167" t="inlineStr">
        <is>
          <t>Dye</t>
        </is>
      </c>
      <c r="N167" t="inlineStr">
        <is>
          <t>White</t>
        </is>
      </c>
      <c r="O167" t="n">
        <v>70.59999999999999</v>
      </c>
      <c r="P167" t="n">
        <v>130</v>
      </c>
      <c r="Q167" t="n">
        <v>6111</v>
      </c>
      <c r="R167" t="inlineStr">
        <is>
          <t>Pinehurst</t>
        </is>
      </c>
      <c r="S167" t="inlineStr">
        <is>
          <t>Doubles</t>
        </is>
      </c>
      <c r="T167" t="inlineStr">
        <is>
          <t>Over 6'</t>
        </is>
      </c>
      <c r="U167" t="inlineStr">
        <is>
          <t>Grise</t>
        </is>
      </c>
      <c r="V167" t="inlineStr">
        <is>
          <t>Grise</t>
        </is>
      </c>
      <c r="W167" t="inlineStr">
        <is>
          <t>Blue</t>
        </is>
      </c>
      <c r="Y167" t="inlineStr">
        <is>
          <t>Shively</t>
        </is>
      </c>
      <c r="AA167" t="n">
        <v>1</v>
      </c>
      <c r="AB167" t="inlineStr">
        <is>
          <t>L</t>
        </is>
      </c>
      <c r="AC167" t="inlineStr">
        <is>
          <t>2&amp;1</t>
        </is>
      </c>
      <c r="AE167">
        <f>$V167&amp;$Y167</f>
        <v/>
      </c>
      <c r="AF167" t="n">
        <v>0</v>
      </c>
      <c r="AG167" t="n">
        <v>0</v>
      </c>
      <c r="AH167" t="n">
        <v>1</v>
      </c>
      <c r="AI167" t="n">
        <v>0</v>
      </c>
      <c r="AJ167" t="n">
        <v>0</v>
      </c>
      <c r="AK167" t="inlineStr">
        <is>
          <t>Connors</t>
        </is>
      </c>
      <c r="AL167" t="n">
        <v>0.347457627118644</v>
      </c>
      <c r="AM167" t="inlineStr">
        <is>
          <t>Mangold</t>
        </is>
      </c>
      <c r="AN167" t="n">
        <v>0.383928571428572</v>
      </c>
    </row>
    <row r="168" ht="15" customHeight="1" s="2">
      <c r="B168" t="n">
        <v>12</v>
      </c>
      <c r="C168" t="n">
        <v>2</v>
      </c>
      <c r="D168" t="n">
        <v>4</v>
      </c>
      <c r="E168" t="inlineStr">
        <is>
          <t>FBC4-D12</t>
        </is>
      </c>
      <c r="F168" t="inlineStr">
        <is>
          <t>Friday</t>
        </is>
      </c>
      <c r="G168" s="27" t="n">
        <v>42573</v>
      </c>
      <c r="H168" t="inlineStr">
        <is>
          <t>PM</t>
        </is>
      </c>
      <c r="I168" t="inlineStr">
        <is>
          <t>French Lick, IN</t>
        </is>
      </c>
      <c r="J168" t="inlineStr">
        <is>
          <t>Midwest</t>
        </is>
      </c>
      <c r="K168" t="n">
        <v>9</v>
      </c>
      <c r="L168" t="inlineStr">
        <is>
          <t>Front</t>
        </is>
      </c>
      <c r="M168" t="inlineStr">
        <is>
          <t>Dye</t>
        </is>
      </c>
      <c r="N168" t="inlineStr">
        <is>
          <t>White</t>
        </is>
      </c>
      <c r="O168" t="n">
        <v>70.59999999999999</v>
      </c>
      <c r="P168" t="n">
        <v>130</v>
      </c>
      <c r="Q168" t="n">
        <v>6111</v>
      </c>
      <c r="R168" t="inlineStr">
        <is>
          <t>Pinehurst</t>
        </is>
      </c>
      <c r="S168" t="inlineStr">
        <is>
          <t>Doubles</t>
        </is>
      </c>
      <c r="T168" t="inlineStr">
        <is>
          <t>Over 6'</t>
        </is>
      </c>
      <c r="U168" t="inlineStr">
        <is>
          <t>Grise</t>
        </is>
      </c>
      <c r="V168" t="inlineStr">
        <is>
          <t>Buss</t>
        </is>
      </c>
      <c r="W168" t="inlineStr">
        <is>
          <t>Blue</t>
        </is>
      </c>
      <c r="Y168" t="inlineStr">
        <is>
          <t>Lynch</t>
        </is>
      </c>
      <c r="AA168" t="n">
        <v>1</v>
      </c>
      <c r="AB168" t="inlineStr">
        <is>
          <t>L</t>
        </is>
      </c>
      <c r="AC168" t="inlineStr">
        <is>
          <t>1UP</t>
        </is>
      </c>
      <c r="AE168">
        <f>$V168&amp;$Y168</f>
        <v/>
      </c>
      <c r="AF168" t="n">
        <v>0</v>
      </c>
      <c r="AG168" t="n">
        <v>0</v>
      </c>
      <c r="AH168" t="n">
        <v>1</v>
      </c>
      <c r="AI168" t="n">
        <v>0</v>
      </c>
      <c r="AJ168" t="n">
        <v>0</v>
      </c>
      <c r="AK168" t="inlineStr">
        <is>
          <t>Flanders</t>
        </is>
      </c>
      <c r="AL168" t="n">
        <v>0.4296875</v>
      </c>
      <c r="AM168" t="inlineStr">
        <is>
          <t>Forster</t>
        </is>
      </c>
      <c r="AN168" t="n">
        <v>0.596491228070175</v>
      </c>
    </row>
    <row r="169" ht="15" customHeight="1" s="2">
      <c r="B169" t="n">
        <v>12</v>
      </c>
      <c r="C169" t="n">
        <v>2</v>
      </c>
      <c r="D169" t="n">
        <v>4</v>
      </c>
      <c r="E169" t="inlineStr">
        <is>
          <t>FBC4-D12</t>
        </is>
      </c>
      <c r="F169" t="inlineStr">
        <is>
          <t>Friday</t>
        </is>
      </c>
      <c r="G169" s="27" t="n">
        <v>42573</v>
      </c>
      <c r="H169" t="inlineStr">
        <is>
          <t>PM</t>
        </is>
      </c>
      <c r="I169" t="inlineStr">
        <is>
          <t>French Lick, IN</t>
        </is>
      </c>
      <c r="J169" t="inlineStr">
        <is>
          <t>Midwest</t>
        </is>
      </c>
      <c r="K169" t="n">
        <v>9</v>
      </c>
      <c r="L169" t="inlineStr">
        <is>
          <t>Front</t>
        </is>
      </c>
      <c r="M169" t="inlineStr">
        <is>
          <t>Dye</t>
        </is>
      </c>
      <c r="N169" t="inlineStr">
        <is>
          <t>White</t>
        </is>
      </c>
      <c r="O169" t="n">
        <v>70.59999999999999</v>
      </c>
      <c r="P169" t="n">
        <v>130</v>
      </c>
      <c r="Q169" t="n">
        <v>6111</v>
      </c>
      <c r="R169" t="inlineStr">
        <is>
          <t>Pinehurst</t>
        </is>
      </c>
      <c r="S169" t="inlineStr">
        <is>
          <t>Doubles</t>
        </is>
      </c>
      <c r="T169" t="inlineStr">
        <is>
          <t>Under 6'</t>
        </is>
      </c>
      <c r="U169" t="inlineStr">
        <is>
          <t>Mangold</t>
        </is>
      </c>
      <c r="V169" t="inlineStr">
        <is>
          <t>Flanders</t>
        </is>
      </c>
      <c r="W169" t="inlineStr">
        <is>
          <t>Green</t>
        </is>
      </c>
      <c r="Y169" t="inlineStr">
        <is>
          <t>Forster</t>
        </is>
      </c>
      <c r="AA169" t="n">
        <v>1</v>
      </c>
      <c r="AB169" t="inlineStr">
        <is>
          <t>W</t>
        </is>
      </c>
      <c r="AC169" t="inlineStr">
        <is>
          <t>1Up</t>
        </is>
      </c>
      <c r="AE169">
        <f>$V169&amp;$Y169</f>
        <v/>
      </c>
      <c r="AF169" t="n">
        <v>1</v>
      </c>
      <c r="AG169" t="n">
        <v>1</v>
      </c>
      <c r="AH169" t="n">
        <v>0</v>
      </c>
      <c r="AI169" t="n">
        <v>0</v>
      </c>
      <c r="AJ169" t="n">
        <v>1</v>
      </c>
      <c r="AK169" t="inlineStr">
        <is>
          <t>Buss</t>
        </is>
      </c>
      <c r="AL169" t="n">
        <v>0.448275862068966</v>
      </c>
      <c r="AM169" t="inlineStr">
        <is>
          <t>Lynch</t>
        </is>
      </c>
      <c r="AN169" t="n">
        <v>0.5546875</v>
      </c>
    </row>
    <row r="170" ht="15" customHeight="1" s="2">
      <c r="B170" t="n">
        <v>13</v>
      </c>
      <c r="C170" t="n">
        <v>3</v>
      </c>
      <c r="D170" t="n">
        <v>4</v>
      </c>
      <c r="E170" t="inlineStr">
        <is>
          <t>FBC4-D13</t>
        </is>
      </c>
      <c r="F170" t="inlineStr">
        <is>
          <t>Friday</t>
        </is>
      </c>
      <c r="G170" s="27" t="n">
        <v>42573</v>
      </c>
      <c r="H170" t="inlineStr">
        <is>
          <t>PM</t>
        </is>
      </c>
      <c r="I170" t="inlineStr">
        <is>
          <t>French Lick, IN</t>
        </is>
      </c>
      <c r="J170" t="inlineStr">
        <is>
          <t>Midwest</t>
        </is>
      </c>
      <c r="K170" t="n">
        <v>9</v>
      </c>
      <c r="L170" t="inlineStr">
        <is>
          <t>Front</t>
        </is>
      </c>
      <c r="M170" t="inlineStr">
        <is>
          <t>Dye</t>
        </is>
      </c>
      <c r="N170" t="inlineStr">
        <is>
          <t>White</t>
        </is>
      </c>
      <c r="O170" t="n">
        <v>70.59999999999999</v>
      </c>
      <c r="P170" t="n">
        <v>130</v>
      </c>
      <c r="Q170" t="n">
        <v>6111</v>
      </c>
      <c r="R170" t="inlineStr">
        <is>
          <t>Pinehurst</t>
        </is>
      </c>
      <c r="S170" t="inlineStr">
        <is>
          <t>Doubles</t>
        </is>
      </c>
      <c r="T170" t="inlineStr">
        <is>
          <t>Under 6'</t>
        </is>
      </c>
      <c r="U170" t="inlineStr">
        <is>
          <t>Mangold</t>
        </is>
      </c>
      <c r="V170" t="inlineStr">
        <is>
          <t>Gray</t>
        </is>
      </c>
      <c r="W170" t="inlineStr">
        <is>
          <t>Green</t>
        </is>
      </c>
      <c r="Y170" t="inlineStr">
        <is>
          <t>Norat</t>
        </is>
      </c>
      <c r="AA170" t="n">
        <v>1</v>
      </c>
      <c r="AB170" t="inlineStr">
        <is>
          <t>T</t>
        </is>
      </c>
      <c r="AC170" t="inlineStr">
        <is>
          <t>Push</t>
        </is>
      </c>
      <c r="AE170">
        <f>$V170&amp;$Y170</f>
        <v/>
      </c>
      <c r="AF170" t="n">
        <v>0.5</v>
      </c>
      <c r="AG170" t="n">
        <v>0</v>
      </c>
      <c r="AH170" t="n">
        <v>0</v>
      </c>
      <c r="AI170" t="n">
        <v>1</v>
      </c>
      <c r="AJ170" t="n">
        <v>0.5</v>
      </c>
      <c r="AK170" t="inlineStr">
        <is>
          <t>Connolly</t>
        </is>
      </c>
      <c r="AL170" t="n">
        <v>0.59375</v>
      </c>
      <c r="AM170" t="inlineStr">
        <is>
          <t>McInerney</t>
        </is>
      </c>
      <c r="AN170" t="n">
        <v>0.5</v>
      </c>
    </row>
    <row r="171" ht="15" customHeight="1" s="2">
      <c r="B171" t="n">
        <v>13</v>
      </c>
      <c r="C171" t="n">
        <v>3</v>
      </c>
      <c r="D171" t="n">
        <v>4</v>
      </c>
      <c r="E171" t="inlineStr">
        <is>
          <t>FBC4-D13</t>
        </is>
      </c>
      <c r="F171" t="inlineStr">
        <is>
          <t>Friday</t>
        </is>
      </c>
      <c r="G171" s="27" t="n">
        <v>42573</v>
      </c>
      <c r="H171" t="inlineStr">
        <is>
          <t>PM</t>
        </is>
      </c>
      <c r="I171" t="inlineStr">
        <is>
          <t>French Lick, IN</t>
        </is>
      </c>
      <c r="J171" t="inlineStr">
        <is>
          <t>Midwest</t>
        </is>
      </c>
      <c r="K171" t="n">
        <v>9</v>
      </c>
      <c r="L171" t="inlineStr">
        <is>
          <t>Front</t>
        </is>
      </c>
      <c r="M171" t="inlineStr">
        <is>
          <t>Dye</t>
        </is>
      </c>
      <c r="N171" t="inlineStr">
        <is>
          <t>White</t>
        </is>
      </c>
      <c r="O171" t="n">
        <v>70.59999999999999</v>
      </c>
      <c r="P171" t="n">
        <v>130</v>
      </c>
      <c r="Q171" t="n">
        <v>6111</v>
      </c>
      <c r="R171" t="inlineStr">
        <is>
          <t>Pinehurst</t>
        </is>
      </c>
      <c r="S171" t="inlineStr">
        <is>
          <t>Doubles</t>
        </is>
      </c>
      <c r="T171" t="inlineStr">
        <is>
          <t>Over 6'</t>
        </is>
      </c>
      <c r="U171" t="inlineStr">
        <is>
          <t>Grise</t>
        </is>
      </c>
      <c r="V171" t="inlineStr">
        <is>
          <t>Connolly</t>
        </is>
      </c>
      <c r="W171" t="inlineStr">
        <is>
          <t>Blue</t>
        </is>
      </c>
      <c r="Y171" t="inlineStr">
        <is>
          <t>McInerney</t>
        </is>
      </c>
      <c r="AA171" t="n">
        <v>1</v>
      </c>
      <c r="AB171" t="inlineStr">
        <is>
          <t>T</t>
        </is>
      </c>
      <c r="AC171" t="inlineStr">
        <is>
          <t>Push</t>
        </is>
      </c>
      <c r="AE171">
        <f>$V171&amp;$Y171</f>
        <v/>
      </c>
      <c r="AF171" t="n">
        <v>0.5</v>
      </c>
      <c r="AG171" t="n">
        <v>0</v>
      </c>
      <c r="AH171" t="n">
        <v>0</v>
      </c>
      <c r="AI171" t="n">
        <v>1</v>
      </c>
      <c r="AJ171" t="n">
        <v>0.5</v>
      </c>
      <c r="AK171" t="inlineStr">
        <is>
          <t>Gray</t>
        </is>
      </c>
      <c r="AL171" t="n">
        <v>0.654761904761905</v>
      </c>
      <c r="AM171" t="inlineStr">
        <is>
          <t>Norat</t>
        </is>
      </c>
      <c r="AN171" t="n">
        <v>0.527777777777778</v>
      </c>
    </row>
    <row r="172" ht="15" customHeight="1" s="2">
      <c r="B172" t="n">
        <v>14</v>
      </c>
      <c r="C172" t="n">
        <v>4</v>
      </c>
      <c r="D172" t="n">
        <v>4</v>
      </c>
      <c r="E172" t="inlineStr">
        <is>
          <t>FBC4-D14</t>
        </is>
      </c>
      <c r="F172" t="inlineStr">
        <is>
          <t>Friday</t>
        </is>
      </c>
      <c r="G172" s="27" t="n">
        <v>42573</v>
      </c>
      <c r="H172" t="inlineStr">
        <is>
          <t>PM</t>
        </is>
      </c>
      <c r="I172" t="inlineStr">
        <is>
          <t>French Lick, IN</t>
        </is>
      </c>
      <c r="J172" t="inlineStr">
        <is>
          <t>Midwest</t>
        </is>
      </c>
      <c r="K172" t="n">
        <v>9</v>
      </c>
      <c r="L172" t="inlineStr">
        <is>
          <t>Front</t>
        </is>
      </c>
      <c r="M172" t="inlineStr">
        <is>
          <t>Dye</t>
        </is>
      </c>
      <c r="N172" t="inlineStr">
        <is>
          <t>White</t>
        </is>
      </c>
      <c r="O172" t="n">
        <v>70.59999999999999</v>
      </c>
      <c r="P172" t="n">
        <v>130</v>
      </c>
      <c r="Q172" t="n">
        <v>6111</v>
      </c>
      <c r="R172" t="inlineStr">
        <is>
          <t>Pinehurst</t>
        </is>
      </c>
      <c r="S172" t="inlineStr">
        <is>
          <t>Doubles</t>
        </is>
      </c>
      <c r="T172" t="inlineStr">
        <is>
          <t>Over 6'</t>
        </is>
      </c>
      <c r="U172" t="inlineStr">
        <is>
          <t>Grise</t>
        </is>
      </c>
      <c r="V172" t="inlineStr">
        <is>
          <t>Zimmer</t>
        </is>
      </c>
      <c r="W172" t="inlineStr">
        <is>
          <t>Blue</t>
        </is>
      </c>
      <c r="Y172" t="inlineStr">
        <is>
          <t>Welker</t>
        </is>
      </c>
      <c r="AA172" t="n">
        <v>1</v>
      </c>
      <c r="AB172" t="inlineStr">
        <is>
          <t>L</t>
        </is>
      </c>
      <c r="AC172" t="inlineStr">
        <is>
          <t>3&amp;1</t>
        </is>
      </c>
      <c r="AE172">
        <f>$V172&amp;$Y172</f>
        <v/>
      </c>
      <c r="AF172" t="n">
        <v>0</v>
      </c>
      <c r="AG172" t="n">
        <v>0</v>
      </c>
      <c r="AH172" t="n">
        <v>1</v>
      </c>
      <c r="AI172" t="n">
        <v>0</v>
      </c>
      <c r="AJ172" t="n">
        <v>0</v>
      </c>
      <c r="AK172" t="inlineStr">
        <is>
          <t>Ferrin</t>
        </is>
      </c>
      <c r="AL172" t="n">
        <v>0.595238095238095</v>
      </c>
      <c r="AM172" t="inlineStr">
        <is>
          <t>Jackson</t>
        </is>
      </c>
      <c r="AN172" t="n">
        <v>0.6171875</v>
      </c>
    </row>
    <row r="173" ht="15" customHeight="1" s="2">
      <c r="B173" t="n">
        <v>14</v>
      </c>
      <c r="C173" t="n">
        <v>4</v>
      </c>
      <c r="D173" t="n">
        <v>4</v>
      </c>
      <c r="E173" t="inlineStr">
        <is>
          <t>FBC4-D14</t>
        </is>
      </c>
      <c r="F173" t="inlineStr">
        <is>
          <t>Friday</t>
        </is>
      </c>
      <c r="G173" s="27" t="n">
        <v>42573</v>
      </c>
      <c r="H173" t="inlineStr">
        <is>
          <t>PM</t>
        </is>
      </c>
      <c r="I173" t="inlineStr">
        <is>
          <t>French Lick, IN</t>
        </is>
      </c>
      <c r="J173" t="inlineStr">
        <is>
          <t>Midwest</t>
        </is>
      </c>
      <c r="K173" t="n">
        <v>9</v>
      </c>
      <c r="L173" t="inlineStr">
        <is>
          <t>Front</t>
        </is>
      </c>
      <c r="M173" t="inlineStr">
        <is>
          <t>Dye</t>
        </is>
      </c>
      <c r="N173" t="inlineStr">
        <is>
          <t>White</t>
        </is>
      </c>
      <c r="O173" t="n">
        <v>70.59999999999999</v>
      </c>
      <c r="P173" t="n">
        <v>130</v>
      </c>
      <c r="Q173" t="n">
        <v>6111</v>
      </c>
      <c r="R173" t="inlineStr">
        <is>
          <t>Pinehurst</t>
        </is>
      </c>
      <c r="S173" t="inlineStr">
        <is>
          <t>Doubles</t>
        </is>
      </c>
      <c r="T173" t="inlineStr">
        <is>
          <t>Under 6'</t>
        </is>
      </c>
      <c r="U173" t="inlineStr">
        <is>
          <t>Mangold</t>
        </is>
      </c>
      <c r="V173" t="inlineStr">
        <is>
          <t>Ferrin</t>
        </is>
      </c>
      <c r="W173" t="inlineStr">
        <is>
          <t>Green</t>
        </is>
      </c>
      <c r="Y173" t="inlineStr">
        <is>
          <t>Jackson</t>
        </is>
      </c>
      <c r="AA173" t="n">
        <v>1</v>
      </c>
      <c r="AB173" t="inlineStr">
        <is>
          <t>W</t>
        </is>
      </c>
      <c r="AC173" t="inlineStr">
        <is>
          <t>3&amp;1</t>
        </is>
      </c>
      <c r="AE173">
        <f>$V173&amp;$Y173</f>
        <v/>
      </c>
      <c r="AF173" t="n">
        <v>1</v>
      </c>
      <c r="AG173" t="n">
        <v>1</v>
      </c>
      <c r="AH173" t="n">
        <v>0</v>
      </c>
      <c r="AI173" t="n">
        <v>0</v>
      </c>
      <c r="AJ173" t="n">
        <v>1</v>
      </c>
      <c r="AK173" t="inlineStr">
        <is>
          <t>Zimmer</t>
        </is>
      </c>
      <c r="AL173" t="n">
        <v>0.5</v>
      </c>
      <c r="AM173" t="inlineStr">
        <is>
          <t>Welker</t>
        </is>
      </c>
      <c r="AN173" t="n">
        <v>0.510416666666667</v>
      </c>
    </row>
    <row r="174" ht="15" customHeight="1" s="2">
      <c r="B174" t="n">
        <v>15</v>
      </c>
      <c r="C174" t="n">
        <v>5</v>
      </c>
      <c r="D174" t="n">
        <v>4</v>
      </c>
      <c r="E174" t="inlineStr">
        <is>
          <t>FBC4-D15</t>
        </is>
      </c>
      <c r="F174" t="inlineStr">
        <is>
          <t>Friday</t>
        </is>
      </c>
      <c r="G174" s="27" t="n">
        <v>42573</v>
      </c>
      <c r="H174" t="inlineStr">
        <is>
          <t>PM</t>
        </is>
      </c>
      <c r="I174" t="inlineStr">
        <is>
          <t>French Lick, IN</t>
        </is>
      </c>
      <c r="J174" t="inlineStr">
        <is>
          <t>Midwest</t>
        </is>
      </c>
      <c r="K174" t="n">
        <v>9</v>
      </c>
      <c r="L174" t="inlineStr">
        <is>
          <t>Front</t>
        </is>
      </c>
      <c r="M174" t="inlineStr">
        <is>
          <t>Dye</t>
        </is>
      </c>
      <c r="N174" t="inlineStr">
        <is>
          <t>White</t>
        </is>
      </c>
      <c r="O174" t="n">
        <v>70.59999999999999</v>
      </c>
      <c r="P174" t="n">
        <v>130</v>
      </c>
      <c r="Q174" t="n">
        <v>6111</v>
      </c>
      <c r="R174" t="inlineStr">
        <is>
          <t>Pinehurst</t>
        </is>
      </c>
      <c r="S174" t="inlineStr">
        <is>
          <t>Doubles</t>
        </is>
      </c>
      <c r="T174" t="inlineStr">
        <is>
          <t>Under 6'</t>
        </is>
      </c>
      <c r="U174" t="inlineStr">
        <is>
          <t>Mangold</t>
        </is>
      </c>
      <c r="V174" t="inlineStr">
        <is>
          <t>Cole</t>
        </is>
      </c>
      <c r="W174" t="inlineStr">
        <is>
          <t>Green</t>
        </is>
      </c>
      <c r="Y174" t="inlineStr">
        <is>
          <t>Weisberger</t>
        </is>
      </c>
      <c r="AA174" t="n">
        <v>1</v>
      </c>
      <c r="AB174" t="inlineStr">
        <is>
          <t>W</t>
        </is>
      </c>
      <c r="AC174" t="inlineStr">
        <is>
          <t>5&amp;4</t>
        </is>
      </c>
      <c r="AE174">
        <f>$V174&amp;$Y174</f>
        <v/>
      </c>
      <c r="AF174" t="n">
        <v>1</v>
      </c>
      <c r="AG174" t="n">
        <v>1</v>
      </c>
      <c r="AH174" t="n">
        <v>0</v>
      </c>
      <c r="AI174" t="n">
        <v>0</v>
      </c>
      <c r="AJ174" t="n">
        <v>1</v>
      </c>
      <c r="AK174" t="inlineStr">
        <is>
          <t>Fogan</t>
        </is>
      </c>
      <c r="AL174" t="n">
        <v>0.372881355932203</v>
      </c>
      <c r="AM174" t="inlineStr">
        <is>
          <t>Hickerson</t>
        </is>
      </c>
      <c r="AN174" t="n">
        <v>0.357142857142857</v>
      </c>
    </row>
    <row r="175" ht="15" customHeight="1" s="2">
      <c r="B175" t="n">
        <v>15</v>
      </c>
      <c r="C175" t="n">
        <v>5</v>
      </c>
      <c r="D175" t="n">
        <v>4</v>
      </c>
      <c r="E175" t="inlineStr">
        <is>
          <t>FBC4-D15</t>
        </is>
      </c>
      <c r="F175" t="inlineStr">
        <is>
          <t>Friday</t>
        </is>
      </c>
      <c r="G175" s="27" t="n">
        <v>42573</v>
      </c>
      <c r="H175" t="inlineStr">
        <is>
          <t>PM</t>
        </is>
      </c>
      <c r="I175" t="inlineStr">
        <is>
          <t>French Lick, IN</t>
        </is>
      </c>
      <c r="J175" t="inlineStr">
        <is>
          <t>Midwest</t>
        </is>
      </c>
      <c r="K175" t="n">
        <v>9</v>
      </c>
      <c r="L175" t="inlineStr">
        <is>
          <t>Front</t>
        </is>
      </c>
      <c r="M175" t="inlineStr">
        <is>
          <t>Dye</t>
        </is>
      </c>
      <c r="N175" t="inlineStr">
        <is>
          <t>White</t>
        </is>
      </c>
      <c r="O175" t="n">
        <v>70.59999999999999</v>
      </c>
      <c r="P175" t="n">
        <v>130</v>
      </c>
      <c r="Q175" t="n">
        <v>6111</v>
      </c>
      <c r="R175" t="inlineStr">
        <is>
          <t>Pinehurst</t>
        </is>
      </c>
      <c r="S175" t="inlineStr">
        <is>
          <t>Doubles</t>
        </is>
      </c>
      <c r="T175" t="inlineStr">
        <is>
          <t>Over 6'</t>
        </is>
      </c>
      <c r="U175" t="inlineStr">
        <is>
          <t>Grise</t>
        </is>
      </c>
      <c r="V175" t="inlineStr">
        <is>
          <t>Fogan</t>
        </is>
      </c>
      <c r="W175" t="inlineStr">
        <is>
          <t>Blue</t>
        </is>
      </c>
      <c r="Y175" t="inlineStr">
        <is>
          <t>Hickerson</t>
        </is>
      </c>
      <c r="AA175" t="n">
        <v>1</v>
      </c>
      <c r="AB175" t="inlineStr">
        <is>
          <t>L</t>
        </is>
      </c>
      <c r="AC175" t="inlineStr">
        <is>
          <t>5&amp;4</t>
        </is>
      </c>
      <c r="AE175">
        <f>$V175&amp;$Y175</f>
        <v/>
      </c>
      <c r="AF175" t="n">
        <v>0</v>
      </c>
      <c r="AG175" t="n">
        <v>0</v>
      </c>
      <c r="AH175" t="n">
        <v>1</v>
      </c>
      <c r="AI175" t="n">
        <v>0</v>
      </c>
      <c r="AJ175" t="n">
        <v>0</v>
      </c>
      <c r="AK175" t="inlineStr">
        <is>
          <t>Cole</t>
        </is>
      </c>
      <c r="AL175" t="n">
        <v>0.440677966101695</v>
      </c>
      <c r="AM175" t="inlineStr">
        <is>
          <t>Weisberger</t>
        </is>
      </c>
      <c r="AN175" t="n">
        <v>0.5</v>
      </c>
    </row>
    <row r="176" ht="15" customHeight="1" s="2">
      <c r="B176" t="n">
        <v>16</v>
      </c>
      <c r="C176" t="n">
        <v>1</v>
      </c>
      <c r="D176" t="n">
        <v>4</v>
      </c>
      <c r="E176" t="inlineStr">
        <is>
          <t>FBC4-D16</t>
        </is>
      </c>
      <c r="F176" t="inlineStr">
        <is>
          <t>Friday</t>
        </is>
      </c>
      <c r="G176" s="27" t="n">
        <v>42573</v>
      </c>
      <c r="H176" t="inlineStr">
        <is>
          <t>PM</t>
        </is>
      </c>
      <c r="I176" t="inlineStr">
        <is>
          <t>French Lick, IN</t>
        </is>
      </c>
      <c r="J176" t="inlineStr">
        <is>
          <t>Midwest</t>
        </is>
      </c>
      <c r="K176" t="n">
        <v>9</v>
      </c>
      <c r="L176" t="inlineStr">
        <is>
          <t>Back</t>
        </is>
      </c>
      <c r="M176" t="inlineStr">
        <is>
          <t>Dye</t>
        </is>
      </c>
      <c r="N176" t="inlineStr">
        <is>
          <t>White</t>
        </is>
      </c>
      <c r="O176" t="n">
        <v>70.59999999999999</v>
      </c>
      <c r="P176" t="n">
        <v>130</v>
      </c>
      <c r="Q176" t="n">
        <v>6111</v>
      </c>
      <c r="R176" t="inlineStr">
        <is>
          <t>Scramble-Stableford</t>
        </is>
      </c>
      <c r="S176" t="inlineStr">
        <is>
          <t>Doubles</t>
        </is>
      </c>
      <c r="T176" t="inlineStr">
        <is>
          <t>Under 6'</t>
        </is>
      </c>
      <c r="U176" t="inlineStr">
        <is>
          <t>Mangold</t>
        </is>
      </c>
      <c r="V176" t="inlineStr">
        <is>
          <t>Connors</t>
        </is>
      </c>
      <c r="W176" t="inlineStr">
        <is>
          <t>Green</t>
        </is>
      </c>
      <c r="Y176" t="inlineStr">
        <is>
          <t>Mangold</t>
        </is>
      </c>
      <c r="AA176" t="n">
        <v>1</v>
      </c>
      <c r="AB176" t="inlineStr">
        <is>
          <t>L</t>
        </is>
      </c>
      <c r="AC176" t="inlineStr">
        <is>
          <t>18-16</t>
        </is>
      </c>
      <c r="AE176">
        <f>$V176&amp;$Y176</f>
        <v/>
      </c>
      <c r="AF176" t="n">
        <v>0</v>
      </c>
      <c r="AG176" t="n">
        <v>0</v>
      </c>
      <c r="AH176" t="n">
        <v>1</v>
      </c>
      <c r="AI176" t="n">
        <v>0</v>
      </c>
      <c r="AJ176" t="n">
        <v>0</v>
      </c>
      <c r="AK176" t="inlineStr">
        <is>
          <t>Grise</t>
        </is>
      </c>
      <c r="AL176" t="n">
        <v>0.546875</v>
      </c>
      <c r="AM176" t="inlineStr">
        <is>
          <t>Shively</t>
        </is>
      </c>
    </row>
    <row r="177" ht="15" customHeight="1" s="2">
      <c r="B177" t="n">
        <v>16</v>
      </c>
      <c r="C177" t="n">
        <v>1</v>
      </c>
      <c r="D177" t="n">
        <v>4</v>
      </c>
      <c r="E177" t="inlineStr">
        <is>
          <t>FBC4-D16</t>
        </is>
      </c>
      <c r="F177" t="inlineStr">
        <is>
          <t>Friday</t>
        </is>
      </c>
      <c r="G177" s="27" t="n">
        <v>42573</v>
      </c>
      <c r="H177" t="inlineStr">
        <is>
          <t>PM</t>
        </is>
      </c>
      <c r="I177" t="inlineStr">
        <is>
          <t>French Lick, IN</t>
        </is>
      </c>
      <c r="J177" t="inlineStr">
        <is>
          <t>Midwest</t>
        </is>
      </c>
      <c r="K177" t="n">
        <v>9</v>
      </c>
      <c r="L177" t="inlineStr">
        <is>
          <t>Back</t>
        </is>
      </c>
      <c r="M177" t="inlineStr">
        <is>
          <t>Dye</t>
        </is>
      </c>
      <c r="N177" t="inlineStr">
        <is>
          <t>White</t>
        </is>
      </c>
      <c r="O177" t="n">
        <v>70.59999999999999</v>
      </c>
      <c r="P177" t="n">
        <v>130</v>
      </c>
      <c r="Q177" t="n">
        <v>6111</v>
      </c>
      <c r="R177" t="inlineStr">
        <is>
          <t>Scramble-Stableford</t>
        </is>
      </c>
      <c r="S177" t="inlineStr">
        <is>
          <t>Doubles</t>
        </is>
      </c>
      <c r="T177" t="inlineStr">
        <is>
          <t>Over 6'</t>
        </is>
      </c>
      <c r="U177" t="inlineStr">
        <is>
          <t>Grise</t>
        </is>
      </c>
      <c r="V177" t="inlineStr">
        <is>
          <t>Grise</t>
        </is>
      </c>
      <c r="W177" t="inlineStr">
        <is>
          <t>Blue</t>
        </is>
      </c>
      <c r="Y177" t="inlineStr">
        <is>
          <t>Shively</t>
        </is>
      </c>
      <c r="AA177" t="n">
        <v>1</v>
      </c>
      <c r="AB177" t="inlineStr">
        <is>
          <t>W</t>
        </is>
      </c>
      <c r="AC177" t="inlineStr">
        <is>
          <t>18-16</t>
        </is>
      </c>
      <c r="AE177">
        <f>$V177&amp;$Y177</f>
        <v/>
      </c>
      <c r="AF177" t="n">
        <v>1</v>
      </c>
      <c r="AG177" t="n">
        <v>1</v>
      </c>
      <c r="AH177" t="n">
        <v>0</v>
      </c>
      <c r="AI177" t="n">
        <v>0</v>
      </c>
      <c r="AJ177" t="n">
        <v>1</v>
      </c>
      <c r="AK177" t="inlineStr">
        <is>
          <t>Connors</t>
        </is>
      </c>
      <c r="AL177" t="n">
        <v>0.347457627118644</v>
      </c>
      <c r="AM177" t="inlineStr">
        <is>
          <t>Mangold</t>
        </is>
      </c>
      <c r="AN177" t="n">
        <v>0.383928571428572</v>
      </c>
    </row>
    <row r="178" ht="15" customHeight="1" s="2">
      <c r="B178" t="n">
        <v>17</v>
      </c>
      <c r="C178" t="n">
        <v>2</v>
      </c>
      <c r="D178" t="n">
        <v>4</v>
      </c>
      <c r="E178" t="inlineStr">
        <is>
          <t>FBC4-D17</t>
        </is>
      </c>
      <c r="F178" t="inlineStr">
        <is>
          <t>Friday</t>
        </is>
      </c>
      <c r="G178" s="27" t="n">
        <v>42573</v>
      </c>
      <c r="H178" t="inlineStr">
        <is>
          <t>PM</t>
        </is>
      </c>
      <c r="I178" t="inlineStr">
        <is>
          <t>French Lick, IN</t>
        </is>
      </c>
      <c r="J178" t="inlineStr">
        <is>
          <t>Midwest</t>
        </is>
      </c>
      <c r="K178" t="n">
        <v>9</v>
      </c>
      <c r="L178" t="inlineStr">
        <is>
          <t>Back</t>
        </is>
      </c>
      <c r="M178" t="inlineStr">
        <is>
          <t>Dye</t>
        </is>
      </c>
      <c r="N178" t="inlineStr">
        <is>
          <t>White</t>
        </is>
      </c>
      <c r="O178" t="n">
        <v>70.59999999999999</v>
      </c>
      <c r="P178" t="n">
        <v>130</v>
      </c>
      <c r="Q178" t="n">
        <v>6111</v>
      </c>
      <c r="R178" t="inlineStr">
        <is>
          <t>Scramble-Stableford</t>
        </is>
      </c>
      <c r="S178" t="inlineStr">
        <is>
          <t>Doubles</t>
        </is>
      </c>
      <c r="T178" t="inlineStr">
        <is>
          <t>Over 6'</t>
        </is>
      </c>
      <c r="U178" t="inlineStr">
        <is>
          <t>Grise</t>
        </is>
      </c>
      <c r="V178" t="inlineStr">
        <is>
          <t>Buss</t>
        </is>
      </c>
      <c r="W178" t="inlineStr">
        <is>
          <t>Blue</t>
        </is>
      </c>
      <c r="Y178" t="inlineStr">
        <is>
          <t>Lynch</t>
        </is>
      </c>
      <c r="AA178" t="n">
        <v>1</v>
      </c>
      <c r="AB178" t="inlineStr">
        <is>
          <t>W</t>
        </is>
      </c>
      <c r="AC178" t="inlineStr">
        <is>
          <t>15-10</t>
        </is>
      </c>
      <c r="AE178">
        <f>$V178&amp;$Y178</f>
        <v/>
      </c>
      <c r="AF178" t="n">
        <v>1</v>
      </c>
      <c r="AG178" t="n">
        <v>1</v>
      </c>
      <c r="AH178" t="n">
        <v>0</v>
      </c>
      <c r="AI178" t="n">
        <v>0</v>
      </c>
      <c r="AJ178" t="n">
        <v>1</v>
      </c>
      <c r="AK178" t="inlineStr">
        <is>
          <t>Flanders</t>
        </is>
      </c>
      <c r="AL178" t="n">
        <v>0.4296875</v>
      </c>
      <c r="AM178" t="inlineStr">
        <is>
          <t>Forster</t>
        </is>
      </c>
      <c r="AN178" t="n">
        <v>0.596491228070175</v>
      </c>
    </row>
    <row r="179" ht="15" customHeight="1" s="2">
      <c r="B179" t="n">
        <v>17</v>
      </c>
      <c r="C179" t="n">
        <v>2</v>
      </c>
      <c r="D179" t="n">
        <v>4</v>
      </c>
      <c r="E179" t="inlineStr">
        <is>
          <t>FBC4-D17</t>
        </is>
      </c>
      <c r="F179" t="inlineStr">
        <is>
          <t>Friday</t>
        </is>
      </c>
      <c r="G179" s="27" t="n">
        <v>42573</v>
      </c>
      <c r="H179" t="inlineStr">
        <is>
          <t>PM</t>
        </is>
      </c>
      <c r="I179" t="inlineStr">
        <is>
          <t>French Lick, IN</t>
        </is>
      </c>
      <c r="J179" t="inlineStr">
        <is>
          <t>Midwest</t>
        </is>
      </c>
      <c r="K179" t="n">
        <v>9</v>
      </c>
      <c r="L179" t="inlineStr">
        <is>
          <t>Back</t>
        </is>
      </c>
      <c r="M179" t="inlineStr">
        <is>
          <t>Dye</t>
        </is>
      </c>
      <c r="N179" t="inlineStr">
        <is>
          <t>White</t>
        </is>
      </c>
      <c r="O179" t="n">
        <v>70.59999999999999</v>
      </c>
      <c r="P179" t="n">
        <v>130</v>
      </c>
      <c r="Q179" t="n">
        <v>6111</v>
      </c>
      <c r="R179" t="inlineStr">
        <is>
          <t>Scramble-Stableford</t>
        </is>
      </c>
      <c r="S179" t="inlineStr">
        <is>
          <t>Doubles</t>
        </is>
      </c>
      <c r="T179" t="inlineStr">
        <is>
          <t>Under 6'</t>
        </is>
      </c>
      <c r="U179" t="inlineStr">
        <is>
          <t>Mangold</t>
        </is>
      </c>
      <c r="V179" t="inlineStr">
        <is>
          <t>Flanders</t>
        </is>
      </c>
      <c r="W179" t="inlineStr">
        <is>
          <t>Green</t>
        </is>
      </c>
      <c r="Y179" t="inlineStr">
        <is>
          <t>Forster</t>
        </is>
      </c>
      <c r="AA179" t="n">
        <v>1</v>
      </c>
      <c r="AB179" t="inlineStr">
        <is>
          <t>L</t>
        </is>
      </c>
      <c r="AC179" t="inlineStr">
        <is>
          <t>15-10</t>
        </is>
      </c>
      <c r="AE179">
        <f>$V179&amp;$Y179</f>
        <v/>
      </c>
      <c r="AF179" t="n">
        <v>0</v>
      </c>
      <c r="AG179" t="n">
        <v>0</v>
      </c>
      <c r="AH179" t="n">
        <v>1</v>
      </c>
      <c r="AI179" t="n">
        <v>0</v>
      </c>
      <c r="AJ179" t="n">
        <v>0</v>
      </c>
      <c r="AK179" t="inlineStr">
        <is>
          <t>Buss</t>
        </is>
      </c>
      <c r="AL179" t="n">
        <v>0.448275862068966</v>
      </c>
      <c r="AM179" t="inlineStr">
        <is>
          <t>Lynch</t>
        </is>
      </c>
      <c r="AN179" t="n">
        <v>0.5546875</v>
      </c>
    </row>
    <row r="180" ht="15" customHeight="1" s="2">
      <c r="B180" t="n">
        <v>18</v>
      </c>
      <c r="C180" t="n">
        <v>3</v>
      </c>
      <c r="D180" t="n">
        <v>4</v>
      </c>
      <c r="E180" t="inlineStr">
        <is>
          <t>FBC4-D18</t>
        </is>
      </c>
      <c r="F180" t="inlineStr">
        <is>
          <t>Friday</t>
        </is>
      </c>
      <c r="G180" s="27" t="n">
        <v>42573</v>
      </c>
      <c r="H180" t="inlineStr">
        <is>
          <t>PM</t>
        </is>
      </c>
      <c r="I180" t="inlineStr">
        <is>
          <t>French Lick, IN</t>
        </is>
      </c>
      <c r="J180" t="inlineStr">
        <is>
          <t>Midwest</t>
        </is>
      </c>
      <c r="K180" t="n">
        <v>9</v>
      </c>
      <c r="L180" t="inlineStr">
        <is>
          <t>Back</t>
        </is>
      </c>
      <c r="M180" t="inlineStr">
        <is>
          <t>Dye</t>
        </is>
      </c>
      <c r="N180" t="inlineStr">
        <is>
          <t>White</t>
        </is>
      </c>
      <c r="O180" t="n">
        <v>70.59999999999999</v>
      </c>
      <c r="P180" t="n">
        <v>130</v>
      </c>
      <c r="Q180" t="n">
        <v>6111</v>
      </c>
      <c r="R180" t="inlineStr">
        <is>
          <t>Scramble-Stableford</t>
        </is>
      </c>
      <c r="S180" t="inlineStr">
        <is>
          <t>Doubles</t>
        </is>
      </c>
      <c r="T180" t="inlineStr">
        <is>
          <t>Under 6'</t>
        </is>
      </c>
      <c r="U180" t="inlineStr">
        <is>
          <t>Mangold</t>
        </is>
      </c>
      <c r="V180" t="inlineStr">
        <is>
          <t>Gray</t>
        </is>
      </c>
      <c r="W180" t="inlineStr">
        <is>
          <t>Green</t>
        </is>
      </c>
      <c r="Y180" t="inlineStr">
        <is>
          <t>Norat</t>
        </is>
      </c>
      <c r="AA180" t="n">
        <v>1</v>
      </c>
      <c r="AB180" t="inlineStr">
        <is>
          <t>L</t>
        </is>
      </c>
      <c r="AC180" t="inlineStr">
        <is>
          <t>24-12</t>
        </is>
      </c>
      <c r="AE180">
        <f>$V180&amp;$Y180</f>
        <v/>
      </c>
      <c r="AF180" t="n">
        <v>0</v>
      </c>
      <c r="AG180" t="n">
        <v>0</v>
      </c>
      <c r="AH180" t="n">
        <v>1</v>
      </c>
      <c r="AI180" t="n">
        <v>0</v>
      </c>
      <c r="AJ180" t="n">
        <v>0</v>
      </c>
      <c r="AK180" t="inlineStr">
        <is>
          <t>Connolly</t>
        </is>
      </c>
      <c r="AL180" t="n">
        <v>0.59375</v>
      </c>
      <c r="AM180" t="inlineStr">
        <is>
          <t>McInerney</t>
        </is>
      </c>
      <c r="AN180" t="n">
        <v>0.5</v>
      </c>
    </row>
    <row r="181" ht="15" customHeight="1" s="2">
      <c r="B181" t="n">
        <v>18</v>
      </c>
      <c r="C181" t="n">
        <v>3</v>
      </c>
      <c r="D181" t="n">
        <v>4</v>
      </c>
      <c r="E181" t="inlineStr">
        <is>
          <t>FBC4-D18</t>
        </is>
      </c>
      <c r="F181" t="inlineStr">
        <is>
          <t>Friday</t>
        </is>
      </c>
      <c r="G181" s="27" t="n">
        <v>42573</v>
      </c>
      <c r="H181" t="inlineStr">
        <is>
          <t>PM</t>
        </is>
      </c>
      <c r="I181" t="inlineStr">
        <is>
          <t>French Lick, IN</t>
        </is>
      </c>
      <c r="J181" t="inlineStr">
        <is>
          <t>Midwest</t>
        </is>
      </c>
      <c r="K181" t="n">
        <v>9</v>
      </c>
      <c r="L181" t="inlineStr">
        <is>
          <t>Back</t>
        </is>
      </c>
      <c r="M181" t="inlineStr">
        <is>
          <t>Dye</t>
        </is>
      </c>
      <c r="N181" t="inlineStr">
        <is>
          <t>White</t>
        </is>
      </c>
      <c r="O181" t="n">
        <v>70.59999999999999</v>
      </c>
      <c r="P181" t="n">
        <v>130</v>
      </c>
      <c r="Q181" t="n">
        <v>6111</v>
      </c>
      <c r="R181" t="inlineStr">
        <is>
          <t>Scramble-Stableford</t>
        </is>
      </c>
      <c r="S181" t="inlineStr">
        <is>
          <t>Doubles</t>
        </is>
      </c>
      <c r="T181" t="inlineStr">
        <is>
          <t>Over 6'</t>
        </is>
      </c>
      <c r="U181" t="inlineStr">
        <is>
          <t>Grise</t>
        </is>
      </c>
      <c r="V181" t="inlineStr">
        <is>
          <t>Connolly</t>
        </is>
      </c>
      <c r="W181" t="inlineStr">
        <is>
          <t>Blue</t>
        </is>
      </c>
      <c r="Y181" t="inlineStr">
        <is>
          <t>McInerney</t>
        </is>
      </c>
      <c r="AA181" t="n">
        <v>1</v>
      </c>
      <c r="AB181" t="inlineStr">
        <is>
          <t>W</t>
        </is>
      </c>
      <c r="AC181" t="inlineStr">
        <is>
          <t>24-12</t>
        </is>
      </c>
      <c r="AE181">
        <f>$V181&amp;$Y181</f>
        <v/>
      </c>
      <c r="AF181" t="n">
        <v>1</v>
      </c>
      <c r="AG181" t="n">
        <v>1</v>
      </c>
      <c r="AH181" t="n">
        <v>0</v>
      </c>
      <c r="AI181" t="n">
        <v>0</v>
      </c>
      <c r="AJ181" t="n">
        <v>1</v>
      </c>
      <c r="AK181" t="inlineStr">
        <is>
          <t>Gray</t>
        </is>
      </c>
      <c r="AL181" t="n">
        <v>0.654761904761905</v>
      </c>
      <c r="AM181" t="inlineStr">
        <is>
          <t>Norat</t>
        </is>
      </c>
      <c r="AN181" t="n">
        <v>0.527777777777778</v>
      </c>
    </row>
    <row r="182" ht="15" customHeight="1" s="2">
      <c r="B182" t="n">
        <v>19</v>
      </c>
      <c r="C182" t="n">
        <v>4</v>
      </c>
      <c r="D182" t="n">
        <v>4</v>
      </c>
      <c r="E182" t="inlineStr">
        <is>
          <t>FBC4-D19</t>
        </is>
      </c>
      <c r="F182" t="inlineStr">
        <is>
          <t>Friday</t>
        </is>
      </c>
      <c r="G182" s="27" t="n">
        <v>42573</v>
      </c>
      <c r="H182" t="inlineStr">
        <is>
          <t>PM</t>
        </is>
      </c>
      <c r="I182" t="inlineStr">
        <is>
          <t>French Lick, IN</t>
        </is>
      </c>
      <c r="J182" t="inlineStr">
        <is>
          <t>Midwest</t>
        </is>
      </c>
      <c r="K182" t="n">
        <v>9</v>
      </c>
      <c r="L182" t="inlineStr">
        <is>
          <t>Back</t>
        </is>
      </c>
      <c r="M182" t="inlineStr">
        <is>
          <t>Dye</t>
        </is>
      </c>
      <c r="N182" t="inlineStr">
        <is>
          <t>White</t>
        </is>
      </c>
      <c r="O182" t="n">
        <v>70.59999999999999</v>
      </c>
      <c r="P182" t="n">
        <v>130</v>
      </c>
      <c r="Q182" t="n">
        <v>6111</v>
      </c>
      <c r="R182" t="inlineStr">
        <is>
          <t>Scramble-Stableford</t>
        </is>
      </c>
      <c r="S182" t="inlineStr">
        <is>
          <t>Doubles</t>
        </is>
      </c>
      <c r="T182" t="inlineStr">
        <is>
          <t>Over 6'</t>
        </is>
      </c>
      <c r="U182" t="inlineStr">
        <is>
          <t>Grise</t>
        </is>
      </c>
      <c r="V182" t="inlineStr">
        <is>
          <t>Zimmer</t>
        </is>
      </c>
      <c r="W182" t="inlineStr">
        <is>
          <t>Blue</t>
        </is>
      </c>
      <c r="Y182" t="inlineStr">
        <is>
          <t>Welker</t>
        </is>
      </c>
      <c r="AA182" t="n">
        <v>1</v>
      </c>
      <c r="AB182" t="inlineStr">
        <is>
          <t>L</t>
        </is>
      </c>
      <c r="AC182" t="inlineStr">
        <is>
          <t>23-13</t>
        </is>
      </c>
      <c r="AE182">
        <f>$V182&amp;$Y182</f>
        <v/>
      </c>
      <c r="AF182" t="n">
        <v>0</v>
      </c>
      <c r="AG182" t="n">
        <v>0</v>
      </c>
      <c r="AH182" t="n">
        <v>1</v>
      </c>
      <c r="AI182" t="n">
        <v>0</v>
      </c>
      <c r="AJ182" t="n">
        <v>0</v>
      </c>
      <c r="AK182" t="inlineStr">
        <is>
          <t>Ferrin</t>
        </is>
      </c>
      <c r="AL182" t="n">
        <v>0.595238095238095</v>
      </c>
      <c r="AM182" t="inlineStr">
        <is>
          <t>Jackson</t>
        </is>
      </c>
      <c r="AN182" t="n">
        <v>0.6171875</v>
      </c>
    </row>
    <row r="183" ht="15" customHeight="1" s="2">
      <c r="B183" t="n">
        <v>19</v>
      </c>
      <c r="C183" t="n">
        <v>4</v>
      </c>
      <c r="D183" t="n">
        <v>4</v>
      </c>
      <c r="E183" t="inlineStr">
        <is>
          <t>FBC4-D19</t>
        </is>
      </c>
      <c r="F183" t="inlineStr">
        <is>
          <t>Friday</t>
        </is>
      </c>
      <c r="G183" s="27" t="n">
        <v>42573</v>
      </c>
      <c r="H183" t="inlineStr">
        <is>
          <t>PM</t>
        </is>
      </c>
      <c r="I183" t="inlineStr">
        <is>
          <t>French Lick, IN</t>
        </is>
      </c>
      <c r="J183" t="inlineStr">
        <is>
          <t>Midwest</t>
        </is>
      </c>
      <c r="K183" t="n">
        <v>9</v>
      </c>
      <c r="L183" t="inlineStr">
        <is>
          <t>Back</t>
        </is>
      </c>
      <c r="M183" t="inlineStr">
        <is>
          <t>Dye</t>
        </is>
      </c>
      <c r="N183" t="inlineStr">
        <is>
          <t>White</t>
        </is>
      </c>
      <c r="O183" t="n">
        <v>70.59999999999999</v>
      </c>
      <c r="P183" t="n">
        <v>130</v>
      </c>
      <c r="Q183" t="n">
        <v>6111</v>
      </c>
      <c r="R183" t="inlineStr">
        <is>
          <t>Scramble-Stableford</t>
        </is>
      </c>
      <c r="S183" t="inlineStr">
        <is>
          <t>Doubles</t>
        </is>
      </c>
      <c r="T183" t="inlineStr">
        <is>
          <t>Under 6'</t>
        </is>
      </c>
      <c r="U183" t="inlineStr">
        <is>
          <t>Mangold</t>
        </is>
      </c>
      <c r="V183" t="inlineStr">
        <is>
          <t>Ferrin</t>
        </is>
      </c>
      <c r="W183" t="inlineStr">
        <is>
          <t>Green</t>
        </is>
      </c>
      <c r="Y183" t="inlineStr">
        <is>
          <t>Jackson</t>
        </is>
      </c>
      <c r="AA183" t="n">
        <v>1</v>
      </c>
      <c r="AB183" t="inlineStr">
        <is>
          <t>W</t>
        </is>
      </c>
      <c r="AC183" t="inlineStr">
        <is>
          <t>23-13</t>
        </is>
      </c>
      <c r="AE183">
        <f>$V183&amp;$Y183</f>
        <v/>
      </c>
      <c r="AF183" t="n">
        <v>1</v>
      </c>
      <c r="AG183" t="n">
        <v>1</v>
      </c>
      <c r="AH183" t="n">
        <v>0</v>
      </c>
      <c r="AI183" t="n">
        <v>0</v>
      </c>
      <c r="AJ183" t="n">
        <v>1</v>
      </c>
      <c r="AK183" t="inlineStr">
        <is>
          <t>Zimmer</t>
        </is>
      </c>
      <c r="AL183" t="n">
        <v>0.5</v>
      </c>
      <c r="AM183" t="inlineStr">
        <is>
          <t>Welker</t>
        </is>
      </c>
      <c r="AN183" t="n">
        <v>0.510416666666667</v>
      </c>
    </row>
    <row r="184" ht="15" customHeight="1" s="2">
      <c r="B184" t="n">
        <v>20</v>
      </c>
      <c r="C184" t="n">
        <v>5</v>
      </c>
      <c r="D184" t="n">
        <v>4</v>
      </c>
      <c r="E184" t="inlineStr">
        <is>
          <t>FBC4-D20</t>
        </is>
      </c>
      <c r="F184" t="inlineStr">
        <is>
          <t>Friday</t>
        </is>
      </c>
      <c r="G184" s="27" t="n">
        <v>42573</v>
      </c>
      <c r="H184" t="inlineStr">
        <is>
          <t>PM</t>
        </is>
      </c>
      <c r="I184" t="inlineStr">
        <is>
          <t>French Lick, IN</t>
        </is>
      </c>
      <c r="J184" t="inlineStr">
        <is>
          <t>Midwest</t>
        </is>
      </c>
      <c r="K184" t="n">
        <v>9</v>
      </c>
      <c r="L184" t="inlineStr">
        <is>
          <t>Back</t>
        </is>
      </c>
      <c r="M184" t="inlineStr">
        <is>
          <t>Dye</t>
        </is>
      </c>
      <c r="N184" t="inlineStr">
        <is>
          <t>White</t>
        </is>
      </c>
      <c r="O184" t="n">
        <v>70.59999999999999</v>
      </c>
      <c r="P184" t="n">
        <v>130</v>
      </c>
      <c r="Q184" t="n">
        <v>6111</v>
      </c>
      <c r="R184" t="inlineStr">
        <is>
          <t>Scramble-Stableford</t>
        </is>
      </c>
      <c r="S184" t="inlineStr">
        <is>
          <t>Doubles</t>
        </is>
      </c>
      <c r="T184" t="inlineStr">
        <is>
          <t>Under 6'</t>
        </is>
      </c>
      <c r="U184" t="inlineStr">
        <is>
          <t>Mangold</t>
        </is>
      </c>
      <c r="V184" t="inlineStr">
        <is>
          <t>Cole</t>
        </is>
      </c>
      <c r="W184" t="inlineStr">
        <is>
          <t>Green</t>
        </is>
      </c>
      <c r="Y184" t="inlineStr">
        <is>
          <t>Weisberger</t>
        </is>
      </c>
      <c r="AA184" t="n">
        <v>1</v>
      </c>
      <c r="AB184" t="inlineStr">
        <is>
          <t>W</t>
        </is>
      </c>
      <c r="AC184" t="inlineStr">
        <is>
          <t>16-8</t>
        </is>
      </c>
      <c r="AE184">
        <f>$V184&amp;$Y184</f>
        <v/>
      </c>
      <c r="AF184" t="n">
        <v>1</v>
      </c>
      <c r="AG184" t="n">
        <v>1</v>
      </c>
      <c r="AH184" t="n">
        <v>0</v>
      </c>
      <c r="AI184" t="n">
        <v>0</v>
      </c>
      <c r="AJ184" t="n">
        <v>1</v>
      </c>
      <c r="AK184" t="inlineStr">
        <is>
          <t>Fogan</t>
        </is>
      </c>
      <c r="AL184" t="n">
        <v>0.372881355932203</v>
      </c>
      <c r="AM184" t="inlineStr">
        <is>
          <t>Hickerson</t>
        </is>
      </c>
      <c r="AN184" t="n">
        <v>0.357142857142857</v>
      </c>
    </row>
    <row r="185" ht="15" customHeight="1" s="2">
      <c r="B185" t="n">
        <v>20</v>
      </c>
      <c r="C185" t="n">
        <v>5</v>
      </c>
      <c r="D185" t="n">
        <v>4</v>
      </c>
      <c r="E185" t="inlineStr">
        <is>
          <t>FBC4-D20</t>
        </is>
      </c>
      <c r="F185" t="inlineStr">
        <is>
          <t>Friday</t>
        </is>
      </c>
      <c r="G185" s="27" t="n">
        <v>42573</v>
      </c>
      <c r="H185" t="inlineStr">
        <is>
          <t>PM</t>
        </is>
      </c>
      <c r="I185" t="inlineStr">
        <is>
          <t>French Lick, IN</t>
        </is>
      </c>
      <c r="J185" t="inlineStr">
        <is>
          <t>Midwest</t>
        </is>
      </c>
      <c r="K185" t="n">
        <v>9</v>
      </c>
      <c r="L185" t="inlineStr">
        <is>
          <t>Back</t>
        </is>
      </c>
      <c r="M185" t="inlineStr">
        <is>
          <t>Dye</t>
        </is>
      </c>
      <c r="N185" t="inlineStr">
        <is>
          <t>White</t>
        </is>
      </c>
      <c r="O185" t="n">
        <v>70.59999999999999</v>
      </c>
      <c r="P185" t="n">
        <v>130</v>
      </c>
      <c r="Q185" t="n">
        <v>6111</v>
      </c>
      <c r="R185" t="inlineStr">
        <is>
          <t>Scramble-Stableford</t>
        </is>
      </c>
      <c r="S185" t="inlineStr">
        <is>
          <t>Doubles</t>
        </is>
      </c>
      <c r="T185" t="inlineStr">
        <is>
          <t>Over 6'</t>
        </is>
      </c>
      <c r="U185" t="inlineStr">
        <is>
          <t>Grise</t>
        </is>
      </c>
      <c r="V185" t="inlineStr">
        <is>
          <t>Fogan</t>
        </is>
      </c>
      <c r="W185" t="inlineStr">
        <is>
          <t>Blue</t>
        </is>
      </c>
      <c r="Y185" t="inlineStr">
        <is>
          <t>Hickerson</t>
        </is>
      </c>
      <c r="AA185" t="n">
        <v>1</v>
      </c>
      <c r="AB185" t="inlineStr">
        <is>
          <t>L</t>
        </is>
      </c>
      <c r="AC185" t="inlineStr">
        <is>
          <t>16-8</t>
        </is>
      </c>
      <c r="AE185">
        <f>$V185&amp;$Y185</f>
        <v/>
      </c>
      <c r="AF185" t="n">
        <v>0</v>
      </c>
      <c r="AG185" t="n">
        <v>0</v>
      </c>
      <c r="AH185" t="n">
        <v>1</v>
      </c>
      <c r="AI185" t="n">
        <v>0</v>
      </c>
      <c r="AJ185" t="n">
        <v>0</v>
      </c>
      <c r="AK185" t="inlineStr">
        <is>
          <t>Cole</t>
        </is>
      </c>
      <c r="AL185" t="n">
        <v>0.440677966101695</v>
      </c>
      <c r="AM185" t="inlineStr">
        <is>
          <t>Weisberger</t>
        </is>
      </c>
      <c r="AN185" t="n">
        <v>0.5</v>
      </c>
    </row>
    <row r="186" ht="15" customHeight="1" s="2">
      <c r="B186" t="inlineStr">
        <is>
          <t>FT1</t>
        </is>
      </c>
      <c r="D186" t="n">
        <v>4</v>
      </c>
      <c r="E186" t="inlineStr">
        <is>
          <t>FBC4-FT</t>
        </is>
      </c>
      <c r="F186" t="inlineStr">
        <is>
          <t>Friday</t>
        </is>
      </c>
      <c r="G186" s="27" t="n">
        <v>42573</v>
      </c>
      <c r="H186" t="inlineStr">
        <is>
          <t>PM</t>
        </is>
      </c>
      <c r="I186" t="inlineStr">
        <is>
          <t>French Lick, IN</t>
        </is>
      </c>
      <c r="J186" t="inlineStr">
        <is>
          <t>Midwest</t>
        </is>
      </c>
      <c r="K186" t="n">
        <v>6</v>
      </c>
      <c r="L186" t="inlineStr">
        <is>
          <t>First 6</t>
        </is>
      </c>
      <c r="M186" t="inlineStr">
        <is>
          <t>Dye</t>
        </is>
      </c>
      <c r="N186" t="inlineStr">
        <is>
          <t>White</t>
        </is>
      </c>
      <c r="O186" t="n">
        <v>70.59999999999999</v>
      </c>
      <c r="P186" t="n">
        <v>130</v>
      </c>
      <c r="Q186" t="n">
        <v>6111</v>
      </c>
      <c r="R186" t="inlineStr">
        <is>
          <t>FTAS</t>
        </is>
      </c>
      <c r="S186" t="inlineStr">
        <is>
          <t>FTAS</t>
        </is>
      </c>
      <c r="T186" t="inlineStr">
        <is>
          <t>Under 6'</t>
        </is>
      </c>
      <c r="U186" t="inlineStr">
        <is>
          <t>Mangold</t>
        </is>
      </c>
      <c r="V186" t="inlineStr">
        <is>
          <t>Flanders</t>
        </is>
      </c>
      <c r="W186" t="inlineStr">
        <is>
          <t>Green</t>
        </is>
      </c>
      <c r="AA186" t="n">
        <v>0.5</v>
      </c>
      <c r="AB186" t="inlineStr">
        <is>
          <t>W</t>
        </is>
      </c>
      <c r="AC186" t="inlineStr">
        <is>
          <t>2Up</t>
        </is>
      </c>
      <c r="AE186">
        <f>$V186&amp;$Y186</f>
        <v/>
      </c>
      <c r="AF186" t="n">
        <v>0.5</v>
      </c>
      <c r="AG186" t="n">
        <v>1</v>
      </c>
      <c r="AH186" t="n">
        <v>0</v>
      </c>
      <c r="AI186" t="n">
        <v>0</v>
      </c>
      <c r="AJ186" t="n">
        <v>1</v>
      </c>
    </row>
    <row r="187" ht="15" customHeight="1" s="2">
      <c r="B187" t="inlineStr">
        <is>
          <t>FT1</t>
        </is>
      </c>
      <c r="D187" t="n">
        <v>4</v>
      </c>
      <c r="E187" t="inlineStr">
        <is>
          <t>FBC4-FT</t>
        </is>
      </c>
      <c r="F187" t="inlineStr">
        <is>
          <t>Friday</t>
        </is>
      </c>
      <c r="G187" s="27" t="n">
        <v>42573</v>
      </c>
      <c r="H187" t="inlineStr">
        <is>
          <t>PM</t>
        </is>
      </c>
      <c r="I187" t="inlineStr">
        <is>
          <t>French Lick, IN</t>
        </is>
      </c>
      <c r="J187" t="inlineStr">
        <is>
          <t>Midwest</t>
        </is>
      </c>
      <c r="K187" t="n">
        <v>6</v>
      </c>
      <c r="L187" t="inlineStr">
        <is>
          <t>First 6</t>
        </is>
      </c>
      <c r="M187" t="inlineStr">
        <is>
          <t>Dye</t>
        </is>
      </c>
      <c r="N187" t="inlineStr">
        <is>
          <t>White</t>
        </is>
      </c>
      <c r="O187" t="n">
        <v>70.59999999999999</v>
      </c>
      <c r="P187" t="n">
        <v>130</v>
      </c>
      <c r="Q187" t="n">
        <v>6111</v>
      </c>
      <c r="R187" t="inlineStr">
        <is>
          <t>FTAS</t>
        </is>
      </c>
      <c r="S187" t="inlineStr">
        <is>
          <t>FTAS</t>
        </is>
      </c>
      <c r="T187" t="inlineStr">
        <is>
          <t>Under 6'</t>
        </is>
      </c>
      <c r="U187" t="inlineStr">
        <is>
          <t>Mangold</t>
        </is>
      </c>
      <c r="V187" t="inlineStr">
        <is>
          <t>Jackson</t>
        </is>
      </c>
      <c r="W187" t="inlineStr">
        <is>
          <t>Green</t>
        </is>
      </c>
      <c r="AA187" t="n">
        <v>0.5</v>
      </c>
      <c r="AB187" t="inlineStr">
        <is>
          <t>W</t>
        </is>
      </c>
      <c r="AC187" t="inlineStr">
        <is>
          <t>2Up</t>
        </is>
      </c>
      <c r="AE187">
        <f>$V187&amp;$Y187</f>
        <v/>
      </c>
      <c r="AF187" t="n">
        <v>0.5</v>
      </c>
      <c r="AG187" t="n">
        <v>1</v>
      </c>
      <c r="AH187" t="n">
        <v>0</v>
      </c>
      <c r="AI187" t="n">
        <v>0</v>
      </c>
      <c r="AJ187" t="n">
        <v>1</v>
      </c>
    </row>
    <row r="188" ht="15" customHeight="1" s="2">
      <c r="B188" t="inlineStr">
        <is>
          <t>FT1</t>
        </is>
      </c>
      <c r="D188" t="n">
        <v>4</v>
      </c>
      <c r="E188" t="inlineStr">
        <is>
          <t>FBC4-FT</t>
        </is>
      </c>
      <c r="F188" t="inlineStr">
        <is>
          <t>Friday</t>
        </is>
      </c>
      <c r="G188" s="27" t="n">
        <v>42573</v>
      </c>
      <c r="H188" t="inlineStr">
        <is>
          <t>PM</t>
        </is>
      </c>
      <c r="I188" t="inlineStr">
        <is>
          <t>French Lick, IN</t>
        </is>
      </c>
      <c r="J188" t="inlineStr">
        <is>
          <t>Midwest</t>
        </is>
      </c>
      <c r="K188" t="n">
        <v>6</v>
      </c>
      <c r="L188" t="inlineStr">
        <is>
          <t>First 6</t>
        </is>
      </c>
      <c r="M188" t="inlineStr">
        <is>
          <t>Dye</t>
        </is>
      </c>
      <c r="N188" t="inlineStr">
        <is>
          <t>White</t>
        </is>
      </c>
      <c r="O188" t="n">
        <v>70.59999999999999</v>
      </c>
      <c r="P188" t="n">
        <v>130</v>
      </c>
      <c r="Q188" t="n">
        <v>6111</v>
      </c>
      <c r="R188" t="inlineStr">
        <is>
          <t>FTAS</t>
        </is>
      </c>
      <c r="S188" t="inlineStr">
        <is>
          <t>FTAS</t>
        </is>
      </c>
      <c r="T188" t="inlineStr">
        <is>
          <t>Under 6'</t>
        </is>
      </c>
      <c r="U188" t="inlineStr">
        <is>
          <t>Mangold</t>
        </is>
      </c>
      <c r="V188" t="inlineStr">
        <is>
          <t>Weisberger</t>
        </is>
      </c>
      <c r="W188" t="inlineStr">
        <is>
          <t>Green</t>
        </is>
      </c>
      <c r="AA188" t="n">
        <v>0.5</v>
      </c>
      <c r="AB188" t="inlineStr">
        <is>
          <t>W</t>
        </is>
      </c>
      <c r="AC188" t="inlineStr">
        <is>
          <t>2Up</t>
        </is>
      </c>
      <c r="AE188">
        <f>$V188&amp;$Y188</f>
        <v/>
      </c>
      <c r="AF188" t="n">
        <v>0.5</v>
      </c>
      <c r="AG188" t="n">
        <v>1</v>
      </c>
      <c r="AH188" t="n">
        <v>0</v>
      </c>
      <c r="AI188" t="n">
        <v>0</v>
      </c>
      <c r="AJ188" t="n">
        <v>1</v>
      </c>
    </row>
    <row r="189" ht="15" customHeight="1" s="2">
      <c r="B189" t="inlineStr">
        <is>
          <t>FT1</t>
        </is>
      </c>
      <c r="D189" t="n">
        <v>4</v>
      </c>
      <c r="E189" t="inlineStr">
        <is>
          <t>FBC4-FT</t>
        </is>
      </c>
      <c r="F189" t="inlineStr">
        <is>
          <t>Friday</t>
        </is>
      </c>
      <c r="G189" s="27" t="n">
        <v>42573</v>
      </c>
      <c r="H189" t="inlineStr">
        <is>
          <t>PM</t>
        </is>
      </c>
      <c r="I189" t="inlineStr">
        <is>
          <t>French Lick, IN</t>
        </is>
      </c>
      <c r="J189" t="inlineStr">
        <is>
          <t>Midwest</t>
        </is>
      </c>
      <c r="K189" t="n">
        <v>6</v>
      </c>
      <c r="L189" t="inlineStr">
        <is>
          <t>First 6</t>
        </is>
      </c>
      <c r="M189" t="inlineStr">
        <is>
          <t>Dye</t>
        </is>
      </c>
      <c r="N189" t="inlineStr">
        <is>
          <t>White</t>
        </is>
      </c>
      <c r="O189" t="n">
        <v>70.59999999999999</v>
      </c>
      <c r="P189" t="n">
        <v>130</v>
      </c>
      <c r="Q189" t="n">
        <v>6111</v>
      </c>
      <c r="R189" t="inlineStr">
        <is>
          <t>FTAS</t>
        </is>
      </c>
      <c r="S189" t="inlineStr">
        <is>
          <t>FTAS</t>
        </is>
      </c>
      <c r="T189" t="inlineStr">
        <is>
          <t>Under 6'</t>
        </is>
      </c>
      <c r="U189" t="inlineStr">
        <is>
          <t>Mangold</t>
        </is>
      </c>
      <c r="V189" t="inlineStr">
        <is>
          <t>Ferrin</t>
        </is>
      </c>
      <c r="W189" t="inlineStr">
        <is>
          <t>Green</t>
        </is>
      </c>
      <c r="AA189" t="n">
        <v>0.5</v>
      </c>
      <c r="AB189" t="inlineStr">
        <is>
          <t>W</t>
        </is>
      </c>
      <c r="AC189" t="inlineStr">
        <is>
          <t>2Up</t>
        </is>
      </c>
      <c r="AE189">
        <f>$V189&amp;$Y189</f>
        <v/>
      </c>
      <c r="AF189" t="n">
        <v>0.5</v>
      </c>
      <c r="AG189" t="n">
        <v>1</v>
      </c>
      <c r="AH189" t="n">
        <v>0</v>
      </c>
      <c r="AI189" t="n">
        <v>0</v>
      </c>
      <c r="AJ189" t="n">
        <v>1</v>
      </c>
    </row>
    <row r="190" ht="15" customHeight="1" s="2">
      <c r="B190" t="inlineStr">
        <is>
          <t>FT1</t>
        </is>
      </c>
      <c r="D190" t="n">
        <v>4</v>
      </c>
      <c r="E190" t="inlineStr">
        <is>
          <t>FBC4-FT</t>
        </is>
      </c>
      <c r="F190" t="inlineStr">
        <is>
          <t>Friday</t>
        </is>
      </c>
      <c r="G190" s="27" t="n">
        <v>42573</v>
      </c>
      <c r="H190" t="inlineStr">
        <is>
          <t>PM</t>
        </is>
      </c>
      <c r="I190" t="inlineStr">
        <is>
          <t>French Lick, IN</t>
        </is>
      </c>
      <c r="J190" t="inlineStr">
        <is>
          <t>Midwest</t>
        </is>
      </c>
      <c r="K190" t="n">
        <v>6</v>
      </c>
      <c r="L190" t="inlineStr">
        <is>
          <t>First 6</t>
        </is>
      </c>
      <c r="M190" t="inlineStr">
        <is>
          <t>Dye</t>
        </is>
      </c>
      <c r="N190" t="inlineStr">
        <is>
          <t>White</t>
        </is>
      </c>
      <c r="O190" t="n">
        <v>70.59999999999999</v>
      </c>
      <c r="P190" t="n">
        <v>130</v>
      </c>
      <c r="Q190" t="n">
        <v>6111</v>
      </c>
      <c r="R190" t="inlineStr">
        <is>
          <t>FTAS</t>
        </is>
      </c>
      <c r="S190" t="inlineStr">
        <is>
          <t>FTAS</t>
        </is>
      </c>
      <c r="T190" t="inlineStr">
        <is>
          <t>Under 6'</t>
        </is>
      </c>
      <c r="U190" t="inlineStr">
        <is>
          <t>Mangold</t>
        </is>
      </c>
      <c r="V190" t="inlineStr">
        <is>
          <t>Gray</t>
        </is>
      </c>
      <c r="W190" t="inlineStr">
        <is>
          <t>Green</t>
        </is>
      </c>
      <c r="AA190" t="n">
        <v>0.5</v>
      </c>
      <c r="AB190" t="inlineStr">
        <is>
          <t>W</t>
        </is>
      </c>
      <c r="AC190" t="inlineStr">
        <is>
          <t>2Up</t>
        </is>
      </c>
      <c r="AE190">
        <f>$V190&amp;$Y190</f>
        <v/>
      </c>
      <c r="AF190" t="n">
        <v>0.5</v>
      </c>
      <c r="AG190" t="n">
        <v>1</v>
      </c>
      <c r="AH190" t="n">
        <v>0</v>
      </c>
      <c r="AI190" t="n">
        <v>0</v>
      </c>
      <c r="AJ190" t="n">
        <v>1</v>
      </c>
    </row>
    <row r="191" ht="15" customHeight="1" s="2">
      <c r="B191" t="inlineStr">
        <is>
          <t>FT1</t>
        </is>
      </c>
      <c r="D191" t="n">
        <v>4</v>
      </c>
      <c r="E191" t="inlineStr">
        <is>
          <t>FBC4-FT</t>
        </is>
      </c>
      <c r="F191" t="inlineStr">
        <is>
          <t>Friday</t>
        </is>
      </c>
      <c r="G191" s="27" t="n">
        <v>42573</v>
      </c>
      <c r="H191" t="inlineStr">
        <is>
          <t>PM</t>
        </is>
      </c>
      <c r="I191" t="inlineStr">
        <is>
          <t>French Lick, IN</t>
        </is>
      </c>
      <c r="J191" t="inlineStr">
        <is>
          <t>Midwest</t>
        </is>
      </c>
      <c r="K191" t="n">
        <v>6</v>
      </c>
      <c r="L191" t="inlineStr">
        <is>
          <t>First 6</t>
        </is>
      </c>
      <c r="M191" t="inlineStr">
        <is>
          <t>Dye</t>
        </is>
      </c>
      <c r="N191" t="inlineStr">
        <is>
          <t>White</t>
        </is>
      </c>
      <c r="O191" t="n">
        <v>70.59999999999999</v>
      </c>
      <c r="P191" t="n">
        <v>130</v>
      </c>
      <c r="Q191" t="n">
        <v>6111</v>
      </c>
      <c r="R191" t="inlineStr">
        <is>
          <t>FTAS</t>
        </is>
      </c>
      <c r="S191" t="inlineStr">
        <is>
          <t>FTAS</t>
        </is>
      </c>
      <c r="T191" t="inlineStr">
        <is>
          <t>Under 6'</t>
        </is>
      </c>
      <c r="U191" t="inlineStr">
        <is>
          <t>Mangold</t>
        </is>
      </c>
      <c r="V191" t="inlineStr">
        <is>
          <t>Connors</t>
        </is>
      </c>
      <c r="W191" t="inlineStr">
        <is>
          <t>Green</t>
        </is>
      </c>
      <c r="AA191" t="n">
        <v>0.5</v>
      </c>
      <c r="AB191" t="inlineStr">
        <is>
          <t>W</t>
        </is>
      </c>
      <c r="AC191" t="inlineStr">
        <is>
          <t>2Up</t>
        </is>
      </c>
      <c r="AE191">
        <f>$V191&amp;$Y191</f>
        <v/>
      </c>
      <c r="AF191" t="n">
        <v>0.5</v>
      </c>
      <c r="AG191" t="n">
        <v>1</v>
      </c>
      <c r="AH191" t="n">
        <v>0</v>
      </c>
      <c r="AI191" t="n">
        <v>0</v>
      </c>
      <c r="AJ191" t="n">
        <v>1</v>
      </c>
    </row>
    <row r="192" ht="15" customHeight="1" s="2">
      <c r="B192" t="inlineStr">
        <is>
          <t>FT1</t>
        </is>
      </c>
      <c r="D192" t="n">
        <v>4</v>
      </c>
      <c r="E192" t="inlineStr">
        <is>
          <t>FBC4-FT</t>
        </is>
      </c>
      <c r="F192" t="inlineStr">
        <is>
          <t>Friday</t>
        </is>
      </c>
      <c r="G192" s="27" t="n">
        <v>42573</v>
      </c>
      <c r="H192" t="inlineStr">
        <is>
          <t>PM</t>
        </is>
      </c>
      <c r="I192" t="inlineStr">
        <is>
          <t>French Lick, IN</t>
        </is>
      </c>
      <c r="J192" t="inlineStr">
        <is>
          <t>Midwest</t>
        </is>
      </c>
      <c r="K192" t="n">
        <v>6</v>
      </c>
      <c r="L192" t="inlineStr">
        <is>
          <t>First 6</t>
        </is>
      </c>
      <c r="M192" t="inlineStr">
        <is>
          <t>Dye</t>
        </is>
      </c>
      <c r="N192" t="inlineStr">
        <is>
          <t>White</t>
        </is>
      </c>
      <c r="O192" t="n">
        <v>70.59999999999999</v>
      </c>
      <c r="P192" t="n">
        <v>130</v>
      </c>
      <c r="Q192" t="n">
        <v>6111</v>
      </c>
      <c r="R192" t="inlineStr">
        <is>
          <t>FTAS</t>
        </is>
      </c>
      <c r="S192" t="inlineStr">
        <is>
          <t>FTAS</t>
        </is>
      </c>
      <c r="T192" t="inlineStr">
        <is>
          <t>Under 6'</t>
        </is>
      </c>
      <c r="U192" t="inlineStr">
        <is>
          <t>Mangold</t>
        </is>
      </c>
      <c r="V192" t="inlineStr">
        <is>
          <t>Cole</t>
        </is>
      </c>
      <c r="W192" t="inlineStr">
        <is>
          <t>Green</t>
        </is>
      </c>
      <c r="AA192" t="n">
        <v>0.5</v>
      </c>
      <c r="AB192" t="inlineStr">
        <is>
          <t>W</t>
        </is>
      </c>
      <c r="AC192" t="inlineStr">
        <is>
          <t>2Up</t>
        </is>
      </c>
      <c r="AE192">
        <f>$V192&amp;$Y192</f>
        <v/>
      </c>
      <c r="AF192" t="n">
        <v>0.5</v>
      </c>
      <c r="AG192" t="n">
        <v>1</v>
      </c>
      <c r="AH192" t="n">
        <v>0</v>
      </c>
      <c r="AI192" t="n">
        <v>0</v>
      </c>
      <c r="AJ192" t="n">
        <v>1</v>
      </c>
    </row>
    <row r="193" ht="15" customHeight="1" s="2">
      <c r="B193" t="inlineStr">
        <is>
          <t>FT1</t>
        </is>
      </c>
      <c r="D193" t="n">
        <v>4</v>
      </c>
      <c r="E193" t="inlineStr">
        <is>
          <t>FBC4-FT</t>
        </is>
      </c>
      <c r="F193" t="inlineStr">
        <is>
          <t>Friday</t>
        </is>
      </c>
      <c r="G193" s="27" t="n">
        <v>42573</v>
      </c>
      <c r="H193" t="inlineStr">
        <is>
          <t>PM</t>
        </is>
      </c>
      <c r="I193" t="inlineStr">
        <is>
          <t>French Lick, IN</t>
        </is>
      </c>
      <c r="J193" t="inlineStr">
        <is>
          <t>Midwest</t>
        </is>
      </c>
      <c r="K193" t="n">
        <v>6</v>
      </c>
      <c r="L193" t="inlineStr">
        <is>
          <t>First 6</t>
        </is>
      </c>
      <c r="M193" t="inlineStr">
        <is>
          <t>Dye</t>
        </is>
      </c>
      <c r="N193" t="inlineStr">
        <is>
          <t>White</t>
        </is>
      </c>
      <c r="O193" t="n">
        <v>70.59999999999999</v>
      </c>
      <c r="P193" t="n">
        <v>130</v>
      </c>
      <c r="Q193" t="n">
        <v>6111</v>
      </c>
      <c r="R193" t="inlineStr">
        <is>
          <t>FTAS</t>
        </is>
      </c>
      <c r="S193" t="inlineStr">
        <is>
          <t>FTAS</t>
        </is>
      </c>
      <c r="T193" t="inlineStr">
        <is>
          <t>Under 6'</t>
        </is>
      </c>
      <c r="U193" t="inlineStr">
        <is>
          <t>Mangold</t>
        </is>
      </c>
      <c r="V193" t="inlineStr">
        <is>
          <t>Forster</t>
        </is>
      </c>
      <c r="W193" t="inlineStr">
        <is>
          <t>Green</t>
        </is>
      </c>
      <c r="AA193" t="n">
        <v>0.5</v>
      </c>
      <c r="AB193" t="inlineStr">
        <is>
          <t>W</t>
        </is>
      </c>
      <c r="AC193" t="inlineStr">
        <is>
          <t>2Up</t>
        </is>
      </c>
      <c r="AE193">
        <f>$V193&amp;$Y193</f>
        <v/>
      </c>
      <c r="AF193" t="n">
        <v>0.5</v>
      </c>
      <c r="AG193" t="n">
        <v>1</v>
      </c>
      <c r="AH193" t="n">
        <v>0</v>
      </c>
      <c r="AI193" t="n">
        <v>0</v>
      </c>
      <c r="AJ193" t="n">
        <v>1</v>
      </c>
    </row>
    <row r="194" ht="15" customHeight="1" s="2">
      <c r="B194" t="inlineStr">
        <is>
          <t>FT1</t>
        </is>
      </c>
      <c r="D194" t="n">
        <v>4</v>
      </c>
      <c r="E194" t="inlineStr">
        <is>
          <t>FBC4-FT</t>
        </is>
      </c>
      <c r="F194" t="inlineStr">
        <is>
          <t>Friday</t>
        </is>
      </c>
      <c r="G194" s="27" t="n">
        <v>42573</v>
      </c>
      <c r="H194" t="inlineStr">
        <is>
          <t>PM</t>
        </is>
      </c>
      <c r="I194" t="inlineStr">
        <is>
          <t>French Lick, IN</t>
        </is>
      </c>
      <c r="J194" t="inlineStr">
        <is>
          <t>Midwest</t>
        </is>
      </c>
      <c r="K194" t="n">
        <v>6</v>
      </c>
      <c r="L194" t="inlineStr">
        <is>
          <t>First 6</t>
        </is>
      </c>
      <c r="M194" t="inlineStr">
        <is>
          <t>Dye</t>
        </is>
      </c>
      <c r="N194" t="inlineStr">
        <is>
          <t>White</t>
        </is>
      </c>
      <c r="O194" t="n">
        <v>70.59999999999999</v>
      </c>
      <c r="P194" t="n">
        <v>130</v>
      </c>
      <c r="Q194" t="n">
        <v>6111</v>
      </c>
      <c r="R194" t="inlineStr">
        <is>
          <t>FTAS</t>
        </is>
      </c>
      <c r="S194" t="inlineStr">
        <is>
          <t>FTAS</t>
        </is>
      </c>
      <c r="T194" t="inlineStr">
        <is>
          <t>Under 6'</t>
        </is>
      </c>
      <c r="U194" t="inlineStr">
        <is>
          <t>Mangold</t>
        </is>
      </c>
      <c r="V194" t="inlineStr">
        <is>
          <t>Norat</t>
        </is>
      </c>
      <c r="W194" t="inlineStr">
        <is>
          <t>Green</t>
        </is>
      </c>
      <c r="AA194" t="n">
        <v>0.5</v>
      </c>
      <c r="AB194" t="inlineStr">
        <is>
          <t>W</t>
        </is>
      </c>
      <c r="AC194" t="inlineStr">
        <is>
          <t>2Up</t>
        </is>
      </c>
      <c r="AE194">
        <f>$V194&amp;$Y194</f>
        <v/>
      </c>
      <c r="AF194" t="n">
        <v>0.5</v>
      </c>
      <c r="AG194" t="n">
        <v>1</v>
      </c>
      <c r="AH194" t="n">
        <v>0</v>
      </c>
      <c r="AI194" t="n">
        <v>0</v>
      </c>
      <c r="AJ194" t="n">
        <v>1</v>
      </c>
    </row>
    <row r="195" ht="15" customHeight="1" s="2">
      <c r="B195" t="inlineStr">
        <is>
          <t>FT1</t>
        </is>
      </c>
      <c r="D195" t="n">
        <v>4</v>
      </c>
      <c r="E195" t="inlineStr">
        <is>
          <t>FBC4-FT</t>
        </is>
      </c>
      <c r="F195" t="inlineStr">
        <is>
          <t>Friday</t>
        </is>
      </c>
      <c r="G195" s="27" t="n">
        <v>42573</v>
      </c>
      <c r="H195" t="inlineStr">
        <is>
          <t>PM</t>
        </is>
      </c>
      <c r="I195" t="inlineStr">
        <is>
          <t>French Lick, IN</t>
        </is>
      </c>
      <c r="J195" t="inlineStr">
        <is>
          <t>Midwest</t>
        </is>
      </c>
      <c r="K195" t="n">
        <v>6</v>
      </c>
      <c r="L195" t="inlineStr">
        <is>
          <t>First 6</t>
        </is>
      </c>
      <c r="M195" t="inlineStr">
        <is>
          <t>Dye</t>
        </is>
      </c>
      <c r="N195" t="inlineStr">
        <is>
          <t>White</t>
        </is>
      </c>
      <c r="O195" t="n">
        <v>70.59999999999999</v>
      </c>
      <c r="P195" t="n">
        <v>130</v>
      </c>
      <c r="Q195" t="n">
        <v>6111</v>
      </c>
      <c r="R195" t="inlineStr">
        <is>
          <t>FTAS</t>
        </is>
      </c>
      <c r="S195" t="inlineStr">
        <is>
          <t>FTAS</t>
        </is>
      </c>
      <c r="T195" t="inlineStr">
        <is>
          <t>Under 6'</t>
        </is>
      </c>
      <c r="U195" t="inlineStr">
        <is>
          <t>Mangold</t>
        </is>
      </c>
      <c r="V195" t="inlineStr">
        <is>
          <t>Mangold</t>
        </is>
      </c>
      <c r="W195" t="inlineStr">
        <is>
          <t>Green</t>
        </is>
      </c>
      <c r="AA195" t="n">
        <v>0.5</v>
      </c>
      <c r="AB195" t="inlineStr">
        <is>
          <t>W</t>
        </is>
      </c>
      <c r="AC195" t="inlineStr">
        <is>
          <t>2Up</t>
        </is>
      </c>
      <c r="AE195">
        <f>$V195&amp;$Y195</f>
        <v/>
      </c>
      <c r="AF195" t="n">
        <v>0.5</v>
      </c>
      <c r="AG195" t="n">
        <v>1</v>
      </c>
      <c r="AH195" t="n">
        <v>0</v>
      </c>
      <c r="AI195" t="n">
        <v>0</v>
      </c>
      <c r="AJ195" t="n">
        <v>1</v>
      </c>
    </row>
    <row r="196" ht="15" customHeight="1" s="2">
      <c r="B196" t="inlineStr">
        <is>
          <t>FT1</t>
        </is>
      </c>
      <c r="D196" t="n">
        <v>4</v>
      </c>
      <c r="E196" t="inlineStr">
        <is>
          <t>FBC4-FT</t>
        </is>
      </c>
      <c r="F196" t="inlineStr">
        <is>
          <t>Friday</t>
        </is>
      </c>
      <c r="G196" s="27" t="n">
        <v>42573</v>
      </c>
      <c r="H196" t="inlineStr">
        <is>
          <t>PM</t>
        </is>
      </c>
      <c r="I196" t="inlineStr">
        <is>
          <t>French Lick, IN</t>
        </is>
      </c>
      <c r="J196" t="inlineStr">
        <is>
          <t>Midwest</t>
        </is>
      </c>
      <c r="K196" t="n">
        <v>6</v>
      </c>
      <c r="L196" t="inlineStr">
        <is>
          <t>First 6</t>
        </is>
      </c>
      <c r="M196" t="inlineStr">
        <is>
          <t>Dye</t>
        </is>
      </c>
      <c r="N196" t="inlineStr">
        <is>
          <t>White</t>
        </is>
      </c>
      <c r="O196" t="n">
        <v>70.59999999999999</v>
      </c>
      <c r="P196" t="n">
        <v>130</v>
      </c>
      <c r="Q196" t="n">
        <v>6111</v>
      </c>
      <c r="R196" t="inlineStr">
        <is>
          <t>FTAS</t>
        </is>
      </c>
      <c r="S196" t="inlineStr">
        <is>
          <t>FTAS</t>
        </is>
      </c>
      <c r="T196" t="inlineStr">
        <is>
          <t>Over 6'</t>
        </is>
      </c>
      <c r="U196" t="inlineStr">
        <is>
          <t>Grise</t>
        </is>
      </c>
      <c r="V196" t="inlineStr">
        <is>
          <t>Grise</t>
        </is>
      </c>
      <c r="W196" t="inlineStr">
        <is>
          <t>Blue</t>
        </is>
      </c>
      <c r="AA196" t="n">
        <v>0.5</v>
      </c>
      <c r="AB196" t="inlineStr">
        <is>
          <t>L</t>
        </is>
      </c>
      <c r="AC196" t="inlineStr">
        <is>
          <t>2Up</t>
        </is>
      </c>
      <c r="AE196">
        <f>$V196&amp;$Y196</f>
        <v/>
      </c>
      <c r="AF196" t="n">
        <v>0</v>
      </c>
      <c r="AG196" t="n">
        <v>0</v>
      </c>
      <c r="AH196" t="n">
        <v>1</v>
      </c>
      <c r="AI196" t="n">
        <v>0</v>
      </c>
      <c r="AJ196" t="n">
        <v>0</v>
      </c>
    </row>
    <row r="197" ht="15" customHeight="1" s="2">
      <c r="B197" t="inlineStr">
        <is>
          <t>FT1</t>
        </is>
      </c>
      <c r="D197" t="n">
        <v>4</v>
      </c>
      <c r="E197" t="inlineStr">
        <is>
          <t>FBC4-FT</t>
        </is>
      </c>
      <c r="F197" t="inlineStr">
        <is>
          <t>Friday</t>
        </is>
      </c>
      <c r="G197" s="27" t="n">
        <v>42573</v>
      </c>
      <c r="H197" t="inlineStr">
        <is>
          <t>PM</t>
        </is>
      </c>
      <c r="I197" t="inlineStr">
        <is>
          <t>French Lick, IN</t>
        </is>
      </c>
      <c r="J197" t="inlineStr">
        <is>
          <t>Midwest</t>
        </is>
      </c>
      <c r="K197" t="n">
        <v>6</v>
      </c>
      <c r="L197" t="inlineStr">
        <is>
          <t>First 6</t>
        </is>
      </c>
      <c r="M197" t="inlineStr">
        <is>
          <t>Dye</t>
        </is>
      </c>
      <c r="N197" t="inlineStr">
        <is>
          <t>White</t>
        </is>
      </c>
      <c r="O197" t="n">
        <v>70.59999999999999</v>
      </c>
      <c r="P197" t="n">
        <v>130</v>
      </c>
      <c r="Q197" t="n">
        <v>6111</v>
      </c>
      <c r="R197" t="inlineStr">
        <is>
          <t>FTAS</t>
        </is>
      </c>
      <c r="S197" t="inlineStr">
        <is>
          <t>FTAS</t>
        </is>
      </c>
      <c r="T197" t="inlineStr">
        <is>
          <t>Over 6'</t>
        </is>
      </c>
      <c r="U197" t="inlineStr">
        <is>
          <t>Grise</t>
        </is>
      </c>
      <c r="V197" t="inlineStr">
        <is>
          <t>Zimmer</t>
        </is>
      </c>
      <c r="W197" t="inlineStr">
        <is>
          <t>Blue</t>
        </is>
      </c>
      <c r="AA197" t="n">
        <v>0.5</v>
      </c>
      <c r="AB197" t="inlineStr">
        <is>
          <t>L</t>
        </is>
      </c>
      <c r="AC197" t="inlineStr">
        <is>
          <t>2Up</t>
        </is>
      </c>
      <c r="AE197">
        <f>$V197&amp;$Y197</f>
        <v/>
      </c>
      <c r="AF197" t="n">
        <v>0</v>
      </c>
      <c r="AG197" t="n">
        <v>0</v>
      </c>
      <c r="AH197" t="n">
        <v>1</v>
      </c>
      <c r="AI197" t="n">
        <v>0</v>
      </c>
      <c r="AJ197" t="n">
        <v>0</v>
      </c>
    </row>
    <row r="198" ht="15" customHeight="1" s="2">
      <c r="B198" t="inlineStr">
        <is>
          <t>FT1</t>
        </is>
      </c>
      <c r="D198" t="n">
        <v>4</v>
      </c>
      <c r="E198" t="inlineStr">
        <is>
          <t>FBC4-FT</t>
        </is>
      </c>
      <c r="F198" t="inlineStr">
        <is>
          <t>Friday</t>
        </is>
      </c>
      <c r="G198" s="27" t="n">
        <v>42573</v>
      </c>
      <c r="H198" t="inlineStr">
        <is>
          <t>PM</t>
        </is>
      </c>
      <c r="I198" t="inlineStr">
        <is>
          <t>French Lick, IN</t>
        </is>
      </c>
      <c r="J198" t="inlineStr">
        <is>
          <t>Midwest</t>
        </is>
      </c>
      <c r="K198" t="n">
        <v>6</v>
      </c>
      <c r="L198" t="inlineStr">
        <is>
          <t>First 6</t>
        </is>
      </c>
      <c r="M198" t="inlineStr">
        <is>
          <t>Dye</t>
        </is>
      </c>
      <c r="N198" t="inlineStr">
        <is>
          <t>White</t>
        </is>
      </c>
      <c r="O198" t="n">
        <v>70.59999999999999</v>
      </c>
      <c r="P198" t="n">
        <v>130</v>
      </c>
      <c r="Q198" t="n">
        <v>6111</v>
      </c>
      <c r="R198" t="inlineStr">
        <is>
          <t>FTAS</t>
        </is>
      </c>
      <c r="S198" t="inlineStr">
        <is>
          <t>FTAS</t>
        </is>
      </c>
      <c r="T198" t="inlineStr">
        <is>
          <t>Over 6'</t>
        </is>
      </c>
      <c r="U198" t="inlineStr">
        <is>
          <t>Grise</t>
        </is>
      </c>
      <c r="V198" t="inlineStr">
        <is>
          <t>Welker</t>
        </is>
      </c>
      <c r="W198" t="inlineStr">
        <is>
          <t>Blue</t>
        </is>
      </c>
      <c r="AA198" t="n">
        <v>0.5</v>
      </c>
      <c r="AB198" t="inlineStr">
        <is>
          <t>L</t>
        </is>
      </c>
      <c r="AC198" t="inlineStr">
        <is>
          <t>2Up</t>
        </is>
      </c>
      <c r="AE198">
        <f>$V198&amp;$Y198</f>
        <v/>
      </c>
      <c r="AF198" t="n">
        <v>0</v>
      </c>
      <c r="AG198" t="n">
        <v>0</v>
      </c>
      <c r="AH198" t="n">
        <v>1</v>
      </c>
      <c r="AI198" t="n">
        <v>0</v>
      </c>
      <c r="AJ198" t="n">
        <v>0</v>
      </c>
    </row>
    <row r="199" ht="15" customHeight="1" s="2">
      <c r="B199" t="inlineStr">
        <is>
          <t>FT1</t>
        </is>
      </c>
      <c r="D199" t="n">
        <v>4</v>
      </c>
      <c r="E199" t="inlineStr">
        <is>
          <t>FBC4-FT</t>
        </is>
      </c>
      <c r="F199" t="inlineStr">
        <is>
          <t>Friday</t>
        </is>
      </c>
      <c r="G199" s="27" t="n">
        <v>42573</v>
      </c>
      <c r="H199" t="inlineStr">
        <is>
          <t>PM</t>
        </is>
      </c>
      <c r="I199" t="inlineStr">
        <is>
          <t>French Lick, IN</t>
        </is>
      </c>
      <c r="J199" t="inlineStr">
        <is>
          <t>Midwest</t>
        </is>
      </c>
      <c r="K199" t="n">
        <v>6</v>
      </c>
      <c r="L199" t="inlineStr">
        <is>
          <t>First 6</t>
        </is>
      </c>
      <c r="M199" t="inlineStr">
        <is>
          <t>Dye</t>
        </is>
      </c>
      <c r="N199" t="inlineStr">
        <is>
          <t>White</t>
        </is>
      </c>
      <c r="O199" t="n">
        <v>70.59999999999999</v>
      </c>
      <c r="P199" t="n">
        <v>130</v>
      </c>
      <c r="Q199" t="n">
        <v>6111</v>
      </c>
      <c r="R199" t="inlineStr">
        <is>
          <t>FTAS</t>
        </is>
      </c>
      <c r="S199" t="inlineStr">
        <is>
          <t>FTAS</t>
        </is>
      </c>
      <c r="T199" t="inlineStr">
        <is>
          <t>Over 6'</t>
        </is>
      </c>
      <c r="U199" t="inlineStr">
        <is>
          <t>Grise</t>
        </is>
      </c>
      <c r="V199" t="inlineStr">
        <is>
          <t>Connolly</t>
        </is>
      </c>
      <c r="W199" t="inlineStr">
        <is>
          <t>Blue</t>
        </is>
      </c>
      <c r="AA199" t="n">
        <v>0.5</v>
      </c>
      <c r="AB199" t="inlineStr">
        <is>
          <t>L</t>
        </is>
      </c>
      <c r="AC199" t="inlineStr">
        <is>
          <t>2Up</t>
        </is>
      </c>
      <c r="AE199">
        <f>$V199&amp;$Y199</f>
        <v/>
      </c>
      <c r="AF199" t="n">
        <v>0</v>
      </c>
      <c r="AG199" t="n">
        <v>0</v>
      </c>
      <c r="AH199" t="n">
        <v>1</v>
      </c>
      <c r="AI199" t="n">
        <v>0</v>
      </c>
      <c r="AJ199" t="n">
        <v>0</v>
      </c>
    </row>
    <row r="200" ht="15" customHeight="1" s="2">
      <c r="B200" t="inlineStr">
        <is>
          <t>FT1</t>
        </is>
      </c>
      <c r="D200" t="n">
        <v>4</v>
      </c>
      <c r="E200" t="inlineStr">
        <is>
          <t>FBC4-FT</t>
        </is>
      </c>
      <c r="F200" t="inlineStr">
        <is>
          <t>Friday</t>
        </is>
      </c>
      <c r="G200" s="27" t="n">
        <v>42573</v>
      </c>
      <c r="H200" t="inlineStr">
        <is>
          <t>PM</t>
        </is>
      </c>
      <c r="I200" t="inlineStr">
        <is>
          <t>French Lick, IN</t>
        </is>
      </c>
      <c r="J200" t="inlineStr">
        <is>
          <t>Midwest</t>
        </is>
      </c>
      <c r="K200" t="n">
        <v>6</v>
      </c>
      <c r="L200" t="inlineStr">
        <is>
          <t>First 6</t>
        </is>
      </c>
      <c r="M200" t="inlineStr">
        <is>
          <t>Dye</t>
        </is>
      </c>
      <c r="N200" t="inlineStr">
        <is>
          <t>White</t>
        </is>
      </c>
      <c r="O200" t="n">
        <v>70.59999999999999</v>
      </c>
      <c r="P200" t="n">
        <v>130</v>
      </c>
      <c r="Q200" t="n">
        <v>6111</v>
      </c>
      <c r="R200" t="inlineStr">
        <is>
          <t>FTAS</t>
        </is>
      </c>
      <c r="S200" t="inlineStr">
        <is>
          <t>FTAS</t>
        </is>
      </c>
      <c r="T200" t="inlineStr">
        <is>
          <t>Over 6'</t>
        </is>
      </c>
      <c r="U200" t="inlineStr">
        <is>
          <t>Grise</t>
        </is>
      </c>
      <c r="V200" t="inlineStr">
        <is>
          <t>Hickerson</t>
        </is>
      </c>
      <c r="W200" t="inlineStr">
        <is>
          <t>Blue</t>
        </is>
      </c>
      <c r="AA200" t="n">
        <v>0.5</v>
      </c>
      <c r="AB200" t="inlineStr">
        <is>
          <t>L</t>
        </is>
      </c>
      <c r="AC200" t="inlineStr">
        <is>
          <t>2Up</t>
        </is>
      </c>
      <c r="AE200">
        <f>$V200&amp;$Y200</f>
        <v/>
      </c>
      <c r="AF200" t="n">
        <v>0</v>
      </c>
      <c r="AG200" t="n">
        <v>0</v>
      </c>
      <c r="AH200" t="n">
        <v>1</v>
      </c>
      <c r="AI200" t="n">
        <v>0</v>
      </c>
      <c r="AJ200" t="n">
        <v>0</v>
      </c>
    </row>
    <row r="201" ht="15" customHeight="1" s="2">
      <c r="B201" t="inlineStr">
        <is>
          <t>FT1</t>
        </is>
      </c>
      <c r="D201" t="n">
        <v>4</v>
      </c>
      <c r="E201" t="inlineStr">
        <is>
          <t>FBC4-FT</t>
        </is>
      </c>
      <c r="F201" t="inlineStr">
        <is>
          <t>Friday</t>
        </is>
      </c>
      <c r="G201" s="27" t="n">
        <v>42573</v>
      </c>
      <c r="H201" t="inlineStr">
        <is>
          <t>PM</t>
        </is>
      </c>
      <c r="I201" t="inlineStr">
        <is>
          <t>French Lick, IN</t>
        </is>
      </c>
      <c r="J201" t="inlineStr">
        <is>
          <t>Midwest</t>
        </is>
      </c>
      <c r="K201" t="n">
        <v>6</v>
      </c>
      <c r="L201" t="inlineStr">
        <is>
          <t>First 6</t>
        </is>
      </c>
      <c r="M201" t="inlineStr">
        <is>
          <t>Dye</t>
        </is>
      </c>
      <c r="N201" t="inlineStr">
        <is>
          <t>White</t>
        </is>
      </c>
      <c r="O201" t="n">
        <v>70.59999999999999</v>
      </c>
      <c r="P201" t="n">
        <v>130</v>
      </c>
      <c r="Q201" t="n">
        <v>6111</v>
      </c>
      <c r="R201" t="inlineStr">
        <is>
          <t>FTAS</t>
        </is>
      </c>
      <c r="S201" t="inlineStr">
        <is>
          <t>FTAS</t>
        </is>
      </c>
      <c r="T201" t="inlineStr">
        <is>
          <t>Over 6'</t>
        </is>
      </c>
      <c r="U201" t="inlineStr">
        <is>
          <t>Grise</t>
        </is>
      </c>
      <c r="V201" t="inlineStr">
        <is>
          <t>McInerney</t>
        </is>
      </c>
      <c r="W201" t="inlineStr">
        <is>
          <t>Blue</t>
        </is>
      </c>
      <c r="AA201" t="n">
        <v>0.5</v>
      </c>
      <c r="AB201" t="inlineStr">
        <is>
          <t>L</t>
        </is>
      </c>
      <c r="AC201" t="inlineStr">
        <is>
          <t>2Up</t>
        </is>
      </c>
      <c r="AE201">
        <f>$V201&amp;$Y201</f>
        <v/>
      </c>
      <c r="AF201" t="n">
        <v>0</v>
      </c>
      <c r="AG201" t="n">
        <v>0</v>
      </c>
      <c r="AH201" t="n">
        <v>1</v>
      </c>
      <c r="AI201" t="n">
        <v>0</v>
      </c>
      <c r="AJ201" t="n">
        <v>0</v>
      </c>
    </row>
    <row r="202" ht="15" customHeight="1" s="2">
      <c r="B202" t="inlineStr">
        <is>
          <t>FT1</t>
        </is>
      </c>
      <c r="D202" t="n">
        <v>4</v>
      </c>
      <c r="E202" t="inlineStr">
        <is>
          <t>FBC4-FT</t>
        </is>
      </c>
      <c r="F202" t="inlineStr">
        <is>
          <t>Friday</t>
        </is>
      </c>
      <c r="G202" s="27" t="n">
        <v>42573</v>
      </c>
      <c r="H202" t="inlineStr">
        <is>
          <t>PM</t>
        </is>
      </c>
      <c r="I202" t="inlineStr">
        <is>
          <t>French Lick, IN</t>
        </is>
      </c>
      <c r="J202" t="inlineStr">
        <is>
          <t>Midwest</t>
        </is>
      </c>
      <c r="K202" t="n">
        <v>6</v>
      </c>
      <c r="L202" t="inlineStr">
        <is>
          <t>First 6</t>
        </is>
      </c>
      <c r="M202" t="inlineStr">
        <is>
          <t>Dye</t>
        </is>
      </c>
      <c r="N202" t="inlineStr">
        <is>
          <t>White</t>
        </is>
      </c>
      <c r="O202" t="n">
        <v>70.59999999999999</v>
      </c>
      <c r="P202" t="n">
        <v>130</v>
      </c>
      <c r="Q202" t="n">
        <v>6111</v>
      </c>
      <c r="R202" t="inlineStr">
        <is>
          <t>FTAS</t>
        </is>
      </c>
      <c r="S202" t="inlineStr">
        <is>
          <t>FTAS</t>
        </is>
      </c>
      <c r="T202" t="inlineStr">
        <is>
          <t>Over 6'</t>
        </is>
      </c>
      <c r="U202" t="inlineStr">
        <is>
          <t>Grise</t>
        </is>
      </c>
      <c r="V202" t="inlineStr">
        <is>
          <t>Lynch</t>
        </is>
      </c>
      <c r="W202" t="inlineStr">
        <is>
          <t>Blue</t>
        </is>
      </c>
      <c r="AA202" t="n">
        <v>0.5</v>
      </c>
      <c r="AB202" t="inlineStr">
        <is>
          <t>L</t>
        </is>
      </c>
      <c r="AC202" t="inlineStr">
        <is>
          <t>2Up</t>
        </is>
      </c>
      <c r="AE202">
        <f>$V202&amp;$Y202</f>
        <v/>
      </c>
      <c r="AF202" t="n">
        <v>0</v>
      </c>
      <c r="AG202" t="n">
        <v>0</v>
      </c>
      <c r="AH202" t="n">
        <v>1</v>
      </c>
      <c r="AI202" t="n">
        <v>0</v>
      </c>
      <c r="AJ202" t="n">
        <v>0</v>
      </c>
    </row>
    <row r="203" ht="15" customHeight="1" s="2">
      <c r="B203" t="inlineStr">
        <is>
          <t>FT1</t>
        </is>
      </c>
      <c r="D203" t="n">
        <v>4</v>
      </c>
      <c r="E203" t="inlineStr">
        <is>
          <t>FBC4-FT</t>
        </is>
      </c>
      <c r="F203" t="inlineStr">
        <is>
          <t>Friday</t>
        </is>
      </c>
      <c r="G203" s="27" t="n">
        <v>42573</v>
      </c>
      <c r="H203" t="inlineStr">
        <is>
          <t>PM</t>
        </is>
      </c>
      <c r="I203" t="inlineStr">
        <is>
          <t>French Lick, IN</t>
        </is>
      </c>
      <c r="J203" t="inlineStr">
        <is>
          <t>Midwest</t>
        </is>
      </c>
      <c r="K203" t="n">
        <v>6</v>
      </c>
      <c r="L203" t="inlineStr">
        <is>
          <t>First 6</t>
        </is>
      </c>
      <c r="M203" t="inlineStr">
        <is>
          <t>Dye</t>
        </is>
      </c>
      <c r="N203" t="inlineStr">
        <is>
          <t>White</t>
        </is>
      </c>
      <c r="O203" t="n">
        <v>70.59999999999999</v>
      </c>
      <c r="P203" t="n">
        <v>130</v>
      </c>
      <c r="Q203" t="n">
        <v>6111</v>
      </c>
      <c r="R203" t="inlineStr">
        <is>
          <t>FTAS</t>
        </is>
      </c>
      <c r="S203" t="inlineStr">
        <is>
          <t>FTAS</t>
        </is>
      </c>
      <c r="T203" t="inlineStr">
        <is>
          <t>Over 6'</t>
        </is>
      </c>
      <c r="U203" t="inlineStr">
        <is>
          <t>Grise</t>
        </is>
      </c>
      <c r="V203" t="inlineStr">
        <is>
          <t>Fogan</t>
        </is>
      </c>
      <c r="W203" t="inlineStr">
        <is>
          <t>Blue</t>
        </is>
      </c>
      <c r="AA203" t="n">
        <v>0.5</v>
      </c>
      <c r="AB203" t="inlineStr">
        <is>
          <t>L</t>
        </is>
      </c>
      <c r="AC203" t="inlineStr">
        <is>
          <t>2Up</t>
        </is>
      </c>
      <c r="AE203">
        <f>$V203&amp;$Y203</f>
        <v/>
      </c>
      <c r="AF203" t="n">
        <v>0</v>
      </c>
      <c r="AG203" t="n">
        <v>0</v>
      </c>
      <c r="AH203" t="n">
        <v>1</v>
      </c>
      <c r="AI203" t="n">
        <v>0</v>
      </c>
      <c r="AJ203" t="n">
        <v>0</v>
      </c>
    </row>
    <row r="204" ht="15" customHeight="1" s="2">
      <c r="B204" t="inlineStr">
        <is>
          <t>FT1</t>
        </is>
      </c>
      <c r="D204" t="n">
        <v>4</v>
      </c>
      <c r="E204" t="inlineStr">
        <is>
          <t>FBC4-FT</t>
        </is>
      </c>
      <c r="F204" t="inlineStr">
        <is>
          <t>Friday</t>
        </is>
      </c>
      <c r="G204" s="27" t="n">
        <v>42573</v>
      </c>
      <c r="H204" t="inlineStr">
        <is>
          <t>PM</t>
        </is>
      </c>
      <c r="I204" t="inlineStr">
        <is>
          <t>French Lick, IN</t>
        </is>
      </c>
      <c r="J204" t="inlineStr">
        <is>
          <t>Midwest</t>
        </is>
      </c>
      <c r="K204" t="n">
        <v>6</v>
      </c>
      <c r="L204" t="inlineStr">
        <is>
          <t>First 6</t>
        </is>
      </c>
      <c r="M204" t="inlineStr">
        <is>
          <t>Dye</t>
        </is>
      </c>
      <c r="N204" t="inlineStr">
        <is>
          <t>White</t>
        </is>
      </c>
      <c r="O204" t="n">
        <v>70.59999999999999</v>
      </c>
      <c r="P204" t="n">
        <v>130</v>
      </c>
      <c r="Q204" t="n">
        <v>6111</v>
      </c>
      <c r="R204" t="inlineStr">
        <is>
          <t>FTAS</t>
        </is>
      </c>
      <c r="S204" t="inlineStr">
        <is>
          <t>FTAS</t>
        </is>
      </c>
      <c r="T204" t="inlineStr">
        <is>
          <t>Over 6'</t>
        </is>
      </c>
      <c r="U204" t="inlineStr">
        <is>
          <t>Grise</t>
        </is>
      </c>
      <c r="V204" t="inlineStr">
        <is>
          <t>Shively</t>
        </is>
      </c>
      <c r="W204" t="inlineStr">
        <is>
          <t>Blue</t>
        </is>
      </c>
      <c r="AA204" t="n">
        <v>0.5</v>
      </c>
      <c r="AB204" t="inlineStr">
        <is>
          <t>L</t>
        </is>
      </c>
      <c r="AC204" t="inlineStr">
        <is>
          <t>2Up</t>
        </is>
      </c>
      <c r="AE204">
        <f>$V204&amp;$Y204</f>
        <v/>
      </c>
      <c r="AF204" t="n">
        <v>0</v>
      </c>
      <c r="AG204" t="n">
        <v>0</v>
      </c>
      <c r="AH204" t="n">
        <v>1</v>
      </c>
      <c r="AI204" t="n">
        <v>0</v>
      </c>
      <c r="AJ204" t="n">
        <v>0</v>
      </c>
    </row>
    <row r="205" ht="15" customHeight="1" s="2">
      <c r="B205" t="inlineStr">
        <is>
          <t>FT1</t>
        </is>
      </c>
      <c r="D205" t="n">
        <v>4</v>
      </c>
      <c r="E205" t="inlineStr">
        <is>
          <t>FBC4-FT</t>
        </is>
      </c>
      <c r="F205" t="inlineStr">
        <is>
          <t>Friday</t>
        </is>
      </c>
      <c r="G205" s="27" t="n">
        <v>42573</v>
      </c>
      <c r="H205" t="inlineStr">
        <is>
          <t>PM</t>
        </is>
      </c>
      <c r="I205" t="inlineStr">
        <is>
          <t>French Lick, IN</t>
        </is>
      </c>
      <c r="J205" t="inlineStr">
        <is>
          <t>Midwest</t>
        </is>
      </c>
      <c r="K205" t="n">
        <v>6</v>
      </c>
      <c r="L205" t="inlineStr">
        <is>
          <t>First 6</t>
        </is>
      </c>
      <c r="M205" t="inlineStr">
        <is>
          <t>Dye</t>
        </is>
      </c>
      <c r="N205" t="inlineStr">
        <is>
          <t>White</t>
        </is>
      </c>
      <c r="O205" t="n">
        <v>70.59999999999999</v>
      </c>
      <c r="P205" t="n">
        <v>130</v>
      </c>
      <c r="Q205" t="n">
        <v>6111</v>
      </c>
      <c r="R205" t="inlineStr">
        <is>
          <t>FTAS</t>
        </is>
      </c>
      <c r="S205" t="inlineStr">
        <is>
          <t>FTAS</t>
        </is>
      </c>
      <c r="T205" t="inlineStr">
        <is>
          <t>Over 6'</t>
        </is>
      </c>
      <c r="U205" t="inlineStr">
        <is>
          <t>Grise</t>
        </is>
      </c>
      <c r="V205" t="inlineStr">
        <is>
          <t>Buss</t>
        </is>
      </c>
      <c r="W205" t="inlineStr">
        <is>
          <t>Blue</t>
        </is>
      </c>
      <c r="AA205" t="n">
        <v>0.5</v>
      </c>
      <c r="AB205" t="inlineStr">
        <is>
          <t>L</t>
        </is>
      </c>
      <c r="AC205" t="inlineStr">
        <is>
          <t>2Up</t>
        </is>
      </c>
      <c r="AE205">
        <f>$V205&amp;$Y205</f>
        <v/>
      </c>
      <c r="AF205" t="n">
        <v>0</v>
      </c>
      <c r="AG205" t="n">
        <v>0</v>
      </c>
      <c r="AH205" t="n">
        <v>1</v>
      </c>
      <c r="AI205" t="n">
        <v>0</v>
      </c>
      <c r="AJ205" t="n">
        <v>0</v>
      </c>
    </row>
    <row r="206" ht="15" customHeight="1" s="2">
      <c r="B206" t="n">
        <v>21</v>
      </c>
      <c r="C206" t="n">
        <v>1</v>
      </c>
      <c r="D206" t="n">
        <v>4</v>
      </c>
      <c r="E206" t="inlineStr">
        <is>
          <t>FBC4-S-Connolly-Gray</t>
        </is>
      </c>
      <c r="F206" t="inlineStr">
        <is>
          <t>Saturday</t>
        </is>
      </c>
      <c r="G206" s="27" t="n">
        <v>42574</v>
      </c>
      <c r="H206" t="inlineStr">
        <is>
          <t>AM</t>
        </is>
      </c>
      <c r="I206" t="inlineStr">
        <is>
          <t>French Lick, IN</t>
        </is>
      </c>
      <c r="J206" t="inlineStr">
        <is>
          <t>Midwest</t>
        </is>
      </c>
      <c r="K206" t="n">
        <v>18</v>
      </c>
      <c r="L206" t="inlineStr">
        <is>
          <t>Full</t>
        </is>
      </c>
      <c r="M206" t="inlineStr">
        <is>
          <t>Ross</t>
        </is>
      </c>
      <c r="N206" t="inlineStr">
        <is>
          <t>Ross</t>
        </is>
      </c>
      <c r="O206" t="n">
        <v>72.3</v>
      </c>
      <c r="P206" t="n">
        <v>132</v>
      </c>
      <c r="Q206" t="n">
        <v>6517</v>
      </c>
      <c r="R206" t="inlineStr">
        <is>
          <t>Match Play</t>
        </is>
      </c>
      <c r="S206" t="inlineStr">
        <is>
          <t>Singles</t>
        </is>
      </c>
      <c r="T206" t="inlineStr">
        <is>
          <t>Under 6'</t>
        </is>
      </c>
      <c r="U206" t="inlineStr">
        <is>
          <t>Mangold</t>
        </is>
      </c>
      <c r="V206" t="inlineStr">
        <is>
          <t>Gray</t>
        </is>
      </c>
      <c r="W206" t="inlineStr">
        <is>
          <t>White</t>
        </is>
      </c>
      <c r="AA206" t="n">
        <v>2</v>
      </c>
      <c r="AB206" t="inlineStr">
        <is>
          <t>W</t>
        </is>
      </c>
      <c r="AC206" t="inlineStr">
        <is>
          <t>2&amp;1</t>
        </is>
      </c>
      <c r="AD206" t="inlineStr">
        <is>
          <t>Connolly</t>
        </is>
      </c>
      <c r="AE206">
        <f>$V206&amp;$Y206</f>
        <v/>
      </c>
      <c r="AF206" t="n">
        <v>2</v>
      </c>
      <c r="AG206" t="n">
        <v>1</v>
      </c>
      <c r="AH206" t="n">
        <v>0</v>
      </c>
      <c r="AI206" t="n">
        <v>0</v>
      </c>
      <c r="AJ206" t="n">
        <v>1</v>
      </c>
      <c r="AK206" t="inlineStr">
        <is>
          <t>Connolly</t>
        </is>
      </c>
      <c r="AL206" t="n">
        <v>0.59375</v>
      </c>
    </row>
    <row r="207" ht="15" customHeight="1" s="2">
      <c r="B207" t="n">
        <v>21</v>
      </c>
      <c r="C207" t="n">
        <v>2</v>
      </c>
      <c r="D207" t="n">
        <v>4</v>
      </c>
      <c r="E207" t="inlineStr">
        <is>
          <t>FBC4-S-Flanders-Welker</t>
        </is>
      </c>
      <c r="F207" t="inlineStr">
        <is>
          <t>Saturday</t>
        </is>
      </c>
      <c r="G207" s="27" t="n">
        <v>42574</v>
      </c>
      <c r="H207" t="inlineStr">
        <is>
          <t>AM</t>
        </is>
      </c>
      <c r="I207" t="inlineStr">
        <is>
          <t>French Lick, IN</t>
        </is>
      </c>
      <c r="J207" t="inlineStr">
        <is>
          <t>Midwest</t>
        </is>
      </c>
      <c r="K207" t="n">
        <v>18</v>
      </c>
      <c r="L207" t="inlineStr">
        <is>
          <t>Full</t>
        </is>
      </c>
      <c r="M207" t="inlineStr">
        <is>
          <t>Ross</t>
        </is>
      </c>
      <c r="N207" t="inlineStr">
        <is>
          <t>Ross</t>
        </is>
      </c>
      <c r="O207" t="n">
        <v>72.3</v>
      </c>
      <c r="P207" t="n">
        <v>132</v>
      </c>
      <c r="Q207" t="n">
        <v>6517</v>
      </c>
      <c r="R207" t="inlineStr">
        <is>
          <t>Match Play</t>
        </is>
      </c>
      <c r="S207" t="inlineStr">
        <is>
          <t>Singles</t>
        </is>
      </c>
      <c r="T207" t="inlineStr">
        <is>
          <t>Under 6'</t>
        </is>
      </c>
      <c r="U207" t="inlineStr">
        <is>
          <t>Mangold</t>
        </is>
      </c>
      <c r="V207" t="inlineStr">
        <is>
          <t>Flanders</t>
        </is>
      </c>
      <c r="W207" t="inlineStr">
        <is>
          <t>White</t>
        </is>
      </c>
      <c r="AA207" t="n">
        <v>2</v>
      </c>
      <c r="AB207" t="inlineStr">
        <is>
          <t>W</t>
        </is>
      </c>
      <c r="AC207" t="inlineStr">
        <is>
          <t>2&amp;1</t>
        </is>
      </c>
      <c r="AD207" t="inlineStr">
        <is>
          <t>Welker</t>
        </is>
      </c>
      <c r="AE207">
        <f>$V207&amp;$Y207</f>
        <v/>
      </c>
      <c r="AF207" t="n">
        <v>2</v>
      </c>
      <c r="AG207" t="n">
        <v>1</v>
      </c>
      <c r="AH207" t="n">
        <v>0</v>
      </c>
      <c r="AI207" t="n">
        <v>0</v>
      </c>
      <c r="AJ207" t="n">
        <v>1</v>
      </c>
      <c r="AK207" t="inlineStr">
        <is>
          <t>Welker</t>
        </is>
      </c>
      <c r="AL207" t="n">
        <v>0.510416666666667</v>
      </c>
    </row>
    <row r="208" ht="15" customHeight="1" s="2">
      <c r="B208" t="n">
        <v>22</v>
      </c>
      <c r="C208" t="n">
        <v>3</v>
      </c>
      <c r="D208" t="n">
        <v>4</v>
      </c>
      <c r="E208" t="inlineStr">
        <is>
          <t>FBC4-S-Grise-Weisberger</t>
        </is>
      </c>
      <c r="F208" t="inlineStr">
        <is>
          <t>Saturday</t>
        </is>
      </c>
      <c r="G208" s="27" t="n">
        <v>42574</v>
      </c>
      <c r="H208" t="inlineStr">
        <is>
          <t>AM</t>
        </is>
      </c>
      <c r="I208" t="inlineStr">
        <is>
          <t>French Lick, IN</t>
        </is>
      </c>
      <c r="J208" t="inlineStr">
        <is>
          <t>Midwest</t>
        </is>
      </c>
      <c r="K208" t="n">
        <v>18</v>
      </c>
      <c r="L208" t="inlineStr">
        <is>
          <t>Full</t>
        </is>
      </c>
      <c r="M208" t="inlineStr">
        <is>
          <t>Ross</t>
        </is>
      </c>
      <c r="N208" t="inlineStr">
        <is>
          <t>Ross</t>
        </is>
      </c>
      <c r="O208" t="n">
        <v>72.3</v>
      </c>
      <c r="P208" t="n">
        <v>132</v>
      </c>
      <c r="Q208" t="n">
        <v>6517</v>
      </c>
      <c r="R208" t="inlineStr">
        <is>
          <t>Match Play</t>
        </is>
      </c>
      <c r="S208" t="inlineStr">
        <is>
          <t>Singles</t>
        </is>
      </c>
      <c r="T208" t="inlineStr">
        <is>
          <t>Under 6'</t>
        </is>
      </c>
      <c r="U208" t="inlineStr">
        <is>
          <t>Mangold</t>
        </is>
      </c>
      <c r="V208" t="inlineStr">
        <is>
          <t>Weisberger</t>
        </is>
      </c>
      <c r="W208" t="inlineStr">
        <is>
          <t>White</t>
        </is>
      </c>
      <c r="AA208" t="n">
        <v>2</v>
      </c>
      <c r="AB208" t="inlineStr">
        <is>
          <t>L</t>
        </is>
      </c>
      <c r="AC208" t="inlineStr">
        <is>
          <t>6&amp;4</t>
        </is>
      </c>
      <c r="AD208" t="inlineStr">
        <is>
          <t>Grise</t>
        </is>
      </c>
      <c r="AE208">
        <f>$V208&amp;$Y208</f>
        <v/>
      </c>
      <c r="AF208" t="n">
        <v>0</v>
      </c>
      <c r="AG208" t="n">
        <v>0</v>
      </c>
      <c r="AH208" t="n">
        <v>1</v>
      </c>
      <c r="AI208" t="n">
        <v>0</v>
      </c>
      <c r="AJ208" t="n">
        <v>0</v>
      </c>
      <c r="AK208" t="inlineStr">
        <is>
          <t>Grise</t>
        </is>
      </c>
      <c r="AL208" t="n">
        <v>0.546875</v>
      </c>
    </row>
    <row r="209" ht="15" customHeight="1" s="2">
      <c r="B209" t="n">
        <v>22</v>
      </c>
      <c r="C209" t="n">
        <v>4</v>
      </c>
      <c r="D209" t="n">
        <v>4</v>
      </c>
      <c r="E209" t="inlineStr">
        <is>
          <t>FBC4-S-Cole-Lynch</t>
        </is>
      </c>
      <c r="F209" t="inlineStr">
        <is>
          <t>Saturday</t>
        </is>
      </c>
      <c r="G209" s="27" t="n">
        <v>42574</v>
      </c>
      <c r="H209" t="inlineStr">
        <is>
          <t>AM</t>
        </is>
      </c>
      <c r="I209" t="inlineStr">
        <is>
          <t>French Lick, IN</t>
        </is>
      </c>
      <c r="J209" t="inlineStr">
        <is>
          <t>Midwest</t>
        </is>
      </c>
      <c r="K209" t="n">
        <v>18</v>
      </c>
      <c r="L209" t="inlineStr">
        <is>
          <t>Full</t>
        </is>
      </c>
      <c r="M209" t="inlineStr">
        <is>
          <t>Ross</t>
        </is>
      </c>
      <c r="N209" t="inlineStr">
        <is>
          <t>Ross</t>
        </is>
      </c>
      <c r="O209" t="n">
        <v>72.3</v>
      </c>
      <c r="P209" t="n">
        <v>132</v>
      </c>
      <c r="Q209" t="n">
        <v>6517</v>
      </c>
      <c r="R209" t="inlineStr">
        <is>
          <t>Match Play</t>
        </is>
      </c>
      <c r="S209" t="inlineStr">
        <is>
          <t>Singles</t>
        </is>
      </c>
      <c r="T209" t="inlineStr">
        <is>
          <t>Under 6'</t>
        </is>
      </c>
      <c r="U209" t="inlineStr">
        <is>
          <t>Mangold</t>
        </is>
      </c>
      <c r="V209" t="inlineStr">
        <is>
          <t>Cole</t>
        </is>
      </c>
      <c r="W209" t="inlineStr">
        <is>
          <t>White</t>
        </is>
      </c>
      <c r="AA209" t="n">
        <v>2</v>
      </c>
      <c r="AB209" t="inlineStr">
        <is>
          <t>L</t>
        </is>
      </c>
      <c r="AC209" t="inlineStr">
        <is>
          <t>3&amp;1</t>
        </is>
      </c>
      <c r="AD209" t="inlineStr">
        <is>
          <t>Lynch</t>
        </is>
      </c>
      <c r="AE209">
        <f>$V209&amp;$Y209</f>
        <v/>
      </c>
      <c r="AF209" t="n">
        <v>0</v>
      </c>
      <c r="AG209" t="n">
        <v>0</v>
      </c>
      <c r="AH209" t="n">
        <v>1</v>
      </c>
      <c r="AI209" t="n">
        <v>0</v>
      </c>
      <c r="AJ209" t="n">
        <v>0</v>
      </c>
      <c r="AK209" t="inlineStr">
        <is>
          <t>Lynch</t>
        </is>
      </c>
      <c r="AL209" t="n">
        <v>0.5546875</v>
      </c>
    </row>
    <row r="210" ht="15" customHeight="1" s="2">
      <c r="B210" t="n">
        <v>23</v>
      </c>
      <c r="C210" t="n">
        <v>5</v>
      </c>
      <c r="D210" t="n">
        <v>4</v>
      </c>
      <c r="E210" t="inlineStr">
        <is>
          <t>FBC4-S-Ferrin-McInerney</t>
        </is>
      </c>
      <c r="F210" t="inlineStr">
        <is>
          <t>Saturday</t>
        </is>
      </c>
      <c r="G210" s="27" t="n">
        <v>42574</v>
      </c>
      <c r="H210" t="inlineStr">
        <is>
          <t>AM</t>
        </is>
      </c>
      <c r="I210" t="inlineStr">
        <is>
          <t>French Lick, IN</t>
        </is>
      </c>
      <c r="J210" t="inlineStr">
        <is>
          <t>Midwest</t>
        </is>
      </c>
      <c r="K210" t="n">
        <v>18</v>
      </c>
      <c r="L210" t="inlineStr">
        <is>
          <t>Full</t>
        </is>
      </c>
      <c r="M210" t="inlineStr">
        <is>
          <t>Ross</t>
        </is>
      </c>
      <c r="N210" t="inlineStr">
        <is>
          <t>Ross</t>
        </is>
      </c>
      <c r="O210" t="n">
        <v>72.3</v>
      </c>
      <c r="P210" t="n">
        <v>132</v>
      </c>
      <c r="Q210" t="n">
        <v>6517</v>
      </c>
      <c r="R210" t="inlineStr">
        <is>
          <t>Match Play</t>
        </is>
      </c>
      <c r="S210" t="inlineStr">
        <is>
          <t>Singles</t>
        </is>
      </c>
      <c r="T210" t="inlineStr">
        <is>
          <t>Under 6'</t>
        </is>
      </c>
      <c r="U210" t="inlineStr">
        <is>
          <t>Mangold</t>
        </is>
      </c>
      <c r="V210" t="inlineStr">
        <is>
          <t>Ferrin</t>
        </is>
      </c>
      <c r="W210" t="inlineStr">
        <is>
          <t>White</t>
        </is>
      </c>
      <c r="AA210" t="n">
        <v>2</v>
      </c>
      <c r="AB210" t="inlineStr">
        <is>
          <t>L</t>
        </is>
      </c>
      <c r="AC210" t="inlineStr">
        <is>
          <t>3&amp;2</t>
        </is>
      </c>
      <c r="AD210" t="inlineStr">
        <is>
          <t>McInerney</t>
        </is>
      </c>
      <c r="AE210">
        <f>$V210&amp;$Y210</f>
        <v/>
      </c>
      <c r="AF210" t="n">
        <v>0</v>
      </c>
      <c r="AG210" t="n">
        <v>0</v>
      </c>
      <c r="AH210" t="n">
        <v>1</v>
      </c>
      <c r="AI210" t="n">
        <v>0</v>
      </c>
      <c r="AJ210" t="n">
        <v>0</v>
      </c>
      <c r="AK210" t="inlineStr">
        <is>
          <t>McInerney</t>
        </is>
      </c>
      <c r="AL210" t="n">
        <v>0.5</v>
      </c>
    </row>
    <row r="211" ht="15" customHeight="1" s="2">
      <c r="B211" t="n">
        <v>23</v>
      </c>
      <c r="C211" t="n">
        <v>6</v>
      </c>
      <c r="D211" t="n">
        <v>4</v>
      </c>
      <c r="E211" t="inlineStr">
        <is>
          <t>FBC4-S-Mangold-Zimmer</t>
        </is>
      </c>
      <c r="F211" t="inlineStr">
        <is>
          <t>Saturday</t>
        </is>
      </c>
      <c r="G211" s="27" t="n">
        <v>42574</v>
      </c>
      <c r="H211" t="inlineStr">
        <is>
          <t>AM</t>
        </is>
      </c>
      <c r="I211" t="inlineStr">
        <is>
          <t>French Lick, IN</t>
        </is>
      </c>
      <c r="J211" t="inlineStr">
        <is>
          <t>Midwest</t>
        </is>
      </c>
      <c r="K211" t="n">
        <v>18</v>
      </c>
      <c r="L211" t="inlineStr">
        <is>
          <t>Full</t>
        </is>
      </c>
      <c r="M211" t="inlineStr">
        <is>
          <t>Ross</t>
        </is>
      </c>
      <c r="N211" t="inlineStr">
        <is>
          <t>Ross</t>
        </is>
      </c>
      <c r="O211" t="n">
        <v>72.3</v>
      </c>
      <c r="P211" t="n">
        <v>132</v>
      </c>
      <c r="Q211" t="n">
        <v>6517</v>
      </c>
      <c r="R211" t="inlineStr">
        <is>
          <t>Match Play</t>
        </is>
      </c>
      <c r="S211" t="inlineStr">
        <is>
          <t>Singles</t>
        </is>
      </c>
      <c r="T211" t="inlineStr">
        <is>
          <t>Under 6'</t>
        </is>
      </c>
      <c r="U211" t="inlineStr">
        <is>
          <t>Mangold</t>
        </is>
      </c>
      <c r="V211" t="inlineStr">
        <is>
          <t>Mangold</t>
        </is>
      </c>
      <c r="W211" t="inlineStr">
        <is>
          <t>White</t>
        </is>
      </c>
      <c r="AA211" t="n">
        <v>2</v>
      </c>
      <c r="AB211" t="inlineStr">
        <is>
          <t>L</t>
        </is>
      </c>
      <c r="AC211" t="inlineStr">
        <is>
          <t>6&amp;5</t>
        </is>
      </c>
      <c r="AD211" t="inlineStr">
        <is>
          <t>Zimmer</t>
        </is>
      </c>
      <c r="AE211">
        <f>$V211&amp;$Y211</f>
        <v/>
      </c>
      <c r="AF211" t="n">
        <v>0</v>
      </c>
      <c r="AG211" t="n">
        <v>0</v>
      </c>
      <c r="AH211" t="n">
        <v>1</v>
      </c>
      <c r="AI211" t="n">
        <v>0</v>
      </c>
      <c r="AJ211" t="n">
        <v>0</v>
      </c>
      <c r="AK211" t="inlineStr">
        <is>
          <t>Zimmer</t>
        </is>
      </c>
      <c r="AL211" t="n">
        <v>0.5</v>
      </c>
    </row>
    <row r="212" ht="15" customHeight="1" s="2">
      <c r="B212" t="n">
        <v>24</v>
      </c>
      <c r="C212" t="n">
        <v>7</v>
      </c>
      <c r="D212" t="n">
        <v>4</v>
      </c>
      <c r="E212" t="inlineStr">
        <is>
          <t>FBC4-S-Forster-Shively</t>
        </is>
      </c>
      <c r="F212" t="inlineStr">
        <is>
          <t>Saturday</t>
        </is>
      </c>
      <c r="G212" s="27" t="n">
        <v>42574</v>
      </c>
      <c r="H212" t="inlineStr">
        <is>
          <t>AM</t>
        </is>
      </c>
      <c r="I212" t="inlineStr">
        <is>
          <t>French Lick, IN</t>
        </is>
      </c>
      <c r="J212" t="inlineStr">
        <is>
          <t>Midwest</t>
        </is>
      </c>
      <c r="K212" t="n">
        <v>18</v>
      </c>
      <c r="L212" t="inlineStr">
        <is>
          <t>Full</t>
        </is>
      </c>
      <c r="M212" t="inlineStr">
        <is>
          <t>Ross</t>
        </is>
      </c>
      <c r="N212" t="inlineStr">
        <is>
          <t>Ross</t>
        </is>
      </c>
      <c r="O212" t="n">
        <v>72.3</v>
      </c>
      <c r="P212" t="n">
        <v>132</v>
      </c>
      <c r="Q212" t="n">
        <v>6517</v>
      </c>
      <c r="R212" t="inlineStr">
        <is>
          <t>Match Play</t>
        </is>
      </c>
      <c r="S212" t="inlineStr">
        <is>
          <t>Singles</t>
        </is>
      </c>
      <c r="T212" t="inlineStr">
        <is>
          <t>Under 6'</t>
        </is>
      </c>
      <c r="U212" t="inlineStr">
        <is>
          <t>Mangold</t>
        </is>
      </c>
      <c r="V212" t="inlineStr">
        <is>
          <t>Forster</t>
        </is>
      </c>
      <c r="W212" t="inlineStr">
        <is>
          <t>White</t>
        </is>
      </c>
      <c r="AA212" t="n">
        <v>2</v>
      </c>
      <c r="AB212" t="inlineStr">
        <is>
          <t>W</t>
        </is>
      </c>
      <c r="AC212" t="inlineStr">
        <is>
          <t>6&amp;5</t>
        </is>
      </c>
      <c r="AD212" t="inlineStr">
        <is>
          <t>Shively</t>
        </is>
      </c>
      <c r="AE212">
        <f>$V212&amp;$Y212</f>
        <v/>
      </c>
      <c r="AF212" t="n">
        <v>2</v>
      </c>
      <c r="AG212" t="n">
        <v>1</v>
      </c>
      <c r="AH212" t="n">
        <v>0</v>
      </c>
      <c r="AI212" t="n">
        <v>0</v>
      </c>
      <c r="AJ212" t="n">
        <v>1</v>
      </c>
      <c r="AK212" t="inlineStr">
        <is>
          <t>Shively</t>
        </is>
      </c>
    </row>
    <row r="213" ht="15" customHeight="1" s="2">
      <c r="B213" t="n">
        <v>24</v>
      </c>
      <c r="C213" t="n">
        <v>8</v>
      </c>
      <c r="D213" t="n">
        <v>4</v>
      </c>
      <c r="E213" t="inlineStr">
        <is>
          <t>FBC4-S-Buss-Jackson</t>
        </is>
      </c>
      <c r="F213" t="inlineStr">
        <is>
          <t>Saturday</t>
        </is>
      </c>
      <c r="G213" s="27" t="n">
        <v>42574</v>
      </c>
      <c r="H213" t="inlineStr">
        <is>
          <t>AM</t>
        </is>
      </c>
      <c r="I213" t="inlineStr">
        <is>
          <t>French Lick, IN</t>
        </is>
      </c>
      <c r="J213" t="inlineStr">
        <is>
          <t>Midwest</t>
        </is>
      </c>
      <c r="K213" t="n">
        <v>18</v>
      </c>
      <c r="L213" t="inlineStr">
        <is>
          <t>Full</t>
        </is>
      </c>
      <c r="M213" t="inlineStr">
        <is>
          <t>Ross</t>
        </is>
      </c>
      <c r="N213" t="inlineStr">
        <is>
          <t>Ross</t>
        </is>
      </c>
      <c r="O213" t="n">
        <v>72.3</v>
      </c>
      <c r="P213" t="n">
        <v>132</v>
      </c>
      <c r="Q213" t="n">
        <v>6517</v>
      </c>
      <c r="R213" t="inlineStr">
        <is>
          <t>Match Play</t>
        </is>
      </c>
      <c r="S213" t="inlineStr">
        <is>
          <t>Singles</t>
        </is>
      </c>
      <c r="T213" t="inlineStr">
        <is>
          <t>Under 6'</t>
        </is>
      </c>
      <c r="U213" t="inlineStr">
        <is>
          <t>Mangold</t>
        </is>
      </c>
      <c r="V213" t="inlineStr">
        <is>
          <t>Jackson</t>
        </is>
      </c>
      <c r="W213" t="inlineStr">
        <is>
          <t>White</t>
        </is>
      </c>
      <c r="AA213" t="n">
        <v>2</v>
      </c>
      <c r="AB213" t="inlineStr">
        <is>
          <t>L</t>
        </is>
      </c>
      <c r="AC213" t="inlineStr">
        <is>
          <t>3&amp;2</t>
        </is>
      </c>
      <c r="AD213" t="inlineStr">
        <is>
          <t>Buss</t>
        </is>
      </c>
      <c r="AE213">
        <f>$V213&amp;$Y213</f>
        <v/>
      </c>
      <c r="AF213" t="n">
        <v>0</v>
      </c>
      <c r="AG213" t="n">
        <v>0</v>
      </c>
      <c r="AH213" t="n">
        <v>1</v>
      </c>
      <c r="AI213" t="n">
        <v>0</v>
      </c>
      <c r="AJ213" t="n">
        <v>0</v>
      </c>
      <c r="AK213" t="inlineStr">
        <is>
          <t>Buss</t>
        </is>
      </c>
      <c r="AL213" t="n">
        <v>0.448275862068966</v>
      </c>
    </row>
    <row r="214" ht="15" customHeight="1" s="2">
      <c r="B214" t="n">
        <v>25</v>
      </c>
      <c r="C214" t="n">
        <v>9</v>
      </c>
      <c r="D214" t="n">
        <v>4</v>
      </c>
      <c r="E214" t="inlineStr">
        <is>
          <t>FBC4-S-Connors-Hickerson</t>
        </is>
      </c>
      <c r="F214" t="inlineStr">
        <is>
          <t>Saturday</t>
        </is>
      </c>
      <c r="G214" s="27" t="n">
        <v>42574</v>
      </c>
      <c r="H214" t="inlineStr">
        <is>
          <t>AM</t>
        </is>
      </c>
      <c r="I214" t="inlineStr">
        <is>
          <t>French Lick, IN</t>
        </is>
      </c>
      <c r="J214" t="inlineStr">
        <is>
          <t>Midwest</t>
        </is>
      </c>
      <c r="K214" t="n">
        <v>18</v>
      </c>
      <c r="L214" t="inlineStr">
        <is>
          <t>Full</t>
        </is>
      </c>
      <c r="M214" t="inlineStr">
        <is>
          <t>Ross</t>
        </is>
      </c>
      <c r="N214" t="inlineStr">
        <is>
          <t>Ross</t>
        </is>
      </c>
      <c r="O214" t="n">
        <v>72.3</v>
      </c>
      <c r="P214" t="n">
        <v>132</v>
      </c>
      <c r="Q214" t="n">
        <v>6517</v>
      </c>
      <c r="R214" t="inlineStr">
        <is>
          <t>Match Play</t>
        </is>
      </c>
      <c r="S214" t="inlineStr">
        <is>
          <t>Singles</t>
        </is>
      </c>
      <c r="T214" t="inlineStr">
        <is>
          <t>Under 6'</t>
        </is>
      </c>
      <c r="U214" t="inlineStr">
        <is>
          <t>Mangold</t>
        </is>
      </c>
      <c r="V214" t="inlineStr">
        <is>
          <t>Connors</t>
        </is>
      </c>
      <c r="W214" t="inlineStr">
        <is>
          <t>White</t>
        </is>
      </c>
      <c r="AA214" t="n">
        <v>2</v>
      </c>
      <c r="AB214" t="inlineStr">
        <is>
          <t>W</t>
        </is>
      </c>
      <c r="AC214" t="inlineStr">
        <is>
          <t>6&amp;5</t>
        </is>
      </c>
      <c r="AD214" t="inlineStr">
        <is>
          <t>Hickerson</t>
        </is>
      </c>
      <c r="AE214">
        <f>$V214&amp;$Y214</f>
        <v/>
      </c>
      <c r="AF214" t="n">
        <v>2</v>
      </c>
      <c r="AG214" t="n">
        <v>1</v>
      </c>
      <c r="AH214" t="n">
        <v>0</v>
      </c>
      <c r="AI214" t="n">
        <v>0</v>
      </c>
      <c r="AJ214" t="n">
        <v>1</v>
      </c>
      <c r="AK214" t="inlineStr">
        <is>
          <t>Hickerson</t>
        </is>
      </c>
      <c r="AL214" t="n">
        <v>0.357142857142857</v>
      </c>
    </row>
    <row r="215" ht="15" customHeight="1" s="2">
      <c r="B215" t="n">
        <v>25</v>
      </c>
      <c r="C215" t="n">
        <v>10</v>
      </c>
      <c r="D215" t="n">
        <v>4</v>
      </c>
      <c r="E215" t="inlineStr">
        <is>
          <t>FBC4-S-Fogan-Norat</t>
        </is>
      </c>
      <c r="F215" t="inlineStr">
        <is>
          <t>Saturday</t>
        </is>
      </c>
      <c r="G215" s="27" t="n">
        <v>42574</v>
      </c>
      <c r="H215" t="inlineStr">
        <is>
          <t>AM</t>
        </is>
      </c>
      <c r="I215" t="inlineStr">
        <is>
          <t>French Lick, IN</t>
        </is>
      </c>
      <c r="J215" t="inlineStr">
        <is>
          <t>Midwest</t>
        </is>
      </c>
      <c r="K215" t="n">
        <v>18</v>
      </c>
      <c r="L215" t="inlineStr">
        <is>
          <t>Full</t>
        </is>
      </c>
      <c r="M215" t="inlineStr">
        <is>
          <t>Ross</t>
        </is>
      </c>
      <c r="N215" t="inlineStr">
        <is>
          <t>Ross</t>
        </is>
      </c>
      <c r="O215" t="n">
        <v>72.3</v>
      </c>
      <c r="P215" t="n">
        <v>132</v>
      </c>
      <c r="Q215" t="n">
        <v>6517</v>
      </c>
      <c r="R215" t="inlineStr">
        <is>
          <t>Match Play</t>
        </is>
      </c>
      <c r="S215" t="inlineStr">
        <is>
          <t>Singles</t>
        </is>
      </c>
      <c r="T215" t="inlineStr">
        <is>
          <t>Under 6'</t>
        </is>
      </c>
      <c r="U215" t="inlineStr">
        <is>
          <t>Mangold</t>
        </is>
      </c>
      <c r="V215" t="inlineStr">
        <is>
          <t>Norat</t>
        </is>
      </c>
      <c r="W215" t="inlineStr">
        <is>
          <t>White</t>
        </is>
      </c>
      <c r="AA215" t="n">
        <v>2</v>
      </c>
      <c r="AB215" t="inlineStr">
        <is>
          <t>L</t>
        </is>
      </c>
      <c r="AC215" t="inlineStr">
        <is>
          <t>1Up</t>
        </is>
      </c>
      <c r="AD215" t="inlineStr">
        <is>
          <t>Fogan</t>
        </is>
      </c>
      <c r="AE215">
        <f>$V215&amp;$Y215</f>
        <v/>
      </c>
      <c r="AF215" t="n">
        <v>0</v>
      </c>
      <c r="AG215" t="n">
        <v>0</v>
      </c>
      <c r="AH215" t="n">
        <v>1</v>
      </c>
      <c r="AI215" t="n">
        <v>0</v>
      </c>
      <c r="AJ215" t="n">
        <v>0</v>
      </c>
      <c r="AK215" t="inlineStr">
        <is>
          <t>Fogan</t>
        </is>
      </c>
      <c r="AL215" t="n">
        <v>0.372881355932203</v>
      </c>
    </row>
    <row r="216" ht="15" customHeight="1" s="2">
      <c r="B216" t="n">
        <v>26</v>
      </c>
      <c r="C216" t="n">
        <v>1</v>
      </c>
      <c r="D216" t="n">
        <v>4</v>
      </c>
      <c r="E216" t="inlineStr">
        <is>
          <t>FBC4-S-Connolly-Gray</t>
        </is>
      </c>
      <c r="F216" t="inlineStr">
        <is>
          <t>Saturday</t>
        </is>
      </c>
      <c r="G216" s="27" t="n">
        <v>42574</v>
      </c>
      <c r="H216" t="inlineStr">
        <is>
          <t>AM</t>
        </is>
      </c>
      <c r="I216" t="inlineStr">
        <is>
          <t>French Lick, IN</t>
        </is>
      </c>
      <c r="J216" t="inlineStr">
        <is>
          <t>Midwest</t>
        </is>
      </c>
      <c r="K216" t="n">
        <v>18</v>
      </c>
      <c r="L216" t="inlineStr">
        <is>
          <t>Full</t>
        </is>
      </c>
      <c r="M216" t="inlineStr">
        <is>
          <t>Ross</t>
        </is>
      </c>
      <c r="N216" t="inlineStr">
        <is>
          <t>Ross</t>
        </is>
      </c>
      <c r="O216" t="n">
        <v>72.3</v>
      </c>
      <c r="P216" t="n">
        <v>132</v>
      </c>
      <c r="Q216" t="n">
        <v>6517</v>
      </c>
      <c r="R216" t="inlineStr">
        <is>
          <t>Match Play</t>
        </is>
      </c>
      <c r="S216" t="inlineStr">
        <is>
          <t>Singles</t>
        </is>
      </c>
      <c r="T216" t="inlineStr">
        <is>
          <t>Over 6'</t>
        </is>
      </c>
      <c r="U216" t="inlineStr">
        <is>
          <t>Grise</t>
        </is>
      </c>
      <c r="V216" t="inlineStr">
        <is>
          <t>Connolly</t>
        </is>
      </c>
      <c r="W216" t="inlineStr">
        <is>
          <t>Blue</t>
        </is>
      </c>
      <c r="AA216" t="n">
        <v>2</v>
      </c>
      <c r="AB216" t="inlineStr">
        <is>
          <t>L</t>
        </is>
      </c>
      <c r="AC216" t="inlineStr">
        <is>
          <t>2&amp;1</t>
        </is>
      </c>
      <c r="AD216" t="inlineStr">
        <is>
          <t>Gray</t>
        </is>
      </c>
      <c r="AE216">
        <f>$V216&amp;$Y216</f>
        <v/>
      </c>
      <c r="AF216" t="n">
        <v>0</v>
      </c>
      <c r="AG216" t="n">
        <v>0</v>
      </c>
      <c r="AH216" t="n">
        <v>1</v>
      </c>
      <c r="AI216" t="n">
        <v>0</v>
      </c>
      <c r="AJ216" t="n">
        <v>0</v>
      </c>
      <c r="AK216" t="inlineStr">
        <is>
          <t>Gray</t>
        </is>
      </c>
      <c r="AL216" t="n">
        <v>0.654761904761905</v>
      </c>
    </row>
    <row r="217" ht="15" customHeight="1" s="2">
      <c r="B217" t="n">
        <v>26</v>
      </c>
      <c r="C217" t="n">
        <v>2</v>
      </c>
      <c r="D217" t="n">
        <v>4</v>
      </c>
      <c r="E217" t="inlineStr">
        <is>
          <t>FBC4-S-Flanders-Welker</t>
        </is>
      </c>
      <c r="F217" t="inlineStr">
        <is>
          <t>Saturday</t>
        </is>
      </c>
      <c r="G217" s="27" t="n">
        <v>42574</v>
      </c>
      <c r="H217" t="inlineStr">
        <is>
          <t>AM</t>
        </is>
      </c>
      <c r="I217" t="inlineStr">
        <is>
          <t>French Lick, IN</t>
        </is>
      </c>
      <c r="J217" t="inlineStr">
        <is>
          <t>Midwest</t>
        </is>
      </c>
      <c r="K217" t="n">
        <v>18</v>
      </c>
      <c r="L217" t="inlineStr">
        <is>
          <t>Full</t>
        </is>
      </c>
      <c r="M217" t="inlineStr">
        <is>
          <t>Ross</t>
        </is>
      </c>
      <c r="N217" t="inlineStr">
        <is>
          <t>Ross</t>
        </is>
      </c>
      <c r="O217" t="n">
        <v>72.3</v>
      </c>
      <c r="P217" t="n">
        <v>132</v>
      </c>
      <c r="Q217" t="n">
        <v>6517</v>
      </c>
      <c r="R217" t="inlineStr">
        <is>
          <t>Match Play</t>
        </is>
      </c>
      <c r="S217" t="inlineStr">
        <is>
          <t>Singles</t>
        </is>
      </c>
      <c r="T217" t="inlineStr">
        <is>
          <t>Over 6'</t>
        </is>
      </c>
      <c r="U217" t="inlineStr">
        <is>
          <t>Grise</t>
        </is>
      </c>
      <c r="V217" t="inlineStr">
        <is>
          <t>Welker</t>
        </is>
      </c>
      <c r="W217" t="inlineStr">
        <is>
          <t>Blue</t>
        </is>
      </c>
      <c r="AA217" t="n">
        <v>2</v>
      </c>
      <c r="AB217" t="inlineStr">
        <is>
          <t>L</t>
        </is>
      </c>
      <c r="AC217" t="inlineStr">
        <is>
          <t>2&amp;1</t>
        </is>
      </c>
      <c r="AD217" t="inlineStr">
        <is>
          <t>Flanders</t>
        </is>
      </c>
      <c r="AE217">
        <f>$V217&amp;$Y217</f>
        <v/>
      </c>
      <c r="AF217" t="n">
        <v>0</v>
      </c>
      <c r="AG217" t="n">
        <v>0</v>
      </c>
      <c r="AH217" t="n">
        <v>1</v>
      </c>
      <c r="AI217" t="n">
        <v>0</v>
      </c>
      <c r="AJ217" t="n">
        <v>0</v>
      </c>
      <c r="AK217" t="inlineStr">
        <is>
          <t>Flanders</t>
        </is>
      </c>
      <c r="AL217" t="n">
        <v>0.4296875</v>
      </c>
    </row>
    <row r="218" ht="15" customHeight="1" s="2">
      <c r="B218" t="n">
        <v>27</v>
      </c>
      <c r="C218" t="n">
        <v>3</v>
      </c>
      <c r="D218" t="n">
        <v>4</v>
      </c>
      <c r="E218" t="inlineStr">
        <is>
          <t>FBC4-S-Grise-Weisberger</t>
        </is>
      </c>
      <c r="F218" t="inlineStr">
        <is>
          <t>Saturday</t>
        </is>
      </c>
      <c r="G218" s="27" t="n">
        <v>42574</v>
      </c>
      <c r="H218" t="inlineStr">
        <is>
          <t>AM</t>
        </is>
      </c>
      <c r="I218" t="inlineStr">
        <is>
          <t>French Lick, IN</t>
        </is>
      </c>
      <c r="J218" t="inlineStr">
        <is>
          <t>Midwest</t>
        </is>
      </c>
      <c r="K218" t="n">
        <v>18</v>
      </c>
      <c r="L218" t="inlineStr">
        <is>
          <t>Full</t>
        </is>
      </c>
      <c r="M218" t="inlineStr">
        <is>
          <t>Ross</t>
        </is>
      </c>
      <c r="N218" t="inlineStr">
        <is>
          <t>Ross</t>
        </is>
      </c>
      <c r="O218" t="n">
        <v>72.3</v>
      </c>
      <c r="P218" t="n">
        <v>132</v>
      </c>
      <c r="Q218" t="n">
        <v>6517</v>
      </c>
      <c r="R218" t="inlineStr">
        <is>
          <t>Match Play</t>
        </is>
      </c>
      <c r="S218" t="inlineStr">
        <is>
          <t>Singles</t>
        </is>
      </c>
      <c r="T218" t="inlineStr">
        <is>
          <t>Over 6'</t>
        </is>
      </c>
      <c r="U218" t="inlineStr">
        <is>
          <t>Grise</t>
        </is>
      </c>
      <c r="V218" t="inlineStr">
        <is>
          <t>Grise</t>
        </is>
      </c>
      <c r="W218" t="inlineStr">
        <is>
          <t>Blue</t>
        </is>
      </c>
      <c r="AA218" t="n">
        <v>2</v>
      </c>
      <c r="AB218" t="inlineStr">
        <is>
          <t>W</t>
        </is>
      </c>
      <c r="AC218" t="inlineStr">
        <is>
          <t>6&amp;4</t>
        </is>
      </c>
      <c r="AD218" t="inlineStr">
        <is>
          <t>Weisberger</t>
        </is>
      </c>
      <c r="AE218">
        <f>$V218&amp;$Y218</f>
        <v/>
      </c>
      <c r="AF218" t="n">
        <v>2</v>
      </c>
      <c r="AG218" t="n">
        <v>1</v>
      </c>
      <c r="AH218" t="n">
        <v>0</v>
      </c>
      <c r="AI218" t="n">
        <v>0</v>
      </c>
      <c r="AJ218" t="n">
        <v>1</v>
      </c>
      <c r="AK218" t="inlineStr">
        <is>
          <t>Weisberger</t>
        </is>
      </c>
      <c r="AL218" t="n">
        <v>0.5</v>
      </c>
    </row>
    <row r="219" ht="15" customHeight="1" s="2">
      <c r="B219" t="n">
        <v>27</v>
      </c>
      <c r="C219" t="n">
        <v>4</v>
      </c>
      <c r="D219" t="n">
        <v>4</v>
      </c>
      <c r="E219" t="inlineStr">
        <is>
          <t>FBC4-S-Cole-Lynch</t>
        </is>
      </c>
      <c r="F219" t="inlineStr">
        <is>
          <t>Saturday</t>
        </is>
      </c>
      <c r="G219" s="27" t="n">
        <v>42574</v>
      </c>
      <c r="H219" t="inlineStr">
        <is>
          <t>AM</t>
        </is>
      </c>
      <c r="I219" t="inlineStr">
        <is>
          <t>French Lick, IN</t>
        </is>
      </c>
      <c r="J219" t="inlineStr">
        <is>
          <t>Midwest</t>
        </is>
      </c>
      <c r="K219" t="n">
        <v>18</v>
      </c>
      <c r="L219" t="inlineStr">
        <is>
          <t>Full</t>
        </is>
      </c>
      <c r="M219" t="inlineStr">
        <is>
          <t>Ross</t>
        </is>
      </c>
      <c r="N219" t="inlineStr">
        <is>
          <t>Ross</t>
        </is>
      </c>
      <c r="O219" t="n">
        <v>72.3</v>
      </c>
      <c r="P219" t="n">
        <v>132</v>
      </c>
      <c r="Q219" t="n">
        <v>6517</v>
      </c>
      <c r="R219" t="inlineStr">
        <is>
          <t>Match Play</t>
        </is>
      </c>
      <c r="S219" t="inlineStr">
        <is>
          <t>Singles</t>
        </is>
      </c>
      <c r="T219" t="inlineStr">
        <is>
          <t>Over 6'</t>
        </is>
      </c>
      <c r="U219" t="inlineStr">
        <is>
          <t>Grise</t>
        </is>
      </c>
      <c r="V219" t="inlineStr">
        <is>
          <t>Lynch</t>
        </is>
      </c>
      <c r="W219" t="inlineStr">
        <is>
          <t>Blue</t>
        </is>
      </c>
      <c r="AA219" t="n">
        <v>2</v>
      </c>
      <c r="AB219" t="inlineStr">
        <is>
          <t>W</t>
        </is>
      </c>
      <c r="AC219" t="inlineStr">
        <is>
          <t>3&amp;1</t>
        </is>
      </c>
      <c r="AD219" t="inlineStr">
        <is>
          <t>Cole</t>
        </is>
      </c>
      <c r="AE219">
        <f>$V219&amp;$Y219</f>
        <v/>
      </c>
      <c r="AF219" t="n">
        <v>2</v>
      </c>
      <c r="AG219" t="n">
        <v>1</v>
      </c>
      <c r="AH219" t="n">
        <v>0</v>
      </c>
      <c r="AI219" t="n">
        <v>0</v>
      </c>
      <c r="AJ219" t="n">
        <v>1</v>
      </c>
      <c r="AK219" t="inlineStr">
        <is>
          <t>Cole</t>
        </is>
      </c>
      <c r="AL219" t="n">
        <v>0.440677966101695</v>
      </c>
    </row>
    <row r="220" ht="15" customHeight="1" s="2">
      <c r="B220" t="n">
        <v>28</v>
      </c>
      <c r="C220" t="n">
        <v>5</v>
      </c>
      <c r="D220" t="n">
        <v>4</v>
      </c>
      <c r="E220" t="inlineStr">
        <is>
          <t>FBC4-S-Ferrin-McInerney</t>
        </is>
      </c>
      <c r="F220" t="inlineStr">
        <is>
          <t>Saturday</t>
        </is>
      </c>
      <c r="G220" s="27" t="n">
        <v>42574</v>
      </c>
      <c r="H220" t="inlineStr">
        <is>
          <t>AM</t>
        </is>
      </c>
      <c r="I220" t="inlineStr">
        <is>
          <t>French Lick, IN</t>
        </is>
      </c>
      <c r="J220" t="inlineStr">
        <is>
          <t>Midwest</t>
        </is>
      </c>
      <c r="K220" t="n">
        <v>18</v>
      </c>
      <c r="L220" t="inlineStr">
        <is>
          <t>Full</t>
        </is>
      </c>
      <c r="M220" t="inlineStr">
        <is>
          <t>Ross</t>
        </is>
      </c>
      <c r="N220" t="inlineStr">
        <is>
          <t>Ross</t>
        </is>
      </c>
      <c r="O220" t="n">
        <v>72.3</v>
      </c>
      <c r="P220" t="n">
        <v>132</v>
      </c>
      <c r="Q220" t="n">
        <v>6517</v>
      </c>
      <c r="R220" t="inlineStr">
        <is>
          <t>Match Play</t>
        </is>
      </c>
      <c r="S220" t="inlineStr">
        <is>
          <t>Singles</t>
        </is>
      </c>
      <c r="T220" t="inlineStr">
        <is>
          <t>Over 6'</t>
        </is>
      </c>
      <c r="U220" t="inlineStr">
        <is>
          <t>Grise</t>
        </is>
      </c>
      <c r="V220" t="inlineStr">
        <is>
          <t>McInerney</t>
        </is>
      </c>
      <c r="W220" t="inlineStr">
        <is>
          <t>Blue</t>
        </is>
      </c>
      <c r="AA220" t="n">
        <v>2</v>
      </c>
      <c r="AB220" t="inlineStr">
        <is>
          <t>W</t>
        </is>
      </c>
      <c r="AC220" t="inlineStr">
        <is>
          <t>3&amp;2</t>
        </is>
      </c>
      <c r="AD220" t="inlineStr">
        <is>
          <t>Ferrin</t>
        </is>
      </c>
      <c r="AE220">
        <f>$V220&amp;$Y220</f>
        <v/>
      </c>
      <c r="AF220" t="n">
        <v>2</v>
      </c>
      <c r="AG220" t="n">
        <v>1</v>
      </c>
      <c r="AH220" t="n">
        <v>0</v>
      </c>
      <c r="AI220" t="n">
        <v>0</v>
      </c>
      <c r="AJ220" t="n">
        <v>1</v>
      </c>
      <c r="AK220" t="inlineStr">
        <is>
          <t>Ferrin</t>
        </is>
      </c>
      <c r="AL220" t="n">
        <v>0.595238095238095</v>
      </c>
    </row>
    <row r="221" ht="15" customHeight="1" s="2">
      <c r="B221" t="n">
        <v>28</v>
      </c>
      <c r="C221" t="n">
        <v>6</v>
      </c>
      <c r="D221" t="n">
        <v>4</v>
      </c>
      <c r="E221" t="inlineStr">
        <is>
          <t>FBC4-S-Mangold-Zimmer</t>
        </is>
      </c>
      <c r="F221" t="inlineStr">
        <is>
          <t>Saturday</t>
        </is>
      </c>
      <c r="G221" s="27" t="n">
        <v>42574</v>
      </c>
      <c r="H221" t="inlineStr">
        <is>
          <t>AM</t>
        </is>
      </c>
      <c r="I221" t="inlineStr">
        <is>
          <t>French Lick, IN</t>
        </is>
      </c>
      <c r="J221" t="inlineStr">
        <is>
          <t>Midwest</t>
        </is>
      </c>
      <c r="K221" t="n">
        <v>18</v>
      </c>
      <c r="L221" t="inlineStr">
        <is>
          <t>Full</t>
        </is>
      </c>
      <c r="M221" t="inlineStr">
        <is>
          <t>Ross</t>
        </is>
      </c>
      <c r="N221" t="inlineStr">
        <is>
          <t>Ross</t>
        </is>
      </c>
      <c r="O221" t="n">
        <v>72.3</v>
      </c>
      <c r="P221" t="n">
        <v>132</v>
      </c>
      <c r="Q221" t="n">
        <v>6517</v>
      </c>
      <c r="R221" t="inlineStr">
        <is>
          <t>Match Play</t>
        </is>
      </c>
      <c r="S221" t="inlineStr">
        <is>
          <t>Singles</t>
        </is>
      </c>
      <c r="T221" t="inlineStr">
        <is>
          <t>Over 6'</t>
        </is>
      </c>
      <c r="U221" t="inlineStr">
        <is>
          <t>Grise</t>
        </is>
      </c>
      <c r="V221" t="inlineStr">
        <is>
          <t>Zimmer</t>
        </is>
      </c>
      <c r="W221" t="inlineStr">
        <is>
          <t>Blue</t>
        </is>
      </c>
      <c r="AA221" t="n">
        <v>2</v>
      </c>
      <c r="AB221" t="inlineStr">
        <is>
          <t>W</t>
        </is>
      </c>
      <c r="AC221" t="inlineStr">
        <is>
          <t>6&amp;5</t>
        </is>
      </c>
      <c r="AD221" t="inlineStr">
        <is>
          <t>Mangold</t>
        </is>
      </c>
      <c r="AE221">
        <f>$V221&amp;$Y221</f>
        <v/>
      </c>
      <c r="AF221" t="n">
        <v>2</v>
      </c>
      <c r="AG221" t="n">
        <v>1</v>
      </c>
      <c r="AH221" t="n">
        <v>0</v>
      </c>
      <c r="AI221" t="n">
        <v>0</v>
      </c>
      <c r="AJ221" t="n">
        <v>1</v>
      </c>
      <c r="AK221" t="inlineStr">
        <is>
          <t>Mangold</t>
        </is>
      </c>
      <c r="AL221" t="n">
        <v>0.383928571428572</v>
      </c>
    </row>
    <row r="222" ht="15" customHeight="1" s="2">
      <c r="B222" t="n">
        <v>29</v>
      </c>
      <c r="C222" t="n">
        <v>7</v>
      </c>
      <c r="D222" t="n">
        <v>4</v>
      </c>
      <c r="E222" t="inlineStr">
        <is>
          <t>FBC4-S-Forster-Shively</t>
        </is>
      </c>
      <c r="F222" t="inlineStr">
        <is>
          <t>Saturday</t>
        </is>
      </c>
      <c r="G222" s="27" t="n">
        <v>42574</v>
      </c>
      <c r="H222" t="inlineStr">
        <is>
          <t>AM</t>
        </is>
      </c>
      <c r="I222" t="inlineStr">
        <is>
          <t>French Lick, IN</t>
        </is>
      </c>
      <c r="J222" t="inlineStr">
        <is>
          <t>Midwest</t>
        </is>
      </c>
      <c r="K222" t="n">
        <v>18</v>
      </c>
      <c r="L222" t="inlineStr">
        <is>
          <t>Full</t>
        </is>
      </c>
      <c r="M222" t="inlineStr">
        <is>
          <t>Ross</t>
        </is>
      </c>
      <c r="N222" t="inlineStr">
        <is>
          <t>Ross</t>
        </is>
      </c>
      <c r="O222" t="n">
        <v>72.3</v>
      </c>
      <c r="P222" t="n">
        <v>132</v>
      </c>
      <c r="Q222" t="n">
        <v>6517</v>
      </c>
      <c r="R222" t="inlineStr">
        <is>
          <t>Match Play</t>
        </is>
      </c>
      <c r="S222" t="inlineStr">
        <is>
          <t>Singles</t>
        </is>
      </c>
      <c r="T222" t="inlineStr">
        <is>
          <t>Over 6'</t>
        </is>
      </c>
      <c r="U222" t="inlineStr">
        <is>
          <t>Grise</t>
        </is>
      </c>
      <c r="V222" t="inlineStr">
        <is>
          <t>Shively</t>
        </is>
      </c>
      <c r="W222" t="inlineStr">
        <is>
          <t>Blue</t>
        </is>
      </c>
      <c r="AA222" t="n">
        <v>2</v>
      </c>
      <c r="AB222" t="inlineStr">
        <is>
          <t>L</t>
        </is>
      </c>
      <c r="AC222" t="inlineStr">
        <is>
          <t>6&amp;5</t>
        </is>
      </c>
      <c r="AD222" t="inlineStr">
        <is>
          <t>Forster</t>
        </is>
      </c>
      <c r="AE222">
        <f>$V222&amp;$Y222</f>
        <v/>
      </c>
      <c r="AF222" t="n">
        <v>0</v>
      </c>
      <c r="AG222" t="n">
        <v>0</v>
      </c>
      <c r="AH222" t="n">
        <v>1</v>
      </c>
      <c r="AI222" t="n">
        <v>0</v>
      </c>
      <c r="AJ222" t="n">
        <v>0</v>
      </c>
      <c r="AK222" t="inlineStr">
        <is>
          <t>Forster</t>
        </is>
      </c>
      <c r="AL222" t="n">
        <v>0.596491228070175</v>
      </c>
    </row>
    <row r="223" ht="15" customHeight="1" s="2">
      <c r="B223" t="n">
        <v>29</v>
      </c>
      <c r="C223" t="n">
        <v>8</v>
      </c>
      <c r="D223" t="n">
        <v>4</v>
      </c>
      <c r="E223" t="inlineStr">
        <is>
          <t>FBC4-S-Buss-Jackson</t>
        </is>
      </c>
      <c r="F223" t="inlineStr">
        <is>
          <t>Saturday</t>
        </is>
      </c>
      <c r="G223" s="27" t="n">
        <v>42574</v>
      </c>
      <c r="H223" t="inlineStr">
        <is>
          <t>AM</t>
        </is>
      </c>
      <c r="I223" t="inlineStr">
        <is>
          <t>French Lick, IN</t>
        </is>
      </c>
      <c r="J223" t="inlineStr">
        <is>
          <t>Midwest</t>
        </is>
      </c>
      <c r="K223" t="n">
        <v>18</v>
      </c>
      <c r="L223" t="inlineStr">
        <is>
          <t>Full</t>
        </is>
      </c>
      <c r="M223" t="inlineStr">
        <is>
          <t>Ross</t>
        </is>
      </c>
      <c r="N223" t="inlineStr">
        <is>
          <t>Ross</t>
        </is>
      </c>
      <c r="O223" t="n">
        <v>72.3</v>
      </c>
      <c r="P223" t="n">
        <v>132</v>
      </c>
      <c r="Q223" t="n">
        <v>6517</v>
      </c>
      <c r="R223" t="inlineStr">
        <is>
          <t>Match Play</t>
        </is>
      </c>
      <c r="S223" t="inlineStr">
        <is>
          <t>Singles</t>
        </is>
      </c>
      <c r="T223" t="inlineStr">
        <is>
          <t>Over 6'</t>
        </is>
      </c>
      <c r="U223" t="inlineStr">
        <is>
          <t>Grise</t>
        </is>
      </c>
      <c r="V223" t="inlineStr">
        <is>
          <t>Buss</t>
        </is>
      </c>
      <c r="W223" t="inlineStr">
        <is>
          <t>Blue</t>
        </is>
      </c>
      <c r="AA223" t="n">
        <v>2</v>
      </c>
      <c r="AB223" t="inlineStr">
        <is>
          <t>W</t>
        </is>
      </c>
      <c r="AC223" t="inlineStr">
        <is>
          <t>3&amp;2</t>
        </is>
      </c>
      <c r="AD223" t="inlineStr">
        <is>
          <t>Jackson</t>
        </is>
      </c>
      <c r="AE223">
        <f>$V223&amp;$Y223</f>
        <v/>
      </c>
      <c r="AF223" t="n">
        <v>2</v>
      </c>
      <c r="AG223" t="n">
        <v>1</v>
      </c>
      <c r="AH223" t="n">
        <v>0</v>
      </c>
      <c r="AI223" t="n">
        <v>0</v>
      </c>
      <c r="AJ223" t="n">
        <v>1</v>
      </c>
      <c r="AK223" t="inlineStr">
        <is>
          <t>Jackson</t>
        </is>
      </c>
      <c r="AL223" t="n">
        <v>0.6171875</v>
      </c>
    </row>
    <row r="224" ht="15" customHeight="1" s="2">
      <c r="B224" t="n">
        <v>30</v>
      </c>
      <c r="C224" t="n">
        <v>9</v>
      </c>
      <c r="D224" t="n">
        <v>4</v>
      </c>
      <c r="E224" t="inlineStr">
        <is>
          <t>FBC4-S-Connors-Hickerson</t>
        </is>
      </c>
      <c r="F224" t="inlineStr">
        <is>
          <t>Saturday</t>
        </is>
      </c>
      <c r="G224" s="27" t="n">
        <v>42574</v>
      </c>
      <c r="H224" t="inlineStr">
        <is>
          <t>AM</t>
        </is>
      </c>
      <c r="I224" t="inlineStr">
        <is>
          <t>French Lick, IN</t>
        </is>
      </c>
      <c r="J224" t="inlineStr">
        <is>
          <t>Midwest</t>
        </is>
      </c>
      <c r="K224" t="n">
        <v>18</v>
      </c>
      <c r="L224" t="inlineStr">
        <is>
          <t>Full</t>
        </is>
      </c>
      <c r="M224" t="inlineStr">
        <is>
          <t>Ross</t>
        </is>
      </c>
      <c r="N224" t="inlineStr">
        <is>
          <t>Ross</t>
        </is>
      </c>
      <c r="O224" t="n">
        <v>72.3</v>
      </c>
      <c r="P224" t="n">
        <v>132</v>
      </c>
      <c r="Q224" t="n">
        <v>6517</v>
      </c>
      <c r="R224" t="inlineStr">
        <is>
          <t>Match Play</t>
        </is>
      </c>
      <c r="S224" t="inlineStr">
        <is>
          <t>Singles</t>
        </is>
      </c>
      <c r="T224" t="inlineStr">
        <is>
          <t>Over 6'</t>
        </is>
      </c>
      <c r="U224" t="inlineStr">
        <is>
          <t>Grise</t>
        </is>
      </c>
      <c r="V224" t="inlineStr">
        <is>
          <t>Hickerson</t>
        </is>
      </c>
      <c r="W224" t="inlineStr">
        <is>
          <t>Blue</t>
        </is>
      </c>
      <c r="AA224" t="n">
        <v>2</v>
      </c>
      <c r="AB224" t="inlineStr">
        <is>
          <t>L</t>
        </is>
      </c>
      <c r="AC224" t="inlineStr">
        <is>
          <t>6&amp;5</t>
        </is>
      </c>
      <c r="AD224" t="inlineStr">
        <is>
          <t>Connors</t>
        </is>
      </c>
      <c r="AE224">
        <f>$V224&amp;$Y224</f>
        <v/>
      </c>
      <c r="AF224" t="n">
        <v>0</v>
      </c>
      <c r="AG224" t="n">
        <v>0</v>
      </c>
      <c r="AH224" t="n">
        <v>1</v>
      </c>
      <c r="AI224" t="n">
        <v>0</v>
      </c>
      <c r="AJ224" t="n">
        <v>0</v>
      </c>
      <c r="AK224" t="inlineStr">
        <is>
          <t>Connors</t>
        </is>
      </c>
      <c r="AL224" t="n">
        <v>0.347457627118644</v>
      </c>
    </row>
    <row r="225" ht="15" customHeight="1" s="2">
      <c r="B225" t="n">
        <v>30</v>
      </c>
      <c r="C225" t="n">
        <v>10</v>
      </c>
      <c r="D225" t="n">
        <v>4</v>
      </c>
      <c r="E225" t="inlineStr">
        <is>
          <t>FBC4-S-Fogan-Norat</t>
        </is>
      </c>
      <c r="F225" t="inlineStr">
        <is>
          <t>Saturday</t>
        </is>
      </c>
      <c r="G225" s="27" t="n">
        <v>42574</v>
      </c>
      <c r="H225" t="inlineStr">
        <is>
          <t>AM</t>
        </is>
      </c>
      <c r="I225" t="inlineStr">
        <is>
          <t>French Lick, IN</t>
        </is>
      </c>
      <c r="J225" t="inlineStr">
        <is>
          <t>Midwest</t>
        </is>
      </c>
      <c r="K225" t="n">
        <v>18</v>
      </c>
      <c r="L225" t="inlineStr">
        <is>
          <t>Full</t>
        </is>
      </c>
      <c r="M225" t="inlineStr">
        <is>
          <t>Ross</t>
        </is>
      </c>
      <c r="N225" t="inlineStr">
        <is>
          <t>Ross</t>
        </is>
      </c>
      <c r="O225" t="n">
        <v>72.3</v>
      </c>
      <c r="P225" t="n">
        <v>132</v>
      </c>
      <c r="Q225" t="n">
        <v>6517</v>
      </c>
      <c r="R225" t="inlineStr">
        <is>
          <t>Match Play</t>
        </is>
      </c>
      <c r="S225" t="inlineStr">
        <is>
          <t>Singles</t>
        </is>
      </c>
      <c r="T225" t="inlineStr">
        <is>
          <t>Over 6'</t>
        </is>
      </c>
      <c r="U225" t="inlineStr">
        <is>
          <t>Grise</t>
        </is>
      </c>
      <c r="V225" t="inlineStr">
        <is>
          <t>Fogan</t>
        </is>
      </c>
      <c r="W225" t="inlineStr">
        <is>
          <t>Blue</t>
        </is>
      </c>
      <c r="AA225" t="n">
        <v>2</v>
      </c>
      <c r="AB225" t="inlineStr">
        <is>
          <t>W</t>
        </is>
      </c>
      <c r="AC225" t="inlineStr">
        <is>
          <t>1Up</t>
        </is>
      </c>
      <c r="AD225" t="inlineStr">
        <is>
          <t>Norat</t>
        </is>
      </c>
      <c r="AE225">
        <f>$V225&amp;$Y225</f>
        <v/>
      </c>
      <c r="AF225" t="n">
        <v>2</v>
      </c>
      <c r="AG225" t="n">
        <v>1</v>
      </c>
      <c r="AH225" t="n">
        <v>0</v>
      </c>
      <c r="AI225" t="n">
        <v>0</v>
      </c>
      <c r="AJ225" t="n">
        <v>1</v>
      </c>
      <c r="AK225" t="inlineStr">
        <is>
          <t>Norat</t>
        </is>
      </c>
      <c r="AL225" t="n">
        <v>0.527777777777778</v>
      </c>
    </row>
    <row r="226" ht="15" customHeight="1" s="2">
      <c r="B226" t="n">
        <v>1</v>
      </c>
      <c r="C226" t="n">
        <v>1</v>
      </c>
      <c r="D226" t="n">
        <v>5</v>
      </c>
      <c r="E226" t="inlineStr">
        <is>
          <t>FBC5-D1</t>
        </is>
      </c>
      <c r="F226" t="inlineStr">
        <is>
          <t>Friday</t>
        </is>
      </c>
      <c r="G226" s="27" t="n">
        <v>42937</v>
      </c>
      <c r="H226" t="inlineStr">
        <is>
          <t>AM</t>
        </is>
      </c>
      <c r="I226" t="inlineStr">
        <is>
          <t>Hilton Head, SC</t>
        </is>
      </c>
      <c r="J226" t="inlineStr">
        <is>
          <t>South</t>
        </is>
      </c>
      <c r="K226" t="n">
        <v>9</v>
      </c>
      <c r="L226" t="inlineStr">
        <is>
          <t>Front</t>
        </is>
      </c>
      <c r="M226" t="inlineStr">
        <is>
          <t>Harbour Town</t>
        </is>
      </c>
      <c r="N226" t="inlineStr">
        <is>
          <t>Sea Pines</t>
        </is>
      </c>
      <c r="O226" t="n">
        <v>71.40000000000001</v>
      </c>
      <c r="P226" t="n">
        <v>136</v>
      </c>
      <c r="Q226" t="n">
        <v>6251</v>
      </c>
      <c r="R226" t="inlineStr">
        <is>
          <t>Best Ball</t>
        </is>
      </c>
      <c r="S226" t="inlineStr">
        <is>
          <t>Doubles</t>
        </is>
      </c>
      <c r="T226" t="inlineStr">
        <is>
          <t>Under 6'</t>
        </is>
      </c>
      <c r="U226" t="inlineStr">
        <is>
          <t>Poirier</t>
        </is>
      </c>
      <c r="V226" t="inlineStr">
        <is>
          <t>Gray</t>
        </is>
      </c>
      <c r="W226" t="inlineStr">
        <is>
          <t>White</t>
        </is>
      </c>
      <c r="Y226" t="inlineStr">
        <is>
          <t>Poirier</t>
        </is>
      </c>
      <c r="AA226" t="n">
        <v>1</v>
      </c>
      <c r="AB226" t="inlineStr">
        <is>
          <t>L</t>
        </is>
      </c>
      <c r="AC226" t="inlineStr">
        <is>
          <t>2Up</t>
        </is>
      </c>
      <c r="AE226">
        <f>$V226&amp;$Y226</f>
        <v/>
      </c>
      <c r="AF226" t="n">
        <v>0</v>
      </c>
      <c r="AG226" t="n">
        <v>0</v>
      </c>
      <c r="AH226" t="n">
        <v>1</v>
      </c>
      <c r="AI226" t="n">
        <v>0</v>
      </c>
      <c r="AJ226" t="n">
        <v>0</v>
      </c>
      <c r="AK226" t="inlineStr">
        <is>
          <t>Delaney</t>
        </is>
      </c>
      <c r="AL226" t="n">
        <v>0.46551724137931</v>
      </c>
      <c r="AM226" t="inlineStr">
        <is>
          <t>Mangold</t>
        </is>
      </c>
      <c r="AN226" t="n">
        <v>0.383928571428572</v>
      </c>
    </row>
    <row r="227" ht="15" customHeight="1" s="2">
      <c r="B227" t="n">
        <v>1</v>
      </c>
      <c r="C227" t="n">
        <v>1</v>
      </c>
      <c r="D227" t="n">
        <v>5</v>
      </c>
      <c r="E227" t="inlineStr">
        <is>
          <t>FBC5-D1</t>
        </is>
      </c>
      <c r="F227" t="inlineStr">
        <is>
          <t>Friday</t>
        </is>
      </c>
      <c r="G227" s="27" t="n">
        <v>42937</v>
      </c>
      <c r="H227" t="inlineStr">
        <is>
          <t>AM</t>
        </is>
      </c>
      <c r="I227" t="inlineStr">
        <is>
          <t>Hilton Head, SC</t>
        </is>
      </c>
      <c r="J227" t="inlineStr">
        <is>
          <t>South</t>
        </is>
      </c>
      <c r="K227" t="n">
        <v>9</v>
      </c>
      <c r="L227" t="inlineStr">
        <is>
          <t>Front</t>
        </is>
      </c>
      <c r="M227" t="inlineStr">
        <is>
          <t>Harbour Town</t>
        </is>
      </c>
      <c r="N227" t="inlineStr">
        <is>
          <t>Sea Pines</t>
        </is>
      </c>
      <c r="O227" t="n">
        <v>71.40000000000001</v>
      </c>
      <c r="P227" t="n">
        <v>136</v>
      </c>
      <c r="Q227" t="n">
        <v>6251</v>
      </c>
      <c r="R227" t="inlineStr">
        <is>
          <t>Best Ball</t>
        </is>
      </c>
      <c r="S227" t="inlineStr">
        <is>
          <t>Doubles</t>
        </is>
      </c>
      <c r="T227" t="inlineStr">
        <is>
          <t>Over 6'</t>
        </is>
      </c>
      <c r="U227" t="inlineStr">
        <is>
          <t>Forster</t>
        </is>
      </c>
      <c r="V227" t="inlineStr">
        <is>
          <t>Delaney</t>
        </is>
      </c>
      <c r="W227" t="inlineStr">
        <is>
          <t>Blue</t>
        </is>
      </c>
      <c r="Y227" t="inlineStr">
        <is>
          <t>Mangold</t>
        </is>
      </c>
      <c r="AA227" t="n">
        <v>1</v>
      </c>
      <c r="AB227" t="inlineStr">
        <is>
          <t>W</t>
        </is>
      </c>
      <c r="AC227" t="inlineStr">
        <is>
          <t>2Up</t>
        </is>
      </c>
      <c r="AE227">
        <f>$V227&amp;$Y227</f>
        <v/>
      </c>
      <c r="AF227" t="n">
        <v>1</v>
      </c>
      <c r="AG227" t="n">
        <v>1</v>
      </c>
      <c r="AH227" t="n">
        <v>0</v>
      </c>
      <c r="AI227" t="n">
        <v>0</v>
      </c>
      <c r="AJ227" t="n">
        <v>1</v>
      </c>
      <c r="AK227" t="inlineStr">
        <is>
          <t>Gray</t>
        </is>
      </c>
      <c r="AL227" t="n">
        <v>0.654761904761905</v>
      </c>
      <c r="AM227" t="inlineStr">
        <is>
          <t>Poirier</t>
        </is>
      </c>
      <c r="AN227" t="n">
        <v>0.486111111111111</v>
      </c>
    </row>
    <row r="228" ht="15" customHeight="1" s="2">
      <c r="B228" t="n">
        <v>2</v>
      </c>
      <c r="C228" t="n">
        <v>2</v>
      </c>
      <c r="D228" t="n">
        <v>5</v>
      </c>
      <c r="E228" t="inlineStr">
        <is>
          <t>FBC5-D2</t>
        </is>
      </c>
      <c r="F228" t="inlineStr">
        <is>
          <t>Friday</t>
        </is>
      </c>
      <c r="G228" s="27" t="n">
        <v>42937</v>
      </c>
      <c r="H228" t="inlineStr">
        <is>
          <t>AM</t>
        </is>
      </c>
      <c r="I228" t="inlineStr">
        <is>
          <t>Hilton Head, SC</t>
        </is>
      </c>
      <c r="J228" t="inlineStr">
        <is>
          <t>South</t>
        </is>
      </c>
      <c r="K228" t="n">
        <v>9</v>
      </c>
      <c r="L228" t="inlineStr">
        <is>
          <t>Front</t>
        </is>
      </c>
      <c r="M228" t="inlineStr">
        <is>
          <t>Harbour Town</t>
        </is>
      </c>
      <c r="N228" t="inlineStr">
        <is>
          <t>Sea Pines</t>
        </is>
      </c>
      <c r="O228" t="n">
        <v>71.40000000000001</v>
      </c>
      <c r="P228" t="n">
        <v>136</v>
      </c>
      <c r="Q228" t="n">
        <v>6251</v>
      </c>
      <c r="R228" t="inlineStr">
        <is>
          <t>Best Ball</t>
        </is>
      </c>
      <c r="S228" t="inlineStr">
        <is>
          <t>Doubles</t>
        </is>
      </c>
      <c r="T228" t="inlineStr">
        <is>
          <t>Over 6'</t>
        </is>
      </c>
      <c r="U228" t="inlineStr">
        <is>
          <t>Forster</t>
        </is>
      </c>
      <c r="V228" t="inlineStr">
        <is>
          <t>Grise</t>
        </is>
      </c>
      <c r="W228" t="inlineStr">
        <is>
          <t>Blue</t>
        </is>
      </c>
      <c r="Y228" t="inlineStr">
        <is>
          <t>Lynch</t>
        </is>
      </c>
      <c r="AA228" t="n">
        <v>1</v>
      </c>
      <c r="AB228" t="inlineStr">
        <is>
          <t>L</t>
        </is>
      </c>
      <c r="AC228" t="inlineStr">
        <is>
          <t>2&amp;1</t>
        </is>
      </c>
      <c r="AE228">
        <f>$V228&amp;$Y228</f>
        <v/>
      </c>
      <c r="AF228" t="n">
        <v>0</v>
      </c>
      <c r="AG228" t="n">
        <v>0</v>
      </c>
      <c r="AH228" t="n">
        <v>1</v>
      </c>
      <c r="AI228" t="n">
        <v>0</v>
      </c>
      <c r="AJ228" t="n">
        <v>0</v>
      </c>
      <c r="AK228" t="inlineStr">
        <is>
          <t>Cole</t>
        </is>
      </c>
      <c r="AL228" t="n">
        <v>0.440677966101695</v>
      </c>
      <c r="AM228" t="inlineStr">
        <is>
          <t>Jackson</t>
        </is>
      </c>
      <c r="AN228" t="n">
        <v>0.6171875</v>
      </c>
    </row>
    <row r="229" ht="15" customHeight="1" s="2">
      <c r="B229" t="n">
        <v>2</v>
      </c>
      <c r="C229" t="n">
        <v>2</v>
      </c>
      <c r="D229" t="n">
        <v>5</v>
      </c>
      <c r="E229" t="inlineStr">
        <is>
          <t>FBC5-D2</t>
        </is>
      </c>
      <c r="F229" t="inlineStr">
        <is>
          <t>Friday</t>
        </is>
      </c>
      <c r="G229" s="27" t="n">
        <v>42937</v>
      </c>
      <c r="H229" t="inlineStr">
        <is>
          <t>AM</t>
        </is>
      </c>
      <c r="I229" t="inlineStr">
        <is>
          <t>Hilton Head, SC</t>
        </is>
      </c>
      <c r="J229" t="inlineStr">
        <is>
          <t>South</t>
        </is>
      </c>
      <c r="K229" t="n">
        <v>9</v>
      </c>
      <c r="L229" t="inlineStr">
        <is>
          <t>Front</t>
        </is>
      </c>
      <c r="M229" t="inlineStr">
        <is>
          <t>Harbour Town</t>
        </is>
      </c>
      <c r="N229" t="inlineStr">
        <is>
          <t>Sea Pines</t>
        </is>
      </c>
      <c r="O229" t="n">
        <v>71.40000000000001</v>
      </c>
      <c r="P229" t="n">
        <v>136</v>
      </c>
      <c r="Q229" t="n">
        <v>6251</v>
      </c>
      <c r="R229" t="inlineStr">
        <is>
          <t>Best Ball</t>
        </is>
      </c>
      <c r="S229" t="inlineStr">
        <is>
          <t>Doubles</t>
        </is>
      </c>
      <c r="T229" t="inlineStr">
        <is>
          <t>Under 6'</t>
        </is>
      </c>
      <c r="U229" t="inlineStr">
        <is>
          <t>Poirier</t>
        </is>
      </c>
      <c r="V229" t="inlineStr">
        <is>
          <t>Cole</t>
        </is>
      </c>
      <c r="W229" t="inlineStr">
        <is>
          <t>White</t>
        </is>
      </c>
      <c r="Y229" t="inlineStr">
        <is>
          <t>Jackson</t>
        </is>
      </c>
      <c r="AA229" t="n">
        <v>1</v>
      </c>
      <c r="AB229" t="inlineStr">
        <is>
          <t>W</t>
        </is>
      </c>
      <c r="AC229" t="inlineStr">
        <is>
          <t>2&amp;1</t>
        </is>
      </c>
      <c r="AE229">
        <f>$V229&amp;$Y229</f>
        <v/>
      </c>
      <c r="AF229" t="n">
        <v>1</v>
      </c>
      <c r="AG229" t="n">
        <v>1</v>
      </c>
      <c r="AH229" t="n">
        <v>0</v>
      </c>
      <c r="AI229" t="n">
        <v>0</v>
      </c>
      <c r="AJ229" t="n">
        <v>1</v>
      </c>
      <c r="AK229" t="inlineStr">
        <is>
          <t>Grise</t>
        </is>
      </c>
      <c r="AL229" t="n">
        <v>0.546875</v>
      </c>
      <c r="AM229" t="inlineStr">
        <is>
          <t>Lynch</t>
        </is>
      </c>
      <c r="AN229" t="n">
        <v>0.5546875</v>
      </c>
    </row>
    <row r="230" ht="15" customHeight="1" s="2">
      <c r="B230" t="n">
        <v>3</v>
      </c>
      <c r="C230" t="n">
        <v>3</v>
      </c>
      <c r="D230" t="n">
        <v>5</v>
      </c>
      <c r="E230" t="inlineStr">
        <is>
          <t>FBC5-D3</t>
        </is>
      </c>
      <c r="F230" t="inlineStr">
        <is>
          <t>Friday</t>
        </is>
      </c>
      <c r="G230" s="27" t="n">
        <v>42937</v>
      </c>
      <c r="H230" t="inlineStr">
        <is>
          <t>AM</t>
        </is>
      </c>
      <c r="I230" t="inlineStr">
        <is>
          <t>Hilton Head, SC</t>
        </is>
      </c>
      <c r="J230" t="inlineStr">
        <is>
          <t>South</t>
        </is>
      </c>
      <c r="K230" t="n">
        <v>9</v>
      </c>
      <c r="L230" t="inlineStr">
        <is>
          <t>Front</t>
        </is>
      </c>
      <c r="M230" t="inlineStr">
        <is>
          <t>Harbour Town</t>
        </is>
      </c>
      <c r="N230" t="inlineStr">
        <is>
          <t>Sea Pines</t>
        </is>
      </c>
      <c r="O230" t="n">
        <v>71.40000000000001</v>
      </c>
      <c r="P230" t="n">
        <v>136</v>
      </c>
      <c r="Q230" t="n">
        <v>6251</v>
      </c>
      <c r="R230" t="inlineStr">
        <is>
          <t>Best Ball</t>
        </is>
      </c>
      <c r="S230" t="inlineStr">
        <is>
          <t>Doubles</t>
        </is>
      </c>
      <c r="T230" t="inlineStr">
        <is>
          <t>Under 6'</t>
        </is>
      </c>
      <c r="U230" t="inlineStr">
        <is>
          <t>Poirier</t>
        </is>
      </c>
      <c r="V230" t="inlineStr">
        <is>
          <t>Ferrin</t>
        </is>
      </c>
      <c r="W230" t="inlineStr">
        <is>
          <t>White</t>
        </is>
      </c>
      <c r="Y230" t="inlineStr">
        <is>
          <t>Flanders</t>
        </is>
      </c>
      <c r="AA230" t="n">
        <v>1</v>
      </c>
      <c r="AB230" t="inlineStr">
        <is>
          <t>W</t>
        </is>
      </c>
      <c r="AC230" t="inlineStr">
        <is>
          <t>1Up</t>
        </is>
      </c>
      <c r="AE230">
        <f>$V230&amp;$Y230</f>
        <v/>
      </c>
      <c r="AF230" t="n">
        <v>1</v>
      </c>
      <c r="AG230" t="n">
        <v>1</v>
      </c>
      <c r="AH230" t="n">
        <v>0</v>
      </c>
      <c r="AI230" t="n">
        <v>0</v>
      </c>
      <c r="AJ230" t="n">
        <v>1</v>
      </c>
      <c r="AK230" t="inlineStr">
        <is>
          <t>Connolly</t>
        </is>
      </c>
      <c r="AL230" t="n">
        <v>0.59375</v>
      </c>
      <c r="AM230" t="inlineStr">
        <is>
          <t>Shively</t>
        </is>
      </c>
    </row>
    <row r="231" ht="15" customHeight="1" s="2">
      <c r="B231" t="n">
        <v>3</v>
      </c>
      <c r="C231" t="n">
        <v>3</v>
      </c>
      <c r="D231" t="n">
        <v>5</v>
      </c>
      <c r="E231" t="inlineStr">
        <is>
          <t>FBC5-D3</t>
        </is>
      </c>
      <c r="F231" t="inlineStr">
        <is>
          <t>Friday</t>
        </is>
      </c>
      <c r="G231" s="27" t="n">
        <v>42937</v>
      </c>
      <c r="H231" t="inlineStr">
        <is>
          <t>AM</t>
        </is>
      </c>
      <c r="I231" t="inlineStr">
        <is>
          <t>Hilton Head, SC</t>
        </is>
      </c>
      <c r="J231" t="inlineStr">
        <is>
          <t>South</t>
        </is>
      </c>
      <c r="K231" t="n">
        <v>9</v>
      </c>
      <c r="L231" t="inlineStr">
        <is>
          <t>Front</t>
        </is>
      </c>
      <c r="M231" t="inlineStr">
        <is>
          <t>Harbour Town</t>
        </is>
      </c>
      <c r="N231" t="inlineStr">
        <is>
          <t>Sea Pines</t>
        </is>
      </c>
      <c r="O231" t="n">
        <v>71.40000000000001</v>
      </c>
      <c r="P231" t="n">
        <v>136</v>
      </c>
      <c r="Q231" t="n">
        <v>6251</v>
      </c>
      <c r="R231" t="inlineStr">
        <is>
          <t>Best Ball</t>
        </is>
      </c>
      <c r="S231" t="inlineStr">
        <is>
          <t>Doubles</t>
        </is>
      </c>
      <c r="T231" t="inlineStr">
        <is>
          <t>Over 6'</t>
        </is>
      </c>
      <c r="U231" t="inlineStr">
        <is>
          <t>Forster</t>
        </is>
      </c>
      <c r="V231" t="inlineStr">
        <is>
          <t>Connolly</t>
        </is>
      </c>
      <c r="W231" t="inlineStr">
        <is>
          <t>Blue</t>
        </is>
      </c>
      <c r="Y231" t="inlineStr">
        <is>
          <t>Shively</t>
        </is>
      </c>
      <c r="AA231" t="n">
        <v>1</v>
      </c>
      <c r="AB231" t="inlineStr">
        <is>
          <t>L</t>
        </is>
      </c>
      <c r="AC231" t="inlineStr">
        <is>
          <t>1Up</t>
        </is>
      </c>
      <c r="AE231">
        <f>$V231&amp;$Y231</f>
        <v/>
      </c>
      <c r="AF231" t="n">
        <v>0</v>
      </c>
      <c r="AG231" t="n">
        <v>0</v>
      </c>
      <c r="AH231" t="n">
        <v>1</v>
      </c>
      <c r="AI231" t="n">
        <v>0</v>
      </c>
      <c r="AJ231" t="n">
        <v>0</v>
      </c>
      <c r="AK231" t="inlineStr">
        <is>
          <t>Ferrin</t>
        </is>
      </c>
      <c r="AL231" t="n">
        <v>0.595238095238095</v>
      </c>
      <c r="AM231" t="inlineStr">
        <is>
          <t>Flanders</t>
        </is>
      </c>
      <c r="AN231" t="n">
        <v>0.4296875</v>
      </c>
    </row>
    <row r="232" ht="15" customHeight="1" s="2">
      <c r="B232" t="n">
        <v>4</v>
      </c>
      <c r="C232" t="n">
        <v>4</v>
      </c>
      <c r="D232" t="n">
        <v>5</v>
      </c>
      <c r="E232" t="inlineStr">
        <is>
          <t>FBC5-D4</t>
        </is>
      </c>
      <c r="F232" t="inlineStr">
        <is>
          <t>Friday</t>
        </is>
      </c>
      <c r="G232" s="27" t="n">
        <v>42937</v>
      </c>
      <c r="H232" t="inlineStr">
        <is>
          <t>AM</t>
        </is>
      </c>
      <c r="I232" t="inlineStr">
        <is>
          <t>Hilton Head, SC</t>
        </is>
      </c>
      <c r="J232" t="inlineStr">
        <is>
          <t>South</t>
        </is>
      </c>
      <c r="K232" t="n">
        <v>9</v>
      </c>
      <c r="L232" t="inlineStr">
        <is>
          <t>Front</t>
        </is>
      </c>
      <c r="M232" t="inlineStr">
        <is>
          <t>Harbour Town</t>
        </is>
      </c>
      <c r="N232" t="inlineStr">
        <is>
          <t>Sea Pines</t>
        </is>
      </c>
      <c r="O232" t="n">
        <v>71.40000000000001</v>
      </c>
      <c r="P232" t="n">
        <v>136</v>
      </c>
      <c r="Q232" t="n">
        <v>6251</v>
      </c>
      <c r="R232" t="inlineStr">
        <is>
          <t>Best Ball</t>
        </is>
      </c>
      <c r="S232" t="inlineStr">
        <is>
          <t>Doubles</t>
        </is>
      </c>
      <c r="T232" t="inlineStr">
        <is>
          <t>Over 6'</t>
        </is>
      </c>
      <c r="U232" t="inlineStr">
        <is>
          <t>Forster</t>
        </is>
      </c>
      <c r="V232" t="inlineStr">
        <is>
          <t>Forster</t>
        </is>
      </c>
      <c r="W232" t="inlineStr">
        <is>
          <t>Blue</t>
        </is>
      </c>
      <c r="Y232" t="inlineStr">
        <is>
          <t>McInerney</t>
        </is>
      </c>
      <c r="AA232" t="n">
        <v>1</v>
      </c>
      <c r="AB232" t="inlineStr">
        <is>
          <t>L</t>
        </is>
      </c>
      <c r="AC232" t="inlineStr">
        <is>
          <t>3&amp;2</t>
        </is>
      </c>
      <c r="AE232">
        <f>$V232&amp;$Y232</f>
        <v/>
      </c>
      <c r="AF232" t="n">
        <v>0</v>
      </c>
      <c r="AG232" t="n">
        <v>0</v>
      </c>
      <c r="AH232" t="n">
        <v>1</v>
      </c>
      <c r="AI232" t="n">
        <v>0</v>
      </c>
      <c r="AJ232" t="n">
        <v>0</v>
      </c>
      <c r="AK232" t="inlineStr">
        <is>
          <t>Fogan</t>
        </is>
      </c>
      <c r="AL232" t="n">
        <v>0.372881355932203</v>
      </c>
      <c r="AM232" t="inlineStr">
        <is>
          <t>Hilts</t>
        </is>
      </c>
      <c r="AN232" t="n">
        <v>0.473214285714286</v>
      </c>
    </row>
    <row r="233" ht="15" customHeight="1" s="2">
      <c r="B233" t="n">
        <v>4</v>
      </c>
      <c r="C233" t="n">
        <v>4</v>
      </c>
      <c r="D233" t="n">
        <v>5</v>
      </c>
      <c r="E233" t="inlineStr">
        <is>
          <t>FBC5-D4</t>
        </is>
      </c>
      <c r="F233" t="inlineStr">
        <is>
          <t>Friday</t>
        </is>
      </c>
      <c r="G233" s="27" t="n">
        <v>42937</v>
      </c>
      <c r="H233" t="inlineStr">
        <is>
          <t>AM</t>
        </is>
      </c>
      <c r="I233" t="inlineStr">
        <is>
          <t>Hilton Head, SC</t>
        </is>
      </c>
      <c r="J233" t="inlineStr">
        <is>
          <t>South</t>
        </is>
      </c>
      <c r="K233" t="n">
        <v>9</v>
      </c>
      <c r="L233" t="inlineStr">
        <is>
          <t>Front</t>
        </is>
      </c>
      <c r="M233" t="inlineStr">
        <is>
          <t>Harbour Town</t>
        </is>
      </c>
      <c r="N233" t="inlineStr">
        <is>
          <t>Sea Pines</t>
        </is>
      </c>
      <c r="O233" t="n">
        <v>71.40000000000001</v>
      </c>
      <c r="P233" t="n">
        <v>136</v>
      </c>
      <c r="Q233" t="n">
        <v>6251</v>
      </c>
      <c r="R233" t="inlineStr">
        <is>
          <t>Best Ball</t>
        </is>
      </c>
      <c r="S233" t="inlineStr">
        <is>
          <t>Doubles</t>
        </is>
      </c>
      <c r="T233" t="inlineStr">
        <is>
          <t>Under 6'</t>
        </is>
      </c>
      <c r="U233" t="inlineStr">
        <is>
          <t>Poirier</t>
        </is>
      </c>
      <c r="V233" t="inlineStr">
        <is>
          <t>Fogan</t>
        </is>
      </c>
      <c r="W233" t="inlineStr">
        <is>
          <t>White</t>
        </is>
      </c>
      <c r="Y233" t="inlineStr">
        <is>
          <t>Hilts</t>
        </is>
      </c>
      <c r="AA233" t="n">
        <v>1</v>
      </c>
      <c r="AB233" t="inlineStr">
        <is>
          <t>W</t>
        </is>
      </c>
      <c r="AC233" t="inlineStr">
        <is>
          <t>3&amp;2</t>
        </is>
      </c>
      <c r="AE233">
        <f>$V233&amp;$Y233</f>
        <v/>
      </c>
      <c r="AF233" t="n">
        <v>1</v>
      </c>
      <c r="AG233" t="n">
        <v>1</v>
      </c>
      <c r="AH233" t="n">
        <v>0</v>
      </c>
      <c r="AI233" t="n">
        <v>0</v>
      </c>
      <c r="AJ233" t="n">
        <v>1</v>
      </c>
      <c r="AK233" t="inlineStr">
        <is>
          <t>Forster</t>
        </is>
      </c>
      <c r="AL233" t="n">
        <v>0.596491228070175</v>
      </c>
      <c r="AM233" t="inlineStr">
        <is>
          <t>McInerney</t>
        </is>
      </c>
      <c r="AN233" t="n">
        <v>0.5</v>
      </c>
    </row>
    <row r="234" ht="15" customHeight="1" s="2">
      <c r="B234" t="n">
        <v>5</v>
      </c>
      <c r="C234" t="n">
        <v>5</v>
      </c>
      <c r="D234" t="n">
        <v>5</v>
      </c>
      <c r="E234" t="inlineStr">
        <is>
          <t>FBC5-D5</t>
        </is>
      </c>
      <c r="F234" t="inlineStr">
        <is>
          <t>Friday</t>
        </is>
      </c>
      <c r="G234" s="27" t="n">
        <v>42937</v>
      </c>
      <c r="H234" t="inlineStr">
        <is>
          <t>AM</t>
        </is>
      </c>
      <c r="I234" t="inlineStr">
        <is>
          <t>Hilton Head, SC</t>
        </is>
      </c>
      <c r="J234" t="inlineStr">
        <is>
          <t>South</t>
        </is>
      </c>
      <c r="K234" t="n">
        <v>9</v>
      </c>
      <c r="L234" t="inlineStr">
        <is>
          <t>Front</t>
        </is>
      </c>
      <c r="M234" t="inlineStr">
        <is>
          <t>Harbour Town</t>
        </is>
      </c>
      <c r="N234" t="inlineStr">
        <is>
          <t>Sea Pines</t>
        </is>
      </c>
      <c r="O234" t="n">
        <v>71.40000000000001</v>
      </c>
      <c r="P234" t="n">
        <v>136</v>
      </c>
      <c r="Q234" t="n">
        <v>6251</v>
      </c>
      <c r="R234" t="inlineStr">
        <is>
          <t>Best Ball</t>
        </is>
      </c>
      <c r="S234" t="inlineStr">
        <is>
          <t>Doubles</t>
        </is>
      </c>
      <c r="T234" t="inlineStr">
        <is>
          <t>Under 6'</t>
        </is>
      </c>
      <c r="U234" t="inlineStr">
        <is>
          <t>Poirier</t>
        </is>
      </c>
      <c r="V234" t="inlineStr">
        <is>
          <t>Connors</t>
        </is>
      </c>
      <c r="W234" t="inlineStr">
        <is>
          <t>White</t>
        </is>
      </c>
      <c r="Y234" t="inlineStr">
        <is>
          <t>Welker</t>
        </is>
      </c>
      <c r="AA234" t="n">
        <v>1</v>
      </c>
      <c r="AB234" t="inlineStr">
        <is>
          <t>W</t>
        </is>
      </c>
      <c r="AC234" t="inlineStr">
        <is>
          <t>2&amp;1</t>
        </is>
      </c>
      <c r="AE234">
        <f>$V234&amp;$Y234</f>
        <v/>
      </c>
      <c r="AF234" t="n">
        <v>1</v>
      </c>
      <c r="AG234" t="n">
        <v>1</v>
      </c>
      <c r="AH234" t="n">
        <v>0</v>
      </c>
      <c r="AI234" t="n">
        <v>0</v>
      </c>
      <c r="AJ234" t="n">
        <v>1</v>
      </c>
      <c r="AK234" t="inlineStr">
        <is>
          <t>Norat</t>
        </is>
      </c>
      <c r="AL234" t="n">
        <v>0.527777777777778</v>
      </c>
      <c r="AM234" t="inlineStr">
        <is>
          <t>Zimmer</t>
        </is>
      </c>
      <c r="AN234" t="n">
        <v>0.5</v>
      </c>
    </row>
    <row r="235" ht="15" customHeight="1" s="2">
      <c r="B235" t="n">
        <v>5</v>
      </c>
      <c r="C235" t="n">
        <v>5</v>
      </c>
      <c r="D235" t="n">
        <v>5</v>
      </c>
      <c r="E235" t="inlineStr">
        <is>
          <t>FBC5-D5</t>
        </is>
      </c>
      <c r="F235" t="inlineStr">
        <is>
          <t>Friday</t>
        </is>
      </c>
      <c r="G235" s="27" t="n">
        <v>42937</v>
      </c>
      <c r="H235" t="inlineStr">
        <is>
          <t>AM</t>
        </is>
      </c>
      <c r="I235" t="inlineStr">
        <is>
          <t>Hilton Head, SC</t>
        </is>
      </c>
      <c r="J235" t="inlineStr">
        <is>
          <t>South</t>
        </is>
      </c>
      <c r="K235" t="n">
        <v>9</v>
      </c>
      <c r="L235" t="inlineStr">
        <is>
          <t>Front</t>
        </is>
      </c>
      <c r="M235" t="inlineStr">
        <is>
          <t>Harbour Town</t>
        </is>
      </c>
      <c r="N235" t="inlineStr">
        <is>
          <t>Sea Pines</t>
        </is>
      </c>
      <c r="O235" t="n">
        <v>71.40000000000001</v>
      </c>
      <c r="P235" t="n">
        <v>136</v>
      </c>
      <c r="Q235" t="n">
        <v>6251</v>
      </c>
      <c r="R235" t="inlineStr">
        <is>
          <t>Best Ball</t>
        </is>
      </c>
      <c r="S235" t="inlineStr">
        <is>
          <t>Doubles</t>
        </is>
      </c>
      <c r="T235" t="inlineStr">
        <is>
          <t>Over 6'</t>
        </is>
      </c>
      <c r="U235" t="inlineStr">
        <is>
          <t>Forster</t>
        </is>
      </c>
      <c r="V235" t="inlineStr">
        <is>
          <t>Norat</t>
        </is>
      </c>
      <c r="W235" t="inlineStr">
        <is>
          <t>Blue</t>
        </is>
      </c>
      <c r="Y235" t="inlineStr">
        <is>
          <t>Zimmer</t>
        </is>
      </c>
      <c r="AA235" t="n">
        <v>1</v>
      </c>
      <c r="AB235" t="inlineStr">
        <is>
          <t>L</t>
        </is>
      </c>
      <c r="AC235" t="inlineStr">
        <is>
          <t>2&amp;1</t>
        </is>
      </c>
      <c r="AE235">
        <f>$V235&amp;$Y235</f>
        <v/>
      </c>
      <c r="AF235" t="n">
        <v>0</v>
      </c>
      <c r="AG235" t="n">
        <v>0</v>
      </c>
      <c r="AH235" t="n">
        <v>1</v>
      </c>
      <c r="AI235" t="n">
        <v>0</v>
      </c>
      <c r="AJ235" t="n">
        <v>0</v>
      </c>
      <c r="AK235" t="inlineStr">
        <is>
          <t>Connors</t>
        </is>
      </c>
      <c r="AL235" t="n">
        <v>0.347457627118644</v>
      </c>
      <c r="AM235" t="inlineStr">
        <is>
          <t>Welker</t>
        </is>
      </c>
      <c r="AN235" t="n">
        <v>0.510416666666667</v>
      </c>
    </row>
    <row r="236" ht="15" customHeight="1" s="2">
      <c r="B236" t="n">
        <v>6</v>
      </c>
      <c r="C236" t="n">
        <v>1</v>
      </c>
      <c r="D236" t="n">
        <v>5</v>
      </c>
      <c r="E236" t="inlineStr">
        <is>
          <t>FBC5-D6</t>
        </is>
      </c>
      <c r="F236" t="inlineStr">
        <is>
          <t>Friday</t>
        </is>
      </c>
      <c r="G236" s="27" t="n">
        <v>42937</v>
      </c>
      <c r="H236" t="inlineStr">
        <is>
          <t>AM</t>
        </is>
      </c>
      <c r="I236" t="inlineStr">
        <is>
          <t>Hilton Head, SC</t>
        </is>
      </c>
      <c r="J236" t="inlineStr">
        <is>
          <t>South</t>
        </is>
      </c>
      <c r="K236" t="n">
        <v>9</v>
      </c>
      <c r="L236" t="inlineStr">
        <is>
          <t>Back</t>
        </is>
      </c>
      <c r="M236" t="inlineStr">
        <is>
          <t>Harbour Town</t>
        </is>
      </c>
      <c r="N236" t="inlineStr">
        <is>
          <t>Sea Pines</t>
        </is>
      </c>
      <c r="O236" t="n">
        <v>71.40000000000001</v>
      </c>
      <c r="P236" t="n">
        <v>136</v>
      </c>
      <c r="Q236" t="n">
        <v>6251</v>
      </c>
      <c r="R236" t="inlineStr">
        <is>
          <t>Hi-Lo</t>
        </is>
      </c>
      <c r="S236" t="inlineStr">
        <is>
          <t>Doubles</t>
        </is>
      </c>
      <c r="T236" t="inlineStr">
        <is>
          <t>Under 6'</t>
        </is>
      </c>
      <c r="U236" t="inlineStr">
        <is>
          <t>Poirier</t>
        </is>
      </c>
      <c r="V236" t="inlineStr">
        <is>
          <t>Gray</t>
        </is>
      </c>
      <c r="W236" t="inlineStr">
        <is>
          <t>White</t>
        </is>
      </c>
      <c r="Y236" t="inlineStr">
        <is>
          <t>Poirier</t>
        </is>
      </c>
      <c r="AA236" t="n">
        <v>1</v>
      </c>
      <c r="AB236" t="inlineStr">
        <is>
          <t>T</t>
        </is>
      </c>
      <c r="AC236" t="inlineStr">
        <is>
          <t>Halved</t>
        </is>
      </c>
      <c r="AE236">
        <f>$V236&amp;$Y236</f>
        <v/>
      </c>
      <c r="AF236" t="n">
        <v>0.5</v>
      </c>
      <c r="AG236" t="n">
        <v>0</v>
      </c>
      <c r="AH236" t="n">
        <v>0</v>
      </c>
      <c r="AI236" t="n">
        <v>1</v>
      </c>
      <c r="AJ236" t="n">
        <v>0.5</v>
      </c>
      <c r="AK236" t="inlineStr">
        <is>
          <t>Delaney</t>
        </is>
      </c>
      <c r="AL236" t="n">
        <v>0.46551724137931</v>
      </c>
      <c r="AM236" t="inlineStr">
        <is>
          <t>Mangold</t>
        </is>
      </c>
      <c r="AN236" t="n">
        <v>0.383928571428572</v>
      </c>
    </row>
    <row r="237" ht="15" customHeight="1" s="2">
      <c r="B237" t="n">
        <v>6</v>
      </c>
      <c r="C237" t="n">
        <v>1</v>
      </c>
      <c r="D237" t="n">
        <v>5</v>
      </c>
      <c r="E237" t="inlineStr">
        <is>
          <t>FBC5-D6</t>
        </is>
      </c>
      <c r="F237" t="inlineStr">
        <is>
          <t>Friday</t>
        </is>
      </c>
      <c r="G237" s="27" t="n">
        <v>42937</v>
      </c>
      <c r="H237" t="inlineStr">
        <is>
          <t>AM</t>
        </is>
      </c>
      <c r="I237" t="inlineStr">
        <is>
          <t>Hilton Head, SC</t>
        </is>
      </c>
      <c r="J237" t="inlineStr">
        <is>
          <t>South</t>
        </is>
      </c>
      <c r="K237" t="n">
        <v>9</v>
      </c>
      <c r="L237" t="inlineStr">
        <is>
          <t>Back</t>
        </is>
      </c>
      <c r="M237" t="inlineStr">
        <is>
          <t>Harbour Town</t>
        </is>
      </c>
      <c r="N237" t="inlineStr">
        <is>
          <t>Sea Pines</t>
        </is>
      </c>
      <c r="O237" t="n">
        <v>71.40000000000001</v>
      </c>
      <c r="P237" t="n">
        <v>136</v>
      </c>
      <c r="Q237" t="n">
        <v>6251</v>
      </c>
      <c r="R237" t="inlineStr">
        <is>
          <t>Hi-Lo</t>
        </is>
      </c>
      <c r="S237" t="inlineStr">
        <is>
          <t>Doubles</t>
        </is>
      </c>
      <c r="T237" t="inlineStr">
        <is>
          <t>Over 6'</t>
        </is>
      </c>
      <c r="U237" t="inlineStr">
        <is>
          <t>Forster</t>
        </is>
      </c>
      <c r="V237" t="inlineStr">
        <is>
          <t>Delaney</t>
        </is>
      </c>
      <c r="W237" t="inlineStr">
        <is>
          <t>Blue</t>
        </is>
      </c>
      <c r="Y237" t="inlineStr">
        <is>
          <t>Mangold</t>
        </is>
      </c>
      <c r="AA237" t="n">
        <v>1</v>
      </c>
      <c r="AB237" t="inlineStr">
        <is>
          <t>T</t>
        </is>
      </c>
      <c r="AC237" t="inlineStr">
        <is>
          <t>Halved</t>
        </is>
      </c>
      <c r="AE237">
        <f>$V237&amp;$Y237</f>
        <v/>
      </c>
      <c r="AF237" t="n">
        <v>0.5</v>
      </c>
      <c r="AG237" t="n">
        <v>0</v>
      </c>
      <c r="AH237" t="n">
        <v>0</v>
      </c>
      <c r="AI237" t="n">
        <v>1</v>
      </c>
      <c r="AJ237" t="n">
        <v>0.5</v>
      </c>
      <c r="AK237" t="inlineStr">
        <is>
          <t>Gray</t>
        </is>
      </c>
      <c r="AL237" t="n">
        <v>0.654761904761905</v>
      </c>
      <c r="AM237" t="inlineStr">
        <is>
          <t>Poirier</t>
        </is>
      </c>
      <c r="AN237" t="n">
        <v>0.486111111111111</v>
      </c>
    </row>
    <row r="238" ht="15" customHeight="1" s="2">
      <c r="B238" t="n">
        <v>7</v>
      </c>
      <c r="C238" t="n">
        <v>2</v>
      </c>
      <c r="D238" t="n">
        <v>5</v>
      </c>
      <c r="E238" t="inlineStr">
        <is>
          <t>FBC5-D7</t>
        </is>
      </c>
      <c r="F238" t="inlineStr">
        <is>
          <t>Friday</t>
        </is>
      </c>
      <c r="G238" s="27" t="n">
        <v>42937</v>
      </c>
      <c r="H238" t="inlineStr">
        <is>
          <t>AM</t>
        </is>
      </c>
      <c r="I238" t="inlineStr">
        <is>
          <t>Hilton Head, SC</t>
        </is>
      </c>
      <c r="J238" t="inlineStr">
        <is>
          <t>South</t>
        </is>
      </c>
      <c r="K238" t="n">
        <v>9</v>
      </c>
      <c r="L238" t="inlineStr">
        <is>
          <t>Back</t>
        </is>
      </c>
      <c r="M238" t="inlineStr">
        <is>
          <t>Harbour Town</t>
        </is>
      </c>
      <c r="N238" t="inlineStr">
        <is>
          <t>Sea Pines</t>
        </is>
      </c>
      <c r="O238" t="n">
        <v>71.40000000000001</v>
      </c>
      <c r="P238" t="n">
        <v>136</v>
      </c>
      <c r="Q238" t="n">
        <v>6251</v>
      </c>
      <c r="R238" t="inlineStr">
        <is>
          <t>Hi-Lo</t>
        </is>
      </c>
      <c r="S238" t="inlineStr">
        <is>
          <t>Doubles</t>
        </is>
      </c>
      <c r="T238" t="inlineStr">
        <is>
          <t>Over 6'</t>
        </is>
      </c>
      <c r="U238" t="inlineStr">
        <is>
          <t>Forster</t>
        </is>
      </c>
      <c r="V238" t="inlineStr">
        <is>
          <t>Grise</t>
        </is>
      </c>
      <c r="W238" t="inlineStr">
        <is>
          <t>Blue</t>
        </is>
      </c>
      <c r="Y238" t="inlineStr">
        <is>
          <t>Lynch</t>
        </is>
      </c>
      <c r="AA238" t="n">
        <v>1</v>
      </c>
      <c r="AB238" t="inlineStr">
        <is>
          <t>W</t>
        </is>
      </c>
      <c r="AC238" t="inlineStr">
        <is>
          <t>3&amp;1</t>
        </is>
      </c>
      <c r="AE238">
        <f>$V238&amp;$Y238</f>
        <v/>
      </c>
      <c r="AF238" t="n">
        <v>1</v>
      </c>
      <c r="AG238" t="n">
        <v>1</v>
      </c>
      <c r="AH238" t="n">
        <v>0</v>
      </c>
      <c r="AI238" t="n">
        <v>0</v>
      </c>
      <c r="AJ238" t="n">
        <v>1</v>
      </c>
      <c r="AK238" t="inlineStr">
        <is>
          <t>Cole</t>
        </is>
      </c>
      <c r="AL238" t="n">
        <v>0.440677966101695</v>
      </c>
      <c r="AM238" t="inlineStr">
        <is>
          <t>Jackson</t>
        </is>
      </c>
      <c r="AN238" t="n">
        <v>0.6171875</v>
      </c>
    </row>
    <row r="239" ht="15" customHeight="1" s="2">
      <c r="B239" t="n">
        <v>7</v>
      </c>
      <c r="C239" t="n">
        <v>2</v>
      </c>
      <c r="D239" t="n">
        <v>5</v>
      </c>
      <c r="E239" t="inlineStr">
        <is>
          <t>FBC5-D7</t>
        </is>
      </c>
      <c r="F239" t="inlineStr">
        <is>
          <t>Friday</t>
        </is>
      </c>
      <c r="G239" s="27" t="n">
        <v>42937</v>
      </c>
      <c r="H239" t="inlineStr">
        <is>
          <t>AM</t>
        </is>
      </c>
      <c r="I239" t="inlineStr">
        <is>
          <t>Hilton Head, SC</t>
        </is>
      </c>
      <c r="J239" t="inlineStr">
        <is>
          <t>South</t>
        </is>
      </c>
      <c r="K239" t="n">
        <v>9</v>
      </c>
      <c r="L239" t="inlineStr">
        <is>
          <t>Back</t>
        </is>
      </c>
      <c r="M239" t="inlineStr">
        <is>
          <t>Harbour Town</t>
        </is>
      </c>
      <c r="N239" t="inlineStr">
        <is>
          <t>Sea Pines</t>
        </is>
      </c>
      <c r="O239" t="n">
        <v>71.40000000000001</v>
      </c>
      <c r="P239" t="n">
        <v>136</v>
      </c>
      <c r="Q239" t="n">
        <v>6251</v>
      </c>
      <c r="R239" t="inlineStr">
        <is>
          <t>Hi-Lo</t>
        </is>
      </c>
      <c r="S239" t="inlineStr">
        <is>
          <t>Doubles</t>
        </is>
      </c>
      <c r="T239" t="inlineStr">
        <is>
          <t>Under 6'</t>
        </is>
      </c>
      <c r="U239" t="inlineStr">
        <is>
          <t>Poirier</t>
        </is>
      </c>
      <c r="V239" t="inlineStr">
        <is>
          <t>Cole</t>
        </is>
      </c>
      <c r="W239" t="inlineStr">
        <is>
          <t>White</t>
        </is>
      </c>
      <c r="Y239" t="inlineStr">
        <is>
          <t>Jackson</t>
        </is>
      </c>
      <c r="AA239" t="n">
        <v>1</v>
      </c>
      <c r="AB239" t="inlineStr">
        <is>
          <t>L</t>
        </is>
      </c>
      <c r="AC239" t="inlineStr">
        <is>
          <t>3&amp;1</t>
        </is>
      </c>
      <c r="AE239">
        <f>$V239&amp;$Y239</f>
        <v/>
      </c>
      <c r="AF239" t="n">
        <v>0</v>
      </c>
      <c r="AG239" t="n">
        <v>0</v>
      </c>
      <c r="AH239" t="n">
        <v>1</v>
      </c>
      <c r="AI239" t="n">
        <v>0</v>
      </c>
      <c r="AJ239" t="n">
        <v>0</v>
      </c>
      <c r="AK239" t="inlineStr">
        <is>
          <t>Grise</t>
        </is>
      </c>
      <c r="AL239" t="n">
        <v>0.546875</v>
      </c>
      <c r="AM239" t="inlineStr">
        <is>
          <t>Lynch</t>
        </is>
      </c>
      <c r="AN239" t="n">
        <v>0.5546875</v>
      </c>
    </row>
    <row r="240" ht="15" customHeight="1" s="2">
      <c r="B240" t="n">
        <v>8</v>
      </c>
      <c r="C240" t="n">
        <v>3</v>
      </c>
      <c r="D240" t="n">
        <v>5</v>
      </c>
      <c r="E240" t="inlineStr">
        <is>
          <t>FBC5-D8</t>
        </is>
      </c>
      <c r="F240" t="inlineStr">
        <is>
          <t>Friday</t>
        </is>
      </c>
      <c r="G240" s="27" t="n">
        <v>42937</v>
      </c>
      <c r="H240" t="inlineStr">
        <is>
          <t>AM</t>
        </is>
      </c>
      <c r="I240" t="inlineStr">
        <is>
          <t>Hilton Head, SC</t>
        </is>
      </c>
      <c r="J240" t="inlineStr">
        <is>
          <t>South</t>
        </is>
      </c>
      <c r="K240" t="n">
        <v>9</v>
      </c>
      <c r="L240" t="inlineStr">
        <is>
          <t>Back</t>
        </is>
      </c>
      <c r="M240" t="inlineStr">
        <is>
          <t>Harbour Town</t>
        </is>
      </c>
      <c r="N240" t="inlineStr">
        <is>
          <t>Sea Pines</t>
        </is>
      </c>
      <c r="O240" t="n">
        <v>71.40000000000001</v>
      </c>
      <c r="P240" t="n">
        <v>136</v>
      </c>
      <c r="Q240" t="n">
        <v>6251</v>
      </c>
      <c r="R240" t="inlineStr">
        <is>
          <t>Hi-Lo</t>
        </is>
      </c>
      <c r="S240" t="inlineStr">
        <is>
          <t>Doubles</t>
        </is>
      </c>
      <c r="T240" t="inlineStr">
        <is>
          <t>Under 6'</t>
        </is>
      </c>
      <c r="U240" t="inlineStr">
        <is>
          <t>Poirier</t>
        </is>
      </c>
      <c r="V240" t="inlineStr">
        <is>
          <t>Ferrin</t>
        </is>
      </c>
      <c r="W240" t="inlineStr">
        <is>
          <t>White</t>
        </is>
      </c>
      <c r="Y240" t="inlineStr">
        <is>
          <t>Flanders</t>
        </is>
      </c>
      <c r="AA240" t="n">
        <v>1</v>
      </c>
      <c r="AB240" t="inlineStr">
        <is>
          <t>W</t>
        </is>
      </c>
      <c r="AC240" t="inlineStr">
        <is>
          <t>5&amp;2</t>
        </is>
      </c>
      <c r="AE240">
        <f>$V240&amp;$Y240</f>
        <v/>
      </c>
      <c r="AF240" t="n">
        <v>1</v>
      </c>
      <c r="AG240" t="n">
        <v>1</v>
      </c>
      <c r="AH240" t="n">
        <v>0</v>
      </c>
      <c r="AI240" t="n">
        <v>0</v>
      </c>
      <c r="AJ240" t="n">
        <v>1</v>
      </c>
      <c r="AK240" t="inlineStr">
        <is>
          <t>Connolly</t>
        </is>
      </c>
      <c r="AL240" t="n">
        <v>0.59375</v>
      </c>
      <c r="AM240" t="inlineStr">
        <is>
          <t>Shively</t>
        </is>
      </c>
    </row>
    <row r="241" ht="15" customHeight="1" s="2">
      <c r="B241" t="n">
        <v>8</v>
      </c>
      <c r="C241" t="n">
        <v>3</v>
      </c>
      <c r="D241" t="n">
        <v>5</v>
      </c>
      <c r="E241" t="inlineStr">
        <is>
          <t>FBC5-D8</t>
        </is>
      </c>
      <c r="F241" t="inlineStr">
        <is>
          <t>Friday</t>
        </is>
      </c>
      <c r="G241" s="27" t="n">
        <v>42937</v>
      </c>
      <c r="H241" t="inlineStr">
        <is>
          <t>AM</t>
        </is>
      </c>
      <c r="I241" t="inlineStr">
        <is>
          <t>Hilton Head, SC</t>
        </is>
      </c>
      <c r="J241" t="inlineStr">
        <is>
          <t>South</t>
        </is>
      </c>
      <c r="K241" t="n">
        <v>9</v>
      </c>
      <c r="L241" t="inlineStr">
        <is>
          <t>Back</t>
        </is>
      </c>
      <c r="M241" t="inlineStr">
        <is>
          <t>Harbour Town</t>
        </is>
      </c>
      <c r="N241" t="inlineStr">
        <is>
          <t>Sea Pines</t>
        </is>
      </c>
      <c r="O241" t="n">
        <v>71.40000000000001</v>
      </c>
      <c r="P241" t="n">
        <v>136</v>
      </c>
      <c r="Q241" t="n">
        <v>6251</v>
      </c>
      <c r="R241" t="inlineStr">
        <is>
          <t>Hi-Lo</t>
        </is>
      </c>
      <c r="S241" t="inlineStr">
        <is>
          <t>Doubles</t>
        </is>
      </c>
      <c r="T241" t="inlineStr">
        <is>
          <t>Over 6'</t>
        </is>
      </c>
      <c r="U241" t="inlineStr">
        <is>
          <t>Forster</t>
        </is>
      </c>
      <c r="V241" t="inlineStr">
        <is>
          <t>Connolly</t>
        </is>
      </c>
      <c r="W241" t="inlineStr">
        <is>
          <t>Blue</t>
        </is>
      </c>
      <c r="Y241" t="inlineStr">
        <is>
          <t>Shively</t>
        </is>
      </c>
      <c r="AA241" t="n">
        <v>1</v>
      </c>
      <c r="AB241" t="inlineStr">
        <is>
          <t>L</t>
        </is>
      </c>
      <c r="AC241" t="inlineStr">
        <is>
          <t>5&amp;2</t>
        </is>
      </c>
      <c r="AE241">
        <f>$V241&amp;$Y241</f>
        <v/>
      </c>
      <c r="AF241" t="n">
        <v>0</v>
      </c>
      <c r="AG241" t="n">
        <v>0</v>
      </c>
      <c r="AH241" t="n">
        <v>1</v>
      </c>
      <c r="AI241" t="n">
        <v>0</v>
      </c>
      <c r="AJ241" t="n">
        <v>0</v>
      </c>
      <c r="AK241" t="inlineStr">
        <is>
          <t>Ferrin</t>
        </is>
      </c>
      <c r="AL241" t="n">
        <v>0.595238095238095</v>
      </c>
      <c r="AM241" t="inlineStr">
        <is>
          <t>Flanders</t>
        </is>
      </c>
      <c r="AN241" t="n">
        <v>0.4296875</v>
      </c>
    </row>
    <row r="242" ht="15" customHeight="1" s="2">
      <c r="B242" t="n">
        <v>9</v>
      </c>
      <c r="C242" t="n">
        <v>4</v>
      </c>
      <c r="D242" t="n">
        <v>5</v>
      </c>
      <c r="E242" t="inlineStr">
        <is>
          <t>FBC5-D9</t>
        </is>
      </c>
      <c r="F242" t="inlineStr">
        <is>
          <t>Friday</t>
        </is>
      </c>
      <c r="G242" s="27" t="n">
        <v>42937</v>
      </c>
      <c r="H242" t="inlineStr">
        <is>
          <t>AM</t>
        </is>
      </c>
      <c r="I242" t="inlineStr">
        <is>
          <t>Hilton Head, SC</t>
        </is>
      </c>
      <c r="J242" t="inlineStr">
        <is>
          <t>South</t>
        </is>
      </c>
      <c r="K242" t="n">
        <v>9</v>
      </c>
      <c r="L242" t="inlineStr">
        <is>
          <t>Back</t>
        </is>
      </c>
      <c r="M242" t="inlineStr">
        <is>
          <t>Harbour Town</t>
        </is>
      </c>
      <c r="N242" t="inlineStr">
        <is>
          <t>Sea Pines</t>
        </is>
      </c>
      <c r="O242" t="n">
        <v>71.40000000000001</v>
      </c>
      <c r="P242" t="n">
        <v>136</v>
      </c>
      <c r="Q242" t="n">
        <v>6251</v>
      </c>
      <c r="R242" t="inlineStr">
        <is>
          <t>Hi-Lo</t>
        </is>
      </c>
      <c r="S242" t="inlineStr">
        <is>
          <t>Doubles</t>
        </is>
      </c>
      <c r="T242" t="inlineStr">
        <is>
          <t>Over 6'</t>
        </is>
      </c>
      <c r="U242" t="inlineStr">
        <is>
          <t>Forster</t>
        </is>
      </c>
      <c r="V242" t="inlineStr">
        <is>
          <t>Forster</t>
        </is>
      </c>
      <c r="W242" t="inlineStr">
        <is>
          <t>Blue</t>
        </is>
      </c>
      <c r="Y242" t="inlineStr">
        <is>
          <t>McInerney</t>
        </is>
      </c>
      <c r="AA242" t="n">
        <v>1</v>
      </c>
      <c r="AB242" t="inlineStr">
        <is>
          <t>W</t>
        </is>
      </c>
      <c r="AC242" t="inlineStr">
        <is>
          <t>1Up</t>
        </is>
      </c>
      <c r="AE242">
        <f>$V242&amp;$Y242</f>
        <v/>
      </c>
      <c r="AF242" t="n">
        <v>1</v>
      </c>
      <c r="AG242" t="n">
        <v>1</v>
      </c>
      <c r="AH242" t="n">
        <v>0</v>
      </c>
      <c r="AI242" t="n">
        <v>0</v>
      </c>
      <c r="AJ242" t="n">
        <v>1</v>
      </c>
      <c r="AK242" t="inlineStr">
        <is>
          <t>Fogan</t>
        </is>
      </c>
      <c r="AL242" t="n">
        <v>0.372881355932203</v>
      </c>
      <c r="AM242" t="inlineStr">
        <is>
          <t>Hilts</t>
        </is>
      </c>
      <c r="AN242" t="n">
        <v>0.473214285714286</v>
      </c>
    </row>
    <row r="243" ht="15" customHeight="1" s="2">
      <c r="B243" t="n">
        <v>9</v>
      </c>
      <c r="C243" t="n">
        <v>4</v>
      </c>
      <c r="D243" t="n">
        <v>5</v>
      </c>
      <c r="E243" t="inlineStr">
        <is>
          <t>FBC5-D9</t>
        </is>
      </c>
      <c r="F243" t="inlineStr">
        <is>
          <t>Friday</t>
        </is>
      </c>
      <c r="G243" s="27" t="n">
        <v>42937</v>
      </c>
      <c r="H243" t="inlineStr">
        <is>
          <t>AM</t>
        </is>
      </c>
      <c r="I243" t="inlineStr">
        <is>
          <t>Hilton Head, SC</t>
        </is>
      </c>
      <c r="J243" t="inlineStr">
        <is>
          <t>South</t>
        </is>
      </c>
      <c r="K243" t="n">
        <v>9</v>
      </c>
      <c r="L243" t="inlineStr">
        <is>
          <t>Back</t>
        </is>
      </c>
      <c r="M243" t="inlineStr">
        <is>
          <t>Harbour Town</t>
        </is>
      </c>
      <c r="N243" t="inlineStr">
        <is>
          <t>Sea Pines</t>
        </is>
      </c>
      <c r="O243" t="n">
        <v>71.40000000000001</v>
      </c>
      <c r="P243" t="n">
        <v>136</v>
      </c>
      <c r="Q243" t="n">
        <v>6251</v>
      </c>
      <c r="R243" t="inlineStr">
        <is>
          <t>Hi-Lo</t>
        </is>
      </c>
      <c r="S243" t="inlineStr">
        <is>
          <t>Doubles</t>
        </is>
      </c>
      <c r="T243" t="inlineStr">
        <is>
          <t>Under 6'</t>
        </is>
      </c>
      <c r="U243" t="inlineStr">
        <is>
          <t>Poirier</t>
        </is>
      </c>
      <c r="V243" t="inlineStr">
        <is>
          <t>Fogan</t>
        </is>
      </c>
      <c r="W243" t="inlineStr">
        <is>
          <t>White</t>
        </is>
      </c>
      <c r="Y243" t="inlineStr">
        <is>
          <t>Hilts</t>
        </is>
      </c>
      <c r="AA243" t="n">
        <v>1</v>
      </c>
      <c r="AB243" t="inlineStr">
        <is>
          <t>L</t>
        </is>
      </c>
      <c r="AC243" t="inlineStr">
        <is>
          <t>1Up</t>
        </is>
      </c>
      <c r="AE243">
        <f>$V243&amp;$Y243</f>
        <v/>
      </c>
      <c r="AF243" t="n">
        <v>0</v>
      </c>
      <c r="AG243" t="n">
        <v>0</v>
      </c>
      <c r="AH243" t="n">
        <v>1</v>
      </c>
      <c r="AI243" t="n">
        <v>0</v>
      </c>
      <c r="AJ243" t="n">
        <v>0</v>
      </c>
      <c r="AK243" t="inlineStr">
        <is>
          <t>Forster</t>
        </is>
      </c>
      <c r="AL243" t="n">
        <v>0.596491228070175</v>
      </c>
      <c r="AM243" t="inlineStr">
        <is>
          <t>McInerney</t>
        </is>
      </c>
      <c r="AN243" t="n">
        <v>0.5</v>
      </c>
    </row>
    <row r="244" ht="15" customHeight="1" s="2">
      <c r="B244" t="n">
        <v>10</v>
      </c>
      <c r="C244" t="n">
        <v>5</v>
      </c>
      <c r="D244" t="n">
        <v>5</v>
      </c>
      <c r="E244" t="inlineStr">
        <is>
          <t>FBC5-D10</t>
        </is>
      </c>
      <c r="F244" t="inlineStr">
        <is>
          <t>Friday</t>
        </is>
      </c>
      <c r="G244" s="27" t="n">
        <v>42937</v>
      </c>
      <c r="H244" t="inlineStr">
        <is>
          <t>AM</t>
        </is>
      </c>
      <c r="I244" t="inlineStr">
        <is>
          <t>Hilton Head, SC</t>
        </is>
      </c>
      <c r="J244" t="inlineStr">
        <is>
          <t>South</t>
        </is>
      </c>
      <c r="K244" t="n">
        <v>9</v>
      </c>
      <c r="L244" t="inlineStr">
        <is>
          <t>Back</t>
        </is>
      </c>
      <c r="M244" t="inlineStr">
        <is>
          <t>Harbour Town</t>
        </is>
      </c>
      <c r="N244" t="inlineStr">
        <is>
          <t>Sea Pines</t>
        </is>
      </c>
      <c r="O244" t="n">
        <v>71.40000000000001</v>
      </c>
      <c r="P244" t="n">
        <v>136</v>
      </c>
      <c r="Q244" t="n">
        <v>6251</v>
      </c>
      <c r="R244" t="inlineStr">
        <is>
          <t>Hi-Lo</t>
        </is>
      </c>
      <c r="S244" t="inlineStr">
        <is>
          <t>Doubles</t>
        </is>
      </c>
      <c r="T244" t="inlineStr">
        <is>
          <t>Under 6'</t>
        </is>
      </c>
      <c r="U244" t="inlineStr">
        <is>
          <t>Poirier</t>
        </is>
      </c>
      <c r="V244" t="inlineStr">
        <is>
          <t>Connors</t>
        </is>
      </c>
      <c r="W244" t="inlineStr">
        <is>
          <t>White</t>
        </is>
      </c>
      <c r="Y244" t="inlineStr">
        <is>
          <t>Welker</t>
        </is>
      </c>
      <c r="AA244" t="n">
        <v>1</v>
      </c>
      <c r="AB244" t="inlineStr">
        <is>
          <t>L</t>
        </is>
      </c>
      <c r="AC244" t="inlineStr">
        <is>
          <t>3&amp;1</t>
        </is>
      </c>
      <c r="AE244">
        <f>$V244&amp;$Y244</f>
        <v/>
      </c>
      <c r="AF244" t="n">
        <v>0</v>
      </c>
      <c r="AG244" t="n">
        <v>0</v>
      </c>
      <c r="AH244" t="n">
        <v>1</v>
      </c>
      <c r="AI244" t="n">
        <v>0</v>
      </c>
      <c r="AJ244" t="n">
        <v>0</v>
      </c>
      <c r="AK244" t="inlineStr">
        <is>
          <t>Norat</t>
        </is>
      </c>
      <c r="AL244" t="n">
        <v>0.527777777777778</v>
      </c>
      <c r="AM244" t="inlineStr">
        <is>
          <t>Zimmer</t>
        </is>
      </c>
      <c r="AN244" t="n">
        <v>0.5</v>
      </c>
    </row>
    <row r="245" ht="15" customHeight="1" s="2">
      <c r="B245" t="n">
        <v>10</v>
      </c>
      <c r="C245" t="n">
        <v>5</v>
      </c>
      <c r="D245" t="n">
        <v>5</v>
      </c>
      <c r="E245" t="inlineStr">
        <is>
          <t>FBC5-D10</t>
        </is>
      </c>
      <c r="F245" t="inlineStr">
        <is>
          <t>Friday</t>
        </is>
      </c>
      <c r="G245" s="27" t="n">
        <v>42937</v>
      </c>
      <c r="H245" t="inlineStr">
        <is>
          <t>AM</t>
        </is>
      </c>
      <c r="I245" t="inlineStr">
        <is>
          <t>Hilton Head, SC</t>
        </is>
      </c>
      <c r="J245" t="inlineStr">
        <is>
          <t>South</t>
        </is>
      </c>
      <c r="K245" t="n">
        <v>9</v>
      </c>
      <c r="L245" t="inlineStr">
        <is>
          <t>Back</t>
        </is>
      </c>
      <c r="M245" t="inlineStr">
        <is>
          <t>Harbour Town</t>
        </is>
      </c>
      <c r="N245" t="inlineStr">
        <is>
          <t>Sea Pines</t>
        </is>
      </c>
      <c r="O245" t="n">
        <v>71.40000000000001</v>
      </c>
      <c r="P245" t="n">
        <v>136</v>
      </c>
      <c r="Q245" t="n">
        <v>6251</v>
      </c>
      <c r="R245" t="inlineStr">
        <is>
          <t>Hi-Lo</t>
        </is>
      </c>
      <c r="S245" t="inlineStr">
        <is>
          <t>Doubles</t>
        </is>
      </c>
      <c r="T245" t="inlineStr">
        <is>
          <t>Over 6'</t>
        </is>
      </c>
      <c r="U245" t="inlineStr">
        <is>
          <t>Forster</t>
        </is>
      </c>
      <c r="V245" t="inlineStr">
        <is>
          <t>Norat</t>
        </is>
      </c>
      <c r="W245" t="inlineStr">
        <is>
          <t>Blue</t>
        </is>
      </c>
      <c r="Y245" t="inlineStr">
        <is>
          <t>Zimmer</t>
        </is>
      </c>
      <c r="AA245" t="n">
        <v>1</v>
      </c>
      <c r="AB245" t="inlineStr">
        <is>
          <t>W</t>
        </is>
      </c>
      <c r="AC245" t="inlineStr">
        <is>
          <t>3&amp;1</t>
        </is>
      </c>
      <c r="AE245">
        <f>$V245&amp;$Y245</f>
        <v/>
      </c>
      <c r="AF245" t="n">
        <v>1</v>
      </c>
      <c r="AG245" t="n">
        <v>1</v>
      </c>
      <c r="AH245" t="n">
        <v>0</v>
      </c>
      <c r="AI245" t="n">
        <v>0</v>
      </c>
      <c r="AJ245" t="n">
        <v>1</v>
      </c>
      <c r="AK245" t="inlineStr">
        <is>
          <t>Connors</t>
        </is>
      </c>
      <c r="AL245" t="n">
        <v>0.347457627118644</v>
      </c>
      <c r="AM245" t="inlineStr">
        <is>
          <t>Welker</t>
        </is>
      </c>
      <c r="AN245" t="n">
        <v>0.510416666666667</v>
      </c>
    </row>
    <row r="246" ht="15" customHeight="1" s="2">
      <c r="B246" t="n">
        <v>11</v>
      </c>
      <c r="C246" t="n">
        <v>1</v>
      </c>
      <c r="D246" t="n">
        <v>5</v>
      </c>
      <c r="E246" t="inlineStr">
        <is>
          <t>FBC5-D11</t>
        </is>
      </c>
      <c r="F246" t="inlineStr">
        <is>
          <t>Friday</t>
        </is>
      </c>
      <c r="G246" s="27" t="n">
        <v>42937</v>
      </c>
      <c r="H246" t="inlineStr">
        <is>
          <t>PM</t>
        </is>
      </c>
      <c r="I246" t="inlineStr">
        <is>
          <t>Hilton Head, SC</t>
        </is>
      </c>
      <c r="J246" t="inlineStr">
        <is>
          <t>South</t>
        </is>
      </c>
      <c r="K246" t="n">
        <v>9</v>
      </c>
      <c r="L246" t="inlineStr">
        <is>
          <t>Front</t>
        </is>
      </c>
      <c r="M246" t="inlineStr">
        <is>
          <t>Harbour Town</t>
        </is>
      </c>
      <c r="N246" t="inlineStr">
        <is>
          <t>Sea Pines</t>
        </is>
      </c>
      <c r="O246" t="n">
        <v>71.40000000000001</v>
      </c>
      <c r="P246" t="n">
        <v>136</v>
      </c>
      <c r="Q246" t="n">
        <v>6251</v>
      </c>
      <c r="R246" t="inlineStr">
        <is>
          <t>Pinehurst</t>
        </is>
      </c>
      <c r="S246" t="inlineStr">
        <is>
          <t>Doubles</t>
        </is>
      </c>
      <c r="T246" t="inlineStr">
        <is>
          <t>Under 6'</t>
        </is>
      </c>
      <c r="U246" t="inlineStr">
        <is>
          <t>Poirier</t>
        </is>
      </c>
      <c r="V246" t="inlineStr">
        <is>
          <t>Flanders</t>
        </is>
      </c>
      <c r="W246" t="inlineStr">
        <is>
          <t>White</t>
        </is>
      </c>
      <c r="Y246" t="inlineStr">
        <is>
          <t>Poirier</t>
        </is>
      </c>
      <c r="AA246" t="n">
        <v>1</v>
      </c>
      <c r="AB246" t="inlineStr">
        <is>
          <t>W</t>
        </is>
      </c>
      <c r="AC246" t="inlineStr">
        <is>
          <t>1Up</t>
        </is>
      </c>
      <c r="AE246">
        <f>$V246&amp;$Y246</f>
        <v/>
      </c>
      <c r="AF246" t="n">
        <v>1</v>
      </c>
      <c r="AG246" t="n">
        <v>1</v>
      </c>
      <c r="AH246" t="n">
        <v>0</v>
      </c>
      <c r="AI246" t="n">
        <v>0</v>
      </c>
      <c r="AJ246" t="n">
        <v>1</v>
      </c>
      <c r="AK246" t="inlineStr">
        <is>
          <t>Grise</t>
        </is>
      </c>
      <c r="AL246" t="n">
        <v>0.546875</v>
      </c>
      <c r="AM246" t="inlineStr">
        <is>
          <t>Mangold</t>
        </is>
      </c>
      <c r="AN246" t="n">
        <v>0.383928571428572</v>
      </c>
    </row>
    <row r="247" ht="15" customHeight="1" s="2">
      <c r="B247" t="n">
        <v>11</v>
      </c>
      <c r="C247" t="n">
        <v>1</v>
      </c>
      <c r="D247" t="n">
        <v>5</v>
      </c>
      <c r="E247" t="inlineStr">
        <is>
          <t>FBC5-D11</t>
        </is>
      </c>
      <c r="F247" t="inlineStr">
        <is>
          <t>Friday</t>
        </is>
      </c>
      <c r="G247" s="27" t="n">
        <v>42937</v>
      </c>
      <c r="H247" t="inlineStr">
        <is>
          <t>PM</t>
        </is>
      </c>
      <c r="I247" t="inlineStr">
        <is>
          <t>Hilton Head, SC</t>
        </is>
      </c>
      <c r="J247" t="inlineStr">
        <is>
          <t>South</t>
        </is>
      </c>
      <c r="K247" t="n">
        <v>9</v>
      </c>
      <c r="L247" t="inlineStr">
        <is>
          <t>Front</t>
        </is>
      </c>
      <c r="M247" t="inlineStr">
        <is>
          <t>Harbour Town</t>
        </is>
      </c>
      <c r="N247" t="inlineStr">
        <is>
          <t>Sea Pines</t>
        </is>
      </c>
      <c r="O247" t="n">
        <v>71.40000000000001</v>
      </c>
      <c r="P247" t="n">
        <v>136</v>
      </c>
      <c r="Q247" t="n">
        <v>6251</v>
      </c>
      <c r="R247" t="inlineStr">
        <is>
          <t>Pinehurst</t>
        </is>
      </c>
      <c r="S247" t="inlineStr">
        <is>
          <t>Doubles</t>
        </is>
      </c>
      <c r="T247" t="inlineStr">
        <is>
          <t>Over 6'</t>
        </is>
      </c>
      <c r="U247" t="inlineStr">
        <is>
          <t>Forster</t>
        </is>
      </c>
      <c r="V247" t="inlineStr">
        <is>
          <t>Grise</t>
        </is>
      </c>
      <c r="W247" t="inlineStr">
        <is>
          <t>Blue</t>
        </is>
      </c>
      <c r="Y247" t="inlineStr">
        <is>
          <t>Mangold</t>
        </is>
      </c>
      <c r="AA247" t="n">
        <v>1</v>
      </c>
      <c r="AB247" t="inlineStr">
        <is>
          <t>L</t>
        </is>
      </c>
      <c r="AC247" t="inlineStr">
        <is>
          <t>1Up</t>
        </is>
      </c>
      <c r="AE247">
        <f>$V247&amp;$Y247</f>
        <v/>
      </c>
      <c r="AF247" t="n">
        <v>0</v>
      </c>
      <c r="AG247" t="n">
        <v>0</v>
      </c>
      <c r="AH247" t="n">
        <v>1</v>
      </c>
      <c r="AI247" t="n">
        <v>0</v>
      </c>
      <c r="AJ247" t="n">
        <v>0</v>
      </c>
      <c r="AK247" t="inlineStr">
        <is>
          <t>Flanders</t>
        </is>
      </c>
      <c r="AL247" t="n">
        <v>0.4296875</v>
      </c>
      <c r="AM247" t="inlineStr">
        <is>
          <t>Poirier</t>
        </is>
      </c>
      <c r="AN247" t="n">
        <v>0.486111111111111</v>
      </c>
    </row>
    <row r="248" ht="15" customHeight="1" s="2">
      <c r="B248" t="n">
        <v>12</v>
      </c>
      <c r="C248" t="n">
        <v>2</v>
      </c>
      <c r="D248" t="n">
        <v>5</v>
      </c>
      <c r="E248" t="inlineStr">
        <is>
          <t>FBC5-D12</t>
        </is>
      </c>
      <c r="F248" t="inlineStr">
        <is>
          <t>Friday</t>
        </is>
      </c>
      <c r="G248" s="27" t="n">
        <v>42937</v>
      </c>
      <c r="H248" t="inlineStr">
        <is>
          <t>PM</t>
        </is>
      </c>
      <c r="I248" t="inlineStr">
        <is>
          <t>Hilton Head, SC</t>
        </is>
      </c>
      <c r="J248" t="inlineStr">
        <is>
          <t>South</t>
        </is>
      </c>
      <c r="K248" t="n">
        <v>9</v>
      </c>
      <c r="L248" t="inlineStr">
        <is>
          <t>Front</t>
        </is>
      </c>
      <c r="M248" t="inlineStr">
        <is>
          <t>Harbour Town</t>
        </is>
      </c>
      <c r="N248" t="inlineStr">
        <is>
          <t>Sea Pines</t>
        </is>
      </c>
      <c r="O248" t="n">
        <v>71.40000000000001</v>
      </c>
      <c r="P248" t="n">
        <v>136</v>
      </c>
      <c r="Q248" t="n">
        <v>6251</v>
      </c>
      <c r="R248" t="inlineStr">
        <is>
          <t>Pinehurst</t>
        </is>
      </c>
      <c r="S248" t="inlineStr">
        <is>
          <t>Doubles</t>
        </is>
      </c>
      <c r="T248" t="inlineStr">
        <is>
          <t>Over 6'</t>
        </is>
      </c>
      <c r="U248" t="inlineStr">
        <is>
          <t>Forster</t>
        </is>
      </c>
      <c r="V248" t="inlineStr">
        <is>
          <t>Connolly</t>
        </is>
      </c>
      <c r="W248" t="inlineStr">
        <is>
          <t>Blue</t>
        </is>
      </c>
      <c r="Y248" t="inlineStr">
        <is>
          <t>Forster</t>
        </is>
      </c>
      <c r="AA248" t="n">
        <v>1</v>
      </c>
      <c r="AB248" t="inlineStr">
        <is>
          <t>W</t>
        </is>
      </c>
      <c r="AC248" t="inlineStr">
        <is>
          <t>5&amp;4</t>
        </is>
      </c>
      <c r="AE248">
        <f>$V248&amp;$Y248</f>
        <v/>
      </c>
      <c r="AF248" t="n">
        <v>1</v>
      </c>
      <c r="AG248" t="n">
        <v>1</v>
      </c>
      <c r="AH248" t="n">
        <v>0</v>
      </c>
      <c r="AI248" t="n">
        <v>0</v>
      </c>
      <c r="AJ248" t="n">
        <v>1</v>
      </c>
      <c r="AK248" t="inlineStr">
        <is>
          <t>Ferrin</t>
        </is>
      </c>
      <c r="AL248" t="n">
        <v>0.595238095238095</v>
      </c>
      <c r="AM248" t="inlineStr">
        <is>
          <t>Jackson</t>
        </is>
      </c>
      <c r="AN248" t="n">
        <v>0.6171875</v>
      </c>
    </row>
    <row r="249" ht="15" customHeight="1" s="2">
      <c r="B249" t="n">
        <v>12</v>
      </c>
      <c r="C249" t="n">
        <v>2</v>
      </c>
      <c r="D249" t="n">
        <v>5</v>
      </c>
      <c r="E249" t="inlineStr">
        <is>
          <t>FBC5-D12</t>
        </is>
      </c>
      <c r="F249" t="inlineStr">
        <is>
          <t>Friday</t>
        </is>
      </c>
      <c r="G249" s="27" t="n">
        <v>42937</v>
      </c>
      <c r="H249" t="inlineStr">
        <is>
          <t>PM</t>
        </is>
      </c>
      <c r="I249" t="inlineStr">
        <is>
          <t>Hilton Head, SC</t>
        </is>
      </c>
      <c r="J249" t="inlineStr">
        <is>
          <t>South</t>
        </is>
      </c>
      <c r="K249" t="n">
        <v>9</v>
      </c>
      <c r="L249" t="inlineStr">
        <is>
          <t>Front</t>
        </is>
      </c>
      <c r="M249" t="inlineStr">
        <is>
          <t>Harbour Town</t>
        </is>
      </c>
      <c r="N249" t="inlineStr">
        <is>
          <t>Sea Pines</t>
        </is>
      </c>
      <c r="O249" t="n">
        <v>71.40000000000001</v>
      </c>
      <c r="P249" t="n">
        <v>136</v>
      </c>
      <c r="Q249" t="n">
        <v>6251</v>
      </c>
      <c r="R249" t="inlineStr">
        <is>
          <t>Pinehurst</t>
        </is>
      </c>
      <c r="S249" t="inlineStr">
        <is>
          <t>Doubles</t>
        </is>
      </c>
      <c r="T249" t="inlineStr">
        <is>
          <t>Under 6'</t>
        </is>
      </c>
      <c r="U249" t="inlineStr">
        <is>
          <t>Poirier</t>
        </is>
      </c>
      <c r="V249" t="inlineStr">
        <is>
          <t>Ferrin</t>
        </is>
      </c>
      <c r="W249" t="inlineStr">
        <is>
          <t>White</t>
        </is>
      </c>
      <c r="Y249" t="inlineStr">
        <is>
          <t>Jackson</t>
        </is>
      </c>
      <c r="AA249" t="n">
        <v>1</v>
      </c>
      <c r="AB249" t="inlineStr">
        <is>
          <t>L</t>
        </is>
      </c>
      <c r="AC249" t="inlineStr">
        <is>
          <t>5&amp;4</t>
        </is>
      </c>
      <c r="AE249">
        <f>$V249&amp;$Y249</f>
        <v/>
      </c>
      <c r="AF249" t="n">
        <v>0</v>
      </c>
      <c r="AG249" t="n">
        <v>0</v>
      </c>
      <c r="AH249" t="n">
        <v>1</v>
      </c>
      <c r="AI249" t="n">
        <v>0</v>
      </c>
      <c r="AJ249" t="n">
        <v>0</v>
      </c>
      <c r="AK249" t="inlineStr">
        <is>
          <t>Connolly</t>
        </is>
      </c>
      <c r="AL249" t="n">
        <v>0.59375</v>
      </c>
      <c r="AM249" t="inlineStr">
        <is>
          <t>Forster</t>
        </is>
      </c>
      <c r="AN249" t="n">
        <v>0.596491228070175</v>
      </c>
    </row>
    <row r="250" ht="15" customHeight="1" s="2">
      <c r="B250" t="n">
        <v>13</v>
      </c>
      <c r="C250" t="n">
        <v>3</v>
      </c>
      <c r="D250" t="n">
        <v>5</v>
      </c>
      <c r="E250" t="inlineStr">
        <is>
          <t>FBC5-D13</t>
        </is>
      </c>
      <c r="F250" t="inlineStr">
        <is>
          <t>Friday</t>
        </is>
      </c>
      <c r="G250" s="27" t="n">
        <v>42937</v>
      </c>
      <c r="H250" t="inlineStr">
        <is>
          <t>PM</t>
        </is>
      </c>
      <c r="I250" t="inlineStr">
        <is>
          <t>Hilton Head, SC</t>
        </is>
      </c>
      <c r="J250" t="inlineStr">
        <is>
          <t>South</t>
        </is>
      </c>
      <c r="K250" t="n">
        <v>9</v>
      </c>
      <c r="L250" t="inlineStr">
        <is>
          <t>Front</t>
        </is>
      </c>
      <c r="M250" t="inlineStr">
        <is>
          <t>Harbour Town</t>
        </is>
      </c>
      <c r="N250" t="inlineStr">
        <is>
          <t>Sea Pines</t>
        </is>
      </c>
      <c r="O250" t="n">
        <v>71.40000000000001</v>
      </c>
      <c r="P250" t="n">
        <v>136</v>
      </c>
      <c r="Q250" t="n">
        <v>6251</v>
      </c>
      <c r="R250" t="inlineStr">
        <is>
          <t>Pinehurst</t>
        </is>
      </c>
      <c r="S250" t="inlineStr">
        <is>
          <t>Doubles</t>
        </is>
      </c>
      <c r="T250" t="inlineStr">
        <is>
          <t>Under 6'</t>
        </is>
      </c>
      <c r="U250" t="inlineStr">
        <is>
          <t>Poirier</t>
        </is>
      </c>
      <c r="V250" t="inlineStr">
        <is>
          <t>Gray</t>
        </is>
      </c>
      <c r="W250" t="inlineStr">
        <is>
          <t>White</t>
        </is>
      </c>
      <c r="Y250" t="inlineStr">
        <is>
          <t>Welker</t>
        </is>
      </c>
      <c r="AA250" t="n">
        <v>1</v>
      </c>
      <c r="AB250" t="inlineStr">
        <is>
          <t>W</t>
        </is>
      </c>
      <c r="AC250" t="inlineStr">
        <is>
          <t>1Up</t>
        </is>
      </c>
      <c r="AE250">
        <f>$V250&amp;$Y250</f>
        <v/>
      </c>
      <c r="AF250" t="n">
        <v>1</v>
      </c>
      <c r="AG250" t="n">
        <v>1</v>
      </c>
      <c r="AH250" t="n">
        <v>0</v>
      </c>
      <c r="AI250" t="n">
        <v>0</v>
      </c>
      <c r="AJ250" t="n">
        <v>1</v>
      </c>
      <c r="AK250" t="inlineStr">
        <is>
          <t>McInerney</t>
        </is>
      </c>
      <c r="AL250" t="n">
        <v>0.5</v>
      </c>
      <c r="AM250" t="inlineStr">
        <is>
          <t>Shively</t>
        </is>
      </c>
    </row>
    <row r="251" ht="15" customHeight="1" s="2">
      <c r="B251" t="n">
        <v>13</v>
      </c>
      <c r="C251" t="n">
        <v>3</v>
      </c>
      <c r="D251" t="n">
        <v>5</v>
      </c>
      <c r="E251" t="inlineStr">
        <is>
          <t>FBC5-D13</t>
        </is>
      </c>
      <c r="F251" t="inlineStr">
        <is>
          <t>Friday</t>
        </is>
      </c>
      <c r="G251" s="27" t="n">
        <v>42937</v>
      </c>
      <c r="H251" t="inlineStr">
        <is>
          <t>PM</t>
        </is>
      </c>
      <c r="I251" t="inlineStr">
        <is>
          <t>Hilton Head, SC</t>
        </is>
      </c>
      <c r="J251" t="inlineStr">
        <is>
          <t>South</t>
        </is>
      </c>
      <c r="K251" t="n">
        <v>9</v>
      </c>
      <c r="L251" t="inlineStr">
        <is>
          <t>Front</t>
        </is>
      </c>
      <c r="M251" t="inlineStr">
        <is>
          <t>Harbour Town</t>
        </is>
      </c>
      <c r="N251" t="inlineStr">
        <is>
          <t>Sea Pines</t>
        </is>
      </c>
      <c r="O251" t="n">
        <v>71.40000000000001</v>
      </c>
      <c r="P251" t="n">
        <v>136</v>
      </c>
      <c r="Q251" t="n">
        <v>6251</v>
      </c>
      <c r="R251" t="inlineStr">
        <is>
          <t>Pinehurst</t>
        </is>
      </c>
      <c r="S251" t="inlineStr">
        <is>
          <t>Doubles</t>
        </is>
      </c>
      <c r="T251" t="inlineStr">
        <is>
          <t>Over 6'</t>
        </is>
      </c>
      <c r="U251" t="inlineStr">
        <is>
          <t>Forster</t>
        </is>
      </c>
      <c r="V251" t="inlineStr">
        <is>
          <t>McInerney</t>
        </is>
      </c>
      <c r="W251" t="inlineStr">
        <is>
          <t>Blue</t>
        </is>
      </c>
      <c r="Y251" t="inlineStr">
        <is>
          <t>Shively</t>
        </is>
      </c>
      <c r="AA251" t="n">
        <v>1</v>
      </c>
      <c r="AB251" t="inlineStr">
        <is>
          <t>L</t>
        </is>
      </c>
      <c r="AC251" t="inlineStr">
        <is>
          <t>1Up</t>
        </is>
      </c>
      <c r="AE251">
        <f>$V251&amp;$Y251</f>
        <v/>
      </c>
      <c r="AF251" t="n">
        <v>0</v>
      </c>
      <c r="AG251" t="n">
        <v>0</v>
      </c>
      <c r="AH251" t="n">
        <v>1</v>
      </c>
      <c r="AI251" t="n">
        <v>0</v>
      </c>
      <c r="AJ251" t="n">
        <v>0</v>
      </c>
      <c r="AK251" t="inlineStr">
        <is>
          <t>Gray</t>
        </is>
      </c>
      <c r="AL251" t="n">
        <v>0.654761904761905</v>
      </c>
      <c r="AM251" t="inlineStr">
        <is>
          <t>Welker</t>
        </is>
      </c>
      <c r="AN251" t="n">
        <v>0.510416666666667</v>
      </c>
    </row>
    <row r="252" ht="15" customHeight="1" s="2">
      <c r="B252" t="n">
        <v>14</v>
      </c>
      <c r="C252" t="n">
        <v>4</v>
      </c>
      <c r="D252" t="n">
        <v>5</v>
      </c>
      <c r="E252" t="inlineStr">
        <is>
          <t>FBC5-D14</t>
        </is>
      </c>
      <c r="F252" t="inlineStr">
        <is>
          <t>Friday</t>
        </is>
      </c>
      <c r="G252" s="27" t="n">
        <v>42937</v>
      </c>
      <c r="H252" t="inlineStr">
        <is>
          <t>PM</t>
        </is>
      </c>
      <c r="I252" t="inlineStr">
        <is>
          <t>Hilton Head, SC</t>
        </is>
      </c>
      <c r="J252" t="inlineStr">
        <is>
          <t>South</t>
        </is>
      </c>
      <c r="K252" t="n">
        <v>9</v>
      </c>
      <c r="L252" t="inlineStr">
        <is>
          <t>Front</t>
        </is>
      </c>
      <c r="M252" t="inlineStr">
        <is>
          <t>Harbour Town</t>
        </is>
      </c>
      <c r="N252" t="inlineStr">
        <is>
          <t>Sea Pines</t>
        </is>
      </c>
      <c r="O252" t="n">
        <v>71.40000000000001</v>
      </c>
      <c r="P252" t="n">
        <v>136</v>
      </c>
      <c r="Q252" t="n">
        <v>6251</v>
      </c>
      <c r="R252" t="inlineStr">
        <is>
          <t>Pinehurst</t>
        </is>
      </c>
      <c r="S252" t="inlineStr">
        <is>
          <t>Doubles</t>
        </is>
      </c>
      <c r="T252" t="inlineStr">
        <is>
          <t>Over 6'</t>
        </is>
      </c>
      <c r="U252" t="inlineStr">
        <is>
          <t>Forster</t>
        </is>
      </c>
      <c r="V252" t="inlineStr">
        <is>
          <t>Delaney</t>
        </is>
      </c>
      <c r="W252" t="inlineStr">
        <is>
          <t>Blue</t>
        </is>
      </c>
      <c r="Y252" t="inlineStr">
        <is>
          <t>Lynch</t>
        </is>
      </c>
      <c r="AA252" t="n">
        <v>1</v>
      </c>
      <c r="AB252" t="inlineStr">
        <is>
          <t>W</t>
        </is>
      </c>
      <c r="AC252" t="inlineStr">
        <is>
          <t>3&amp;1</t>
        </is>
      </c>
      <c r="AE252">
        <f>$V252&amp;$Y252</f>
        <v/>
      </c>
      <c r="AF252" t="n">
        <v>1</v>
      </c>
      <c r="AG252" t="n">
        <v>1</v>
      </c>
      <c r="AH252" t="n">
        <v>0</v>
      </c>
      <c r="AI252" t="n">
        <v>0</v>
      </c>
      <c r="AJ252" t="n">
        <v>1</v>
      </c>
      <c r="AK252" t="inlineStr">
        <is>
          <t>Fogan</t>
        </is>
      </c>
      <c r="AL252" t="n">
        <v>0.372881355932203</v>
      </c>
      <c r="AM252" t="inlineStr">
        <is>
          <t>Hilts</t>
        </is>
      </c>
      <c r="AN252" t="n">
        <v>0.473214285714286</v>
      </c>
    </row>
    <row r="253" ht="15" customHeight="1" s="2">
      <c r="B253" t="n">
        <v>14</v>
      </c>
      <c r="C253" t="n">
        <v>4</v>
      </c>
      <c r="D253" t="n">
        <v>5</v>
      </c>
      <c r="E253" t="inlineStr">
        <is>
          <t>FBC5-D14</t>
        </is>
      </c>
      <c r="F253" t="inlineStr">
        <is>
          <t>Friday</t>
        </is>
      </c>
      <c r="G253" s="27" t="n">
        <v>42937</v>
      </c>
      <c r="H253" t="inlineStr">
        <is>
          <t>PM</t>
        </is>
      </c>
      <c r="I253" t="inlineStr">
        <is>
          <t>Hilton Head, SC</t>
        </is>
      </c>
      <c r="J253" t="inlineStr">
        <is>
          <t>South</t>
        </is>
      </c>
      <c r="K253" t="n">
        <v>9</v>
      </c>
      <c r="L253" t="inlineStr">
        <is>
          <t>Front</t>
        </is>
      </c>
      <c r="M253" t="inlineStr">
        <is>
          <t>Harbour Town</t>
        </is>
      </c>
      <c r="N253" t="inlineStr">
        <is>
          <t>Sea Pines</t>
        </is>
      </c>
      <c r="O253" t="n">
        <v>71.40000000000001</v>
      </c>
      <c r="P253" t="n">
        <v>136</v>
      </c>
      <c r="Q253" t="n">
        <v>6251</v>
      </c>
      <c r="R253" t="inlineStr">
        <is>
          <t>Pinehurst</t>
        </is>
      </c>
      <c r="S253" t="inlineStr">
        <is>
          <t>Doubles</t>
        </is>
      </c>
      <c r="T253" t="inlineStr">
        <is>
          <t>Under 6'</t>
        </is>
      </c>
      <c r="U253" t="inlineStr">
        <is>
          <t>Poirier</t>
        </is>
      </c>
      <c r="V253" t="inlineStr">
        <is>
          <t>Fogan</t>
        </is>
      </c>
      <c r="W253" t="inlineStr">
        <is>
          <t>White</t>
        </is>
      </c>
      <c r="Y253" t="inlineStr">
        <is>
          <t>Hilts</t>
        </is>
      </c>
      <c r="AA253" t="n">
        <v>1</v>
      </c>
      <c r="AB253" t="inlineStr">
        <is>
          <t>L</t>
        </is>
      </c>
      <c r="AC253" t="inlineStr">
        <is>
          <t>3&amp;1</t>
        </is>
      </c>
      <c r="AE253">
        <f>$V253&amp;$Y253</f>
        <v/>
      </c>
      <c r="AF253" t="n">
        <v>0</v>
      </c>
      <c r="AG253" t="n">
        <v>0</v>
      </c>
      <c r="AH253" t="n">
        <v>1</v>
      </c>
      <c r="AI253" t="n">
        <v>0</v>
      </c>
      <c r="AJ253" t="n">
        <v>0</v>
      </c>
      <c r="AK253" t="inlineStr">
        <is>
          <t>Delaney</t>
        </is>
      </c>
      <c r="AL253" t="n">
        <v>0.46551724137931</v>
      </c>
      <c r="AM253" t="inlineStr">
        <is>
          <t>Lynch</t>
        </is>
      </c>
      <c r="AN253" t="n">
        <v>0.5546875</v>
      </c>
    </row>
    <row r="254" ht="15" customHeight="1" s="2">
      <c r="B254" t="n">
        <v>15</v>
      </c>
      <c r="C254" t="n">
        <v>5</v>
      </c>
      <c r="D254" t="n">
        <v>5</v>
      </c>
      <c r="E254" t="inlineStr">
        <is>
          <t>FBC5-D15</t>
        </is>
      </c>
      <c r="F254" t="inlineStr">
        <is>
          <t>Friday</t>
        </is>
      </c>
      <c r="G254" s="27" t="n">
        <v>42937</v>
      </c>
      <c r="H254" t="inlineStr">
        <is>
          <t>PM</t>
        </is>
      </c>
      <c r="I254" t="inlineStr">
        <is>
          <t>Hilton Head, SC</t>
        </is>
      </c>
      <c r="J254" t="inlineStr">
        <is>
          <t>South</t>
        </is>
      </c>
      <c r="K254" t="n">
        <v>9</v>
      </c>
      <c r="L254" t="inlineStr">
        <is>
          <t>Front</t>
        </is>
      </c>
      <c r="M254" t="inlineStr">
        <is>
          <t>Harbour Town</t>
        </is>
      </c>
      <c r="N254" t="inlineStr">
        <is>
          <t>Sea Pines</t>
        </is>
      </c>
      <c r="O254" t="n">
        <v>71.40000000000001</v>
      </c>
      <c r="P254" t="n">
        <v>136</v>
      </c>
      <c r="Q254" t="n">
        <v>6251</v>
      </c>
      <c r="R254" t="inlineStr">
        <is>
          <t>Pinehurst</t>
        </is>
      </c>
      <c r="S254" t="inlineStr">
        <is>
          <t>Doubles</t>
        </is>
      </c>
      <c r="T254" t="inlineStr">
        <is>
          <t>Under 6'</t>
        </is>
      </c>
      <c r="U254" t="inlineStr">
        <is>
          <t>Poirier</t>
        </is>
      </c>
      <c r="V254" t="inlineStr">
        <is>
          <t>Norat</t>
        </is>
      </c>
      <c r="W254" t="inlineStr">
        <is>
          <t>Blue</t>
        </is>
      </c>
      <c r="Y254" t="inlineStr">
        <is>
          <t>Zimmer</t>
        </is>
      </c>
      <c r="AA254" t="n">
        <v>1</v>
      </c>
      <c r="AB254" t="inlineStr">
        <is>
          <t>W</t>
        </is>
      </c>
      <c r="AC254" t="inlineStr">
        <is>
          <t>5&amp;4</t>
        </is>
      </c>
      <c r="AE254">
        <f>$V254&amp;$Y254</f>
        <v/>
      </c>
      <c r="AF254" t="n">
        <v>1</v>
      </c>
      <c r="AG254" t="n">
        <v>1</v>
      </c>
      <c r="AH254" t="n">
        <v>0</v>
      </c>
      <c r="AI254" t="n">
        <v>0</v>
      </c>
      <c r="AJ254" t="n">
        <v>1</v>
      </c>
      <c r="AK254" t="inlineStr">
        <is>
          <t>Cole</t>
        </is>
      </c>
      <c r="AL254" t="n">
        <v>0.440677966101695</v>
      </c>
      <c r="AM254" t="inlineStr">
        <is>
          <t>Connors</t>
        </is>
      </c>
      <c r="AN254" t="n">
        <v>0.347457627118644</v>
      </c>
    </row>
    <row r="255" ht="15" customHeight="1" s="2">
      <c r="B255" t="n">
        <v>15</v>
      </c>
      <c r="C255" t="n">
        <v>5</v>
      </c>
      <c r="D255" t="n">
        <v>5</v>
      </c>
      <c r="E255" t="inlineStr">
        <is>
          <t>FBC5-D15</t>
        </is>
      </c>
      <c r="F255" t="inlineStr">
        <is>
          <t>Friday</t>
        </is>
      </c>
      <c r="G255" s="27" t="n">
        <v>42937</v>
      </c>
      <c r="H255" t="inlineStr">
        <is>
          <t>PM</t>
        </is>
      </c>
      <c r="I255" t="inlineStr">
        <is>
          <t>Hilton Head, SC</t>
        </is>
      </c>
      <c r="J255" t="inlineStr">
        <is>
          <t>South</t>
        </is>
      </c>
      <c r="K255" t="n">
        <v>9</v>
      </c>
      <c r="L255" t="inlineStr">
        <is>
          <t>Front</t>
        </is>
      </c>
      <c r="M255" t="inlineStr">
        <is>
          <t>Harbour Town</t>
        </is>
      </c>
      <c r="N255" t="inlineStr">
        <is>
          <t>Sea Pines</t>
        </is>
      </c>
      <c r="O255" t="n">
        <v>71.40000000000001</v>
      </c>
      <c r="P255" t="n">
        <v>136</v>
      </c>
      <c r="Q255" t="n">
        <v>6251</v>
      </c>
      <c r="R255" t="inlineStr">
        <is>
          <t>Pinehurst</t>
        </is>
      </c>
      <c r="S255" t="inlineStr">
        <is>
          <t>Doubles</t>
        </is>
      </c>
      <c r="T255" t="inlineStr">
        <is>
          <t>Over 6'</t>
        </is>
      </c>
      <c r="U255" t="inlineStr">
        <is>
          <t>Forster</t>
        </is>
      </c>
      <c r="V255" t="inlineStr">
        <is>
          <t>Cole</t>
        </is>
      </c>
      <c r="W255" t="inlineStr">
        <is>
          <t>White</t>
        </is>
      </c>
      <c r="Y255" t="inlineStr">
        <is>
          <t>Connors</t>
        </is>
      </c>
      <c r="AA255" t="n">
        <v>1</v>
      </c>
      <c r="AB255" t="inlineStr">
        <is>
          <t>L</t>
        </is>
      </c>
      <c r="AC255" t="inlineStr">
        <is>
          <t>5&amp;4</t>
        </is>
      </c>
      <c r="AE255">
        <f>$V255&amp;$Y255</f>
        <v/>
      </c>
      <c r="AF255" t="n">
        <v>0</v>
      </c>
      <c r="AG255" t="n">
        <v>0</v>
      </c>
      <c r="AH255" t="n">
        <v>1</v>
      </c>
      <c r="AI255" t="n">
        <v>0</v>
      </c>
      <c r="AJ255" t="n">
        <v>0</v>
      </c>
      <c r="AK255" t="inlineStr">
        <is>
          <t>Norat</t>
        </is>
      </c>
      <c r="AL255" t="n">
        <v>0.527777777777778</v>
      </c>
      <c r="AM255" t="inlineStr">
        <is>
          <t>Zimmer</t>
        </is>
      </c>
      <c r="AN255" t="n">
        <v>0.5</v>
      </c>
    </row>
    <row r="256" ht="15" customHeight="1" s="2">
      <c r="B256" t="n">
        <v>16</v>
      </c>
      <c r="C256" t="n">
        <v>1</v>
      </c>
      <c r="D256" t="n">
        <v>5</v>
      </c>
      <c r="E256" t="inlineStr">
        <is>
          <t>FBC5-D16</t>
        </is>
      </c>
      <c r="F256" t="inlineStr">
        <is>
          <t>Friday</t>
        </is>
      </c>
      <c r="G256" s="27" t="n">
        <v>42937</v>
      </c>
      <c r="H256" t="inlineStr">
        <is>
          <t>PM</t>
        </is>
      </c>
      <c r="I256" t="inlineStr">
        <is>
          <t>Hilton Head, SC</t>
        </is>
      </c>
      <c r="J256" t="inlineStr">
        <is>
          <t>South</t>
        </is>
      </c>
      <c r="K256" t="n">
        <v>9</v>
      </c>
      <c r="L256" t="inlineStr">
        <is>
          <t>Back</t>
        </is>
      </c>
      <c r="M256" t="inlineStr">
        <is>
          <t>Harbour Town</t>
        </is>
      </c>
      <c r="N256" t="inlineStr">
        <is>
          <t>Sea Pines</t>
        </is>
      </c>
      <c r="O256" t="n">
        <v>71.40000000000001</v>
      </c>
      <c r="P256" t="n">
        <v>136</v>
      </c>
      <c r="Q256" t="n">
        <v>6251</v>
      </c>
      <c r="R256" t="inlineStr">
        <is>
          <t>Scramble-Stableford</t>
        </is>
      </c>
      <c r="S256" t="inlineStr">
        <is>
          <t>Doubles</t>
        </is>
      </c>
      <c r="T256" t="inlineStr">
        <is>
          <t>Under 6'</t>
        </is>
      </c>
      <c r="U256" t="inlineStr">
        <is>
          <t>Poirier</t>
        </is>
      </c>
      <c r="V256" t="inlineStr">
        <is>
          <t>Flanders</t>
        </is>
      </c>
      <c r="W256" t="inlineStr">
        <is>
          <t>White</t>
        </is>
      </c>
      <c r="Y256" t="inlineStr">
        <is>
          <t>Poirier</t>
        </is>
      </c>
      <c r="AA256" t="n">
        <v>1</v>
      </c>
      <c r="AB256" t="inlineStr">
        <is>
          <t>L</t>
        </is>
      </c>
      <c r="AC256" t="inlineStr">
        <is>
          <t>17-16</t>
        </is>
      </c>
      <c r="AE256">
        <f>$V256&amp;$Y256</f>
        <v/>
      </c>
      <c r="AF256" t="n">
        <v>0</v>
      </c>
      <c r="AG256" t="n">
        <v>0</v>
      </c>
      <c r="AH256" t="n">
        <v>1</v>
      </c>
      <c r="AI256" t="n">
        <v>0</v>
      </c>
      <c r="AJ256" t="n">
        <v>0</v>
      </c>
      <c r="AK256" t="inlineStr">
        <is>
          <t>Grise</t>
        </is>
      </c>
      <c r="AL256" t="n">
        <v>0.546875</v>
      </c>
      <c r="AM256" t="inlineStr">
        <is>
          <t>Mangold</t>
        </is>
      </c>
      <c r="AN256" t="n">
        <v>0.383928571428572</v>
      </c>
    </row>
    <row r="257" ht="15" customHeight="1" s="2">
      <c r="B257" t="n">
        <v>16</v>
      </c>
      <c r="C257" t="n">
        <v>1</v>
      </c>
      <c r="D257" t="n">
        <v>5</v>
      </c>
      <c r="E257" t="inlineStr">
        <is>
          <t>FBC5-D16</t>
        </is>
      </c>
      <c r="F257" t="inlineStr">
        <is>
          <t>Friday</t>
        </is>
      </c>
      <c r="G257" s="27" t="n">
        <v>42937</v>
      </c>
      <c r="H257" t="inlineStr">
        <is>
          <t>PM</t>
        </is>
      </c>
      <c r="I257" t="inlineStr">
        <is>
          <t>Hilton Head, SC</t>
        </is>
      </c>
      <c r="J257" t="inlineStr">
        <is>
          <t>South</t>
        </is>
      </c>
      <c r="K257" t="n">
        <v>9</v>
      </c>
      <c r="L257" t="inlineStr">
        <is>
          <t>Back</t>
        </is>
      </c>
      <c r="M257" t="inlineStr">
        <is>
          <t>Harbour Town</t>
        </is>
      </c>
      <c r="N257" t="inlineStr">
        <is>
          <t>Sea Pines</t>
        </is>
      </c>
      <c r="O257" t="n">
        <v>71.40000000000001</v>
      </c>
      <c r="P257" t="n">
        <v>136</v>
      </c>
      <c r="Q257" t="n">
        <v>6251</v>
      </c>
      <c r="R257" t="inlineStr">
        <is>
          <t>Scramble-Stableford</t>
        </is>
      </c>
      <c r="S257" t="inlineStr">
        <is>
          <t>Doubles</t>
        </is>
      </c>
      <c r="T257" t="inlineStr">
        <is>
          <t>Over 6'</t>
        </is>
      </c>
      <c r="U257" t="inlineStr">
        <is>
          <t>Forster</t>
        </is>
      </c>
      <c r="V257" t="inlineStr">
        <is>
          <t>Grise</t>
        </is>
      </c>
      <c r="W257" t="inlineStr">
        <is>
          <t>Blue</t>
        </is>
      </c>
      <c r="Y257" t="inlineStr">
        <is>
          <t>Mangold</t>
        </is>
      </c>
      <c r="AA257" t="n">
        <v>1</v>
      </c>
      <c r="AB257" t="inlineStr">
        <is>
          <t>W</t>
        </is>
      </c>
      <c r="AC257" t="inlineStr">
        <is>
          <t>17-16</t>
        </is>
      </c>
      <c r="AE257">
        <f>$V257&amp;$Y257</f>
        <v/>
      </c>
      <c r="AF257" t="n">
        <v>1</v>
      </c>
      <c r="AG257" t="n">
        <v>1</v>
      </c>
      <c r="AH257" t="n">
        <v>0</v>
      </c>
      <c r="AI257" t="n">
        <v>0</v>
      </c>
      <c r="AJ257" t="n">
        <v>1</v>
      </c>
      <c r="AK257" t="inlineStr">
        <is>
          <t>Flanders</t>
        </is>
      </c>
      <c r="AL257" t="n">
        <v>0.4296875</v>
      </c>
      <c r="AM257" t="inlineStr">
        <is>
          <t>Poirier</t>
        </is>
      </c>
      <c r="AN257" t="n">
        <v>0.486111111111111</v>
      </c>
    </row>
    <row r="258" ht="15" customHeight="1" s="2">
      <c r="B258" t="n">
        <v>17</v>
      </c>
      <c r="C258" t="n">
        <v>2</v>
      </c>
      <c r="D258" t="n">
        <v>5</v>
      </c>
      <c r="E258" t="inlineStr">
        <is>
          <t>FBC5-D17</t>
        </is>
      </c>
      <c r="F258" t="inlineStr">
        <is>
          <t>Friday</t>
        </is>
      </c>
      <c r="G258" s="27" t="n">
        <v>42937</v>
      </c>
      <c r="H258" t="inlineStr">
        <is>
          <t>PM</t>
        </is>
      </c>
      <c r="I258" t="inlineStr">
        <is>
          <t>Hilton Head, SC</t>
        </is>
      </c>
      <c r="J258" t="inlineStr">
        <is>
          <t>South</t>
        </is>
      </c>
      <c r="K258" t="n">
        <v>9</v>
      </c>
      <c r="L258" t="inlineStr">
        <is>
          <t>Back</t>
        </is>
      </c>
      <c r="M258" t="inlineStr">
        <is>
          <t>Harbour Town</t>
        </is>
      </c>
      <c r="N258" t="inlineStr">
        <is>
          <t>Sea Pines</t>
        </is>
      </c>
      <c r="O258" t="n">
        <v>71.40000000000001</v>
      </c>
      <c r="P258" t="n">
        <v>136</v>
      </c>
      <c r="Q258" t="n">
        <v>6251</v>
      </c>
      <c r="R258" t="inlineStr">
        <is>
          <t>Scramble-Stableford</t>
        </is>
      </c>
      <c r="S258" t="inlineStr">
        <is>
          <t>Doubles</t>
        </is>
      </c>
      <c r="T258" t="inlineStr">
        <is>
          <t>Over 6'</t>
        </is>
      </c>
      <c r="U258" t="inlineStr">
        <is>
          <t>Forster</t>
        </is>
      </c>
      <c r="V258" t="inlineStr">
        <is>
          <t>Connolly</t>
        </is>
      </c>
      <c r="W258" t="inlineStr">
        <is>
          <t>Blue</t>
        </is>
      </c>
      <c r="Y258" t="inlineStr">
        <is>
          <t>Forster</t>
        </is>
      </c>
      <c r="AA258" t="n">
        <v>1</v>
      </c>
      <c r="AB258" t="inlineStr">
        <is>
          <t>T</t>
        </is>
      </c>
      <c r="AC258" t="inlineStr">
        <is>
          <t>14-14</t>
        </is>
      </c>
      <c r="AE258">
        <f>$V258&amp;$Y258</f>
        <v/>
      </c>
      <c r="AF258" t="n">
        <v>0.5</v>
      </c>
      <c r="AG258" t="n">
        <v>0</v>
      </c>
      <c r="AH258" t="n">
        <v>0</v>
      </c>
      <c r="AI258" t="n">
        <v>1</v>
      </c>
      <c r="AJ258" t="n">
        <v>0.5</v>
      </c>
      <c r="AK258" t="inlineStr">
        <is>
          <t>Ferrin</t>
        </is>
      </c>
      <c r="AL258" t="n">
        <v>0.595238095238095</v>
      </c>
      <c r="AM258" t="inlineStr">
        <is>
          <t>Jackson</t>
        </is>
      </c>
      <c r="AN258" t="n">
        <v>0.6171875</v>
      </c>
    </row>
    <row r="259" ht="15" customHeight="1" s="2">
      <c r="B259" t="n">
        <v>17</v>
      </c>
      <c r="C259" t="n">
        <v>2</v>
      </c>
      <c r="D259" t="n">
        <v>5</v>
      </c>
      <c r="E259" t="inlineStr">
        <is>
          <t>FBC5-D17</t>
        </is>
      </c>
      <c r="F259" t="inlineStr">
        <is>
          <t>Friday</t>
        </is>
      </c>
      <c r="G259" s="27" t="n">
        <v>42937</v>
      </c>
      <c r="H259" t="inlineStr">
        <is>
          <t>PM</t>
        </is>
      </c>
      <c r="I259" t="inlineStr">
        <is>
          <t>Hilton Head, SC</t>
        </is>
      </c>
      <c r="J259" t="inlineStr">
        <is>
          <t>South</t>
        </is>
      </c>
      <c r="K259" t="n">
        <v>9</v>
      </c>
      <c r="L259" t="inlineStr">
        <is>
          <t>Back</t>
        </is>
      </c>
      <c r="M259" t="inlineStr">
        <is>
          <t>Harbour Town</t>
        </is>
      </c>
      <c r="N259" t="inlineStr">
        <is>
          <t>Sea Pines</t>
        </is>
      </c>
      <c r="O259" t="n">
        <v>71.40000000000001</v>
      </c>
      <c r="P259" t="n">
        <v>136</v>
      </c>
      <c r="Q259" t="n">
        <v>6251</v>
      </c>
      <c r="R259" t="inlineStr">
        <is>
          <t>Scramble-Stableford</t>
        </is>
      </c>
      <c r="S259" t="inlineStr">
        <is>
          <t>Doubles</t>
        </is>
      </c>
      <c r="T259" t="inlineStr">
        <is>
          <t>Under 6'</t>
        </is>
      </c>
      <c r="U259" t="inlineStr">
        <is>
          <t>Poirier</t>
        </is>
      </c>
      <c r="V259" t="inlineStr">
        <is>
          <t>Ferrin</t>
        </is>
      </c>
      <c r="W259" t="inlineStr">
        <is>
          <t>White</t>
        </is>
      </c>
      <c r="Y259" t="inlineStr">
        <is>
          <t>Jackson</t>
        </is>
      </c>
      <c r="AA259" t="n">
        <v>1</v>
      </c>
      <c r="AB259" t="inlineStr">
        <is>
          <t>T</t>
        </is>
      </c>
      <c r="AC259" t="inlineStr">
        <is>
          <t>14-14</t>
        </is>
      </c>
      <c r="AE259">
        <f>$V259&amp;$Y259</f>
        <v/>
      </c>
      <c r="AF259" t="n">
        <v>0.5</v>
      </c>
      <c r="AG259" t="n">
        <v>0</v>
      </c>
      <c r="AH259" t="n">
        <v>0</v>
      </c>
      <c r="AI259" t="n">
        <v>1</v>
      </c>
      <c r="AJ259" t="n">
        <v>0.5</v>
      </c>
      <c r="AK259" t="inlineStr">
        <is>
          <t>Connolly</t>
        </is>
      </c>
      <c r="AL259" t="n">
        <v>0.59375</v>
      </c>
      <c r="AM259" t="inlineStr">
        <is>
          <t>Forster</t>
        </is>
      </c>
      <c r="AN259" t="n">
        <v>0.596491228070175</v>
      </c>
    </row>
    <row r="260" ht="15" customHeight="1" s="2">
      <c r="B260" t="n">
        <v>18</v>
      </c>
      <c r="C260" t="n">
        <v>3</v>
      </c>
      <c r="D260" t="n">
        <v>5</v>
      </c>
      <c r="E260" t="inlineStr">
        <is>
          <t>FBC5-D18</t>
        </is>
      </c>
      <c r="F260" t="inlineStr">
        <is>
          <t>Friday</t>
        </is>
      </c>
      <c r="G260" s="27" t="n">
        <v>42937</v>
      </c>
      <c r="H260" t="inlineStr">
        <is>
          <t>PM</t>
        </is>
      </c>
      <c r="I260" t="inlineStr">
        <is>
          <t>Hilton Head, SC</t>
        </is>
      </c>
      <c r="J260" t="inlineStr">
        <is>
          <t>South</t>
        </is>
      </c>
      <c r="K260" t="n">
        <v>9</v>
      </c>
      <c r="L260" t="inlineStr">
        <is>
          <t>Back</t>
        </is>
      </c>
      <c r="M260" t="inlineStr">
        <is>
          <t>Harbour Town</t>
        </is>
      </c>
      <c r="N260" t="inlineStr">
        <is>
          <t>Sea Pines</t>
        </is>
      </c>
      <c r="O260" t="n">
        <v>71.40000000000001</v>
      </c>
      <c r="P260" t="n">
        <v>136</v>
      </c>
      <c r="Q260" t="n">
        <v>6251</v>
      </c>
      <c r="R260" t="inlineStr">
        <is>
          <t>Scramble-Stableford</t>
        </is>
      </c>
      <c r="S260" t="inlineStr">
        <is>
          <t>Doubles</t>
        </is>
      </c>
      <c r="T260" t="inlineStr">
        <is>
          <t>Under 6'</t>
        </is>
      </c>
      <c r="U260" t="inlineStr">
        <is>
          <t>Poirier</t>
        </is>
      </c>
      <c r="V260" t="inlineStr">
        <is>
          <t>Gray</t>
        </is>
      </c>
      <c r="W260" t="inlineStr">
        <is>
          <t>White</t>
        </is>
      </c>
      <c r="Y260" t="inlineStr">
        <is>
          <t>Welker</t>
        </is>
      </c>
      <c r="AA260" t="n">
        <v>1</v>
      </c>
      <c r="AB260" t="inlineStr">
        <is>
          <t>W</t>
        </is>
      </c>
      <c r="AC260" t="inlineStr">
        <is>
          <t>22-17</t>
        </is>
      </c>
      <c r="AE260">
        <f>$V260&amp;$Y260</f>
        <v/>
      </c>
      <c r="AF260" t="n">
        <v>1</v>
      </c>
      <c r="AG260" t="n">
        <v>1</v>
      </c>
      <c r="AH260" t="n">
        <v>0</v>
      </c>
      <c r="AI260" t="n">
        <v>0</v>
      </c>
      <c r="AJ260" t="n">
        <v>1</v>
      </c>
      <c r="AK260" t="inlineStr">
        <is>
          <t>McInerney</t>
        </is>
      </c>
      <c r="AL260" t="n">
        <v>0.5</v>
      </c>
      <c r="AM260" t="inlineStr">
        <is>
          <t>Shively</t>
        </is>
      </c>
    </row>
    <row r="261" ht="15" customHeight="1" s="2">
      <c r="B261" t="n">
        <v>18</v>
      </c>
      <c r="C261" t="n">
        <v>3</v>
      </c>
      <c r="D261" t="n">
        <v>5</v>
      </c>
      <c r="E261" t="inlineStr">
        <is>
          <t>FBC5-D18</t>
        </is>
      </c>
      <c r="F261" t="inlineStr">
        <is>
          <t>Friday</t>
        </is>
      </c>
      <c r="G261" s="27" t="n">
        <v>42937</v>
      </c>
      <c r="H261" t="inlineStr">
        <is>
          <t>PM</t>
        </is>
      </c>
      <c r="I261" t="inlineStr">
        <is>
          <t>Hilton Head, SC</t>
        </is>
      </c>
      <c r="J261" t="inlineStr">
        <is>
          <t>South</t>
        </is>
      </c>
      <c r="K261" t="n">
        <v>9</v>
      </c>
      <c r="L261" t="inlineStr">
        <is>
          <t>Back</t>
        </is>
      </c>
      <c r="M261" t="inlineStr">
        <is>
          <t>Harbour Town</t>
        </is>
      </c>
      <c r="N261" t="inlineStr">
        <is>
          <t>Sea Pines</t>
        </is>
      </c>
      <c r="O261" t="n">
        <v>71.40000000000001</v>
      </c>
      <c r="P261" t="n">
        <v>136</v>
      </c>
      <c r="Q261" t="n">
        <v>6251</v>
      </c>
      <c r="R261" t="inlineStr">
        <is>
          <t>Scramble-Stableford</t>
        </is>
      </c>
      <c r="S261" t="inlineStr">
        <is>
          <t>Doubles</t>
        </is>
      </c>
      <c r="T261" t="inlineStr">
        <is>
          <t>Over 6'</t>
        </is>
      </c>
      <c r="U261" t="inlineStr">
        <is>
          <t>Forster</t>
        </is>
      </c>
      <c r="V261" t="inlineStr">
        <is>
          <t>McInerney</t>
        </is>
      </c>
      <c r="W261" t="inlineStr">
        <is>
          <t>Blue</t>
        </is>
      </c>
      <c r="Y261" t="inlineStr">
        <is>
          <t>Shively</t>
        </is>
      </c>
      <c r="AA261" t="n">
        <v>1</v>
      </c>
      <c r="AB261" t="inlineStr">
        <is>
          <t>L</t>
        </is>
      </c>
      <c r="AC261" t="inlineStr">
        <is>
          <t>22-17</t>
        </is>
      </c>
      <c r="AE261">
        <f>$V261&amp;$Y261</f>
        <v/>
      </c>
      <c r="AF261" t="n">
        <v>0</v>
      </c>
      <c r="AG261" t="n">
        <v>0</v>
      </c>
      <c r="AH261" t="n">
        <v>1</v>
      </c>
      <c r="AI261" t="n">
        <v>0</v>
      </c>
      <c r="AJ261" t="n">
        <v>0</v>
      </c>
      <c r="AK261" t="inlineStr">
        <is>
          <t>Gray</t>
        </is>
      </c>
      <c r="AL261" t="n">
        <v>0.654761904761905</v>
      </c>
      <c r="AM261" t="inlineStr">
        <is>
          <t>Welker</t>
        </is>
      </c>
      <c r="AN261" t="n">
        <v>0.510416666666667</v>
      </c>
    </row>
    <row r="262" ht="15" customHeight="1" s="2">
      <c r="B262" t="n">
        <v>19</v>
      </c>
      <c r="C262" t="n">
        <v>4</v>
      </c>
      <c r="D262" t="n">
        <v>5</v>
      </c>
      <c r="E262" t="inlineStr">
        <is>
          <t>FBC5-D19</t>
        </is>
      </c>
      <c r="F262" t="inlineStr">
        <is>
          <t>Friday</t>
        </is>
      </c>
      <c r="G262" s="27" t="n">
        <v>42937</v>
      </c>
      <c r="H262" t="inlineStr">
        <is>
          <t>PM</t>
        </is>
      </c>
      <c r="I262" t="inlineStr">
        <is>
          <t>Hilton Head, SC</t>
        </is>
      </c>
      <c r="J262" t="inlineStr">
        <is>
          <t>South</t>
        </is>
      </c>
      <c r="K262" t="n">
        <v>9</v>
      </c>
      <c r="L262" t="inlineStr">
        <is>
          <t>Back</t>
        </is>
      </c>
      <c r="M262" t="inlineStr">
        <is>
          <t>Harbour Town</t>
        </is>
      </c>
      <c r="N262" t="inlineStr">
        <is>
          <t>Sea Pines</t>
        </is>
      </c>
      <c r="O262" t="n">
        <v>71.40000000000001</v>
      </c>
      <c r="P262" t="n">
        <v>136</v>
      </c>
      <c r="Q262" t="n">
        <v>6251</v>
      </c>
      <c r="R262" t="inlineStr">
        <is>
          <t>Scramble-Stableford</t>
        </is>
      </c>
      <c r="S262" t="inlineStr">
        <is>
          <t>Doubles</t>
        </is>
      </c>
      <c r="T262" t="inlineStr">
        <is>
          <t>Over 6'</t>
        </is>
      </c>
      <c r="U262" t="inlineStr">
        <is>
          <t>Forster</t>
        </is>
      </c>
      <c r="V262" t="inlineStr">
        <is>
          <t>Delaney</t>
        </is>
      </c>
      <c r="W262" t="inlineStr">
        <is>
          <t>Blue</t>
        </is>
      </c>
      <c r="Y262" t="inlineStr">
        <is>
          <t>Lynch</t>
        </is>
      </c>
      <c r="AA262" t="n">
        <v>1</v>
      </c>
      <c r="AB262" t="inlineStr">
        <is>
          <t>W</t>
        </is>
      </c>
      <c r="AC262" t="inlineStr">
        <is>
          <t>13-9</t>
        </is>
      </c>
      <c r="AE262">
        <f>$V262&amp;$Y262</f>
        <v/>
      </c>
      <c r="AF262" t="n">
        <v>1</v>
      </c>
      <c r="AG262" t="n">
        <v>1</v>
      </c>
      <c r="AH262" t="n">
        <v>0</v>
      </c>
      <c r="AI262" t="n">
        <v>0</v>
      </c>
      <c r="AJ262" t="n">
        <v>1</v>
      </c>
      <c r="AK262" t="inlineStr">
        <is>
          <t>Fogan</t>
        </is>
      </c>
      <c r="AL262" t="n">
        <v>0.372881355932203</v>
      </c>
      <c r="AM262" t="inlineStr">
        <is>
          <t>Hilts</t>
        </is>
      </c>
      <c r="AN262" t="n">
        <v>0.473214285714286</v>
      </c>
    </row>
    <row r="263" ht="15" customHeight="1" s="2">
      <c r="B263" t="n">
        <v>19</v>
      </c>
      <c r="C263" t="n">
        <v>4</v>
      </c>
      <c r="D263" t="n">
        <v>5</v>
      </c>
      <c r="E263" t="inlineStr">
        <is>
          <t>FBC5-D19</t>
        </is>
      </c>
      <c r="F263" t="inlineStr">
        <is>
          <t>Friday</t>
        </is>
      </c>
      <c r="G263" s="27" t="n">
        <v>42937</v>
      </c>
      <c r="H263" t="inlineStr">
        <is>
          <t>PM</t>
        </is>
      </c>
      <c r="I263" t="inlineStr">
        <is>
          <t>Hilton Head, SC</t>
        </is>
      </c>
      <c r="J263" t="inlineStr">
        <is>
          <t>South</t>
        </is>
      </c>
      <c r="K263" t="n">
        <v>9</v>
      </c>
      <c r="L263" t="inlineStr">
        <is>
          <t>Back</t>
        </is>
      </c>
      <c r="M263" t="inlineStr">
        <is>
          <t>Harbour Town</t>
        </is>
      </c>
      <c r="N263" t="inlineStr">
        <is>
          <t>Sea Pines</t>
        </is>
      </c>
      <c r="O263" t="n">
        <v>71.40000000000001</v>
      </c>
      <c r="P263" t="n">
        <v>136</v>
      </c>
      <c r="Q263" t="n">
        <v>6251</v>
      </c>
      <c r="R263" t="inlineStr">
        <is>
          <t>Scramble-Stableford</t>
        </is>
      </c>
      <c r="S263" t="inlineStr">
        <is>
          <t>Doubles</t>
        </is>
      </c>
      <c r="T263" t="inlineStr">
        <is>
          <t>Under 6'</t>
        </is>
      </c>
      <c r="U263" t="inlineStr">
        <is>
          <t>Poirier</t>
        </is>
      </c>
      <c r="V263" t="inlineStr">
        <is>
          <t>Fogan</t>
        </is>
      </c>
      <c r="W263" t="inlineStr">
        <is>
          <t>White</t>
        </is>
      </c>
      <c r="Y263" t="inlineStr">
        <is>
          <t>Hilts</t>
        </is>
      </c>
      <c r="AA263" t="n">
        <v>1</v>
      </c>
      <c r="AB263" t="inlineStr">
        <is>
          <t>L</t>
        </is>
      </c>
      <c r="AC263" t="inlineStr">
        <is>
          <t>13-9</t>
        </is>
      </c>
      <c r="AE263">
        <f>$V263&amp;$Y263</f>
        <v/>
      </c>
      <c r="AF263" t="n">
        <v>0</v>
      </c>
      <c r="AG263" t="n">
        <v>0</v>
      </c>
      <c r="AH263" t="n">
        <v>1</v>
      </c>
      <c r="AI263" t="n">
        <v>0</v>
      </c>
      <c r="AJ263" t="n">
        <v>0</v>
      </c>
      <c r="AK263" t="inlineStr">
        <is>
          <t>Delaney</t>
        </is>
      </c>
      <c r="AL263" t="n">
        <v>0.46551724137931</v>
      </c>
      <c r="AM263" t="inlineStr">
        <is>
          <t>Lynch</t>
        </is>
      </c>
      <c r="AN263" t="n">
        <v>0.5546875</v>
      </c>
    </row>
    <row r="264" ht="15" customHeight="1" s="2">
      <c r="B264" t="n">
        <v>20</v>
      </c>
      <c r="C264" t="n">
        <v>5</v>
      </c>
      <c r="D264" t="n">
        <v>5</v>
      </c>
      <c r="E264" t="inlineStr">
        <is>
          <t>FBC5-D20</t>
        </is>
      </c>
      <c r="F264" t="inlineStr">
        <is>
          <t>Friday</t>
        </is>
      </c>
      <c r="G264" s="27" t="n">
        <v>42937</v>
      </c>
      <c r="H264" t="inlineStr">
        <is>
          <t>PM</t>
        </is>
      </c>
      <c r="I264" t="inlineStr">
        <is>
          <t>Hilton Head, SC</t>
        </is>
      </c>
      <c r="J264" t="inlineStr">
        <is>
          <t>South</t>
        </is>
      </c>
      <c r="K264" t="n">
        <v>9</v>
      </c>
      <c r="L264" t="inlineStr">
        <is>
          <t>Back</t>
        </is>
      </c>
      <c r="M264" t="inlineStr">
        <is>
          <t>Harbour Town</t>
        </is>
      </c>
      <c r="N264" t="inlineStr">
        <is>
          <t>Sea Pines</t>
        </is>
      </c>
      <c r="O264" t="n">
        <v>71.40000000000001</v>
      </c>
      <c r="P264" t="n">
        <v>136</v>
      </c>
      <c r="Q264" t="n">
        <v>6251</v>
      </c>
      <c r="R264" t="inlineStr">
        <is>
          <t>Scramble-Stableford</t>
        </is>
      </c>
      <c r="S264" t="inlineStr">
        <is>
          <t>Doubles</t>
        </is>
      </c>
      <c r="T264" t="inlineStr">
        <is>
          <t>Under 6'</t>
        </is>
      </c>
      <c r="U264" t="inlineStr">
        <is>
          <t>Poirier</t>
        </is>
      </c>
      <c r="V264" t="inlineStr">
        <is>
          <t>Norat</t>
        </is>
      </c>
      <c r="W264" t="inlineStr">
        <is>
          <t>Blue</t>
        </is>
      </c>
      <c r="Y264" t="inlineStr">
        <is>
          <t>Zimmer</t>
        </is>
      </c>
      <c r="AA264" t="n">
        <v>1</v>
      </c>
      <c r="AB264" t="inlineStr">
        <is>
          <t>W</t>
        </is>
      </c>
      <c r="AC264" t="inlineStr">
        <is>
          <t>18-14</t>
        </is>
      </c>
      <c r="AE264">
        <f>$V264&amp;$Y264</f>
        <v/>
      </c>
      <c r="AF264" t="n">
        <v>1</v>
      </c>
      <c r="AG264" t="n">
        <v>1</v>
      </c>
      <c r="AH264" t="n">
        <v>0</v>
      </c>
      <c r="AI264" t="n">
        <v>0</v>
      </c>
      <c r="AJ264" t="n">
        <v>1</v>
      </c>
      <c r="AK264" t="inlineStr">
        <is>
          <t>Cole</t>
        </is>
      </c>
      <c r="AL264" t="n">
        <v>0.440677966101695</v>
      </c>
      <c r="AM264" t="inlineStr">
        <is>
          <t>Connors</t>
        </is>
      </c>
      <c r="AN264" t="n">
        <v>0.347457627118644</v>
      </c>
    </row>
    <row r="265" ht="15" customHeight="1" s="2">
      <c r="B265" t="n">
        <v>20</v>
      </c>
      <c r="C265" t="n">
        <v>5</v>
      </c>
      <c r="D265" t="n">
        <v>5</v>
      </c>
      <c r="E265" t="inlineStr">
        <is>
          <t>FBC5-D20</t>
        </is>
      </c>
      <c r="F265" t="inlineStr">
        <is>
          <t>Friday</t>
        </is>
      </c>
      <c r="G265" s="27" t="n">
        <v>42937</v>
      </c>
      <c r="H265" t="inlineStr">
        <is>
          <t>PM</t>
        </is>
      </c>
      <c r="I265" t="inlineStr">
        <is>
          <t>Hilton Head, SC</t>
        </is>
      </c>
      <c r="J265" t="inlineStr">
        <is>
          <t>South</t>
        </is>
      </c>
      <c r="K265" t="n">
        <v>9</v>
      </c>
      <c r="L265" t="inlineStr">
        <is>
          <t>Back</t>
        </is>
      </c>
      <c r="M265" t="inlineStr">
        <is>
          <t>Harbour Town</t>
        </is>
      </c>
      <c r="N265" t="inlineStr">
        <is>
          <t>Sea Pines</t>
        </is>
      </c>
      <c r="O265" t="n">
        <v>71.40000000000001</v>
      </c>
      <c r="P265" t="n">
        <v>136</v>
      </c>
      <c r="Q265" t="n">
        <v>6251</v>
      </c>
      <c r="R265" t="inlineStr">
        <is>
          <t>Scramble-Stableford</t>
        </is>
      </c>
      <c r="S265" t="inlineStr">
        <is>
          <t>Doubles</t>
        </is>
      </c>
      <c r="T265" t="inlineStr">
        <is>
          <t>Over 6'</t>
        </is>
      </c>
      <c r="U265" t="inlineStr">
        <is>
          <t>Forster</t>
        </is>
      </c>
      <c r="V265" t="inlineStr">
        <is>
          <t>Cole</t>
        </is>
      </c>
      <c r="W265" t="inlineStr">
        <is>
          <t>White</t>
        </is>
      </c>
      <c r="Y265" t="inlineStr">
        <is>
          <t>Connors</t>
        </is>
      </c>
      <c r="AA265" t="n">
        <v>1</v>
      </c>
      <c r="AB265" t="inlineStr">
        <is>
          <t>L</t>
        </is>
      </c>
      <c r="AC265" t="inlineStr">
        <is>
          <t>18-14</t>
        </is>
      </c>
      <c r="AE265">
        <f>$V265&amp;$Y265</f>
        <v/>
      </c>
      <c r="AF265" t="n">
        <v>0</v>
      </c>
      <c r="AG265" t="n">
        <v>0</v>
      </c>
      <c r="AH265" t="n">
        <v>1</v>
      </c>
      <c r="AI265" t="n">
        <v>0</v>
      </c>
      <c r="AJ265" t="n">
        <v>0</v>
      </c>
      <c r="AK265" t="inlineStr">
        <is>
          <t>Norat</t>
        </is>
      </c>
      <c r="AL265" t="n">
        <v>0.527777777777778</v>
      </c>
      <c r="AM265" t="inlineStr">
        <is>
          <t>Zimmer</t>
        </is>
      </c>
      <c r="AN265" t="n">
        <v>0.5</v>
      </c>
    </row>
    <row r="266" ht="15" customHeight="1" s="2">
      <c r="B266" t="inlineStr">
        <is>
          <t>FT1</t>
        </is>
      </c>
      <c r="D266" t="n">
        <v>5</v>
      </c>
      <c r="E266" t="inlineStr">
        <is>
          <t>FBC5-FT</t>
        </is>
      </c>
      <c r="F266" t="inlineStr">
        <is>
          <t>Friday</t>
        </is>
      </c>
      <c r="G266" s="27" t="n">
        <v>42937</v>
      </c>
      <c r="H266" t="inlineStr">
        <is>
          <t>PM</t>
        </is>
      </c>
      <c r="I266" t="inlineStr">
        <is>
          <t>Hilton Head, SC</t>
        </is>
      </c>
      <c r="J266" t="inlineStr">
        <is>
          <t>South</t>
        </is>
      </c>
      <c r="K266" t="n">
        <v>9</v>
      </c>
      <c r="L266" t="inlineStr">
        <is>
          <t>Front</t>
        </is>
      </c>
      <c r="M266" t="inlineStr">
        <is>
          <t>Harbour Town</t>
        </is>
      </c>
      <c r="N266" t="inlineStr">
        <is>
          <t>Sea Pines</t>
        </is>
      </c>
      <c r="O266" t="n">
        <v>71.40000000000001</v>
      </c>
      <c r="P266" t="n">
        <v>136</v>
      </c>
      <c r="Q266" t="n">
        <v>6251</v>
      </c>
      <c r="R266" t="inlineStr">
        <is>
          <t>FTAS</t>
        </is>
      </c>
      <c r="S266" t="inlineStr">
        <is>
          <t>FTAS</t>
        </is>
      </c>
      <c r="T266" t="inlineStr">
        <is>
          <t>Under 6'</t>
        </is>
      </c>
      <c r="U266" t="inlineStr">
        <is>
          <t>Poirier</t>
        </is>
      </c>
      <c r="V266" t="inlineStr">
        <is>
          <t>Poirier</t>
        </is>
      </c>
      <c r="W266" t="inlineStr">
        <is>
          <t>White</t>
        </is>
      </c>
      <c r="AA266" t="n">
        <v>0.5</v>
      </c>
      <c r="AB266" t="inlineStr">
        <is>
          <t>L</t>
        </is>
      </c>
      <c r="AC266" t="inlineStr">
        <is>
          <t>1Up</t>
        </is>
      </c>
      <c r="AE266">
        <f>$V266&amp;$Y266</f>
        <v/>
      </c>
      <c r="AF266" t="n">
        <v>0</v>
      </c>
      <c r="AG266" t="n">
        <v>0</v>
      </c>
      <c r="AH266" t="n">
        <v>1</v>
      </c>
      <c r="AI266" t="n">
        <v>0</v>
      </c>
      <c r="AJ266" t="n">
        <v>0</v>
      </c>
    </row>
    <row r="267" ht="15" customHeight="1" s="2">
      <c r="B267" t="inlineStr">
        <is>
          <t>FT1</t>
        </is>
      </c>
      <c r="D267" t="n">
        <v>5</v>
      </c>
      <c r="E267" t="inlineStr">
        <is>
          <t>FBC5-FT</t>
        </is>
      </c>
      <c r="F267" t="inlineStr">
        <is>
          <t>Friday</t>
        </is>
      </c>
      <c r="G267" s="27" t="n">
        <v>42937</v>
      </c>
      <c r="H267" t="inlineStr">
        <is>
          <t>PM</t>
        </is>
      </c>
      <c r="I267" t="inlineStr">
        <is>
          <t>Hilton Head, SC</t>
        </is>
      </c>
      <c r="J267" t="inlineStr">
        <is>
          <t>South</t>
        </is>
      </c>
      <c r="K267" t="n">
        <v>9</v>
      </c>
      <c r="L267" t="inlineStr">
        <is>
          <t>Front</t>
        </is>
      </c>
      <c r="M267" t="inlineStr">
        <is>
          <t>Harbour Town</t>
        </is>
      </c>
      <c r="N267" t="inlineStr">
        <is>
          <t>Sea Pines</t>
        </is>
      </c>
      <c r="O267" t="n">
        <v>71.40000000000001</v>
      </c>
      <c r="P267" t="n">
        <v>136</v>
      </c>
      <c r="Q267" t="n">
        <v>6251</v>
      </c>
      <c r="R267" t="inlineStr">
        <is>
          <t>FTAS</t>
        </is>
      </c>
      <c r="S267" t="inlineStr">
        <is>
          <t>FTAS</t>
        </is>
      </c>
      <c r="T267" t="inlineStr">
        <is>
          <t>Under 6'</t>
        </is>
      </c>
      <c r="U267" t="inlineStr">
        <is>
          <t>Poirier</t>
        </is>
      </c>
      <c r="V267" t="inlineStr">
        <is>
          <t>Gray</t>
        </is>
      </c>
      <c r="W267" t="inlineStr">
        <is>
          <t>White</t>
        </is>
      </c>
      <c r="AA267" t="n">
        <v>0.5</v>
      </c>
      <c r="AB267" t="inlineStr">
        <is>
          <t>L</t>
        </is>
      </c>
      <c r="AC267" t="inlineStr">
        <is>
          <t>1Up</t>
        </is>
      </c>
      <c r="AE267">
        <f>$V267&amp;$Y267</f>
        <v/>
      </c>
      <c r="AF267" t="n">
        <v>0</v>
      </c>
      <c r="AG267" t="n">
        <v>0</v>
      </c>
      <c r="AH267" t="n">
        <v>1</v>
      </c>
      <c r="AI267" t="n">
        <v>0</v>
      </c>
      <c r="AJ267" t="n">
        <v>0</v>
      </c>
    </row>
    <row r="268" ht="15" customHeight="1" s="2">
      <c r="B268" t="inlineStr">
        <is>
          <t>FT1</t>
        </is>
      </c>
      <c r="D268" t="n">
        <v>5</v>
      </c>
      <c r="E268" t="inlineStr">
        <is>
          <t>FBC5-FT</t>
        </is>
      </c>
      <c r="F268" t="inlineStr">
        <is>
          <t>Friday</t>
        </is>
      </c>
      <c r="G268" s="27" t="n">
        <v>42937</v>
      </c>
      <c r="H268" t="inlineStr">
        <is>
          <t>PM</t>
        </is>
      </c>
      <c r="I268" t="inlineStr">
        <is>
          <t>Hilton Head, SC</t>
        </is>
      </c>
      <c r="J268" t="inlineStr">
        <is>
          <t>South</t>
        </is>
      </c>
      <c r="K268" t="n">
        <v>9</v>
      </c>
      <c r="L268" t="inlineStr">
        <is>
          <t>Front</t>
        </is>
      </c>
      <c r="M268" t="inlineStr">
        <is>
          <t>Harbour Town</t>
        </is>
      </c>
      <c r="N268" t="inlineStr">
        <is>
          <t>Sea Pines</t>
        </is>
      </c>
      <c r="O268" t="n">
        <v>71.40000000000001</v>
      </c>
      <c r="P268" t="n">
        <v>136</v>
      </c>
      <c r="Q268" t="n">
        <v>6251</v>
      </c>
      <c r="R268" t="inlineStr">
        <is>
          <t>FTAS</t>
        </is>
      </c>
      <c r="S268" t="inlineStr">
        <is>
          <t>FTAS</t>
        </is>
      </c>
      <c r="T268" t="inlineStr">
        <is>
          <t>Under 6'</t>
        </is>
      </c>
      <c r="U268" t="inlineStr">
        <is>
          <t>Poirier</t>
        </is>
      </c>
      <c r="V268" t="inlineStr">
        <is>
          <t>Flanders</t>
        </is>
      </c>
      <c r="W268" t="inlineStr">
        <is>
          <t>White</t>
        </is>
      </c>
      <c r="AA268" t="n">
        <v>0.5</v>
      </c>
      <c r="AB268" t="inlineStr">
        <is>
          <t>L</t>
        </is>
      </c>
      <c r="AC268" t="inlineStr">
        <is>
          <t>1Up</t>
        </is>
      </c>
      <c r="AE268">
        <f>$V268&amp;$Y268</f>
        <v/>
      </c>
      <c r="AF268" t="n">
        <v>0</v>
      </c>
      <c r="AG268" t="n">
        <v>0</v>
      </c>
      <c r="AH268" t="n">
        <v>1</v>
      </c>
      <c r="AI268" t="n">
        <v>0</v>
      </c>
      <c r="AJ268" t="n">
        <v>0</v>
      </c>
    </row>
    <row r="269" ht="15" customHeight="1" s="2">
      <c r="B269" t="inlineStr">
        <is>
          <t>FT1</t>
        </is>
      </c>
      <c r="D269" t="n">
        <v>5</v>
      </c>
      <c r="E269" t="inlineStr">
        <is>
          <t>FBC5-FT</t>
        </is>
      </c>
      <c r="F269" t="inlineStr">
        <is>
          <t>Friday</t>
        </is>
      </c>
      <c r="G269" s="27" t="n">
        <v>42937</v>
      </c>
      <c r="H269" t="inlineStr">
        <is>
          <t>PM</t>
        </is>
      </c>
      <c r="I269" t="inlineStr">
        <is>
          <t>Hilton Head, SC</t>
        </is>
      </c>
      <c r="J269" t="inlineStr">
        <is>
          <t>South</t>
        </is>
      </c>
      <c r="K269" t="n">
        <v>9</v>
      </c>
      <c r="L269" t="inlineStr">
        <is>
          <t>Front</t>
        </is>
      </c>
      <c r="M269" t="inlineStr">
        <is>
          <t>Harbour Town</t>
        </is>
      </c>
      <c r="N269" t="inlineStr">
        <is>
          <t>Sea Pines</t>
        </is>
      </c>
      <c r="O269" t="n">
        <v>71.40000000000001</v>
      </c>
      <c r="P269" t="n">
        <v>136</v>
      </c>
      <c r="Q269" t="n">
        <v>6251</v>
      </c>
      <c r="R269" t="inlineStr">
        <is>
          <t>FTAS</t>
        </is>
      </c>
      <c r="S269" t="inlineStr">
        <is>
          <t>FTAS</t>
        </is>
      </c>
      <c r="T269" t="inlineStr">
        <is>
          <t>Under 6'</t>
        </is>
      </c>
      <c r="U269" t="inlineStr">
        <is>
          <t>Poirier</t>
        </is>
      </c>
      <c r="V269" t="inlineStr">
        <is>
          <t>Jackson</t>
        </is>
      </c>
      <c r="W269" t="inlineStr">
        <is>
          <t>White</t>
        </is>
      </c>
      <c r="AA269" t="n">
        <v>0.5</v>
      </c>
      <c r="AB269" t="inlineStr">
        <is>
          <t>L</t>
        </is>
      </c>
      <c r="AC269" t="inlineStr">
        <is>
          <t>1Up</t>
        </is>
      </c>
      <c r="AE269">
        <f>$V269&amp;$Y269</f>
        <v/>
      </c>
      <c r="AF269" t="n">
        <v>0</v>
      </c>
      <c r="AG269" t="n">
        <v>0</v>
      </c>
      <c r="AH269" t="n">
        <v>1</v>
      </c>
      <c r="AI269" t="n">
        <v>0</v>
      </c>
      <c r="AJ269" t="n">
        <v>0</v>
      </c>
    </row>
    <row r="270" ht="15" customHeight="1" s="2">
      <c r="B270" t="inlineStr">
        <is>
          <t>FT1</t>
        </is>
      </c>
      <c r="D270" t="n">
        <v>5</v>
      </c>
      <c r="E270" t="inlineStr">
        <is>
          <t>FBC5-FT</t>
        </is>
      </c>
      <c r="F270" t="inlineStr">
        <is>
          <t>Friday</t>
        </is>
      </c>
      <c r="G270" s="27" t="n">
        <v>42937</v>
      </c>
      <c r="H270" t="inlineStr">
        <is>
          <t>PM</t>
        </is>
      </c>
      <c r="I270" t="inlineStr">
        <is>
          <t>Hilton Head, SC</t>
        </is>
      </c>
      <c r="J270" t="inlineStr">
        <is>
          <t>South</t>
        </is>
      </c>
      <c r="K270" t="n">
        <v>9</v>
      </c>
      <c r="L270" t="inlineStr">
        <is>
          <t>Front</t>
        </is>
      </c>
      <c r="M270" t="inlineStr">
        <is>
          <t>Harbour Town</t>
        </is>
      </c>
      <c r="N270" t="inlineStr">
        <is>
          <t>Sea Pines</t>
        </is>
      </c>
      <c r="O270" t="n">
        <v>71.40000000000001</v>
      </c>
      <c r="P270" t="n">
        <v>136</v>
      </c>
      <c r="Q270" t="n">
        <v>6251</v>
      </c>
      <c r="R270" t="inlineStr">
        <is>
          <t>FTAS</t>
        </is>
      </c>
      <c r="S270" t="inlineStr">
        <is>
          <t>FTAS</t>
        </is>
      </c>
      <c r="T270" t="inlineStr">
        <is>
          <t>Under 6'</t>
        </is>
      </c>
      <c r="U270" t="inlineStr">
        <is>
          <t>Poirier</t>
        </is>
      </c>
      <c r="V270" t="inlineStr">
        <is>
          <t>Ferrin</t>
        </is>
      </c>
      <c r="W270" t="inlineStr">
        <is>
          <t>White</t>
        </is>
      </c>
      <c r="AA270" t="n">
        <v>0.5</v>
      </c>
      <c r="AB270" t="inlineStr">
        <is>
          <t>L</t>
        </is>
      </c>
      <c r="AC270" t="inlineStr">
        <is>
          <t>1Up</t>
        </is>
      </c>
      <c r="AE270">
        <f>$V270&amp;$Y270</f>
        <v/>
      </c>
      <c r="AF270" t="n">
        <v>0</v>
      </c>
      <c r="AG270" t="n">
        <v>0</v>
      </c>
      <c r="AH270" t="n">
        <v>1</v>
      </c>
      <c r="AI270" t="n">
        <v>0</v>
      </c>
      <c r="AJ270" t="n">
        <v>0</v>
      </c>
    </row>
    <row r="271" ht="15" customHeight="1" s="2">
      <c r="B271" t="inlineStr">
        <is>
          <t>FT1</t>
        </is>
      </c>
      <c r="D271" t="n">
        <v>5</v>
      </c>
      <c r="E271" t="inlineStr">
        <is>
          <t>FBC5-FT</t>
        </is>
      </c>
      <c r="F271" t="inlineStr">
        <is>
          <t>Friday</t>
        </is>
      </c>
      <c r="G271" s="27" t="n">
        <v>42937</v>
      </c>
      <c r="H271" t="inlineStr">
        <is>
          <t>PM</t>
        </is>
      </c>
      <c r="I271" t="inlineStr">
        <is>
          <t>Hilton Head, SC</t>
        </is>
      </c>
      <c r="J271" t="inlineStr">
        <is>
          <t>South</t>
        </is>
      </c>
      <c r="K271" t="n">
        <v>9</v>
      </c>
      <c r="L271" t="inlineStr">
        <is>
          <t>Front</t>
        </is>
      </c>
      <c r="M271" t="inlineStr">
        <is>
          <t>Harbour Town</t>
        </is>
      </c>
      <c r="N271" t="inlineStr">
        <is>
          <t>Sea Pines</t>
        </is>
      </c>
      <c r="O271" t="n">
        <v>71.40000000000001</v>
      </c>
      <c r="P271" t="n">
        <v>136</v>
      </c>
      <c r="Q271" t="n">
        <v>6251</v>
      </c>
      <c r="R271" t="inlineStr">
        <is>
          <t>FTAS</t>
        </is>
      </c>
      <c r="S271" t="inlineStr">
        <is>
          <t>FTAS</t>
        </is>
      </c>
      <c r="T271" t="inlineStr">
        <is>
          <t>Under 6'</t>
        </is>
      </c>
      <c r="U271" t="inlineStr">
        <is>
          <t>Poirier</t>
        </is>
      </c>
      <c r="V271" t="inlineStr">
        <is>
          <t>Welker</t>
        </is>
      </c>
      <c r="W271" t="inlineStr">
        <is>
          <t>White</t>
        </is>
      </c>
      <c r="AA271" t="n">
        <v>0.5</v>
      </c>
      <c r="AB271" t="inlineStr">
        <is>
          <t>L</t>
        </is>
      </c>
      <c r="AC271" t="inlineStr">
        <is>
          <t>1Up</t>
        </is>
      </c>
      <c r="AE271">
        <f>$V271&amp;$Y271</f>
        <v/>
      </c>
      <c r="AF271" t="n">
        <v>0</v>
      </c>
      <c r="AG271" t="n">
        <v>0</v>
      </c>
      <c r="AH271" t="n">
        <v>1</v>
      </c>
      <c r="AI271" t="n">
        <v>0</v>
      </c>
      <c r="AJ271" t="n">
        <v>0</v>
      </c>
    </row>
    <row r="272" ht="15" customHeight="1" s="2">
      <c r="B272" t="inlineStr">
        <is>
          <t>FT1</t>
        </is>
      </c>
      <c r="D272" t="n">
        <v>5</v>
      </c>
      <c r="E272" t="inlineStr">
        <is>
          <t>FBC5-FT</t>
        </is>
      </c>
      <c r="F272" t="inlineStr">
        <is>
          <t>Friday</t>
        </is>
      </c>
      <c r="G272" s="27" t="n">
        <v>42937</v>
      </c>
      <c r="H272" t="inlineStr">
        <is>
          <t>PM</t>
        </is>
      </c>
      <c r="I272" t="inlineStr">
        <is>
          <t>Hilton Head, SC</t>
        </is>
      </c>
      <c r="J272" t="inlineStr">
        <is>
          <t>South</t>
        </is>
      </c>
      <c r="K272" t="n">
        <v>9</v>
      </c>
      <c r="L272" t="inlineStr">
        <is>
          <t>Front</t>
        </is>
      </c>
      <c r="M272" t="inlineStr">
        <is>
          <t>Harbour Town</t>
        </is>
      </c>
      <c r="N272" t="inlineStr">
        <is>
          <t>Sea Pines</t>
        </is>
      </c>
      <c r="O272" t="n">
        <v>71.40000000000001</v>
      </c>
      <c r="P272" t="n">
        <v>136</v>
      </c>
      <c r="Q272" t="n">
        <v>6251</v>
      </c>
      <c r="R272" t="inlineStr">
        <is>
          <t>FTAS</t>
        </is>
      </c>
      <c r="S272" t="inlineStr">
        <is>
          <t>FTAS</t>
        </is>
      </c>
      <c r="T272" t="inlineStr">
        <is>
          <t>Under 6'</t>
        </is>
      </c>
      <c r="U272" t="inlineStr">
        <is>
          <t>Poirier</t>
        </is>
      </c>
      <c r="V272" t="inlineStr">
        <is>
          <t>Connors</t>
        </is>
      </c>
      <c r="W272" t="inlineStr">
        <is>
          <t>White</t>
        </is>
      </c>
      <c r="AA272" t="n">
        <v>0.5</v>
      </c>
      <c r="AB272" t="inlineStr">
        <is>
          <t>L</t>
        </is>
      </c>
      <c r="AC272" t="inlineStr">
        <is>
          <t>1Up</t>
        </is>
      </c>
      <c r="AE272">
        <f>$V272&amp;$Y272</f>
        <v/>
      </c>
      <c r="AF272" t="n">
        <v>0</v>
      </c>
      <c r="AG272" t="n">
        <v>0</v>
      </c>
      <c r="AH272" t="n">
        <v>1</v>
      </c>
      <c r="AI272" t="n">
        <v>0</v>
      </c>
      <c r="AJ272" t="n">
        <v>0</v>
      </c>
    </row>
    <row r="273" ht="15" customHeight="1" s="2">
      <c r="B273" t="inlineStr">
        <is>
          <t>FT1</t>
        </is>
      </c>
      <c r="D273" t="n">
        <v>5</v>
      </c>
      <c r="E273" t="inlineStr">
        <is>
          <t>FBC5-FT</t>
        </is>
      </c>
      <c r="F273" t="inlineStr">
        <is>
          <t>Friday</t>
        </is>
      </c>
      <c r="G273" s="27" t="n">
        <v>42937</v>
      </c>
      <c r="H273" t="inlineStr">
        <is>
          <t>PM</t>
        </is>
      </c>
      <c r="I273" t="inlineStr">
        <is>
          <t>Hilton Head, SC</t>
        </is>
      </c>
      <c r="J273" t="inlineStr">
        <is>
          <t>South</t>
        </is>
      </c>
      <c r="K273" t="n">
        <v>9</v>
      </c>
      <c r="L273" t="inlineStr">
        <is>
          <t>Front</t>
        </is>
      </c>
      <c r="M273" t="inlineStr">
        <is>
          <t>Harbour Town</t>
        </is>
      </c>
      <c r="N273" t="inlineStr">
        <is>
          <t>Sea Pines</t>
        </is>
      </c>
      <c r="O273" t="n">
        <v>71.40000000000001</v>
      </c>
      <c r="P273" t="n">
        <v>136</v>
      </c>
      <c r="Q273" t="n">
        <v>6251</v>
      </c>
      <c r="R273" t="inlineStr">
        <is>
          <t>FTAS</t>
        </is>
      </c>
      <c r="S273" t="inlineStr">
        <is>
          <t>FTAS</t>
        </is>
      </c>
      <c r="T273" t="inlineStr">
        <is>
          <t>Under 6'</t>
        </is>
      </c>
      <c r="U273" t="inlineStr">
        <is>
          <t>Poirier</t>
        </is>
      </c>
      <c r="V273" t="inlineStr">
        <is>
          <t>Fogan</t>
        </is>
      </c>
      <c r="W273" t="inlineStr">
        <is>
          <t>White</t>
        </is>
      </c>
      <c r="AA273" t="n">
        <v>0.5</v>
      </c>
      <c r="AB273" t="inlineStr">
        <is>
          <t>L</t>
        </is>
      </c>
      <c r="AC273" t="inlineStr">
        <is>
          <t>1Up</t>
        </is>
      </c>
      <c r="AE273">
        <f>$V273&amp;$Y273</f>
        <v/>
      </c>
      <c r="AF273" t="n">
        <v>0</v>
      </c>
      <c r="AG273" t="n">
        <v>0</v>
      </c>
      <c r="AH273" t="n">
        <v>1</v>
      </c>
      <c r="AI273" t="n">
        <v>0</v>
      </c>
      <c r="AJ273" t="n">
        <v>0</v>
      </c>
    </row>
    <row r="274" ht="15" customHeight="1" s="2">
      <c r="B274" t="inlineStr">
        <is>
          <t>FT1</t>
        </is>
      </c>
      <c r="D274" t="n">
        <v>5</v>
      </c>
      <c r="E274" t="inlineStr">
        <is>
          <t>FBC5-FT</t>
        </is>
      </c>
      <c r="F274" t="inlineStr">
        <is>
          <t>Friday</t>
        </is>
      </c>
      <c r="G274" s="27" t="n">
        <v>42937</v>
      </c>
      <c r="H274" t="inlineStr">
        <is>
          <t>PM</t>
        </is>
      </c>
      <c r="I274" t="inlineStr">
        <is>
          <t>Hilton Head, SC</t>
        </is>
      </c>
      <c r="J274" t="inlineStr">
        <is>
          <t>South</t>
        </is>
      </c>
      <c r="K274" t="n">
        <v>9</v>
      </c>
      <c r="L274" t="inlineStr">
        <is>
          <t>Front</t>
        </is>
      </c>
      <c r="M274" t="inlineStr">
        <is>
          <t>Harbour Town</t>
        </is>
      </c>
      <c r="N274" t="inlineStr">
        <is>
          <t>Sea Pines</t>
        </is>
      </c>
      <c r="O274" t="n">
        <v>71.40000000000001</v>
      </c>
      <c r="P274" t="n">
        <v>136</v>
      </c>
      <c r="Q274" t="n">
        <v>6251</v>
      </c>
      <c r="R274" t="inlineStr">
        <is>
          <t>FTAS</t>
        </is>
      </c>
      <c r="S274" t="inlineStr">
        <is>
          <t>FTAS</t>
        </is>
      </c>
      <c r="T274" t="inlineStr">
        <is>
          <t>Under 6'</t>
        </is>
      </c>
      <c r="U274" t="inlineStr">
        <is>
          <t>Poirier</t>
        </is>
      </c>
      <c r="V274" t="inlineStr">
        <is>
          <t>Hilts</t>
        </is>
      </c>
      <c r="W274" t="inlineStr">
        <is>
          <t>White</t>
        </is>
      </c>
      <c r="AA274" t="n">
        <v>0.5</v>
      </c>
      <c r="AB274" t="inlineStr">
        <is>
          <t>L</t>
        </is>
      </c>
      <c r="AC274" t="inlineStr">
        <is>
          <t>1Up</t>
        </is>
      </c>
      <c r="AE274">
        <f>$V274&amp;$Y274</f>
        <v/>
      </c>
      <c r="AF274" t="n">
        <v>0</v>
      </c>
      <c r="AG274" t="n">
        <v>0</v>
      </c>
      <c r="AH274" t="n">
        <v>1</v>
      </c>
      <c r="AI274" t="n">
        <v>0</v>
      </c>
      <c r="AJ274" t="n">
        <v>0</v>
      </c>
    </row>
    <row r="275" ht="15" customHeight="1" s="2">
      <c r="B275" t="inlineStr">
        <is>
          <t>FT1</t>
        </is>
      </c>
      <c r="D275" t="n">
        <v>5</v>
      </c>
      <c r="E275" t="inlineStr">
        <is>
          <t>FBC5-FT</t>
        </is>
      </c>
      <c r="F275" t="inlineStr">
        <is>
          <t>Friday</t>
        </is>
      </c>
      <c r="G275" s="27" t="n">
        <v>42937</v>
      </c>
      <c r="H275" t="inlineStr">
        <is>
          <t>PM</t>
        </is>
      </c>
      <c r="I275" t="inlineStr">
        <is>
          <t>Hilton Head, SC</t>
        </is>
      </c>
      <c r="J275" t="inlineStr">
        <is>
          <t>South</t>
        </is>
      </c>
      <c r="K275" t="n">
        <v>9</v>
      </c>
      <c r="L275" t="inlineStr">
        <is>
          <t>Front</t>
        </is>
      </c>
      <c r="M275" t="inlineStr">
        <is>
          <t>Harbour Town</t>
        </is>
      </c>
      <c r="N275" t="inlineStr">
        <is>
          <t>Sea Pines</t>
        </is>
      </c>
      <c r="O275" t="n">
        <v>71.40000000000001</v>
      </c>
      <c r="P275" t="n">
        <v>136</v>
      </c>
      <c r="Q275" t="n">
        <v>6251</v>
      </c>
      <c r="R275" t="inlineStr">
        <is>
          <t>FTAS</t>
        </is>
      </c>
      <c r="S275" t="inlineStr">
        <is>
          <t>FTAS</t>
        </is>
      </c>
      <c r="T275" t="inlineStr">
        <is>
          <t>Under 6'</t>
        </is>
      </c>
      <c r="U275" t="inlineStr">
        <is>
          <t>Poirier</t>
        </is>
      </c>
      <c r="V275" t="inlineStr">
        <is>
          <t>Cole</t>
        </is>
      </c>
      <c r="W275" t="inlineStr">
        <is>
          <t>White</t>
        </is>
      </c>
      <c r="AA275" t="n">
        <v>0.5</v>
      </c>
      <c r="AB275" t="inlineStr">
        <is>
          <t>L</t>
        </is>
      </c>
      <c r="AC275" t="inlineStr">
        <is>
          <t>1Up</t>
        </is>
      </c>
      <c r="AE275">
        <f>$V275&amp;$Y275</f>
        <v/>
      </c>
      <c r="AF275" t="n">
        <v>0</v>
      </c>
      <c r="AG275" t="n">
        <v>0</v>
      </c>
      <c r="AH275" t="n">
        <v>1</v>
      </c>
      <c r="AI275" t="n">
        <v>0</v>
      </c>
      <c r="AJ275" t="n">
        <v>0</v>
      </c>
    </row>
    <row r="276" ht="15" customHeight="1" s="2">
      <c r="B276" t="inlineStr">
        <is>
          <t>FT1</t>
        </is>
      </c>
      <c r="D276" t="n">
        <v>5</v>
      </c>
      <c r="E276" t="inlineStr">
        <is>
          <t>FBC5-FT</t>
        </is>
      </c>
      <c r="F276" t="inlineStr">
        <is>
          <t>Friday</t>
        </is>
      </c>
      <c r="G276" s="27" t="n">
        <v>42937</v>
      </c>
      <c r="H276" t="inlineStr">
        <is>
          <t>PM</t>
        </is>
      </c>
      <c r="I276" t="inlineStr">
        <is>
          <t>Hilton Head, SC</t>
        </is>
      </c>
      <c r="J276" t="inlineStr">
        <is>
          <t>South</t>
        </is>
      </c>
      <c r="K276" t="n">
        <v>9</v>
      </c>
      <c r="L276" t="inlineStr">
        <is>
          <t>Front</t>
        </is>
      </c>
      <c r="M276" t="inlineStr">
        <is>
          <t>Harbour Town</t>
        </is>
      </c>
      <c r="N276" t="inlineStr">
        <is>
          <t>Sea Pines</t>
        </is>
      </c>
      <c r="O276" t="n">
        <v>71.40000000000001</v>
      </c>
      <c r="P276" t="n">
        <v>136</v>
      </c>
      <c r="Q276" t="n">
        <v>6251</v>
      </c>
      <c r="R276" t="inlineStr">
        <is>
          <t>FTAS</t>
        </is>
      </c>
      <c r="S276" t="inlineStr">
        <is>
          <t>FTAS</t>
        </is>
      </c>
      <c r="T276" t="inlineStr">
        <is>
          <t>Over 6'</t>
        </is>
      </c>
      <c r="U276" t="inlineStr">
        <is>
          <t>Forster</t>
        </is>
      </c>
      <c r="V276" t="inlineStr">
        <is>
          <t>Connolly</t>
        </is>
      </c>
      <c r="W276" t="inlineStr">
        <is>
          <t>Blue</t>
        </is>
      </c>
      <c r="AA276" t="n">
        <v>0.5</v>
      </c>
      <c r="AB276" t="inlineStr">
        <is>
          <t>W</t>
        </is>
      </c>
      <c r="AC276" t="inlineStr">
        <is>
          <t>1Up</t>
        </is>
      </c>
      <c r="AE276">
        <f>$V276&amp;$Y276</f>
        <v/>
      </c>
      <c r="AF276" t="n">
        <v>0.5</v>
      </c>
      <c r="AG276" t="n">
        <v>1</v>
      </c>
      <c r="AH276" t="n">
        <v>0</v>
      </c>
      <c r="AI276" t="n">
        <v>0</v>
      </c>
      <c r="AJ276" t="n">
        <v>1</v>
      </c>
    </row>
    <row r="277" ht="15" customHeight="1" s="2">
      <c r="B277" t="inlineStr">
        <is>
          <t>FT1</t>
        </is>
      </c>
      <c r="D277" t="n">
        <v>5</v>
      </c>
      <c r="E277" t="inlineStr">
        <is>
          <t>FBC5-FT</t>
        </is>
      </c>
      <c r="F277" t="inlineStr">
        <is>
          <t>Friday</t>
        </is>
      </c>
      <c r="G277" s="27" t="n">
        <v>42937</v>
      </c>
      <c r="H277" t="inlineStr">
        <is>
          <t>PM</t>
        </is>
      </c>
      <c r="I277" t="inlineStr">
        <is>
          <t>Hilton Head, SC</t>
        </is>
      </c>
      <c r="J277" t="inlineStr">
        <is>
          <t>South</t>
        </is>
      </c>
      <c r="K277" t="n">
        <v>9</v>
      </c>
      <c r="L277" t="inlineStr">
        <is>
          <t>Front</t>
        </is>
      </c>
      <c r="M277" t="inlineStr">
        <is>
          <t>Harbour Town</t>
        </is>
      </c>
      <c r="N277" t="inlineStr">
        <is>
          <t>Sea Pines</t>
        </is>
      </c>
      <c r="O277" t="n">
        <v>71.40000000000001</v>
      </c>
      <c r="P277" t="n">
        <v>136</v>
      </c>
      <c r="Q277" t="n">
        <v>6251</v>
      </c>
      <c r="R277" t="inlineStr">
        <is>
          <t>FTAS</t>
        </is>
      </c>
      <c r="S277" t="inlineStr">
        <is>
          <t>FTAS</t>
        </is>
      </c>
      <c r="T277" t="inlineStr">
        <is>
          <t>Over 6'</t>
        </is>
      </c>
      <c r="U277" t="inlineStr">
        <is>
          <t>Forster</t>
        </is>
      </c>
      <c r="V277" t="inlineStr">
        <is>
          <t>McInerney</t>
        </is>
      </c>
      <c r="W277" t="inlineStr">
        <is>
          <t>Blue</t>
        </is>
      </c>
      <c r="AA277" t="n">
        <v>0.5</v>
      </c>
      <c r="AB277" t="inlineStr">
        <is>
          <t>W</t>
        </is>
      </c>
      <c r="AC277" t="inlineStr">
        <is>
          <t>1Up</t>
        </is>
      </c>
      <c r="AE277">
        <f>$V277&amp;$Y277</f>
        <v/>
      </c>
      <c r="AF277" t="n">
        <v>0.5</v>
      </c>
      <c r="AG277" t="n">
        <v>1</v>
      </c>
      <c r="AH277" t="n">
        <v>0</v>
      </c>
      <c r="AI277" t="n">
        <v>0</v>
      </c>
      <c r="AJ277" t="n">
        <v>1</v>
      </c>
    </row>
    <row r="278" ht="15" customHeight="1" s="2">
      <c r="B278" t="inlineStr">
        <is>
          <t>FT1</t>
        </is>
      </c>
      <c r="D278" t="n">
        <v>5</v>
      </c>
      <c r="E278" t="inlineStr">
        <is>
          <t>FBC5-FT</t>
        </is>
      </c>
      <c r="F278" t="inlineStr">
        <is>
          <t>Friday</t>
        </is>
      </c>
      <c r="G278" s="27" t="n">
        <v>42937</v>
      </c>
      <c r="H278" t="inlineStr">
        <is>
          <t>PM</t>
        </is>
      </c>
      <c r="I278" t="inlineStr">
        <is>
          <t>Hilton Head, SC</t>
        </is>
      </c>
      <c r="J278" t="inlineStr">
        <is>
          <t>South</t>
        </is>
      </c>
      <c r="K278" t="n">
        <v>9</v>
      </c>
      <c r="L278" t="inlineStr">
        <is>
          <t>Front</t>
        </is>
      </c>
      <c r="M278" t="inlineStr">
        <is>
          <t>Harbour Town</t>
        </is>
      </c>
      <c r="N278" t="inlineStr">
        <is>
          <t>Sea Pines</t>
        </is>
      </c>
      <c r="O278" t="n">
        <v>71.40000000000001</v>
      </c>
      <c r="P278" t="n">
        <v>136</v>
      </c>
      <c r="Q278" t="n">
        <v>6251</v>
      </c>
      <c r="R278" t="inlineStr">
        <is>
          <t>FTAS</t>
        </is>
      </c>
      <c r="S278" t="inlineStr">
        <is>
          <t>FTAS</t>
        </is>
      </c>
      <c r="T278" t="inlineStr">
        <is>
          <t>Over 6'</t>
        </is>
      </c>
      <c r="U278" t="inlineStr">
        <is>
          <t>Forster</t>
        </is>
      </c>
      <c r="V278" t="inlineStr">
        <is>
          <t>Zimmer</t>
        </is>
      </c>
      <c r="W278" t="inlineStr">
        <is>
          <t>Blue</t>
        </is>
      </c>
      <c r="AA278" t="n">
        <v>0.5</v>
      </c>
      <c r="AB278" t="inlineStr">
        <is>
          <t>W</t>
        </is>
      </c>
      <c r="AC278" t="inlineStr">
        <is>
          <t>1Up</t>
        </is>
      </c>
      <c r="AE278">
        <f>$V278&amp;$Y278</f>
        <v/>
      </c>
      <c r="AF278" t="n">
        <v>0.5</v>
      </c>
      <c r="AG278" t="n">
        <v>1</v>
      </c>
      <c r="AH278" t="n">
        <v>0</v>
      </c>
      <c r="AI278" t="n">
        <v>0</v>
      </c>
      <c r="AJ278" t="n">
        <v>1</v>
      </c>
    </row>
    <row r="279" ht="15" customHeight="1" s="2">
      <c r="B279" t="inlineStr">
        <is>
          <t>FT1</t>
        </is>
      </c>
      <c r="D279" t="n">
        <v>5</v>
      </c>
      <c r="E279" t="inlineStr">
        <is>
          <t>FBC5-FT</t>
        </is>
      </c>
      <c r="F279" t="inlineStr">
        <is>
          <t>Friday</t>
        </is>
      </c>
      <c r="G279" s="27" t="n">
        <v>42937</v>
      </c>
      <c r="H279" t="inlineStr">
        <is>
          <t>PM</t>
        </is>
      </c>
      <c r="I279" t="inlineStr">
        <is>
          <t>Hilton Head, SC</t>
        </is>
      </c>
      <c r="J279" t="inlineStr">
        <is>
          <t>South</t>
        </is>
      </c>
      <c r="K279" t="n">
        <v>9</v>
      </c>
      <c r="L279" t="inlineStr">
        <is>
          <t>Front</t>
        </is>
      </c>
      <c r="M279" t="inlineStr">
        <is>
          <t>Harbour Town</t>
        </is>
      </c>
      <c r="N279" t="inlineStr">
        <is>
          <t>Sea Pines</t>
        </is>
      </c>
      <c r="O279" t="n">
        <v>71.40000000000001</v>
      </c>
      <c r="P279" t="n">
        <v>136</v>
      </c>
      <c r="Q279" t="n">
        <v>6251</v>
      </c>
      <c r="R279" t="inlineStr">
        <is>
          <t>FTAS</t>
        </is>
      </c>
      <c r="S279" t="inlineStr">
        <is>
          <t>FTAS</t>
        </is>
      </c>
      <c r="T279" t="inlineStr">
        <is>
          <t>Over 6'</t>
        </is>
      </c>
      <c r="U279" t="inlineStr">
        <is>
          <t>Forster</t>
        </is>
      </c>
      <c r="V279" t="inlineStr">
        <is>
          <t>Delaney</t>
        </is>
      </c>
      <c r="W279" t="inlineStr">
        <is>
          <t>Blue</t>
        </is>
      </c>
      <c r="AA279" t="n">
        <v>0.5</v>
      </c>
      <c r="AB279" t="inlineStr">
        <is>
          <t>W</t>
        </is>
      </c>
      <c r="AC279" t="inlineStr">
        <is>
          <t>1Up</t>
        </is>
      </c>
      <c r="AE279">
        <f>$V279&amp;$Y279</f>
        <v/>
      </c>
      <c r="AF279" t="n">
        <v>0.5</v>
      </c>
      <c r="AG279" t="n">
        <v>1</v>
      </c>
      <c r="AH279" t="n">
        <v>0</v>
      </c>
      <c r="AI279" t="n">
        <v>0</v>
      </c>
      <c r="AJ279" t="n">
        <v>1</v>
      </c>
    </row>
    <row r="280" ht="15" customHeight="1" s="2">
      <c r="B280" t="inlineStr">
        <is>
          <t>FT1</t>
        </is>
      </c>
      <c r="D280" t="n">
        <v>5</v>
      </c>
      <c r="E280" t="inlineStr">
        <is>
          <t>FBC5-FT</t>
        </is>
      </c>
      <c r="F280" t="inlineStr">
        <is>
          <t>Friday</t>
        </is>
      </c>
      <c r="G280" s="27" t="n">
        <v>42937</v>
      </c>
      <c r="H280" t="inlineStr">
        <is>
          <t>PM</t>
        </is>
      </c>
      <c r="I280" t="inlineStr">
        <is>
          <t>Hilton Head, SC</t>
        </is>
      </c>
      <c r="J280" t="inlineStr">
        <is>
          <t>South</t>
        </is>
      </c>
      <c r="K280" t="n">
        <v>9</v>
      </c>
      <c r="L280" t="inlineStr">
        <is>
          <t>Front</t>
        </is>
      </c>
      <c r="M280" t="inlineStr">
        <is>
          <t>Harbour Town</t>
        </is>
      </c>
      <c r="N280" t="inlineStr">
        <is>
          <t>Sea Pines</t>
        </is>
      </c>
      <c r="O280" t="n">
        <v>71.40000000000001</v>
      </c>
      <c r="P280" t="n">
        <v>136</v>
      </c>
      <c r="Q280" t="n">
        <v>6251</v>
      </c>
      <c r="R280" t="inlineStr">
        <is>
          <t>FTAS</t>
        </is>
      </c>
      <c r="S280" t="inlineStr">
        <is>
          <t>FTAS</t>
        </is>
      </c>
      <c r="T280" t="inlineStr">
        <is>
          <t>Over 6'</t>
        </is>
      </c>
      <c r="U280" t="inlineStr">
        <is>
          <t>Forster</t>
        </is>
      </c>
      <c r="V280" t="inlineStr">
        <is>
          <t>Mangold</t>
        </is>
      </c>
      <c r="W280" t="inlineStr">
        <is>
          <t>Blue</t>
        </is>
      </c>
      <c r="AA280" t="n">
        <v>0.5</v>
      </c>
      <c r="AB280" t="inlineStr">
        <is>
          <t>W</t>
        </is>
      </c>
      <c r="AC280" t="inlineStr">
        <is>
          <t>1Up</t>
        </is>
      </c>
      <c r="AE280">
        <f>$V280&amp;$Y280</f>
        <v/>
      </c>
      <c r="AF280" t="n">
        <v>0.5</v>
      </c>
      <c r="AG280" t="n">
        <v>1</v>
      </c>
      <c r="AH280" t="n">
        <v>0</v>
      </c>
      <c r="AI280" t="n">
        <v>0</v>
      </c>
      <c r="AJ280" t="n">
        <v>1</v>
      </c>
    </row>
    <row r="281" ht="15" customHeight="1" s="2">
      <c r="B281" t="inlineStr">
        <is>
          <t>FT1</t>
        </is>
      </c>
      <c r="D281" t="n">
        <v>5</v>
      </c>
      <c r="E281" t="inlineStr">
        <is>
          <t>FBC5-FT</t>
        </is>
      </c>
      <c r="F281" t="inlineStr">
        <is>
          <t>Friday</t>
        </is>
      </c>
      <c r="G281" s="27" t="n">
        <v>42937</v>
      </c>
      <c r="H281" t="inlineStr">
        <is>
          <t>PM</t>
        </is>
      </c>
      <c r="I281" t="inlineStr">
        <is>
          <t>Hilton Head, SC</t>
        </is>
      </c>
      <c r="J281" t="inlineStr">
        <is>
          <t>South</t>
        </is>
      </c>
      <c r="K281" t="n">
        <v>9</v>
      </c>
      <c r="L281" t="inlineStr">
        <is>
          <t>Front</t>
        </is>
      </c>
      <c r="M281" t="inlineStr">
        <is>
          <t>Harbour Town</t>
        </is>
      </c>
      <c r="N281" t="inlineStr">
        <is>
          <t>Sea Pines</t>
        </is>
      </c>
      <c r="O281" t="n">
        <v>71.40000000000001</v>
      </c>
      <c r="P281" t="n">
        <v>136</v>
      </c>
      <c r="Q281" t="n">
        <v>6251</v>
      </c>
      <c r="R281" t="inlineStr">
        <is>
          <t>FTAS</t>
        </is>
      </c>
      <c r="S281" t="inlineStr">
        <is>
          <t>FTAS</t>
        </is>
      </c>
      <c r="T281" t="inlineStr">
        <is>
          <t>Over 6'</t>
        </is>
      </c>
      <c r="U281" t="inlineStr">
        <is>
          <t>Forster</t>
        </is>
      </c>
      <c r="V281" t="inlineStr">
        <is>
          <t>Grise</t>
        </is>
      </c>
      <c r="W281" t="inlineStr">
        <is>
          <t>Blue</t>
        </is>
      </c>
      <c r="AA281" t="n">
        <v>0.5</v>
      </c>
      <c r="AB281" t="inlineStr">
        <is>
          <t>W</t>
        </is>
      </c>
      <c r="AC281" t="inlineStr">
        <is>
          <t>1Up</t>
        </is>
      </c>
      <c r="AE281">
        <f>$V281&amp;$Y281</f>
        <v/>
      </c>
      <c r="AF281" t="n">
        <v>0.5</v>
      </c>
      <c r="AG281" t="n">
        <v>1</v>
      </c>
      <c r="AH281" t="n">
        <v>0</v>
      </c>
      <c r="AI281" t="n">
        <v>0</v>
      </c>
      <c r="AJ281" t="n">
        <v>1</v>
      </c>
    </row>
    <row r="282" ht="15" customHeight="1" s="2">
      <c r="B282" t="inlineStr">
        <is>
          <t>FT1</t>
        </is>
      </c>
      <c r="D282" t="n">
        <v>5</v>
      </c>
      <c r="E282" t="inlineStr">
        <is>
          <t>FBC5-FT</t>
        </is>
      </c>
      <c r="F282" t="inlineStr">
        <is>
          <t>Friday</t>
        </is>
      </c>
      <c r="G282" s="27" t="n">
        <v>42937</v>
      </c>
      <c r="H282" t="inlineStr">
        <is>
          <t>PM</t>
        </is>
      </c>
      <c r="I282" t="inlineStr">
        <is>
          <t>Hilton Head, SC</t>
        </is>
      </c>
      <c r="J282" t="inlineStr">
        <is>
          <t>South</t>
        </is>
      </c>
      <c r="K282" t="n">
        <v>9</v>
      </c>
      <c r="L282" t="inlineStr">
        <is>
          <t>Front</t>
        </is>
      </c>
      <c r="M282" t="inlineStr">
        <is>
          <t>Harbour Town</t>
        </is>
      </c>
      <c r="N282" t="inlineStr">
        <is>
          <t>Sea Pines</t>
        </is>
      </c>
      <c r="O282" t="n">
        <v>71.40000000000001</v>
      </c>
      <c r="P282" t="n">
        <v>136</v>
      </c>
      <c r="Q282" t="n">
        <v>6251</v>
      </c>
      <c r="R282" t="inlineStr">
        <is>
          <t>FTAS</t>
        </is>
      </c>
      <c r="S282" t="inlineStr">
        <is>
          <t>FTAS</t>
        </is>
      </c>
      <c r="T282" t="inlineStr">
        <is>
          <t>Over 6'</t>
        </is>
      </c>
      <c r="U282" t="inlineStr">
        <is>
          <t>Forster</t>
        </is>
      </c>
      <c r="V282" t="inlineStr">
        <is>
          <t>Lynch</t>
        </is>
      </c>
      <c r="W282" t="inlineStr">
        <is>
          <t>Blue</t>
        </is>
      </c>
      <c r="AA282" t="n">
        <v>0.5</v>
      </c>
      <c r="AB282" t="inlineStr">
        <is>
          <t>W</t>
        </is>
      </c>
      <c r="AC282" t="inlineStr">
        <is>
          <t>1Up</t>
        </is>
      </c>
      <c r="AE282">
        <f>$V282&amp;$Y282</f>
        <v/>
      </c>
      <c r="AF282" t="n">
        <v>0.5</v>
      </c>
      <c r="AG282" t="n">
        <v>1</v>
      </c>
      <c r="AH282" t="n">
        <v>0</v>
      </c>
      <c r="AI282" t="n">
        <v>0</v>
      </c>
      <c r="AJ282" t="n">
        <v>1</v>
      </c>
    </row>
    <row r="283" ht="15" customHeight="1" s="2">
      <c r="B283" t="inlineStr">
        <is>
          <t>FT1</t>
        </is>
      </c>
      <c r="D283" t="n">
        <v>5</v>
      </c>
      <c r="E283" t="inlineStr">
        <is>
          <t>FBC5-FT</t>
        </is>
      </c>
      <c r="F283" t="inlineStr">
        <is>
          <t>Friday</t>
        </is>
      </c>
      <c r="G283" s="27" t="n">
        <v>42937</v>
      </c>
      <c r="H283" t="inlineStr">
        <is>
          <t>PM</t>
        </is>
      </c>
      <c r="I283" t="inlineStr">
        <is>
          <t>Hilton Head, SC</t>
        </is>
      </c>
      <c r="J283" t="inlineStr">
        <is>
          <t>South</t>
        </is>
      </c>
      <c r="K283" t="n">
        <v>9</v>
      </c>
      <c r="L283" t="inlineStr">
        <is>
          <t>Front</t>
        </is>
      </c>
      <c r="M283" t="inlineStr">
        <is>
          <t>Harbour Town</t>
        </is>
      </c>
      <c r="N283" t="inlineStr">
        <is>
          <t>Sea Pines</t>
        </is>
      </c>
      <c r="O283" t="n">
        <v>71.40000000000001</v>
      </c>
      <c r="P283" t="n">
        <v>136</v>
      </c>
      <c r="Q283" t="n">
        <v>6251</v>
      </c>
      <c r="R283" t="inlineStr">
        <is>
          <t>FTAS</t>
        </is>
      </c>
      <c r="S283" t="inlineStr">
        <is>
          <t>FTAS</t>
        </is>
      </c>
      <c r="T283" t="inlineStr">
        <is>
          <t>Over 6'</t>
        </is>
      </c>
      <c r="U283" t="inlineStr">
        <is>
          <t>Forster</t>
        </is>
      </c>
      <c r="V283" t="inlineStr">
        <is>
          <t>Norat</t>
        </is>
      </c>
      <c r="W283" t="inlineStr">
        <is>
          <t>Blue</t>
        </is>
      </c>
      <c r="AA283" t="n">
        <v>0.5</v>
      </c>
      <c r="AB283" t="inlineStr">
        <is>
          <t>W</t>
        </is>
      </c>
      <c r="AC283" t="inlineStr">
        <is>
          <t>1Up</t>
        </is>
      </c>
      <c r="AE283">
        <f>$V283&amp;$Y283</f>
        <v/>
      </c>
      <c r="AF283" t="n">
        <v>0.5</v>
      </c>
      <c r="AG283" t="n">
        <v>1</v>
      </c>
      <c r="AH283" t="n">
        <v>0</v>
      </c>
      <c r="AI283" t="n">
        <v>0</v>
      </c>
      <c r="AJ283" t="n">
        <v>1</v>
      </c>
    </row>
    <row r="284" ht="15" customHeight="1" s="2">
      <c r="B284" t="inlineStr">
        <is>
          <t>FT1</t>
        </is>
      </c>
      <c r="D284" t="n">
        <v>5</v>
      </c>
      <c r="E284" t="inlineStr">
        <is>
          <t>FBC5-FT</t>
        </is>
      </c>
      <c r="F284" t="inlineStr">
        <is>
          <t>Friday</t>
        </is>
      </c>
      <c r="G284" s="27" t="n">
        <v>42937</v>
      </c>
      <c r="H284" t="inlineStr">
        <is>
          <t>PM</t>
        </is>
      </c>
      <c r="I284" t="inlineStr">
        <is>
          <t>Hilton Head, SC</t>
        </is>
      </c>
      <c r="J284" t="inlineStr">
        <is>
          <t>South</t>
        </is>
      </c>
      <c r="K284" t="n">
        <v>9</v>
      </c>
      <c r="L284" t="inlineStr">
        <is>
          <t>Front</t>
        </is>
      </c>
      <c r="M284" t="inlineStr">
        <is>
          <t>Harbour Town</t>
        </is>
      </c>
      <c r="N284" t="inlineStr">
        <is>
          <t>Sea Pines</t>
        </is>
      </c>
      <c r="O284" t="n">
        <v>71.40000000000001</v>
      </c>
      <c r="P284" t="n">
        <v>136</v>
      </c>
      <c r="Q284" t="n">
        <v>6251</v>
      </c>
      <c r="R284" t="inlineStr">
        <is>
          <t>FTAS</t>
        </is>
      </c>
      <c r="S284" t="inlineStr">
        <is>
          <t>FTAS</t>
        </is>
      </c>
      <c r="T284" t="inlineStr">
        <is>
          <t>Over 6'</t>
        </is>
      </c>
      <c r="U284" t="inlineStr">
        <is>
          <t>Forster</t>
        </is>
      </c>
      <c r="V284" t="inlineStr">
        <is>
          <t>Forster</t>
        </is>
      </c>
      <c r="W284" t="inlineStr">
        <is>
          <t>Blue</t>
        </is>
      </c>
      <c r="AA284" t="n">
        <v>0.5</v>
      </c>
      <c r="AB284" t="inlineStr">
        <is>
          <t>W</t>
        </is>
      </c>
      <c r="AC284" t="inlineStr">
        <is>
          <t>1Up</t>
        </is>
      </c>
      <c r="AE284">
        <f>$V284&amp;$Y284</f>
        <v/>
      </c>
      <c r="AF284" t="n">
        <v>0.5</v>
      </c>
      <c r="AG284" t="n">
        <v>1</v>
      </c>
      <c r="AH284" t="n">
        <v>0</v>
      </c>
      <c r="AI284" t="n">
        <v>0</v>
      </c>
      <c r="AJ284" t="n">
        <v>1</v>
      </c>
    </row>
    <row r="285" ht="15" customHeight="1" s="2">
      <c r="B285" t="inlineStr">
        <is>
          <t>FT1</t>
        </is>
      </c>
      <c r="D285" t="n">
        <v>5</v>
      </c>
      <c r="E285" t="inlineStr">
        <is>
          <t>FBC5-FT</t>
        </is>
      </c>
      <c r="F285" t="inlineStr">
        <is>
          <t>Friday</t>
        </is>
      </c>
      <c r="G285" s="27" t="n">
        <v>42937</v>
      </c>
      <c r="H285" t="inlineStr">
        <is>
          <t>PM</t>
        </is>
      </c>
      <c r="I285" t="inlineStr">
        <is>
          <t>Hilton Head, SC</t>
        </is>
      </c>
      <c r="J285" t="inlineStr">
        <is>
          <t>South</t>
        </is>
      </c>
      <c r="K285" t="n">
        <v>9</v>
      </c>
      <c r="L285" t="inlineStr">
        <is>
          <t>Front</t>
        </is>
      </c>
      <c r="M285" t="inlineStr">
        <is>
          <t>Harbour Town</t>
        </is>
      </c>
      <c r="N285" t="inlineStr">
        <is>
          <t>Sea Pines</t>
        </is>
      </c>
      <c r="O285" t="n">
        <v>71.40000000000001</v>
      </c>
      <c r="P285" t="n">
        <v>136</v>
      </c>
      <c r="Q285" t="n">
        <v>6251</v>
      </c>
      <c r="R285" t="inlineStr">
        <is>
          <t>FTAS</t>
        </is>
      </c>
      <c r="S285" t="inlineStr">
        <is>
          <t>FTAS</t>
        </is>
      </c>
      <c r="T285" t="inlineStr">
        <is>
          <t>Over 6'</t>
        </is>
      </c>
      <c r="U285" t="inlineStr">
        <is>
          <t>Forster</t>
        </is>
      </c>
      <c r="V285" t="inlineStr">
        <is>
          <t>Shively</t>
        </is>
      </c>
      <c r="W285" t="inlineStr">
        <is>
          <t>Blue</t>
        </is>
      </c>
      <c r="AA285" t="n">
        <v>0.5</v>
      </c>
      <c r="AB285" t="inlineStr">
        <is>
          <t>W</t>
        </is>
      </c>
      <c r="AC285" t="inlineStr">
        <is>
          <t>1Up</t>
        </is>
      </c>
      <c r="AE285">
        <f>$V285&amp;$Y285</f>
        <v/>
      </c>
      <c r="AF285" t="n">
        <v>0.5</v>
      </c>
      <c r="AG285" t="n">
        <v>1</v>
      </c>
      <c r="AH285" t="n">
        <v>0</v>
      </c>
      <c r="AI285" t="n">
        <v>0</v>
      </c>
      <c r="AJ285" t="n">
        <v>1</v>
      </c>
    </row>
    <row r="286" ht="15" customHeight="1" s="2">
      <c r="B286" t="n">
        <v>21</v>
      </c>
      <c r="C286" t="n">
        <v>1</v>
      </c>
      <c r="D286" t="n">
        <v>5</v>
      </c>
      <c r="E286" t="inlineStr">
        <is>
          <t>FBC5-S-Grise-Poirier</t>
        </is>
      </c>
      <c r="F286" t="inlineStr">
        <is>
          <t>Saturday</t>
        </is>
      </c>
      <c r="G286" s="27" t="n">
        <v>42938</v>
      </c>
      <c r="H286" t="inlineStr">
        <is>
          <t>AM</t>
        </is>
      </c>
      <c r="I286" t="inlineStr">
        <is>
          <t>Hilton Head, SC</t>
        </is>
      </c>
      <c r="J286" t="inlineStr">
        <is>
          <t>South</t>
        </is>
      </c>
      <c r="K286" t="n">
        <v>18</v>
      </c>
      <c r="L286" t="inlineStr">
        <is>
          <t>Full</t>
        </is>
      </c>
      <c r="M286" t="inlineStr">
        <is>
          <t>Atlantic Dunes</t>
        </is>
      </c>
      <c r="N286" t="inlineStr">
        <is>
          <t>Blue</t>
        </is>
      </c>
      <c r="O286" t="n">
        <v>72.2</v>
      </c>
      <c r="P286" t="n">
        <v>138</v>
      </c>
      <c r="Q286" t="n">
        <v>6522</v>
      </c>
      <c r="R286" t="inlineStr">
        <is>
          <t>Match Play</t>
        </is>
      </c>
      <c r="S286" t="inlineStr">
        <is>
          <t>Singles</t>
        </is>
      </c>
      <c r="T286" t="inlineStr">
        <is>
          <t>Under 6'</t>
        </is>
      </c>
      <c r="U286" t="inlineStr">
        <is>
          <t>Poirier</t>
        </is>
      </c>
      <c r="V286" t="inlineStr">
        <is>
          <t>Poirier</t>
        </is>
      </c>
      <c r="W286" t="inlineStr">
        <is>
          <t>White</t>
        </is>
      </c>
      <c r="AA286" t="n">
        <v>2</v>
      </c>
      <c r="AB286" t="inlineStr">
        <is>
          <t>W</t>
        </is>
      </c>
      <c r="AC286" t="inlineStr">
        <is>
          <t>4&amp;3</t>
        </is>
      </c>
      <c r="AD286" t="inlineStr">
        <is>
          <t>Grise</t>
        </is>
      </c>
      <c r="AE286">
        <f>$V286&amp;$Y286</f>
        <v/>
      </c>
      <c r="AF286" t="n">
        <v>2</v>
      </c>
      <c r="AG286" t="n">
        <v>1</v>
      </c>
      <c r="AH286" t="n">
        <v>0</v>
      </c>
      <c r="AI286" t="n">
        <v>0</v>
      </c>
      <c r="AJ286" t="n">
        <v>1</v>
      </c>
      <c r="AK286" t="inlineStr">
        <is>
          <t>Grise</t>
        </is>
      </c>
      <c r="AL286" t="n">
        <v>0.546875</v>
      </c>
    </row>
    <row r="287" ht="15" customHeight="1" s="2">
      <c r="B287" t="n">
        <v>21</v>
      </c>
      <c r="C287" t="n">
        <v>2</v>
      </c>
      <c r="D287" t="n">
        <v>5</v>
      </c>
      <c r="E287" t="inlineStr">
        <is>
          <t>FBC5-S-Flanders-McInerney</t>
        </is>
      </c>
      <c r="F287" t="inlineStr">
        <is>
          <t>Saturday</t>
        </is>
      </c>
      <c r="G287" s="27" t="n">
        <v>42938</v>
      </c>
      <c r="H287" t="inlineStr">
        <is>
          <t>AM</t>
        </is>
      </c>
      <c r="I287" t="inlineStr">
        <is>
          <t>Hilton Head, SC</t>
        </is>
      </c>
      <c r="J287" t="inlineStr">
        <is>
          <t>South</t>
        </is>
      </c>
      <c r="K287" t="n">
        <v>18</v>
      </c>
      <c r="L287" t="inlineStr">
        <is>
          <t>Full</t>
        </is>
      </c>
      <c r="M287" t="inlineStr">
        <is>
          <t>Atlantic Dunes</t>
        </is>
      </c>
      <c r="N287" t="inlineStr">
        <is>
          <t>Blue</t>
        </is>
      </c>
      <c r="O287" t="n">
        <v>72.2</v>
      </c>
      <c r="P287" t="n">
        <v>138</v>
      </c>
      <c r="Q287" t="n">
        <v>6522</v>
      </c>
      <c r="R287" t="inlineStr">
        <is>
          <t>Match Play</t>
        </is>
      </c>
      <c r="S287" t="inlineStr">
        <is>
          <t>Singles</t>
        </is>
      </c>
      <c r="T287" t="inlineStr">
        <is>
          <t>Under 6'</t>
        </is>
      </c>
      <c r="U287" t="inlineStr">
        <is>
          <t>Poirier</t>
        </is>
      </c>
      <c r="V287" t="inlineStr">
        <is>
          <t>Flanders</t>
        </is>
      </c>
      <c r="W287" t="inlineStr">
        <is>
          <t>White</t>
        </is>
      </c>
      <c r="AA287" t="n">
        <v>2</v>
      </c>
      <c r="AB287" t="inlineStr">
        <is>
          <t>L</t>
        </is>
      </c>
      <c r="AC287" t="inlineStr">
        <is>
          <t>1Up</t>
        </is>
      </c>
      <c r="AD287" t="inlineStr">
        <is>
          <t>McInerney</t>
        </is>
      </c>
      <c r="AE287">
        <f>$V287&amp;$Y287</f>
        <v/>
      </c>
      <c r="AF287" t="n">
        <v>0</v>
      </c>
      <c r="AG287" t="n">
        <v>0</v>
      </c>
      <c r="AH287" t="n">
        <v>1</v>
      </c>
      <c r="AI287" t="n">
        <v>0</v>
      </c>
      <c r="AJ287" t="n">
        <v>0</v>
      </c>
      <c r="AK287" t="inlineStr">
        <is>
          <t>McInerney</t>
        </is>
      </c>
      <c r="AL287" t="n">
        <v>0.5</v>
      </c>
    </row>
    <row r="288" ht="15" customHeight="1" s="2">
      <c r="B288" t="n">
        <v>22</v>
      </c>
      <c r="C288" t="n">
        <v>3</v>
      </c>
      <c r="D288" t="n">
        <v>5</v>
      </c>
      <c r="E288" t="inlineStr">
        <is>
          <t>FBC5-S-Gray-Zimmer</t>
        </is>
      </c>
      <c r="F288" t="inlineStr">
        <is>
          <t>Saturday</t>
        </is>
      </c>
      <c r="G288" s="27" t="n">
        <v>42938</v>
      </c>
      <c r="H288" t="inlineStr">
        <is>
          <t>AM</t>
        </is>
      </c>
      <c r="I288" t="inlineStr">
        <is>
          <t>Hilton Head, SC</t>
        </is>
      </c>
      <c r="J288" t="inlineStr">
        <is>
          <t>South</t>
        </is>
      </c>
      <c r="K288" t="n">
        <v>18</v>
      </c>
      <c r="L288" t="inlineStr">
        <is>
          <t>Full</t>
        </is>
      </c>
      <c r="M288" t="inlineStr">
        <is>
          <t>Atlantic Dunes</t>
        </is>
      </c>
      <c r="N288" t="inlineStr">
        <is>
          <t>Blue</t>
        </is>
      </c>
      <c r="O288" t="n">
        <v>72.2</v>
      </c>
      <c r="P288" t="n">
        <v>138</v>
      </c>
      <c r="Q288" t="n">
        <v>6522</v>
      </c>
      <c r="R288" t="inlineStr">
        <is>
          <t>Match Play</t>
        </is>
      </c>
      <c r="S288" t="inlineStr">
        <is>
          <t>Singles</t>
        </is>
      </c>
      <c r="T288" t="inlineStr">
        <is>
          <t>Under 6'</t>
        </is>
      </c>
      <c r="U288" t="inlineStr">
        <is>
          <t>Poirier</t>
        </is>
      </c>
      <c r="V288" t="inlineStr">
        <is>
          <t>Gray</t>
        </is>
      </c>
      <c r="W288" t="inlineStr">
        <is>
          <t>White</t>
        </is>
      </c>
      <c r="AA288" t="n">
        <v>2</v>
      </c>
      <c r="AB288" t="inlineStr">
        <is>
          <t>T</t>
        </is>
      </c>
      <c r="AC288" t="inlineStr">
        <is>
          <t>Halved</t>
        </is>
      </c>
      <c r="AD288" t="inlineStr">
        <is>
          <t>Zimmer</t>
        </is>
      </c>
      <c r="AE288">
        <f>$V288&amp;$Y288</f>
        <v/>
      </c>
      <c r="AF288" t="n">
        <v>1</v>
      </c>
      <c r="AG288" t="n">
        <v>0</v>
      </c>
      <c r="AH288" t="n">
        <v>0</v>
      </c>
      <c r="AI288" t="n">
        <v>1</v>
      </c>
      <c r="AJ288" t="n">
        <v>0.5</v>
      </c>
      <c r="AK288" t="inlineStr">
        <is>
          <t>Zimmer</t>
        </is>
      </c>
      <c r="AL288" t="n">
        <v>0.5</v>
      </c>
    </row>
    <row r="289" ht="15" customHeight="1" s="2">
      <c r="B289" t="n">
        <v>22</v>
      </c>
      <c r="C289" t="n">
        <v>4</v>
      </c>
      <c r="D289" t="n">
        <v>5</v>
      </c>
      <c r="E289" t="inlineStr">
        <is>
          <t>FBC5-S-Connolly-Welker</t>
        </is>
      </c>
      <c r="F289" t="inlineStr">
        <is>
          <t>Saturday</t>
        </is>
      </c>
      <c r="G289" s="27" t="n">
        <v>42938</v>
      </c>
      <c r="H289" t="inlineStr">
        <is>
          <t>AM</t>
        </is>
      </c>
      <c r="I289" t="inlineStr">
        <is>
          <t>Hilton Head, SC</t>
        </is>
      </c>
      <c r="J289" t="inlineStr">
        <is>
          <t>South</t>
        </is>
      </c>
      <c r="K289" t="n">
        <v>18</v>
      </c>
      <c r="L289" t="inlineStr">
        <is>
          <t>Full</t>
        </is>
      </c>
      <c r="M289" t="inlineStr">
        <is>
          <t>Atlantic Dunes</t>
        </is>
      </c>
      <c r="N289" t="inlineStr">
        <is>
          <t>Blue</t>
        </is>
      </c>
      <c r="O289" t="n">
        <v>72.2</v>
      </c>
      <c r="P289" t="n">
        <v>138</v>
      </c>
      <c r="Q289" t="n">
        <v>6522</v>
      </c>
      <c r="R289" t="inlineStr">
        <is>
          <t>Match Play</t>
        </is>
      </c>
      <c r="S289" t="inlineStr">
        <is>
          <t>Singles</t>
        </is>
      </c>
      <c r="T289" t="inlineStr">
        <is>
          <t>Under 6'</t>
        </is>
      </c>
      <c r="U289" t="inlineStr">
        <is>
          <t>Poirier</t>
        </is>
      </c>
      <c r="V289" t="inlineStr">
        <is>
          <t>Welker</t>
        </is>
      </c>
      <c r="W289" t="inlineStr">
        <is>
          <t>White</t>
        </is>
      </c>
      <c r="AA289" t="n">
        <v>2</v>
      </c>
      <c r="AB289" t="inlineStr">
        <is>
          <t>L</t>
        </is>
      </c>
      <c r="AC289" t="inlineStr">
        <is>
          <t>3&amp;2</t>
        </is>
      </c>
      <c r="AD289" t="inlineStr">
        <is>
          <t>Connolly</t>
        </is>
      </c>
      <c r="AE289">
        <f>$V289&amp;$Y289</f>
        <v/>
      </c>
      <c r="AF289" t="n">
        <v>0</v>
      </c>
      <c r="AG289" t="n">
        <v>0</v>
      </c>
      <c r="AH289" t="n">
        <v>1</v>
      </c>
      <c r="AI289" t="n">
        <v>0</v>
      </c>
      <c r="AJ289" t="n">
        <v>0</v>
      </c>
      <c r="AK289" t="inlineStr">
        <is>
          <t>Connolly</t>
        </is>
      </c>
      <c r="AL289" t="n">
        <v>0.59375</v>
      </c>
    </row>
    <row r="290" ht="15" customHeight="1" s="2">
      <c r="B290" t="n">
        <v>23</v>
      </c>
      <c r="C290" t="n">
        <v>5</v>
      </c>
      <c r="D290" t="n">
        <v>5</v>
      </c>
      <c r="E290" t="inlineStr">
        <is>
          <t>FBC5-S-Delaney-Hilts</t>
        </is>
      </c>
      <c r="F290" t="inlineStr">
        <is>
          <t>Saturday</t>
        </is>
      </c>
      <c r="G290" s="27" t="n">
        <v>42938</v>
      </c>
      <c r="H290" t="inlineStr">
        <is>
          <t>AM</t>
        </is>
      </c>
      <c r="I290" t="inlineStr">
        <is>
          <t>Hilton Head, SC</t>
        </is>
      </c>
      <c r="J290" t="inlineStr">
        <is>
          <t>South</t>
        </is>
      </c>
      <c r="K290" t="n">
        <v>18</v>
      </c>
      <c r="L290" t="inlineStr">
        <is>
          <t>Full</t>
        </is>
      </c>
      <c r="M290" t="inlineStr">
        <is>
          <t>Atlantic Dunes</t>
        </is>
      </c>
      <c r="N290" t="inlineStr">
        <is>
          <t>Blue</t>
        </is>
      </c>
      <c r="O290" t="n">
        <v>72.2</v>
      </c>
      <c r="P290" t="n">
        <v>138</v>
      </c>
      <c r="Q290" t="n">
        <v>6522</v>
      </c>
      <c r="R290" t="inlineStr">
        <is>
          <t>Match Play</t>
        </is>
      </c>
      <c r="S290" t="inlineStr">
        <is>
          <t>Singles</t>
        </is>
      </c>
      <c r="T290" t="inlineStr">
        <is>
          <t>Under 6'</t>
        </is>
      </c>
      <c r="U290" t="inlineStr">
        <is>
          <t>Poirier</t>
        </is>
      </c>
      <c r="V290" t="inlineStr">
        <is>
          <t>Hilts</t>
        </is>
      </c>
      <c r="W290" t="inlineStr">
        <is>
          <t>White</t>
        </is>
      </c>
      <c r="AA290" t="n">
        <v>2</v>
      </c>
      <c r="AB290" t="inlineStr">
        <is>
          <t>W</t>
        </is>
      </c>
      <c r="AC290" t="inlineStr">
        <is>
          <t>1Up</t>
        </is>
      </c>
      <c r="AD290" t="inlineStr">
        <is>
          <t>Delaney</t>
        </is>
      </c>
      <c r="AE290">
        <f>$V290&amp;$Y290</f>
        <v/>
      </c>
      <c r="AF290" t="n">
        <v>2</v>
      </c>
      <c r="AG290" t="n">
        <v>1</v>
      </c>
      <c r="AH290" t="n">
        <v>0</v>
      </c>
      <c r="AI290" t="n">
        <v>0</v>
      </c>
      <c r="AJ290" t="n">
        <v>1</v>
      </c>
      <c r="AK290" t="inlineStr">
        <is>
          <t>Delaney</t>
        </is>
      </c>
      <c r="AL290" t="n">
        <v>0.46551724137931</v>
      </c>
    </row>
    <row r="291" ht="15" customHeight="1" s="2">
      <c r="B291" t="n">
        <v>23</v>
      </c>
      <c r="C291" t="n">
        <v>6</v>
      </c>
      <c r="D291" t="n">
        <v>5</v>
      </c>
      <c r="E291" t="inlineStr">
        <is>
          <t>FBC5-S-Ferrin-Shively</t>
        </is>
      </c>
      <c r="F291" t="inlineStr">
        <is>
          <t>Saturday</t>
        </is>
      </c>
      <c r="G291" s="27" t="n">
        <v>42938</v>
      </c>
      <c r="H291" t="inlineStr">
        <is>
          <t>AM</t>
        </is>
      </c>
      <c r="I291" t="inlineStr">
        <is>
          <t>Hilton Head, SC</t>
        </is>
      </c>
      <c r="J291" t="inlineStr">
        <is>
          <t>South</t>
        </is>
      </c>
      <c r="K291" t="n">
        <v>18</v>
      </c>
      <c r="L291" t="inlineStr">
        <is>
          <t>Full</t>
        </is>
      </c>
      <c r="M291" t="inlineStr">
        <is>
          <t>Atlantic Dunes</t>
        </is>
      </c>
      <c r="N291" t="inlineStr">
        <is>
          <t>Blue</t>
        </is>
      </c>
      <c r="O291" t="n">
        <v>72.2</v>
      </c>
      <c r="P291" t="n">
        <v>138</v>
      </c>
      <c r="Q291" t="n">
        <v>6522</v>
      </c>
      <c r="R291" t="inlineStr">
        <is>
          <t>Match Play</t>
        </is>
      </c>
      <c r="S291" t="inlineStr">
        <is>
          <t>Singles</t>
        </is>
      </c>
      <c r="T291" t="inlineStr">
        <is>
          <t>Under 6'</t>
        </is>
      </c>
      <c r="U291" t="inlineStr">
        <is>
          <t>Poirier</t>
        </is>
      </c>
      <c r="V291" t="inlineStr">
        <is>
          <t>Ferrin</t>
        </is>
      </c>
      <c r="W291" t="inlineStr">
        <is>
          <t>White</t>
        </is>
      </c>
      <c r="AA291" t="n">
        <v>2</v>
      </c>
      <c r="AB291" t="inlineStr">
        <is>
          <t>W</t>
        </is>
      </c>
      <c r="AC291" t="inlineStr">
        <is>
          <t>4&amp;3</t>
        </is>
      </c>
      <c r="AD291" t="inlineStr">
        <is>
          <t>Shively</t>
        </is>
      </c>
      <c r="AE291">
        <f>$V291&amp;$Y291</f>
        <v/>
      </c>
      <c r="AF291" t="n">
        <v>2</v>
      </c>
      <c r="AG291" t="n">
        <v>1</v>
      </c>
      <c r="AH291" t="n">
        <v>0</v>
      </c>
      <c r="AI291" t="n">
        <v>0</v>
      </c>
      <c r="AJ291" t="n">
        <v>1</v>
      </c>
      <c r="AK291" t="inlineStr">
        <is>
          <t>Shively</t>
        </is>
      </c>
    </row>
    <row r="292" ht="15" customHeight="1" s="2">
      <c r="B292" t="n">
        <v>24</v>
      </c>
      <c r="C292" t="n">
        <v>7</v>
      </c>
      <c r="D292" t="n">
        <v>5</v>
      </c>
      <c r="E292" t="inlineStr">
        <is>
          <t>FBC5-S-Jackson-Lynch</t>
        </is>
      </c>
      <c r="F292" t="inlineStr">
        <is>
          <t>Saturday</t>
        </is>
      </c>
      <c r="G292" s="27" t="n">
        <v>42938</v>
      </c>
      <c r="H292" t="inlineStr">
        <is>
          <t>AM</t>
        </is>
      </c>
      <c r="I292" t="inlineStr">
        <is>
          <t>Hilton Head, SC</t>
        </is>
      </c>
      <c r="J292" t="inlineStr">
        <is>
          <t>South</t>
        </is>
      </c>
      <c r="K292" t="n">
        <v>18</v>
      </c>
      <c r="L292" t="inlineStr">
        <is>
          <t>Full</t>
        </is>
      </c>
      <c r="M292" t="inlineStr">
        <is>
          <t>Atlantic Dunes</t>
        </is>
      </c>
      <c r="N292" t="inlineStr">
        <is>
          <t>Blue</t>
        </is>
      </c>
      <c r="O292" t="n">
        <v>72.2</v>
      </c>
      <c r="P292" t="n">
        <v>138</v>
      </c>
      <c r="Q292" t="n">
        <v>6522</v>
      </c>
      <c r="R292" t="inlineStr">
        <is>
          <t>Match Play</t>
        </is>
      </c>
      <c r="S292" t="inlineStr">
        <is>
          <t>Singles</t>
        </is>
      </c>
      <c r="T292" t="inlineStr">
        <is>
          <t>Under 6'</t>
        </is>
      </c>
      <c r="U292" t="inlineStr">
        <is>
          <t>Poirier</t>
        </is>
      </c>
      <c r="V292" t="inlineStr">
        <is>
          <t>Jackson</t>
        </is>
      </c>
      <c r="W292" t="inlineStr">
        <is>
          <t>White</t>
        </is>
      </c>
      <c r="AA292" t="n">
        <v>2</v>
      </c>
      <c r="AB292" t="inlineStr">
        <is>
          <t>W</t>
        </is>
      </c>
      <c r="AC292" t="inlineStr">
        <is>
          <t>1Up</t>
        </is>
      </c>
      <c r="AD292" t="inlineStr">
        <is>
          <t>Lynch</t>
        </is>
      </c>
      <c r="AE292">
        <f>$V292&amp;$Y292</f>
        <v/>
      </c>
      <c r="AF292" t="n">
        <v>2</v>
      </c>
      <c r="AG292" t="n">
        <v>1</v>
      </c>
      <c r="AH292" t="n">
        <v>0</v>
      </c>
      <c r="AI292" t="n">
        <v>0</v>
      </c>
      <c r="AJ292" t="n">
        <v>1</v>
      </c>
      <c r="AK292" t="inlineStr">
        <is>
          <t>Lynch</t>
        </is>
      </c>
      <c r="AL292" t="n">
        <v>0.5546875</v>
      </c>
    </row>
    <row r="293" ht="15" customHeight="1" s="2">
      <c r="B293" t="n">
        <v>24</v>
      </c>
      <c r="C293" t="n">
        <v>8</v>
      </c>
      <c r="D293" t="n">
        <v>5</v>
      </c>
      <c r="E293" t="inlineStr">
        <is>
          <t>FBC5-S-Fogan-Norat</t>
        </is>
      </c>
      <c r="F293" t="inlineStr">
        <is>
          <t>Saturday</t>
        </is>
      </c>
      <c r="G293" s="27" t="n">
        <v>42938</v>
      </c>
      <c r="H293" t="inlineStr">
        <is>
          <t>AM</t>
        </is>
      </c>
      <c r="I293" t="inlineStr">
        <is>
          <t>Hilton Head, SC</t>
        </is>
      </c>
      <c r="J293" t="inlineStr">
        <is>
          <t>South</t>
        </is>
      </c>
      <c r="K293" t="n">
        <v>18</v>
      </c>
      <c r="L293" t="inlineStr">
        <is>
          <t>Full</t>
        </is>
      </c>
      <c r="M293" t="inlineStr">
        <is>
          <t>Atlantic Dunes</t>
        </is>
      </c>
      <c r="N293" t="inlineStr">
        <is>
          <t>Blue</t>
        </is>
      </c>
      <c r="O293" t="n">
        <v>72.2</v>
      </c>
      <c r="P293" t="n">
        <v>138</v>
      </c>
      <c r="Q293" t="n">
        <v>6522</v>
      </c>
      <c r="R293" t="inlineStr">
        <is>
          <t>Match Play</t>
        </is>
      </c>
      <c r="S293" t="inlineStr">
        <is>
          <t>Singles</t>
        </is>
      </c>
      <c r="T293" t="inlineStr">
        <is>
          <t>Under 6'</t>
        </is>
      </c>
      <c r="U293" t="inlineStr">
        <is>
          <t>Poirier</t>
        </is>
      </c>
      <c r="V293" t="inlineStr">
        <is>
          <t>Fogan</t>
        </is>
      </c>
      <c r="W293" t="inlineStr">
        <is>
          <t>White</t>
        </is>
      </c>
      <c r="AA293" t="n">
        <v>2</v>
      </c>
      <c r="AB293" t="inlineStr">
        <is>
          <t>L</t>
        </is>
      </c>
      <c r="AC293" t="inlineStr">
        <is>
          <t>2Up</t>
        </is>
      </c>
      <c r="AD293" t="inlineStr">
        <is>
          <t>Norat</t>
        </is>
      </c>
      <c r="AE293">
        <f>$V293&amp;$Y293</f>
        <v/>
      </c>
      <c r="AF293" t="n">
        <v>0</v>
      </c>
      <c r="AG293" t="n">
        <v>0</v>
      </c>
      <c r="AH293" t="n">
        <v>1</v>
      </c>
      <c r="AI293" t="n">
        <v>0</v>
      </c>
      <c r="AJ293" t="n">
        <v>0</v>
      </c>
      <c r="AK293" t="inlineStr">
        <is>
          <t>Norat</t>
        </is>
      </c>
      <c r="AL293" t="n">
        <v>0.527777777777778</v>
      </c>
    </row>
    <row r="294" ht="15" customHeight="1" s="2">
      <c r="B294" t="n">
        <v>25</v>
      </c>
      <c r="C294" t="n">
        <v>9</v>
      </c>
      <c r="D294" t="n">
        <v>5</v>
      </c>
      <c r="E294" t="inlineStr">
        <is>
          <t>FBC5-S-Cole-Forster</t>
        </is>
      </c>
      <c r="F294" t="inlineStr">
        <is>
          <t>Saturday</t>
        </is>
      </c>
      <c r="G294" s="27" t="n">
        <v>42938</v>
      </c>
      <c r="H294" t="inlineStr">
        <is>
          <t>AM</t>
        </is>
      </c>
      <c r="I294" t="inlineStr">
        <is>
          <t>Hilton Head, SC</t>
        </is>
      </c>
      <c r="J294" t="inlineStr">
        <is>
          <t>South</t>
        </is>
      </c>
      <c r="K294" t="n">
        <v>18</v>
      </c>
      <c r="L294" t="inlineStr">
        <is>
          <t>Full</t>
        </is>
      </c>
      <c r="M294" t="inlineStr">
        <is>
          <t>Atlantic Dunes</t>
        </is>
      </c>
      <c r="N294" t="inlineStr">
        <is>
          <t>Blue</t>
        </is>
      </c>
      <c r="O294" t="n">
        <v>72.2</v>
      </c>
      <c r="P294" t="n">
        <v>138</v>
      </c>
      <c r="Q294" t="n">
        <v>6522</v>
      </c>
      <c r="R294" t="inlineStr">
        <is>
          <t>Match Play</t>
        </is>
      </c>
      <c r="S294" t="inlineStr">
        <is>
          <t>Singles</t>
        </is>
      </c>
      <c r="T294" t="inlineStr">
        <is>
          <t>Under 6'</t>
        </is>
      </c>
      <c r="U294" t="inlineStr">
        <is>
          <t>Poirier</t>
        </is>
      </c>
      <c r="V294" t="inlineStr">
        <is>
          <t>Cole</t>
        </is>
      </c>
      <c r="W294" t="inlineStr">
        <is>
          <t>White</t>
        </is>
      </c>
      <c r="AA294" t="n">
        <v>2</v>
      </c>
      <c r="AB294" t="inlineStr">
        <is>
          <t>L</t>
        </is>
      </c>
      <c r="AC294" t="inlineStr">
        <is>
          <t>3&amp;2</t>
        </is>
      </c>
      <c r="AD294" t="inlineStr">
        <is>
          <t>Forster</t>
        </is>
      </c>
      <c r="AE294">
        <f>$V294&amp;$Y294</f>
        <v/>
      </c>
      <c r="AF294" t="n">
        <v>0</v>
      </c>
      <c r="AG294" t="n">
        <v>0</v>
      </c>
      <c r="AH294" t="n">
        <v>1</v>
      </c>
      <c r="AI294" t="n">
        <v>0</v>
      </c>
      <c r="AJ294" t="n">
        <v>0</v>
      </c>
      <c r="AK294" t="inlineStr">
        <is>
          <t>Forster</t>
        </is>
      </c>
      <c r="AL294" t="n">
        <v>0.596491228070175</v>
      </c>
    </row>
    <row r="295" ht="15" customHeight="1" s="2">
      <c r="B295" t="n">
        <v>25</v>
      </c>
      <c r="C295" t="n">
        <v>10</v>
      </c>
      <c r="D295" t="n">
        <v>5</v>
      </c>
      <c r="E295" t="inlineStr">
        <is>
          <t>FBC5-S-Connors-Mangold</t>
        </is>
      </c>
      <c r="F295" t="inlineStr">
        <is>
          <t>Saturday</t>
        </is>
      </c>
      <c r="G295" s="27" t="n">
        <v>42938</v>
      </c>
      <c r="H295" t="inlineStr">
        <is>
          <t>AM</t>
        </is>
      </c>
      <c r="I295" t="inlineStr">
        <is>
          <t>Hilton Head, SC</t>
        </is>
      </c>
      <c r="J295" t="inlineStr">
        <is>
          <t>South</t>
        </is>
      </c>
      <c r="K295" t="n">
        <v>18</v>
      </c>
      <c r="L295" t="inlineStr">
        <is>
          <t>Full</t>
        </is>
      </c>
      <c r="M295" t="inlineStr">
        <is>
          <t>Atlantic Dunes</t>
        </is>
      </c>
      <c r="N295" t="inlineStr">
        <is>
          <t>Blue</t>
        </is>
      </c>
      <c r="O295" t="n">
        <v>72.2</v>
      </c>
      <c r="P295" t="n">
        <v>138</v>
      </c>
      <c r="Q295" t="n">
        <v>6522</v>
      </c>
      <c r="R295" t="inlineStr">
        <is>
          <t>Match Play</t>
        </is>
      </c>
      <c r="S295" t="inlineStr">
        <is>
          <t>Singles</t>
        </is>
      </c>
      <c r="T295" t="inlineStr">
        <is>
          <t>Under 6'</t>
        </is>
      </c>
      <c r="U295" t="inlineStr">
        <is>
          <t>Poirier</t>
        </is>
      </c>
      <c r="V295" t="inlineStr">
        <is>
          <t>Connors</t>
        </is>
      </c>
      <c r="W295" t="inlineStr">
        <is>
          <t>White</t>
        </is>
      </c>
      <c r="AA295" t="n">
        <v>2</v>
      </c>
      <c r="AB295" t="inlineStr">
        <is>
          <t>L</t>
        </is>
      </c>
      <c r="AC295" t="inlineStr">
        <is>
          <t>5&amp;4</t>
        </is>
      </c>
      <c r="AD295" t="inlineStr">
        <is>
          <t>Mangold</t>
        </is>
      </c>
      <c r="AE295">
        <f>$V295&amp;$Y295</f>
        <v/>
      </c>
      <c r="AF295" t="n">
        <v>0</v>
      </c>
      <c r="AG295" t="n">
        <v>0</v>
      </c>
      <c r="AH295" t="n">
        <v>1</v>
      </c>
      <c r="AI295" t="n">
        <v>0</v>
      </c>
      <c r="AJ295" t="n">
        <v>0</v>
      </c>
      <c r="AK295" t="inlineStr">
        <is>
          <t>Mangold</t>
        </is>
      </c>
      <c r="AL295" t="n">
        <v>0.383928571428572</v>
      </c>
    </row>
    <row r="296" ht="15" customHeight="1" s="2">
      <c r="B296" t="n">
        <v>26</v>
      </c>
      <c r="C296" t="n">
        <v>1</v>
      </c>
      <c r="D296" t="n">
        <v>5</v>
      </c>
      <c r="E296" t="inlineStr">
        <is>
          <t>FBC5-S-Grise-Poirier</t>
        </is>
      </c>
      <c r="F296" t="inlineStr">
        <is>
          <t>Saturday</t>
        </is>
      </c>
      <c r="G296" s="27" t="n">
        <v>42938</v>
      </c>
      <c r="H296" t="inlineStr">
        <is>
          <t>AM</t>
        </is>
      </c>
      <c r="I296" t="inlineStr">
        <is>
          <t>Hilton Head, SC</t>
        </is>
      </c>
      <c r="J296" t="inlineStr">
        <is>
          <t>South</t>
        </is>
      </c>
      <c r="K296" t="n">
        <v>18</v>
      </c>
      <c r="L296" t="inlineStr">
        <is>
          <t>Full</t>
        </is>
      </c>
      <c r="M296" t="inlineStr">
        <is>
          <t>Atlantic Dunes</t>
        </is>
      </c>
      <c r="N296" t="inlineStr">
        <is>
          <t>Blue</t>
        </is>
      </c>
      <c r="O296" t="n">
        <v>72.2</v>
      </c>
      <c r="P296" t="n">
        <v>138</v>
      </c>
      <c r="Q296" t="n">
        <v>6522</v>
      </c>
      <c r="R296" t="inlineStr">
        <is>
          <t>Match Play</t>
        </is>
      </c>
      <c r="S296" t="inlineStr">
        <is>
          <t>Singles</t>
        </is>
      </c>
      <c r="T296" t="inlineStr">
        <is>
          <t>Over 6'</t>
        </is>
      </c>
      <c r="U296" t="inlineStr">
        <is>
          <t>Forster</t>
        </is>
      </c>
      <c r="V296" t="inlineStr">
        <is>
          <t>Grise</t>
        </is>
      </c>
      <c r="W296" t="inlineStr">
        <is>
          <t>Blue</t>
        </is>
      </c>
      <c r="AA296" t="n">
        <v>2</v>
      </c>
      <c r="AB296" t="inlineStr">
        <is>
          <t>L</t>
        </is>
      </c>
      <c r="AC296" t="inlineStr">
        <is>
          <t>4&amp;3</t>
        </is>
      </c>
      <c r="AD296" t="inlineStr">
        <is>
          <t>Poirier</t>
        </is>
      </c>
      <c r="AE296">
        <f>$V296&amp;$Y296</f>
        <v/>
      </c>
      <c r="AF296" t="n">
        <v>0</v>
      </c>
      <c r="AG296" t="n">
        <v>0</v>
      </c>
      <c r="AH296" t="n">
        <v>1</v>
      </c>
      <c r="AI296" t="n">
        <v>0</v>
      </c>
      <c r="AJ296" t="n">
        <v>0</v>
      </c>
      <c r="AK296" t="inlineStr">
        <is>
          <t>Poirier</t>
        </is>
      </c>
      <c r="AL296" t="n">
        <v>0.486111111111111</v>
      </c>
    </row>
    <row r="297" ht="15" customHeight="1" s="2">
      <c r="B297" t="n">
        <v>26</v>
      </c>
      <c r="C297" t="n">
        <v>2</v>
      </c>
      <c r="D297" t="n">
        <v>5</v>
      </c>
      <c r="E297" t="inlineStr">
        <is>
          <t>FBC5-S-Flanders-McInerney</t>
        </is>
      </c>
      <c r="F297" t="inlineStr">
        <is>
          <t>Saturday</t>
        </is>
      </c>
      <c r="G297" s="27" t="n">
        <v>42938</v>
      </c>
      <c r="H297" t="inlineStr">
        <is>
          <t>AM</t>
        </is>
      </c>
      <c r="I297" t="inlineStr">
        <is>
          <t>Hilton Head, SC</t>
        </is>
      </c>
      <c r="J297" t="inlineStr">
        <is>
          <t>South</t>
        </is>
      </c>
      <c r="K297" t="n">
        <v>18</v>
      </c>
      <c r="L297" t="inlineStr">
        <is>
          <t>Full</t>
        </is>
      </c>
      <c r="M297" t="inlineStr">
        <is>
          <t>Atlantic Dunes</t>
        </is>
      </c>
      <c r="N297" t="inlineStr">
        <is>
          <t>Blue</t>
        </is>
      </c>
      <c r="O297" t="n">
        <v>72.2</v>
      </c>
      <c r="P297" t="n">
        <v>138</v>
      </c>
      <c r="Q297" t="n">
        <v>6522</v>
      </c>
      <c r="R297" t="inlineStr">
        <is>
          <t>Match Play</t>
        </is>
      </c>
      <c r="S297" t="inlineStr">
        <is>
          <t>Singles</t>
        </is>
      </c>
      <c r="T297" t="inlineStr">
        <is>
          <t>Over 6'</t>
        </is>
      </c>
      <c r="U297" t="inlineStr">
        <is>
          <t>Forster</t>
        </is>
      </c>
      <c r="V297" t="inlineStr">
        <is>
          <t>McInerney</t>
        </is>
      </c>
      <c r="W297" t="inlineStr">
        <is>
          <t>Blue</t>
        </is>
      </c>
      <c r="AA297" t="n">
        <v>2</v>
      </c>
      <c r="AB297" t="inlineStr">
        <is>
          <t>W</t>
        </is>
      </c>
      <c r="AC297" t="inlineStr">
        <is>
          <t>1Up</t>
        </is>
      </c>
      <c r="AD297" t="inlineStr">
        <is>
          <t>Flanders</t>
        </is>
      </c>
      <c r="AE297">
        <f>$V297&amp;$Y297</f>
        <v/>
      </c>
      <c r="AF297" t="n">
        <v>2</v>
      </c>
      <c r="AG297" t="n">
        <v>1</v>
      </c>
      <c r="AH297" t="n">
        <v>0</v>
      </c>
      <c r="AI297" t="n">
        <v>0</v>
      </c>
      <c r="AJ297" t="n">
        <v>1</v>
      </c>
      <c r="AK297" t="inlineStr">
        <is>
          <t>Flanders</t>
        </is>
      </c>
      <c r="AL297" t="n">
        <v>0.4296875</v>
      </c>
    </row>
    <row r="298" ht="15" customHeight="1" s="2">
      <c r="B298" t="n">
        <v>27</v>
      </c>
      <c r="C298" t="n">
        <v>3</v>
      </c>
      <c r="D298" t="n">
        <v>5</v>
      </c>
      <c r="E298" t="inlineStr">
        <is>
          <t>FBC5-S-Gray-Zimmer</t>
        </is>
      </c>
      <c r="F298" t="inlineStr">
        <is>
          <t>Saturday</t>
        </is>
      </c>
      <c r="G298" s="27" t="n">
        <v>42938</v>
      </c>
      <c r="H298" t="inlineStr">
        <is>
          <t>AM</t>
        </is>
      </c>
      <c r="I298" t="inlineStr">
        <is>
          <t>Hilton Head, SC</t>
        </is>
      </c>
      <c r="J298" t="inlineStr">
        <is>
          <t>South</t>
        </is>
      </c>
      <c r="K298" t="n">
        <v>18</v>
      </c>
      <c r="L298" t="inlineStr">
        <is>
          <t>Full</t>
        </is>
      </c>
      <c r="M298" t="inlineStr">
        <is>
          <t>Atlantic Dunes</t>
        </is>
      </c>
      <c r="N298" t="inlineStr">
        <is>
          <t>Blue</t>
        </is>
      </c>
      <c r="O298" t="n">
        <v>72.2</v>
      </c>
      <c r="P298" t="n">
        <v>138</v>
      </c>
      <c r="Q298" t="n">
        <v>6522</v>
      </c>
      <c r="R298" t="inlineStr">
        <is>
          <t>Match Play</t>
        </is>
      </c>
      <c r="S298" t="inlineStr">
        <is>
          <t>Singles</t>
        </is>
      </c>
      <c r="T298" t="inlineStr">
        <is>
          <t>Over 6'</t>
        </is>
      </c>
      <c r="U298" t="inlineStr">
        <is>
          <t>Forster</t>
        </is>
      </c>
      <c r="V298" t="inlineStr">
        <is>
          <t>Zimmer</t>
        </is>
      </c>
      <c r="W298" t="inlineStr">
        <is>
          <t>Blue</t>
        </is>
      </c>
      <c r="AA298" t="n">
        <v>2</v>
      </c>
      <c r="AB298" t="inlineStr">
        <is>
          <t>T</t>
        </is>
      </c>
      <c r="AC298" t="inlineStr">
        <is>
          <t>Halved</t>
        </is>
      </c>
      <c r="AD298" t="inlineStr">
        <is>
          <t>Gray</t>
        </is>
      </c>
      <c r="AE298">
        <f>$V298&amp;$Y298</f>
        <v/>
      </c>
      <c r="AF298" t="n">
        <v>1</v>
      </c>
      <c r="AG298" t="n">
        <v>0</v>
      </c>
      <c r="AH298" t="n">
        <v>0</v>
      </c>
      <c r="AI298" t="n">
        <v>1</v>
      </c>
      <c r="AJ298" t="n">
        <v>0.5</v>
      </c>
      <c r="AK298" t="inlineStr">
        <is>
          <t>Gray</t>
        </is>
      </c>
      <c r="AL298" t="n">
        <v>0.654761904761905</v>
      </c>
    </row>
    <row r="299" ht="15" customHeight="1" s="2">
      <c r="B299" t="n">
        <v>27</v>
      </c>
      <c r="C299" t="n">
        <v>4</v>
      </c>
      <c r="D299" t="n">
        <v>5</v>
      </c>
      <c r="E299" t="inlineStr">
        <is>
          <t>FBC5-S-Connolly-Welker</t>
        </is>
      </c>
      <c r="F299" t="inlineStr">
        <is>
          <t>Saturday</t>
        </is>
      </c>
      <c r="G299" s="27" t="n">
        <v>42938</v>
      </c>
      <c r="H299" t="inlineStr">
        <is>
          <t>AM</t>
        </is>
      </c>
      <c r="I299" t="inlineStr">
        <is>
          <t>Hilton Head, SC</t>
        </is>
      </c>
      <c r="J299" t="inlineStr">
        <is>
          <t>South</t>
        </is>
      </c>
      <c r="K299" t="n">
        <v>18</v>
      </c>
      <c r="L299" t="inlineStr">
        <is>
          <t>Full</t>
        </is>
      </c>
      <c r="M299" t="inlineStr">
        <is>
          <t>Atlantic Dunes</t>
        </is>
      </c>
      <c r="N299" t="inlineStr">
        <is>
          <t>Blue</t>
        </is>
      </c>
      <c r="O299" t="n">
        <v>72.2</v>
      </c>
      <c r="P299" t="n">
        <v>138</v>
      </c>
      <c r="Q299" t="n">
        <v>6522</v>
      </c>
      <c r="R299" t="inlineStr">
        <is>
          <t>Match Play</t>
        </is>
      </c>
      <c r="S299" t="inlineStr">
        <is>
          <t>Singles</t>
        </is>
      </c>
      <c r="T299" t="inlineStr">
        <is>
          <t>Over 6'</t>
        </is>
      </c>
      <c r="U299" t="inlineStr">
        <is>
          <t>Forster</t>
        </is>
      </c>
      <c r="V299" t="inlineStr">
        <is>
          <t>Connolly</t>
        </is>
      </c>
      <c r="W299" t="inlineStr">
        <is>
          <t>Blue</t>
        </is>
      </c>
      <c r="AA299" t="n">
        <v>2</v>
      </c>
      <c r="AB299" t="inlineStr">
        <is>
          <t>W</t>
        </is>
      </c>
      <c r="AC299" t="inlineStr">
        <is>
          <t>3&amp;2</t>
        </is>
      </c>
      <c r="AD299" t="inlineStr">
        <is>
          <t>Welker</t>
        </is>
      </c>
      <c r="AE299">
        <f>$V299&amp;$Y299</f>
        <v/>
      </c>
      <c r="AF299" t="n">
        <v>2</v>
      </c>
      <c r="AG299" t="n">
        <v>1</v>
      </c>
      <c r="AH299" t="n">
        <v>0</v>
      </c>
      <c r="AI299" t="n">
        <v>0</v>
      </c>
      <c r="AJ299" t="n">
        <v>1</v>
      </c>
      <c r="AK299" t="inlineStr">
        <is>
          <t>Welker</t>
        </is>
      </c>
      <c r="AL299" t="n">
        <v>0.510416666666667</v>
      </c>
    </row>
    <row r="300" ht="15" customHeight="1" s="2">
      <c r="B300" t="n">
        <v>28</v>
      </c>
      <c r="C300" t="n">
        <v>5</v>
      </c>
      <c r="D300" t="n">
        <v>5</v>
      </c>
      <c r="E300" t="inlineStr">
        <is>
          <t>FBC5-S-Delaney-Hilts</t>
        </is>
      </c>
      <c r="F300" t="inlineStr">
        <is>
          <t>Saturday</t>
        </is>
      </c>
      <c r="G300" s="27" t="n">
        <v>42938</v>
      </c>
      <c r="H300" t="inlineStr">
        <is>
          <t>AM</t>
        </is>
      </c>
      <c r="I300" t="inlineStr">
        <is>
          <t>Hilton Head, SC</t>
        </is>
      </c>
      <c r="J300" t="inlineStr">
        <is>
          <t>South</t>
        </is>
      </c>
      <c r="K300" t="n">
        <v>18</v>
      </c>
      <c r="L300" t="inlineStr">
        <is>
          <t>Full</t>
        </is>
      </c>
      <c r="M300" t="inlineStr">
        <is>
          <t>Atlantic Dunes</t>
        </is>
      </c>
      <c r="N300" t="inlineStr">
        <is>
          <t>Blue</t>
        </is>
      </c>
      <c r="O300" t="n">
        <v>72.2</v>
      </c>
      <c r="P300" t="n">
        <v>138</v>
      </c>
      <c r="Q300" t="n">
        <v>6522</v>
      </c>
      <c r="R300" t="inlineStr">
        <is>
          <t>Match Play</t>
        </is>
      </c>
      <c r="S300" t="inlineStr">
        <is>
          <t>Singles</t>
        </is>
      </c>
      <c r="T300" t="inlineStr">
        <is>
          <t>Over 6'</t>
        </is>
      </c>
      <c r="U300" t="inlineStr">
        <is>
          <t>Forster</t>
        </is>
      </c>
      <c r="V300" t="inlineStr">
        <is>
          <t>Delaney</t>
        </is>
      </c>
      <c r="W300" t="inlineStr">
        <is>
          <t>Blue</t>
        </is>
      </c>
      <c r="AA300" t="n">
        <v>2</v>
      </c>
      <c r="AB300" t="inlineStr">
        <is>
          <t>L</t>
        </is>
      </c>
      <c r="AC300" t="inlineStr">
        <is>
          <t>1Up</t>
        </is>
      </c>
      <c r="AD300" t="inlineStr">
        <is>
          <t>Hilts</t>
        </is>
      </c>
      <c r="AE300">
        <f>$V300&amp;$Y300</f>
        <v/>
      </c>
      <c r="AF300" t="n">
        <v>0</v>
      </c>
      <c r="AG300" t="n">
        <v>0</v>
      </c>
      <c r="AH300" t="n">
        <v>1</v>
      </c>
      <c r="AI300" t="n">
        <v>0</v>
      </c>
      <c r="AJ300" t="n">
        <v>0</v>
      </c>
      <c r="AK300" t="inlineStr">
        <is>
          <t>Hilts</t>
        </is>
      </c>
      <c r="AL300" t="n">
        <v>0.473214285714286</v>
      </c>
    </row>
    <row r="301" ht="15" customHeight="1" s="2">
      <c r="B301" t="n">
        <v>28</v>
      </c>
      <c r="C301" t="n">
        <v>6</v>
      </c>
      <c r="D301" t="n">
        <v>5</v>
      </c>
      <c r="E301" t="inlineStr">
        <is>
          <t>FBC5-S-Ferrin-Shively</t>
        </is>
      </c>
      <c r="F301" t="inlineStr">
        <is>
          <t>Saturday</t>
        </is>
      </c>
      <c r="G301" s="27" t="n">
        <v>42938</v>
      </c>
      <c r="H301" t="inlineStr">
        <is>
          <t>AM</t>
        </is>
      </c>
      <c r="I301" t="inlineStr">
        <is>
          <t>Hilton Head, SC</t>
        </is>
      </c>
      <c r="J301" t="inlineStr">
        <is>
          <t>South</t>
        </is>
      </c>
      <c r="K301" t="n">
        <v>18</v>
      </c>
      <c r="L301" t="inlineStr">
        <is>
          <t>Full</t>
        </is>
      </c>
      <c r="M301" t="inlineStr">
        <is>
          <t>Atlantic Dunes</t>
        </is>
      </c>
      <c r="N301" t="inlineStr">
        <is>
          <t>Blue</t>
        </is>
      </c>
      <c r="O301" t="n">
        <v>72.2</v>
      </c>
      <c r="P301" t="n">
        <v>138</v>
      </c>
      <c r="Q301" t="n">
        <v>6522</v>
      </c>
      <c r="R301" t="inlineStr">
        <is>
          <t>Match Play</t>
        </is>
      </c>
      <c r="S301" t="inlineStr">
        <is>
          <t>Singles</t>
        </is>
      </c>
      <c r="T301" t="inlineStr">
        <is>
          <t>Over 6'</t>
        </is>
      </c>
      <c r="U301" t="inlineStr">
        <is>
          <t>Forster</t>
        </is>
      </c>
      <c r="V301" t="inlineStr">
        <is>
          <t>Shively</t>
        </is>
      </c>
      <c r="W301" t="inlineStr">
        <is>
          <t>Blue</t>
        </is>
      </c>
      <c r="AA301" t="n">
        <v>2</v>
      </c>
      <c r="AB301" t="inlineStr">
        <is>
          <t>L</t>
        </is>
      </c>
      <c r="AC301" t="inlineStr">
        <is>
          <t>4&amp;3</t>
        </is>
      </c>
      <c r="AD301" t="inlineStr">
        <is>
          <t>Ferrin</t>
        </is>
      </c>
      <c r="AE301">
        <f>$V301&amp;$Y301</f>
        <v/>
      </c>
      <c r="AF301" t="n">
        <v>0</v>
      </c>
      <c r="AG301" t="n">
        <v>0</v>
      </c>
      <c r="AH301" t="n">
        <v>1</v>
      </c>
      <c r="AI301" t="n">
        <v>0</v>
      </c>
      <c r="AJ301" t="n">
        <v>0</v>
      </c>
      <c r="AK301" t="inlineStr">
        <is>
          <t>Ferrin</t>
        </is>
      </c>
      <c r="AL301" t="n">
        <v>0.595238095238095</v>
      </c>
    </row>
    <row r="302" ht="15" customHeight="1" s="2">
      <c r="B302" t="n">
        <v>29</v>
      </c>
      <c r="C302" t="n">
        <v>7</v>
      </c>
      <c r="D302" t="n">
        <v>5</v>
      </c>
      <c r="E302" t="inlineStr">
        <is>
          <t>FBC5-S-Jackson-Lynch</t>
        </is>
      </c>
      <c r="F302" t="inlineStr">
        <is>
          <t>Saturday</t>
        </is>
      </c>
      <c r="G302" s="27" t="n">
        <v>42938</v>
      </c>
      <c r="H302" t="inlineStr">
        <is>
          <t>AM</t>
        </is>
      </c>
      <c r="I302" t="inlineStr">
        <is>
          <t>Hilton Head, SC</t>
        </is>
      </c>
      <c r="J302" t="inlineStr">
        <is>
          <t>South</t>
        </is>
      </c>
      <c r="K302" t="n">
        <v>18</v>
      </c>
      <c r="L302" t="inlineStr">
        <is>
          <t>Full</t>
        </is>
      </c>
      <c r="M302" t="inlineStr">
        <is>
          <t>Atlantic Dunes</t>
        </is>
      </c>
      <c r="N302" t="inlineStr">
        <is>
          <t>Blue</t>
        </is>
      </c>
      <c r="O302" t="n">
        <v>72.2</v>
      </c>
      <c r="P302" t="n">
        <v>138</v>
      </c>
      <c r="Q302" t="n">
        <v>6522</v>
      </c>
      <c r="R302" t="inlineStr">
        <is>
          <t>Match Play</t>
        </is>
      </c>
      <c r="S302" t="inlineStr">
        <is>
          <t>Singles</t>
        </is>
      </c>
      <c r="T302" t="inlineStr">
        <is>
          <t>Over 6'</t>
        </is>
      </c>
      <c r="U302" t="inlineStr">
        <is>
          <t>Forster</t>
        </is>
      </c>
      <c r="V302" t="inlineStr">
        <is>
          <t>Lynch</t>
        </is>
      </c>
      <c r="W302" t="inlineStr">
        <is>
          <t>Blue</t>
        </is>
      </c>
      <c r="AA302" t="n">
        <v>2</v>
      </c>
      <c r="AB302" t="inlineStr">
        <is>
          <t>L</t>
        </is>
      </c>
      <c r="AC302" t="inlineStr">
        <is>
          <t>1Up</t>
        </is>
      </c>
      <c r="AD302" t="inlineStr">
        <is>
          <t>Jackson</t>
        </is>
      </c>
      <c r="AE302">
        <f>$V302&amp;$Y302</f>
        <v/>
      </c>
      <c r="AF302" t="n">
        <v>0</v>
      </c>
      <c r="AG302" t="n">
        <v>0</v>
      </c>
      <c r="AH302" t="n">
        <v>1</v>
      </c>
      <c r="AI302" t="n">
        <v>0</v>
      </c>
      <c r="AJ302" t="n">
        <v>0</v>
      </c>
      <c r="AK302" t="inlineStr">
        <is>
          <t>Jackson</t>
        </is>
      </c>
      <c r="AL302" t="n">
        <v>0.6171875</v>
      </c>
    </row>
    <row r="303" ht="15" customHeight="1" s="2">
      <c r="B303" t="n">
        <v>29</v>
      </c>
      <c r="C303" t="n">
        <v>8</v>
      </c>
      <c r="D303" t="n">
        <v>5</v>
      </c>
      <c r="E303" t="inlineStr">
        <is>
          <t>FBC5-S-Fogan-Norat</t>
        </is>
      </c>
      <c r="F303" t="inlineStr">
        <is>
          <t>Saturday</t>
        </is>
      </c>
      <c r="G303" s="27" t="n">
        <v>42938</v>
      </c>
      <c r="H303" t="inlineStr">
        <is>
          <t>AM</t>
        </is>
      </c>
      <c r="I303" t="inlineStr">
        <is>
          <t>Hilton Head, SC</t>
        </is>
      </c>
      <c r="J303" t="inlineStr">
        <is>
          <t>South</t>
        </is>
      </c>
      <c r="K303" t="n">
        <v>18</v>
      </c>
      <c r="L303" t="inlineStr">
        <is>
          <t>Full</t>
        </is>
      </c>
      <c r="M303" t="inlineStr">
        <is>
          <t>Atlantic Dunes</t>
        </is>
      </c>
      <c r="N303" t="inlineStr">
        <is>
          <t>Blue</t>
        </is>
      </c>
      <c r="O303" t="n">
        <v>72.2</v>
      </c>
      <c r="P303" t="n">
        <v>138</v>
      </c>
      <c r="Q303" t="n">
        <v>6522</v>
      </c>
      <c r="R303" t="inlineStr">
        <is>
          <t>Match Play</t>
        </is>
      </c>
      <c r="S303" t="inlineStr">
        <is>
          <t>Singles</t>
        </is>
      </c>
      <c r="T303" t="inlineStr">
        <is>
          <t>Over 6'</t>
        </is>
      </c>
      <c r="U303" t="inlineStr">
        <is>
          <t>Forster</t>
        </is>
      </c>
      <c r="V303" t="inlineStr">
        <is>
          <t>Norat</t>
        </is>
      </c>
      <c r="W303" t="inlineStr">
        <is>
          <t>Blue</t>
        </is>
      </c>
      <c r="AA303" t="n">
        <v>2</v>
      </c>
      <c r="AB303" t="inlineStr">
        <is>
          <t>W</t>
        </is>
      </c>
      <c r="AC303" t="inlineStr">
        <is>
          <t>2Up</t>
        </is>
      </c>
      <c r="AD303" t="inlineStr">
        <is>
          <t>Fogan</t>
        </is>
      </c>
      <c r="AE303">
        <f>$V303&amp;$Y303</f>
        <v/>
      </c>
      <c r="AF303" t="n">
        <v>2</v>
      </c>
      <c r="AG303" t="n">
        <v>1</v>
      </c>
      <c r="AH303" t="n">
        <v>0</v>
      </c>
      <c r="AI303" t="n">
        <v>0</v>
      </c>
      <c r="AJ303" t="n">
        <v>1</v>
      </c>
      <c r="AK303" t="inlineStr">
        <is>
          <t>Fogan</t>
        </is>
      </c>
      <c r="AL303" t="n">
        <v>0.372881355932203</v>
      </c>
    </row>
    <row r="304" ht="15" customHeight="1" s="2">
      <c r="B304" t="n">
        <v>30</v>
      </c>
      <c r="C304" t="n">
        <v>9</v>
      </c>
      <c r="D304" t="n">
        <v>5</v>
      </c>
      <c r="E304" t="inlineStr">
        <is>
          <t>FBC5-S-Cole-Forster</t>
        </is>
      </c>
      <c r="F304" t="inlineStr">
        <is>
          <t>Saturday</t>
        </is>
      </c>
      <c r="G304" s="27" t="n">
        <v>42938</v>
      </c>
      <c r="H304" t="inlineStr">
        <is>
          <t>AM</t>
        </is>
      </c>
      <c r="I304" t="inlineStr">
        <is>
          <t>Hilton Head, SC</t>
        </is>
      </c>
      <c r="J304" t="inlineStr">
        <is>
          <t>South</t>
        </is>
      </c>
      <c r="K304" t="n">
        <v>18</v>
      </c>
      <c r="L304" t="inlineStr">
        <is>
          <t>Full</t>
        </is>
      </c>
      <c r="M304" t="inlineStr">
        <is>
          <t>Atlantic Dunes</t>
        </is>
      </c>
      <c r="N304" t="inlineStr">
        <is>
          <t>Blue</t>
        </is>
      </c>
      <c r="O304" t="n">
        <v>72.2</v>
      </c>
      <c r="P304" t="n">
        <v>138</v>
      </c>
      <c r="Q304" t="n">
        <v>6522</v>
      </c>
      <c r="R304" t="inlineStr">
        <is>
          <t>Match Play</t>
        </is>
      </c>
      <c r="S304" t="inlineStr">
        <is>
          <t>Singles</t>
        </is>
      </c>
      <c r="T304" t="inlineStr">
        <is>
          <t>Over 6'</t>
        </is>
      </c>
      <c r="U304" t="inlineStr">
        <is>
          <t>Forster</t>
        </is>
      </c>
      <c r="V304" t="inlineStr">
        <is>
          <t>Forster</t>
        </is>
      </c>
      <c r="W304" t="inlineStr">
        <is>
          <t>Blue</t>
        </is>
      </c>
      <c r="AA304" t="n">
        <v>2</v>
      </c>
      <c r="AB304" t="inlineStr">
        <is>
          <t>W</t>
        </is>
      </c>
      <c r="AC304" t="inlineStr">
        <is>
          <t>3&amp;2</t>
        </is>
      </c>
      <c r="AD304" t="inlineStr">
        <is>
          <t>Cole</t>
        </is>
      </c>
      <c r="AE304">
        <f>$V304&amp;$Y304</f>
        <v/>
      </c>
      <c r="AF304" t="n">
        <v>2</v>
      </c>
      <c r="AG304" t="n">
        <v>1</v>
      </c>
      <c r="AH304" t="n">
        <v>0</v>
      </c>
      <c r="AI304" t="n">
        <v>0</v>
      </c>
      <c r="AJ304" t="n">
        <v>1</v>
      </c>
      <c r="AK304" t="inlineStr">
        <is>
          <t>Cole</t>
        </is>
      </c>
      <c r="AL304" t="n">
        <v>0.440677966101695</v>
      </c>
    </row>
    <row r="305" ht="15" customHeight="1" s="2">
      <c r="B305" t="n">
        <v>30</v>
      </c>
      <c r="C305" t="n">
        <v>10</v>
      </c>
      <c r="D305" t="n">
        <v>5</v>
      </c>
      <c r="E305" t="inlineStr">
        <is>
          <t>FBC5-S-Connors-Mangold</t>
        </is>
      </c>
      <c r="F305" t="inlineStr">
        <is>
          <t>Saturday</t>
        </is>
      </c>
      <c r="G305" s="27" t="n">
        <v>42938</v>
      </c>
      <c r="H305" t="inlineStr">
        <is>
          <t>AM</t>
        </is>
      </c>
      <c r="I305" t="inlineStr">
        <is>
          <t>Hilton Head, SC</t>
        </is>
      </c>
      <c r="J305" t="inlineStr">
        <is>
          <t>South</t>
        </is>
      </c>
      <c r="K305" t="n">
        <v>18</v>
      </c>
      <c r="L305" t="inlineStr">
        <is>
          <t>Full</t>
        </is>
      </c>
      <c r="M305" t="inlineStr">
        <is>
          <t>Atlantic Dunes</t>
        </is>
      </c>
      <c r="N305" t="inlineStr">
        <is>
          <t>Blue</t>
        </is>
      </c>
      <c r="O305" t="n">
        <v>72.2</v>
      </c>
      <c r="P305" t="n">
        <v>138</v>
      </c>
      <c r="Q305" t="n">
        <v>6522</v>
      </c>
      <c r="R305" t="inlineStr">
        <is>
          <t>Match Play</t>
        </is>
      </c>
      <c r="S305" t="inlineStr">
        <is>
          <t>Singles</t>
        </is>
      </c>
      <c r="T305" t="inlineStr">
        <is>
          <t>Over 6'</t>
        </is>
      </c>
      <c r="U305" t="inlineStr">
        <is>
          <t>Forster</t>
        </is>
      </c>
      <c r="V305" t="inlineStr">
        <is>
          <t>Mangold</t>
        </is>
      </c>
      <c r="W305" t="inlineStr">
        <is>
          <t>Blue</t>
        </is>
      </c>
      <c r="AA305" t="n">
        <v>2</v>
      </c>
      <c r="AB305" t="inlineStr">
        <is>
          <t>W</t>
        </is>
      </c>
      <c r="AC305" t="inlineStr">
        <is>
          <t>5&amp;4</t>
        </is>
      </c>
      <c r="AD305" t="inlineStr">
        <is>
          <t>Connors</t>
        </is>
      </c>
      <c r="AE305">
        <f>$V305&amp;$Y305</f>
        <v/>
      </c>
      <c r="AF305" t="n">
        <v>2</v>
      </c>
      <c r="AG305" t="n">
        <v>1</v>
      </c>
      <c r="AH305" t="n">
        <v>0</v>
      </c>
      <c r="AI305" t="n">
        <v>0</v>
      </c>
      <c r="AJ305" t="n">
        <v>1</v>
      </c>
      <c r="AK305" t="inlineStr">
        <is>
          <t>Connors</t>
        </is>
      </c>
      <c r="AL305" t="n">
        <v>0.347457627118644</v>
      </c>
    </row>
    <row r="306" ht="15" customHeight="1" s="2">
      <c r="B306" t="n">
        <v>1</v>
      </c>
      <c r="C306" t="n">
        <v>1</v>
      </c>
      <c r="D306" t="n">
        <v>6</v>
      </c>
      <c r="E306" t="inlineStr">
        <is>
          <t>FBC6-D1</t>
        </is>
      </c>
      <c r="F306" t="inlineStr">
        <is>
          <t>Friday</t>
        </is>
      </c>
      <c r="G306" s="27" t="n">
        <v>43308</v>
      </c>
      <c r="H306" t="inlineStr">
        <is>
          <t>AM</t>
        </is>
      </c>
      <c r="I306" t="inlineStr">
        <is>
          <t>Arcadia, MI</t>
        </is>
      </c>
      <c r="J306" t="inlineStr">
        <is>
          <t>Midwest</t>
        </is>
      </c>
      <c r="K306" t="n">
        <v>9</v>
      </c>
      <c r="L306" t="inlineStr">
        <is>
          <t>Front</t>
        </is>
      </c>
      <c r="M306" t="inlineStr">
        <is>
          <t>Bluffs</t>
        </is>
      </c>
      <c r="N306" t="inlineStr">
        <is>
          <t>White</t>
        </is>
      </c>
      <c r="O306" t="n">
        <v>70.5</v>
      </c>
      <c r="P306" t="n">
        <v>134</v>
      </c>
      <c r="Q306" t="n">
        <v>6389</v>
      </c>
      <c r="R306" t="inlineStr">
        <is>
          <t>Best Ball</t>
        </is>
      </c>
      <c r="S306" t="inlineStr">
        <is>
          <t>Doubles</t>
        </is>
      </c>
      <c r="T306" t="inlineStr">
        <is>
          <t>Over 6'</t>
        </is>
      </c>
      <c r="U306" t="inlineStr">
        <is>
          <t>Fogan</t>
        </is>
      </c>
      <c r="V306" t="inlineStr">
        <is>
          <t>Gray</t>
        </is>
      </c>
      <c r="W306" t="inlineStr">
        <is>
          <t>White</t>
        </is>
      </c>
      <c r="Y306" t="inlineStr">
        <is>
          <t>Hilts</t>
        </is>
      </c>
      <c r="AA306" t="n">
        <v>1</v>
      </c>
      <c r="AB306" t="inlineStr">
        <is>
          <t>W</t>
        </is>
      </c>
      <c r="AC306" t="inlineStr">
        <is>
          <t>2&amp;1</t>
        </is>
      </c>
      <c r="AE306">
        <f>$V306&amp;$Y306</f>
        <v/>
      </c>
      <c r="AF306" t="n">
        <v>1</v>
      </c>
      <c r="AG306" t="n">
        <v>1</v>
      </c>
      <c r="AH306" t="n">
        <v>0</v>
      </c>
      <c r="AI306" t="n">
        <v>0</v>
      </c>
      <c r="AJ306" t="n">
        <v>1</v>
      </c>
      <c r="AK306" t="inlineStr">
        <is>
          <t>Flanders</t>
        </is>
      </c>
      <c r="AL306" t="n">
        <v>0.4296875</v>
      </c>
      <c r="AM306" t="inlineStr">
        <is>
          <t>Forster</t>
        </is>
      </c>
      <c r="AN306" t="n">
        <v>0.596491228070175</v>
      </c>
    </row>
    <row r="307" ht="15" customHeight="1" s="2">
      <c r="B307" t="n">
        <v>1</v>
      </c>
      <c r="C307" t="n">
        <v>1</v>
      </c>
      <c r="D307" t="n">
        <v>6</v>
      </c>
      <c r="E307" t="inlineStr">
        <is>
          <t>FBC6-D1</t>
        </is>
      </c>
      <c r="F307" t="inlineStr">
        <is>
          <t>Friday</t>
        </is>
      </c>
      <c r="G307" s="27" t="n">
        <v>43308</v>
      </c>
      <c r="H307" t="inlineStr">
        <is>
          <t>AM</t>
        </is>
      </c>
      <c r="I307" t="inlineStr">
        <is>
          <t>Arcadia, MI</t>
        </is>
      </c>
      <c r="J307" t="inlineStr">
        <is>
          <t>Midwest</t>
        </is>
      </c>
      <c r="K307" t="n">
        <v>9</v>
      </c>
      <c r="L307" t="inlineStr">
        <is>
          <t>Front</t>
        </is>
      </c>
      <c r="M307" t="inlineStr">
        <is>
          <t>Bluffs</t>
        </is>
      </c>
      <c r="N307" t="inlineStr">
        <is>
          <t>White</t>
        </is>
      </c>
      <c r="O307" t="n">
        <v>70.5</v>
      </c>
      <c r="P307" t="n">
        <v>134</v>
      </c>
      <c r="Q307" t="n">
        <v>6389</v>
      </c>
      <c r="R307" t="inlineStr">
        <is>
          <t>Best Ball</t>
        </is>
      </c>
      <c r="S307" t="inlineStr">
        <is>
          <t>Doubles</t>
        </is>
      </c>
      <c r="T307" t="inlineStr">
        <is>
          <t>Under 6'</t>
        </is>
      </c>
      <c r="U307" t="inlineStr">
        <is>
          <t>Norat</t>
        </is>
      </c>
      <c r="V307" t="inlineStr">
        <is>
          <t>Flanders</t>
        </is>
      </c>
      <c r="W307" t="inlineStr">
        <is>
          <t>Pelican</t>
        </is>
      </c>
      <c r="Y307" t="inlineStr">
        <is>
          <t>Forster</t>
        </is>
      </c>
      <c r="AA307" t="n">
        <v>1</v>
      </c>
      <c r="AB307" t="inlineStr">
        <is>
          <t>L</t>
        </is>
      </c>
      <c r="AC307" t="inlineStr">
        <is>
          <t>2&amp;1</t>
        </is>
      </c>
      <c r="AE307">
        <f>$V307&amp;$Y307</f>
        <v/>
      </c>
      <c r="AF307" t="n">
        <v>0</v>
      </c>
      <c r="AG307" t="n">
        <v>0</v>
      </c>
      <c r="AH307" t="n">
        <v>1</v>
      </c>
      <c r="AI307" t="n">
        <v>0</v>
      </c>
      <c r="AJ307" t="n">
        <v>0</v>
      </c>
      <c r="AK307" t="inlineStr">
        <is>
          <t>Gray</t>
        </is>
      </c>
      <c r="AL307" t="n">
        <v>0.654761904761905</v>
      </c>
      <c r="AM307" t="inlineStr">
        <is>
          <t>Hilts</t>
        </is>
      </c>
      <c r="AN307" t="n">
        <v>0.473214285714286</v>
      </c>
    </row>
    <row r="308" ht="15" customHeight="1" s="2">
      <c r="B308" t="n">
        <v>2</v>
      </c>
      <c r="C308" t="n">
        <v>2</v>
      </c>
      <c r="D308" t="n">
        <v>6</v>
      </c>
      <c r="E308" t="inlineStr">
        <is>
          <t>FBC6-D2</t>
        </is>
      </c>
      <c r="F308" t="inlineStr">
        <is>
          <t>Friday</t>
        </is>
      </c>
      <c r="G308" s="27" t="n">
        <v>43308</v>
      </c>
      <c r="H308" t="inlineStr">
        <is>
          <t>AM</t>
        </is>
      </c>
      <c r="I308" t="inlineStr">
        <is>
          <t>Arcadia, MI</t>
        </is>
      </c>
      <c r="J308" t="inlineStr">
        <is>
          <t>Midwest</t>
        </is>
      </c>
      <c r="K308" t="n">
        <v>9</v>
      </c>
      <c r="L308" t="inlineStr">
        <is>
          <t>Front</t>
        </is>
      </c>
      <c r="M308" t="inlineStr">
        <is>
          <t>Bluffs</t>
        </is>
      </c>
      <c r="N308" t="inlineStr">
        <is>
          <t>White</t>
        </is>
      </c>
      <c r="O308" t="n">
        <v>70.5</v>
      </c>
      <c r="P308" t="n">
        <v>134</v>
      </c>
      <c r="Q308" t="n">
        <v>6389</v>
      </c>
      <c r="R308" t="inlineStr">
        <is>
          <t>Best Ball</t>
        </is>
      </c>
      <c r="S308" t="inlineStr">
        <is>
          <t>Doubles</t>
        </is>
      </c>
      <c r="T308" t="inlineStr">
        <is>
          <t>Under 6'</t>
        </is>
      </c>
      <c r="U308" t="inlineStr">
        <is>
          <t>Norat</t>
        </is>
      </c>
      <c r="V308" t="inlineStr">
        <is>
          <t>Cole</t>
        </is>
      </c>
      <c r="W308" t="inlineStr">
        <is>
          <t>Pelican</t>
        </is>
      </c>
      <c r="Y308" t="inlineStr">
        <is>
          <t>Ferrin</t>
        </is>
      </c>
      <c r="AA308" t="n">
        <v>1</v>
      </c>
      <c r="AB308" t="inlineStr">
        <is>
          <t>W</t>
        </is>
      </c>
      <c r="AC308" t="inlineStr">
        <is>
          <t>2&amp;1</t>
        </is>
      </c>
      <c r="AE308">
        <f>$V308&amp;$Y308</f>
        <v/>
      </c>
      <c r="AF308" t="n">
        <v>1</v>
      </c>
      <c r="AG308" t="n">
        <v>1</v>
      </c>
      <c r="AH308" t="n">
        <v>0</v>
      </c>
      <c r="AI308" t="n">
        <v>0</v>
      </c>
      <c r="AJ308" t="n">
        <v>1</v>
      </c>
      <c r="AK308" t="inlineStr">
        <is>
          <t>Fogan</t>
        </is>
      </c>
      <c r="AL308" t="n">
        <v>0.372881355932203</v>
      </c>
      <c r="AM308" t="inlineStr">
        <is>
          <t>Lynch</t>
        </is>
      </c>
      <c r="AN308" t="n">
        <v>0.5546875</v>
      </c>
    </row>
    <row r="309" ht="15" customHeight="1" s="2">
      <c r="B309" t="n">
        <v>2</v>
      </c>
      <c r="C309" t="n">
        <v>2</v>
      </c>
      <c r="D309" t="n">
        <v>6</v>
      </c>
      <c r="E309" t="inlineStr">
        <is>
          <t>FBC6-D2</t>
        </is>
      </c>
      <c r="F309" t="inlineStr">
        <is>
          <t>Friday</t>
        </is>
      </c>
      <c r="G309" s="27" t="n">
        <v>43308</v>
      </c>
      <c r="H309" t="inlineStr">
        <is>
          <t>AM</t>
        </is>
      </c>
      <c r="I309" t="inlineStr">
        <is>
          <t>Arcadia, MI</t>
        </is>
      </c>
      <c r="J309" t="inlineStr">
        <is>
          <t>Midwest</t>
        </is>
      </c>
      <c r="K309" t="n">
        <v>9</v>
      </c>
      <c r="L309" t="inlineStr">
        <is>
          <t>Front</t>
        </is>
      </c>
      <c r="M309" t="inlineStr">
        <is>
          <t>Bluffs</t>
        </is>
      </c>
      <c r="N309" t="inlineStr">
        <is>
          <t>White</t>
        </is>
      </c>
      <c r="O309" t="n">
        <v>70.5</v>
      </c>
      <c r="P309" t="n">
        <v>134</v>
      </c>
      <c r="Q309" t="n">
        <v>6389</v>
      </c>
      <c r="R309" t="inlineStr">
        <is>
          <t>Best Ball</t>
        </is>
      </c>
      <c r="S309" t="inlineStr">
        <is>
          <t>Doubles</t>
        </is>
      </c>
      <c r="T309" t="inlineStr">
        <is>
          <t>Over 6'</t>
        </is>
      </c>
      <c r="U309" t="inlineStr">
        <is>
          <t>Fogan</t>
        </is>
      </c>
      <c r="V309" t="inlineStr">
        <is>
          <t>Fogan</t>
        </is>
      </c>
      <c r="W309" t="inlineStr">
        <is>
          <t>White</t>
        </is>
      </c>
      <c r="Y309" t="inlineStr">
        <is>
          <t>Lynch</t>
        </is>
      </c>
      <c r="AA309" t="n">
        <v>1</v>
      </c>
      <c r="AB309" t="inlineStr">
        <is>
          <t>L</t>
        </is>
      </c>
      <c r="AC309" t="inlineStr">
        <is>
          <t>2&amp;1</t>
        </is>
      </c>
      <c r="AE309">
        <f>$V309&amp;$Y309</f>
        <v/>
      </c>
      <c r="AF309" t="n">
        <v>0</v>
      </c>
      <c r="AG309" t="n">
        <v>0</v>
      </c>
      <c r="AH309" t="n">
        <v>1</v>
      </c>
      <c r="AI309" t="n">
        <v>0</v>
      </c>
      <c r="AJ309" t="n">
        <v>0</v>
      </c>
      <c r="AK309" t="inlineStr">
        <is>
          <t>Cole</t>
        </is>
      </c>
      <c r="AL309" t="n">
        <v>0.440677966101695</v>
      </c>
      <c r="AM309" t="inlineStr">
        <is>
          <t>Ferrin</t>
        </is>
      </c>
      <c r="AN309" t="n">
        <v>0.595238095238095</v>
      </c>
    </row>
    <row r="310" ht="15" customHeight="1" s="2">
      <c r="B310" t="n">
        <v>3</v>
      </c>
      <c r="C310" t="n">
        <v>3</v>
      </c>
      <c r="D310" t="n">
        <v>6</v>
      </c>
      <c r="E310" t="inlineStr">
        <is>
          <t>FBC6-D3</t>
        </is>
      </c>
      <c r="F310" t="inlineStr">
        <is>
          <t>Friday</t>
        </is>
      </c>
      <c r="G310" s="27" t="n">
        <v>43308</v>
      </c>
      <c r="H310" t="inlineStr">
        <is>
          <t>AM</t>
        </is>
      </c>
      <c r="I310" t="inlineStr">
        <is>
          <t>Arcadia, MI</t>
        </is>
      </c>
      <c r="J310" t="inlineStr">
        <is>
          <t>Midwest</t>
        </is>
      </c>
      <c r="K310" t="n">
        <v>9</v>
      </c>
      <c r="L310" t="inlineStr">
        <is>
          <t>Front</t>
        </is>
      </c>
      <c r="M310" t="inlineStr">
        <is>
          <t>Bluffs</t>
        </is>
      </c>
      <c r="N310" t="inlineStr">
        <is>
          <t>White</t>
        </is>
      </c>
      <c r="O310" t="n">
        <v>70.5</v>
      </c>
      <c r="P310" t="n">
        <v>134</v>
      </c>
      <c r="Q310" t="n">
        <v>6389</v>
      </c>
      <c r="R310" t="inlineStr">
        <is>
          <t>Best Ball</t>
        </is>
      </c>
      <c r="S310" t="inlineStr">
        <is>
          <t>Doubles</t>
        </is>
      </c>
      <c r="T310" t="inlineStr">
        <is>
          <t>Over 6'</t>
        </is>
      </c>
      <c r="U310" t="inlineStr">
        <is>
          <t>Fogan</t>
        </is>
      </c>
      <c r="V310" t="inlineStr">
        <is>
          <t>Grise</t>
        </is>
      </c>
      <c r="W310" t="inlineStr">
        <is>
          <t>White</t>
        </is>
      </c>
      <c r="Y310" t="inlineStr">
        <is>
          <t>Jackson</t>
        </is>
      </c>
      <c r="AA310" t="n">
        <v>1</v>
      </c>
      <c r="AB310" t="inlineStr">
        <is>
          <t>W</t>
        </is>
      </c>
      <c r="AC310" t="inlineStr">
        <is>
          <t>2&amp;1</t>
        </is>
      </c>
      <c r="AE310">
        <f>$V310&amp;$Y310</f>
        <v/>
      </c>
      <c r="AF310" t="n">
        <v>1</v>
      </c>
      <c r="AG310" t="n">
        <v>1</v>
      </c>
      <c r="AH310" t="n">
        <v>0</v>
      </c>
      <c r="AI310" t="n">
        <v>0</v>
      </c>
      <c r="AJ310" t="n">
        <v>1</v>
      </c>
      <c r="AK310" t="inlineStr">
        <is>
          <t>Connolly</t>
        </is>
      </c>
      <c r="AL310" t="n">
        <v>0.59375</v>
      </c>
      <c r="AM310" t="inlineStr">
        <is>
          <t>Zimmer</t>
        </is>
      </c>
      <c r="AN310" t="n">
        <v>0.5</v>
      </c>
    </row>
    <row r="311" ht="15" customHeight="1" s="2">
      <c r="B311" t="n">
        <v>3</v>
      </c>
      <c r="C311" t="n">
        <v>3</v>
      </c>
      <c r="D311" t="n">
        <v>6</v>
      </c>
      <c r="E311" t="inlineStr">
        <is>
          <t>FBC6-D3</t>
        </is>
      </c>
      <c r="F311" t="inlineStr">
        <is>
          <t>Friday</t>
        </is>
      </c>
      <c r="G311" s="27" t="n">
        <v>43308</v>
      </c>
      <c r="H311" t="inlineStr">
        <is>
          <t>AM</t>
        </is>
      </c>
      <c r="I311" t="inlineStr">
        <is>
          <t>Arcadia, MI</t>
        </is>
      </c>
      <c r="J311" t="inlineStr">
        <is>
          <t>Midwest</t>
        </is>
      </c>
      <c r="K311" t="n">
        <v>9</v>
      </c>
      <c r="L311" t="inlineStr">
        <is>
          <t>Front</t>
        </is>
      </c>
      <c r="M311" t="inlineStr">
        <is>
          <t>Bluffs</t>
        </is>
      </c>
      <c r="N311" t="inlineStr">
        <is>
          <t>White</t>
        </is>
      </c>
      <c r="O311" t="n">
        <v>70.5</v>
      </c>
      <c r="P311" t="n">
        <v>134</v>
      </c>
      <c r="Q311" t="n">
        <v>6389</v>
      </c>
      <c r="R311" t="inlineStr">
        <is>
          <t>Best Ball</t>
        </is>
      </c>
      <c r="S311" t="inlineStr">
        <is>
          <t>Doubles</t>
        </is>
      </c>
      <c r="T311" t="inlineStr">
        <is>
          <t>Under 6'</t>
        </is>
      </c>
      <c r="U311" t="inlineStr">
        <is>
          <t>Norat</t>
        </is>
      </c>
      <c r="V311" t="inlineStr">
        <is>
          <t>Connolly</t>
        </is>
      </c>
      <c r="W311" t="inlineStr">
        <is>
          <t>Pelican</t>
        </is>
      </c>
      <c r="Y311" t="inlineStr">
        <is>
          <t>Zimmer</t>
        </is>
      </c>
      <c r="AA311" t="n">
        <v>1</v>
      </c>
      <c r="AB311" t="inlineStr">
        <is>
          <t>L</t>
        </is>
      </c>
      <c r="AC311" t="inlineStr">
        <is>
          <t>2&amp;1</t>
        </is>
      </c>
      <c r="AE311">
        <f>$V311&amp;$Y311</f>
        <v/>
      </c>
      <c r="AF311" t="n">
        <v>0</v>
      </c>
      <c r="AG311" t="n">
        <v>0</v>
      </c>
      <c r="AH311" t="n">
        <v>1</v>
      </c>
      <c r="AI311" t="n">
        <v>0</v>
      </c>
      <c r="AJ311" t="n">
        <v>0</v>
      </c>
      <c r="AK311" t="inlineStr">
        <is>
          <t>Grise</t>
        </is>
      </c>
      <c r="AL311" t="n">
        <v>0.546875</v>
      </c>
      <c r="AM311" t="inlineStr">
        <is>
          <t>Jackson</t>
        </is>
      </c>
      <c r="AN311" t="n">
        <v>0.6171875</v>
      </c>
    </row>
    <row r="312" ht="15" customHeight="1" s="2">
      <c r="B312" t="n">
        <v>4</v>
      </c>
      <c r="C312" t="n">
        <v>4</v>
      </c>
      <c r="D312" t="n">
        <v>6</v>
      </c>
      <c r="E312" t="inlineStr">
        <is>
          <t>FBC6-D4</t>
        </is>
      </c>
      <c r="F312" t="inlineStr">
        <is>
          <t>Friday</t>
        </is>
      </c>
      <c r="G312" s="27" t="n">
        <v>43308</v>
      </c>
      <c r="H312" t="inlineStr">
        <is>
          <t>AM</t>
        </is>
      </c>
      <c r="I312" t="inlineStr">
        <is>
          <t>Arcadia, MI</t>
        </is>
      </c>
      <c r="J312" t="inlineStr">
        <is>
          <t>Midwest</t>
        </is>
      </c>
      <c r="K312" t="n">
        <v>9</v>
      </c>
      <c r="L312" t="inlineStr">
        <is>
          <t>Front</t>
        </is>
      </c>
      <c r="M312" t="inlineStr">
        <is>
          <t>Bluffs</t>
        </is>
      </c>
      <c r="N312" t="inlineStr">
        <is>
          <t>White</t>
        </is>
      </c>
      <c r="O312" t="n">
        <v>70.5</v>
      </c>
      <c r="P312" t="n">
        <v>134</v>
      </c>
      <c r="Q312" t="n">
        <v>6389</v>
      </c>
      <c r="R312" t="inlineStr">
        <is>
          <t>Best Ball</t>
        </is>
      </c>
      <c r="S312" t="inlineStr">
        <is>
          <t>Doubles</t>
        </is>
      </c>
      <c r="T312" t="inlineStr">
        <is>
          <t>Under 6'</t>
        </is>
      </c>
      <c r="U312" t="inlineStr">
        <is>
          <t>Norat</t>
        </is>
      </c>
      <c r="V312" t="inlineStr">
        <is>
          <t>Norat</t>
        </is>
      </c>
      <c r="W312" t="inlineStr">
        <is>
          <t>Pelican</t>
        </is>
      </c>
      <c r="Y312" t="inlineStr">
        <is>
          <t>Poirier</t>
        </is>
      </c>
      <c r="AA312" t="n">
        <v>1</v>
      </c>
      <c r="AB312" t="inlineStr">
        <is>
          <t>L</t>
        </is>
      </c>
      <c r="AC312" t="inlineStr">
        <is>
          <t>2&amp;1</t>
        </is>
      </c>
      <c r="AE312">
        <f>$V312&amp;$Y312</f>
        <v/>
      </c>
      <c r="AF312" t="n">
        <v>0</v>
      </c>
      <c r="AG312" t="n">
        <v>0</v>
      </c>
      <c r="AH312" t="n">
        <v>1</v>
      </c>
      <c r="AI312" t="n">
        <v>0</v>
      </c>
      <c r="AJ312" t="n">
        <v>0</v>
      </c>
      <c r="AK312" t="inlineStr">
        <is>
          <t>McInerney</t>
        </is>
      </c>
      <c r="AL312" t="n">
        <v>0.5</v>
      </c>
      <c r="AM312" t="inlineStr">
        <is>
          <t>Shively</t>
        </is>
      </c>
    </row>
    <row r="313" ht="15" customHeight="1" s="2">
      <c r="B313" t="n">
        <v>4</v>
      </c>
      <c r="C313" t="n">
        <v>4</v>
      </c>
      <c r="D313" t="n">
        <v>6</v>
      </c>
      <c r="E313" t="inlineStr">
        <is>
          <t>FBC6-D4</t>
        </is>
      </c>
      <c r="F313" t="inlineStr">
        <is>
          <t>Friday</t>
        </is>
      </c>
      <c r="G313" s="27" t="n">
        <v>43308</v>
      </c>
      <c r="H313" t="inlineStr">
        <is>
          <t>AM</t>
        </is>
      </c>
      <c r="I313" t="inlineStr">
        <is>
          <t>Arcadia, MI</t>
        </is>
      </c>
      <c r="J313" t="inlineStr">
        <is>
          <t>Midwest</t>
        </is>
      </c>
      <c r="K313" t="n">
        <v>9</v>
      </c>
      <c r="L313" t="inlineStr">
        <is>
          <t>Front</t>
        </is>
      </c>
      <c r="M313" t="inlineStr">
        <is>
          <t>Bluffs</t>
        </is>
      </c>
      <c r="N313" t="inlineStr">
        <is>
          <t>White</t>
        </is>
      </c>
      <c r="O313" t="n">
        <v>70.5</v>
      </c>
      <c r="P313" t="n">
        <v>134</v>
      </c>
      <c r="Q313" t="n">
        <v>6389</v>
      </c>
      <c r="R313" t="inlineStr">
        <is>
          <t>Best Ball</t>
        </is>
      </c>
      <c r="S313" t="inlineStr">
        <is>
          <t>Doubles</t>
        </is>
      </c>
      <c r="T313" t="inlineStr">
        <is>
          <t>Over 6'</t>
        </is>
      </c>
      <c r="U313" t="inlineStr">
        <is>
          <t>Fogan</t>
        </is>
      </c>
      <c r="V313" t="inlineStr">
        <is>
          <t>McInerney</t>
        </is>
      </c>
      <c r="W313" t="inlineStr">
        <is>
          <t>White</t>
        </is>
      </c>
      <c r="Y313" t="inlineStr">
        <is>
          <t>Shively</t>
        </is>
      </c>
      <c r="AA313" t="n">
        <v>1</v>
      </c>
      <c r="AB313" t="inlineStr">
        <is>
          <t>W</t>
        </is>
      </c>
      <c r="AC313" t="inlineStr">
        <is>
          <t>2&amp;1</t>
        </is>
      </c>
      <c r="AE313">
        <f>$V313&amp;$Y313</f>
        <v/>
      </c>
      <c r="AF313" t="n">
        <v>1</v>
      </c>
      <c r="AG313" t="n">
        <v>1</v>
      </c>
      <c r="AH313" t="n">
        <v>0</v>
      </c>
      <c r="AI313" t="n">
        <v>0</v>
      </c>
      <c r="AJ313" t="n">
        <v>1</v>
      </c>
      <c r="AK313" t="inlineStr">
        <is>
          <t>Norat</t>
        </is>
      </c>
      <c r="AL313" t="n">
        <v>0.527777777777778</v>
      </c>
      <c r="AM313" t="inlineStr">
        <is>
          <t>Poirier</t>
        </is>
      </c>
      <c r="AN313" t="n">
        <v>0.486111111111111</v>
      </c>
    </row>
    <row r="314" ht="15" customHeight="1" s="2">
      <c r="B314" t="n">
        <v>5</v>
      </c>
      <c r="C314" t="n">
        <v>5</v>
      </c>
      <c r="D314" t="n">
        <v>6</v>
      </c>
      <c r="E314" t="inlineStr">
        <is>
          <t>FBC6-D5</t>
        </is>
      </c>
      <c r="F314" t="inlineStr">
        <is>
          <t>Friday</t>
        </is>
      </c>
      <c r="G314" s="27" t="n">
        <v>43308</v>
      </c>
      <c r="H314" t="inlineStr">
        <is>
          <t>AM</t>
        </is>
      </c>
      <c r="I314" t="inlineStr">
        <is>
          <t>Arcadia, MI</t>
        </is>
      </c>
      <c r="J314" t="inlineStr">
        <is>
          <t>Midwest</t>
        </is>
      </c>
      <c r="K314" t="n">
        <v>9</v>
      </c>
      <c r="L314" t="inlineStr">
        <is>
          <t>Front</t>
        </is>
      </c>
      <c r="M314" t="inlineStr">
        <is>
          <t>Bluffs</t>
        </is>
      </c>
      <c r="N314" t="inlineStr">
        <is>
          <t>White</t>
        </is>
      </c>
      <c r="O314" t="n">
        <v>70.5</v>
      </c>
      <c r="P314" t="n">
        <v>134</v>
      </c>
      <c r="Q314" t="n">
        <v>6389</v>
      </c>
      <c r="R314" t="inlineStr">
        <is>
          <t>Best Ball</t>
        </is>
      </c>
      <c r="S314" t="inlineStr">
        <is>
          <t>Doubles</t>
        </is>
      </c>
      <c r="T314" t="inlineStr">
        <is>
          <t>Over 6'</t>
        </is>
      </c>
      <c r="U314" t="inlineStr">
        <is>
          <t>Fogan</t>
        </is>
      </c>
      <c r="V314" t="inlineStr">
        <is>
          <t>Buss</t>
        </is>
      </c>
      <c r="W314" t="inlineStr">
        <is>
          <t>White</t>
        </is>
      </c>
      <c r="Y314" t="inlineStr">
        <is>
          <t>Mangold</t>
        </is>
      </c>
      <c r="AA314" t="n">
        <v>1</v>
      </c>
      <c r="AB314" t="inlineStr">
        <is>
          <t>T</t>
        </is>
      </c>
      <c r="AC314" t="inlineStr">
        <is>
          <t>Halved</t>
        </is>
      </c>
      <c r="AE314">
        <f>$V314&amp;$Y314</f>
        <v/>
      </c>
      <c r="AF314" t="n">
        <v>0.5</v>
      </c>
      <c r="AG314" t="n">
        <v>0</v>
      </c>
      <c r="AH314" t="n">
        <v>0</v>
      </c>
      <c r="AI314" t="n">
        <v>1</v>
      </c>
      <c r="AJ314" t="n">
        <v>0.5</v>
      </c>
      <c r="AK314" t="inlineStr">
        <is>
          <t>Connors</t>
        </is>
      </c>
      <c r="AL314" t="n">
        <v>0.347457627118644</v>
      </c>
      <c r="AM314" t="inlineStr">
        <is>
          <t>Welker</t>
        </is>
      </c>
      <c r="AN314" t="n">
        <v>0.510416666666667</v>
      </c>
    </row>
    <row r="315" ht="15" customHeight="1" s="2">
      <c r="B315" t="n">
        <v>5</v>
      </c>
      <c r="C315" t="n">
        <v>5</v>
      </c>
      <c r="D315" t="n">
        <v>6</v>
      </c>
      <c r="E315" t="inlineStr">
        <is>
          <t>FBC6-D5</t>
        </is>
      </c>
      <c r="F315" t="inlineStr">
        <is>
          <t>Friday</t>
        </is>
      </c>
      <c r="G315" s="27" t="n">
        <v>43308</v>
      </c>
      <c r="H315" t="inlineStr">
        <is>
          <t>AM</t>
        </is>
      </c>
      <c r="I315" t="inlineStr">
        <is>
          <t>Arcadia, MI</t>
        </is>
      </c>
      <c r="J315" t="inlineStr">
        <is>
          <t>Midwest</t>
        </is>
      </c>
      <c r="K315" t="n">
        <v>9</v>
      </c>
      <c r="L315" t="inlineStr">
        <is>
          <t>Front</t>
        </is>
      </c>
      <c r="M315" t="inlineStr">
        <is>
          <t>Bluffs</t>
        </is>
      </c>
      <c r="N315" t="inlineStr">
        <is>
          <t>White</t>
        </is>
      </c>
      <c r="O315" t="n">
        <v>70.5</v>
      </c>
      <c r="P315" t="n">
        <v>134</v>
      </c>
      <c r="Q315" t="n">
        <v>6389</v>
      </c>
      <c r="R315" t="inlineStr">
        <is>
          <t>Best Ball</t>
        </is>
      </c>
      <c r="S315" t="inlineStr">
        <is>
          <t>Doubles</t>
        </is>
      </c>
      <c r="T315" t="inlineStr">
        <is>
          <t>Under 6'</t>
        </is>
      </c>
      <c r="U315" t="inlineStr">
        <is>
          <t>Norat</t>
        </is>
      </c>
      <c r="V315" t="inlineStr">
        <is>
          <t>Connors</t>
        </is>
      </c>
      <c r="W315" t="inlineStr">
        <is>
          <t>Pelican</t>
        </is>
      </c>
      <c r="Y315" t="inlineStr">
        <is>
          <t>Welker</t>
        </is>
      </c>
      <c r="AA315" t="n">
        <v>1</v>
      </c>
      <c r="AB315" t="inlineStr">
        <is>
          <t>T</t>
        </is>
      </c>
      <c r="AC315" t="inlineStr">
        <is>
          <t>Halved</t>
        </is>
      </c>
      <c r="AE315">
        <f>$V315&amp;$Y315</f>
        <v/>
      </c>
      <c r="AF315" t="n">
        <v>0.5</v>
      </c>
      <c r="AG315" t="n">
        <v>0</v>
      </c>
      <c r="AH315" t="n">
        <v>0</v>
      </c>
      <c r="AI315" t="n">
        <v>1</v>
      </c>
      <c r="AJ315" t="n">
        <v>0.5</v>
      </c>
      <c r="AK315" t="inlineStr">
        <is>
          <t>Buss</t>
        </is>
      </c>
      <c r="AL315" t="n">
        <v>0.448275862068966</v>
      </c>
      <c r="AM315" t="inlineStr">
        <is>
          <t>Mangold</t>
        </is>
      </c>
      <c r="AN315" t="n">
        <v>0.383928571428572</v>
      </c>
    </row>
    <row r="316" ht="15" customHeight="1" s="2">
      <c r="B316" t="n">
        <v>6</v>
      </c>
      <c r="C316" t="n">
        <v>1</v>
      </c>
      <c r="D316" t="n">
        <v>6</v>
      </c>
      <c r="E316" t="inlineStr">
        <is>
          <t>FBC6-D6</t>
        </is>
      </c>
      <c r="F316" t="inlineStr">
        <is>
          <t>Friday</t>
        </is>
      </c>
      <c r="G316" s="27" t="n">
        <v>43308</v>
      </c>
      <c r="H316" t="inlineStr">
        <is>
          <t>AM</t>
        </is>
      </c>
      <c r="I316" t="inlineStr">
        <is>
          <t>Arcadia, MI</t>
        </is>
      </c>
      <c r="J316" t="inlineStr">
        <is>
          <t>Midwest</t>
        </is>
      </c>
      <c r="K316" t="n">
        <v>9</v>
      </c>
      <c r="L316" t="inlineStr">
        <is>
          <t>Back</t>
        </is>
      </c>
      <c r="M316" t="inlineStr">
        <is>
          <t>Bluffs</t>
        </is>
      </c>
      <c r="N316" t="inlineStr">
        <is>
          <t>White</t>
        </is>
      </c>
      <c r="O316" t="n">
        <v>70.5</v>
      </c>
      <c r="P316" t="n">
        <v>134</v>
      </c>
      <c r="Q316" t="n">
        <v>6389</v>
      </c>
      <c r="R316" t="inlineStr">
        <is>
          <t>Vegas</t>
        </is>
      </c>
      <c r="S316" t="inlineStr">
        <is>
          <t>Doubles</t>
        </is>
      </c>
      <c r="T316" t="inlineStr">
        <is>
          <t>Over 6'</t>
        </is>
      </c>
      <c r="U316" t="inlineStr">
        <is>
          <t>Fogan</t>
        </is>
      </c>
      <c r="V316" t="inlineStr">
        <is>
          <t>Gray</t>
        </is>
      </c>
      <c r="W316" t="inlineStr">
        <is>
          <t>White</t>
        </is>
      </c>
      <c r="Y316" t="inlineStr">
        <is>
          <t>Hilts</t>
        </is>
      </c>
      <c r="AA316" t="n">
        <v>1</v>
      </c>
      <c r="AB316" t="inlineStr">
        <is>
          <t>L</t>
        </is>
      </c>
      <c r="AC316" t="inlineStr">
        <is>
          <t>1Up</t>
        </is>
      </c>
      <c r="AE316">
        <f>$V316&amp;$Y316</f>
        <v/>
      </c>
      <c r="AF316" t="n">
        <v>0</v>
      </c>
      <c r="AG316" t="n">
        <v>0</v>
      </c>
      <c r="AH316" t="n">
        <v>1</v>
      </c>
      <c r="AI316" t="n">
        <v>0</v>
      </c>
      <c r="AJ316" t="n">
        <v>0</v>
      </c>
      <c r="AK316" t="inlineStr">
        <is>
          <t>Flanders</t>
        </is>
      </c>
      <c r="AL316" t="n">
        <v>0.4296875</v>
      </c>
      <c r="AM316" t="inlineStr">
        <is>
          <t>Forster</t>
        </is>
      </c>
      <c r="AN316" t="n">
        <v>0.596491228070175</v>
      </c>
    </row>
    <row r="317" ht="15" customHeight="1" s="2">
      <c r="B317" t="n">
        <v>6</v>
      </c>
      <c r="C317" t="n">
        <v>1</v>
      </c>
      <c r="D317" t="n">
        <v>6</v>
      </c>
      <c r="E317" t="inlineStr">
        <is>
          <t>FBC6-D6</t>
        </is>
      </c>
      <c r="F317" t="inlineStr">
        <is>
          <t>Friday</t>
        </is>
      </c>
      <c r="G317" s="27" t="n">
        <v>43308</v>
      </c>
      <c r="H317" t="inlineStr">
        <is>
          <t>AM</t>
        </is>
      </c>
      <c r="I317" t="inlineStr">
        <is>
          <t>Arcadia, MI</t>
        </is>
      </c>
      <c r="J317" t="inlineStr">
        <is>
          <t>Midwest</t>
        </is>
      </c>
      <c r="K317" t="n">
        <v>9</v>
      </c>
      <c r="L317" t="inlineStr">
        <is>
          <t>Back</t>
        </is>
      </c>
      <c r="M317" t="inlineStr">
        <is>
          <t>Bluffs</t>
        </is>
      </c>
      <c r="N317" t="inlineStr">
        <is>
          <t>White</t>
        </is>
      </c>
      <c r="O317" t="n">
        <v>70.5</v>
      </c>
      <c r="P317" t="n">
        <v>134</v>
      </c>
      <c r="Q317" t="n">
        <v>6389</v>
      </c>
      <c r="R317" t="inlineStr">
        <is>
          <t>Vegas</t>
        </is>
      </c>
      <c r="S317" t="inlineStr">
        <is>
          <t>Doubles</t>
        </is>
      </c>
      <c r="T317" t="inlineStr">
        <is>
          <t>Under 6'</t>
        </is>
      </c>
      <c r="U317" t="inlineStr">
        <is>
          <t>Norat</t>
        </is>
      </c>
      <c r="V317" t="inlineStr">
        <is>
          <t>Flanders</t>
        </is>
      </c>
      <c r="W317" t="inlineStr">
        <is>
          <t>Pelican</t>
        </is>
      </c>
      <c r="Y317" t="inlineStr">
        <is>
          <t>Forster</t>
        </is>
      </c>
      <c r="AA317" t="n">
        <v>1</v>
      </c>
      <c r="AB317" t="inlineStr">
        <is>
          <t>W</t>
        </is>
      </c>
      <c r="AC317" t="inlineStr">
        <is>
          <t>1Up</t>
        </is>
      </c>
      <c r="AE317">
        <f>$V317&amp;$Y317</f>
        <v/>
      </c>
      <c r="AF317" t="n">
        <v>1</v>
      </c>
      <c r="AG317" t="n">
        <v>1</v>
      </c>
      <c r="AH317" t="n">
        <v>0</v>
      </c>
      <c r="AI317" t="n">
        <v>0</v>
      </c>
      <c r="AJ317" t="n">
        <v>1</v>
      </c>
      <c r="AK317" t="inlineStr">
        <is>
          <t>Gray</t>
        </is>
      </c>
      <c r="AL317" t="n">
        <v>0.654761904761905</v>
      </c>
      <c r="AM317" t="inlineStr">
        <is>
          <t>Hilts</t>
        </is>
      </c>
      <c r="AN317" t="n">
        <v>0.473214285714286</v>
      </c>
    </row>
    <row r="318" ht="15" customHeight="1" s="2">
      <c r="B318" t="n">
        <v>7</v>
      </c>
      <c r="C318" t="n">
        <v>2</v>
      </c>
      <c r="D318" t="n">
        <v>6</v>
      </c>
      <c r="E318" t="inlineStr">
        <is>
          <t>FBC6-D7</t>
        </is>
      </c>
      <c r="F318" t="inlineStr">
        <is>
          <t>Friday</t>
        </is>
      </c>
      <c r="G318" s="27" t="n">
        <v>43308</v>
      </c>
      <c r="H318" t="inlineStr">
        <is>
          <t>AM</t>
        </is>
      </c>
      <c r="I318" t="inlineStr">
        <is>
          <t>Arcadia, MI</t>
        </is>
      </c>
      <c r="J318" t="inlineStr">
        <is>
          <t>Midwest</t>
        </is>
      </c>
      <c r="K318" t="n">
        <v>9</v>
      </c>
      <c r="L318" t="inlineStr">
        <is>
          <t>Back</t>
        </is>
      </c>
      <c r="M318" t="inlineStr">
        <is>
          <t>Bluffs</t>
        </is>
      </c>
      <c r="N318" t="inlineStr">
        <is>
          <t>White</t>
        </is>
      </c>
      <c r="O318" t="n">
        <v>70.5</v>
      </c>
      <c r="P318" t="n">
        <v>134</v>
      </c>
      <c r="Q318" t="n">
        <v>6389</v>
      </c>
      <c r="R318" t="inlineStr">
        <is>
          <t>Vegas</t>
        </is>
      </c>
      <c r="S318" t="inlineStr">
        <is>
          <t>Doubles</t>
        </is>
      </c>
      <c r="T318" t="inlineStr">
        <is>
          <t>Under 6'</t>
        </is>
      </c>
      <c r="U318" t="inlineStr">
        <is>
          <t>Norat</t>
        </is>
      </c>
      <c r="V318" t="inlineStr">
        <is>
          <t>Cole</t>
        </is>
      </c>
      <c r="W318" t="inlineStr">
        <is>
          <t>Pelican</t>
        </is>
      </c>
      <c r="Y318" t="inlineStr">
        <is>
          <t>Ferrin</t>
        </is>
      </c>
      <c r="AA318" t="n">
        <v>1</v>
      </c>
      <c r="AB318" t="inlineStr">
        <is>
          <t>W</t>
        </is>
      </c>
      <c r="AC318" t="inlineStr">
        <is>
          <t>3&amp;2</t>
        </is>
      </c>
      <c r="AE318">
        <f>$V318&amp;$Y318</f>
        <v/>
      </c>
      <c r="AF318" t="n">
        <v>1</v>
      </c>
      <c r="AG318" t="n">
        <v>1</v>
      </c>
      <c r="AH318" t="n">
        <v>0</v>
      </c>
      <c r="AI318" t="n">
        <v>0</v>
      </c>
      <c r="AJ318" t="n">
        <v>1</v>
      </c>
      <c r="AK318" t="inlineStr">
        <is>
          <t>Fogan</t>
        </is>
      </c>
      <c r="AL318" t="n">
        <v>0.372881355932203</v>
      </c>
      <c r="AM318" t="inlineStr">
        <is>
          <t>Lynch</t>
        </is>
      </c>
      <c r="AN318" t="n">
        <v>0.5546875</v>
      </c>
    </row>
    <row r="319" ht="15" customHeight="1" s="2">
      <c r="B319" t="n">
        <v>7</v>
      </c>
      <c r="C319" t="n">
        <v>2</v>
      </c>
      <c r="D319" t="n">
        <v>6</v>
      </c>
      <c r="E319" t="inlineStr">
        <is>
          <t>FBC6-D7</t>
        </is>
      </c>
      <c r="F319" t="inlineStr">
        <is>
          <t>Friday</t>
        </is>
      </c>
      <c r="G319" s="27" t="n">
        <v>43308</v>
      </c>
      <c r="H319" t="inlineStr">
        <is>
          <t>AM</t>
        </is>
      </c>
      <c r="I319" t="inlineStr">
        <is>
          <t>Arcadia, MI</t>
        </is>
      </c>
      <c r="J319" t="inlineStr">
        <is>
          <t>Midwest</t>
        </is>
      </c>
      <c r="K319" t="n">
        <v>9</v>
      </c>
      <c r="L319" t="inlineStr">
        <is>
          <t>Back</t>
        </is>
      </c>
      <c r="M319" t="inlineStr">
        <is>
          <t>Bluffs</t>
        </is>
      </c>
      <c r="N319" t="inlineStr">
        <is>
          <t>White</t>
        </is>
      </c>
      <c r="O319" t="n">
        <v>70.5</v>
      </c>
      <c r="P319" t="n">
        <v>134</v>
      </c>
      <c r="Q319" t="n">
        <v>6389</v>
      </c>
      <c r="R319" t="inlineStr">
        <is>
          <t>Vegas</t>
        </is>
      </c>
      <c r="S319" t="inlineStr">
        <is>
          <t>Doubles</t>
        </is>
      </c>
      <c r="T319" t="inlineStr">
        <is>
          <t>Over 6'</t>
        </is>
      </c>
      <c r="U319" t="inlineStr">
        <is>
          <t>Fogan</t>
        </is>
      </c>
      <c r="V319" t="inlineStr">
        <is>
          <t>Fogan</t>
        </is>
      </c>
      <c r="W319" t="inlineStr">
        <is>
          <t>White</t>
        </is>
      </c>
      <c r="Y319" t="inlineStr">
        <is>
          <t>Lynch</t>
        </is>
      </c>
      <c r="AA319" t="n">
        <v>1</v>
      </c>
      <c r="AB319" t="inlineStr">
        <is>
          <t>L</t>
        </is>
      </c>
      <c r="AC319" t="inlineStr">
        <is>
          <t>3&amp;2</t>
        </is>
      </c>
      <c r="AE319">
        <f>$V319&amp;$Y319</f>
        <v/>
      </c>
      <c r="AF319" t="n">
        <v>0</v>
      </c>
      <c r="AG319" t="n">
        <v>0</v>
      </c>
      <c r="AH319" t="n">
        <v>1</v>
      </c>
      <c r="AI319" t="n">
        <v>0</v>
      </c>
      <c r="AJ319" t="n">
        <v>0</v>
      </c>
      <c r="AK319" t="inlineStr">
        <is>
          <t>Cole</t>
        </is>
      </c>
      <c r="AL319" t="n">
        <v>0.440677966101695</v>
      </c>
      <c r="AM319" t="inlineStr">
        <is>
          <t>Ferrin</t>
        </is>
      </c>
      <c r="AN319" t="n">
        <v>0.595238095238095</v>
      </c>
    </row>
    <row r="320" ht="15" customHeight="1" s="2">
      <c r="B320" t="n">
        <v>8</v>
      </c>
      <c r="C320" t="n">
        <v>3</v>
      </c>
      <c r="D320" t="n">
        <v>6</v>
      </c>
      <c r="E320" t="inlineStr">
        <is>
          <t>FBC6-D8</t>
        </is>
      </c>
      <c r="F320" t="inlineStr">
        <is>
          <t>Friday</t>
        </is>
      </c>
      <c r="G320" s="27" t="n">
        <v>43308</v>
      </c>
      <c r="H320" t="inlineStr">
        <is>
          <t>AM</t>
        </is>
      </c>
      <c r="I320" t="inlineStr">
        <is>
          <t>Arcadia, MI</t>
        </is>
      </c>
      <c r="J320" t="inlineStr">
        <is>
          <t>Midwest</t>
        </is>
      </c>
      <c r="K320" t="n">
        <v>9</v>
      </c>
      <c r="L320" t="inlineStr">
        <is>
          <t>Back</t>
        </is>
      </c>
      <c r="M320" t="inlineStr">
        <is>
          <t>Bluffs</t>
        </is>
      </c>
      <c r="N320" t="inlineStr">
        <is>
          <t>White</t>
        </is>
      </c>
      <c r="O320" t="n">
        <v>70.5</v>
      </c>
      <c r="P320" t="n">
        <v>134</v>
      </c>
      <c r="Q320" t="n">
        <v>6389</v>
      </c>
      <c r="R320" t="inlineStr">
        <is>
          <t>Vegas</t>
        </is>
      </c>
      <c r="S320" t="inlineStr">
        <is>
          <t>Doubles</t>
        </is>
      </c>
      <c r="T320" t="inlineStr">
        <is>
          <t>Over 6'</t>
        </is>
      </c>
      <c r="U320" t="inlineStr">
        <is>
          <t>Fogan</t>
        </is>
      </c>
      <c r="V320" t="inlineStr">
        <is>
          <t>Grise</t>
        </is>
      </c>
      <c r="W320" t="inlineStr">
        <is>
          <t>White</t>
        </is>
      </c>
      <c r="Y320" t="inlineStr">
        <is>
          <t>Jackson</t>
        </is>
      </c>
      <c r="AA320" t="n">
        <v>1</v>
      </c>
      <c r="AB320" t="inlineStr">
        <is>
          <t>W</t>
        </is>
      </c>
      <c r="AC320" t="inlineStr">
        <is>
          <t>3&amp;1</t>
        </is>
      </c>
      <c r="AE320">
        <f>$V320&amp;$Y320</f>
        <v/>
      </c>
      <c r="AF320" t="n">
        <v>1</v>
      </c>
      <c r="AG320" t="n">
        <v>1</v>
      </c>
      <c r="AH320" t="n">
        <v>0</v>
      </c>
      <c r="AI320" t="n">
        <v>0</v>
      </c>
      <c r="AJ320" t="n">
        <v>1</v>
      </c>
      <c r="AK320" t="inlineStr">
        <is>
          <t>Connolly</t>
        </is>
      </c>
      <c r="AL320" t="n">
        <v>0.59375</v>
      </c>
      <c r="AM320" t="inlineStr">
        <is>
          <t>Zimmer</t>
        </is>
      </c>
      <c r="AN320" t="n">
        <v>0.5</v>
      </c>
    </row>
    <row r="321" ht="15" customHeight="1" s="2">
      <c r="B321" t="n">
        <v>8</v>
      </c>
      <c r="C321" t="n">
        <v>3</v>
      </c>
      <c r="D321" t="n">
        <v>6</v>
      </c>
      <c r="E321" t="inlineStr">
        <is>
          <t>FBC6-D8</t>
        </is>
      </c>
      <c r="F321" t="inlineStr">
        <is>
          <t>Friday</t>
        </is>
      </c>
      <c r="G321" s="27" t="n">
        <v>43308</v>
      </c>
      <c r="H321" t="inlineStr">
        <is>
          <t>AM</t>
        </is>
      </c>
      <c r="I321" t="inlineStr">
        <is>
          <t>Arcadia, MI</t>
        </is>
      </c>
      <c r="J321" t="inlineStr">
        <is>
          <t>Midwest</t>
        </is>
      </c>
      <c r="K321" t="n">
        <v>9</v>
      </c>
      <c r="L321" t="inlineStr">
        <is>
          <t>Back</t>
        </is>
      </c>
      <c r="M321" t="inlineStr">
        <is>
          <t>Bluffs</t>
        </is>
      </c>
      <c r="N321" t="inlineStr">
        <is>
          <t>White</t>
        </is>
      </c>
      <c r="O321" t="n">
        <v>70.5</v>
      </c>
      <c r="P321" t="n">
        <v>134</v>
      </c>
      <c r="Q321" t="n">
        <v>6389</v>
      </c>
      <c r="R321" t="inlineStr">
        <is>
          <t>Vegas</t>
        </is>
      </c>
      <c r="S321" t="inlineStr">
        <is>
          <t>Doubles</t>
        </is>
      </c>
      <c r="T321" t="inlineStr">
        <is>
          <t>Under 6'</t>
        </is>
      </c>
      <c r="U321" t="inlineStr">
        <is>
          <t>Norat</t>
        </is>
      </c>
      <c r="V321" t="inlineStr">
        <is>
          <t>Connolly</t>
        </is>
      </c>
      <c r="W321" t="inlineStr">
        <is>
          <t>Pelican</t>
        </is>
      </c>
      <c r="Y321" t="inlineStr">
        <is>
          <t>Zimmer</t>
        </is>
      </c>
      <c r="AA321" t="n">
        <v>1</v>
      </c>
      <c r="AB321" t="inlineStr">
        <is>
          <t>L</t>
        </is>
      </c>
      <c r="AC321" t="inlineStr">
        <is>
          <t>3&amp;1</t>
        </is>
      </c>
      <c r="AE321">
        <f>$V321&amp;$Y321</f>
        <v/>
      </c>
      <c r="AF321" t="n">
        <v>0</v>
      </c>
      <c r="AG321" t="n">
        <v>0</v>
      </c>
      <c r="AH321" t="n">
        <v>1</v>
      </c>
      <c r="AI321" t="n">
        <v>0</v>
      </c>
      <c r="AJ321" t="n">
        <v>0</v>
      </c>
      <c r="AK321" t="inlineStr">
        <is>
          <t>Grise</t>
        </is>
      </c>
      <c r="AL321" t="n">
        <v>0.546875</v>
      </c>
      <c r="AM321" t="inlineStr">
        <is>
          <t>Jackson</t>
        </is>
      </c>
      <c r="AN321" t="n">
        <v>0.6171875</v>
      </c>
    </row>
    <row r="322" ht="15" customHeight="1" s="2">
      <c r="B322" t="n">
        <v>9</v>
      </c>
      <c r="C322" t="n">
        <v>4</v>
      </c>
      <c r="D322" t="n">
        <v>6</v>
      </c>
      <c r="E322" t="inlineStr">
        <is>
          <t>FBC6-D9</t>
        </is>
      </c>
      <c r="F322" t="inlineStr">
        <is>
          <t>Friday</t>
        </is>
      </c>
      <c r="G322" s="27" t="n">
        <v>43308</v>
      </c>
      <c r="H322" t="inlineStr">
        <is>
          <t>AM</t>
        </is>
      </c>
      <c r="I322" t="inlineStr">
        <is>
          <t>Arcadia, MI</t>
        </is>
      </c>
      <c r="J322" t="inlineStr">
        <is>
          <t>Midwest</t>
        </is>
      </c>
      <c r="K322" t="n">
        <v>9</v>
      </c>
      <c r="L322" t="inlineStr">
        <is>
          <t>Back</t>
        </is>
      </c>
      <c r="M322" t="inlineStr">
        <is>
          <t>Bluffs</t>
        </is>
      </c>
      <c r="N322" t="inlineStr">
        <is>
          <t>White</t>
        </is>
      </c>
      <c r="O322" t="n">
        <v>70.5</v>
      </c>
      <c r="P322" t="n">
        <v>134</v>
      </c>
      <c r="Q322" t="n">
        <v>6389</v>
      </c>
      <c r="R322" t="inlineStr">
        <is>
          <t>Vegas</t>
        </is>
      </c>
      <c r="S322" t="inlineStr">
        <is>
          <t>Doubles</t>
        </is>
      </c>
      <c r="T322" t="inlineStr">
        <is>
          <t>Under 6'</t>
        </is>
      </c>
      <c r="U322" t="inlineStr">
        <is>
          <t>Norat</t>
        </is>
      </c>
      <c r="V322" t="inlineStr">
        <is>
          <t>Norat</t>
        </is>
      </c>
      <c r="W322" t="inlineStr">
        <is>
          <t>Pelican</t>
        </is>
      </c>
      <c r="Y322" t="inlineStr">
        <is>
          <t>Poirier</t>
        </is>
      </c>
      <c r="AA322" t="n">
        <v>1</v>
      </c>
      <c r="AB322" t="inlineStr">
        <is>
          <t>L</t>
        </is>
      </c>
      <c r="AC322" t="inlineStr">
        <is>
          <t>3&amp;2</t>
        </is>
      </c>
      <c r="AE322">
        <f>$V322&amp;$Y322</f>
        <v/>
      </c>
      <c r="AF322" t="n">
        <v>0</v>
      </c>
      <c r="AG322" t="n">
        <v>0</v>
      </c>
      <c r="AH322" t="n">
        <v>1</v>
      </c>
      <c r="AI322" t="n">
        <v>0</v>
      </c>
      <c r="AJ322" t="n">
        <v>0</v>
      </c>
      <c r="AK322" t="inlineStr">
        <is>
          <t>McInerney</t>
        </is>
      </c>
      <c r="AL322" t="n">
        <v>0.5</v>
      </c>
      <c r="AM322" t="inlineStr">
        <is>
          <t>Shively</t>
        </is>
      </c>
    </row>
    <row r="323" ht="15" customHeight="1" s="2">
      <c r="B323" t="n">
        <v>9</v>
      </c>
      <c r="C323" t="n">
        <v>4</v>
      </c>
      <c r="D323" t="n">
        <v>6</v>
      </c>
      <c r="E323" t="inlineStr">
        <is>
          <t>FBC6-D9</t>
        </is>
      </c>
      <c r="F323" t="inlineStr">
        <is>
          <t>Friday</t>
        </is>
      </c>
      <c r="G323" s="27" t="n">
        <v>43308</v>
      </c>
      <c r="H323" t="inlineStr">
        <is>
          <t>AM</t>
        </is>
      </c>
      <c r="I323" t="inlineStr">
        <is>
          <t>Arcadia, MI</t>
        </is>
      </c>
      <c r="J323" t="inlineStr">
        <is>
          <t>Midwest</t>
        </is>
      </c>
      <c r="K323" t="n">
        <v>9</v>
      </c>
      <c r="L323" t="inlineStr">
        <is>
          <t>Back</t>
        </is>
      </c>
      <c r="M323" t="inlineStr">
        <is>
          <t>Bluffs</t>
        </is>
      </c>
      <c r="N323" t="inlineStr">
        <is>
          <t>White</t>
        </is>
      </c>
      <c r="O323" t="n">
        <v>70.5</v>
      </c>
      <c r="P323" t="n">
        <v>134</v>
      </c>
      <c r="Q323" t="n">
        <v>6389</v>
      </c>
      <c r="R323" t="inlineStr">
        <is>
          <t>Vegas</t>
        </is>
      </c>
      <c r="S323" t="inlineStr">
        <is>
          <t>Doubles</t>
        </is>
      </c>
      <c r="T323" t="inlineStr">
        <is>
          <t>Over 6'</t>
        </is>
      </c>
      <c r="U323" t="inlineStr">
        <is>
          <t>Fogan</t>
        </is>
      </c>
      <c r="V323" t="inlineStr">
        <is>
          <t>McInerney</t>
        </is>
      </c>
      <c r="W323" t="inlineStr">
        <is>
          <t>White</t>
        </is>
      </c>
      <c r="Y323" t="inlineStr">
        <is>
          <t>Shively</t>
        </is>
      </c>
      <c r="AA323" t="n">
        <v>1</v>
      </c>
      <c r="AB323" t="inlineStr">
        <is>
          <t>W</t>
        </is>
      </c>
      <c r="AC323" t="inlineStr">
        <is>
          <t>3&amp;2</t>
        </is>
      </c>
      <c r="AE323">
        <f>$V323&amp;$Y323</f>
        <v/>
      </c>
      <c r="AF323" t="n">
        <v>1</v>
      </c>
      <c r="AG323" t="n">
        <v>1</v>
      </c>
      <c r="AH323" t="n">
        <v>0</v>
      </c>
      <c r="AI323" t="n">
        <v>0</v>
      </c>
      <c r="AJ323" t="n">
        <v>1</v>
      </c>
      <c r="AK323" t="inlineStr">
        <is>
          <t>Norat</t>
        </is>
      </c>
      <c r="AL323" t="n">
        <v>0.527777777777778</v>
      </c>
      <c r="AM323" t="inlineStr">
        <is>
          <t>Poirier</t>
        </is>
      </c>
      <c r="AN323" t="n">
        <v>0.486111111111111</v>
      </c>
    </row>
    <row r="324" ht="15" customHeight="1" s="2">
      <c r="B324" t="n">
        <v>10</v>
      </c>
      <c r="C324" t="n">
        <v>5</v>
      </c>
      <c r="D324" t="n">
        <v>6</v>
      </c>
      <c r="E324" t="inlineStr">
        <is>
          <t>FBC6-D10</t>
        </is>
      </c>
      <c r="F324" t="inlineStr">
        <is>
          <t>Friday</t>
        </is>
      </c>
      <c r="G324" s="27" t="n">
        <v>43308</v>
      </c>
      <c r="H324" t="inlineStr">
        <is>
          <t>AM</t>
        </is>
      </c>
      <c r="I324" t="inlineStr">
        <is>
          <t>Arcadia, MI</t>
        </is>
      </c>
      <c r="J324" t="inlineStr">
        <is>
          <t>Midwest</t>
        </is>
      </c>
      <c r="K324" t="n">
        <v>9</v>
      </c>
      <c r="L324" t="inlineStr">
        <is>
          <t>Back</t>
        </is>
      </c>
      <c r="M324" t="inlineStr">
        <is>
          <t>Bluffs</t>
        </is>
      </c>
      <c r="N324" t="inlineStr">
        <is>
          <t>White</t>
        </is>
      </c>
      <c r="O324" t="n">
        <v>70.5</v>
      </c>
      <c r="P324" t="n">
        <v>134</v>
      </c>
      <c r="Q324" t="n">
        <v>6389</v>
      </c>
      <c r="R324" t="inlineStr">
        <is>
          <t>Vegas</t>
        </is>
      </c>
      <c r="S324" t="inlineStr">
        <is>
          <t>Doubles</t>
        </is>
      </c>
      <c r="T324" t="inlineStr">
        <is>
          <t>Over 6'</t>
        </is>
      </c>
      <c r="U324" t="inlineStr">
        <is>
          <t>Fogan</t>
        </is>
      </c>
      <c r="V324" t="inlineStr">
        <is>
          <t>Buss</t>
        </is>
      </c>
      <c r="W324" t="inlineStr">
        <is>
          <t>White</t>
        </is>
      </c>
      <c r="Y324" t="inlineStr">
        <is>
          <t>Mangold</t>
        </is>
      </c>
      <c r="AA324" t="n">
        <v>1</v>
      </c>
      <c r="AB324" t="inlineStr">
        <is>
          <t>L</t>
        </is>
      </c>
      <c r="AC324" t="inlineStr">
        <is>
          <t>1Up</t>
        </is>
      </c>
      <c r="AE324">
        <f>$V324&amp;$Y324</f>
        <v/>
      </c>
      <c r="AF324" t="n">
        <v>0</v>
      </c>
      <c r="AG324" t="n">
        <v>0</v>
      </c>
      <c r="AH324" t="n">
        <v>1</v>
      </c>
      <c r="AI324" t="n">
        <v>0</v>
      </c>
      <c r="AJ324" t="n">
        <v>0</v>
      </c>
      <c r="AK324" t="inlineStr">
        <is>
          <t>Connors</t>
        </is>
      </c>
      <c r="AL324" t="n">
        <v>0.347457627118644</v>
      </c>
      <c r="AM324" t="inlineStr">
        <is>
          <t>Welker</t>
        </is>
      </c>
      <c r="AN324" t="n">
        <v>0.510416666666667</v>
      </c>
    </row>
    <row r="325" ht="15" customHeight="1" s="2">
      <c r="B325" t="n">
        <v>10</v>
      </c>
      <c r="C325" t="n">
        <v>5</v>
      </c>
      <c r="D325" t="n">
        <v>6</v>
      </c>
      <c r="E325" t="inlineStr">
        <is>
          <t>FBC6-D10</t>
        </is>
      </c>
      <c r="F325" t="inlineStr">
        <is>
          <t>Friday</t>
        </is>
      </c>
      <c r="G325" s="27" t="n">
        <v>43308</v>
      </c>
      <c r="H325" t="inlineStr">
        <is>
          <t>AM</t>
        </is>
      </c>
      <c r="I325" t="inlineStr">
        <is>
          <t>Arcadia, MI</t>
        </is>
      </c>
      <c r="J325" t="inlineStr">
        <is>
          <t>Midwest</t>
        </is>
      </c>
      <c r="K325" t="n">
        <v>9</v>
      </c>
      <c r="L325" t="inlineStr">
        <is>
          <t>Back</t>
        </is>
      </c>
      <c r="M325" t="inlineStr">
        <is>
          <t>Bluffs</t>
        </is>
      </c>
      <c r="N325" t="inlineStr">
        <is>
          <t>White</t>
        </is>
      </c>
      <c r="O325" t="n">
        <v>70.5</v>
      </c>
      <c r="P325" t="n">
        <v>134</v>
      </c>
      <c r="Q325" t="n">
        <v>6389</v>
      </c>
      <c r="R325" t="inlineStr">
        <is>
          <t>Vegas</t>
        </is>
      </c>
      <c r="S325" t="inlineStr">
        <is>
          <t>Doubles</t>
        </is>
      </c>
      <c r="T325" t="inlineStr">
        <is>
          <t>Under 6'</t>
        </is>
      </c>
      <c r="U325" t="inlineStr">
        <is>
          <t>Norat</t>
        </is>
      </c>
      <c r="V325" t="inlineStr">
        <is>
          <t>Connors</t>
        </is>
      </c>
      <c r="W325" t="inlineStr">
        <is>
          <t>Pelican</t>
        </is>
      </c>
      <c r="Y325" t="inlineStr">
        <is>
          <t>Welker</t>
        </is>
      </c>
      <c r="AA325" t="n">
        <v>1</v>
      </c>
      <c r="AB325" t="inlineStr">
        <is>
          <t>W</t>
        </is>
      </c>
      <c r="AC325" t="inlineStr">
        <is>
          <t>1Up</t>
        </is>
      </c>
      <c r="AE325">
        <f>$V325&amp;$Y325</f>
        <v/>
      </c>
      <c r="AF325" t="n">
        <v>1</v>
      </c>
      <c r="AG325" t="n">
        <v>1</v>
      </c>
      <c r="AH325" t="n">
        <v>0</v>
      </c>
      <c r="AI325" t="n">
        <v>0</v>
      </c>
      <c r="AJ325" t="n">
        <v>1</v>
      </c>
      <c r="AK325" t="inlineStr">
        <is>
          <t>Buss</t>
        </is>
      </c>
      <c r="AL325" t="n">
        <v>0.448275862068966</v>
      </c>
      <c r="AM325" t="inlineStr">
        <is>
          <t>Mangold</t>
        </is>
      </c>
      <c r="AN325" t="n">
        <v>0.383928571428572</v>
      </c>
    </row>
    <row r="326" ht="15" customHeight="1" s="2">
      <c r="B326" t="n">
        <v>11</v>
      </c>
      <c r="C326" t="n">
        <v>1</v>
      </c>
      <c r="D326" t="n">
        <v>6</v>
      </c>
      <c r="E326" t="inlineStr">
        <is>
          <t>FBC6-D11</t>
        </is>
      </c>
      <c r="F326" t="inlineStr">
        <is>
          <t>Friday</t>
        </is>
      </c>
      <c r="G326" s="27" t="n">
        <v>43308</v>
      </c>
      <c r="H326" t="inlineStr">
        <is>
          <t>PM</t>
        </is>
      </c>
      <c r="I326" t="inlineStr">
        <is>
          <t>Arcadia, MI</t>
        </is>
      </c>
      <c r="J326" t="inlineStr">
        <is>
          <t>Midwest</t>
        </is>
      </c>
      <c r="K326" t="n">
        <v>9</v>
      </c>
      <c r="L326" t="inlineStr">
        <is>
          <t>Front</t>
        </is>
      </c>
      <c r="M326" t="inlineStr">
        <is>
          <t>Bluffs</t>
        </is>
      </c>
      <c r="N326" t="inlineStr">
        <is>
          <t>White</t>
        </is>
      </c>
      <c r="O326" t="n">
        <v>70.5</v>
      </c>
      <c r="P326" t="n">
        <v>134</v>
      </c>
      <c r="Q326" t="n">
        <v>6389</v>
      </c>
      <c r="R326" t="inlineStr">
        <is>
          <t>Pinehurst</t>
        </is>
      </c>
      <c r="S326" t="inlineStr">
        <is>
          <t>Doubles</t>
        </is>
      </c>
      <c r="T326" t="inlineStr">
        <is>
          <t>Over 6'</t>
        </is>
      </c>
      <c r="U326" t="inlineStr">
        <is>
          <t>Fogan</t>
        </is>
      </c>
      <c r="V326" t="inlineStr">
        <is>
          <t>Gray</t>
        </is>
      </c>
      <c r="W326" t="inlineStr">
        <is>
          <t>White</t>
        </is>
      </c>
      <c r="Y326" t="inlineStr">
        <is>
          <t>Lynch</t>
        </is>
      </c>
      <c r="AA326" t="n">
        <v>1</v>
      </c>
      <c r="AB326" t="inlineStr">
        <is>
          <t>L</t>
        </is>
      </c>
      <c r="AC326" t="inlineStr">
        <is>
          <t>1Up</t>
        </is>
      </c>
      <c r="AE326">
        <f>$V326&amp;$Y326</f>
        <v/>
      </c>
      <c r="AF326" t="n">
        <v>0</v>
      </c>
      <c r="AG326" t="n">
        <v>0</v>
      </c>
      <c r="AH326" t="n">
        <v>1</v>
      </c>
      <c r="AI326" t="n">
        <v>0</v>
      </c>
      <c r="AJ326" t="n">
        <v>0</v>
      </c>
      <c r="AK326" t="inlineStr">
        <is>
          <t>Ferrin</t>
        </is>
      </c>
      <c r="AL326" t="n">
        <v>0.595238095238095</v>
      </c>
      <c r="AM326" t="inlineStr">
        <is>
          <t>Flanders</t>
        </is>
      </c>
      <c r="AN326" t="n">
        <v>0.4296875</v>
      </c>
    </row>
    <row r="327" ht="15" customHeight="1" s="2">
      <c r="B327" t="n">
        <v>11</v>
      </c>
      <c r="C327" t="n">
        <v>1</v>
      </c>
      <c r="D327" t="n">
        <v>6</v>
      </c>
      <c r="E327" t="inlineStr">
        <is>
          <t>FBC6-D11</t>
        </is>
      </c>
      <c r="F327" t="inlineStr">
        <is>
          <t>Friday</t>
        </is>
      </c>
      <c r="G327" s="27" t="n">
        <v>43308</v>
      </c>
      <c r="H327" t="inlineStr">
        <is>
          <t>PM</t>
        </is>
      </c>
      <c r="I327" t="inlineStr">
        <is>
          <t>Arcadia, MI</t>
        </is>
      </c>
      <c r="J327" t="inlineStr">
        <is>
          <t>Midwest</t>
        </is>
      </c>
      <c r="K327" t="n">
        <v>9</v>
      </c>
      <c r="L327" t="inlineStr">
        <is>
          <t>Front</t>
        </is>
      </c>
      <c r="M327" t="inlineStr">
        <is>
          <t>Bluffs</t>
        </is>
      </c>
      <c r="N327" t="inlineStr">
        <is>
          <t>White</t>
        </is>
      </c>
      <c r="O327" t="n">
        <v>70.5</v>
      </c>
      <c r="P327" t="n">
        <v>134</v>
      </c>
      <c r="Q327" t="n">
        <v>6389</v>
      </c>
      <c r="R327" t="inlineStr">
        <is>
          <t>Pinehurst</t>
        </is>
      </c>
      <c r="S327" t="inlineStr">
        <is>
          <t>Doubles</t>
        </is>
      </c>
      <c r="T327" t="inlineStr">
        <is>
          <t>Under 6'</t>
        </is>
      </c>
      <c r="U327" t="inlineStr">
        <is>
          <t>Norat</t>
        </is>
      </c>
      <c r="V327" t="inlineStr">
        <is>
          <t>Ferrin</t>
        </is>
      </c>
      <c r="W327" t="inlineStr">
        <is>
          <t>Pelican</t>
        </is>
      </c>
      <c r="Y327" t="inlineStr">
        <is>
          <t>Flanders</t>
        </is>
      </c>
      <c r="AA327" t="n">
        <v>1</v>
      </c>
      <c r="AB327" t="inlineStr">
        <is>
          <t>W</t>
        </is>
      </c>
      <c r="AC327" t="inlineStr">
        <is>
          <t>1Up</t>
        </is>
      </c>
      <c r="AE327">
        <f>$V327&amp;$Y327</f>
        <v/>
      </c>
      <c r="AF327" t="n">
        <v>1</v>
      </c>
      <c r="AG327" t="n">
        <v>1</v>
      </c>
      <c r="AH327" t="n">
        <v>0</v>
      </c>
      <c r="AI327" t="n">
        <v>0</v>
      </c>
      <c r="AJ327" t="n">
        <v>1</v>
      </c>
      <c r="AK327" t="inlineStr">
        <is>
          <t>Gray</t>
        </is>
      </c>
      <c r="AL327" t="n">
        <v>0.654761904761905</v>
      </c>
      <c r="AM327" t="inlineStr">
        <is>
          <t>Lynch</t>
        </is>
      </c>
      <c r="AN327" t="n">
        <v>0.5546875</v>
      </c>
    </row>
    <row r="328" ht="15" customHeight="1" s="2">
      <c r="B328" t="n">
        <v>12</v>
      </c>
      <c r="C328" t="n">
        <v>2</v>
      </c>
      <c r="D328" t="n">
        <v>6</v>
      </c>
      <c r="E328" t="inlineStr">
        <is>
          <t>FBC6-D12</t>
        </is>
      </c>
      <c r="F328" t="inlineStr">
        <is>
          <t>Friday</t>
        </is>
      </c>
      <c r="G328" s="27" t="n">
        <v>43308</v>
      </c>
      <c r="H328" t="inlineStr">
        <is>
          <t>PM</t>
        </is>
      </c>
      <c r="I328" t="inlineStr">
        <is>
          <t>Arcadia, MI</t>
        </is>
      </c>
      <c r="J328" t="inlineStr">
        <is>
          <t>Midwest</t>
        </is>
      </c>
      <c r="K328" t="n">
        <v>9</v>
      </c>
      <c r="L328" t="inlineStr">
        <is>
          <t>Front</t>
        </is>
      </c>
      <c r="M328" t="inlineStr">
        <is>
          <t>Bluffs</t>
        </is>
      </c>
      <c r="N328" t="inlineStr">
        <is>
          <t>White</t>
        </is>
      </c>
      <c r="O328" t="n">
        <v>70.5</v>
      </c>
      <c r="P328" t="n">
        <v>134</v>
      </c>
      <c r="Q328" t="n">
        <v>6389</v>
      </c>
      <c r="R328" t="inlineStr">
        <is>
          <t>Pinehurst</t>
        </is>
      </c>
      <c r="S328" t="inlineStr">
        <is>
          <t>Doubles</t>
        </is>
      </c>
      <c r="T328" t="inlineStr">
        <is>
          <t>Under 6'</t>
        </is>
      </c>
      <c r="U328" t="inlineStr">
        <is>
          <t>Norat</t>
        </is>
      </c>
      <c r="V328" t="inlineStr">
        <is>
          <t>Connolly</t>
        </is>
      </c>
      <c r="W328" t="inlineStr">
        <is>
          <t>Pelican</t>
        </is>
      </c>
      <c r="Y328" t="inlineStr">
        <is>
          <t>Forster</t>
        </is>
      </c>
      <c r="AA328" t="n">
        <v>1</v>
      </c>
      <c r="AB328" t="inlineStr">
        <is>
          <t>W</t>
        </is>
      </c>
      <c r="AC328" t="inlineStr">
        <is>
          <t>4&amp;2</t>
        </is>
      </c>
      <c r="AE328">
        <f>$V328&amp;$Y328</f>
        <v/>
      </c>
      <c r="AF328" t="n">
        <v>1</v>
      </c>
      <c r="AG328" t="n">
        <v>1</v>
      </c>
      <c r="AH328" t="n">
        <v>0</v>
      </c>
      <c r="AI328" t="n">
        <v>0</v>
      </c>
      <c r="AJ328" t="n">
        <v>1</v>
      </c>
      <c r="AK328" t="inlineStr">
        <is>
          <t>Fogan</t>
        </is>
      </c>
      <c r="AL328" t="n">
        <v>0.372881355932203</v>
      </c>
      <c r="AM328" t="inlineStr">
        <is>
          <t>Hilts</t>
        </is>
      </c>
      <c r="AN328" t="n">
        <v>0.473214285714286</v>
      </c>
    </row>
    <row r="329" ht="15" customHeight="1" s="2">
      <c r="B329" t="n">
        <v>12</v>
      </c>
      <c r="C329" t="n">
        <v>2</v>
      </c>
      <c r="D329" t="n">
        <v>6</v>
      </c>
      <c r="E329" t="inlineStr">
        <is>
          <t>FBC6-D12</t>
        </is>
      </c>
      <c r="F329" t="inlineStr">
        <is>
          <t>Friday</t>
        </is>
      </c>
      <c r="G329" s="27" t="n">
        <v>43308</v>
      </c>
      <c r="H329" t="inlineStr">
        <is>
          <t>PM</t>
        </is>
      </c>
      <c r="I329" t="inlineStr">
        <is>
          <t>Arcadia, MI</t>
        </is>
      </c>
      <c r="J329" t="inlineStr">
        <is>
          <t>Midwest</t>
        </is>
      </c>
      <c r="K329" t="n">
        <v>9</v>
      </c>
      <c r="L329" t="inlineStr">
        <is>
          <t>Front</t>
        </is>
      </c>
      <c r="M329" t="inlineStr">
        <is>
          <t>Bluffs</t>
        </is>
      </c>
      <c r="N329" t="inlineStr">
        <is>
          <t>White</t>
        </is>
      </c>
      <c r="O329" t="n">
        <v>70.5</v>
      </c>
      <c r="P329" t="n">
        <v>134</v>
      </c>
      <c r="Q329" t="n">
        <v>6389</v>
      </c>
      <c r="R329" t="inlineStr">
        <is>
          <t>Pinehurst</t>
        </is>
      </c>
      <c r="S329" t="inlineStr">
        <is>
          <t>Doubles</t>
        </is>
      </c>
      <c r="T329" t="inlineStr">
        <is>
          <t>Over 6'</t>
        </is>
      </c>
      <c r="U329" t="inlineStr">
        <is>
          <t>Fogan</t>
        </is>
      </c>
      <c r="V329" t="inlineStr">
        <is>
          <t>Fogan</t>
        </is>
      </c>
      <c r="W329" t="inlineStr">
        <is>
          <t>White</t>
        </is>
      </c>
      <c r="Y329" t="inlineStr">
        <is>
          <t>Hilts</t>
        </is>
      </c>
      <c r="AA329" t="n">
        <v>1</v>
      </c>
      <c r="AB329" t="inlineStr">
        <is>
          <t>L</t>
        </is>
      </c>
      <c r="AC329" t="inlineStr">
        <is>
          <t>4&amp;2</t>
        </is>
      </c>
      <c r="AE329">
        <f>$V329&amp;$Y329</f>
        <v/>
      </c>
      <c r="AF329" t="n">
        <v>0</v>
      </c>
      <c r="AG329" t="n">
        <v>0</v>
      </c>
      <c r="AH329" t="n">
        <v>1</v>
      </c>
      <c r="AI329" t="n">
        <v>0</v>
      </c>
      <c r="AJ329" t="n">
        <v>0</v>
      </c>
      <c r="AK329" t="inlineStr">
        <is>
          <t>Connolly</t>
        </is>
      </c>
      <c r="AL329" t="n">
        <v>0.59375</v>
      </c>
      <c r="AM329" t="inlineStr">
        <is>
          <t>Forster</t>
        </is>
      </c>
      <c r="AN329" t="n">
        <v>0.596491228070175</v>
      </c>
    </row>
    <row r="330" ht="15" customHeight="1" s="2">
      <c r="B330" t="n">
        <v>13</v>
      </c>
      <c r="C330" t="n">
        <v>3</v>
      </c>
      <c r="D330" t="n">
        <v>6</v>
      </c>
      <c r="E330" t="inlineStr">
        <is>
          <t>FBC6-D13</t>
        </is>
      </c>
      <c r="F330" t="inlineStr">
        <is>
          <t>Friday</t>
        </is>
      </c>
      <c r="G330" s="27" t="n">
        <v>43308</v>
      </c>
      <c r="H330" t="inlineStr">
        <is>
          <t>PM</t>
        </is>
      </c>
      <c r="I330" t="inlineStr">
        <is>
          <t>Arcadia, MI</t>
        </is>
      </c>
      <c r="J330" t="inlineStr">
        <is>
          <t>Midwest</t>
        </is>
      </c>
      <c r="K330" t="n">
        <v>9</v>
      </c>
      <c r="L330" t="inlineStr">
        <is>
          <t>Front</t>
        </is>
      </c>
      <c r="M330" t="inlineStr">
        <is>
          <t>Bluffs</t>
        </is>
      </c>
      <c r="N330" t="inlineStr">
        <is>
          <t>White</t>
        </is>
      </c>
      <c r="O330" t="n">
        <v>70.5</v>
      </c>
      <c r="P330" t="n">
        <v>134</v>
      </c>
      <c r="Q330" t="n">
        <v>6389</v>
      </c>
      <c r="R330" t="inlineStr">
        <is>
          <t>Pinehurst</t>
        </is>
      </c>
      <c r="S330" t="inlineStr">
        <is>
          <t>Doubles</t>
        </is>
      </c>
      <c r="T330" t="inlineStr">
        <is>
          <t>Over 6'</t>
        </is>
      </c>
      <c r="U330" t="inlineStr">
        <is>
          <t>Fogan</t>
        </is>
      </c>
      <c r="V330" t="inlineStr">
        <is>
          <t>Jackson</t>
        </is>
      </c>
      <c r="W330" t="inlineStr">
        <is>
          <t>White</t>
        </is>
      </c>
      <c r="Y330" t="inlineStr">
        <is>
          <t>McInerney</t>
        </is>
      </c>
      <c r="AA330" t="n">
        <v>1</v>
      </c>
      <c r="AB330" t="inlineStr">
        <is>
          <t>W</t>
        </is>
      </c>
      <c r="AC330" t="inlineStr">
        <is>
          <t>1Up</t>
        </is>
      </c>
      <c r="AE330">
        <f>$V330&amp;$Y330</f>
        <v/>
      </c>
      <c r="AF330" t="n">
        <v>1</v>
      </c>
      <c r="AG330" t="n">
        <v>1</v>
      </c>
      <c r="AH330" t="n">
        <v>0</v>
      </c>
      <c r="AI330" t="n">
        <v>0</v>
      </c>
      <c r="AJ330" t="n">
        <v>1</v>
      </c>
      <c r="AK330" t="inlineStr">
        <is>
          <t>Cole</t>
        </is>
      </c>
      <c r="AL330" t="n">
        <v>0.440677966101695</v>
      </c>
      <c r="AM330" t="inlineStr">
        <is>
          <t>Poirier</t>
        </is>
      </c>
      <c r="AN330" t="n">
        <v>0.486111111111111</v>
      </c>
    </row>
    <row r="331" ht="15" customHeight="1" s="2">
      <c r="B331" t="n">
        <v>13</v>
      </c>
      <c r="C331" t="n">
        <v>3</v>
      </c>
      <c r="D331" t="n">
        <v>6</v>
      </c>
      <c r="E331" t="inlineStr">
        <is>
          <t>FBC6-D13</t>
        </is>
      </c>
      <c r="F331" t="inlineStr">
        <is>
          <t>Friday</t>
        </is>
      </c>
      <c r="G331" s="27" t="n">
        <v>43308</v>
      </c>
      <c r="H331" t="inlineStr">
        <is>
          <t>PM</t>
        </is>
      </c>
      <c r="I331" t="inlineStr">
        <is>
          <t>Arcadia, MI</t>
        </is>
      </c>
      <c r="J331" t="inlineStr">
        <is>
          <t>Midwest</t>
        </is>
      </c>
      <c r="K331" t="n">
        <v>9</v>
      </c>
      <c r="L331" t="inlineStr">
        <is>
          <t>Front</t>
        </is>
      </c>
      <c r="M331" t="inlineStr">
        <is>
          <t>Bluffs</t>
        </is>
      </c>
      <c r="N331" t="inlineStr">
        <is>
          <t>White</t>
        </is>
      </c>
      <c r="O331" t="n">
        <v>70.5</v>
      </c>
      <c r="P331" t="n">
        <v>134</v>
      </c>
      <c r="Q331" t="n">
        <v>6389</v>
      </c>
      <c r="R331" t="inlineStr">
        <is>
          <t>Pinehurst</t>
        </is>
      </c>
      <c r="S331" t="inlineStr">
        <is>
          <t>Doubles</t>
        </is>
      </c>
      <c r="T331" t="inlineStr">
        <is>
          <t>Under 6'</t>
        </is>
      </c>
      <c r="U331" t="inlineStr">
        <is>
          <t>Norat</t>
        </is>
      </c>
      <c r="V331" t="inlineStr">
        <is>
          <t>Cole</t>
        </is>
      </c>
      <c r="W331" t="inlineStr">
        <is>
          <t>Pelican</t>
        </is>
      </c>
      <c r="Y331" t="inlineStr">
        <is>
          <t>Poirier</t>
        </is>
      </c>
      <c r="AA331" t="n">
        <v>1</v>
      </c>
      <c r="AB331" t="inlineStr">
        <is>
          <t>L</t>
        </is>
      </c>
      <c r="AC331" t="inlineStr">
        <is>
          <t>1Up</t>
        </is>
      </c>
      <c r="AE331">
        <f>$V331&amp;$Y331</f>
        <v/>
      </c>
      <c r="AF331" t="n">
        <v>0</v>
      </c>
      <c r="AG331" t="n">
        <v>0</v>
      </c>
      <c r="AH331" t="n">
        <v>1</v>
      </c>
      <c r="AI331" t="n">
        <v>0</v>
      </c>
      <c r="AJ331" t="n">
        <v>0</v>
      </c>
      <c r="AK331" t="inlineStr">
        <is>
          <t>Jackson</t>
        </is>
      </c>
      <c r="AL331" t="n">
        <v>0.6171875</v>
      </c>
      <c r="AM331" t="inlineStr">
        <is>
          <t>McInerney</t>
        </is>
      </c>
      <c r="AN331" t="n">
        <v>0.5</v>
      </c>
    </row>
    <row r="332" ht="15" customHeight="1" s="2">
      <c r="B332" t="n">
        <v>14</v>
      </c>
      <c r="C332" t="n">
        <v>4</v>
      </c>
      <c r="D332" t="n">
        <v>6</v>
      </c>
      <c r="E332" t="inlineStr">
        <is>
          <t>FBC6-D14</t>
        </is>
      </c>
      <c r="F332" t="inlineStr">
        <is>
          <t>Friday</t>
        </is>
      </c>
      <c r="G332" s="27" t="n">
        <v>43308</v>
      </c>
      <c r="H332" t="inlineStr">
        <is>
          <t>PM</t>
        </is>
      </c>
      <c r="I332" t="inlineStr">
        <is>
          <t>Arcadia, MI</t>
        </is>
      </c>
      <c r="J332" t="inlineStr">
        <is>
          <t>Midwest</t>
        </is>
      </c>
      <c r="K332" t="n">
        <v>9</v>
      </c>
      <c r="L332" t="inlineStr">
        <is>
          <t>Front</t>
        </is>
      </c>
      <c r="M332" t="inlineStr">
        <is>
          <t>Bluffs</t>
        </is>
      </c>
      <c r="N332" t="inlineStr">
        <is>
          <t>White</t>
        </is>
      </c>
      <c r="O332" t="n">
        <v>70.5</v>
      </c>
      <c r="P332" t="n">
        <v>134</v>
      </c>
      <c r="Q332" t="n">
        <v>6389</v>
      </c>
      <c r="R332" t="inlineStr">
        <is>
          <t>Pinehurst</t>
        </is>
      </c>
      <c r="S332" t="inlineStr">
        <is>
          <t>Doubles</t>
        </is>
      </c>
      <c r="T332" t="inlineStr">
        <is>
          <t>Under 6'</t>
        </is>
      </c>
      <c r="U332" t="inlineStr">
        <is>
          <t>Norat</t>
        </is>
      </c>
      <c r="V332" t="inlineStr">
        <is>
          <t>Norat</t>
        </is>
      </c>
      <c r="W332" t="inlineStr">
        <is>
          <t>Pelican</t>
        </is>
      </c>
      <c r="Y332" t="inlineStr">
        <is>
          <t>Welker</t>
        </is>
      </c>
      <c r="AA332" t="n">
        <v>1</v>
      </c>
      <c r="AB332" t="inlineStr">
        <is>
          <t>W</t>
        </is>
      </c>
      <c r="AC332" t="inlineStr">
        <is>
          <t>3&amp;1</t>
        </is>
      </c>
      <c r="AE332">
        <f>$V332&amp;$Y332</f>
        <v/>
      </c>
      <c r="AF332" t="n">
        <v>1</v>
      </c>
      <c r="AG332" t="n">
        <v>1</v>
      </c>
      <c r="AH332" t="n">
        <v>0</v>
      </c>
      <c r="AI332" t="n">
        <v>0</v>
      </c>
      <c r="AJ332" t="n">
        <v>1</v>
      </c>
      <c r="AK332" t="inlineStr">
        <is>
          <t>Grise</t>
        </is>
      </c>
      <c r="AL332" t="n">
        <v>0.546875</v>
      </c>
      <c r="AM332" t="inlineStr">
        <is>
          <t>Mangold</t>
        </is>
      </c>
      <c r="AN332" t="n">
        <v>0.383928571428572</v>
      </c>
    </row>
    <row r="333" ht="15" customHeight="1" s="2">
      <c r="B333" t="n">
        <v>14</v>
      </c>
      <c r="C333" t="n">
        <v>4</v>
      </c>
      <c r="D333" t="n">
        <v>6</v>
      </c>
      <c r="E333" t="inlineStr">
        <is>
          <t>FBC6-D14</t>
        </is>
      </c>
      <c r="F333" t="inlineStr">
        <is>
          <t>Friday</t>
        </is>
      </c>
      <c r="G333" s="27" t="n">
        <v>43308</v>
      </c>
      <c r="H333" t="inlineStr">
        <is>
          <t>PM</t>
        </is>
      </c>
      <c r="I333" t="inlineStr">
        <is>
          <t>Arcadia, MI</t>
        </is>
      </c>
      <c r="J333" t="inlineStr">
        <is>
          <t>Midwest</t>
        </is>
      </c>
      <c r="K333" t="n">
        <v>9</v>
      </c>
      <c r="L333" t="inlineStr">
        <is>
          <t>Front</t>
        </is>
      </c>
      <c r="M333" t="inlineStr">
        <is>
          <t>Bluffs</t>
        </is>
      </c>
      <c r="N333" t="inlineStr">
        <is>
          <t>White</t>
        </is>
      </c>
      <c r="O333" t="n">
        <v>70.5</v>
      </c>
      <c r="P333" t="n">
        <v>134</v>
      </c>
      <c r="Q333" t="n">
        <v>6389</v>
      </c>
      <c r="R333" t="inlineStr">
        <is>
          <t>Pinehurst</t>
        </is>
      </c>
      <c r="S333" t="inlineStr">
        <is>
          <t>Doubles</t>
        </is>
      </c>
      <c r="T333" t="inlineStr">
        <is>
          <t>Over 6'</t>
        </is>
      </c>
      <c r="U333" t="inlineStr">
        <is>
          <t>Fogan</t>
        </is>
      </c>
      <c r="V333" t="inlineStr">
        <is>
          <t>Grise</t>
        </is>
      </c>
      <c r="W333" t="inlineStr">
        <is>
          <t>White</t>
        </is>
      </c>
      <c r="Y333" t="inlineStr">
        <is>
          <t>Mangold</t>
        </is>
      </c>
      <c r="AA333" t="n">
        <v>1</v>
      </c>
      <c r="AB333" t="inlineStr">
        <is>
          <t>L</t>
        </is>
      </c>
      <c r="AC333" t="inlineStr">
        <is>
          <t>3&amp;1</t>
        </is>
      </c>
      <c r="AE333">
        <f>$V333&amp;$Y333</f>
        <v/>
      </c>
      <c r="AF333" t="n">
        <v>0</v>
      </c>
      <c r="AG333" t="n">
        <v>0</v>
      </c>
      <c r="AH333" t="n">
        <v>1</v>
      </c>
      <c r="AI333" t="n">
        <v>0</v>
      </c>
      <c r="AJ333" t="n">
        <v>0</v>
      </c>
      <c r="AK333" t="inlineStr">
        <is>
          <t>Norat</t>
        </is>
      </c>
      <c r="AL333" t="n">
        <v>0.527777777777778</v>
      </c>
      <c r="AM333" t="inlineStr">
        <is>
          <t>Welker</t>
        </is>
      </c>
      <c r="AN333" t="n">
        <v>0.510416666666667</v>
      </c>
    </row>
    <row r="334" ht="15" customHeight="1" s="2">
      <c r="B334" t="n">
        <v>15</v>
      </c>
      <c r="C334" t="n">
        <v>5</v>
      </c>
      <c r="D334" t="n">
        <v>6</v>
      </c>
      <c r="E334" t="inlineStr">
        <is>
          <t>FBC6-D15</t>
        </is>
      </c>
      <c r="F334" t="inlineStr">
        <is>
          <t>Friday</t>
        </is>
      </c>
      <c r="G334" s="27" t="n">
        <v>43308</v>
      </c>
      <c r="H334" t="inlineStr">
        <is>
          <t>PM</t>
        </is>
      </c>
      <c r="I334" t="inlineStr">
        <is>
          <t>Arcadia, MI</t>
        </is>
      </c>
      <c r="J334" t="inlineStr">
        <is>
          <t>Midwest</t>
        </is>
      </c>
      <c r="K334" t="n">
        <v>9</v>
      </c>
      <c r="L334" t="inlineStr">
        <is>
          <t>Front</t>
        </is>
      </c>
      <c r="M334" t="inlineStr">
        <is>
          <t>Bluffs</t>
        </is>
      </c>
      <c r="N334" t="inlineStr">
        <is>
          <t>White</t>
        </is>
      </c>
      <c r="O334" t="n">
        <v>70.5</v>
      </c>
      <c r="P334" t="n">
        <v>134</v>
      </c>
      <c r="Q334" t="n">
        <v>6389</v>
      </c>
      <c r="R334" t="inlineStr">
        <is>
          <t>Pinehurst</t>
        </is>
      </c>
      <c r="S334" t="inlineStr">
        <is>
          <t>Doubles</t>
        </is>
      </c>
      <c r="T334" t="inlineStr">
        <is>
          <t>Over 6'</t>
        </is>
      </c>
      <c r="U334" t="inlineStr">
        <is>
          <t>Fogan</t>
        </is>
      </c>
      <c r="V334" t="inlineStr">
        <is>
          <t>Buss</t>
        </is>
      </c>
      <c r="W334" t="inlineStr">
        <is>
          <t>White</t>
        </is>
      </c>
      <c r="Y334" t="inlineStr">
        <is>
          <t>Shively</t>
        </is>
      </c>
      <c r="AA334" t="n">
        <v>1</v>
      </c>
      <c r="AB334" t="inlineStr">
        <is>
          <t>W</t>
        </is>
      </c>
      <c r="AC334" t="inlineStr">
        <is>
          <t>1Up</t>
        </is>
      </c>
      <c r="AE334">
        <f>$V334&amp;$Y334</f>
        <v/>
      </c>
      <c r="AF334" t="n">
        <v>1</v>
      </c>
      <c r="AG334" t="n">
        <v>1</v>
      </c>
      <c r="AH334" t="n">
        <v>0</v>
      </c>
      <c r="AI334" t="n">
        <v>0</v>
      </c>
      <c r="AJ334" t="n">
        <v>1</v>
      </c>
      <c r="AK334" t="inlineStr">
        <is>
          <t>Connors</t>
        </is>
      </c>
      <c r="AL334" t="n">
        <v>0.347457627118644</v>
      </c>
      <c r="AM334" t="inlineStr">
        <is>
          <t>Zimmer</t>
        </is>
      </c>
      <c r="AN334" t="n">
        <v>0.5</v>
      </c>
    </row>
    <row r="335" ht="15" customHeight="1" s="2">
      <c r="B335" t="n">
        <v>15</v>
      </c>
      <c r="C335" t="n">
        <v>5</v>
      </c>
      <c r="D335" t="n">
        <v>6</v>
      </c>
      <c r="E335" t="inlineStr">
        <is>
          <t>FBC6-D15</t>
        </is>
      </c>
      <c r="F335" t="inlineStr">
        <is>
          <t>Friday</t>
        </is>
      </c>
      <c r="G335" s="27" t="n">
        <v>43308</v>
      </c>
      <c r="H335" t="inlineStr">
        <is>
          <t>PM</t>
        </is>
      </c>
      <c r="I335" t="inlineStr">
        <is>
          <t>Arcadia, MI</t>
        </is>
      </c>
      <c r="J335" t="inlineStr">
        <is>
          <t>Midwest</t>
        </is>
      </c>
      <c r="K335" t="n">
        <v>9</v>
      </c>
      <c r="L335" t="inlineStr">
        <is>
          <t>Front</t>
        </is>
      </c>
      <c r="M335" t="inlineStr">
        <is>
          <t>Bluffs</t>
        </is>
      </c>
      <c r="N335" t="inlineStr">
        <is>
          <t>White</t>
        </is>
      </c>
      <c r="O335" t="n">
        <v>70.5</v>
      </c>
      <c r="P335" t="n">
        <v>134</v>
      </c>
      <c r="Q335" t="n">
        <v>6389</v>
      </c>
      <c r="R335" t="inlineStr">
        <is>
          <t>Pinehurst</t>
        </is>
      </c>
      <c r="S335" t="inlineStr">
        <is>
          <t>Doubles</t>
        </is>
      </c>
      <c r="T335" t="inlineStr">
        <is>
          <t>Under 6'</t>
        </is>
      </c>
      <c r="U335" t="inlineStr">
        <is>
          <t>Norat</t>
        </is>
      </c>
      <c r="V335" t="inlineStr">
        <is>
          <t>Connors</t>
        </is>
      </c>
      <c r="W335" t="inlineStr">
        <is>
          <t>Pelican</t>
        </is>
      </c>
      <c r="Y335" t="inlineStr">
        <is>
          <t>Zimmer</t>
        </is>
      </c>
      <c r="AA335" t="n">
        <v>1</v>
      </c>
      <c r="AB335" t="inlineStr">
        <is>
          <t>L</t>
        </is>
      </c>
      <c r="AC335" t="inlineStr">
        <is>
          <t>1Up</t>
        </is>
      </c>
      <c r="AE335">
        <f>$V335&amp;$Y335</f>
        <v/>
      </c>
      <c r="AF335" t="n">
        <v>0</v>
      </c>
      <c r="AG335" t="n">
        <v>0</v>
      </c>
      <c r="AH335" t="n">
        <v>1</v>
      </c>
      <c r="AI335" t="n">
        <v>0</v>
      </c>
      <c r="AJ335" t="n">
        <v>0</v>
      </c>
      <c r="AK335" t="inlineStr">
        <is>
          <t>Buss</t>
        </is>
      </c>
      <c r="AL335" t="n">
        <v>0.448275862068966</v>
      </c>
      <c r="AM335" t="inlineStr">
        <is>
          <t>Shively</t>
        </is>
      </c>
    </row>
    <row r="336" ht="15" customHeight="1" s="2">
      <c r="B336" t="n">
        <v>16</v>
      </c>
      <c r="C336" t="n">
        <v>1</v>
      </c>
      <c r="D336" t="n">
        <v>6</v>
      </c>
      <c r="E336" t="inlineStr">
        <is>
          <t>FBC6-D16</t>
        </is>
      </c>
      <c r="F336" t="inlineStr">
        <is>
          <t>Friday</t>
        </is>
      </c>
      <c r="G336" s="27" t="n">
        <v>43308</v>
      </c>
      <c r="H336" t="inlineStr">
        <is>
          <t>PM</t>
        </is>
      </c>
      <c r="I336" t="inlineStr">
        <is>
          <t>Arcadia, MI</t>
        </is>
      </c>
      <c r="J336" t="inlineStr">
        <is>
          <t>Midwest</t>
        </is>
      </c>
      <c r="K336" t="n">
        <v>9</v>
      </c>
      <c r="L336" t="inlineStr">
        <is>
          <t>Back</t>
        </is>
      </c>
      <c r="M336" t="inlineStr">
        <is>
          <t>Bluffs</t>
        </is>
      </c>
      <c r="N336" t="inlineStr">
        <is>
          <t>White</t>
        </is>
      </c>
      <c r="O336" t="n">
        <v>70.5</v>
      </c>
      <c r="P336" t="n">
        <v>134</v>
      </c>
      <c r="Q336" t="n">
        <v>6389</v>
      </c>
      <c r="R336" t="inlineStr">
        <is>
          <t>Scramble-Stableford</t>
        </is>
      </c>
      <c r="S336" t="inlineStr">
        <is>
          <t>Doubles</t>
        </is>
      </c>
      <c r="T336" t="inlineStr">
        <is>
          <t>Over 6'</t>
        </is>
      </c>
      <c r="U336" t="inlineStr">
        <is>
          <t>Fogan</t>
        </is>
      </c>
      <c r="V336" t="inlineStr">
        <is>
          <t>Gray</t>
        </is>
      </c>
      <c r="W336" t="inlineStr">
        <is>
          <t>White</t>
        </is>
      </c>
      <c r="Y336" t="inlineStr">
        <is>
          <t>Lynch</t>
        </is>
      </c>
      <c r="AA336" t="n">
        <v>1</v>
      </c>
      <c r="AB336" t="inlineStr">
        <is>
          <t>W</t>
        </is>
      </c>
      <c r="AC336" t="inlineStr">
        <is>
          <t>22-20</t>
        </is>
      </c>
      <c r="AE336">
        <f>$V336&amp;$Y336</f>
        <v/>
      </c>
      <c r="AF336" t="n">
        <v>1</v>
      </c>
      <c r="AG336" t="n">
        <v>1</v>
      </c>
      <c r="AH336" t="n">
        <v>0</v>
      </c>
      <c r="AI336" t="n">
        <v>0</v>
      </c>
      <c r="AJ336" t="n">
        <v>1</v>
      </c>
      <c r="AK336" t="inlineStr">
        <is>
          <t>Ferrin</t>
        </is>
      </c>
      <c r="AL336" t="n">
        <v>0.595238095238095</v>
      </c>
      <c r="AM336" t="inlineStr">
        <is>
          <t>Flanders</t>
        </is>
      </c>
      <c r="AN336" t="n">
        <v>0.4296875</v>
      </c>
    </row>
    <row r="337" ht="15" customHeight="1" s="2">
      <c r="B337" t="n">
        <v>16</v>
      </c>
      <c r="C337" t="n">
        <v>1</v>
      </c>
      <c r="D337" t="n">
        <v>6</v>
      </c>
      <c r="E337" t="inlineStr">
        <is>
          <t>FBC6-D16</t>
        </is>
      </c>
      <c r="F337" t="inlineStr">
        <is>
          <t>Friday</t>
        </is>
      </c>
      <c r="G337" s="27" t="n">
        <v>43308</v>
      </c>
      <c r="H337" t="inlineStr">
        <is>
          <t>PM</t>
        </is>
      </c>
      <c r="I337" t="inlineStr">
        <is>
          <t>Arcadia, MI</t>
        </is>
      </c>
      <c r="J337" t="inlineStr">
        <is>
          <t>Midwest</t>
        </is>
      </c>
      <c r="K337" t="n">
        <v>9</v>
      </c>
      <c r="L337" t="inlineStr">
        <is>
          <t>Back</t>
        </is>
      </c>
      <c r="M337" t="inlineStr">
        <is>
          <t>Bluffs</t>
        </is>
      </c>
      <c r="N337" t="inlineStr">
        <is>
          <t>White</t>
        </is>
      </c>
      <c r="O337" t="n">
        <v>70.5</v>
      </c>
      <c r="P337" t="n">
        <v>134</v>
      </c>
      <c r="Q337" t="n">
        <v>6389</v>
      </c>
      <c r="R337" t="inlineStr">
        <is>
          <t>Scramble-Stableford</t>
        </is>
      </c>
      <c r="S337" t="inlineStr">
        <is>
          <t>Doubles</t>
        </is>
      </c>
      <c r="T337" t="inlineStr">
        <is>
          <t>Under 6'</t>
        </is>
      </c>
      <c r="U337" t="inlineStr">
        <is>
          <t>Norat</t>
        </is>
      </c>
      <c r="V337" t="inlineStr">
        <is>
          <t>Ferrin</t>
        </is>
      </c>
      <c r="W337" t="inlineStr">
        <is>
          <t>Pelican</t>
        </is>
      </c>
      <c r="Y337" t="inlineStr">
        <is>
          <t>Flanders</t>
        </is>
      </c>
      <c r="AA337" t="n">
        <v>1</v>
      </c>
      <c r="AB337" t="inlineStr">
        <is>
          <t>L</t>
        </is>
      </c>
      <c r="AC337" t="inlineStr">
        <is>
          <t>22-20</t>
        </is>
      </c>
      <c r="AE337">
        <f>$V337&amp;$Y337</f>
        <v/>
      </c>
      <c r="AF337" t="n">
        <v>0</v>
      </c>
      <c r="AG337" t="n">
        <v>0</v>
      </c>
      <c r="AH337" t="n">
        <v>1</v>
      </c>
      <c r="AI337" t="n">
        <v>0</v>
      </c>
      <c r="AJ337" t="n">
        <v>0</v>
      </c>
      <c r="AK337" t="inlineStr">
        <is>
          <t>Gray</t>
        </is>
      </c>
      <c r="AL337" t="n">
        <v>0.654761904761905</v>
      </c>
      <c r="AM337" t="inlineStr">
        <is>
          <t>Lynch</t>
        </is>
      </c>
      <c r="AN337" t="n">
        <v>0.5546875</v>
      </c>
    </row>
    <row r="338" ht="15" customHeight="1" s="2">
      <c r="B338" t="n">
        <v>17</v>
      </c>
      <c r="C338" t="n">
        <v>2</v>
      </c>
      <c r="D338" t="n">
        <v>6</v>
      </c>
      <c r="E338" t="inlineStr">
        <is>
          <t>FBC6-D17</t>
        </is>
      </c>
      <c r="F338" t="inlineStr">
        <is>
          <t>Friday</t>
        </is>
      </c>
      <c r="G338" s="27" t="n">
        <v>43308</v>
      </c>
      <c r="H338" t="inlineStr">
        <is>
          <t>PM</t>
        </is>
      </c>
      <c r="I338" t="inlineStr">
        <is>
          <t>Arcadia, MI</t>
        </is>
      </c>
      <c r="J338" t="inlineStr">
        <is>
          <t>Midwest</t>
        </is>
      </c>
      <c r="K338" t="n">
        <v>9</v>
      </c>
      <c r="L338" t="inlineStr">
        <is>
          <t>Back</t>
        </is>
      </c>
      <c r="M338" t="inlineStr">
        <is>
          <t>Bluffs</t>
        </is>
      </c>
      <c r="N338" t="inlineStr">
        <is>
          <t>White</t>
        </is>
      </c>
      <c r="O338" t="n">
        <v>70.5</v>
      </c>
      <c r="P338" t="n">
        <v>134</v>
      </c>
      <c r="Q338" t="n">
        <v>6389</v>
      </c>
      <c r="R338" t="inlineStr">
        <is>
          <t>Scramble-Stableford</t>
        </is>
      </c>
      <c r="S338" t="inlineStr">
        <is>
          <t>Doubles</t>
        </is>
      </c>
      <c r="T338" t="inlineStr">
        <is>
          <t>Under 6'</t>
        </is>
      </c>
      <c r="U338" t="inlineStr">
        <is>
          <t>Norat</t>
        </is>
      </c>
      <c r="V338" t="inlineStr">
        <is>
          <t>Connolly</t>
        </is>
      </c>
      <c r="W338" t="inlineStr">
        <is>
          <t>Pelican</t>
        </is>
      </c>
      <c r="Y338" t="inlineStr">
        <is>
          <t>Forster</t>
        </is>
      </c>
      <c r="AA338" t="n">
        <v>1</v>
      </c>
      <c r="AB338" t="inlineStr">
        <is>
          <t>W</t>
        </is>
      </c>
      <c r="AC338" t="inlineStr">
        <is>
          <t>22-18</t>
        </is>
      </c>
      <c r="AE338">
        <f>$V338&amp;$Y338</f>
        <v/>
      </c>
      <c r="AF338" t="n">
        <v>1</v>
      </c>
      <c r="AG338" t="n">
        <v>1</v>
      </c>
      <c r="AH338" t="n">
        <v>0</v>
      </c>
      <c r="AI338" t="n">
        <v>0</v>
      </c>
      <c r="AJ338" t="n">
        <v>1</v>
      </c>
      <c r="AK338" t="inlineStr">
        <is>
          <t>Fogan</t>
        </is>
      </c>
      <c r="AL338" t="n">
        <v>0.372881355932203</v>
      </c>
      <c r="AM338" t="inlineStr">
        <is>
          <t>Hilts</t>
        </is>
      </c>
      <c r="AN338" t="n">
        <v>0.473214285714286</v>
      </c>
    </row>
    <row r="339" ht="15" customHeight="1" s="2">
      <c r="B339" t="n">
        <v>17</v>
      </c>
      <c r="C339" t="n">
        <v>2</v>
      </c>
      <c r="D339" t="n">
        <v>6</v>
      </c>
      <c r="E339" t="inlineStr">
        <is>
          <t>FBC6-D17</t>
        </is>
      </c>
      <c r="F339" t="inlineStr">
        <is>
          <t>Friday</t>
        </is>
      </c>
      <c r="G339" s="27" t="n">
        <v>43308</v>
      </c>
      <c r="H339" t="inlineStr">
        <is>
          <t>PM</t>
        </is>
      </c>
      <c r="I339" t="inlineStr">
        <is>
          <t>Arcadia, MI</t>
        </is>
      </c>
      <c r="J339" t="inlineStr">
        <is>
          <t>Midwest</t>
        </is>
      </c>
      <c r="K339" t="n">
        <v>9</v>
      </c>
      <c r="L339" t="inlineStr">
        <is>
          <t>Back</t>
        </is>
      </c>
      <c r="M339" t="inlineStr">
        <is>
          <t>Bluffs</t>
        </is>
      </c>
      <c r="N339" t="inlineStr">
        <is>
          <t>White</t>
        </is>
      </c>
      <c r="O339" t="n">
        <v>70.5</v>
      </c>
      <c r="P339" t="n">
        <v>134</v>
      </c>
      <c r="Q339" t="n">
        <v>6389</v>
      </c>
      <c r="R339" t="inlineStr">
        <is>
          <t>Scramble-Stableford</t>
        </is>
      </c>
      <c r="S339" t="inlineStr">
        <is>
          <t>Doubles</t>
        </is>
      </c>
      <c r="T339" t="inlineStr">
        <is>
          <t>Over 6'</t>
        </is>
      </c>
      <c r="U339" t="inlineStr">
        <is>
          <t>Fogan</t>
        </is>
      </c>
      <c r="V339" t="inlineStr">
        <is>
          <t>Fogan</t>
        </is>
      </c>
      <c r="W339" t="inlineStr">
        <is>
          <t>White</t>
        </is>
      </c>
      <c r="Y339" t="inlineStr">
        <is>
          <t>Hilts</t>
        </is>
      </c>
      <c r="AA339" t="n">
        <v>1</v>
      </c>
      <c r="AB339" t="inlineStr">
        <is>
          <t>L</t>
        </is>
      </c>
      <c r="AC339" t="inlineStr">
        <is>
          <t>22-18</t>
        </is>
      </c>
      <c r="AE339">
        <f>$V339&amp;$Y339</f>
        <v/>
      </c>
      <c r="AF339" t="n">
        <v>0</v>
      </c>
      <c r="AG339" t="n">
        <v>0</v>
      </c>
      <c r="AH339" t="n">
        <v>1</v>
      </c>
      <c r="AI339" t="n">
        <v>0</v>
      </c>
      <c r="AJ339" t="n">
        <v>0</v>
      </c>
      <c r="AK339" t="inlineStr">
        <is>
          <t>Connolly</t>
        </is>
      </c>
      <c r="AL339" t="n">
        <v>0.59375</v>
      </c>
      <c r="AM339" t="inlineStr">
        <is>
          <t>Forster</t>
        </is>
      </c>
      <c r="AN339" t="n">
        <v>0.596491228070175</v>
      </c>
    </row>
    <row r="340" ht="15" customHeight="1" s="2">
      <c r="B340" t="n">
        <v>18</v>
      </c>
      <c r="C340" t="n">
        <v>3</v>
      </c>
      <c r="D340" t="n">
        <v>6</v>
      </c>
      <c r="E340" t="inlineStr">
        <is>
          <t>FBC6-D18</t>
        </is>
      </c>
      <c r="F340" t="inlineStr">
        <is>
          <t>Friday</t>
        </is>
      </c>
      <c r="G340" s="27" t="n">
        <v>43308</v>
      </c>
      <c r="H340" t="inlineStr">
        <is>
          <t>PM</t>
        </is>
      </c>
      <c r="I340" t="inlineStr">
        <is>
          <t>Arcadia, MI</t>
        </is>
      </c>
      <c r="J340" t="inlineStr">
        <is>
          <t>Midwest</t>
        </is>
      </c>
      <c r="K340" t="n">
        <v>9</v>
      </c>
      <c r="L340" t="inlineStr">
        <is>
          <t>Back</t>
        </is>
      </c>
      <c r="M340" t="inlineStr">
        <is>
          <t>Bluffs</t>
        </is>
      </c>
      <c r="N340" t="inlineStr">
        <is>
          <t>White</t>
        </is>
      </c>
      <c r="O340" t="n">
        <v>70.5</v>
      </c>
      <c r="P340" t="n">
        <v>134</v>
      </c>
      <c r="Q340" t="n">
        <v>6389</v>
      </c>
      <c r="R340" t="inlineStr">
        <is>
          <t>Scramble-Stableford</t>
        </is>
      </c>
      <c r="S340" t="inlineStr">
        <is>
          <t>Doubles</t>
        </is>
      </c>
      <c r="T340" t="inlineStr">
        <is>
          <t>Over 6'</t>
        </is>
      </c>
      <c r="U340" t="inlineStr">
        <is>
          <t>Fogan</t>
        </is>
      </c>
      <c r="V340" t="inlineStr">
        <is>
          <t>Jackson</t>
        </is>
      </c>
      <c r="W340" t="inlineStr">
        <is>
          <t>White</t>
        </is>
      </c>
      <c r="Y340" t="inlineStr">
        <is>
          <t>McInerney</t>
        </is>
      </c>
      <c r="AA340" t="n">
        <v>1</v>
      </c>
      <c r="AB340" t="inlineStr">
        <is>
          <t>W</t>
        </is>
      </c>
      <c r="AC340" t="inlineStr">
        <is>
          <t>23-14</t>
        </is>
      </c>
      <c r="AE340">
        <f>$V340&amp;$Y340</f>
        <v/>
      </c>
      <c r="AF340" t="n">
        <v>1</v>
      </c>
      <c r="AG340" t="n">
        <v>1</v>
      </c>
      <c r="AH340" t="n">
        <v>0</v>
      </c>
      <c r="AI340" t="n">
        <v>0</v>
      </c>
      <c r="AJ340" t="n">
        <v>1</v>
      </c>
      <c r="AK340" t="inlineStr">
        <is>
          <t>Cole</t>
        </is>
      </c>
      <c r="AL340" t="n">
        <v>0.440677966101695</v>
      </c>
      <c r="AM340" t="inlineStr">
        <is>
          <t>Poirier</t>
        </is>
      </c>
      <c r="AN340" t="n">
        <v>0.486111111111111</v>
      </c>
    </row>
    <row r="341" ht="15" customHeight="1" s="2">
      <c r="B341" t="n">
        <v>18</v>
      </c>
      <c r="C341" t="n">
        <v>3</v>
      </c>
      <c r="D341" t="n">
        <v>6</v>
      </c>
      <c r="E341" t="inlineStr">
        <is>
          <t>FBC6-D18</t>
        </is>
      </c>
      <c r="F341" t="inlineStr">
        <is>
          <t>Friday</t>
        </is>
      </c>
      <c r="G341" s="27" t="n">
        <v>43308</v>
      </c>
      <c r="H341" t="inlineStr">
        <is>
          <t>PM</t>
        </is>
      </c>
      <c r="I341" t="inlineStr">
        <is>
          <t>Arcadia, MI</t>
        </is>
      </c>
      <c r="J341" t="inlineStr">
        <is>
          <t>Midwest</t>
        </is>
      </c>
      <c r="K341" t="n">
        <v>9</v>
      </c>
      <c r="L341" t="inlineStr">
        <is>
          <t>Back</t>
        </is>
      </c>
      <c r="M341" t="inlineStr">
        <is>
          <t>Bluffs</t>
        </is>
      </c>
      <c r="N341" t="inlineStr">
        <is>
          <t>White</t>
        </is>
      </c>
      <c r="O341" t="n">
        <v>70.5</v>
      </c>
      <c r="P341" t="n">
        <v>134</v>
      </c>
      <c r="Q341" t="n">
        <v>6389</v>
      </c>
      <c r="R341" t="inlineStr">
        <is>
          <t>Scramble-Stableford</t>
        </is>
      </c>
      <c r="S341" t="inlineStr">
        <is>
          <t>Doubles</t>
        </is>
      </c>
      <c r="T341" t="inlineStr">
        <is>
          <t>Under 6'</t>
        </is>
      </c>
      <c r="U341" t="inlineStr">
        <is>
          <t>Norat</t>
        </is>
      </c>
      <c r="V341" t="inlineStr">
        <is>
          <t>Cole</t>
        </is>
      </c>
      <c r="W341" t="inlineStr">
        <is>
          <t>Pelican</t>
        </is>
      </c>
      <c r="Y341" t="inlineStr">
        <is>
          <t>Poirier</t>
        </is>
      </c>
      <c r="AA341" t="n">
        <v>1</v>
      </c>
      <c r="AB341" t="inlineStr">
        <is>
          <t>L</t>
        </is>
      </c>
      <c r="AC341" t="inlineStr">
        <is>
          <t>23-14</t>
        </is>
      </c>
      <c r="AE341">
        <f>$V341&amp;$Y341</f>
        <v/>
      </c>
      <c r="AF341" t="n">
        <v>0</v>
      </c>
      <c r="AG341" t="n">
        <v>0</v>
      </c>
      <c r="AH341" t="n">
        <v>1</v>
      </c>
      <c r="AI341" t="n">
        <v>0</v>
      </c>
      <c r="AJ341" t="n">
        <v>0</v>
      </c>
      <c r="AK341" t="inlineStr">
        <is>
          <t>Jackson</t>
        </is>
      </c>
      <c r="AL341" t="n">
        <v>0.6171875</v>
      </c>
      <c r="AM341" t="inlineStr">
        <is>
          <t>McInerney</t>
        </is>
      </c>
      <c r="AN341" t="n">
        <v>0.5</v>
      </c>
    </row>
    <row r="342" ht="15" customHeight="1" s="2">
      <c r="B342" t="n">
        <v>19</v>
      </c>
      <c r="C342" t="n">
        <v>4</v>
      </c>
      <c r="D342" t="n">
        <v>6</v>
      </c>
      <c r="E342" t="inlineStr">
        <is>
          <t>FBC6-D19</t>
        </is>
      </c>
      <c r="F342" t="inlineStr">
        <is>
          <t>Friday</t>
        </is>
      </c>
      <c r="G342" s="27" t="n">
        <v>43308</v>
      </c>
      <c r="H342" t="inlineStr">
        <is>
          <t>PM</t>
        </is>
      </c>
      <c r="I342" t="inlineStr">
        <is>
          <t>Arcadia, MI</t>
        </is>
      </c>
      <c r="J342" t="inlineStr">
        <is>
          <t>Midwest</t>
        </is>
      </c>
      <c r="K342" t="n">
        <v>9</v>
      </c>
      <c r="L342" t="inlineStr">
        <is>
          <t>Back</t>
        </is>
      </c>
      <c r="M342" t="inlineStr">
        <is>
          <t>Bluffs</t>
        </is>
      </c>
      <c r="N342" t="inlineStr">
        <is>
          <t>White</t>
        </is>
      </c>
      <c r="O342" t="n">
        <v>70.5</v>
      </c>
      <c r="P342" t="n">
        <v>134</v>
      </c>
      <c r="Q342" t="n">
        <v>6389</v>
      </c>
      <c r="R342" t="inlineStr">
        <is>
          <t>Scramble-Stableford</t>
        </is>
      </c>
      <c r="S342" t="inlineStr">
        <is>
          <t>Doubles</t>
        </is>
      </c>
      <c r="T342" t="inlineStr">
        <is>
          <t>Under 6'</t>
        </is>
      </c>
      <c r="U342" t="inlineStr">
        <is>
          <t>Norat</t>
        </is>
      </c>
      <c r="V342" t="inlineStr">
        <is>
          <t>Norat</t>
        </is>
      </c>
      <c r="W342" t="inlineStr">
        <is>
          <t>Pelican</t>
        </is>
      </c>
      <c r="Y342" t="inlineStr">
        <is>
          <t>Welker</t>
        </is>
      </c>
      <c r="AA342" t="n">
        <v>1</v>
      </c>
      <c r="AB342" t="inlineStr">
        <is>
          <t>W</t>
        </is>
      </c>
      <c r="AC342" t="inlineStr">
        <is>
          <t>18-16</t>
        </is>
      </c>
      <c r="AE342">
        <f>$V342&amp;$Y342</f>
        <v/>
      </c>
      <c r="AF342" t="n">
        <v>1</v>
      </c>
      <c r="AG342" t="n">
        <v>1</v>
      </c>
      <c r="AH342" t="n">
        <v>0</v>
      </c>
      <c r="AI342" t="n">
        <v>0</v>
      </c>
      <c r="AJ342" t="n">
        <v>1</v>
      </c>
      <c r="AK342" t="inlineStr">
        <is>
          <t>Grise</t>
        </is>
      </c>
      <c r="AL342" t="n">
        <v>0.546875</v>
      </c>
      <c r="AM342" t="inlineStr">
        <is>
          <t>Mangold</t>
        </is>
      </c>
      <c r="AN342" t="n">
        <v>0.383928571428572</v>
      </c>
    </row>
    <row r="343" ht="15" customHeight="1" s="2">
      <c r="B343" t="n">
        <v>19</v>
      </c>
      <c r="C343" t="n">
        <v>4</v>
      </c>
      <c r="D343" t="n">
        <v>6</v>
      </c>
      <c r="E343" t="inlineStr">
        <is>
          <t>FBC6-D19</t>
        </is>
      </c>
      <c r="F343" t="inlineStr">
        <is>
          <t>Friday</t>
        </is>
      </c>
      <c r="G343" s="27" t="n">
        <v>43308</v>
      </c>
      <c r="H343" t="inlineStr">
        <is>
          <t>PM</t>
        </is>
      </c>
      <c r="I343" t="inlineStr">
        <is>
          <t>Arcadia, MI</t>
        </is>
      </c>
      <c r="J343" t="inlineStr">
        <is>
          <t>Midwest</t>
        </is>
      </c>
      <c r="K343" t="n">
        <v>9</v>
      </c>
      <c r="L343" t="inlineStr">
        <is>
          <t>Back</t>
        </is>
      </c>
      <c r="M343" t="inlineStr">
        <is>
          <t>Bluffs</t>
        </is>
      </c>
      <c r="N343" t="inlineStr">
        <is>
          <t>White</t>
        </is>
      </c>
      <c r="O343" t="n">
        <v>70.5</v>
      </c>
      <c r="P343" t="n">
        <v>134</v>
      </c>
      <c r="Q343" t="n">
        <v>6389</v>
      </c>
      <c r="R343" t="inlineStr">
        <is>
          <t>Scramble-Stableford</t>
        </is>
      </c>
      <c r="S343" t="inlineStr">
        <is>
          <t>Doubles</t>
        </is>
      </c>
      <c r="T343" t="inlineStr">
        <is>
          <t>Over 6'</t>
        </is>
      </c>
      <c r="U343" t="inlineStr">
        <is>
          <t>Fogan</t>
        </is>
      </c>
      <c r="V343" t="inlineStr">
        <is>
          <t>Grise</t>
        </is>
      </c>
      <c r="W343" t="inlineStr">
        <is>
          <t>White</t>
        </is>
      </c>
      <c r="Y343" t="inlineStr">
        <is>
          <t>Mangold</t>
        </is>
      </c>
      <c r="AA343" t="n">
        <v>1</v>
      </c>
      <c r="AB343" t="inlineStr">
        <is>
          <t>L</t>
        </is>
      </c>
      <c r="AC343" t="inlineStr">
        <is>
          <t>18-16</t>
        </is>
      </c>
      <c r="AE343">
        <f>$V343&amp;$Y343</f>
        <v/>
      </c>
      <c r="AF343" t="n">
        <v>0</v>
      </c>
      <c r="AG343" t="n">
        <v>0</v>
      </c>
      <c r="AH343" t="n">
        <v>1</v>
      </c>
      <c r="AI343" t="n">
        <v>0</v>
      </c>
      <c r="AJ343" t="n">
        <v>0</v>
      </c>
      <c r="AK343" t="inlineStr">
        <is>
          <t>Norat</t>
        </is>
      </c>
      <c r="AL343" t="n">
        <v>0.527777777777778</v>
      </c>
      <c r="AM343" t="inlineStr">
        <is>
          <t>Welker</t>
        </is>
      </c>
      <c r="AN343" t="n">
        <v>0.510416666666667</v>
      </c>
    </row>
    <row r="344" ht="15" customHeight="1" s="2">
      <c r="B344" t="n">
        <v>20</v>
      </c>
      <c r="C344" t="n">
        <v>5</v>
      </c>
      <c r="D344" t="n">
        <v>6</v>
      </c>
      <c r="E344" t="inlineStr">
        <is>
          <t>FBC6-D20</t>
        </is>
      </c>
      <c r="F344" t="inlineStr">
        <is>
          <t>Friday</t>
        </is>
      </c>
      <c r="G344" s="27" t="n">
        <v>43308</v>
      </c>
      <c r="H344" t="inlineStr">
        <is>
          <t>PM</t>
        </is>
      </c>
      <c r="I344" t="inlineStr">
        <is>
          <t>Arcadia, MI</t>
        </is>
      </c>
      <c r="J344" t="inlineStr">
        <is>
          <t>Midwest</t>
        </is>
      </c>
      <c r="K344" t="n">
        <v>9</v>
      </c>
      <c r="L344" t="inlineStr">
        <is>
          <t>Back</t>
        </is>
      </c>
      <c r="M344" t="inlineStr">
        <is>
          <t>Bluffs</t>
        </is>
      </c>
      <c r="N344" t="inlineStr">
        <is>
          <t>White</t>
        </is>
      </c>
      <c r="O344" t="n">
        <v>70.5</v>
      </c>
      <c r="P344" t="n">
        <v>134</v>
      </c>
      <c r="Q344" t="n">
        <v>6389</v>
      </c>
      <c r="R344" t="inlineStr">
        <is>
          <t>Scramble-Stableford</t>
        </is>
      </c>
      <c r="S344" t="inlineStr">
        <is>
          <t>Doubles</t>
        </is>
      </c>
      <c r="T344" t="inlineStr">
        <is>
          <t>Over 6'</t>
        </is>
      </c>
      <c r="U344" t="inlineStr">
        <is>
          <t>Fogan</t>
        </is>
      </c>
      <c r="V344" t="inlineStr">
        <is>
          <t>Buss</t>
        </is>
      </c>
      <c r="W344" t="inlineStr">
        <is>
          <t>White</t>
        </is>
      </c>
      <c r="Y344" t="inlineStr">
        <is>
          <t>Shively</t>
        </is>
      </c>
      <c r="AA344" t="n">
        <v>1</v>
      </c>
      <c r="AB344" t="inlineStr">
        <is>
          <t>L</t>
        </is>
      </c>
      <c r="AC344" t="inlineStr">
        <is>
          <t>20-13</t>
        </is>
      </c>
      <c r="AE344">
        <f>$V344&amp;$Y344</f>
        <v/>
      </c>
      <c r="AF344" t="n">
        <v>0</v>
      </c>
      <c r="AG344" t="n">
        <v>0</v>
      </c>
      <c r="AH344" t="n">
        <v>1</v>
      </c>
      <c r="AI344" t="n">
        <v>0</v>
      </c>
      <c r="AJ344" t="n">
        <v>0</v>
      </c>
      <c r="AK344" t="inlineStr">
        <is>
          <t>Connors</t>
        </is>
      </c>
      <c r="AL344" t="n">
        <v>0.347457627118644</v>
      </c>
      <c r="AM344" t="inlineStr">
        <is>
          <t>Zimmer</t>
        </is>
      </c>
      <c r="AN344" t="n">
        <v>0.5</v>
      </c>
    </row>
    <row r="345" ht="15" customHeight="1" s="2">
      <c r="B345" t="n">
        <v>20</v>
      </c>
      <c r="C345" t="n">
        <v>5</v>
      </c>
      <c r="D345" t="n">
        <v>6</v>
      </c>
      <c r="E345" t="inlineStr">
        <is>
          <t>FBC6-D20</t>
        </is>
      </c>
      <c r="F345" t="inlineStr">
        <is>
          <t>Friday</t>
        </is>
      </c>
      <c r="G345" s="27" t="n">
        <v>43308</v>
      </c>
      <c r="H345" t="inlineStr">
        <is>
          <t>PM</t>
        </is>
      </c>
      <c r="I345" t="inlineStr">
        <is>
          <t>Arcadia, MI</t>
        </is>
      </c>
      <c r="J345" t="inlineStr">
        <is>
          <t>Midwest</t>
        </is>
      </c>
      <c r="K345" t="n">
        <v>9</v>
      </c>
      <c r="L345" t="inlineStr">
        <is>
          <t>Back</t>
        </is>
      </c>
      <c r="M345" t="inlineStr">
        <is>
          <t>Bluffs</t>
        </is>
      </c>
      <c r="N345" t="inlineStr">
        <is>
          <t>White</t>
        </is>
      </c>
      <c r="O345" t="n">
        <v>70.5</v>
      </c>
      <c r="P345" t="n">
        <v>134</v>
      </c>
      <c r="Q345" t="n">
        <v>6389</v>
      </c>
      <c r="R345" t="inlineStr">
        <is>
          <t>Scramble-Stableford</t>
        </is>
      </c>
      <c r="S345" t="inlineStr">
        <is>
          <t>Doubles</t>
        </is>
      </c>
      <c r="T345" t="inlineStr">
        <is>
          <t>Under 6'</t>
        </is>
      </c>
      <c r="U345" t="inlineStr">
        <is>
          <t>Norat</t>
        </is>
      </c>
      <c r="V345" t="inlineStr">
        <is>
          <t>Connors</t>
        </is>
      </c>
      <c r="W345" t="inlineStr">
        <is>
          <t>Pelican</t>
        </is>
      </c>
      <c r="Y345" t="inlineStr">
        <is>
          <t>Zimmer</t>
        </is>
      </c>
      <c r="AA345" t="n">
        <v>1</v>
      </c>
      <c r="AB345" t="inlineStr">
        <is>
          <t>W</t>
        </is>
      </c>
      <c r="AC345" t="inlineStr">
        <is>
          <t>20-13</t>
        </is>
      </c>
      <c r="AE345">
        <f>$V345&amp;$Y345</f>
        <v/>
      </c>
      <c r="AF345" t="n">
        <v>1</v>
      </c>
      <c r="AG345" t="n">
        <v>1</v>
      </c>
      <c r="AH345" t="n">
        <v>0</v>
      </c>
      <c r="AI345" t="n">
        <v>0</v>
      </c>
      <c r="AJ345" t="n">
        <v>1</v>
      </c>
      <c r="AK345" t="inlineStr">
        <is>
          <t>Buss</t>
        </is>
      </c>
      <c r="AL345" t="n">
        <v>0.448275862068966</v>
      </c>
      <c r="AM345" t="inlineStr">
        <is>
          <t>Shively</t>
        </is>
      </c>
    </row>
    <row r="346" ht="15" customHeight="1" s="2">
      <c r="B346" t="inlineStr">
        <is>
          <t>FT1</t>
        </is>
      </c>
      <c r="D346" t="n">
        <v>6</v>
      </c>
      <c r="E346" t="inlineStr">
        <is>
          <t>FBC6-FT</t>
        </is>
      </c>
      <c r="F346" t="inlineStr">
        <is>
          <t>Friday</t>
        </is>
      </c>
      <c r="G346" s="27" t="n">
        <v>43308</v>
      </c>
      <c r="H346" t="inlineStr">
        <is>
          <t>PM</t>
        </is>
      </c>
      <c r="I346" t="inlineStr">
        <is>
          <t>Arcadia, MI</t>
        </is>
      </c>
      <c r="J346" t="inlineStr">
        <is>
          <t>Midwest</t>
        </is>
      </c>
      <c r="K346" t="n">
        <v>9</v>
      </c>
      <c r="L346" t="inlineStr">
        <is>
          <t>Front</t>
        </is>
      </c>
      <c r="M346" t="inlineStr">
        <is>
          <t>Bluffs</t>
        </is>
      </c>
      <c r="N346" t="inlineStr">
        <is>
          <t>White</t>
        </is>
      </c>
      <c r="O346" t="n">
        <v>70.5</v>
      </c>
      <c r="P346" t="n">
        <v>134</v>
      </c>
      <c r="Q346" t="n">
        <v>6389</v>
      </c>
      <c r="R346" t="inlineStr">
        <is>
          <t>FTAS</t>
        </is>
      </c>
      <c r="S346" t="inlineStr">
        <is>
          <t>FTAS</t>
        </is>
      </c>
      <c r="T346" t="inlineStr">
        <is>
          <t>Over 6'</t>
        </is>
      </c>
      <c r="U346" t="inlineStr">
        <is>
          <t>Fogan</t>
        </is>
      </c>
      <c r="V346" t="inlineStr">
        <is>
          <t>Gray</t>
        </is>
      </c>
      <c r="W346" t="inlineStr">
        <is>
          <t>White</t>
        </is>
      </c>
      <c r="AA346" t="n">
        <v>0.5</v>
      </c>
      <c r="AB346" t="inlineStr">
        <is>
          <t>W</t>
        </is>
      </c>
      <c r="AE346">
        <f>$V346&amp;$Y346</f>
        <v/>
      </c>
      <c r="AF346" t="n">
        <v>0.5</v>
      </c>
      <c r="AG346" t="n">
        <v>1</v>
      </c>
      <c r="AH346" t="n">
        <v>0</v>
      </c>
      <c r="AI346" t="n">
        <v>0</v>
      </c>
      <c r="AJ346" t="n">
        <v>1</v>
      </c>
    </row>
    <row r="347" ht="15" customHeight="1" s="2">
      <c r="B347" t="inlineStr">
        <is>
          <t>FT1</t>
        </is>
      </c>
      <c r="D347" t="n">
        <v>6</v>
      </c>
      <c r="E347" t="inlineStr">
        <is>
          <t>FBC6-FT</t>
        </is>
      </c>
      <c r="F347" t="inlineStr">
        <is>
          <t>Friday</t>
        </is>
      </c>
      <c r="G347" s="27" t="n">
        <v>43308</v>
      </c>
      <c r="H347" t="inlineStr">
        <is>
          <t>PM</t>
        </is>
      </c>
      <c r="I347" t="inlineStr">
        <is>
          <t>Arcadia, MI</t>
        </is>
      </c>
      <c r="J347" t="inlineStr">
        <is>
          <t>Midwest</t>
        </is>
      </c>
      <c r="K347" t="n">
        <v>9</v>
      </c>
      <c r="L347" t="inlineStr">
        <is>
          <t>Front</t>
        </is>
      </c>
      <c r="M347" t="inlineStr">
        <is>
          <t>Bluffs</t>
        </is>
      </c>
      <c r="N347" t="inlineStr">
        <is>
          <t>White</t>
        </is>
      </c>
      <c r="O347" t="n">
        <v>70.5</v>
      </c>
      <c r="P347" t="n">
        <v>134</v>
      </c>
      <c r="Q347" t="n">
        <v>6389</v>
      </c>
      <c r="R347" t="inlineStr">
        <is>
          <t>FTAS</t>
        </is>
      </c>
      <c r="S347" t="inlineStr">
        <is>
          <t>FTAS</t>
        </is>
      </c>
      <c r="T347" t="inlineStr">
        <is>
          <t>Over 6'</t>
        </is>
      </c>
      <c r="U347" t="inlineStr">
        <is>
          <t>Fogan</t>
        </is>
      </c>
      <c r="V347" t="inlineStr">
        <is>
          <t>Fogan</t>
        </is>
      </c>
      <c r="W347" t="inlineStr">
        <is>
          <t>White</t>
        </is>
      </c>
      <c r="AA347" t="n">
        <v>0.5</v>
      </c>
      <c r="AB347" t="inlineStr">
        <is>
          <t>W</t>
        </is>
      </c>
      <c r="AE347">
        <f>$V347&amp;$Y347</f>
        <v/>
      </c>
      <c r="AF347" t="n">
        <v>0.5</v>
      </c>
      <c r="AG347" t="n">
        <v>1</v>
      </c>
      <c r="AH347" t="n">
        <v>0</v>
      </c>
      <c r="AI347" t="n">
        <v>0</v>
      </c>
      <c r="AJ347" t="n">
        <v>1</v>
      </c>
    </row>
    <row r="348" ht="15" customHeight="1" s="2">
      <c r="B348" t="inlineStr">
        <is>
          <t>FT1</t>
        </is>
      </c>
      <c r="D348" t="n">
        <v>6</v>
      </c>
      <c r="E348" t="inlineStr">
        <is>
          <t>FBC6-FT</t>
        </is>
      </c>
      <c r="F348" t="inlineStr">
        <is>
          <t>Friday</t>
        </is>
      </c>
      <c r="G348" s="27" t="n">
        <v>43308</v>
      </c>
      <c r="H348" t="inlineStr">
        <is>
          <t>PM</t>
        </is>
      </c>
      <c r="I348" t="inlineStr">
        <is>
          <t>Arcadia, MI</t>
        </is>
      </c>
      <c r="J348" t="inlineStr">
        <is>
          <t>Midwest</t>
        </is>
      </c>
      <c r="K348" t="n">
        <v>9</v>
      </c>
      <c r="L348" t="inlineStr">
        <is>
          <t>Front</t>
        </is>
      </c>
      <c r="M348" t="inlineStr">
        <is>
          <t>Bluffs</t>
        </is>
      </c>
      <c r="N348" t="inlineStr">
        <is>
          <t>White</t>
        </is>
      </c>
      <c r="O348" t="n">
        <v>70.5</v>
      </c>
      <c r="P348" t="n">
        <v>134</v>
      </c>
      <c r="Q348" t="n">
        <v>6389</v>
      </c>
      <c r="R348" t="inlineStr">
        <is>
          <t>FTAS</t>
        </is>
      </c>
      <c r="S348" t="inlineStr">
        <is>
          <t>FTAS</t>
        </is>
      </c>
      <c r="T348" t="inlineStr">
        <is>
          <t>Over 6'</t>
        </is>
      </c>
      <c r="U348" t="inlineStr">
        <is>
          <t>Fogan</t>
        </is>
      </c>
      <c r="V348" t="inlineStr">
        <is>
          <t>McInerney</t>
        </is>
      </c>
      <c r="W348" t="inlineStr">
        <is>
          <t>White</t>
        </is>
      </c>
      <c r="AA348" t="n">
        <v>0.5</v>
      </c>
      <c r="AB348" t="inlineStr">
        <is>
          <t>W</t>
        </is>
      </c>
      <c r="AE348">
        <f>$V348&amp;$Y348</f>
        <v/>
      </c>
      <c r="AF348" t="n">
        <v>0.5</v>
      </c>
      <c r="AG348" t="n">
        <v>1</v>
      </c>
      <c r="AH348" t="n">
        <v>0</v>
      </c>
      <c r="AI348" t="n">
        <v>0</v>
      </c>
      <c r="AJ348" t="n">
        <v>1</v>
      </c>
    </row>
    <row r="349" ht="15" customHeight="1" s="2">
      <c r="B349" t="inlineStr">
        <is>
          <t>FT1</t>
        </is>
      </c>
      <c r="D349" t="n">
        <v>6</v>
      </c>
      <c r="E349" t="inlineStr">
        <is>
          <t>FBC6-FT</t>
        </is>
      </c>
      <c r="F349" t="inlineStr">
        <is>
          <t>Friday</t>
        </is>
      </c>
      <c r="G349" s="27" t="n">
        <v>43308</v>
      </c>
      <c r="H349" t="inlineStr">
        <is>
          <t>PM</t>
        </is>
      </c>
      <c r="I349" t="inlineStr">
        <is>
          <t>Arcadia, MI</t>
        </is>
      </c>
      <c r="J349" t="inlineStr">
        <is>
          <t>Midwest</t>
        </is>
      </c>
      <c r="K349" t="n">
        <v>9</v>
      </c>
      <c r="L349" t="inlineStr">
        <is>
          <t>Front</t>
        </is>
      </c>
      <c r="M349" t="inlineStr">
        <is>
          <t>Bluffs</t>
        </is>
      </c>
      <c r="N349" t="inlineStr">
        <is>
          <t>White</t>
        </is>
      </c>
      <c r="O349" t="n">
        <v>70.5</v>
      </c>
      <c r="P349" t="n">
        <v>134</v>
      </c>
      <c r="Q349" t="n">
        <v>6389</v>
      </c>
      <c r="R349" t="inlineStr">
        <is>
          <t>FTAS</t>
        </is>
      </c>
      <c r="S349" t="inlineStr">
        <is>
          <t>FTAS</t>
        </is>
      </c>
      <c r="T349" t="inlineStr">
        <is>
          <t>Over 6'</t>
        </is>
      </c>
      <c r="U349" t="inlineStr">
        <is>
          <t>Fogan</t>
        </is>
      </c>
      <c r="V349" t="inlineStr">
        <is>
          <t>Grise</t>
        </is>
      </c>
      <c r="W349" t="inlineStr">
        <is>
          <t>White</t>
        </is>
      </c>
      <c r="AA349" t="n">
        <v>0.5</v>
      </c>
      <c r="AB349" t="inlineStr">
        <is>
          <t>W</t>
        </is>
      </c>
      <c r="AE349">
        <f>$V349&amp;$Y349</f>
        <v/>
      </c>
      <c r="AF349" t="n">
        <v>0.5</v>
      </c>
      <c r="AG349" t="n">
        <v>1</v>
      </c>
      <c r="AH349" t="n">
        <v>0</v>
      </c>
      <c r="AI349" t="n">
        <v>0</v>
      </c>
      <c r="AJ349" t="n">
        <v>1</v>
      </c>
    </row>
    <row r="350" ht="15" customHeight="1" s="2">
      <c r="B350" t="inlineStr">
        <is>
          <t>FT1</t>
        </is>
      </c>
      <c r="D350" t="n">
        <v>6</v>
      </c>
      <c r="E350" t="inlineStr">
        <is>
          <t>FBC6-FT</t>
        </is>
      </c>
      <c r="F350" t="inlineStr">
        <is>
          <t>Friday</t>
        </is>
      </c>
      <c r="G350" s="27" t="n">
        <v>43308</v>
      </c>
      <c r="H350" t="inlineStr">
        <is>
          <t>PM</t>
        </is>
      </c>
      <c r="I350" t="inlineStr">
        <is>
          <t>Arcadia, MI</t>
        </is>
      </c>
      <c r="J350" t="inlineStr">
        <is>
          <t>Midwest</t>
        </is>
      </c>
      <c r="K350" t="n">
        <v>9</v>
      </c>
      <c r="L350" t="inlineStr">
        <is>
          <t>Front</t>
        </is>
      </c>
      <c r="M350" t="inlineStr">
        <is>
          <t>Bluffs</t>
        </is>
      </c>
      <c r="N350" t="inlineStr">
        <is>
          <t>White</t>
        </is>
      </c>
      <c r="O350" t="n">
        <v>70.5</v>
      </c>
      <c r="P350" t="n">
        <v>134</v>
      </c>
      <c r="Q350" t="n">
        <v>6389</v>
      </c>
      <c r="R350" t="inlineStr">
        <is>
          <t>FTAS</t>
        </is>
      </c>
      <c r="S350" t="inlineStr">
        <is>
          <t>FTAS</t>
        </is>
      </c>
      <c r="T350" t="inlineStr">
        <is>
          <t>Over 6'</t>
        </is>
      </c>
      <c r="U350" t="inlineStr">
        <is>
          <t>Fogan</t>
        </is>
      </c>
      <c r="V350" t="inlineStr">
        <is>
          <t>Buss</t>
        </is>
      </c>
      <c r="W350" t="inlineStr">
        <is>
          <t>White</t>
        </is>
      </c>
      <c r="AA350" t="n">
        <v>0.5</v>
      </c>
      <c r="AB350" t="inlineStr">
        <is>
          <t>W</t>
        </is>
      </c>
      <c r="AE350">
        <f>$V350&amp;$Y350</f>
        <v/>
      </c>
      <c r="AF350" t="n">
        <v>0.5</v>
      </c>
      <c r="AG350" t="n">
        <v>1</v>
      </c>
      <c r="AH350" t="n">
        <v>0</v>
      </c>
      <c r="AI350" t="n">
        <v>0</v>
      </c>
      <c r="AJ350" t="n">
        <v>1</v>
      </c>
    </row>
    <row r="351" ht="15" customHeight="1" s="2">
      <c r="B351" t="inlineStr">
        <is>
          <t>FT1</t>
        </is>
      </c>
      <c r="D351" t="n">
        <v>6</v>
      </c>
      <c r="E351" t="inlineStr">
        <is>
          <t>FBC6-FT</t>
        </is>
      </c>
      <c r="F351" t="inlineStr">
        <is>
          <t>Friday</t>
        </is>
      </c>
      <c r="G351" s="27" t="n">
        <v>43308</v>
      </c>
      <c r="H351" t="inlineStr">
        <is>
          <t>PM</t>
        </is>
      </c>
      <c r="I351" t="inlineStr">
        <is>
          <t>Arcadia, MI</t>
        </is>
      </c>
      <c r="J351" t="inlineStr">
        <is>
          <t>Midwest</t>
        </is>
      </c>
      <c r="K351" t="n">
        <v>9</v>
      </c>
      <c r="L351" t="inlineStr">
        <is>
          <t>Front</t>
        </is>
      </c>
      <c r="M351" t="inlineStr">
        <is>
          <t>Bluffs</t>
        </is>
      </c>
      <c r="N351" t="inlineStr">
        <is>
          <t>White</t>
        </is>
      </c>
      <c r="O351" t="n">
        <v>70.5</v>
      </c>
      <c r="P351" t="n">
        <v>134</v>
      </c>
      <c r="Q351" t="n">
        <v>6389</v>
      </c>
      <c r="R351" t="inlineStr">
        <is>
          <t>FTAS</t>
        </is>
      </c>
      <c r="S351" t="inlineStr">
        <is>
          <t>FTAS</t>
        </is>
      </c>
      <c r="T351" t="inlineStr">
        <is>
          <t>Over 6'</t>
        </is>
      </c>
      <c r="U351" t="inlineStr">
        <is>
          <t>Fogan</t>
        </is>
      </c>
      <c r="V351" t="inlineStr">
        <is>
          <t>Lynch</t>
        </is>
      </c>
      <c r="W351" t="inlineStr">
        <is>
          <t>White</t>
        </is>
      </c>
      <c r="AA351" t="n">
        <v>0.5</v>
      </c>
      <c r="AB351" t="inlineStr">
        <is>
          <t>W</t>
        </is>
      </c>
      <c r="AE351">
        <f>$V351&amp;$Y351</f>
        <v/>
      </c>
      <c r="AF351" t="n">
        <v>0.5</v>
      </c>
      <c r="AG351" t="n">
        <v>1</v>
      </c>
      <c r="AH351" t="n">
        <v>0</v>
      </c>
      <c r="AI351" t="n">
        <v>0</v>
      </c>
      <c r="AJ351" t="n">
        <v>1</v>
      </c>
    </row>
    <row r="352" ht="15" customHeight="1" s="2">
      <c r="B352" t="inlineStr">
        <is>
          <t>FT1</t>
        </is>
      </c>
      <c r="D352" t="n">
        <v>6</v>
      </c>
      <c r="E352" t="inlineStr">
        <is>
          <t>FBC6-FT</t>
        </is>
      </c>
      <c r="F352" t="inlineStr">
        <is>
          <t>Friday</t>
        </is>
      </c>
      <c r="G352" s="27" t="n">
        <v>43308</v>
      </c>
      <c r="H352" t="inlineStr">
        <is>
          <t>PM</t>
        </is>
      </c>
      <c r="I352" t="inlineStr">
        <is>
          <t>Arcadia, MI</t>
        </is>
      </c>
      <c r="J352" t="inlineStr">
        <is>
          <t>Midwest</t>
        </is>
      </c>
      <c r="K352" t="n">
        <v>9</v>
      </c>
      <c r="L352" t="inlineStr">
        <is>
          <t>Front</t>
        </is>
      </c>
      <c r="M352" t="inlineStr">
        <is>
          <t>Bluffs</t>
        </is>
      </c>
      <c r="N352" t="inlineStr">
        <is>
          <t>White</t>
        </is>
      </c>
      <c r="O352" t="n">
        <v>70.5</v>
      </c>
      <c r="P352" t="n">
        <v>134</v>
      </c>
      <c r="Q352" t="n">
        <v>6389</v>
      </c>
      <c r="R352" t="inlineStr">
        <is>
          <t>FTAS</t>
        </is>
      </c>
      <c r="S352" t="inlineStr">
        <is>
          <t>FTAS</t>
        </is>
      </c>
      <c r="T352" t="inlineStr">
        <is>
          <t>Over 6'</t>
        </is>
      </c>
      <c r="U352" t="inlineStr">
        <is>
          <t>Fogan</t>
        </is>
      </c>
      <c r="V352" t="inlineStr">
        <is>
          <t>Hilts</t>
        </is>
      </c>
      <c r="W352" t="inlineStr">
        <is>
          <t>White</t>
        </is>
      </c>
      <c r="AA352" t="n">
        <v>0.5</v>
      </c>
      <c r="AB352" t="inlineStr">
        <is>
          <t>W</t>
        </is>
      </c>
      <c r="AE352">
        <f>$V352&amp;$Y352</f>
        <v/>
      </c>
      <c r="AF352" t="n">
        <v>0.5</v>
      </c>
      <c r="AG352" t="n">
        <v>1</v>
      </c>
      <c r="AH352" t="n">
        <v>0</v>
      </c>
      <c r="AI352" t="n">
        <v>0</v>
      </c>
      <c r="AJ352" t="n">
        <v>1</v>
      </c>
    </row>
    <row r="353" ht="15" customHeight="1" s="2">
      <c r="B353" t="inlineStr">
        <is>
          <t>FT1</t>
        </is>
      </c>
      <c r="D353" t="n">
        <v>6</v>
      </c>
      <c r="E353" t="inlineStr">
        <is>
          <t>FBC6-FT</t>
        </is>
      </c>
      <c r="F353" t="inlineStr">
        <is>
          <t>Friday</t>
        </is>
      </c>
      <c r="G353" s="27" t="n">
        <v>43308</v>
      </c>
      <c r="H353" t="inlineStr">
        <is>
          <t>PM</t>
        </is>
      </c>
      <c r="I353" t="inlineStr">
        <is>
          <t>Arcadia, MI</t>
        </is>
      </c>
      <c r="J353" t="inlineStr">
        <is>
          <t>Midwest</t>
        </is>
      </c>
      <c r="K353" t="n">
        <v>9</v>
      </c>
      <c r="L353" t="inlineStr">
        <is>
          <t>Front</t>
        </is>
      </c>
      <c r="M353" t="inlineStr">
        <is>
          <t>Bluffs</t>
        </is>
      </c>
      <c r="N353" t="inlineStr">
        <is>
          <t>White</t>
        </is>
      </c>
      <c r="O353" t="n">
        <v>70.5</v>
      </c>
      <c r="P353" t="n">
        <v>134</v>
      </c>
      <c r="Q353" t="n">
        <v>6389</v>
      </c>
      <c r="R353" t="inlineStr">
        <is>
          <t>FTAS</t>
        </is>
      </c>
      <c r="S353" t="inlineStr">
        <is>
          <t>FTAS</t>
        </is>
      </c>
      <c r="T353" t="inlineStr">
        <is>
          <t>Over 6'</t>
        </is>
      </c>
      <c r="U353" t="inlineStr">
        <is>
          <t>Fogan</t>
        </is>
      </c>
      <c r="V353" t="inlineStr">
        <is>
          <t>Jackson</t>
        </is>
      </c>
      <c r="W353" t="inlineStr">
        <is>
          <t>White</t>
        </is>
      </c>
      <c r="AA353" t="n">
        <v>0.5</v>
      </c>
      <c r="AB353" t="inlineStr">
        <is>
          <t>W</t>
        </is>
      </c>
      <c r="AE353">
        <f>$V353&amp;$Y353</f>
        <v/>
      </c>
      <c r="AF353" t="n">
        <v>0.5</v>
      </c>
      <c r="AG353" t="n">
        <v>1</v>
      </c>
      <c r="AH353" t="n">
        <v>0</v>
      </c>
      <c r="AI353" t="n">
        <v>0</v>
      </c>
      <c r="AJ353" t="n">
        <v>1</v>
      </c>
    </row>
    <row r="354" ht="15" customHeight="1" s="2">
      <c r="B354" t="inlineStr">
        <is>
          <t>FT1</t>
        </is>
      </c>
      <c r="D354" t="n">
        <v>6</v>
      </c>
      <c r="E354" t="inlineStr">
        <is>
          <t>FBC6-FT</t>
        </is>
      </c>
      <c r="F354" t="inlineStr">
        <is>
          <t>Friday</t>
        </is>
      </c>
      <c r="G354" s="27" t="n">
        <v>43308</v>
      </c>
      <c r="H354" t="inlineStr">
        <is>
          <t>PM</t>
        </is>
      </c>
      <c r="I354" t="inlineStr">
        <is>
          <t>Arcadia, MI</t>
        </is>
      </c>
      <c r="J354" t="inlineStr">
        <is>
          <t>Midwest</t>
        </is>
      </c>
      <c r="K354" t="n">
        <v>9</v>
      </c>
      <c r="L354" t="inlineStr">
        <is>
          <t>Front</t>
        </is>
      </c>
      <c r="M354" t="inlineStr">
        <is>
          <t>Bluffs</t>
        </is>
      </c>
      <c r="N354" t="inlineStr">
        <is>
          <t>White</t>
        </is>
      </c>
      <c r="O354" t="n">
        <v>70.5</v>
      </c>
      <c r="P354" t="n">
        <v>134</v>
      </c>
      <c r="Q354" t="n">
        <v>6389</v>
      </c>
      <c r="R354" t="inlineStr">
        <is>
          <t>FTAS</t>
        </is>
      </c>
      <c r="S354" t="inlineStr">
        <is>
          <t>FTAS</t>
        </is>
      </c>
      <c r="T354" t="inlineStr">
        <is>
          <t>Over 6'</t>
        </is>
      </c>
      <c r="U354" t="inlineStr">
        <is>
          <t>Fogan</t>
        </is>
      </c>
      <c r="V354" t="inlineStr">
        <is>
          <t>Mangold</t>
        </is>
      </c>
      <c r="W354" t="inlineStr">
        <is>
          <t>White</t>
        </is>
      </c>
      <c r="AA354" t="n">
        <v>0.5</v>
      </c>
      <c r="AB354" t="inlineStr">
        <is>
          <t>W</t>
        </is>
      </c>
      <c r="AE354">
        <f>$V354&amp;$Y354</f>
        <v/>
      </c>
      <c r="AF354" t="n">
        <v>0.5</v>
      </c>
      <c r="AG354" t="n">
        <v>1</v>
      </c>
      <c r="AH354" t="n">
        <v>0</v>
      </c>
      <c r="AI354" t="n">
        <v>0</v>
      </c>
      <c r="AJ354" t="n">
        <v>1</v>
      </c>
    </row>
    <row r="355" ht="15" customHeight="1" s="2">
      <c r="B355" t="inlineStr">
        <is>
          <t>FT1</t>
        </is>
      </c>
      <c r="D355" t="n">
        <v>6</v>
      </c>
      <c r="E355" t="inlineStr">
        <is>
          <t>FBC6-FT</t>
        </is>
      </c>
      <c r="F355" t="inlineStr">
        <is>
          <t>Friday</t>
        </is>
      </c>
      <c r="G355" s="27" t="n">
        <v>43308</v>
      </c>
      <c r="H355" t="inlineStr">
        <is>
          <t>PM</t>
        </is>
      </c>
      <c r="I355" t="inlineStr">
        <is>
          <t>Arcadia, MI</t>
        </is>
      </c>
      <c r="J355" t="inlineStr">
        <is>
          <t>Midwest</t>
        </is>
      </c>
      <c r="K355" t="n">
        <v>9</v>
      </c>
      <c r="L355" t="inlineStr">
        <is>
          <t>Front</t>
        </is>
      </c>
      <c r="M355" t="inlineStr">
        <is>
          <t>Bluffs</t>
        </is>
      </c>
      <c r="N355" t="inlineStr">
        <is>
          <t>White</t>
        </is>
      </c>
      <c r="O355" t="n">
        <v>70.5</v>
      </c>
      <c r="P355" t="n">
        <v>134</v>
      </c>
      <c r="Q355" t="n">
        <v>6389</v>
      </c>
      <c r="R355" t="inlineStr">
        <is>
          <t>FTAS</t>
        </is>
      </c>
      <c r="S355" t="inlineStr">
        <is>
          <t>FTAS</t>
        </is>
      </c>
      <c r="T355" t="inlineStr">
        <is>
          <t>Over 6'</t>
        </is>
      </c>
      <c r="U355" t="inlineStr">
        <is>
          <t>Fogan</t>
        </is>
      </c>
      <c r="V355" t="inlineStr">
        <is>
          <t>Shively</t>
        </is>
      </c>
      <c r="W355" t="inlineStr">
        <is>
          <t>White</t>
        </is>
      </c>
      <c r="AA355" t="n">
        <v>0.5</v>
      </c>
      <c r="AB355" t="inlineStr">
        <is>
          <t>W</t>
        </is>
      </c>
      <c r="AE355">
        <f>$V355&amp;$Y355</f>
        <v/>
      </c>
      <c r="AF355" t="n">
        <v>0.5</v>
      </c>
      <c r="AG355" t="n">
        <v>1</v>
      </c>
      <c r="AH355" t="n">
        <v>0</v>
      </c>
      <c r="AI355" t="n">
        <v>0</v>
      </c>
      <c r="AJ355" t="n">
        <v>1</v>
      </c>
    </row>
    <row r="356" ht="15" customHeight="1" s="2">
      <c r="B356" t="inlineStr">
        <is>
          <t>FT1</t>
        </is>
      </c>
      <c r="D356" t="n">
        <v>6</v>
      </c>
      <c r="E356" t="inlineStr">
        <is>
          <t>FBC6-FT</t>
        </is>
      </c>
      <c r="F356" t="inlineStr">
        <is>
          <t>Friday</t>
        </is>
      </c>
      <c r="G356" s="27" t="n">
        <v>43308</v>
      </c>
      <c r="H356" t="inlineStr">
        <is>
          <t>PM</t>
        </is>
      </c>
      <c r="I356" t="inlineStr">
        <is>
          <t>Arcadia, MI</t>
        </is>
      </c>
      <c r="J356" t="inlineStr">
        <is>
          <t>Midwest</t>
        </is>
      </c>
      <c r="K356" t="n">
        <v>9</v>
      </c>
      <c r="L356" t="inlineStr">
        <is>
          <t>Front</t>
        </is>
      </c>
      <c r="M356" t="inlineStr">
        <is>
          <t>Bluffs</t>
        </is>
      </c>
      <c r="N356" t="inlineStr">
        <is>
          <t>White</t>
        </is>
      </c>
      <c r="O356" t="n">
        <v>70.5</v>
      </c>
      <c r="P356" t="n">
        <v>134</v>
      </c>
      <c r="Q356" t="n">
        <v>6389</v>
      </c>
      <c r="R356" t="inlineStr">
        <is>
          <t>FTAS</t>
        </is>
      </c>
      <c r="S356" t="inlineStr">
        <is>
          <t>FTAS</t>
        </is>
      </c>
      <c r="T356" t="inlineStr">
        <is>
          <t>Under 6'</t>
        </is>
      </c>
      <c r="U356" t="inlineStr">
        <is>
          <t>Norat</t>
        </is>
      </c>
      <c r="V356" t="inlineStr">
        <is>
          <t>Flanders</t>
        </is>
      </c>
      <c r="W356" t="inlineStr">
        <is>
          <t>Pelican</t>
        </is>
      </c>
      <c r="AA356" t="n">
        <v>0.5</v>
      </c>
      <c r="AB356" t="inlineStr">
        <is>
          <t>L</t>
        </is>
      </c>
      <c r="AE356">
        <f>$V356&amp;$Y356</f>
        <v/>
      </c>
      <c r="AF356" t="n">
        <v>0</v>
      </c>
      <c r="AG356" t="n">
        <v>0</v>
      </c>
      <c r="AH356" t="n">
        <v>1</v>
      </c>
      <c r="AI356" t="n">
        <v>0</v>
      </c>
      <c r="AJ356" t="n">
        <v>0</v>
      </c>
    </row>
    <row r="357" ht="15" customHeight="1" s="2">
      <c r="B357" t="inlineStr">
        <is>
          <t>FT1</t>
        </is>
      </c>
      <c r="D357" t="n">
        <v>6</v>
      </c>
      <c r="E357" t="inlineStr">
        <is>
          <t>FBC6-FT</t>
        </is>
      </c>
      <c r="F357" t="inlineStr">
        <is>
          <t>Friday</t>
        </is>
      </c>
      <c r="G357" s="27" t="n">
        <v>43308</v>
      </c>
      <c r="H357" t="inlineStr">
        <is>
          <t>PM</t>
        </is>
      </c>
      <c r="I357" t="inlineStr">
        <is>
          <t>Arcadia, MI</t>
        </is>
      </c>
      <c r="J357" t="inlineStr">
        <is>
          <t>Midwest</t>
        </is>
      </c>
      <c r="K357" t="n">
        <v>9</v>
      </c>
      <c r="L357" t="inlineStr">
        <is>
          <t>Front</t>
        </is>
      </c>
      <c r="M357" t="inlineStr">
        <is>
          <t>Bluffs</t>
        </is>
      </c>
      <c r="N357" t="inlineStr">
        <is>
          <t>White</t>
        </is>
      </c>
      <c r="O357" t="n">
        <v>70.5</v>
      </c>
      <c r="P357" t="n">
        <v>134</v>
      </c>
      <c r="Q357" t="n">
        <v>6389</v>
      </c>
      <c r="R357" t="inlineStr">
        <is>
          <t>FTAS</t>
        </is>
      </c>
      <c r="S357" t="inlineStr">
        <is>
          <t>FTAS</t>
        </is>
      </c>
      <c r="T357" t="inlineStr">
        <is>
          <t>Under 6'</t>
        </is>
      </c>
      <c r="U357" t="inlineStr">
        <is>
          <t>Norat</t>
        </is>
      </c>
      <c r="V357" t="inlineStr">
        <is>
          <t>Ferrin</t>
        </is>
      </c>
      <c r="W357" t="inlineStr">
        <is>
          <t>Pelican</t>
        </is>
      </c>
      <c r="AA357" t="n">
        <v>0.5</v>
      </c>
      <c r="AB357" t="inlineStr">
        <is>
          <t>L</t>
        </is>
      </c>
      <c r="AE357">
        <f>$V357&amp;$Y357</f>
        <v/>
      </c>
      <c r="AF357" t="n">
        <v>0</v>
      </c>
      <c r="AG357" t="n">
        <v>0</v>
      </c>
      <c r="AH357" t="n">
        <v>1</v>
      </c>
      <c r="AI357" t="n">
        <v>0</v>
      </c>
      <c r="AJ357" t="n">
        <v>0</v>
      </c>
    </row>
    <row r="358" ht="15" customHeight="1" s="2">
      <c r="B358" t="inlineStr">
        <is>
          <t>FT1</t>
        </is>
      </c>
      <c r="D358" t="n">
        <v>6</v>
      </c>
      <c r="E358" t="inlineStr">
        <is>
          <t>FBC6-FT</t>
        </is>
      </c>
      <c r="F358" t="inlineStr">
        <is>
          <t>Friday</t>
        </is>
      </c>
      <c r="G358" s="27" t="n">
        <v>43308</v>
      </c>
      <c r="H358" t="inlineStr">
        <is>
          <t>PM</t>
        </is>
      </c>
      <c r="I358" t="inlineStr">
        <is>
          <t>Arcadia, MI</t>
        </is>
      </c>
      <c r="J358" t="inlineStr">
        <is>
          <t>Midwest</t>
        </is>
      </c>
      <c r="K358" t="n">
        <v>9</v>
      </c>
      <c r="L358" t="inlineStr">
        <is>
          <t>Front</t>
        </is>
      </c>
      <c r="M358" t="inlineStr">
        <is>
          <t>Bluffs</t>
        </is>
      </c>
      <c r="N358" t="inlineStr">
        <is>
          <t>White</t>
        </is>
      </c>
      <c r="O358" t="n">
        <v>70.5</v>
      </c>
      <c r="P358" t="n">
        <v>134</v>
      </c>
      <c r="Q358" t="n">
        <v>6389</v>
      </c>
      <c r="R358" t="inlineStr">
        <is>
          <t>FTAS</t>
        </is>
      </c>
      <c r="S358" t="inlineStr">
        <is>
          <t>FTAS</t>
        </is>
      </c>
      <c r="T358" t="inlineStr">
        <is>
          <t>Under 6'</t>
        </is>
      </c>
      <c r="U358" t="inlineStr">
        <is>
          <t>Norat</t>
        </is>
      </c>
      <c r="V358" t="inlineStr">
        <is>
          <t>Connolly</t>
        </is>
      </c>
      <c r="W358" t="inlineStr">
        <is>
          <t>Pelican</t>
        </is>
      </c>
      <c r="AA358" t="n">
        <v>0.5</v>
      </c>
      <c r="AB358" t="inlineStr">
        <is>
          <t>L</t>
        </is>
      </c>
      <c r="AE358">
        <f>$V358&amp;$Y358</f>
        <v/>
      </c>
      <c r="AF358" t="n">
        <v>0</v>
      </c>
      <c r="AG358" t="n">
        <v>0</v>
      </c>
      <c r="AH358" t="n">
        <v>1</v>
      </c>
      <c r="AI358" t="n">
        <v>0</v>
      </c>
      <c r="AJ358" t="n">
        <v>0</v>
      </c>
    </row>
    <row r="359" ht="15" customHeight="1" s="2">
      <c r="B359" t="inlineStr">
        <is>
          <t>FT1</t>
        </is>
      </c>
      <c r="D359" t="n">
        <v>6</v>
      </c>
      <c r="E359" t="inlineStr">
        <is>
          <t>FBC6-FT</t>
        </is>
      </c>
      <c r="F359" t="inlineStr">
        <is>
          <t>Friday</t>
        </is>
      </c>
      <c r="G359" s="27" t="n">
        <v>43308</v>
      </c>
      <c r="H359" t="inlineStr">
        <is>
          <t>PM</t>
        </is>
      </c>
      <c r="I359" t="inlineStr">
        <is>
          <t>Arcadia, MI</t>
        </is>
      </c>
      <c r="J359" t="inlineStr">
        <is>
          <t>Midwest</t>
        </is>
      </c>
      <c r="K359" t="n">
        <v>9</v>
      </c>
      <c r="L359" t="inlineStr">
        <is>
          <t>Front</t>
        </is>
      </c>
      <c r="M359" t="inlineStr">
        <is>
          <t>Bluffs</t>
        </is>
      </c>
      <c r="N359" t="inlineStr">
        <is>
          <t>White</t>
        </is>
      </c>
      <c r="O359" t="n">
        <v>70.5</v>
      </c>
      <c r="P359" t="n">
        <v>134</v>
      </c>
      <c r="Q359" t="n">
        <v>6389</v>
      </c>
      <c r="R359" t="inlineStr">
        <is>
          <t>FTAS</t>
        </is>
      </c>
      <c r="S359" t="inlineStr">
        <is>
          <t>FTAS</t>
        </is>
      </c>
      <c r="T359" t="inlineStr">
        <is>
          <t>Under 6'</t>
        </is>
      </c>
      <c r="U359" t="inlineStr">
        <is>
          <t>Norat</t>
        </is>
      </c>
      <c r="V359" t="inlineStr">
        <is>
          <t>Forster</t>
        </is>
      </c>
      <c r="W359" t="inlineStr">
        <is>
          <t>Pelican</t>
        </is>
      </c>
      <c r="AA359" t="n">
        <v>0.5</v>
      </c>
      <c r="AB359" t="inlineStr">
        <is>
          <t>L</t>
        </is>
      </c>
      <c r="AE359">
        <f>$V359&amp;$Y359</f>
        <v/>
      </c>
      <c r="AF359" t="n">
        <v>0</v>
      </c>
      <c r="AG359" t="n">
        <v>0</v>
      </c>
      <c r="AH359" t="n">
        <v>1</v>
      </c>
      <c r="AI359" t="n">
        <v>0</v>
      </c>
      <c r="AJ359" t="n">
        <v>0</v>
      </c>
    </row>
    <row r="360" ht="15" customHeight="1" s="2">
      <c r="B360" t="inlineStr">
        <is>
          <t>FT1</t>
        </is>
      </c>
      <c r="D360" t="n">
        <v>6</v>
      </c>
      <c r="E360" t="inlineStr">
        <is>
          <t>FBC6-FT</t>
        </is>
      </c>
      <c r="F360" t="inlineStr">
        <is>
          <t>Friday</t>
        </is>
      </c>
      <c r="G360" s="27" t="n">
        <v>43308</v>
      </c>
      <c r="H360" t="inlineStr">
        <is>
          <t>PM</t>
        </is>
      </c>
      <c r="I360" t="inlineStr">
        <is>
          <t>Arcadia, MI</t>
        </is>
      </c>
      <c r="J360" t="inlineStr">
        <is>
          <t>Midwest</t>
        </is>
      </c>
      <c r="K360" t="n">
        <v>9</v>
      </c>
      <c r="L360" t="inlineStr">
        <is>
          <t>Front</t>
        </is>
      </c>
      <c r="M360" t="inlineStr">
        <is>
          <t>Bluffs</t>
        </is>
      </c>
      <c r="N360" t="inlineStr">
        <is>
          <t>White</t>
        </is>
      </c>
      <c r="O360" t="n">
        <v>70.5</v>
      </c>
      <c r="P360" t="n">
        <v>134</v>
      </c>
      <c r="Q360" t="n">
        <v>6389</v>
      </c>
      <c r="R360" t="inlineStr">
        <is>
          <t>FTAS</t>
        </is>
      </c>
      <c r="S360" t="inlineStr">
        <is>
          <t>FTAS</t>
        </is>
      </c>
      <c r="T360" t="inlineStr">
        <is>
          <t>Under 6'</t>
        </is>
      </c>
      <c r="U360" t="inlineStr">
        <is>
          <t>Norat</t>
        </is>
      </c>
      <c r="V360" t="inlineStr">
        <is>
          <t>Poirier</t>
        </is>
      </c>
      <c r="W360" t="inlineStr">
        <is>
          <t>Pelican</t>
        </is>
      </c>
      <c r="AA360" t="n">
        <v>0.5</v>
      </c>
      <c r="AB360" t="inlineStr">
        <is>
          <t>L</t>
        </is>
      </c>
      <c r="AE360">
        <f>$V360&amp;$Y360</f>
        <v/>
      </c>
      <c r="AF360" t="n">
        <v>0</v>
      </c>
      <c r="AG360" t="n">
        <v>0</v>
      </c>
      <c r="AH360" t="n">
        <v>1</v>
      </c>
      <c r="AI360" t="n">
        <v>0</v>
      </c>
      <c r="AJ360" t="n">
        <v>0</v>
      </c>
    </row>
    <row r="361" ht="15" customHeight="1" s="2">
      <c r="B361" t="inlineStr">
        <is>
          <t>FT1</t>
        </is>
      </c>
      <c r="D361" t="n">
        <v>6</v>
      </c>
      <c r="E361" t="inlineStr">
        <is>
          <t>FBC6-FT</t>
        </is>
      </c>
      <c r="F361" t="inlineStr">
        <is>
          <t>Friday</t>
        </is>
      </c>
      <c r="G361" s="27" t="n">
        <v>43308</v>
      </c>
      <c r="H361" t="inlineStr">
        <is>
          <t>PM</t>
        </is>
      </c>
      <c r="I361" t="inlineStr">
        <is>
          <t>Arcadia, MI</t>
        </is>
      </c>
      <c r="J361" t="inlineStr">
        <is>
          <t>Midwest</t>
        </is>
      </c>
      <c r="K361" t="n">
        <v>9</v>
      </c>
      <c r="L361" t="inlineStr">
        <is>
          <t>Front</t>
        </is>
      </c>
      <c r="M361" t="inlineStr">
        <is>
          <t>Bluffs</t>
        </is>
      </c>
      <c r="N361" t="inlineStr">
        <is>
          <t>White</t>
        </is>
      </c>
      <c r="O361" t="n">
        <v>70.5</v>
      </c>
      <c r="P361" t="n">
        <v>134</v>
      </c>
      <c r="Q361" t="n">
        <v>6389</v>
      </c>
      <c r="R361" t="inlineStr">
        <is>
          <t>FTAS</t>
        </is>
      </c>
      <c r="S361" t="inlineStr">
        <is>
          <t>FTAS</t>
        </is>
      </c>
      <c r="T361" t="inlineStr">
        <is>
          <t>Under 6'</t>
        </is>
      </c>
      <c r="U361" t="inlineStr">
        <is>
          <t>Norat</t>
        </is>
      </c>
      <c r="V361" t="inlineStr">
        <is>
          <t>Cole</t>
        </is>
      </c>
      <c r="W361" t="inlineStr">
        <is>
          <t>Pelican</t>
        </is>
      </c>
      <c r="AA361" t="n">
        <v>0.5</v>
      </c>
      <c r="AB361" t="inlineStr">
        <is>
          <t>L</t>
        </is>
      </c>
      <c r="AE361">
        <f>$V361&amp;$Y361</f>
        <v/>
      </c>
      <c r="AF361" t="n">
        <v>0</v>
      </c>
      <c r="AG361" t="n">
        <v>0</v>
      </c>
      <c r="AH361" t="n">
        <v>1</v>
      </c>
      <c r="AI361" t="n">
        <v>0</v>
      </c>
      <c r="AJ361" t="n">
        <v>0</v>
      </c>
    </row>
    <row r="362" ht="15" customHeight="1" s="2">
      <c r="B362" t="inlineStr">
        <is>
          <t>FT1</t>
        </is>
      </c>
      <c r="D362" t="n">
        <v>6</v>
      </c>
      <c r="E362" t="inlineStr">
        <is>
          <t>FBC6-FT</t>
        </is>
      </c>
      <c r="F362" t="inlineStr">
        <is>
          <t>Friday</t>
        </is>
      </c>
      <c r="G362" s="27" t="n">
        <v>43308</v>
      </c>
      <c r="H362" t="inlineStr">
        <is>
          <t>PM</t>
        </is>
      </c>
      <c r="I362" t="inlineStr">
        <is>
          <t>Arcadia, MI</t>
        </is>
      </c>
      <c r="J362" t="inlineStr">
        <is>
          <t>Midwest</t>
        </is>
      </c>
      <c r="K362" t="n">
        <v>9</v>
      </c>
      <c r="L362" t="inlineStr">
        <is>
          <t>Front</t>
        </is>
      </c>
      <c r="M362" t="inlineStr">
        <is>
          <t>Bluffs</t>
        </is>
      </c>
      <c r="N362" t="inlineStr">
        <is>
          <t>White</t>
        </is>
      </c>
      <c r="O362" t="n">
        <v>70.5</v>
      </c>
      <c r="P362" t="n">
        <v>134</v>
      </c>
      <c r="Q362" t="n">
        <v>6389</v>
      </c>
      <c r="R362" t="inlineStr">
        <is>
          <t>FTAS</t>
        </is>
      </c>
      <c r="S362" t="inlineStr">
        <is>
          <t>FTAS</t>
        </is>
      </c>
      <c r="T362" t="inlineStr">
        <is>
          <t>Under 6'</t>
        </is>
      </c>
      <c r="U362" t="inlineStr">
        <is>
          <t>Norat</t>
        </is>
      </c>
      <c r="V362" t="inlineStr">
        <is>
          <t>Norat</t>
        </is>
      </c>
      <c r="W362" t="inlineStr">
        <is>
          <t>Pelican</t>
        </is>
      </c>
      <c r="AA362" t="n">
        <v>0.5</v>
      </c>
      <c r="AB362" t="inlineStr">
        <is>
          <t>L</t>
        </is>
      </c>
      <c r="AE362">
        <f>$V362&amp;$Y362</f>
        <v/>
      </c>
      <c r="AF362" t="n">
        <v>0</v>
      </c>
      <c r="AG362" t="n">
        <v>0</v>
      </c>
      <c r="AH362" t="n">
        <v>1</v>
      </c>
      <c r="AI362" t="n">
        <v>0</v>
      </c>
      <c r="AJ362" t="n">
        <v>0</v>
      </c>
    </row>
    <row r="363" ht="15" customHeight="1" s="2">
      <c r="B363" t="inlineStr">
        <is>
          <t>FT1</t>
        </is>
      </c>
      <c r="D363" t="n">
        <v>6</v>
      </c>
      <c r="E363" t="inlineStr">
        <is>
          <t>FBC6-FT</t>
        </is>
      </c>
      <c r="F363" t="inlineStr">
        <is>
          <t>Friday</t>
        </is>
      </c>
      <c r="G363" s="27" t="n">
        <v>43308</v>
      </c>
      <c r="H363" t="inlineStr">
        <is>
          <t>PM</t>
        </is>
      </c>
      <c r="I363" t="inlineStr">
        <is>
          <t>Arcadia, MI</t>
        </is>
      </c>
      <c r="J363" t="inlineStr">
        <is>
          <t>Midwest</t>
        </is>
      </c>
      <c r="K363" t="n">
        <v>9</v>
      </c>
      <c r="L363" t="inlineStr">
        <is>
          <t>Front</t>
        </is>
      </c>
      <c r="M363" t="inlineStr">
        <is>
          <t>Bluffs</t>
        </is>
      </c>
      <c r="N363" t="inlineStr">
        <is>
          <t>White</t>
        </is>
      </c>
      <c r="O363" t="n">
        <v>70.5</v>
      </c>
      <c r="P363" t="n">
        <v>134</v>
      </c>
      <c r="Q363" t="n">
        <v>6389</v>
      </c>
      <c r="R363" t="inlineStr">
        <is>
          <t>FTAS</t>
        </is>
      </c>
      <c r="S363" t="inlineStr">
        <is>
          <t>FTAS</t>
        </is>
      </c>
      <c r="T363" t="inlineStr">
        <is>
          <t>Under 6'</t>
        </is>
      </c>
      <c r="U363" t="inlineStr">
        <is>
          <t>Norat</t>
        </is>
      </c>
      <c r="V363" t="inlineStr">
        <is>
          <t>Welker</t>
        </is>
      </c>
      <c r="W363" t="inlineStr">
        <is>
          <t>Pelican</t>
        </is>
      </c>
      <c r="AA363" t="n">
        <v>0.5</v>
      </c>
      <c r="AB363" t="inlineStr">
        <is>
          <t>L</t>
        </is>
      </c>
      <c r="AE363">
        <f>$V363&amp;$Y363</f>
        <v/>
      </c>
      <c r="AF363" t="n">
        <v>0</v>
      </c>
      <c r="AG363" t="n">
        <v>0</v>
      </c>
      <c r="AH363" t="n">
        <v>1</v>
      </c>
      <c r="AI363" t="n">
        <v>0</v>
      </c>
      <c r="AJ363" t="n">
        <v>0</v>
      </c>
    </row>
    <row r="364" ht="15" customHeight="1" s="2">
      <c r="B364" t="inlineStr">
        <is>
          <t>FT1</t>
        </is>
      </c>
      <c r="D364" t="n">
        <v>6</v>
      </c>
      <c r="E364" t="inlineStr">
        <is>
          <t>FBC6-FT</t>
        </is>
      </c>
      <c r="F364" t="inlineStr">
        <is>
          <t>Friday</t>
        </is>
      </c>
      <c r="G364" s="27" t="n">
        <v>43308</v>
      </c>
      <c r="H364" t="inlineStr">
        <is>
          <t>PM</t>
        </is>
      </c>
      <c r="I364" t="inlineStr">
        <is>
          <t>Arcadia, MI</t>
        </is>
      </c>
      <c r="J364" t="inlineStr">
        <is>
          <t>Midwest</t>
        </is>
      </c>
      <c r="K364" t="n">
        <v>9</v>
      </c>
      <c r="L364" t="inlineStr">
        <is>
          <t>Front</t>
        </is>
      </c>
      <c r="M364" t="inlineStr">
        <is>
          <t>Bluffs</t>
        </is>
      </c>
      <c r="N364" t="inlineStr">
        <is>
          <t>White</t>
        </is>
      </c>
      <c r="O364" t="n">
        <v>70.5</v>
      </c>
      <c r="P364" t="n">
        <v>134</v>
      </c>
      <c r="Q364" t="n">
        <v>6389</v>
      </c>
      <c r="R364" t="inlineStr">
        <is>
          <t>FTAS</t>
        </is>
      </c>
      <c r="S364" t="inlineStr">
        <is>
          <t>FTAS</t>
        </is>
      </c>
      <c r="T364" t="inlineStr">
        <is>
          <t>Under 6'</t>
        </is>
      </c>
      <c r="U364" t="inlineStr">
        <is>
          <t>Norat</t>
        </is>
      </c>
      <c r="V364" t="inlineStr">
        <is>
          <t>Zimmer</t>
        </is>
      </c>
      <c r="W364" t="inlineStr">
        <is>
          <t>Pelican</t>
        </is>
      </c>
      <c r="AA364" t="n">
        <v>0.5</v>
      </c>
      <c r="AB364" t="inlineStr">
        <is>
          <t>L</t>
        </is>
      </c>
      <c r="AE364">
        <f>$V364&amp;$Y364</f>
        <v/>
      </c>
      <c r="AF364" t="n">
        <v>0</v>
      </c>
      <c r="AG364" t="n">
        <v>0</v>
      </c>
      <c r="AH364" t="n">
        <v>1</v>
      </c>
      <c r="AI364" t="n">
        <v>0</v>
      </c>
      <c r="AJ364" t="n">
        <v>0</v>
      </c>
    </row>
    <row r="365" ht="15" customHeight="1" s="2">
      <c r="B365" t="inlineStr">
        <is>
          <t>FT1</t>
        </is>
      </c>
      <c r="D365" t="n">
        <v>6</v>
      </c>
      <c r="E365" t="inlineStr">
        <is>
          <t>FBC6-FT</t>
        </is>
      </c>
      <c r="F365" t="inlineStr">
        <is>
          <t>Friday</t>
        </is>
      </c>
      <c r="G365" s="27" t="n">
        <v>43308</v>
      </c>
      <c r="H365" t="inlineStr">
        <is>
          <t>PM</t>
        </is>
      </c>
      <c r="I365" t="inlineStr">
        <is>
          <t>Arcadia, MI</t>
        </is>
      </c>
      <c r="J365" t="inlineStr">
        <is>
          <t>Midwest</t>
        </is>
      </c>
      <c r="K365" t="n">
        <v>9</v>
      </c>
      <c r="L365" t="inlineStr">
        <is>
          <t>Front</t>
        </is>
      </c>
      <c r="M365" t="inlineStr">
        <is>
          <t>Bluffs</t>
        </is>
      </c>
      <c r="N365" t="inlineStr">
        <is>
          <t>White</t>
        </is>
      </c>
      <c r="O365" t="n">
        <v>70.5</v>
      </c>
      <c r="P365" t="n">
        <v>134</v>
      </c>
      <c r="Q365" t="n">
        <v>6389</v>
      </c>
      <c r="R365" t="inlineStr">
        <is>
          <t>FTAS</t>
        </is>
      </c>
      <c r="S365" t="inlineStr">
        <is>
          <t>FTAS</t>
        </is>
      </c>
      <c r="T365" t="inlineStr">
        <is>
          <t>Under 6'</t>
        </is>
      </c>
      <c r="U365" t="inlineStr">
        <is>
          <t>Norat</t>
        </is>
      </c>
      <c r="V365" t="inlineStr">
        <is>
          <t>Connors</t>
        </is>
      </c>
      <c r="W365" t="inlineStr">
        <is>
          <t>Pelican</t>
        </is>
      </c>
      <c r="AA365" t="n">
        <v>0.5</v>
      </c>
      <c r="AB365" t="inlineStr">
        <is>
          <t>L</t>
        </is>
      </c>
      <c r="AE365">
        <f>$V365&amp;$Y365</f>
        <v/>
      </c>
      <c r="AF365" t="n">
        <v>0</v>
      </c>
      <c r="AG365" t="n">
        <v>0</v>
      </c>
      <c r="AH365" t="n">
        <v>1</v>
      </c>
      <c r="AI365" t="n">
        <v>0</v>
      </c>
      <c r="AJ365" t="n">
        <v>0</v>
      </c>
    </row>
    <row r="366" ht="15" customHeight="1" s="2">
      <c r="B366" t="n">
        <v>21</v>
      </c>
      <c r="C366" t="n">
        <v>1</v>
      </c>
      <c r="D366" t="n">
        <v>6</v>
      </c>
      <c r="E366" t="inlineStr">
        <is>
          <t>FBC6-S-Fogan-Norat</t>
        </is>
      </c>
      <c r="F366" t="inlineStr">
        <is>
          <t>Saturday</t>
        </is>
      </c>
      <c r="G366" s="27" t="n">
        <v>43309</v>
      </c>
      <c r="H366" t="inlineStr">
        <is>
          <t>AM</t>
        </is>
      </c>
      <c r="I366" t="inlineStr">
        <is>
          <t>Arcadia, MI</t>
        </is>
      </c>
      <c r="J366" t="inlineStr">
        <is>
          <t>Midwest</t>
        </is>
      </c>
      <c r="K366" t="n">
        <v>18</v>
      </c>
      <c r="L366" t="inlineStr">
        <is>
          <t>Full</t>
        </is>
      </c>
      <c r="M366" t="inlineStr">
        <is>
          <t>Bluffs</t>
        </is>
      </c>
      <c r="N366" t="inlineStr">
        <is>
          <t>White</t>
        </is>
      </c>
      <c r="O366" t="n">
        <v>70.5</v>
      </c>
      <c r="P366" t="n">
        <v>134</v>
      </c>
      <c r="Q366" t="n">
        <v>6389</v>
      </c>
      <c r="R366" t="inlineStr">
        <is>
          <t>Match Play</t>
        </is>
      </c>
      <c r="S366" t="inlineStr">
        <is>
          <t>Singles</t>
        </is>
      </c>
      <c r="T366" t="inlineStr">
        <is>
          <t>Over 6'</t>
        </is>
      </c>
      <c r="U366" t="inlineStr">
        <is>
          <t>Fogan</t>
        </is>
      </c>
      <c r="V366" t="inlineStr">
        <is>
          <t>Fogan</t>
        </is>
      </c>
      <c r="W366" t="inlineStr">
        <is>
          <t>Black</t>
        </is>
      </c>
      <c r="AA366" t="n">
        <v>2</v>
      </c>
      <c r="AB366" t="inlineStr">
        <is>
          <t>L</t>
        </is>
      </c>
      <c r="AC366" t="inlineStr">
        <is>
          <t>4&amp;3</t>
        </is>
      </c>
      <c r="AD366" t="inlineStr">
        <is>
          <t>Norat</t>
        </is>
      </c>
      <c r="AE366">
        <f>$V366&amp;$Y366</f>
        <v/>
      </c>
      <c r="AF366" t="n">
        <v>0</v>
      </c>
      <c r="AG366" t="n">
        <v>0</v>
      </c>
      <c r="AH366" t="n">
        <v>1</v>
      </c>
      <c r="AI366" t="n">
        <v>0</v>
      </c>
      <c r="AJ366" t="n">
        <v>0</v>
      </c>
      <c r="AK366" t="inlineStr">
        <is>
          <t>Norat</t>
        </is>
      </c>
      <c r="AL366" t="n">
        <v>0.527777777777778</v>
      </c>
    </row>
    <row r="367" ht="15" customHeight="1" s="2">
      <c r="B367" t="n">
        <v>21</v>
      </c>
      <c r="C367" t="n">
        <v>2</v>
      </c>
      <c r="D367" t="n">
        <v>6</v>
      </c>
      <c r="E367" t="inlineStr">
        <is>
          <t>FBC6-S-Forster-Lynch</t>
        </is>
      </c>
      <c r="F367" t="inlineStr">
        <is>
          <t>Saturday</t>
        </is>
      </c>
      <c r="G367" s="27" t="n">
        <v>43309</v>
      </c>
      <c r="H367" t="inlineStr">
        <is>
          <t>AM</t>
        </is>
      </c>
      <c r="I367" t="inlineStr">
        <is>
          <t>Arcadia, MI</t>
        </is>
      </c>
      <c r="J367" t="inlineStr">
        <is>
          <t>Midwest</t>
        </is>
      </c>
      <c r="K367" t="n">
        <v>18</v>
      </c>
      <c r="L367" t="inlineStr">
        <is>
          <t>Full</t>
        </is>
      </c>
      <c r="M367" t="inlineStr">
        <is>
          <t>Bluffs</t>
        </is>
      </c>
      <c r="N367" t="inlineStr">
        <is>
          <t>White</t>
        </is>
      </c>
      <c r="O367" t="n">
        <v>70.5</v>
      </c>
      <c r="P367" t="n">
        <v>134</v>
      </c>
      <c r="Q367" t="n">
        <v>6389</v>
      </c>
      <c r="R367" t="inlineStr">
        <is>
          <t>Match Play</t>
        </is>
      </c>
      <c r="S367" t="inlineStr">
        <is>
          <t>Singles</t>
        </is>
      </c>
      <c r="T367" t="inlineStr">
        <is>
          <t>Over 6'</t>
        </is>
      </c>
      <c r="U367" t="inlineStr">
        <is>
          <t>Fogan</t>
        </is>
      </c>
      <c r="V367" t="inlineStr">
        <is>
          <t>Lynch</t>
        </is>
      </c>
      <c r="W367" t="inlineStr">
        <is>
          <t>Black</t>
        </is>
      </c>
      <c r="AA367" t="n">
        <v>2</v>
      </c>
      <c r="AB367" t="inlineStr">
        <is>
          <t>L</t>
        </is>
      </c>
      <c r="AC367" t="inlineStr">
        <is>
          <t>3&amp;2</t>
        </is>
      </c>
      <c r="AD367" t="inlineStr">
        <is>
          <t>Forster</t>
        </is>
      </c>
      <c r="AE367">
        <f>$V367&amp;$Y367</f>
        <v/>
      </c>
      <c r="AF367" t="n">
        <v>0</v>
      </c>
      <c r="AG367" t="n">
        <v>0</v>
      </c>
      <c r="AH367" t="n">
        <v>1</v>
      </c>
      <c r="AI367" t="n">
        <v>0</v>
      </c>
      <c r="AJ367" t="n">
        <v>0</v>
      </c>
      <c r="AK367" t="inlineStr">
        <is>
          <t>Forster</t>
        </is>
      </c>
      <c r="AL367" t="n">
        <v>0.596491228070175</v>
      </c>
    </row>
    <row r="368" ht="15" customHeight="1" s="2">
      <c r="B368" t="n">
        <v>22</v>
      </c>
      <c r="C368" t="n">
        <v>3</v>
      </c>
      <c r="D368" t="n">
        <v>6</v>
      </c>
      <c r="E368" t="inlineStr">
        <is>
          <t>FBC6-S-Hilts-Poirier</t>
        </is>
      </c>
      <c r="F368" t="inlineStr">
        <is>
          <t>Saturday</t>
        </is>
      </c>
      <c r="G368" s="27" t="n">
        <v>43309</v>
      </c>
      <c r="H368" t="inlineStr">
        <is>
          <t>AM</t>
        </is>
      </c>
      <c r="I368" t="inlineStr">
        <is>
          <t>Arcadia, MI</t>
        </is>
      </c>
      <c r="J368" t="inlineStr">
        <is>
          <t>Midwest</t>
        </is>
      </c>
      <c r="K368" t="n">
        <v>18</v>
      </c>
      <c r="L368" t="inlineStr">
        <is>
          <t>Full</t>
        </is>
      </c>
      <c r="M368" t="inlineStr">
        <is>
          <t>Bluffs</t>
        </is>
      </c>
      <c r="N368" t="inlineStr">
        <is>
          <t>White</t>
        </is>
      </c>
      <c r="O368" t="n">
        <v>70.5</v>
      </c>
      <c r="P368" t="n">
        <v>134</v>
      </c>
      <c r="Q368" t="n">
        <v>6389</v>
      </c>
      <c r="R368" t="inlineStr">
        <is>
          <t>Match Play</t>
        </is>
      </c>
      <c r="S368" t="inlineStr">
        <is>
          <t>Singles</t>
        </is>
      </c>
      <c r="T368" t="inlineStr">
        <is>
          <t>Over 6'</t>
        </is>
      </c>
      <c r="U368" t="inlineStr">
        <is>
          <t>Fogan</t>
        </is>
      </c>
      <c r="V368" t="inlineStr">
        <is>
          <t>Hilts</t>
        </is>
      </c>
      <c r="W368" t="inlineStr">
        <is>
          <t>Black</t>
        </is>
      </c>
      <c r="AA368" t="n">
        <v>2</v>
      </c>
      <c r="AB368" t="inlineStr">
        <is>
          <t>W</t>
        </is>
      </c>
      <c r="AC368" t="inlineStr">
        <is>
          <t>3&amp;2</t>
        </is>
      </c>
      <c r="AD368" t="inlineStr">
        <is>
          <t>Poirier</t>
        </is>
      </c>
      <c r="AE368">
        <f>$V368&amp;$Y368</f>
        <v/>
      </c>
      <c r="AF368" t="n">
        <v>2</v>
      </c>
      <c r="AG368" t="n">
        <v>1</v>
      </c>
      <c r="AH368" t="n">
        <v>0</v>
      </c>
      <c r="AI368" t="n">
        <v>0</v>
      </c>
      <c r="AJ368" t="n">
        <v>1</v>
      </c>
      <c r="AK368" t="inlineStr">
        <is>
          <t>Poirier</t>
        </is>
      </c>
      <c r="AL368" t="n">
        <v>0.486111111111111</v>
      </c>
    </row>
    <row r="369" ht="15" customHeight="1" s="2">
      <c r="B369" t="n">
        <v>22</v>
      </c>
      <c r="C369" t="n">
        <v>4</v>
      </c>
      <c r="D369" t="n">
        <v>6</v>
      </c>
      <c r="E369" t="inlineStr">
        <is>
          <t>FBC6-S-Ferrin-Grise</t>
        </is>
      </c>
      <c r="F369" t="inlineStr">
        <is>
          <t>Saturday</t>
        </is>
      </c>
      <c r="G369" s="27" t="n">
        <v>43309</v>
      </c>
      <c r="H369" t="inlineStr">
        <is>
          <t>AM</t>
        </is>
      </c>
      <c r="I369" t="inlineStr">
        <is>
          <t>Arcadia, MI</t>
        </is>
      </c>
      <c r="J369" t="inlineStr">
        <is>
          <t>Midwest</t>
        </is>
      </c>
      <c r="K369" t="n">
        <v>18</v>
      </c>
      <c r="L369" t="inlineStr">
        <is>
          <t>Full</t>
        </is>
      </c>
      <c r="M369" t="inlineStr">
        <is>
          <t>Bluffs</t>
        </is>
      </c>
      <c r="N369" t="inlineStr">
        <is>
          <t>White</t>
        </is>
      </c>
      <c r="O369" t="n">
        <v>70.5</v>
      </c>
      <c r="P369" t="n">
        <v>134</v>
      </c>
      <c r="Q369" t="n">
        <v>6389</v>
      </c>
      <c r="R369" t="inlineStr">
        <is>
          <t>Match Play</t>
        </is>
      </c>
      <c r="S369" t="inlineStr">
        <is>
          <t>Singles</t>
        </is>
      </c>
      <c r="T369" t="inlineStr">
        <is>
          <t>Over 6'</t>
        </is>
      </c>
      <c r="U369" t="inlineStr">
        <is>
          <t>Fogan</t>
        </is>
      </c>
      <c r="V369" t="inlineStr">
        <is>
          <t>Grise</t>
        </is>
      </c>
      <c r="W369" t="inlineStr">
        <is>
          <t>Black</t>
        </is>
      </c>
      <c r="AA369" t="n">
        <v>2</v>
      </c>
      <c r="AB369" t="inlineStr">
        <is>
          <t>W</t>
        </is>
      </c>
      <c r="AC369" t="inlineStr">
        <is>
          <t>2&amp;1</t>
        </is>
      </c>
      <c r="AD369" t="inlineStr">
        <is>
          <t>Ferrin</t>
        </is>
      </c>
      <c r="AE369">
        <f>$V369&amp;$Y369</f>
        <v/>
      </c>
      <c r="AF369" t="n">
        <v>2</v>
      </c>
      <c r="AG369" t="n">
        <v>1</v>
      </c>
      <c r="AH369" t="n">
        <v>0</v>
      </c>
      <c r="AI369" t="n">
        <v>0</v>
      </c>
      <c r="AJ369" t="n">
        <v>1</v>
      </c>
      <c r="AK369" t="inlineStr">
        <is>
          <t>Ferrin</t>
        </is>
      </c>
      <c r="AL369" t="n">
        <v>0.595238095238095</v>
      </c>
    </row>
    <row r="370" ht="15" customHeight="1" s="2">
      <c r="B370" t="n">
        <v>23</v>
      </c>
      <c r="C370" t="n">
        <v>5</v>
      </c>
      <c r="D370" t="n">
        <v>6</v>
      </c>
      <c r="E370" t="inlineStr">
        <is>
          <t>FBC6-S-Connors-Shively</t>
        </is>
      </c>
      <c r="F370" t="inlineStr">
        <is>
          <t>Saturday</t>
        </is>
      </c>
      <c r="G370" s="27" t="n">
        <v>43309</v>
      </c>
      <c r="H370" t="inlineStr">
        <is>
          <t>AM</t>
        </is>
      </c>
      <c r="I370" t="inlineStr">
        <is>
          <t>Arcadia, MI</t>
        </is>
      </c>
      <c r="J370" t="inlineStr">
        <is>
          <t>Midwest</t>
        </is>
      </c>
      <c r="K370" t="n">
        <v>18</v>
      </c>
      <c r="L370" t="inlineStr">
        <is>
          <t>Full</t>
        </is>
      </c>
      <c r="M370" t="inlineStr">
        <is>
          <t>Bluffs</t>
        </is>
      </c>
      <c r="N370" t="inlineStr">
        <is>
          <t>White</t>
        </is>
      </c>
      <c r="O370" t="n">
        <v>70.5</v>
      </c>
      <c r="P370" t="n">
        <v>134</v>
      </c>
      <c r="Q370" t="n">
        <v>6389</v>
      </c>
      <c r="R370" t="inlineStr">
        <is>
          <t>Match Play</t>
        </is>
      </c>
      <c r="S370" t="inlineStr">
        <is>
          <t>Singles</t>
        </is>
      </c>
      <c r="T370" t="inlineStr">
        <is>
          <t>Over 6'</t>
        </is>
      </c>
      <c r="U370" t="inlineStr">
        <is>
          <t>Fogan</t>
        </is>
      </c>
      <c r="V370" t="inlineStr">
        <is>
          <t>Shively</t>
        </is>
      </c>
      <c r="W370" t="inlineStr">
        <is>
          <t>Black</t>
        </is>
      </c>
      <c r="AA370" t="n">
        <v>2</v>
      </c>
      <c r="AB370" t="inlineStr">
        <is>
          <t>W</t>
        </is>
      </c>
      <c r="AC370" t="inlineStr">
        <is>
          <t>4&amp;3</t>
        </is>
      </c>
      <c r="AD370" t="inlineStr">
        <is>
          <t>Connors</t>
        </is>
      </c>
      <c r="AE370">
        <f>$V370&amp;$Y370</f>
        <v/>
      </c>
      <c r="AF370" t="n">
        <v>2</v>
      </c>
      <c r="AG370" t="n">
        <v>1</v>
      </c>
      <c r="AH370" t="n">
        <v>0</v>
      </c>
      <c r="AI370" t="n">
        <v>0</v>
      </c>
      <c r="AJ370" t="n">
        <v>1</v>
      </c>
      <c r="AK370" t="inlineStr">
        <is>
          <t>Connors</t>
        </is>
      </c>
      <c r="AL370" t="n">
        <v>0.347457627118644</v>
      </c>
    </row>
    <row r="371" ht="15" customHeight="1" s="2">
      <c r="B371" t="n">
        <v>23</v>
      </c>
      <c r="C371" t="n">
        <v>6</v>
      </c>
      <c r="D371" t="n">
        <v>6</v>
      </c>
      <c r="E371" t="inlineStr">
        <is>
          <t>FBC6-S-Buss-Welker</t>
        </is>
      </c>
      <c r="F371" t="inlineStr">
        <is>
          <t>Saturday</t>
        </is>
      </c>
      <c r="G371" s="27" t="n">
        <v>43309</v>
      </c>
      <c r="H371" t="inlineStr">
        <is>
          <t>AM</t>
        </is>
      </c>
      <c r="I371" t="inlineStr">
        <is>
          <t>Arcadia, MI</t>
        </is>
      </c>
      <c r="J371" t="inlineStr">
        <is>
          <t>Midwest</t>
        </is>
      </c>
      <c r="K371" t="n">
        <v>18</v>
      </c>
      <c r="L371" t="inlineStr">
        <is>
          <t>Full</t>
        </is>
      </c>
      <c r="M371" t="inlineStr">
        <is>
          <t>Bluffs</t>
        </is>
      </c>
      <c r="N371" t="inlineStr">
        <is>
          <t>White</t>
        </is>
      </c>
      <c r="O371" t="n">
        <v>70.5</v>
      </c>
      <c r="P371" t="n">
        <v>134</v>
      </c>
      <c r="Q371" t="n">
        <v>6389</v>
      </c>
      <c r="R371" t="inlineStr">
        <is>
          <t>Match Play</t>
        </is>
      </c>
      <c r="S371" t="inlineStr">
        <is>
          <t>Singles</t>
        </is>
      </c>
      <c r="T371" t="inlineStr">
        <is>
          <t>Over 6'</t>
        </is>
      </c>
      <c r="U371" t="inlineStr">
        <is>
          <t>Fogan</t>
        </is>
      </c>
      <c r="V371" t="inlineStr">
        <is>
          <t>Buss</t>
        </is>
      </c>
      <c r="W371" t="inlineStr">
        <is>
          <t>Black</t>
        </is>
      </c>
      <c r="AA371" t="n">
        <v>2</v>
      </c>
      <c r="AB371" t="inlineStr">
        <is>
          <t>L</t>
        </is>
      </c>
      <c r="AC371" t="inlineStr">
        <is>
          <t>6&amp;5</t>
        </is>
      </c>
      <c r="AD371" t="inlineStr">
        <is>
          <t>Welker</t>
        </is>
      </c>
      <c r="AE371">
        <f>$V371&amp;$Y371</f>
        <v/>
      </c>
      <c r="AF371" t="n">
        <v>0</v>
      </c>
      <c r="AG371" t="n">
        <v>0</v>
      </c>
      <c r="AH371" t="n">
        <v>1</v>
      </c>
      <c r="AI371" t="n">
        <v>0</v>
      </c>
      <c r="AJ371" t="n">
        <v>0</v>
      </c>
      <c r="AK371" t="inlineStr">
        <is>
          <t>Welker</t>
        </is>
      </c>
      <c r="AL371" t="n">
        <v>0.510416666666667</v>
      </c>
    </row>
    <row r="372" ht="15" customHeight="1" s="2">
      <c r="B372" t="n">
        <v>24</v>
      </c>
      <c r="C372" t="n">
        <v>7</v>
      </c>
      <c r="D372" t="n">
        <v>6</v>
      </c>
      <c r="E372" t="inlineStr">
        <is>
          <t>FBC6-S-Jackson-Zimmer</t>
        </is>
      </c>
      <c r="F372" t="inlineStr">
        <is>
          <t>Saturday</t>
        </is>
      </c>
      <c r="G372" s="27" t="n">
        <v>43309</v>
      </c>
      <c r="H372" t="inlineStr">
        <is>
          <t>AM</t>
        </is>
      </c>
      <c r="I372" t="inlineStr">
        <is>
          <t>Arcadia, MI</t>
        </is>
      </c>
      <c r="J372" t="inlineStr">
        <is>
          <t>Midwest</t>
        </is>
      </c>
      <c r="K372" t="n">
        <v>18</v>
      </c>
      <c r="L372" t="inlineStr">
        <is>
          <t>Full</t>
        </is>
      </c>
      <c r="M372" t="inlineStr">
        <is>
          <t>Bluffs</t>
        </is>
      </c>
      <c r="N372" t="inlineStr">
        <is>
          <t>White</t>
        </is>
      </c>
      <c r="O372" t="n">
        <v>70.5</v>
      </c>
      <c r="P372" t="n">
        <v>134</v>
      </c>
      <c r="Q372" t="n">
        <v>6389</v>
      </c>
      <c r="R372" t="inlineStr">
        <is>
          <t>Match Play</t>
        </is>
      </c>
      <c r="S372" t="inlineStr">
        <is>
          <t>Singles</t>
        </is>
      </c>
      <c r="T372" t="inlineStr">
        <is>
          <t>Over 6'</t>
        </is>
      </c>
      <c r="U372" t="inlineStr">
        <is>
          <t>Fogan</t>
        </is>
      </c>
      <c r="V372" t="inlineStr">
        <is>
          <t>Jackson</t>
        </is>
      </c>
      <c r="W372" t="inlineStr">
        <is>
          <t>Black</t>
        </is>
      </c>
      <c r="AA372" t="n">
        <v>2</v>
      </c>
      <c r="AB372" t="inlineStr">
        <is>
          <t>W</t>
        </is>
      </c>
      <c r="AC372" t="inlineStr">
        <is>
          <t>4&amp;3</t>
        </is>
      </c>
      <c r="AD372" t="inlineStr">
        <is>
          <t>Zimmer</t>
        </is>
      </c>
      <c r="AE372">
        <f>$V372&amp;$Y372</f>
        <v/>
      </c>
      <c r="AF372" t="n">
        <v>2</v>
      </c>
      <c r="AG372" t="n">
        <v>1</v>
      </c>
      <c r="AH372" t="n">
        <v>0</v>
      </c>
      <c r="AI372" t="n">
        <v>0</v>
      </c>
      <c r="AJ372" t="n">
        <v>1</v>
      </c>
      <c r="AK372" t="inlineStr">
        <is>
          <t>Zimmer</t>
        </is>
      </c>
      <c r="AL372" t="n">
        <v>0.5</v>
      </c>
    </row>
    <row r="373" ht="15" customHeight="1" s="2">
      <c r="B373" t="n">
        <v>24</v>
      </c>
      <c r="C373" t="n">
        <v>8</v>
      </c>
      <c r="D373" t="n">
        <v>6</v>
      </c>
      <c r="E373" t="inlineStr">
        <is>
          <t>FBC6-S-Cole-Mangold</t>
        </is>
      </c>
      <c r="F373" t="inlineStr">
        <is>
          <t>Saturday</t>
        </is>
      </c>
      <c r="G373" s="27" t="n">
        <v>43309</v>
      </c>
      <c r="H373" t="inlineStr">
        <is>
          <t>AM</t>
        </is>
      </c>
      <c r="I373" t="inlineStr">
        <is>
          <t>Arcadia, MI</t>
        </is>
      </c>
      <c r="J373" t="inlineStr">
        <is>
          <t>Midwest</t>
        </is>
      </c>
      <c r="K373" t="n">
        <v>18</v>
      </c>
      <c r="L373" t="inlineStr">
        <is>
          <t>Full</t>
        </is>
      </c>
      <c r="M373" t="inlineStr">
        <is>
          <t>Bluffs</t>
        </is>
      </c>
      <c r="N373" t="inlineStr">
        <is>
          <t>White</t>
        </is>
      </c>
      <c r="O373" t="n">
        <v>70.5</v>
      </c>
      <c r="P373" t="n">
        <v>134</v>
      </c>
      <c r="Q373" t="n">
        <v>6389</v>
      </c>
      <c r="R373" t="inlineStr">
        <is>
          <t>Match Play</t>
        </is>
      </c>
      <c r="S373" t="inlineStr">
        <is>
          <t>Singles</t>
        </is>
      </c>
      <c r="T373" t="inlineStr">
        <is>
          <t>Over 6'</t>
        </is>
      </c>
      <c r="U373" t="inlineStr">
        <is>
          <t>Fogan</t>
        </is>
      </c>
      <c r="V373" t="inlineStr">
        <is>
          <t>Mangold</t>
        </is>
      </c>
      <c r="W373" t="inlineStr">
        <is>
          <t>Black</t>
        </is>
      </c>
      <c r="AA373" t="n">
        <v>2</v>
      </c>
      <c r="AB373" t="inlineStr">
        <is>
          <t>L</t>
        </is>
      </c>
      <c r="AC373" t="inlineStr">
        <is>
          <t>8&amp;7</t>
        </is>
      </c>
      <c r="AD373" t="inlineStr">
        <is>
          <t>Cole</t>
        </is>
      </c>
      <c r="AE373">
        <f>$V373&amp;$Y373</f>
        <v/>
      </c>
      <c r="AF373" t="n">
        <v>0</v>
      </c>
      <c r="AG373" t="n">
        <v>0</v>
      </c>
      <c r="AH373" t="n">
        <v>1</v>
      </c>
      <c r="AI373" t="n">
        <v>0</v>
      </c>
      <c r="AJ373" t="n">
        <v>0</v>
      </c>
      <c r="AK373" t="inlineStr">
        <is>
          <t>Cole</t>
        </is>
      </c>
      <c r="AL373" t="n">
        <v>0.440677966101695</v>
      </c>
    </row>
    <row r="374" ht="15" customHeight="1" s="2">
      <c r="B374" t="n">
        <v>25</v>
      </c>
      <c r="C374" t="n">
        <v>9</v>
      </c>
      <c r="D374" t="n">
        <v>6</v>
      </c>
      <c r="E374" t="inlineStr">
        <is>
          <t>FBC6-S-Connolly-Gray</t>
        </is>
      </c>
      <c r="F374" t="inlineStr">
        <is>
          <t>Saturday</t>
        </is>
      </c>
      <c r="G374" s="27" t="n">
        <v>43309</v>
      </c>
      <c r="H374" t="inlineStr">
        <is>
          <t>AM</t>
        </is>
      </c>
      <c r="I374" t="inlineStr">
        <is>
          <t>Arcadia, MI</t>
        </is>
      </c>
      <c r="J374" t="inlineStr">
        <is>
          <t>Midwest</t>
        </is>
      </c>
      <c r="K374" t="n">
        <v>18</v>
      </c>
      <c r="L374" t="inlineStr">
        <is>
          <t>Full</t>
        </is>
      </c>
      <c r="M374" t="inlineStr">
        <is>
          <t>Bluffs</t>
        </is>
      </c>
      <c r="N374" t="inlineStr">
        <is>
          <t>White</t>
        </is>
      </c>
      <c r="O374" t="n">
        <v>70.5</v>
      </c>
      <c r="P374" t="n">
        <v>134</v>
      </c>
      <c r="Q374" t="n">
        <v>6389</v>
      </c>
      <c r="R374" t="inlineStr">
        <is>
          <t>Match Play</t>
        </is>
      </c>
      <c r="S374" t="inlineStr">
        <is>
          <t>Singles</t>
        </is>
      </c>
      <c r="T374" t="inlineStr">
        <is>
          <t>Over 6'</t>
        </is>
      </c>
      <c r="U374" t="inlineStr">
        <is>
          <t>Fogan</t>
        </is>
      </c>
      <c r="V374" t="inlineStr">
        <is>
          <t>Gray</t>
        </is>
      </c>
      <c r="W374" t="inlineStr">
        <is>
          <t>Black</t>
        </is>
      </c>
      <c r="AA374" t="n">
        <v>2</v>
      </c>
      <c r="AB374" t="inlineStr">
        <is>
          <t>W</t>
        </is>
      </c>
      <c r="AC374" t="inlineStr">
        <is>
          <t>4&amp;3</t>
        </is>
      </c>
      <c r="AD374" t="inlineStr">
        <is>
          <t>Connolly</t>
        </is>
      </c>
      <c r="AE374">
        <f>$V374&amp;$Y374</f>
        <v/>
      </c>
      <c r="AF374" t="n">
        <v>2</v>
      </c>
      <c r="AG374" t="n">
        <v>1</v>
      </c>
      <c r="AH374" t="n">
        <v>0</v>
      </c>
      <c r="AI374" t="n">
        <v>0</v>
      </c>
      <c r="AJ374" t="n">
        <v>1</v>
      </c>
      <c r="AK374" t="inlineStr">
        <is>
          <t>Connolly</t>
        </is>
      </c>
      <c r="AL374" t="n">
        <v>0.59375</v>
      </c>
    </row>
    <row r="375" ht="15" customHeight="1" s="2">
      <c r="B375" t="n">
        <v>25</v>
      </c>
      <c r="C375" t="n">
        <v>10</v>
      </c>
      <c r="D375" t="n">
        <v>6</v>
      </c>
      <c r="E375" t="inlineStr">
        <is>
          <t>FBC6-S-Flanders-McInerney</t>
        </is>
      </c>
      <c r="F375" t="inlineStr">
        <is>
          <t>Saturday</t>
        </is>
      </c>
      <c r="G375" s="27" t="n">
        <v>43309</v>
      </c>
      <c r="H375" t="inlineStr">
        <is>
          <t>AM</t>
        </is>
      </c>
      <c r="I375" t="inlineStr">
        <is>
          <t>Arcadia, MI</t>
        </is>
      </c>
      <c r="J375" t="inlineStr">
        <is>
          <t>Midwest</t>
        </is>
      </c>
      <c r="K375" t="n">
        <v>18</v>
      </c>
      <c r="L375" t="inlineStr">
        <is>
          <t>Full</t>
        </is>
      </c>
      <c r="M375" t="inlineStr">
        <is>
          <t>Bluffs</t>
        </is>
      </c>
      <c r="N375" t="inlineStr">
        <is>
          <t>White</t>
        </is>
      </c>
      <c r="O375" t="n">
        <v>70.5</v>
      </c>
      <c r="P375" t="n">
        <v>134</v>
      </c>
      <c r="Q375" t="n">
        <v>6389</v>
      </c>
      <c r="R375" t="inlineStr">
        <is>
          <t>Match Play</t>
        </is>
      </c>
      <c r="S375" t="inlineStr">
        <is>
          <t>Singles</t>
        </is>
      </c>
      <c r="T375" t="inlineStr">
        <is>
          <t>Over 6'</t>
        </is>
      </c>
      <c r="U375" t="inlineStr">
        <is>
          <t>Fogan</t>
        </is>
      </c>
      <c r="V375" t="inlineStr">
        <is>
          <t>McInerney</t>
        </is>
      </c>
      <c r="W375" t="inlineStr">
        <is>
          <t>Black</t>
        </is>
      </c>
      <c r="AA375" t="n">
        <v>2</v>
      </c>
      <c r="AB375" t="inlineStr">
        <is>
          <t>T</t>
        </is>
      </c>
      <c r="AC375" t="inlineStr">
        <is>
          <t>Halved</t>
        </is>
      </c>
      <c r="AD375" t="inlineStr">
        <is>
          <t>Flanders</t>
        </is>
      </c>
      <c r="AE375">
        <f>$V375&amp;$Y375</f>
        <v/>
      </c>
      <c r="AF375" t="n">
        <v>1</v>
      </c>
      <c r="AG375" t="n">
        <v>0</v>
      </c>
      <c r="AH375" t="n">
        <v>0</v>
      </c>
      <c r="AI375" t="n">
        <v>1</v>
      </c>
      <c r="AJ375" t="n">
        <v>0.5</v>
      </c>
      <c r="AK375" t="inlineStr">
        <is>
          <t>Flanders</t>
        </is>
      </c>
      <c r="AL375" t="n">
        <v>0.4296875</v>
      </c>
    </row>
    <row r="376" ht="15" customHeight="1" s="2">
      <c r="B376" t="n">
        <v>26</v>
      </c>
      <c r="C376" t="n">
        <v>1</v>
      </c>
      <c r="D376" t="n">
        <v>6</v>
      </c>
      <c r="E376" t="inlineStr">
        <is>
          <t>FBC6-S-Fogan-Norat</t>
        </is>
      </c>
      <c r="F376" t="inlineStr">
        <is>
          <t>Saturday</t>
        </is>
      </c>
      <c r="G376" s="27" t="n">
        <v>43309</v>
      </c>
      <c r="H376" t="inlineStr">
        <is>
          <t>AM</t>
        </is>
      </c>
      <c r="I376" t="inlineStr">
        <is>
          <t>Arcadia, MI</t>
        </is>
      </c>
      <c r="J376" t="inlineStr">
        <is>
          <t>Midwest</t>
        </is>
      </c>
      <c r="K376" t="n">
        <v>18</v>
      </c>
      <c r="L376" t="inlineStr">
        <is>
          <t>Full</t>
        </is>
      </c>
      <c r="M376" t="inlineStr">
        <is>
          <t>Bluffs</t>
        </is>
      </c>
      <c r="N376" t="inlineStr">
        <is>
          <t>White</t>
        </is>
      </c>
      <c r="O376" t="n">
        <v>70.5</v>
      </c>
      <c r="P376" t="n">
        <v>134</v>
      </c>
      <c r="Q376" t="n">
        <v>6389</v>
      </c>
      <c r="R376" t="inlineStr">
        <is>
          <t>Match Play</t>
        </is>
      </c>
      <c r="S376" t="inlineStr">
        <is>
          <t>Singles</t>
        </is>
      </c>
      <c r="T376" t="inlineStr">
        <is>
          <t>Under 6'</t>
        </is>
      </c>
      <c r="U376" t="inlineStr">
        <is>
          <t>Norat</t>
        </is>
      </c>
      <c r="V376" t="inlineStr">
        <is>
          <t>Norat</t>
        </is>
      </c>
      <c r="W376" t="inlineStr">
        <is>
          <t>Pelican</t>
        </is>
      </c>
      <c r="AA376" t="n">
        <v>2</v>
      </c>
      <c r="AB376" t="inlineStr">
        <is>
          <t>W</t>
        </is>
      </c>
      <c r="AC376" t="inlineStr">
        <is>
          <t>4&amp;3</t>
        </is>
      </c>
      <c r="AD376" t="inlineStr">
        <is>
          <t>Fogan</t>
        </is>
      </c>
      <c r="AE376">
        <f>$V376&amp;$Y376</f>
        <v/>
      </c>
      <c r="AF376" t="n">
        <v>2</v>
      </c>
      <c r="AG376" t="n">
        <v>1</v>
      </c>
      <c r="AH376" t="n">
        <v>0</v>
      </c>
      <c r="AI376" t="n">
        <v>0</v>
      </c>
      <c r="AJ376" t="n">
        <v>1</v>
      </c>
      <c r="AK376" t="inlineStr">
        <is>
          <t>Fogan</t>
        </is>
      </c>
      <c r="AL376" t="n">
        <v>0.372881355932203</v>
      </c>
    </row>
    <row r="377" ht="15" customHeight="1" s="2">
      <c r="B377" t="n">
        <v>26</v>
      </c>
      <c r="C377" t="n">
        <v>2</v>
      </c>
      <c r="D377" t="n">
        <v>6</v>
      </c>
      <c r="E377" t="inlineStr">
        <is>
          <t>FBC6-S-Forster-Lynch</t>
        </is>
      </c>
      <c r="F377" t="inlineStr">
        <is>
          <t>Saturday</t>
        </is>
      </c>
      <c r="G377" s="27" t="n">
        <v>43309</v>
      </c>
      <c r="H377" t="inlineStr">
        <is>
          <t>AM</t>
        </is>
      </c>
      <c r="I377" t="inlineStr">
        <is>
          <t>Arcadia, MI</t>
        </is>
      </c>
      <c r="J377" t="inlineStr">
        <is>
          <t>Midwest</t>
        </is>
      </c>
      <c r="K377" t="n">
        <v>18</v>
      </c>
      <c r="L377" t="inlineStr">
        <is>
          <t>Full</t>
        </is>
      </c>
      <c r="M377" t="inlineStr">
        <is>
          <t>Bluffs</t>
        </is>
      </c>
      <c r="N377" t="inlineStr">
        <is>
          <t>White</t>
        </is>
      </c>
      <c r="O377" t="n">
        <v>70.5</v>
      </c>
      <c r="P377" t="n">
        <v>134</v>
      </c>
      <c r="Q377" t="n">
        <v>6389</v>
      </c>
      <c r="R377" t="inlineStr">
        <is>
          <t>Match Play</t>
        </is>
      </c>
      <c r="S377" t="inlineStr">
        <is>
          <t>Singles</t>
        </is>
      </c>
      <c r="T377" t="inlineStr">
        <is>
          <t>Under 6'</t>
        </is>
      </c>
      <c r="U377" t="inlineStr">
        <is>
          <t>Norat</t>
        </is>
      </c>
      <c r="V377" t="inlineStr">
        <is>
          <t>Forster</t>
        </is>
      </c>
      <c r="W377" t="inlineStr">
        <is>
          <t>Pelican</t>
        </is>
      </c>
      <c r="AA377" t="n">
        <v>2</v>
      </c>
      <c r="AB377" t="inlineStr">
        <is>
          <t>W</t>
        </is>
      </c>
      <c r="AC377" t="inlineStr">
        <is>
          <t>3&amp;2</t>
        </is>
      </c>
      <c r="AD377" t="inlineStr">
        <is>
          <t>Lynch</t>
        </is>
      </c>
      <c r="AE377">
        <f>$V377&amp;$Y377</f>
        <v/>
      </c>
      <c r="AF377" t="n">
        <v>2</v>
      </c>
      <c r="AG377" t="n">
        <v>1</v>
      </c>
      <c r="AH377" t="n">
        <v>0</v>
      </c>
      <c r="AI377" t="n">
        <v>0</v>
      </c>
      <c r="AJ377" t="n">
        <v>1</v>
      </c>
      <c r="AK377" t="inlineStr">
        <is>
          <t>Lynch</t>
        </is>
      </c>
      <c r="AL377" t="n">
        <v>0.5546875</v>
      </c>
    </row>
    <row r="378" ht="15" customHeight="1" s="2">
      <c r="B378" t="n">
        <v>27</v>
      </c>
      <c r="C378" t="n">
        <v>3</v>
      </c>
      <c r="D378" t="n">
        <v>6</v>
      </c>
      <c r="E378" t="inlineStr">
        <is>
          <t>FBC6-S-Hilts-Poirier</t>
        </is>
      </c>
      <c r="F378" t="inlineStr">
        <is>
          <t>Saturday</t>
        </is>
      </c>
      <c r="G378" s="27" t="n">
        <v>43309</v>
      </c>
      <c r="H378" t="inlineStr">
        <is>
          <t>AM</t>
        </is>
      </c>
      <c r="I378" t="inlineStr">
        <is>
          <t>Arcadia, MI</t>
        </is>
      </c>
      <c r="J378" t="inlineStr">
        <is>
          <t>Midwest</t>
        </is>
      </c>
      <c r="K378" t="n">
        <v>18</v>
      </c>
      <c r="L378" t="inlineStr">
        <is>
          <t>Full</t>
        </is>
      </c>
      <c r="M378" t="inlineStr">
        <is>
          <t>Bluffs</t>
        </is>
      </c>
      <c r="N378" t="inlineStr">
        <is>
          <t>White</t>
        </is>
      </c>
      <c r="O378" t="n">
        <v>70.5</v>
      </c>
      <c r="P378" t="n">
        <v>134</v>
      </c>
      <c r="Q378" t="n">
        <v>6389</v>
      </c>
      <c r="R378" t="inlineStr">
        <is>
          <t>Match Play</t>
        </is>
      </c>
      <c r="S378" t="inlineStr">
        <is>
          <t>Singles</t>
        </is>
      </c>
      <c r="T378" t="inlineStr">
        <is>
          <t>Under 6'</t>
        </is>
      </c>
      <c r="U378" t="inlineStr">
        <is>
          <t>Norat</t>
        </is>
      </c>
      <c r="V378" t="inlineStr">
        <is>
          <t>Poirier</t>
        </is>
      </c>
      <c r="W378" t="inlineStr">
        <is>
          <t>Pelican</t>
        </is>
      </c>
      <c r="AA378" t="n">
        <v>2</v>
      </c>
      <c r="AB378" t="inlineStr">
        <is>
          <t>L</t>
        </is>
      </c>
      <c r="AC378" t="inlineStr">
        <is>
          <t>3&amp;2</t>
        </is>
      </c>
      <c r="AD378" t="inlineStr">
        <is>
          <t>Hilts</t>
        </is>
      </c>
      <c r="AE378">
        <f>$V378&amp;$Y378</f>
        <v/>
      </c>
      <c r="AF378" t="n">
        <v>0</v>
      </c>
      <c r="AG378" t="n">
        <v>0</v>
      </c>
      <c r="AH378" t="n">
        <v>1</v>
      </c>
      <c r="AI378" t="n">
        <v>0</v>
      </c>
      <c r="AJ378" t="n">
        <v>0</v>
      </c>
      <c r="AK378" t="inlineStr">
        <is>
          <t>Hilts</t>
        </is>
      </c>
      <c r="AL378" t="n">
        <v>0.473214285714286</v>
      </c>
    </row>
    <row r="379" ht="15" customHeight="1" s="2">
      <c r="B379" t="n">
        <v>27</v>
      </c>
      <c r="C379" t="n">
        <v>4</v>
      </c>
      <c r="D379" t="n">
        <v>6</v>
      </c>
      <c r="E379" t="inlineStr">
        <is>
          <t>FBC6-S-Ferrin-Grise</t>
        </is>
      </c>
      <c r="F379" t="inlineStr">
        <is>
          <t>Saturday</t>
        </is>
      </c>
      <c r="G379" s="27" t="n">
        <v>43309</v>
      </c>
      <c r="H379" t="inlineStr">
        <is>
          <t>AM</t>
        </is>
      </c>
      <c r="I379" t="inlineStr">
        <is>
          <t>Arcadia, MI</t>
        </is>
      </c>
      <c r="J379" t="inlineStr">
        <is>
          <t>Midwest</t>
        </is>
      </c>
      <c r="K379" t="n">
        <v>18</v>
      </c>
      <c r="L379" t="inlineStr">
        <is>
          <t>Full</t>
        </is>
      </c>
      <c r="M379" t="inlineStr">
        <is>
          <t>Bluffs</t>
        </is>
      </c>
      <c r="N379" t="inlineStr">
        <is>
          <t>White</t>
        </is>
      </c>
      <c r="O379" t="n">
        <v>70.5</v>
      </c>
      <c r="P379" t="n">
        <v>134</v>
      </c>
      <c r="Q379" t="n">
        <v>6389</v>
      </c>
      <c r="R379" t="inlineStr">
        <is>
          <t>Match Play</t>
        </is>
      </c>
      <c r="S379" t="inlineStr">
        <is>
          <t>Singles</t>
        </is>
      </c>
      <c r="T379" t="inlineStr">
        <is>
          <t>Under 6'</t>
        </is>
      </c>
      <c r="U379" t="inlineStr">
        <is>
          <t>Norat</t>
        </is>
      </c>
      <c r="V379" t="inlineStr">
        <is>
          <t>Ferrin</t>
        </is>
      </c>
      <c r="W379" t="inlineStr">
        <is>
          <t>Pelican</t>
        </is>
      </c>
      <c r="AA379" t="n">
        <v>2</v>
      </c>
      <c r="AB379" t="inlineStr">
        <is>
          <t>L</t>
        </is>
      </c>
      <c r="AC379" t="inlineStr">
        <is>
          <t>2&amp;1</t>
        </is>
      </c>
      <c r="AD379" t="inlineStr">
        <is>
          <t>Grise</t>
        </is>
      </c>
      <c r="AE379">
        <f>$V379&amp;$Y379</f>
        <v/>
      </c>
      <c r="AF379" t="n">
        <v>0</v>
      </c>
      <c r="AG379" t="n">
        <v>0</v>
      </c>
      <c r="AH379" t="n">
        <v>1</v>
      </c>
      <c r="AI379" t="n">
        <v>0</v>
      </c>
      <c r="AJ379" t="n">
        <v>0</v>
      </c>
      <c r="AK379" t="inlineStr">
        <is>
          <t>Grise</t>
        </is>
      </c>
      <c r="AL379" t="n">
        <v>0.546875</v>
      </c>
    </row>
    <row r="380" ht="15" customHeight="1" s="2">
      <c r="B380" t="n">
        <v>28</v>
      </c>
      <c r="C380" t="n">
        <v>5</v>
      </c>
      <c r="D380" t="n">
        <v>6</v>
      </c>
      <c r="E380" t="inlineStr">
        <is>
          <t>FBC6-S-Connors-Shively</t>
        </is>
      </c>
      <c r="F380" t="inlineStr">
        <is>
          <t>Saturday</t>
        </is>
      </c>
      <c r="G380" s="27" t="n">
        <v>43309</v>
      </c>
      <c r="H380" t="inlineStr">
        <is>
          <t>AM</t>
        </is>
      </c>
      <c r="I380" t="inlineStr">
        <is>
          <t>Arcadia, MI</t>
        </is>
      </c>
      <c r="J380" t="inlineStr">
        <is>
          <t>Midwest</t>
        </is>
      </c>
      <c r="K380" t="n">
        <v>18</v>
      </c>
      <c r="L380" t="inlineStr">
        <is>
          <t>Full</t>
        </is>
      </c>
      <c r="M380" t="inlineStr">
        <is>
          <t>Bluffs</t>
        </is>
      </c>
      <c r="N380" t="inlineStr">
        <is>
          <t>White</t>
        </is>
      </c>
      <c r="O380" t="n">
        <v>70.5</v>
      </c>
      <c r="P380" t="n">
        <v>134</v>
      </c>
      <c r="Q380" t="n">
        <v>6389</v>
      </c>
      <c r="R380" t="inlineStr">
        <is>
          <t>Match Play</t>
        </is>
      </c>
      <c r="S380" t="inlineStr">
        <is>
          <t>Singles</t>
        </is>
      </c>
      <c r="T380" t="inlineStr">
        <is>
          <t>Under 6'</t>
        </is>
      </c>
      <c r="U380" t="inlineStr">
        <is>
          <t>Norat</t>
        </is>
      </c>
      <c r="V380" t="inlineStr">
        <is>
          <t>Connors</t>
        </is>
      </c>
      <c r="W380" t="inlineStr">
        <is>
          <t>Pelican</t>
        </is>
      </c>
      <c r="AA380" t="n">
        <v>2</v>
      </c>
      <c r="AB380" t="inlineStr">
        <is>
          <t>L</t>
        </is>
      </c>
      <c r="AC380" t="inlineStr">
        <is>
          <t>4&amp;3</t>
        </is>
      </c>
      <c r="AD380" t="inlineStr">
        <is>
          <t>Shively</t>
        </is>
      </c>
      <c r="AE380">
        <f>$V380&amp;$Y380</f>
        <v/>
      </c>
      <c r="AF380" t="n">
        <v>0</v>
      </c>
      <c r="AG380" t="n">
        <v>0</v>
      </c>
      <c r="AH380" t="n">
        <v>1</v>
      </c>
      <c r="AI380" t="n">
        <v>0</v>
      </c>
      <c r="AJ380" t="n">
        <v>0</v>
      </c>
      <c r="AK380" t="inlineStr">
        <is>
          <t>Shively</t>
        </is>
      </c>
    </row>
    <row r="381" ht="15" customHeight="1" s="2">
      <c r="B381" t="n">
        <v>28</v>
      </c>
      <c r="C381" t="n">
        <v>6</v>
      </c>
      <c r="D381" t="n">
        <v>6</v>
      </c>
      <c r="E381" t="inlineStr">
        <is>
          <t>FBC6-S-Buss-Welker</t>
        </is>
      </c>
      <c r="F381" t="inlineStr">
        <is>
          <t>Saturday</t>
        </is>
      </c>
      <c r="G381" s="27" t="n">
        <v>43309</v>
      </c>
      <c r="H381" t="inlineStr">
        <is>
          <t>AM</t>
        </is>
      </c>
      <c r="I381" t="inlineStr">
        <is>
          <t>Arcadia, MI</t>
        </is>
      </c>
      <c r="J381" t="inlineStr">
        <is>
          <t>Midwest</t>
        </is>
      </c>
      <c r="K381" t="n">
        <v>18</v>
      </c>
      <c r="L381" t="inlineStr">
        <is>
          <t>Full</t>
        </is>
      </c>
      <c r="M381" t="inlineStr">
        <is>
          <t>Bluffs</t>
        </is>
      </c>
      <c r="N381" t="inlineStr">
        <is>
          <t>White</t>
        </is>
      </c>
      <c r="O381" t="n">
        <v>70.5</v>
      </c>
      <c r="P381" t="n">
        <v>134</v>
      </c>
      <c r="Q381" t="n">
        <v>6389</v>
      </c>
      <c r="R381" t="inlineStr">
        <is>
          <t>Match Play</t>
        </is>
      </c>
      <c r="S381" t="inlineStr">
        <is>
          <t>Singles</t>
        </is>
      </c>
      <c r="T381" t="inlineStr">
        <is>
          <t>Under 6'</t>
        </is>
      </c>
      <c r="U381" t="inlineStr">
        <is>
          <t>Norat</t>
        </is>
      </c>
      <c r="V381" t="inlineStr">
        <is>
          <t>Welker</t>
        </is>
      </c>
      <c r="W381" t="inlineStr">
        <is>
          <t>Pelican</t>
        </is>
      </c>
      <c r="AA381" t="n">
        <v>2</v>
      </c>
      <c r="AB381" t="inlineStr">
        <is>
          <t>W</t>
        </is>
      </c>
      <c r="AC381" t="inlineStr">
        <is>
          <t>6&amp;5</t>
        </is>
      </c>
      <c r="AD381" t="inlineStr">
        <is>
          <t>Buss</t>
        </is>
      </c>
      <c r="AE381">
        <f>$V381&amp;$Y381</f>
        <v/>
      </c>
      <c r="AF381" t="n">
        <v>2</v>
      </c>
      <c r="AG381" t="n">
        <v>1</v>
      </c>
      <c r="AH381" t="n">
        <v>0</v>
      </c>
      <c r="AI381" t="n">
        <v>0</v>
      </c>
      <c r="AJ381" t="n">
        <v>1</v>
      </c>
      <c r="AK381" t="inlineStr">
        <is>
          <t>Buss</t>
        </is>
      </c>
      <c r="AL381" t="n">
        <v>0.448275862068966</v>
      </c>
    </row>
    <row r="382" ht="15" customHeight="1" s="2">
      <c r="B382" t="n">
        <v>29</v>
      </c>
      <c r="C382" t="n">
        <v>7</v>
      </c>
      <c r="D382" t="n">
        <v>6</v>
      </c>
      <c r="E382" t="inlineStr">
        <is>
          <t>FBC6-S-Jackson-Zimmer</t>
        </is>
      </c>
      <c r="F382" t="inlineStr">
        <is>
          <t>Saturday</t>
        </is>
      </c>
      <c r="G382" s="27" t="n">
        <v>43309</v>
      </c>
      <c r="H382" t="inlineStr">
        <is>
          <t>AM</t>
        </is>
      </c>
      <c r="I382" t="inlineStr">
        <is>
          <t>Arcadia, MI</t>
        </is>
      </c>
      <c r="J382" t="inlineStr">
        <is>
          <t>Midwest</t>
        </is>
      </c>
      <c r="K382" t="n">
        <v>18</v>
      </c>
      <c r="L382" t="inlineStr">
        <is>
          <t>Full</t>
        </is>
      </c>
      <c r="M382" t="inlineStr">
        <is>
          <t>Bluffs</t>
        </is>
      </c>
      <c r="N382" t="inlineStr">
        <is>
          <t>White</t>
        </is>
      </c>
      <c r="O382" t="n">
        <v>70.5</v>
      </c>
      <c r="P382" t="n">
        <v>134</v>
      </c>
      <c r="Q382" t="n">
        <v>6389</v>
      </c>
      <c r="R382" t="inlineStr">
        <is>
          <t>Match Play</t>
        </is>
      </c>
      <c r="S382" t="inlineStr">
        <is>
          <t>Singles</t>
        </is>
      </c>
      <c r="T382" t="inlineStr">
        <is>
          <t>Under 6'</t>
        </is>
      </c>
      <c r="U382" t="inlineStr">
        <is>
          <t>Norat</t>
        </is>
      </c>
      <c r="V382" t="inlineStr">
        <is>
          <t>Zimmer</t>
        </is>
      </c>
      <c r="W382" t="inlineStr">
        <is>
          <t>Pelican</t>
        </is>
      </c>
      <c r="AA382" t="n">
        <v>2</v>
      </c>
      <c r="AB382" t="inlineStr">
        <is>
          <t>L</t>
        </is>
      </c>
      <c r="AC382" t="inlineStr">
        <is>
          <t>4&amp;3</t>
        </is>
      </c>
      <c r="AD382" t="inlineStr">
        <is>
          <t>Jackson</t>
        </is>
      </c>
      <c r="AE382">
        <f>$V382&amp;$Y382</f>
        <v/>
      </c>
      <c r="AF382" t="n">
        <v>0</v>
      </c>
      <c r="AG382" t="n">
        <v>0</v>
      </c>
      <c r="AH382" t="n">
        <v>1</v>
      </c>
      <c r="AI382" t="n">
        <v>0</v>
      </c>
      <c r="AJ382" t="n">
        <v>0</v>
      </c>
      <c r="AK382" t="inlineStr">
        <is>
          <t>Jackson</t>
        </is>
      </c>
      <c r="AL382" t="n">
        <v>0.6171875</v>
      </c>
    </row>
    <row r="383" ht="15" customHeight="1" s="2">
      <c r="B383" t="n">
        <v>29</v>
      </c>
      <c r="C383" t="n">
        <v>8</v>
      </c>
      <c r="D383" t="n">
        <v>6</v>
      </c>
      <c r="E383" t="inlineStr">
        <is>
          <t>FBC6-S-Cole-Mangold</t>
        </is>
      </c>
      <c r="F383" t="inlineStr">
        <is>
          <t>Saturday</t>
        </is>
      </c>
      <c r="G383" s="27" t="n">
        <v>43309</v>
      </c>
      <c r="H383" t="inlineStr">
        <is>
          <t>AM</t>
        </is>
      </c>
      <c r="I383" t="inlineStr">
        <is>
          <t>Arcadia, MI</t>
        </is>
      </c>
      <c r="J383" t="inlineStr">
        <is>
          <t>Midwest</t>
        </is>
      </c>
      <c r="K383" t="n">
        <v>18</v>
      </c>
      <c r="L383" t="inlineStr">
        <is>
          <t>Full</t>
        </is>
      </c>
      <c r="M383" t="inlineStr">
        <is>
          <t>Bluffs</t>
        </is>
      </c>
      <c r="N383" t="inlineStr">
        <is>
          <t>White</t>
        </is>
      </c>
      <c r="O383" t="n">
        <v>70.5</v>
      </c>
      <c r="P383" t="n">
        <v>134</v>
      </c>
      <c r="Q383" t="n">
        <v>6389</v>
      </c>
      <c r="R383" t="inlineStr">
        <is>
          <t>Match Play</t>
        </is>
      </c>
      <c r="S383" t="inlineStr">
        <is>
          <t>Singles</t>
        </is>
      </c>
      <c r="T383" t="inlineStr">
        <is>
          <t>Under 6'</t>
        </is>
      </c>
      <c r="U383" t="inlineStr">
        <is>
          <t>Norat</t>
        </is>
      </c>
      <c r="V383" t="inlineStr">
        <is>
          <t>Cole</t>
        </is>
      </c>
      <c r="W383" t="inlineStr">
        <is>
          <t>Pelican</t>
        </is>
      </c>
      <c r="AA383" t="n">
        <v>2</v>
      </c>
      <c r="AB383" t="inlineStr">
        <is>
          <t>W</t>
        </is>
      </c>
      <c r="AC383" t="inlineStr">
        <is>
          <t>8&amp;7</t>
        </is>
      </c>
      <c r="AD383" t="inlineStr">
        <is>
          <t>Mangold</t>
        </is>
      </c>
      <c r="AE383">
        <f>$V383&amp;$Y383</f>
        <v/>
      </c>
      <c r="AF383" t="n">
        <v>2</v>
      </c>
      <c r="AG383" t="n">
        <v>1</v>
      </c>
      <c r="AH383" t="n">
        <v>0</v>
      </c>
      <c r="AI383" t="n">
        <v>0</v>
      </c>
      <c r="AJ383" t="n">
        <v>1</v>
      </c>
      <c r="AK383" t="inlineStr">
        <is>
          <t>Mangold</t>
        </is>
      </c>
      <c r="AL383" t="n">
        <v>0.383928571428572</v>
      </c>
    </row>
    <row r="384" ht="15" customHeight="1" s="2">
      <c r="B384" t="n">
        <v>30</v>
      </c>
      <c r="C384" t="n">
        <v>9</v>
      </c>
      <c r="D384" t="n">
        <v>6</v>
      </c>
      <c r="E384" t="inlineStr">
        <is>
          <t>FBC6-S-Connolly-Gray</t>
        </is>
      </c>
      <c r="F384" t="inlineStr">
        <is>
          <t>Saturday</t>
        </is>
      </c>
      <c r="G384" s="27" t="n">
        <v>43309</v>
      </c>
      <c r="H384" t="inlineStr">
        <is>
          <t>AM</t>
        </is>
      </c>
      <c r="I384" t="inlineStr">
        <is>
          <t>Arcadia, MI</t>
        </is>
      </c>
      <c r="J384" t="inlineStr">
        <is>
          <t>Midwest</t>
        </is>
      </c>
      <c r="K384" t="n">
        <v>18</v>
      </c>
      <c r="L384" t="inlineStr">
        <is>
          <t>Full</t>
        </is>
      </c>
      <c r="M384" t="inlineStr">
        <is>
          <t>Bluffs</t>
        </is>
      </c>
      <c r="N384" t="inlineStr">
        <is>
          <t>White</t>
        </is>
      </c>
      <c r="O384" t="n">
        <v>70.5</v>
      </c>
      <c r="P384" t="n">
        <v>134</v>
      </c>
      <c r="Q384" t="n">
        <v>6389</v>
      </c>
      <c r="R384" t="inlineStr">
        <is>
          <t>Match Play</t>
        </is>
      </c>
      <c r="S384" t="inlineStr">
        <is>
          <t>Singles</t>
        </is>
      </c>
      <c r="T384" t="inlineStr">
        <is>
          <t>Under 6'</t>
        </is>
      </c>
      <c r="U384" t="inlineStr">
        <is>
          <t>Norat</t>
        </is>
      </c>
      <c r="V384" t="inlineStr">
        <is>
          <t>Connolly</t>
        </is>
      </c>
      <c r="W384" t="inlineStr">
        <is>
          <t>Pelican</t>
        </is>
      </c>
      <c r="AA384" t="n">
        <v>2</v>
      </c>
      <c r="AB384" t="inlineStr">
        <is>
          <t>L</t>
        </is>
      </c>
      <c r="AC384" t="inlineStr">
        <is>
          <t>4&amp;3</t>
        </is>
      </c>
      <c r="AD384" t="inlineStr">
        <is>
          <t>Gray</t>
        </is>
      </c>
      <c r="AE384">
        <f>$V384&amp;$Y384</f>
        <v/>
      </c>
      <c r="AF384" t="n">
        <v>0</v>
      </c>
      <c r="AG384" t="n">
        <v>0</v>
      </c>
      <c r="AH384" t="n">
        <v>1</v>
      </c>
      <c r="AI384" t="n">
        <v>0</v>
      </c>
      <c r="AJ384" t="n">
        <v>0</v>
      </c>
      <c r="AK384" t="inlineStr">
        <is>
          <t>Gray</t>
        </is>
      </c>
      <c r="AL384" t="n">
        <v>0.654761904761905</v>
      </c>
    </row>
    <row r="385" ht="15" customHeight="1" s="2">
      <c r="B385" t="n">
        <v>30</v>
      </c>
      <c r="C385" t="n">
        <v>10</v>
      </c>
      <c r="D385" t="n">
        <v>6</v>
      </c>
      <c r="E385" t="inlineStr">
        <is>
          <t>FBC6-S-Flanders-McInerney</t>
        </is>
      </c>
      <c r="F385" t="inlineStr">
        <is>
          <t>Saturday</t>
        </is>
      </c>
      <c r="G385" s="27" t="n">
        <v>43309</v>
      </c>
      <c r="H385" t="inlineStr">
        <is>
          <t>AM</t>
        </is>
      </c>
      <c r="I385" t="inlineStr">
        <is>
          <t>Arcadia, MI</t>
        </is>
      </c>
      <c r="J385" t="inlineStr">
        <is>
          <t>Midwest</t>
        </is>
      </c>
      <c r="K385" t="n">
        <v>18</v>
      </c>
      <c r="L385" t="inlineStr">
        <is>
          <t>Full</t>
        </is>
      </c>
      <c r="M385" t="inlineStr">
        <is>
          <t>Bluffs</t>
        </is>
      </c>
      <c r="N385" t="inlineStr">
        <is>
          <t>White</t>
        </is>
      </c>
      <c r="O385" t="n">
        <v>70.5</v>
      </c>
      <c r="P385" t="n">
        <v>134</v>
      </c>
      <c r="Q385" t="n">
        <v>6389</v>
      </c>
      <c r="R385" t="inlineStr">
        <is>
          <t>Match Play</t>
        </is>
      </c>
      <c r="S385" t="inlineStr">
        <is>
          <t>Singles</t>
        </is>
      </c>
      <c r="T385" t="inlineStr">
        <is>
          <t>Under 6'</t>
        </is>
      </c>
      <c r="U385" t="inlineStr">
        <is>
          <t>Norat</t>
        </is>
      </c>
      <c r="V385" t="inlineStr">
        <is>
          <t>Flanders</t>
        </is>
      </c>
      <c r="W385" t="inlineStr">
        <is>
          <t>Pelican</t>
        </is>
      </c>
      <c r="AA385" t="n">
        <v>2</v>
      </c>
      <c r="AB385" t="inlineStr">
        <is>
          <t>T</t>
        </is>
      </c>
      <c r="AC385" t="inlineStr">
        <is>
          <t>Halved</t>
        </is>
      </c>
      <c r="AD385" t="inlineStr">
        <is>
          <t>McInerney</t>
        </is>
      </c>
      <c r="AE385">
        <f>$V385&amp;$Y385</f>
        <v/>
      </c>
      <c r="AF385" t="n">
        <v>1</v>
      </c>
      <c r="AG385" t="n">
        <v>0</v>
      </c>
      <c r="AH385" t="n">
        <v>0</v>
      </c>
      <c r="AI385" t="n">
        <v>1</v>
      </c>
      <c r="AJ385" t="n">
        <v>0.5</v>
      </c>
      <c r="AK385" t="inlineStr">
        <is>
          <t>McInerney</t>
        </is>
      </c>
      <c r="AL385" t="n">
        <v>0.5</v>
      </c>
    </row>
    <row r="386" ht="15" customHeight="1" s="2">
      <c r="B386" t="n">
        <v>1</v>
      </c>
      <c r="C386" t="n">
        <v>1</v>
      </c>
      <c r="D386" t="n">
        <v>7</v>
      </c>
      <c r="E386" t="inlineStr">
        <is>
          <t>FBC7-D1</t>
        </is>
      </c>
      <c r="F386" t="inlineStr">
        <is>
          <t>Thursday</t>
        </is>
      </c>
      <c r="G386" s="27" t="n">
        <v>43685</v>
      </c>
      <c r="H386" t="inlineStr">
        <is>
          <t>PM</t>
        </is>
      </c>
      <c r="I386" t="inlineStr">
        <is>
          <t>Monterey, CA</t>
        </is>
      </c>
      <c r="J386" t="inlineStr">
        <is>
          <t>West</t>
        </is>
      </c>
      <c r="K386" t="n">
        <v>9</v>
      </c>
      <c r="L386" t="inlineStr">
        <is>
          <t>Front</t>
        </is>
      </c>
      <c r="M386" t="inlineStr">
        <is>
          <t>Pebble Beach</t>
        </is>
      </c>
      <c r="N386" t="inlineStr">
        <is>
          <t>Gold</t>
        </is>
      </c>
      <c r="O386" t="n">
        <v>73.40000000000001</v>
      </c>
      <c r="P386" t="n">
        <v>138</v>
      </c>
      <c r="Q386" t="n">
        <v>6454</v>
      </c>
      <c r="R386" t="inlineStr">
        <is>
          <t>Best Ball</t>
        </is>
      </c>
      <c r="S386" t="inlineStr">
        <is>
          <t>Doubles</t>
        </is>
      </c>
      <c r="T386" t="inlineStr">
        <is>
          <t>Mix</t>
        </is>
      </c>
      <c r="U386" t="inlineStr">
        <is>
          <t>Ferrin/Jax</t>
        </is>
      </c>
      <c r="V386" t="inlineStr">
        <is>
          <t>Grise</t>
        </is>
      </c>
      <c r="W386" t="inlineStr">
        <is>
          <t>White</t>
        </is>
      </c>
      <c r="Y386" t="inlineStr">
        <is>
          <t>Jackson</t>
        </is>
      </c>
      <c r="AA386" t="n">
        <v>1</v>
      </c>
      <c r="AB386" t="inlineStr">
        <is>
          <t>W</t>
        </is>
      </c>
      <c r="AC386" t="inlineStr">
        <is>
          <t>3&amp;2</t>
        </is>
      </c>
      <c r="AE386">
        <f>$V386&amp;$Y386</f>
        <v/>
      </c>
      <c r="AF386" t="n">
        <v>1</v>
      </c>
      <c r="AG386" t="n">
        <v>1</v>
      </c>
      <c r="AH386" t="n">
        <v>0</v>
      </c>
      <c r="AI386" t="n">
        <v>0</v>
      </c>
      <c r="AJ386" t="n">
        <v>1</v>
      </c>
      <c r="AK386" t="inlineStr">
        <is>
          <t>Connolly</t>
        </is>
      </c>
      <c r="AL386" t="n">
        <v>0.59375</v>
      </c>
      <c r="AM386" t="inlineStr">
        <is>
          <t>Fogan</t>
        </is>
      </c>
      <c r="AN386" t="n">
        <v>0.372881355932203</v>
      </c>
    </row>
    <row r="387" ht="15" customHeight="1" s="2">
      <c r="B387" t="n">
        <v>1</v>
      </c>
      <c r="C387" t="n">
        <v>1</v>
      </c>
      <c r="D387" t="n">
        <v>7</v>
      </c>
      <c r="E387" t="inlineStr">
        <is>
          <t>FBC7-D1</t>
        </is>
      </c>
      <c r="F387" t="inlineStr">
        <is>
          <t>Thursday</t>
        </is>
      </c>
      <c r="G387" s="27" t="n">
        <v>43685</v>
      </c>
      <c r="H387" t="inlineStr">
        <is>
          <t>PM</t>
        </is>
      </c>
      <c r="I387" t="inlineStr">
        <is>
          <t>Monterey, CA</t>
        </is>
      </c>
      <c r="J387" t="inlineStr">
        <is>
          <t>West</t>
        </is>
      </c>
      <c r="K387" t="n">
        <v>9</v>
      </c>
      <c r="L387" t="inlineStr">
        <is>
          <t>Front</t>
        </is>
      </c>
      <c r="M387" t="inlineStr">
        <is>
          <t>Pebble Beach</t>
        </is>
      </c>
      <c r="N387" t="inlineStr">
        <is>
          <t>Gold</t>
        </is>
      </c>
      <c r="O387" t="n">
        <v>73.40000000000001</v>
      </c>
      <c r="P387" t="n">
        <v>138</v>
      </c>
      <c r="Q387" t="n">
        <v>6454</v>
      </c>
      <c r="R387" t="inlineStr">
        <is>
          <t>Best Ball</t>
        </is>
      </c>
      <c r="S387" t="inlineStr">
        <is>
          <t>Doubles</t>
        </is>
      </c>
      <c r="T387" t="inlineStr">
        <is>
          <t>over 6'</t>
        </is>
      </c>
      <c r="U387" t="inlineStr">
        <is>
          <t>Connolly/Hilts</t>
        </is>
      </c>
      <c r="V387" t="inlineStr">
        <is>
          <t>Connolly</t>
        </is>
      </c>
      <c r="W387" t="inlineStr">
        <is>
          <t>Blue</t>
        </is>
      </c>
      <c r="Y387" t="inlineStr">
        <is>
          <t>Fogan</t>
        </is>
      </c>
      <c r="AA387" t="n">
        <v>1</v>
      </c>
      <c r="AB387" t="inlineStr">
        <is>
          <t>L</t>
        </is>
      </c>
      <c r="AC387" t="inlineStr">
        <is>
          <t>3&amp;2</t>
        </is>
      </c>
      <c r="AE387">
        <f>$V387&amp;$Y387</f>
        <v/>
      </c>
      <c r="AF387" t="n">
        <v>0</v>
      </c>
      <c r="AG387" t="n">
        <v>0</v>
      </c>
      <c r="AH387" t="n">
        <v>1</v>
      </c>
      <c r="AI387" t="n">
        <v>0</v>
      </c>
      <c r="AJ387" t="n">
        <v>0</v>
      </c>
      <c r="AK387" t="inlineStr">
        <is>
          <t>Grise</t>
        </is>
      </c>
      <c r="AL387" t="n">
        <v>0.546875</v>
      </c>
      <c r="AM387" t="inlineStr">
        <is>
          <t>Jackson</t>
        </is>
      </c>
      <c r="AN387" t="n">
        <v>0.6171875</v>
      </c>
    </row>
    <row r="388" ht="15" customHeight="1" s="2">
      <c r="B388" t="n">
        <v>2</v>
      </c>
      <c r="C388" t="n">
        <v>2</v>
      </c>
      <c r="D388" t="n">
        <v>7</v>
      </c>
      <c r="E388" t="inlineStr">
        <is>
          <t>FBC7-D2</t>
        </is>
      </c>
      <c r="F388" t="inlineStr">
        <is>
          <t>Thursday</t>
        </is>
      </c>
      <c r="G388" s="27" t="n">
        <v>43685</v>
      </c>
      <c r="H388" t="inlineStr">
        <is>
          <t>PM</t>
        </is>
      </c>
      <c r="I388" t="inlineStr">
        <is>
          <t>Monterey, CA</t>
        </is>
      </c>
      <c r="J388" t="inlineStr">
        <is>
          <t>West</t>
        </is>
      </c>
      <c r="K388" t="n">
        <v>9</v>
      </c>
      <c r="L388" t="inlineStr">
        <is>
          <t>Front</t>
        </is>
      </c>
      <c r="M388" t="inlineStr">
        <is>
          <t>Pebble Beach</t>
        </is>
      </c>
      <c r="N388" t="inlineStr">
        <is>
          <t>Gold</t>
        </is>
      </c>
      <c r="O388" t="n">
        <v>73.40000000000001</v>
      </c>
      <c r="P388" t="n">
        <v>138</v>
      </c>
      <c r="Q388" t="n">
        <v>6454</v>
      </c>
      <c r="R388" t="inlineStr">
        <is>
          <t>Best Ball</t>
        </is>
      </c>
      <c r="S388" t="inlineStr">
        <is>
          <t>Doubles</t>
        </is>
      </c>
      <c r="T388" t="inlineStr">
        <is>
          <t>over 6'</t>
        </is>
      </c>
      <c r="U388" t="inlineStr">
        <is>
          <t>Connolly/Hilts</t>
        </is>
      </c>
      <c r="V388" t="inlineStr">
        <is>
          <t>McInerney</t>
        </is>
      </c>
      <c r="W388" t="inlineStr">
        <is>
          <t>Blue</t>
        </is>
      </c>
      <c r="Y388" t="inlineStr">
        <is>
          <t>Shively</t>
        </is>
      </c>
      <c r="AA388" t="n">
        <v>1</v>
      </c>
      <c r="AB388" t="inlineStr">
        <is>
          <t>L</t>
        </is>
      </c>
      <c r="AC388" t="inlineStr">
        <is>
          <t>2up</t>
        </is>
      </c>
      <c r="AE388">
        <f>$V388&amp;$Y388</f>
        <v/>
      </c>
      <c r="AF388" t="n">
        <v>0</v>
      </c>
      <c r="AG388" t="n">
        <v>0</v>
      </c>
      <c r="AH388" t="n">
        <v>1</v>
      </c>
      <c r="AI388" t="n">
        <v>0</v>
      </c>
      <c r="AJ388" t="n">
        <v>0</v>
      </c>
      <c r="AK388" t="inlineStr">
        <is>
          <t>Ferrin</t>
        </is>
      </c>
      <c r="AL388" t="n">
        <v>0.595238095238095</v>
      </c>
      <c r="AM388" t="inlineStr">
        <is>
          <t>Flanders</t>
        </is>
      </c>
      <c r="AN388" t="n">
        <v>0.4296875</v>
      </c>
    </row>
    <row r="389" ht="15" customHeight="1" s="2">
      <c r="B389" t="n">
        <v>2</v>
      </c>
      <c r="C389" t="n">
        <v>2</v>
      </c>
      <c r="D389" t="n">
        <v>7</v>
      </c>
      <c r="E389" t="inlineStr">
        <is>
          <t>FBC7-D2</t>
        </is>
      </c>
      <c r="F389" t="inlineStr">
        <is>
          <t>Thursday</t>
        </is>
      </c>
      <c r="G389" s="27" t="n">
        <v>43685</v>
      </c>
      <c r="H389" t="inlineStr">
        <is>
          <t>PM</t>
        </is>
      </c>
      <c r="I389" t="inlineStr">
        <is>
          <t>Monterey, CA</t>
        </is>
      </c>
      <c r="J389" t="inlineStr">
        <is>
          <t>West</t>
        </is>
      </c>
      <c r="K389" t="n">
        <v>9</v>
      </c>
      <c r="L389" t="inlineStr">
        <is>
          <t>Front</t>
        </is>
      </c>
      <c r="M389" t="inlineStr">
        <is>
          <t>Pebble Beach</t>
        </is>
      </c>
      <c r="N389" t="inlineStr">
        <is>
          <t>Gold</t>
        </is>
      </c>
      <c r="O389" t="n">
        <v>73.40000000000001</v>
      </c>
      <c r="P389" t="n">
        <v>138</v>
      </c>
      <c r="Q389" t="n">
        <v>6454</v>
      </c>
      <c r="R389" t="inlineStr">
        <is>
          <t>Best Ball</t>
        </is>
      </c>
      <c r="S389" t="inlineStr">
        <is>
          <t>Doubles</t>
        </is>
      </c>
      <c r="T389" t="inlineStr">
        <is>
          <t>Mix</t>
        </is>
      </c>
      <c r="U389" t="inlineStr">
        <is>
          <t>Ferrin/Jax</t>
        </is>
      </c>
      <c r="V389" t="inlineStr">
        <is>
          <t>Ferrin</t>
        </is>
      </c>
      <c r="W389" t="inlineStr">
        <is>
          <t>White</t>
        </is>
      </c>
      <c r="Y389" t="inlineStr">
        <is>
          <t>Flanders</t>
        </is>
      </c>
      <c r="AA389" t="n">
        <v>1</v>
      </c>
      <c r="AB389" t="inlineStr">
        <is>
          <t>W</t>
        </is>
      </c>
      <c r="AC389" t="inlineStr">
        <is>
          <t>2up</t>
        </is>
      </c>
      <c r="AE389">
        <f>$V389&amp;$Y389</f>
        <v/>
      </c>
      <c r="AF389" t="n">
        <v>1</v>
      </c>
      <c r="AG389" t="n">
        <v>1</v>
      </c>
      <c r="AH389" t="n">
        <v>0</v>
      </c>
      <c r="AI389" t="n">
        <v>0</v>
      </c>
      <c r="AJ389" t="n">
        <v>1</v>
      </c>
      <c r="AK389" t="inlineStr">
        <is>
          <t>McInerney</t>
        </is>
      </c>
      <c r="AL389" t="n">
        <v>0.5</v>
      </c>
      <c r="AM389" t="inlineStr">
        <is>
          <t>Shively</t>
        </is>
      </c>
    </row>
    <row r="390" ht="15" customHeight="1" s="2">
      <c r="B390" t="n">
        <v>3</v>
      </c>
      <c r="C390" t="n">
        <v>3</v>
      </c>
      <c r="D390" t="n">
        <v>7</v>
      </c>
      <c r="E390" t="inlineStr">
        <is>
          <t>FBC7-D3</t>
        </is>
      </c>
      <c r="F390" t="inlineStr">
        <is>
          <t>Thursday</t>
        </is>
      </c>
      <c r="G390" s="27" t="n">
        <v>43685</v>
      </c>
      <c r="H390" t="inlineStr">
        <is>
          <t>PM</t>
        </is>
      </c>
      <c r="I390" t="inlineStr">
        <is>
          <t>Monterey, CA</t>
        </is>
      </c>
      <c r="J390" t="inlineStr">
        <is>
          <t>West</t>
        </is>
      </c>
      <c r="K390" t="n">
        <v>9</v>
      </c>
      <c r="L390" t="inlineStr">
        <is>
          <t>Front</t>
        </is>
      </c>
      <c r="M390" t="inlineStr">
        <is>
          <t>Pebble Beach</t>
        </is>
      </c>
      <c r="N390" t="inlineStr">
        <is>
          <t>Gold</t>
        </is>
      </c>
      <c r="O390" t="n">
        <v>73.40000000000001</v>
      </c>
      <c r="P390" t="n">
        <v>138</v>
      </c>
      <c r="Q390" t="n">
        <v>6454</v>
      </c>
      <c r="R390" t="inlineStr">
        <is>
          <t>Best Ball</t>
        </is>
      </c>
      <c r="S390" t="inlineStr">
        <is>
          <t>Doubles</t>
        </is>
      </c>
      <c r="T390" t="inlineStr">
        <is>
          <t>Mix</t>
        </is>
      </c>
      <c r="U390" t="inlineStr">
        <is>
          <t>Ferrin/Jax</t>
        </is>
      </c>
      <c r="V390" t="inlineStr">
        <is>
          <t>Cole</t>
        </is>
      </c>
      <c r="W390" t="inlineStr">
        <is>
          <t>White</t>
        </is>
      </c>
      <c r="Y390" t="inlineStr">
        <is>
          <t>Lynch</t>
        </is>
      </c>
      <c r="AA390" t="n">
        <v>1</v>
      </c>
      <c r="AB390" t="inlineStr">
        <is>
          <t>W</t>
        </is>
      </c>
      <c r="AC390" t="inlineStr">
        <is>
          <t>5&amp;3</t>
        </is>
      </c>
      <c r="AE390">
        <f>$V390&amp;$Y390</f>
        <v/>
      </c>
      <c r="AF390" t="n">
        <v>1</v>
      </c>
      <c r="AG390" t="n">
        <v>1</v>
      </c>
      <c r="AH390" t="n">
        <v>0</v>
      </c>
      <c r="AI390" t="n">
        <v>0</v>
      </c>
      <c r="AJ390" t="n">
        <v>1</v>
      </c>
      <c r="AK390" t="inlineStr">
        <is>
          <t>Forster</t>
        </is>
      </c>
      <c r="AL390" t="n">
        <v>0.596491228070175</v>
      </c>
      <c r="AM390" t="inlineStr">
        <is>
          <t>Hilts</t>
        </is>
      </c>
      <c r="AN390" t="n">
        <v>0.473214285714286</v>
      </c>
    </row>
    <row r="391" ht="15" customHeight="1" s="2">
      <c r="B391" t="n">
        <v>3</v>
      </c>
      <c r="C391" t="n">
        <v>3</v>
      </c>
      <c r="D391" t="n">
        <v>7</v>
      </c>
      <c r="E391" t="inlineStr">
        <is>
          <t>FBC7-D3</t>
        </is>
      </c>
      <c r="F391" t="inlineStr">
        <is>
          <t>Thursday</t>
        </is>
      </c>
      <c r="G391" s="27" t="n">
        <v>43685</v>
      </c>
      <c r="H391" t="inlineStr">
        <is>
          <t>PM</t>
        </is>
      </c>
      <c r="I391" t="inlineStr">
        <is>
          <t>Monterey, CA</t>
        </is>
      </c>
      <c r="J391" t="inlineStr">
        <is>
          <t>West</t>
        </is>
      </c>
      <c r="K391" t="n">
        <v>9</v>
      </c>
      <c r="L391" t="inlineStr">
        <is>
          <t>Front</t>
        </is>
      </c>
      <c r="M391" t="inlineStr">
        <is>
          <t>Pebble Beach</t>
        </is>
      </c>
      <c r="N391" t="inlineStr">
        <is>
          <t>Gold</t>
        </is>
      </c>
      <c r="O391" t="n">
        <v>73.40000000000001</v>
      </c>
      <c r="P391" t="n">
        <v>138</v>
      </c>
      <c r="Q391" t="n">
        <v>6454</v>
      </c>
      <c r="R391" t="inlineStr">
        <is>
          <t>Best Ball</t>
        </is>
      </c>
      <c r="S391" t="inlineStr">
        <is>
          <t>Doubles</t>
        </is>
      </c>
      <c r="T391" t="inlineStr">
        <is>
          <t>over 6'</t>
        </is>
      </c>
      <c r="U391" t="inlineStr">
        <is>
          <t>Connolly/Hilts</t>
        </is>
      </c>
      <c r="V391" t="inlineStr">
        <is>
          <t>Forster</t>
        </is>
      </c>
      <c r="W391" t="inlineStr">
        <is>
          <t>Blue</t>
        </is>
      </c>
      <c r="Y391" t="inlineStr">
        <is>
          <t>Hilts</t>
        </is>
      </c>
      <c r="AA391" t="n">
        <v>1</v>
      </c>
      <c r="AB391" t="inlineStr">
        <is>
          <t>L</t>
        </is>
      </c>
      <c r="AC391" t="inlineStr">
        <is>
          <t>5&amp;3</t>
        </is>
      </c>
      <c r="AE391">
        <f>$V391&amp;$Y391</f>
        <v/>
      </c>
      <c r="AF391" t="n">
        <v>0</v>
      </c>
      <c r="AG391" t="n">
        <v>0</v>
      </c>
      <c r="AH391" t="n">
        <v>1</v>
      </c>
      <c r="AI391" t="n">
        <v>0</v>
      </c>
      <c r="AJ391" t="n">
        <v>0</v>
      </c>
      <c r="AK391" t="inlineStr">
        <is>
          <t>Cole</t>
        </is>
      </c>
      <c r="AL391" t="n">
        <v>0.440677966101695</v>
      </c>
      <c r="AM391" t="inlineStr">
        <is>
          <t>Lynch</t>
        </is>
      </c>
      <c r="AN391" t="n">
        <v>0.5546875</v>
      </c>
    </row>
    <row r="392" ht="15" customHeight="1" s="2">
      <c r="B392" t="n">
        <v>4</v>
      </c>
      <c r="C392" t="n">
        <v>4</v>
      </c>
      <c r="D392" t="n">
        <v>7</v>
      </c>
      <c r="E392" t="inlineStr">
        <is>
          <t>FBC7-D4</t>
        </is>
      </c>
      <c r="F392" t="inlineStr">
        <is>
          <t>Thursday</t>
        </is>
      </c>
      <c r="G392" s="27" t="n">
        <v>43685</v>
      </c>
      <c r="H392" t="inlineStr">
        <is>
          <t>PM</t>
        </is>
      </c>
      <c r="I392" t="inlineStr">
        <is>
          <t>Monterey, CA</t>
        </is>
      </c>
      <c r="J392" t="inlineStr">
        <is>
          <t>West</t>
        </is>
      </c>
      <c r="K392" t="n">
        <v>9</v>
      </c>
      <c r="L392" t="inlineStr">
        <is>
          <t>Front</t>
        </is>
      </c>
      <c r="M392" t="inlineStr">
        <is>
          <t>Pebble Beach</t>
        </is>
      </c>
      <c r="N392" t="inlineStr">
        <is>
          <t>Gold</t>
        </is>
      </c>
      <c r="O392" t="n">
        <v>73.40000000000001</v>
      </c>
      <c r="P392" t="n">
        <v>138</v>
      </c>
      <c r="Q392" t="n">
        <v>6454</v>
      </c>
      <c r="R392" t="inlineStr">
        <is>
          <t>Best Ball</t>
        </is>
      </c>
      <c r="S392" t="inlineStr">
        <is>
          <t>Doubles</t>
        </is>
      </c>
      <c r="T392" t="inlineStr">
        <is>
          <t>over 6'</t>
        </is>
      </c>
      <c r="U392" t="inlineStr">
        <is>
          <t>Connolly/Hilts</t>
        </is>
      </c>
      <c r="V392" t="inlineStr">
        <is>
          <t>Norat</t>
        </is>
      </c>
      <c r="W392" t="inlineStr">
        <is>
          <t>Blue</t>
        </is>
      </c>
      <c r="Y392" t="inlineStr">
        <is>
          <t>Welker</t>
        </is>
      </c>
      <c r="AA392" t="n">
        <v>1</v>
      </c>
      <c r="AB392" t="inlineStr">
        <is>
          <t>L</t>
        </is>
      </c>
      <c r="AC392" t="inlineStr">
        <is>
          <t>2&amp;1</t>
        </is>
      </c>
      <c r="AE392">
        <f>$V392&amp;$Y392</f>
        <v/>
      </c>
      <c r="AF392" t="n">
        <v>0</v>
      </c>
      <c r="AG392" t="n">
        <v>0</v>
      </c>
      <c r="AH392" t="n">
        <v>1</v>
      </c>
      <c r="AI392" t="n">
        <v>0</v>
      </c>
      <c r="AJ392" t="n">
        <v>0</v>
      </c>
      <c r="AK392" t="inlineStr">
        <is>
          <t>Gray</t>
        </is>
      </c>
      <c r="AL392" t="n">
        <v>0.654761904761905</v>
      </c>
      <c r="AM392" t="inlineStr">
        <is>
          <t>Zimmer</t>
        </is>
      </c>
      <c r="AN392" t="n">
        <v>0.5</v>
      </c>
    </row>
    <row r="393" ht="15" customHeight="1" s="2">
      <c r="B393" t="n">
        <v>4</v>
      </c>
      <c r="C393" t="n">
        <v>4</v>
      </c>
      <c r="D393" t="n">
        <v>7</v>
      </c>
      <c r="E393" t="inlineStr">
        <is>
          <t>FBC7-D4</t>
        </is>
      </c>
      <c r="F393" t="inlineStr">
        <is>
          <t>Thursday</t>
        </is>
      </c>
      <c r="G393" s="27" t="n">
        <v>43685</v>
      </c>
      <c r="H393" t="inlineStr">
        <is>
          <t>PM</t>
        </is>
      </c>
      <c r="I393" t="inlineStr">
        <is>
          <t>Monterey, CA</t>
        </is>
      </c>
      <c r="J393" t="inlineStr">
        <is>
          <t>West</t>
        </is>
      </c>
      <c r="K393" t="n">
        <v>9</v>
      </c>
      <c r="L393" t="inlineStr">
        <is>
          <t>Front</t>
        </is>
      </c>
      <c r="M393" t="inlineStr">
        <is>
          <t>Pebble Beach</t>
        </is>
      </c>
      <c r="N393" t="inlineStr">
        <is>
          <t>Gold</t>
        </is>
      </c>
      <c r="O393" t="n">
        <v>73.40000000000001</v>
      </c>
      <c r="P393" t="n">
        <v>138</v>
      </c>
      <c r="Q393" t="n">
        <v>6454</v>
      </c>
      <c r="R393" t="inlineStr">
        <is>
          <t>Best Ball</t>
        </is>
      </c>
      <c r="S393" t="inlineStr">
        <is>
          <t>Doubles</t>
        </is>
      </c>
      <c r="T393" t="inlineStr">
        <is>
          <t>Mix</t>
        </is>
      </c>
      <c r="U393" t="inlineStr">
        <is>
          <t>Ferrin/Jax</t>
        </is>
      </c>
      <c r="V393" t="inlineStr">
        <is>
          <t>Gray</t>
        </is>
      </c>
      <c r="W393" t="inlineStr">
        <is>
          <t>White</t>
        </is>
      </c>
      <c r="Y393" t="inlineStr">
        <is>
          <t>Zimmer</t>
        </is>
      </c>
      <c r="AA393" t="n">
        <v>1</v>
      </c>
      <c r="AB393" t="inlineStr">
        <is>
          <t>W</t>
        </is>
      </c>
      <c r="AC393" t="inlineStr">
        <is>
          <t>2&amp;1</t>
        </is>
      </c>
      <c r="AE393">
        <f>$V393&amp;$Y393</f>
        <v/>
      </c>
      <c r="AF393" t="n">
        <v>1</v>
      </c>
      <c r="AG393" t="n">
        <v>1</v>
      </c>
      <c r="AH393" t="n">
        <v>0</v>
      </c>
      <c r="AI393" t="n">
        <v>0</v>
      </c>
      <c r="AJ393" t="n">
        <v>1</v>
      </c>
      <c r="AK393" t="inlineStr">
        <is>
          <t>Norat</t>
        </is>
      </c>
      <c r="AL393" t="n">
        <v>0.527777777777778</v>
      </c>
      <c r="AM393" t="inlineStr">
        <is>
          <t>Welker</t>
        </is>
      </c>
      <c r="AN393" t="n">
        <v>0.510416666666667</v>
      </c>
    </row>
    <row r="394" ht="15" customHeight="1" s="2">
      <c r="B394" t="n">
        <v>5</v>
      </c>
      <c r="C394" t="n">
        <v>5</v>
      </c>
      <c r="D394" t="n">
        <v>7</v>
      </c>
      <c r="E394" t="inlineStr">
        <is>
          <t>FBC7-D5</t>
        </is>
      </c>
      <c r="F394" t="inlineStr">
        <is>
          <t>Thursday</t>
        </is>
      </c>
      <c r="G394" s="27" t="n">
        <v>43685</v>
      </c>
      <c r="H394" t="inlineStr">
        <is>
          <t>PM</t>
        </is>
      </c>
      <c r="I394" t="inlineStr">
        <is>
          <t>Monterey, CA</t>
        </is>
      </c>
      <c r="J394" t="inlineStr">
        <is>
          <t>West</t>
        </is>
      </c>
      <c r="K394" t="n">
        <v>9</v>
      </c>
      <c r="L394" t="inlineStr">
        <is>
          <t>Front</t>
        </is>
      </c>
      <c r="M394" t="inlineStr">
        <is>
          <t>Pebble Beach</t>
        </is>
      </c>
      <c r="N394" t="inlineStr">
        <is>
          <t>Gold</t>
        </is>
      </c>
      <c r="O394" t="n">
        <v>73.40000000000001</v>
      </c>
      <c r="P394" t="n">
        <v>138</v>
      </c>
      <c r="Q394" t="n">
        <v>6454</v>
      </c>
      <c r="R394" t="inlineStr">
        <is>
          <t>Best Ball</t>
        </is>
      </c>
      <c r="S394" t="inlineStr">
        <is>
          <t>Doubles</t>
        </is>
      </c>
      <c r="T394" t="inlineStr">
        <is>
          <t>Mix</t>
        </is>
      </c>
      <c r="U394" t="inlineStr">
        <is>
          <t>Ferrin/Jax</t>
        </is>
      </c>
      <c r="V394" t="inlineStr">
        <is>
          <t>Buss</t>
        </is>
      </c>
      <c r="W394" t="inlineStr">
        <is>
          <t>White</t>
        </is>
      </c>
      <c r="Y394" t="inlineStr">
        <is>
          <t>Connors</t>
        </is>
      </c>
      <c r="AA394" t="n">
        <v>1</v>
      </c>
      <c r="AB394" t="inlineStr">
        <is>
          <t>L</t>
        </is>
      </c>
      <c r="AC394" t="inlineStr">
        <is>
          <t>3&amp;2</t>
        </is>
      </c>
      <c r="AE394">
        <f>$V394&amp;$Y394</f>
        <v/>
      </c>
      <c r="AF394" t="n">
        <v>0</v>
      </c>
      <c r="AG394" t="n">
        <v>0</v>
      </c>
      <c r="AH394" t="n">
        <v>1</v>
      </c>
      <c r="AI394" t="n">
        <v>0</v>
      </c>
      <c r="AJ394" t="n">
        <v>0</v>
      </c>
      <c r="AK394" t="inlineStr">
        <is>
          <t>Mangold</t>
        </is>
      </c>
      <c r="AL394" t="n">
        <v>0.383928571428572</v>
      </c>
      <c r="AM394" t="inlineStr">
        <is>
          <t>Poirier</t>
        </is>
      </c>
      <c r="AN394" t="n">
        <v>0.486111111111111</v>
      </c>
    </row>
    <row r="395" ht="15" customHeight="1" s="2">
      <c r="B395" t="n">
        <v>5</v>
      </c>
      <c r="C395" t="n">
        <v>5</v>
      </c>
      <c r="D395" t="n">
        <v>7</v>
      </c>
      <c r="E395" t="inlineStr">
        <is>
          <t>FBC7-D5</t>
        </is>
      </c>
      <c r="F395" t="inlineStr">
        <is>
          <t>Thursday</t>
        </is>
      </c>
      <c r="G395" s="27" t="n">
        <v>43685</v>
      </c>
      <c r="H395" t="inlineStr">
        <is>
          <t>PM</t>
        </is>
      </c>
      <c r="I395" t="inlineStr">
        <is>
          <t>Monterey, CA</t>
        </is>
      </c>
      <c r="J395" t="inlineStr">
        <is>
          <t>West</t>
        </is>
      </c>
      <c r="K395" t="n">
        <v>9</v>
      </c>
      <c r="L395" t="inlineStr">
        <is>
          <t>Front</t>
        </is>
      </c>
      <c r="M395" t="inlineStr">
        <is>
          <t>Pebble Beach</t>
        </is>
      </c>
      <c r="N395" t="inlineStr">
        <is>
          <t>Gold</t>
        </is>
      </c>
      <c r="O395" t="n">
        <v>73.40000000000001</v>
      </c>
      <c r="P395" t="n">
        <v>138</v>
      </c>
      <c r="Q395" t="n">
        <v>6454</v>
      </c>
      <c r="R395" t="inlineStr">
        <is>
          <t>Best Ball</t>
        </is>
      </c>
      <c r="S395" t="inlineStr">
        <is>
          <t>Doubles</t>
        </is>
      </c>
      <c r="T395" t="inlineStr">
        <is>
          <t>over 6'</t>
        </is>
      </c>
      <c r="U395" t="inlineStr">
        <is>
          <t>Connolly/Hilts</t>
        </is>
      </c>
      <c r="V395" t="inlineStr">
        <is>
          <t>Mangold</t>
        </is>
      </c>
      <c r="W395" t="inlineStr">
        <is>
          <t>Blue</t>
        </is>
      </c>
      <c r="Y395" t="inlineStr">
        <is>
          <t>Poirier</t>
        </is>
      </c>
      <c r="AA395" t="n">
        <v>1</v>
      </c>
      <c r="AB395" t="inlineStr">
        <is>
          <t>W</t>
        </is>
      </c>
      <c r="AC395" t="inlineStr">
        <is>
          <t>3&amp;2</t>
        </is>
      </c>
      <c r="AE395">
        <f>$V395&amp;$Y395</f>
        <v/>
      </c>
      <c r="AF395" t="n">
        <v>1</v>
      </c>
      <c r="AG395" t="n">
        <v>1</v>
      </c>
      <c r="AH395" t="n">
        <v>0</v>
      </c>
      <c r="AI395" t="n">
        <v>0</v>
      </c>
      <c r="AJ395" t="n">
        <v>1</v>
      </c>
      <c r="AK395" t="inlineStr">
        <is>
          <t>Buss</t>
        </is>
      </c>
      <c r="AL395" t="n">
        <v>0.448275862068966</v>
      </c>
      <c r="AM395" t="inlineStr">
        <is>
          <t>Connors</t>
        </is>
      </c>
      <c r="AN395" t="n">
        <v>0.347457627118644</v>
      </c>
    </row>
    <row r="396" ht="15" customHeight="1" s="2">
      <c r="B396" t="n">
        <v>6</v>
      </c>
      <c r="C396" t="n">
        <v>1</v>
      </c>
      <c r="D396" t="n">
        <v>7</v>
      </c>
      <c r="E396" t="inlineStr">
        <is>
          <t>FBC7-D6</t>
        </is>
      </c>
      <c r="F396" t="inlineStr">
        <is>
          <t>Thursday</t>
        </is>
      </c>
      <c r="G396" s="27" t="n">
        <v>43685</v>
      </c>
      <c r="H396" t="inlineStr">
        <is>
          <t>PM</t>
        </is>
      </c>
      <c r="I396" t="inlineStr">
        <is>
          <t>Monterey, CA</t>
        </is>
      </c>
      <c r="J396" t="inlineStr">
        <is>
          <t>West</t>
        </is>
      </c>
      <c r="K396" t="n">
        <v>9</v>
      </c>
      <c r="L396" t="inlineStr">
        <is>
          <t>Back</t>
        </is>
      </c>
      <c r="M396" t="inlineStr">
        <is>
          <t>Pebble Beach</t>
        </is>
      </c>
      <c r="N396" t="inlineStr">
        <is>
          <t>Gold</t>
        </is>
      </c>
      <c r="O396" t="n">
        <v>73.40000000000001</v>
      </c>
      <c r="P396" t="n">
        <v>138</v>
      </c>
      <c r="Q396" t="n">
        <v>6454</v>
      </c>
      <c r="R396" t="inlineStr">
        <is>
          <t>Vegas</t>
        </is>
      </c>
      <c r="S396" t="inlineStr">
        <is>
          <t>Doubles</t>
        </is>
      </c>
      <c r="T396" t="inlineStr">
        <is>
          <t>Mix</t>
        </is>
      </c>
      <c r="U396" t="inlineStr">
        <is>
          <t>Ferrin/Jax</t>
        </is>
      </c>
      <c r="V396" t="inlineStr">
        <is>
          <t>Grise</t>
        </is>
      </c>
      <c r="W396" t="inlineStr">
        <is>
          <t>White</t>
        </is>
      </c>
      <c r="Y396" t="inlineStr">
        <is>
          <t>Jackson</t>
        </is>
      </c>
      <c r="AA396" t="n">
        <v>1</v>
      </c>
      <c r="AB396" t="inlineStr">
        <is>
          <t>W</t>
        </is>
      </c>
      <c r="AC396" t="inlineStr">
        <is>
          <t>3&amp;2</t>
        </is>
      </c>
      <c r="AE396">
        <f>$V396&amp;$Y396</f>
        <v/>
      </c>
      <c r="AF396" t="n">
        <v>1</v>
      </c>
      <c r="AG396" t="n">
        <v>1</v>
      </c>
      <c r="AH396" t="n">
        <v>0</v>
      </c>
      <c r="AI396" t="n">
        <v>0</v>
      </c>
      <c r="AJ396" t="n">
        <v>1</v>
      </c>
      <c r="AK396" t="inlineStr">
        <is>
          <t>Connolly</t>
        </is>
      </c>
      <c r="AL396" t="n">
        <v>0.59375</v>
      </c>
      <c r="AM396" t="inlineStr">
        <is>
          <t>Fogan</t>
        </is>
      </c>
      <c r="AN396" t="n">
        <v>0.372881355932203</v>
      </c>
    </row>
    <row r="397" ht="15" customHeight="1" s="2">
      <c r="B397" t="n">
        <v>6</v>
      </c>
      <c r="C397" t="n">
        <v>1</v>
      </c>
      <c r="D397" t="n">
        <v>7</v>
      </c>
      <c r="E397" t="inlineStr">
        <is>
          <t>FBC7-D6</t>
        </is>
      </c>
      <c r="F397" t="inlineStr">
        <is>
          <t>Thursday</t>
        </is>
      </c>
      <c r="G397" s="27" t="n">
        <v>43685</v>
      </c>
      <c r="H397" t="inlineStr">
        <is>
          <t>PM</t>
        </is>
      </c>
      <c r="I397" t="inlineStr">
        <is>
          <t>Monterey, CA</t>
        </is>
      </c>
      <c r="J397" t="inlineStr">
        <is>
          <t>West</t>
        </is>
      </c>
      <c r="K397" t="n">
        <v>9</v>
      </c>
      <c r="L397" t="inlineStr">
        <is>
          <t>Back</t>
        </is>
      </c>
      <c r="M397" t="inlineStr">
        <is>
          <t>Pebble Beach</t>
        </is>
      </c>
      <c r="N397" t="inlineStr">
        <is>
          <t>Gold</t>
        </is>
      </c>
      <c r="O397" t="n">
        <v>73.40000000000001</v>
      </c>
      <c r="P397" t="n">
        <v>138</v>
      </c>
      <c r="Q397" t="n">
        <v>6454</v>
      </c>
      <c r="R397" t="inlineStr">
        <is>
          <t>Vegas</t>
        </is>
      </c>
      <c r="S397" t="inlineStr">
        <is>
          <t>Doubles</t>
        </is>
      </c>
      <c r="T397" t="inlineStr">
        <is>
          <t>over 6'</t>
        </is>
      </c>
      <c r="U397" t="inlineStr">
        <is>
          <t>Connolly/Hilts</t>
        </is>
      </c>
      <c r="V397" t="inlineStr">
        <is>
          <t>Connolly</t>
        </is>
      </c>
      <c r="W397" t="inlineStr">
        <is>
          <t>Blue</t>
        </is>
      </c>
      <c r="Y397" t="inlineStr">
        <is>
          <t>Fogan</t>
        </is>
      </c>
      <c r="AA397" t="n">
        <v>1</v>
      </c>
      <c r="AB397" t="inlineStr">
        <is>
          <t>L</t>
        </is>
      </c>
      <c r="AC397" t="inlineStr">
        <is>
          <t>3&amp;2</t>
        </is>
      </c>
      <c r="AE397">
        <f>$V397&amp;$Y397</f>
        <v/>
      </c>
      <c r="AF397" t="n">
        <v>0</v>
      </c>
      <c r="AG397" t="n">
        <v>0</v>
      </c>
      <c r="AH397" t="n">
        <v>1</v>
      </c>
      <c r="AI397" t="n">
        <v>0</v>
      </c>
      <c r="AJ397" t="n">
        <v>0</v>
      </c>
      <c r="AK397" t="inlineStr">
        <is>
          <t>Grise</t>
        </is>
      </c>
      <c r="AL397" t="n">
        <v>0.546875</v>
      </c>
      <c r="AM397" t="inlineStr">
        <is>
          <t>Jackson</t>
        </is>
      </c>
      <c r="AN397" t="n">
        <v>0.6171875</v>
      </c>
    </row>
    <row r="398" ht="15" customHeight="1" s="2">
      <c r="B398" t="n">
        <v>7</v>
      </c>
      <c r="C398" t="n">
        <v>2</v>
      </c>
      <c r="D398" t="n">
        <v>7</v>
      </c>
      <c r="E398" t="inlineStr">
        <is>
          <t>FBC7-D7</t>
        </is>
      </c>
      <c r="F398" t="inlineStr">
        <is>
          <t>Thursday</t>
        </is>
      </c>
      <c r="G398" s="27" t="n">
        <v>43685</v>
      </c>
      <c r="H398" t="inlineStr">
        <is>
          <t>PM</t>
        </is>
      </c>
      <c r="I398" t="inlineStr">
        <is>
          <t>Monterey, CA</t>
        </is>
      </c>
      <c r="J398" t="inlineStr">
        <is>
          <t>West</t>
        </is>
      </c>
      <c r="K398" t="n">
        <v>9</v>
      </c>
      <c r="L398" t="inlineStr">
        <is>
          <t>Back</t>
        </is>
      </c>
      <c r="M398" t="inlineStr">
        <is>
          <t>Pebble Beach</t>
        </is>
      </c>
      <c r="N398" t="inlineStr">
        <is>
          <t>Gold</t>
        </is>
      </c>
      <c r="O398" t="n">
        <v>73.40000000000001</v>
      </c>
      <c r="P398" t="n">
        <v>138</v>
      </c>
      <c r="Q398" t="n">
        <v>6454</v>
      </c>
      <c r="R398" t="inlineStr">
        <is>
          <t>Vegas</t>
        </is>
      </c>
      <c r="S398" t="inlineStr">
        <is>
          <t>Doubles</t>
        </is>
      </c>
      <c r="T398" t="inlineStr">
        <is>
          <t>over 6'</t>
        </is>
      </c>
      <c r="U398" t="inlineStr">
        <is>
          <t>Connolly/Hilts</t>
        </is>
      </c>
      <c r="V398" t="inlineStr">
        <is>
          <t>McInerney</t>
        </is>
      </c>
      <c r="W398" t="inlineStr">
        <is>
          <t>Blue</t>
        </is>
      </c>
      <c r="Y398" t="inlineStr">
        <is>
          <t>Shively</t>
        </is>
      </c>
      <c r="AA398" t="n">
        <v>1</v>
      </c>
      <c r="AB398" t="inlineStr">
        <is>
          <t>L</t>
        </is>
      </c>
      <c r="AC398" t="inlineStr">
        <is>
          <t>3&amp;2</t>
        </is>
      </c>
      <c r="AE398">
        <f>$V398&amp;$Y398</f>
        <v/>
      </c>
      <c r="AF398" t="n">
        <v>0</v>
      </c>
      <c r="AG398" t="n">
        <v>0</v>
      </c>
      <c r="AH398" t="n">
        <v>1</v>
      </c>
      <c r="AI398" t="n">
        <v>0</v>
      </c>
      <c r="AJ398" t="n">
        <v>0</v>
      </c>
      <c r="AK398" t="inlineStr">
        <is>
          <t>Ferrin</t>
        </is>
      </c>
      <c r="AL398" t="n">
        <v>0.595238095238095</v>
      </c>
      <c r="AM398" t="inlineStr">
        <is>
          <t>Flanders</t>
        </is>
      </c>
      <c r="AN398" t="n">
        <v>0.4296875</v>
      </c>
    </row>
    <row r="399" ht="15" customHeight="1" s="2">
      <c r="B399" t="n">
        <v>7</v>
      </c>
      <c r="C399" t="n">
        <v>2</v>
      </c>
      <c r="D399" t="n">
        <v>7</v>
      </c>
      <c r="E399" t="inlineStr">
        <is>
          <t>FBC7-D7</t>
        </is>
      </c>
      <c r="F399" t="inlineStr">
        <is>
          <t>Thursday</t>
        </is>
      </c>
      <c r="G399" s="27" t="n">
        <v>43685</v>
      </c>
      <c r="H399" t="inlineStr">
        <is>
          <t>PM</t>
        </is>
      </c>
      <c r="I399" t="inlineStr">
        <is>
          <t>Monterey, CA</t>
        </is>
      </c>
      <c r="J399" t="inlineStr">
        <is>
          <t>West</t>
        </is>
      </c>
      <c r="K399" t="n">
        <v>9</v>
      </c>
      <c r="L399" t="inlineStr">
        <is>
          <t>Back</t>
        </is>
      </c>
      <c r="M399" t="inlineStr">
        <is>
          <t>Pebble Beach</t>
        </is>
      </c>
      <c r="N399" t="inlineStr">
        <is>
          <t>Gold</t>
        </is>
      </c>
      <c r="O399" t="n">
        <v>73.40000000000001</v>
      </c>
      <c r="P399" t="n">
        <v>138</v>
      </c>
      <c r="Q399" t="n">
        <v>6454</v>
      </c>
      <c r="R399" t="inlineStr">
        <is>
          <t>Vegas</t>
        </is>
      </c>
      <c r="S399" t="inlineStr">
        <is>
          <t>Doubles</t>
        </is>
      </c>
      <c r="T399" t="inlineStr">
        <is>
          <t>Mix</t>
        </is>
      </c>
      <c r="U399" t="inlineStr">
        <is>
          <t>Ferrin/Jax</t>
        </is>
      </c>
      <c r="V399" t="inlineStr">
        <is>
          <t>Ferrin</t>
        </is>
      </c>
      <c r="W399" t="inlineStr">
        <is>
          <t>White</t>
        </is>
      </c>
      <c r="Y399" t="inlineStr">
        <is>
          <t>Flanders</t>
        </is>
      </c>
      <c r="AA399" t="n">
        <v>1</v>
      </c>
      <c r="AB399" t="inlineStr">
        <is>
          <t>W</t>
        </is>
      </c>
      <c r="AC399" t="inlineStr">
        <is>
          <t>3&amp;2</t>
        </is>
      </c>
      <c r="AE399">
        <f>$V399&amp;$Y399</f>
        <v/>
      </c>
      <c r="AF399" t="n">
        <v>1</v>
      </c>
      <c r="AG399" t="n">
        <v>1</v>
      </c>
      <c r="AH399" t="n">
        <v>0</v>
      </c>
      <c r="AI399" t="n">
        <v>0</v>
      </c>
      <c r="AJ399" t="n">
        <v>1</v>
      </c>
      <c r="AK399" t="inlineStr">
        <is>
          <t>McInerney</t>
        </is>
      </c>
      <c r="AL399" t="n">
        <v>0.5</v>
      </c>
      <c r="AM399" t="inlineStr">
        <is>
          <t>Shively</t>
        </is>
      </c>
    </row>
    <row r="400" ht="15" customHeight="1" s="2">
      <c r="B400" t="n">
        <v>8</v>
      </c>
      <c r="C400" t="n">
        <v>3</v>
      </c>
      <c r="D400" t="n">
        <v>7</v>
      </c>
      <c r="E400" t="inlineStr">
        <is>
          <t>FBC7-D8</t>
        </is>
      </c>
      <c r="F400" t="inlineStr">
        <is>
          <t>Thursday</t>
        </is>
      </c>
      <c r="G400" s="27" t="n">
        <v>43685</v>
      </c>
      <c r="H400" t="inlineStr">
        <is>
          <t>PM</t>
        </is>
      </c>
      <c r="I400" t="inlineStr">
        <is>
          <t>Monterey, CA</t>
        </is>
      </c>
      <c r="J400" t="inlineStr">
        <is>
          <t>West</t>
        </is>
      </c>
      <c r="K400" t="n">
        <v>9</v>
      </c>
      <c r="L400" t="inlineStr">
        <is>
          <t>Back</t>
        </is>
      </c>
      <c r="M400" t="inlineStr">
        <is>
          <t>Pebble Beach</t>
        </is>
      </c>
      <c r="N400" t="inlineStr">
        <is>
          <t>Gold</t>
        </is>
      </c>
      <c r="O400" t="n">
        <v>73.40000000000001</v>
      </c>
      <c r="P400" t="n">
        <v>138</v>
      </c>
      <c r="Q400" t="n">
        <v>6454</v>
      </c>
      <c r="R400" t="inlineStr">
        <is>
          <t>Vegas</t>
        </is>
      </c>
      <c r="S400" t="inlineStr">
        <is>
          <t>Doubles</t>
        </is>
      </c>
      <c r="T400" t="inlineStr">
        <is>
          <t>Mix</t>
        </is>
      </c>
      <c r="U400" t="inlineStr">
        <is>
          <t>Ferrin/Jax</t>
        </is>
      </c>
      <c r="V400" t="inlineStr">
        <is>
          <t>Cole</t>
        </is>
      </c>
      <c r="W400" t="inlineStr">
        <is>
          <t>White</t>
        </is>
      </c>
      <c r="Y400" t="inlineStr">
        <is>
          <t>Lynch</t>
        </is>
      </c>
      <c r="AA400" t="n">
        <v>1</v>
      </c>
      <c r="AB400" t="inlineStr">
        <is>
          <t>L</t>
        </is>
      </c>
      <c r="AC400" t="inlineStr">
        <is>
          <t>4&amp;3</t>
        </is>
      </c>
      <c r="AE400">
        <f>$V400&amp;$Y400</f>
        <v/>
      </c>
      <c r="AF400" t="n">
        <v>0</v>
      </c>
      <c r="AG400" t="n">
        <v>0</v>
      </c>
      <c r="AH400" t="n">
        <v>1</v>
      </c>
      <c r="AI400" t="n">
        <v>0</v>
      </c>
      <c r="AJ400" t="n">
        <v>0</v>
      </c>
      <c r="AK400" t="inlineStr">
        <is>
          <t>Forster</t>
        </is>
      </c>
      <c r="AL400" t="n">
        <v>0.596491228070175</v>
      </c>
      <c r="AM400" t="inlineStr">
        <is>
          <t>Hilts</t>
        </is>
      </c>
      <c r="AN400" t="n">
        <v>0.473214285714286</v>
      </c>
    </row>
    <row r="401" ht="15" customHeight="1" s="2">
      <c r="B401" t="n">
        <v>8</v>
      </c>
      <c r="C401" t="n">
        <v>3</v>
      </c>
      <c r="D401" t="n">
        <v>7</v>
      </c>
      <c r="E401" t="inlineStr">
        <is>
          <t>FBC7-D8</t>
        </is>
      </c>
      <c r="F401" t="inlineStr">
        <is>
          <t>Thursday</t>
        </is>
      </c>
      <c r="G401" s="27" t="n">
        <v>43685</v>
      </c>
      <c r="H401" t="inlineStr">
        <is>
          <t>PM</t>
        </is>
      </c>
      <c r="I401" t="inlineStr">
        <is>
          <t>Monterey, CA</t>
        </is>
      </c>
      <c r="J401" t="inlineStr">
        <is>
          <t>West</t>
        </is>
      </c>
      <c r="K401" t="n">
        <v>9</v>
      </c>
      <c r="L401" t="inlineStr">
        <is>
          <t>Back</t>
        </is>
      </c>
      <c r="M401" t="inlineStr">
        <is>
          <t>Pebble Beach</t>
        </is>
      </c>
      <c r="N401" t="inlineStr">
        <is>
          <t>Gold</t>
        </is>
      </c>
      <c r="O401" t="n">
        <v>73.40000000000001</v>
      </c>
      <c r="P401" t="n">
        <v>138</v>
      </c>
      <c r="Q401" t="n">
        <v>6454</v>
      </c>
      <c r="R401" t="inlineStr">
        <is>
          <t>Vegas</t>
        </is>
      </c>
      <c r="S401" t="inlineStr">
        <is>
          <t>Doubles</t>
        </is>
      </c>
      <c r="T401" t="inlineStr">
        <is>
          <t>over 6'</t>
        </is>
      </c>
      <c r="U401" t="inlineStr">
        <is>
          <t>Connolly/Hilts</t>
        </is>
      </c>
      <c r="V401" t="inlineStr">
        <is>
          <t>Forster</t>
        </is>
      </c>
      <c r="W401" t="inlineStr">
        <is>
          <t>Blue</t>
        </is>
      </c>
      <c r="Y401" t="inlineStr">
        <is>
          <t>Hilts</t>
        </is>
      </c>
      <c r="AA401" t="n">
        <v>1</v>
      </c>
      <c r="AB401" t="inlineStr">
        <is>
          <t>W</t>
        </is>
      </c>
      <c r="AC401" t="inlineStr">
        <is>
          <t>4&amp;3</t>
        </is>
      </c>
      <c r="AE401">
        <f>$V401&amp;$Y401</f>
        <v/>
      </c>
      <c r="AF401" t="n">
        <v>1</v>
      </c>
      <c r="AG401" t="n">
        <v>1</v>
      </c>
      <c r="AH401" t="n">
        <v>0</v>
      </c>
      <c r="AI401" t="n">
        <v>0</v>
      </c>
      <c r="AJ401" t="n">
        <v>1</v>
      </c>
      <c r="AK401" t="inlineStr">
        <is>
          <t>Cole</t>
        </is>
      </c>
      <c r="AL401" t="n">
        <v>0.440677966101695</v>
      </c>
      <c r="AM401" t="inlineStr">
        <is>
          <t>Lynch</t>
        </is>
      </c>
      <c r="AN401" t="n">
        <v>0.5546875</v>
      </c>
    </row>
    <row r="402" ht="15" customHeight="1" s="2">
      <c r="B402" t="n">
        <v>9</v>
      </c>
      <c r="C402" t="n">
        <v>4</v>
      </c>
      <c r="D402" t="n">
        <v>7</v>
      </c>
      <c r="E402" t="inlineStr">
        <is>
          <t>FBC7-D9</t>
        </is>
      </c>
      <c r="F402" t="inlineStr">
        <is>
          <t>Thursday</t>
        </is>
      </c>
      <c r="G402" s="27" t="n">
        <v>43685</v>
      </c>
      <c r="H402" t="inlineStr">
        <is>
          <t>PM</t>
        </is>
      </c>
      <c r="I402" t="inlineStr">
        <is>
          <t>Monterey, CA</t>
        </is>
      </c>
      <c r="J402" t="inlineStr">
        <is>
          <t>West</t>
        </is>
      </c>
      <c r="K402" t="n">
        <v>9</v>
      </c>
      <c r="L402" t="inlineStr">
        <is>
          <t>Back</t>
        </is>
      </c>
      <c r="M402" t="inlineStr">
        <is>
          <t>Pebble Beach</t>
        </is>
      </c>
      <c r="N402" t="inlineStr">
        <is>
          <t>Gold</t>
        </is>
      </c>
      <c r="O402" t="n">
        <v>73.40000000000001</v>
      </c>
      <c r="P402" t="n">
        <v>138</v>
      </c>
      <c r="Q402" t="n">
        <v>6454</v>
      </c>
      <c r="R402" t="inlineStr">
        <is>
          <t>Vegas</t>
        </is>
      </c>
      <c r="S402" t="inlineStr">
        <is>
          <t>Doubles</t>
        </is>
      </c>
      <c r="T402" t="inlineStr">
        <is>
          <t>over 6'</t>
        </is>
      </c>
      <c r="U402" t="inlineStr">
        <is>
          <t>Connolly/Hilts</t>
        </is>
      </c>
      <c r="V402" t="inlineStr">
        <is>
          <t>Norat</t>
        </is>
      </c>
      <c r="W402" t="inlineStr">
        <is>
          <t>Blue</t>
        </is>
      </c>
      <c r="Y402" t="inlineStr">
        <is>
          <t>Welker</t>
        </is>
      </c>
      <c r="AA402" t="n">
        <v>1</v>
      </c>
      <c r="AB402" t="inlineStr">
        <is>
          <t>T</t>
        </is>
      </c>
      <c r="AC402" t="inlineStr">
        <is>
          <t>Halved</t>
        </is>
      </c>
      <c r="AE402">
        <f>$V402&amp;$Y402</f>
        <v/>
      </c>
      <c r="AF402" t="n">
        <v>0.5</v>
      </c>
      <c r="AG402" t="n">
        <v>0</v>
      </c>
      <c r="AH402" t="n">
        <v>0</v>
      </c>
      <c r="AI402" t="n">
        <v>1</v>
      </c>
      <c r="AJ402" t="n">
        <v>0.5</v>
      </c>
      <c r="AK402" t="inlineStr">
        <is>
          <t>Gray</t>
        </is>
      </c>
      <c r="AL402" t="n">
        <v>0.654761904761905</v>
      </c>
      <c r="AM402" t="inlineStr">
        <is>
          <t>Zimmer</t>
        </is>
      </c>
      <c r="AN402" t="n">
        <v>0.5</v>
      </c>
    </row>
    <row r="403" ht="15" customHeight="1" s="2">
      <c r="B403" t="n">
        <v>9</v>
      </c>
      <c r="C403" t="n">
        <v>4</v>
      </c>
      <c r="D403" t="n">
        <v>7</v>
      </c>
      <c r="E403" t="inlineStr">
        <is>
          <t>FBC7-D9</t>
        </is>
      </c>
      <c r="F403" t="inlineStr">
        <is>
          <t>Thursday</t>
        </is>
      </c>
      <c r="G403" s="27" t="n">
        <v>43685</v>
      </c>
      <c r="H403" t="inlineStr">
        <is>
          <t>PM</t>
        </is>
      </c>
      <c r="I403" t="inlineStr">
        <is>
          <t>Monterey, CA</t>
        </is>
      </c>
      <c r="J403" t="inlineStr">
        <is>
          <t>West</t>
        </is>
      </c>
      <c r="K403" t="n">
        <v>9</v>
      </c>
      <c r="L403" t="inlineStr">
        <is>
          <t>Back</t>
        </is>
      </c>
      <c r="M403" t="inlineStr">
        <is>
          <t>Pebble Beach</t>
        </is>
      </c>
      <c r="N403" t="inlineStr">
        <is>
          <t>Gold</t>
        </is>
      </c>
      <c r="O403" t="n">
        <v>73.40000000000001</v>
      </c>
      <c r="P403" t="n">
        <v>138</v>
      </c>
      <c r="Q403" t="n">
        <v>6454</v>
      </c>
      <c r="R403" t="inlineStr">
        <is>
          <t>Vegas</t>
        </is>
      </c>
      <c r="S403" t="inlineStr">
        <is>
          <t>Doubles</t>
        </is>
      </c>
      <c r="T403" t="inlineStr">
        <is>
          <t>Mix</t>
        </is>
      </c>
      <c r="U403" t="inlineStr">
        <is>
          <t>Ferrin/Jax</t>
        </is>
      </c>
      <c r="V403" t="inlineStr">
        <is>
          <t>Gray</t>
        </is>
      </c>
      <c r="W403" t="inlineStr">
        <is>
          <t>White</t>
        </is>
      </c>
      <c r="Y403" t="inlineStr">
        <is>
          <t>Zimmer</t>
        </is>
      </c>
      <c r="AA403" t="n">
        <v>1</v>
      </c>
      <c r="AB403" t="inlineStr">
        <is>
          <t>T</t>
        </is>
      </c>
      <c r="AC403" t="inlineStr">
        <is>
          <t>Halved</t>
        </is>
      </c>
      <c r="AE403">
        <f>$V403&amp;$Y403</f>
        <v/>
      </c>
      <c r="AF403" t="n">
        <v>0.5</v>
      </c>
      <c r="AG403" t="n">
        <v>0</v>
      </c>
      <c r="AH403" t="n">
        <v>0</v>
      </c>
      <c r="AI403" t="n">
        <v>1</v>
      </c>
      <c r="AJ403" t="n">
        <v>0.5</v>
      </c>
      <c r="AK403" t="inlineStr">
        <is>
          <t>Norat</t>
        </is>
      </c>
      <c r="AL403" t="n">
        <v>0.527777777777778</v>
      </c>
      <c r="AM403" t="inlineStr">
        <is>
          <t>Welker</t>
        </is>
      </c>
      <c r="AN403" t="n">
        <v>0.510416666666667</v>
      </c>
    </row>
    <row r="404" ht="15" customHeight="1" s="2">
      <c r="B404" t="n">
        <v>10</v>
      </c>
      <c r="C404" t="n">
        <v>5</v>
      </c>
      <c r="D404" t="n">
        <v>7</v>
      </c>
      <c r="E404" t="inlineStr">
        <is>
          <t>FBC7-D10</t>
        </is>
      </c>
      <c r="F404" t="inlineStr">
        <is>
          <t>Thursday</t>
        </is>
      </c>
      <c r="G404" s="27" t="n">
        <v>43685</v>
      </c>
      <c r="H404" t="inlineStr">
        <is>
          <t>PM</t>
        </is>
      </c>
      <c r="I404" t="inlineStr">
        <is>
          <t>Monterey, CA</t>
        </is>
      </c>
      <c r="J404" t="inlineStr">
        <is>
          <t>West</t>
        </is>
      </c>
      <c r="K404" t="n">
        <v>9</v>
      </c>
      <c r="L404" t="inlineStr">
        <is>
          <t>Back</t>
        </is>
      </c>
      <c r="M404" t="inlineStr">
        <is>
          <t>Pebble Beach</t>
        </is>
      </c>
      <c r="N404" t="inlineStr">
        <is>
          <t>Gold</t>
        </is>
      </c>
      <c r="O404" t="n">
        <v>73.40000000000001</v>
      </c>
      <c r="P404" t="n">
        <v>138</v>
      </c>
      <c r="Q404" t="n">
        <v>6454</v>
      </c>
      <c r="R404" t="inlineStr">
        <is>
          <t>Vegas</t>
        </is>
      </c>
      <c r="S404" t="inlineStr">
        <is>
          <t>Doubles</t>
        </is>
      </c>
      <c r="T404" t="inlineStr">
        <is>
          <t>Mix</t>
        </is>
      </c>
      <c r="U404" t="inlineStr">
        <is>
          <t>Ferrin/Jax</t>
        </is>
      </c>
      <c r="V404" t="inlineStr">
        <is>
          <t>Buss</t>
        </is>
      </c>
      <c r="W404" t="inlineStr">
        <is>
          <t>White</t>
        </is>
      </c>
      <c r="Y404" t="inlineStr">
        <is>
          <t>Connors</t>
        </is>
      </c>
      <c r="AA404" t="n">
        <v>1</v>
      </c>
      <c r="AB404" t="inlineStr">
        <is>
          <t>T</t>
        </is>
      </c>
      <c r="AC404" t="inlineStr">
        <is>
          <t>Halved</t>
        </is>
      </c>
      <c r="AE404">
        <f>$V404&amp;$Y404</f>
        <v/>
      </c>
      <c r="AF404" t="n">
        <v>0.5</v>
      </c>
      <c r="AG404" t="n">
        <v>0</v>
      </c>
      <c r="AH404" t="n">
        <v>0</v>
      </c>
      <c r="AI404" t="n">
        <v>1</v>
      </c>
      <c r="AJ404" t="n">
        <v>0.5</v>
      </c>
      <c r="AK404" t="inlineStr">
        <is>
          <t>Mangold</t>
        </is>
      </c>
      <c r="AL404" t="n">
        <v>0.383928571428572</v>
      </c>
      <c r="AM404" t="inlineStr">
        <is>
          <t>Poirier</t>
        </is>
      </c>
      <c r="AN404" t="n">
        <v>0.486111111111111</v>
      </c>
    </row>
    <row r="405" ht="15" customHeight="1" s="2">
      <c r="B405" t="n">
        <v>10</v>
      </c>
      <c r="C405" t="n">
        <v>5</v>
      </c>
      <c r="D405" t="n">
        <v>7</v>
      </c>
      <c r="E405" t="inlineStr">
        <is>
          <t>FBC7-D10</t>
        </is>
      </c>
      <c r="F405" t="inlineStr">
        <is>
          <t>Thursday</t>
        </is>
      </c>
      <c r="G405" s="27" t="n">
        <v>43685</v>
      </c>
      <c r="H405" t="inlineStr">
        <is>
          <t>PM</t>
        </is>
      </c>
      <c r="I405" t="inlineStr">
        <is>
          <t>Monterey, CA</t>
        </is>
      </c>
      <c r="J405" t="inlineStr">
        <is>
          <t>West</t>
        </is>
      </c>
      <c r="K405" t="n">
        <v>9</v>
      </c>
      <c r="L405" t="inlineStr">
        <is>
          <t>Back</t>
        </is>
      </c>
      <c r="M405" t="inlineStr">
        <is>
          <t>Pebble Beach</t>
        </is>
      </c>
      <c r="N405" t="inlineStr">
        <is>
          <t>Gold</t>
        </is>
      </c>
      <c r="O405" t="n">
        <v>73.40000000000001</v>
      </c>
      <c r="P405" t="n">
        <v>138</v>
      </c>
      <c r="Q405" t="n">
        <v>6454</v>
      </c>
      <c r="R405" t="inlineStr">
        <is>
          <t>Vegas</t>
        </is>
      </c>
      <c r="S405" t="inlineStr">
        <is>
          <t>Doubles</t>
        </is>
      </c>
      <c r="T405" t="inlineStr">
        <is>
          <t>over 6'</t>
        </is>
      </c>
      <c r="U405" t="inlineStr">
        <is>
          <t>Connolly/Hilts</t>
        </is>
      </c>
      <c r="V405" t="inlineStr">
        <is>
          <t>Mangold</t>
        </is>
      </c>
      <c r="W405" t="inlineStr">
        <is>
          <t>Blue</t>
        </is>
      </c>
      <c r="Y405" t="inlineStr">
        <is>
          <t>Poirier</t>
        </is>
      </c>
      <c r="AA405" t="n">
        <v>1</v>
      </c>
      <c r="AB405" t="inlineStr">
        <is>
          <t>T</t>
        </is>
      </c>
      <c r="AC405" t="inlineStr">
        <is>
          <t>Halved</t>
        </is>
      </c>
      <c r="AE405">
        <f>$V405&amp;$Y405</f>
        <v/>
      </c>
      <c r="AF405" t="n">
        <v>0.5</v>
      </c>
      <c r="AG405" t="n">
        <v>0</v>
      </c>
      <c r="AH405" t="n">
        <v>0</v>
      </c>
      <c r="AI405" t="n">
        <v>1</v>
      </c>
      <c r="AJ405" t="n">
        <v>0.5</v>
      </c>
      <c r="AK405" t="inlineStr">
        <is>
          <t>Buss</t>
        </is>
      </c>
      <c r="AL405" t="n">
        <v>0.448275862068966</v>
      </c>
      <c r="AM405" t="inlineStr">
        <is>
          <t>Connors</t>
        </is>
      </c>
      <c r="AN405" t="n">
        <v>0.347457627118644</v>
      </c>
    </row>
    <row r="406" ht="15" customHeight="1" s="2">
      <c r="B406" t="n">
        <v>11</v>
      </c>
      <c r="C406" t="n">
        <v>1</v>
      </c>
      <c r="D406" t="n">
        <v>7</v>
      </c>
      <c r="E406" t="inlineStr">
        <is>
          <t>FBC7-D11</t>
        </is>
      </c>
      <c r="F406" t="inlineStr">
        <is>
          <t>Friday</t>
        </is>
      </c>
      <c r="G406" s="27" t="n">
        <v>43686</v>
      </c>
      <c r="H406" t="inlineStr">
        <is>
          <t>AM</t>
        </is>
      </c>
      <c r="I406" t="inlineStr">
        <is>
          <t>Monterey, CA</t>
        </is>
      </c>
      <c r="J406" t="inlineStr">
        <is>
          <t>West</t>
        </is>
      </c>
      <c r="K406" t="n">
        <v>9</v>
      </c>
      <c r="L406" t="inlineStr">
        <is>
          <t>Front</t>
        </is>
      </c>
      <c r="M406" t="inlineStr">
        <is>
          <t>Spyglass Hill</t>
        </is>
      </c>
      <c r="N406" t="inlineStr">
        <is>
          <t>White</t>
        </is>
      </c>
      <c r="O406" t="n">
        <v>71.59999999999999</v>
      </c>
      <c r="P406" t="n">
        <v>133</v>
      </c>
      <c r="Q406" t="n">
        <v>6123</v>
      </c>
      <c r="R406" t="inlineStr">
        <is>
          <t>Best Ball</t>
        </is>
      </c>
      <c r="S406" t="inlineStr">
        <is>
          <t>Doubles</t>
        </is>
      </c>
      <c r="T406" t="inlineStr">
        <is>
          <t>Mix</t>
        </is>
      </c>
      <c r="U406" t="inlineStr">
        <is>
          <t>Ferrin/Jax</t>
        </is>
      </c>
      <c r="V406" t="inlineStr">
        <is>
          <t>Cole</t>
        </is>
      </c>
      <c r="W406" t="inlineStr">
        <is>
          <t>Blue</t>
        </is>
      </c>
      <c r="Y406" t="inlineStr">
        <is>
          <t>Ferrin</t>
        </is>
      </c>
      <c r="AA406" t="n">
        <v>1</v>
      </c>
      <c r="AB406" t="inlineStr">
        <is>
          <t>W</t>
        </is>
      </c>
      <c r="AC406" t="inlineStr">
        <is>
          <t>2up</t>
        </is>
      </c>
      <c r="AE406">
        <f>$V406&amp;$Y406</f>
        <v/>
      </c>
      <c r="AF406" t="n">
        <v>1</v>
      </c>
      <c r="AG406" t="n">
        <v>1</v>
      </c>
      <c r="AH406" t="n">
        <v>0</v>
      </c>
      <c r="AI406" t="n">
        <v>0</v>
      </c>
      <c r="AJ406" t="n">
        <v>1</v>
      </c>
      <c r="AK406" t="inlineStr">
        <is>
          <t>Hilts</t>
        </is>
      </c>
      <c r="AL406" t="n">
        <v>0.473214285714286</v>
      </c>
      <c r="AM406" t="inlineStr">
        <is>
          <t>Poirier</t>
        </is>
      </c>
      <c r="AN406" t="n">
        <v>0.486111111111111</v>
      </c>
    </row>
    <row r="407" ht="15" customHeight="1" s="2">
      <c r="B407" t="n">
        <v>11</v>
      </c>
      <c r="C407" t="n">
        <v>1</v>
      </c>
      <c r="D407" t="n">
        <v>7</v>
      </c>
      <c r="E407" t="inlineStr">
        <is>
          <t>FBC7-D11</t>
        </is>
      </c>
      <c r="F407" t="inlineStr">
        <is>
          <t>Friday</t>
        </is>
      </c>
      <c r="G407" s="27" t="n">
        <v>43686</v>
      </c>
      <c r="H407" t="inlineStr">
        <is>
          <t>AM</t>
        </is>
      </c>
      <c r="I407" t="inlineStr">
        <is>
          <t>Monterey, CA</t>
        </is>
      </c>
      <c r="J407" t="inlineStr">
        <is>
          <t>West</t>
        </is>
      </c>
      <c r="K407" t="n">
        <v>9</v>
      </c>
      <c r="L407" t="inlineStr">
        <is>
          <t>Front</t>
        </is>
      </c>
      <c r="M407" t="inlineStr">
        <is>
          <t>Spyglass Hill</t>
        </is>
      </c>
      <c r="N407" t="inlineStr">
        <is>
          <t>White</t>
        </is>
      </c>
      <c r="O407" t="n">
        <v>71.59999999999999</v>
      </c>
      <c r="P407" t="n">
        <v>133</v>
      </c>
      <c r="Q407" t="n">
        <v>6123</v>
      </c>
      <c r="R407" t="inlineStr">
        <is>
          <t>Best Ball</t>
        </is>
      </c>
      <c r="S407" t="inlineStr">
        <is>
          <t>Doubles</t>
        </is>
      </c>
      <c r="T407" t="inlineStr">
        <is>
          <t>over 6'</t>
        </is>
      </c>
      <c r="U407" t="inlineStr">
        <is>
          <t>Connolly/Hilts</t>
        </is>
      </c>
      <c r="V407" t="inlineStr">
        <is>
          <t>Hilts</t>
        </is>
      </c>
      <c r="W407" t="inlineStr">
        <is>
          <t>White</t>
        </is>
      </c>
      <c r="Y407" t="inlineStr">
        <is>
          <t>Poirier</t>
        </is>
      </c>
      <c r="AA407" t="n">
        <v>1</v>
      </c>
      <c r="AB407" t="inlineStr">
        <is>
          <t>L</t>
        </is>
      </c>
      <c r="AC407" t="inlineStr">
        <is>
          <t>2up</t>
        </is>
      </c>
      <c r="AE407">
        <f>$V407&amp;$Y407</f>
        <v/>
      </c>
      <c r="AF407" t="n">
        <v>0</v>
      </c>
      <c r="AG407" t="n">
        <v>0</v>
      </c>
      <c r="AH407" t="n">
        <v>1</v>
      </c>
      <c r="AI407" t="n">
        <v>0</v>
      </c>
      <c r="AJ407" t="n">
        <v>0</v>
      </c>
      <c r="AK407" t="inlineStr">
        <is>
          <t>Cole</t>
        </is>
      </c>
      <c r="AL407" t="n">
        <v>0.440677966101695</v>
      </c>
      <c r="AM407" t="inlineStr">
        <is>
          <t>Ferrin</t>
        </is>
      </c>
      <c r="AN407" t="n">
        <v>0.595238095238095</v>
      </c>
    </row>
    <row r="408" ht="15" customHeight="1" s="2">
      <c r="B408" t="n">
        <v>12</v>
      </c>
      <c r="C408" t="n">
        <v>2</v>
      </c>
      <c r="D408" t="n">
        <v>7</v>
      </c>
      <c r="E408" t="inlineStr">
        <is>
          <t>FBC7-D12</t>
        </is>
      </c>
      <c r="F408" t="inlineStr">
        <is>
          <t>Friday</t>
        </is>
      </c>
      <c r="G408" s="27" t="n">
        <v>43686</v>
      </c>
      <c r="H408" t="inlineStr">
        <is>
          <t>AM</t>
        </is>
      </c>
      <c r="I408" t="inlineStr">
        <is>
          <t>Monterey, CA</t>
        </is>
      </c>
      <c r="J408" t="inlineStr">
        <is>
          <t>West</t>
        </is>
      </c>
      <c r="K408" t="n">
        <v>9</v>
      </c>
      <c r="L408" t="inlineStr">
        <is>
          <t>Front</t>
        </is>
      </c>
      <c r="M408" t="inlineStr">
        <is>
          <t>Spyglass Hill</t>
        </is>
      </c>
      <c r="N408" t="inlineStr">
        <is>
          <t>White</t>
        </is>
      </c>
      <c r="O408" t="n">
        <v>71.59999999999999</v>
      </c>
      <c r="P408" t="n">
        <v>133</v>
      </c>
      <c r="Q408" t="n">
        <v>6123</v>
      </c>
      <c r="R408" t="inlineStr">
        <is>
          <t>Best Ball</t>
        </is>
      </c>
      <c r="S408" t="inlineStr">
        <is>
          <t>Doubles</t>
        </is>
      </c>
      <c r="T408" t="inlineStr">
        <is>
          <t>over 6'</t>
        </is>
      </c>
      <c r="U408" t="inlineStr">
        <is>
          <t>Connolly/Hilts</t>
        </is>
      </c>
      <c r="V408" t="inlineStr">
        <is>
          <t>Connolly</t>
        </is>
      </c>
      <c r="W408" t="inlineStr">
        <is>
          <t>White</t>
        </is>
      </c>
      <c r="Y408" t="inlineStr">
        <is>
          <t>Mangold</t>
        </is>
      </c>
      <c r="AA408" t="n">
        <v>1</v>
      </c>
      <c r="AB408" t="inlineStr">
        <is>
          <t>L</t>
        </is>
      </c>
      <c r="AC408" t="inlineStr">
        <is>
          <t>4&amp;3</t>
        </is>
      </c>
      <c r="AE408">
        <f>$V408&amp;$Y408</f>
        <v/>
      </c>
      <c r="AF408" t="n">
        <v>0</v>
      </c>
      <c r="AG408" t="n">
        <v>0</v>
      </c>
      <c r="AH408" t="n">
        <v>1</v>
      </c>
      <c r="AI408" t="n">
        <v>0</v>
      </c>
      <c r="AJ408" t="n">
        <v>0</v>
      </c>
      <c r="AK408" t="inlineStr">
        <is>
          <t>Gray</t>
        </is>
      </c>
      <c r="AL408" t="n">
        <v>0.654761904761905</v>
      </c>
      <c r="AM408" t="inlineStr">
        <is>
          <t>Grise</t>
        </is>
      </c>
      <c r="AN408" t="n">
        <v>0.546875</v>
      </c>
    </row>
    <row r="409" ht="15" customHeight="1" s="2">
      <c r="B409" t="n">
        <v>12</v>
      </c>
      <c r="C409" t="n">
        <v>2</v>
      </c>
      <c r="D409" t="n">
        <v>7</v>
      </c>
      <c r="E409" t="inlineStr">
        <is>
          <t>FBC7-D12</t>
        </is>
      </c>
      <c r="F409" t="inlineStr">
        <is>
          <t>Friday</t>
        </is>
      </c>
      <c r="G409" s="27" t="n">
        <v>43686</v>
      </c>
      <c r="H409" t="inlineStr">
        <is>
          <t>AM</t>
        </is>
      </c>
      <c r="I409" t="inlineStr">
        <is>
          <t>Monterey, CA</t>
        </is>
      </c>
      <c r="J409" t="inlineStr">
        <is>
          <t>West</t>
        </is>
      </c>
      <c r="K409" t="n">
        <v>9</v>
      </c>
      <c r="L409" t="inlineStr">
        <is>
          <t>Front</t>
        </is>
      </c>
      <c r="M409" t="inlineStr">
        <is>
          <t>Spyglass Hill</t>
        </is>
      </c>
      <c r="N409" t="inlineStr">
        <is>
          <t>White</t>
        </is>
      </c>
      <c r="O409" t="n">
        <v>71.59999999999999</v>
      </c>
      <c r="P409" t="n">
        <v>133</v>
      </c>
      <c r="Q409" t="n">
        <v>6123</v>
      </c>
      <c r="R409" t="inlineStr">
        <is>
          <t>Best Ball</t>
        </is>
      </c>
      <c r="S409" t="inlineStr">
        <is>
          <t>Doubles</t>
        </is>
      </c>
      <c r="T409" t="inlineStr">
        <is>
          <t>Mix</t>
        </is>
      </c>
      <c r="U409" t="inlineStr">
        <is>
          <t>Ferrin/Jax</t>
        </is>
      </c>
      <c r="V409" t="inlineStr">
        <is>
          <t>Gray</t>
        </is>
      </c>
      <c r="W409" t="inlineStr">
        <is>
          <t>Blue</t>
        </is>
      </c>
      <c r="Y409" t="inlineStr">
        <is>
          <t>Grise</t>
        </is>
      </c>
      <c r="AA409" t="n">
        <v>1</v>
      </c>
      <c r="AB409" t="inlineStr">
        <is>
          <t>W</t>
        </is>
      </c>
      <c r="AC409" t="inlineStr">
        <is>
          <t>4&amp;3</t>
        </is>
      </c>
      <c r="AE409">
        <f>$V409&amp;$Y409</f>
        <v/>
      </c>
      <c r="AF409" t="n">
        <v>1</v>
      </c>
      <c r="AG409" t="n">
        <v>1</v>
      </c>
      <c r="AH409" t="n">
        <v>0</v>
      </c>
      <c r="AI409" t="n">
        <v>0</v>
      </c>
      <c r="AJ409" t="n">
        <v>1</v>
      </c>
      <c r="AK409" t="inlineStr">
        <is>
          <t>Connolly</t>
        </is>
      </c>
      <c r="AL409" t="n">
        <v>0.59375</v>
      </c>
      <c r="AM409" t="inlineStr">
        <is>
          <t>Mangold</t>
        </is>
      </c>
      <c r="AN409" t="n">
        <v>0.383928571428572</v>
      </c>
    </row>
    <row r="410" ht="15" customHeight="1" s="2">
      <c r="B410" t="n">
        <v>13</v>
      </c>
      <c r="C410" t="n">
        <v>3</v>
      </c>
      <c r="D410" t="n">
        <v>7</v>
      </c>
      <c r="E410" t="inlineStr">
        <is>
          <t>FBC7-D13</t>
        </is>
      </c>
      <c r="F410" t="inlineStr">
        <is>
          <t>Friday</t>
        </is>
      </c>
      <c r="G410" s="27" t="n">
        <v>43686</v>
      </c>
      <c r="H410" t="inlineStr">
        <is>
          <t>AM</t>
        </is>
      </c>
      <c r="I410" t="inlineStr">
        <is>
          <t>Monterey, CA</t>
        </is>
      </c>
      <c r="J410" t="inlineStr">
        <is>
          <t>West</t>
        </is>
      </c>
      <c r="K410" t="n">
        <v>9</v>
      </c>
      <c r="L410" t="inlineStr">
        <is>
          <t>Front</t>
        </is>
      </c>
      <c r="M410" t="inlineStr">
        <is>
          <t>Spyglass Hill</t>
        </is>
      </c>
      <c r="N410" t="inlineStr">
        <is>
          <t>White</t>
        </is>
      </c>
      <c r="O410" t="n">
        <v>71.59999999999999</v>
      </c>
      <c r="P410" t="n">
        <v>133</v>
      </c>
      <c r="Q410" t="n">
        <v>6123</v>
      </c>
      <c r="R410" t="inlineStr">
        <is>
          <t>Best Ball</t>
        </is>
      </c>
      <c r="S410" t="inlineStr">
        <is>
          <t>Doubles</t>
        </is>
      </c>
      <c r="T410" t="inlineStr">
        <is>
          <t>Mix</t>
        </is>
      </c>
      <c r="U410" t="inlineStr">
        <is>
          <t>Ferrin/Jax</t>
        </is>
      </c>
      <c r="V410" t="inlineStr">
        <is>
          <t>Buss</t>
        </is>
      </c>
      <c r="W410" t="inlineStr">
        <is>
          <t>Blue</t>
        </is>
      </c>
      <c r="Y410" t="inlineStr">
        <is>
          <t>Flanders</t>
        </is>
      </c>
      <c r="AA410" t="n">
        <v>1</v>
      </c>
      <c r="AB410" t="inlineStr">
        <is>
          <t>T</t>
        </is>
      </c>
      <c r="AC410" t="inlineStr">
        <is>
          <t>Halved</t>
        </is>
      </c>
      <c r="AE410">
        <f>$V410&amp;$Y410</f>
        <v/>
      </c>
      <c r="AF410" t="n">
        <v>0.5</v>
      </c>
      <c r="AG410" t="n">
        <v>0</v>
      </c>
      <c r="AH410" t="n">
        <v>0</v>
      </c>
      <c r="AI410" t="n">
        <v>1</v>
      </c>
      <c r="AJ410" t="n">
        <v>0.5</v>
      </c>
      <c r="AK410" t="inlineStr">
        <is>
          <t>Forster</t>
        </is>
      </c>
      <c r="AL410" t="n">
        <v>0.596491228070175</v>
      </c>
      <c r="AM410" t="inlineStr">
        <is>
          <t>Norat</t>
        </is>
      </c>
      <c r="AN410" t="n">
        <v>0.527777777777778</v>
      </c>
    </row>
    <row r="411" ht="15" customHeight="1" s="2">
      <c r="B411" t="n">
        <v>13</v>
      </c>
      <c r="C411" t="n">
        <v>3</v>
      </c>
      <c r="D411" t="n">
        <v>7</v>
      </c>
      <c r="E411" t="inlineStr">
        <is>
          <t>FBC7-D13</t>
        </is>
      </c>
      <c r="F411" t="inlineStr">
        <is>
          <t>Friday</t>
        </is>
      </c>
      <c r="G411" s="27" t="n">
        <v>43686</v>
      </c>
      <c r="H411" t="inlineStr">
        <is>
          <t>AM</t>
        </is>
      </c>
      <c r="I411" t="inlineStr">
        <is>
          <t>Monterey, CA</t>
        </is>
      </c>
      <c r="J411" t="inlineStr">
        <is>
          <t>West</t>
        </is>
      </c>
      <c r="K411" t="n">
        <v>9</v>
      </c>
      <c r="L411" t="inlineStr">
        <is>
          <t>Front</t>
        </is>
      </c>
      <c r="M411" t="inlineStr">
        <is>
          <t>Spyglass Hill</t>
        </is>
      </c>
      <c r="N411" t="inlineStr">
        <is>
          <t>White</t>
        </is>
      </c>
      <c r="O411" t="n">
        <v>71.59999999999999</v>
      </c>
      <c r="P411" t="n">
        <v>133</v>
      </c>
      <c r="Q411" t="n">
        <v>6123</v>
      </c>
      <c r="R411" t="inlineStr">
        <is>
          <t>Best Ball</t>
        </is>
      </c>
      <c r="S411" t="inlineStr">
        <is>
          <t>Doubles</t>
        </is>
      </c>
      <c r="T411" t="inlineStr">
        <is>
          <t>over 6'</t>
        </is>
      </c>
      <c r="U411" t="inlineStr">
        <is>
          <t>Connolly/Hilts</t>
        </is>
      </c>
      <c r="V411" t="inlineStr">
        <is>
          <t>Forster</t>
        </is>
      </c>
      <c r="W411" t="inlineStr">
        <is>
          <t>White</t>
        </is>
      </c>
      <c r="Y411" t="inlineStr">
        <is>
          <t>Norat</t>
        </is>
      </c>
      <c r="AA411" t="n">
        <v>1</v>
      </c>
      <c r="AB411" t="inlineStr">
        <is>
          <t>T</t>
        </is>
      </c>
      <c r="AC411" t="inlineStr">
        <is>
          <t>Halved</t>
        </is>
      </c>
      <c r="AE411">
        <f>$V411&amp;$Y411</f>
        <v/>
      </c>
      <c r="AF411" t="n">
        <v>0.5</v>
      </c>
      <c r="AG411" t="n">
        <v>0</v>
      </c>
      <c r="AH411" t="n">
        <v>0</v>
      </c>
      <c r="AI411" t="n">
        <v>1</v>
      </c>
      <c r="AJ411" t="n">
        <v>0.5</v>
      </c>
      <c r="AK411" t="inlineStr">
        <is>
          <t>Buss</t>
        </is>
      </c>
      <c r="AL411" t="n">
        <v>0.448275862068966</v>
      </c>
      <c r="AM411" t="inlineStr">
        <is>
          <t>Flanders</t>
        </is>
      </c>
      <c r="AN411" t="n">
        <v>0.4296875</v>
      </c>
    </row>
    <row r="412" ht="15" customHeight="1" s="2">
      <c r="B412" t="n">
        <v>14</v>
      </c>
      <c r="C412" t="n">
        <v>4</v>
      </c>
      <c r="D412" t="n">
        <v>7</v>
      </c>
      <c r="E412" t="inlineStr">
        <is>
          <t>FBC7-D14</t>
        </is>
      </c>
      <c r="F412" t="inlineStr">
        <is>
          <t>Friday</t>
        </is>
      </c>
      <c r="G412" s="27" t="n">
        <v>43686</v>
      </c>
      <c r="H412" t="inlineStr">
        <is>
          <t>AM</t>
        </is>
      </c>
      <c r="I412" t="inlineStr">
        <is>
          <t>Monterey, CA</t>
        </is>
      </c>
      <c r="J412" t="inlineStr">
        <is>
          <t>West</t>
        </is>
      </c>
      <c r="K412" t="n">
        <v>9</v>
      </c>
      <c r="L412" t="inlineStr">
        <is>
          <t>Front</t>
        </is>
      </c>
      <c r="M412" t="inlineStr">
        <is>
          <t>Spyglass Hill</t>
        </is>
      </c>
      <c r="N412" t="inlineStr">
        <is>
          <t>White</t>
        </is>
      </c>
      <c r="O412" t="n">
        <v>71.59999999999999</v>
      </c>
      <c r="P412" t="n">
        <v>133</v>
      </c>
      <c r="Q412" t="n">
        <v>6123</v>
      </c>
      <c r="R412" t="inlineStr">
        <is>
          <t>Best Ball</t>
        </is>
      </c>
      <c r="S412" t="inlineStr">
        <is>
          <t>Doubles</t>
        </is>
      </c>
      <c r="T412" t="inlineStr">
        <is>
          <t>over 6'</t>
        </is>
      </c>
      <c r="U412" t="inlineStr">
        <is>
          <t>Connolly/Hilts</t>
        </is>
      </c>
      <c r="V412" t="inlineStr">
        <is>
          <t>Shively</t>
        </is>
      </c>
      <c r="W412" t="inlineStr">
        <is>
          <t>White</t>
        </is>
      </c>
      <c r="Y412" t="inlineStr">
        <is>
          <t>Welker</t>
        </is>
      </c>
      <c r="AA412" t="n">
        <v>1</v>
      </c>
      <c r="AB412" t="inlineStr">
        <is>
          <t>W</t>
        </is>
      </c>
      <c r="AC412" t="inlineStr">
        <is>
          <t>3&amp;2</t>
        </is>
      </c>
      <c r="AE412">
        <f>$V412&amp;$Y412</f>
        <v/>
      </c>
      <c r="AF412" t="n">
        <v>1</v>
      </c>
      <c r="AG412" t="n">
        <v>1</v>
      </c>
      <c r="AH412" t="n">
        <v>0</v>
      </c>
      <c r="AI412" t="n">
        <v>0</v>
      </c>
      <c r="AJ412" t="n">
        <v>1</v>
      </c>
      <c r="AK412" t="inlineStr">
        <is>
          <t>Connors</t>
        </is>
      </c>
      <c r="AL412" t="n">
        <v>0.347457627118644</v>
      </c>
      <c r="AM412" t="inlineStr">
        <is>
          <t>Jackson</t>
        </is>
      </c>
      <c r="AN412" t="n">
        <v>0.6171875</v>
      </c>
    </row>
    <row r="413" ht="15" customHeight="1" s="2">
      <c r="B413" t="n">
        <v>14</v>
      </c>
      <c r="C413" t="n">
        <v>4</v>
      </c>
      <c r="D413" t="n">
        <v>7</v>
      </c>
      <c r="E413" t="inlineStr">
        <is>
          <t>FBC7-D14</t>
        </is>
      </c>
      <c r="F413" t="inlineStr">
        <is>
          <t>Friday</t>
        </is>
      </c>
      <c r="G413" s="27" t="n">
        <v>43686</v>
      </c>
      <c r="H413" t="inlineStr">
        <is>
          <t>AM</t>
        </is>
      </c>
      <c r="I413" t="inlineStr">
        <is>
          <t>Monterey, CA</t>
        </is>
      </c>
      <c r="J413" t="inlineStr">
        <is>
          <t>West</t>
        </is>
      </c>
      <c r="K413" t="n">
        <v>9</v>
      </c>
      <c r="L413" t="inlineStr">
        <is>
          <t>Front</t>
        </is>
      </c>
      <c r="M413" t="inlineStr">
        <is>
          <t>Spyglass Hill</t>
        </is>
      </c>
      <c r="N413" t="inlineStr">
        <is>
          <t>White</t>
        </is>
      </c>
      <c r="O413" t="n">
        <v>71.59999999999999</v>
      </c>
      <c r="P413" t="n">
        <v>133</v>
      </c>
      <c r="Q413" t="n">
        <v>6123</v>
      </c>
      <c r="R413" t="inlineStr">
        <is>
          <t>Best Ball</t>
        </is>
      </c>
      <c r="S413" t="inlineStr">
        <is>
          <t>Doubles</t>
        </is>
      </c>
      <c r="T413" t="inlineStr">
        <is>
          <t>Mix</t>
        </is>
      </c>
      <c r="U413" t="inlineStr">
        <is>
          <t>Ferrin/Jax</t>
        </is>
      </c>
      <c r="V413" t="inlineStr">
        <is>
          <t>Connors</t>
        </is>
      </c>
      <c r="W413" t="inlineStr">
        <is>
          <t>Blue</t>
        </is>
      </c>
      <c r="Y413" t="inlineStr">
        <is>
          <t>Jackson</t>
        </is>
      </c>
      <c r="AA413" t="n">
        <v>1</v>
      </c>
      <c r="AB413" t="inlineStr">
        <is>
          <t>L</t>
        </is>
      </c>
      <c r="AC413" t="inlineStr">
        <is>
          <t>4&amp;2</t>
        </is>
      </c>
      <c r="AE413">
        <f>$V413&amp;$Y413</f>
        <v/>
      </c>
      <c r="AF413" t="n">
        <v>0</v>
      </c>
      <c r="AG413" t="n">
        <v>0</v>
      </c>
      <c r="AH413" t="n">
        <v>1</v>
      </c>
      <c r="AI413" t="n">
        <v>0</v>
      </c>
      <c r="AJ413" t="n">
        <v>0</v>
      </c>
      <c r="AK413" t="inlineStr">
        <is>
          <t>Shively</t>
        </is>
      </c>
      <c r="AM413" t="inlineStr">
        <is>
          <t>Welker</t>
        </is>
      </c>
      <c r="AN413" t="n">
        <v>0.510416666666667</v>
      </c>
    </row>
    <row r="414" ht="15" customHeight="1" s="2">
      <c r="B414" t="n">
        <v>15</v>
      </c>
      <c r="C414" t="n">
        <v>5</v>
      </c>
      <c r="D414" t="n">
        <v>7</v>
      </c>
      <c r="E414" t="inlineStr">
        <is>
          <t>FBC7-D15</t>
        </is>
      </c>
      <c r="F414" t="inlineStr">
        <is>
          <t>Friday</t>
        </is>
      </c>
      <c r="G414" s="27" t="n">
        <v>43686</v>
      </c>
      <c r="H414" t="inlineStr">
        <is>
          <t>AM</t>
        </is>
      </c>
      <c r="I414" t="inlineStr">
        <is>
          <t>Monterey, CA</t>
        </is>
      </c>
      <c r="J414" t="inlineStr">
        <is>
          <t>West</t>
        </is>
      </c>
      <c r="K414" t="n">
        <v>9</v>
      </c>
      <c r="L414" t="inlineStr">
        <is>
          <t>Front</t>
        </is>
      </c>
      <c r="M414" t="inlineStr">
        <is>
          <t>Spyglass Hill</t>
        </is>
      </c>
      <c r="N414" t="inlineStr">
        <is>
          <t>White</t>
        </is>
      </c>
      <c r="O414" t="n">
        <v>71.59999999999999</v>
      </c>
      <c r="P414" t="n">
        <v>133</v>
      </c>
      <c r="Q414" t="n">
        <v>6123</v>
      </c>
      <c r="R414" t="inlineStr">
        <is>
          <t>Best Ball</t>
        </is>
      </c>
      <c r="S414" t="inlineStr">
        <is>
          <t>Doubles</t>
        </is>
      </c>
      <c r="T414" t="inlineStr">
        <is>
          <t>Mix</t>
        </is>
      </c>
      <c r="U414" t="inlineStr">
        <is>
          <t>Ferrin/Jax</t>
        </is>
      </c>
      <c r="V414" t="inlineStr">
        <is>
          <t>Lynch</t>
        </is>
      </c>
      <c r="W414" t="inlineStr">
        <is>
          <t>Blue</t>
        </is>
      </c>
      <c r="Y414" t="inlineStr">
        <is>
          <t>Zimmer</t>
        </is>
      </c>
      <c r="AA414" t="n">
        <v>1</v>
      </c>
      <c r="AB414" t="inlineStr">
        <is>
          <t>W</t>
        </is>
      </c>
      <c r="AC414" t="inlineStr">
        <is>
          <t>1up</t>
        </is>
      </c>
      <c r="AE414">
        <f>$V414&amp;$Y414</f>
        <v/>
      </c>
      <c r="AF414" t="n">
        <v>1</v>
      </c>
      <c r="AG414" t="n">
        <v>1</v>
      </c>
      <c r="AH414" t="n">
        <v>0</v>
      </c>
      <c r="AI414" t="n">
        <v>0</v>
      </c>
      <c r="AJ414" t="n">
        <v>1</v>
      </c>
      <c r="AK414" t="inlineStr">
        <is>
          <t>Fogan</t>
        </is>
      </c>
      <c r="AL414" t="n">
        <v>0.372881355932203</v>
      </c>
      <c r="AM414" t="inlineStr">
        <is>
          <t>McInerney</t>
        </is>
      </c>
      <c r="AN414" t="n">
        <v>0.5</v>
      </c>
    </row>
    <row r="415" ht="15" customHeight="1" s="2">
      <c r="B415" t="n">
        <v>15</v>
      </c>
      <c r="C415" t="n">
        <v>5</v>
      </c>
      <c r="D415" t="n">
        <v>7</v>
      </c>
      <c r="E415" t="inlineStr">
        <is>
          <t>FBC7-D15</t>
        </is>
      </c>
      <c r="F415" t="inlineStr">
        <is>
          <t>Friday</t>
        </is>
      </c>
      <c r="G415" s="27" t="n">
        <v>43686</v>
      </c>
      <c r="H415" t="inlineStr">
        <is>
          <t>AM</t>
        </is>
      </c>
      <c r="I415" t="inlineStr">
        <is>
          <t>Monterey, CA</t>
        </is>
      </c>
      <c r="J415" t="inlineStr">
        <is>
          <t>West</t>
        </is>
      </c>
      <c r="K415" t="n">
        <v>9</v>
      </c>
      <c r="L415" t="inlineStr">
        <is>
          <t>Front</t>
        </is>
      </c>
      <c r="M415" t="inlineStr">
        <is>
          <t>Spyglass Hill</t>
        </is>
      </c>
      <c r="N415" t="inlineStr">
        <is>
          <t>White</t>
        </is>
      </c>
      <c r="O415" t="n">
        <v>71.59999999999999</v>
      </c>
      <c r="P415" t="n">
        <v>133</v>
      </c>
      <c r="Q415" t="n">
        <v>6123</v>
      </c>
      <c r="R415" t="inlineStr">
        <is>
          <t>Best Ball</t>
        </is>
      </c>
      <c r="S415" t="inlineStr">
        <is>
          <t>Doubles</t>
        </is>
      </c>
      <c r="T415" t="inlineStr">
        <is>
          <t>over 6'</t>
        </is>
      </c>
      <c r="U415" t="inlineStr">
        <is>
          <t>Connolly/Hilts</t>
        </is>
      </c>
      <c r="V415" t="inlineStr">
        <is>
          <t>Fogan</t>
        </is>
      </c>
      <c r="W415" t="inlineStr">
        <is>
          <t>White</t>
        </is>
      </c>
      <c r="Y415" t="inlineStr">
        <is>
          <t>McInerney</t>
        </is>
      </c>
      <c r="AA415" t="n">
        <v>1</v>
      </c>
      <c r="AB415" t="inlineStr">
        <is>
          <t>L</t>
        </is>
      </c>
      <c r="AC415" t="inlineStr">
        <is>
          <t>1up</t>
        </is>
      </c>
      <c r="AE415">
        <f>$V415&amp;$Y415</f>
        <v/>
      </c>
      <c r="AF415" t="n">
        <v>0</v>
      </c>
      <c r="AG415" t="n">
        <v>0</v>
      </c>
      <c r="AH415" t="n">
        <v>1</v>
      </c>
      <c r="AI415" t="n">
        <v>0</v>
      </c>
      <c r="AJ415" t="n">
        <v>0</v>
      </c>
      <c r="AK415" t="inlineStr">
        <is>
          <t>Lynch</t>
        </is>
      </c>
      <c r="AL415" t="n">
        <v>0.5546875</v>
      </c>
      <c r="AM415" t="inlineStr">
        <is>
          <t>Zimmer</t>
        </is>
      </c>
      <c r="AN415" t="n">
        <v>0.5</v>
      </c>
    </row>
    <row r="416" ht="15" customHeight="1" s="2">
      <c r="B416" t="n">
        <v>16</v>
      </c>
      <c r="C416" t="n">
        <v>1</v>
      </c>
      <c r="D416" t="n">
        <v>7</v>
      </c>
      <c r="E416" t="inlineStr">
        <is>
          <t>FBC7-D16</t>
        </is>
      </c>
      <c r="F416" t="inlineStr">
        <is>
          <t>Friday</t>
        </is>
      </c>
      <c r="G416" s="27" t="n">
        <v>43686</v>
      </c>
      <c r="H416" t="inlineStr">
        <is>
          <t>AM</t>
        </is>
      </c>
      <c r="I416" t="inlineStr">
        <is>
          <t>Monterey, CA</t>
        </is>
      </c>
      <c r="J416" t="inlineStr">
        <is>
          <t>West</t>
        </is>
      </c>
      <c r="K416" t="n">
        <v>9</v>
      </c>
      <c r="L416" t="inlineStr">
        <is>
          <t>Back</t>
        </is>
      </c>
      <c r="M416" t="inlineStr">
        <is>
          <t>Spyglass Hill</t>
        </is>
      </c>
      <c r="N416" t="inlineStr">
        <is>
          <t>White</t>
        </is>
      </c>
      <c r="O416" t="n">
        <v>71.59999999999999</v>
      </c>
      <c r="P416" t="n">
        <v>133</v>
      </c>
      <c r="Q416" t="n">
        <v>6123</v>
      </c>
      <c r="R416" t="inlineStr">
        <is>
          <t>Vegas</t>
        </is>
      </c>
      <c r="S416" t="inlineStr">
        <is>
          <t>Doubles</t>
        </is>
      </c>
      <c r="T416" t="inlineStr">
        <is>
          <t>Mix</t>
        </is>
      </c>
      <c r="U416" t="inlineStr">
        <is>
          <t>Ferrin/Jax</t>
        </is>
      </c>
      <c r="V416" t="inlineStr">
        <is>
          <t>Cole</t>
        </is>
      </c>
      <c r="W416" t="inlineStr">
        <is>
          <t>Blue</t>
        </is>
      </c>
      <c r="Y416" t="inlineStr">
        <is>
          <t>Ferrin</t>
        </is>
      </c>
      <c r="AA416" t="n">
        <v>1</v>
      </c>
      <c r="AB416" t="inlineStr">
        <is>
          <t>L</t>
        </is>
      </c>
      <c r="AC416" t="inlineStr">
        <is>
          <t>4&amp;3</t>
        </is>
      </c>
      <c r="AE416">
        <f>$V416&amp;$Y416</f>
        <v/>
      </c>
      <c r="AF416" t="n">
        <v>0</v>
      </c>
      <c r="AG416" t="n">
        <v>0</v>
      </c>
      <c r="AH416" t="n">
        <v>1</v>
      </c>
      <c r="AI416" t="n">
        <v>0</v>
      </c>
      <c r="AJ416" t="n">
        <v>0</v>
      </c>
      <c r="AK416" t="inlineStr">
        <is>
          <t>Hilts</t>
        </is>
      </c>
      <c r="AL416" t="n">
        <v>0.473214285714286</v>
      </c>
      <c r="AM416" t="inlineStr">
        <is>
          <t>Poirier</t>
        </is>
      </c>
      <c r="AN416" t="n">
        <v>0.486111111111111</v>
      </c>
    </row>
    <row r="417" ht="15" customHeight="1" s="2">
      <c r="B417" t="n">
        <v>16</v>
      </c>
      <c r="C417" t="n">
        <v>1</v>
      </c>
      <c r="D417" t="n">
        <v>7</v>
      </c>
      <c r="E417" t="inlineStr">
        <is>
          <t>FBC7-D16</t>
        </is>
      </c>
      <c r="F417" t="inlineStr">
        <is>
          <t>Friday</t>
        </is>
      </c>
      <c r="G417" s="27" t="n">
        <v>43686</v>
      </c>
      <c r="H417" t="inlineStr">
        <is>
          <t>AM</t>
        </is>
      </c>
      <c r="I417" t="inlineStr">
        <is>
          <t>Monterey, CA</t>
        </is>
      </c>
      <c r="J417" t="inlineStr">
        <is>
          <t>West</t>
        </is>
      </c>
      <c r="K417" t="n">
        <v>9</v>
      </c>
      <c r="L417" t="inlineStr">
        <is>
          <t>Back</t>
        </is>
      </c>
      <c r="M417" t="inlineStr">
        <is>
          <t>Spyglass Hill</t>
        </is>
      </c>
      <c r="N417" t="inlineStr">
        <is>
          <t>White</t>
        </is>
      </c>
      <c r="O417" t="n">
        <v>71.59999999999999</v>
      </c>
      <c r="P417" t="n">
        <v>133</v>
      </c>
      <c r="Q417" t="n">
        <v>6123</v>
      </c>
      <c r="R417" t="inlineStr">
        <is>
          <t>Vegas</t>
        </is>
      </c>
      <c r="S417" t="inlineStr">
        <is>
          <t>Doubles</t>
        </is>
      </c>
      <c r="T417" t="inlineStr">
        <is>
          <t>over 6'</t>
        </is>
      </c>
      <c r="U417" t="inlineStr">
        <is>
          <t>Connolly/Hilts</t>
        </is>
      </c>
      <c r="V417" t="inlineStr">
        <is>
          <t>Hilts</t>
        </is>
      </c>
      <c r="W417" t="inlineStr">
        <is>
          <t>White</t>
        </is>
      </c>
      <c r="Y417" t="inlineStr">
        <is>
          <t>Poirier</t>
        </is>
      </c>
      <c r="AA417" t="n">
        <v>1</v>
      </c>
      <c r="AB417" t="inlineStr">
        <is>
          <t>W</t>
        </is>
      </c>
      <c r="AC417" t="inlineStr">
        <is>
          <t>4&amp;3</t>
        </is>
      </c>
      <c r="AE417">
        <f>$V417&amp;$Y417</f>
        <v/>
      </c>
      <c r="AF417" t="n">
        <v>1</v>
      </c>
      <c r="AG417" t="n">
        <v>1</v>
      </c>
      <c r="AH417" t="n">
        <v>0</v>
      </c>
      <c r="AI417" t="n">
        <v>0</v>
      </c>
      <c r="AJ417" t="n">
        <v>1</v>
      </c>
      <c r="AK417" t="inlineStr">
        <is>
          <t>Cole</t>
        </is>
      </c>
      <c r="AL417" t="n">
        <v>0.440677966101695</v>
      </c>
      <c r="AM417" t="inlineStr">
        <is>
          <t>Ferrin</t>
        </is>
      </c>
      <c r="AN417" t="n">
        <v>0.595238095238095</v>
      </c>
    </row>
    <row r="418" ht="15" customHeight="1" s="2">
      <c r="B418" t="n">
        <v>17</v>
      </c>
      <c r="C418" t="n">
        <v>2</v>
      </c>
      <c r="D418" t="n">
        <v>7</v>
      </c>
      <c r="E418" t="inlineStr">
        <is>
          <t>FBC7-D17</t>
        </is>
      </c>
      <c r="F418" t="inlineStr">
        <is>
          <t>Friday</t>
        </is>
      </c>
      <c r="G418" s="27" t="n">
        <v>43686</v>
      </c>
      <c r="H418" t="inlineStr">
        <is>
          <t>AM</t>
        </is>
      </c>
      <c r="I418" t="inlineStr">
        <is>
          <t>Monterey, CA</t>
        </is>
      </c>
      <c r="J418" t="inlineStr">
        <is>
          <t>West</t>
        </is>
      </c>
      <c r="K418" t="n">
        <v>9</v>
      </c>
      <c r="L418" t="inlineStr">
        <is>
          <t>Back</t>
        </is>
      </c>
      <c r="M418" t="inlineStr">
        <is>
          <t>Spyglass Hill</t>
        </is>
      </c>
      <c r="N418" t="inlineStr">
        <is>
          <t>White</t>
        </is>
      </c>
      <c r="O418" t="n">
        <v>71.59999999999999</v>
      </c>
      <c r="P418" t="n">
        <v>133</v>
      </c>
      <c r="Q418" t="n">
        <v>6123</v>
      </c>
      <c r="R418" t="inlineStr">
        <is>
          <t>Vegas</t>
        </is>
      </c>
      <c r="S418" t="inlineStr">
        <is>
          <t>Doubles</t>
        </is>
      </c>
      <c r="T418" t="inlineStr">
        <is>
          <t>over 6'</t>
        </is>
      </c>
      <c r="U418" t="inlineStr">
        <is>
          <t>Connolly/Hilts</t>
        </is>
      </c>
      <c r="V418" t="inlineStr">
        <is>
          <t>Connolly</t>
        </is>
      </c>
      <c r="W418" t="inlineStr">
        <is>
          <t>White</t>
        </is>
      </c>
      <c r="Y418" t="inlineStr">
        <is>
          <t>Mangold</t>
        </is>
      </c>
      <c r="AA418" t="n">
        <v>1</v>
      </c>
      <c r="AB418" t="inlineStr">
        <is>
          <t>L</t>
        </is>
      </c>
      <c r="AC418" t="inlineStr">
        <is>
          <t>2&amp;1</t>
        </is>
      </c>
      <c r="AE418">
        <f>$V418&amp;$Y418</f>
        <v/>
      </c>
      <c r="AF418" t="n">
        <v>0</v>
      </c>
      <c r="AG418" t="n">
        <v>0</v>
      </c>
      <c r="AH418" t="n">
        <v>1</v>
      </c>
      <c r="AI418" t="n">
        <v>0</v>
      </c>
      <c r="AJ418" t="n">
        <v>0</v>
      </c>
      <c r="AK418" t="inlineStr">
        <is>
          <t>Gray</t>
        </is>
      </c>
      <c r="AL418" t="n">
        <v>0.654761904761905</v>
      </c>
      <c r="AM418" t="inlineStr">
        <is>
          <t>Grise</t>
        </is>
      </c>
      <c r="AN418" t="n">
        <v>0.546875</v>
      </c>
    </row>
    <row r="419" ht="15" customHeight="1" s="2">
      <c r="B419" t="n">
        <v>17</v>
      </c>
      <c r="C419" t="n">
        <v>2</v>
      </c>
      <c r="D419" t="n">
        <v>7</v>
      </c>
      <c r="E419" t="inlineStr">
        <is>
          <t>FBC7-D17</t>
        </is>
      </c>
      <c r="F419" t="inlineStr">
        <is>
          <t>Friday</t>
        </is>
      </c>
      <c r="G419" s="27" t="n">
        <v>43686</v>
      </c>
      <c r="H419" t="inlineStr">
        <is>
          <t>AM</t>
        </is>
      </c>
      <c r="I419" t="inlineStr">
        <is>
          <t>Monterey, CA</t>
        </is>
      </c>
      <c r="J419" t="inlineStr">
        <is>
          <t>West</t>
        </is>
      </c>
      <c r="K419" t="n">
        <v>9</v>
      </c>
      <c r="L419" t="inlineStr">
        <is>
          <t>Back</t>
        </is>
      </c>
      <c r="M419" t="inlineStr">
        <is>
          <t>Spyglass Hill</t>
        </is>
      </c>
      <c r="N419" t="inlineStr">
        <is>
          <t>White</t>
        </is>
      </c>
      <c r="O419" t="n">
        <v>71.59999999999999</v>
      </c>
      <c r="P419" t="n">
        <v>133</v>
      </c>
      <c r="Q419" t="n">
        <v>6123</v>
      </c>
      <c r="R419" t="inlineStr">
        <is>
          <t>Vegas</t>
        </is>
      </c>
      <c r="S419" t="inlineStr">
        <is>
          <t>Doubles</t>
        </is>
      </c>
      <c r="T419" t="inlineStr">
        <is>
          <t>Mix</t>
        </is>
      </c>
      <c r="U419" t="inlineStr">
        <is>
          <t>Ferrin/Jax</t>
        </is>
      </c>
      <c r="V419" t="inlineStr">
        <is>
          <t>Gray</t>
        </is>
      </c>
      <c r="W419" t="inlineStr">
        <is>
          <t>Blue</t>
        </is>
      </c>
      <c r="Y419" t="inlineStr">
        <is>
          <t>Grise</t>
        </is>
      </c>
      <c r="AA419" t="n">
        <v>1</v>
      </c>
      <c r="AB419" t="inlineStr">
        <is>
          <t>W</t>
        </is>
      </c>
      <c r="AC419" t="inlineStr">
        <is>
          <t>2&amp;1</t>
        </is>
      </c>
      <c r="AE419">
        <f>$V419&amp;$Y419</f>
        <v/>
      </c>
      <c r="AF419" t="n">
        <v>1</v>
      </c>
      <c r="AG419" t="n">
        <v>1</v>
      </c>
      <c r="AH419" t="n">
        <v>0</v>
      </c>
      <c r="AI419" t="n">
        <v>0</v>
      </c>
      <c r="AJ419" t="n">
        <v>1</v>
      </c>
      <c r="AK419" t="inlineStr">
        <is>
          <t>Connolly</t>
        </is>
      </c>
      <c r="AL419" t="n">
        <v>0.59375</v>
      </c>
      <c r="AM419" t="inlineStr">
        <is>
          <t>Mangold</t>
        </is>
      </c>
      <c r="AN419" t="n">
        <v>0.383928571428572</v>
      </c>
    </row>
    <row r="420" ht="15" customHeight="1" s="2">
      <c r="B420" t="n">
        <v>18</v>
      </c>
      <c r="C420" t="n">
        <v>3</v>
      </c>
      <c r="D420" t="n">
        <v>7</v>
      </c>
      <c r="E420" t="inlineStr">
        <is>
          <t>FBC7-D18</t>
        </is>
      </c>
      <c r="F420" t="inlineStr">
        <is>
          <t>Friday</t>
        </is>
      </c>
      <c r="G420" s="27" t="n">
        <v>43686</v>
      </c>
      <c r="H420" t="inlineStr">
        <is>
          <t>AM</t>
        </is>
      </c>
      <c r="I420" t="inlineStr">
        <is>
          <t>Monterey, CA</t>
        </is>
      </c>
      <c r="J420" t="inlineStr">
        <is>
          <t>West</t>
        </is>
      </c>
      <c r="K420" t="n">
        <v>9</v>
      </c>
      <c r="L420" t="inlineStr">
        <is>
          <t>Back</t>
        </is>
      </c>
      <c r="M420" t="inlineStr">
        <is>
          <t>Spyglass Hill</t>
        </is>
      </c>
      <c r="N420" t="inlineStr">
        <is>
          <t>White</t>
        </is>
      </c>
      <c r="O420" t="n">
        <v>71.59999999999999</v>
      </c>
      <c r="P420" t="n">
        <v>133</v>
      </c>
      <c r="Q420" t="n">
        <v>6123</v>
      </c>
      <c r="R420" t="inlineStr">
        <is>
          <t>Vegas</t>
        </is>
      </c>
      <c r="S420" t="inlineStr">
        <is>
          <t>Doubles</t>
        </is>
      </c>
      <c r="T420" t="inlineStr">
        <is>
          <t>Mix</t>
        </is>
      </c>
      <c r="U420" t="inlineStr">
        <is>
          <t>Ferrin/Jax</t>
        </is>
      </c>
      <c r="V420" t="inlineStr">
        <is>
          <t>Buss</t>
        </is>
      </c>
      <c r="W420" t="inlineStr">
        <is>
          <t>Blue</t>
        </is>
      </c>
      <c r="Y420" t="inlineStr">
        <is>
          <t>Flanders</t>
        </is>
      </c>
      <c r="AA420" t="n">
        <v>1</v>
      </c>
      <c r="AB420" t="inlineStr">
        <is>
          <t>W</t>
        </is>
      </c>
      <c r="AC420" t="inlineStr">
        <is>
          <t>3&amp;2</t>
        </is>
      </c>
      <c r="AE420">
        <f>$V420&amp;$Y420</f>
        <v/>
      </c>
      <c r="AF420" t="n">
        <v>1</v>
      </c>
      <c r="AG420" t="n">
        <v>1</v>
      </c>
      <c r="AH420" t="n">
        <v>0</v>
      </c>
      <c r="AI420" t="n">
        <v>0</v>
      </c>
      <c r="AJ420" t="n">
        <v>1</v>
      </c>
      <c r="AK420" t="inlineStr">
        <is>
          <t>Forster</t>
        </is>
      </c>
      <c r="AL420" t="n">
        <v>0.596491228070175</v>
      </c>
      <c r="AM420" t="inlineStr">
        <is>
          <t>Norat</t>
        </is>
      </c>
      <c r="AN420" t="n">
        <v>0.527777777777778</v>
      </c>
    </row>
    <row r="421" ht="15" customHeight="1" s="2">
      <c r="B421" t="n">
        <v>18</v>
      </c>
      <c r="C421" t="n">
        <v>3</v>
      </c>
      <c r="D421" t="n">
        <v>7</v>
      </c>
      <c r="E421" t="inlineStr">
        <is>
          <t>FBC7-D18</t>
        </is>
      </c>
      <c r="F421" t="inlineStr">
        <is>
          <t>Friday</t>
        </is>
      </c>
      <c r="G421" s="27" t="n">
        <v>43686</v>
      </c>
      <c r="H421" t="inlineStr">
        <is>
          <t>AM</t>
        </is>
      </c>
      <c r="I421" t="inlineStr">
        <is>
          <t>Monterey, CA</t>
        </is>
      </c>
      <c r="J421" t="inlineStr">
        <is>
          <t>West</t>
        </is>
      </c>
      <c r="K421" t="n">
        <v>9</v>
      </c>
      <c r="L421" t="inlineStr">
        <is>
          <t>Back</t>
        </is>
      </c>
      <c r="M421" t="inlineStr">
        <is>
          <t>Spyglass Hill</t>
        </is>
      </c>
      <c r="N421" t="inlineStr">
        <is>
          <t>White</t>
        </is>
      </c>
      <c r="O421" t="n">
        <v>71.59999999999999</v>
      </c>
      <c r="P421" t="n">
        <v>133</v>
      </c>
      <c r="Q421" t="n">
        <v>6123</v>
      </c>
      <c r="R421" t="inlineStr">
        <is>
          <t>Vegas</t>
        </is>
      </c>
      <c r="S421" t="inlineStr">
        <is>
          <t>Doubles</t>
        </is>
      </c>
      <c r="T421" t="inlineStr">
        <is>
          <t>over 6'</t>
        </is>
      </c>
      <c r="U421" t="inlineStr">
        <is>
          <t>Connolly/Hilts</t>
        </is>
      </c>
      <c r="V421" t="inlineStr">
        <is>
          <t>Forster</t>
        </is>
      </c>
      <c r="W421" t="inlineStr">
        <is>
          <t>White</t>
        </is>
      </c>
      <c r="Y421" t="inlineStr">
        <is>
          <t>Norat</t>
        </is>
      </c>
      <c r="AA421" t="n">
        <v>1</v>
      </c>
      <c r="AB421" t="inlineStr">
        <is>
          <t>L</t>
        </is>
      </c>
      <c r="AC421" t="inlineStr">
        <is>
          <t>3&amp;2</t>
        </is>
      </c>
      <c r="AE421">
        <f>$V421&amp;$Y421</f>
        <v/>
      </c>
      <c r="AF421" t="n">
        <v>0</v>
      </c>
      <c r="AG421" t="n">
        <v>0</v>
      </c>
      <c r="AH421" t="n">
        <v>1</v>
      </c>
      <c r="AI421" t="n">
        <v>0</v>
      </c>
      <c r="AJ421" t="n">
        <v>0</v>
      </c>
      <c r="AK421" t="inlineStr">
        <is>
          <t>Buss</t>
        </is>
      </c>
      <c r="AL421" t="n">
        <v>0.448275862068966</v>
      </c>
      <c r="AM421" t="inlineStr">
        <is>
          <t>Flanders</t>
        </is>
      </c>
      <c r="AN421" t="n">
        <v>0.4296875</v>
      </c>
    </row>
    <row r="422" ht="15" customHeight="1" s="2">
      <c r="B422" t="n">
        <v>19</v>
      </c>
      <c r="C422" t="n">
        <v>4</v>
      </c>
      <c r="D422" t="n">
        <v>7</v>
      </c>
      <c r="E422" t="inlineStr">
        <is>
          <t>FBC7-D19</t>
        </is>
      </c>
      <c r="F422" t="inlineStr">
        <is>
          <t>Friday</t>
        </is>
      </c>
      <c r="G422" s="27" t="n">
        <v>43686</v>
      </c>
      <c r="H422" t="inlineStr">
        <is>
          <t>AM</t>
        </is>
      </c>
      <c r="I422" t="inlineStr">
        <is>
          <t>Monterey, CA</t>
        </is>
      </c>
      <c r="J422" t="inlineStr">
        <is>
          <t>West</t>
        </is>
      </c>
      <c r="K422" t="n">
        <v>9</v>
      </c>
      <c r="L422" t="inlineStr">
        <is>
          <t>Back</t>
        </is>
      </c>
      <c r="M422" t="inlineStr">
        <is>
          <t>Spyglass Hill</t>
        </is>
      </c>
      <c r="N422" t="inlineStr">
        <is>
          <t>White</t>
        </is>
      </c>
      <c r="O422" t="n">
        <v>71.59999999999999</v>
      </c>
      <c r="P422" t="n">
        <v>133</v>
      </c>
      <c r="Q422" t="n">
        <v>6123</v>
      </c>
      <c r="R422" t="inlineStr">
        <is>
          <t>Vegas</t>
        </is>
      </c>
      <c r="S422" t="inlineStr">
        <is>
          <t>Doubles</t>
        </is>
      </c>
      <c r="T422" t="inlineStr">
        <is>
          <t>over 6'</t>
        </is>
      </c>
      <c r="U422" t="inlineStr">
        <is>
          <t>Connolly/Hilts</t>
        </is>
      </c>
      <c r="V422" t="inlineStr">
        <is>
          <t>Shively</t>
        </is>
      </c>
      <c r="W422" t="inlineStr">
        <is>
          <t>White</t>
        </is>
      </c>
      <c r="Y422" t="inlineStr">
        <is>
          <t>Welker</t>
        </is>
      </c>
      <c r="AA422" t="n">
        <v>1</v>
      </c>
      <c r="AB422" t="inlineStr">
        <is>
          <t>T</t>
        </is>
      </c>
      <c r="AC422" t="inlineStr">
        <is>
          <t>Halved</t>
        </is>
      </c>
      <c r="AE422">
        <f>$V422&amp;$Y422</f>
        <v/>
      </c>
      <c r="AF422" t="n">
        <v>0.5</v>
      </c>
      <c r="AG422" t="n">
        <v>0</v>
      </c>
      <c r="AH422" t="n">
        <v>0</v>
      </c>
      <c r="AI422" t="n">
        <v>1</v>
      </c>
      <c r="AJ422" t="n">
        <v>0.5</v>
      </c>
      <c r="AK422" t="inlineStr">
        <is>
          <t>Connors</t>
        </is>
      </c>
      <c r="AL422" t="n">
        <v>0.347457627118644</v>
      </c>
      <c r="AM422" t="inlineStr">
        <is>
          <t>Jackson</t>
        </is>
      </c>
      <c r="AN422" t="n">
        <v>0.6171875</v>
      </c>
    </row>
    <row r="423" ht="15" customHeight="1" s="2">
      <c r="B423" t="n">
        <v>19</v>
      </c>
      <c r="C423" t="n">
        <v>4</v>
      </c>
      <c r="D423" t="n">
        <v>7</v>
      </c>
      <c r="E423" t="inlineStr">
        <is>
          <t>FBC7-D19</t>
        </is>
      </c>
      <c r="F423" t="inlineStr">
        <is>
          <t>Friday</t>
        </is>
      </c>
      <c r="G423" s="27" t="n">
        <v>43686</v>
      </c>
      <c r="H423" t="inlineStr">
        <is>
          <t>AM</t>
        </is>
      </c>
      <c r="I423" t="inlineStr">
        <is>
          <t>Monterey, CA</t>
        </is>
      </c>
      <c r="J423" t="inlineStr">
        <is>
          <t>West</t>
        </is>
      </c>
      <c r="K423" t="n">
        <v>9</v>
      </c>
      <c r="L423" t="inlineStr">
        <is>
          <t>Back</t>
        </is>
      </c>
      <c r="M423" t="inlineStr">
        <is>
          <t>Spyglass Hill</t>
        </is>
      </c>
      <c r="N423" t="inlineStr">
        <is>
          <t>White</t>
        </is>
      </c>
      <c r="O423" t="n">
        <v>71.59999999999999</v>
      </c>
      <c r="P423" t="n">
        <v>133</v>
      </c>
      <c r="Q423" t="n">
        <v>6123</v>
      </c>
      <c r="R423" t="inlineStr">
        <is>
          <t>Vegas</t>
        </is>
      </c>
      <c r="S423" t="inlineStr">
        <is>
          <t>Doubles</t>
        </is>
      </c>
      <c r="T423" t="inlineStr">
        <is>
          <t>Mix</t>
        </is>
      </c>
      <c r="U423" t="inlineStr">
        <is>
          <t>Ferrin/Jax</t>
        </is>
      </c>
      <c r="V423" t="inlineStr">
        <is>
          <t>Connors</t>
        </is>
      </c>
      <c r="W423" t="inlineStr">
        <is>
          <t>Blue</t>
        </is>
      </c>
      <c r="Y423" t="inlineStr">
        <is>
          <t>Jackson</t>
        </is>
      </c>
      <c r="AA423" t="n">
        <v>1</v>
      </c>
      <c r="AB423" t="inlineStr">
        <is>
          <t>T</t>
        </is>
      </c>
      <c r="AC423" t="inlineStr">
        <is>
          <t>Halved</t>
        </is>
      </c>
      <c r="AE423">
        <f>$V423&amp;$Y423</f>
        <v/>
      </c>
      <c r="AF423" t="n">
        <v>0.5</v>
      </c>
      <c r="AG423" t="n">
        <v>0</v>
      </c>
      <c r="AH423" t="n">
        <v>0</v>
      </c>
      <c r="AI423" t="n">
        <v>1</v>
      </c>
      <c r="AJ423" t="n">
        <v>0.5</v>
      </c>
      <c r="AK423" t="inlineStr">
        <is>
          <t>Shively</t>
        </is>
      </c>
      <c r="AM423" t="inlineStr">
        <is>
          <t>Welker</t>
        </is>
      </c>
      <c r="AN423" t="n">
        <v>0.510416666666667</v>
      </c>
    </row>
    <row r="424" ht="15" customHeight="1" s="2">
      <c r="B424" t="n">
        <v>20</v>
      </c>
      <c r="C424" t="n">
        <v>5</v>
      </c>
      <c r="D424" t="n">
        <v>7</v>
      </c>
      <c r="E424" t="inlineStr">
        <is>
          <t>FBC7-D20</t>
        </is>
      </c>
      <c r="F424" t="inlineStr">
        <is>
          <t>Friday</t>
        </is>
      </c>
      <c r="G424" s="27" t="n">
        <v>43686</v>
      </c>
      <c r="H424" t="inlineStr">
        <is>
          <t>AM</t>
        </is>
      </c>
      <c r="I424" t="inlineStr">
        <is>
          <t>Monterey, CA</t>
        </is>
      </c>
      <c r="J424" t="inlineStr">
        <is>
          <t>West</t>
        </is>
      </c>
      <c r="K424" t="n">
        <v>9</v>
      </c>
      <c r="L424" t="inlineStr">
        <is>
          <t>Back</t>
        </is>
      </c>
      <c r="M424" t="inlineStr">
        <is>
          <t>Spyglass Hill</t>
        </is>
      </c>
      <c r="N424" t="inlineStr">
        <is>
          <t>White</t>
        </is>
      </c>
      <c r="O424" t="n">
        <v>71.59999999999999</v>
      </c>
      <c r="P424" t="n">
        <v>133</v>
      </c>
      <c r="Q424" t="n">
        <v>6123</v>
      </c>
      <c r="R424" t="inlineStr">
        <is>
          <t>Vegas</t>
        </is>
      </c>
      <c r="S424" t="inlineStr">
        <is>
          <t>Doubles</t>
        </is>
      </c>
      <c r="T424" t="inlineStr">
        <is>
          <t>Mix</t>
        </is>
      </c>
      <c r="U424" t="inlineStr">
        <is>
          <t>Ferrin/Jax</t>
        </is>
      </c>
      <c r="V424" t="inlineStr">
        <is>
          <t>Lynch</t>
        </is>
      </c>
      <c r="W424" t="inlineStr">
        <is>
          <t>Blue</t>
        </is>
      </c>
      <c r="Y424" t="inlineStr">
        <is>
          <t>Zimmer</t>
        </is>
      </c>
      <c r="AA424" t="n">
        <v>1</v>
      </c>
      <c r="AB424" t="inlineStr">
        <is>
          <t>W</t>
        </is>
      </c>
      <c r="AC424" t="inlineStr">
        <is>
          <t>4&amp;2</t>
        </is>
      </c>
      <c r="AE424">
        <f>$V424&amp;$Y424</f>
        <v/>
      </c>
      <c r="AF424" t="n">
        <v>1</v>
      </c>
      <c r="AG424" t="n">
        <v>1</v>
      </c>
      <c r="AH424" t="n">
        <v>0</v>
      </c>
      <c r="AI424" t="n">
        <v>0</v>
      </c>
      <c r="AJ424" t="n">
        <v>1</v>
      </c>
      <c r="AK424" t="inlineStr">
        <is>
          <t>Fogan</t>
        </is>
      </c>
      <c r="AL424" t="n">
        <v>0.372881355932203</v>
      </c>
      <c r="AM424" t="inlineStr">
        <is>
          <t>McInerney</t>
        </is>
      </c>
      <c r="AN424" t="n">
        <v>0.5</v>
      </c>
    </row>
    <row r="425" ht="15" customHeight="1" s="2">
      <c r="B425" t="n">
        <v>20</v>
      </c>
      <c r="C425" t="n">
        <v>5</v>
      </c>
      <c r="D425" t="n">
        <v>7</v>
      </c>
      <c r="E425" t="inlineStr">
        <is>
          <t>FBC7-D20</t>
        </is>
      </c>
      <c r="F425" t="inlineStr">
        <is>
          <t>Friday</t>
        </is>
      </c>
      <c r="G425" s="27" t="n">
        <v>43686</v>
      </c>
      <c r="H425" t="inlineStr">
        <is>
          <t>AM</t>
        </is>
      </c>
      <c r="I425" t="inlineStr">
        <is>
          <t>Monterey, CA</t>
        </is>
      </c>
      <c r="J425" t="inlineStr">
        <is>
          <t>West</t>
        </is>
      </c>
      <c r="K425" t="n">
        <v>9</v>
      </c>
      <c r="L425" t="inlineStr">
        <is>
          <t>Back</t>
        </is>
      </c>
      <c r="M425" t="inlineStr">
        <is>
          <t>Spyglass Hill</t>
        </is>
      </c>
      <c r="N425" t="inlineStr">
        <is>
          <t>White</t>
        </is>
      </c>
      <c r="O425" t="n">
        <v>71.59999999999999</v>
      </c>
      <c r="P425" t="n">
        <v>133</v>
      </c>
      <c r="Q425" t="n">
        <v>6123</v>
      </c>
      <c r="R425" t="inlineStr">
        <is>
          <t>Vegas</t>
        </is>
      </c>
      <c r="S425" t="inlineStr">
        <is>
          <t>Doubles</t>
        </is>
      </c>
      <c r="T425" t="inlineStr">
        <is>
          <t>over 6'</t>
        </is>
      </c>
      <c r="U425" t="inlineStr">
        <is>
          <t>Connolly/Hilts</t>
        </is>
      </c>
      <c r="V425" t="inlineStr">
        <is>
          <t>Fogan</t>
        </is>
      </c>
      <c r="W425" t="inlineStr">
        <is>
          <t>White</t>
        </is>
      </c>
      <c r="Y425" t="inlineStr">
        <is>
          <t>McInerney</t>
        </is>
      </c>
      <c r="AA425" t="n">
        <v>1</v>
      </c>
      <c r="AB425" t="inlineStr">
        <is>
          <t>L</t>
        </is>
      </c>
      <c r="AC425" t="inlineStr">
        <is>
          <t>4&amp;2</t>
        </is>
      </c>
      <c r="AE425">
        <f>$V425&amp;$Y425</f>
        <v/>
      </c>
      <c r="AF425" t="n">
        <v>0</v>
      </c>
      <c r="AG425" t="n">
        <v>0</v>
      </c>
      <c r="AH425" t="n">
        <v>1</v>
      </c>
      <c r="AI425" t="n">
        <v>0</v>
      </c>
      <c r="AJ425" t="n">
        <v>0</v>
      </c>
      <c r="AK425" t="inlineStr">
        <is>
          <t>Lynch</t>
        </is>
      </c>
      <c r="AL425" t="n">
        <v>0.5546875</v>
      </c>
      <c r="AM425" t="inlineStr">
        <is>
          <t>Zimmer</t>
        </is>
      </c>
      <c r="AN425" t="n">
        <v>0.5</v>
      </c>
    </row>
    <row r="426" ht="15" customHeight="1" s="2">
      <c r="B426" t="n">
        <v>21</v>
      </c>
      <c r="C426" t="n">
        <v>1</v>
      </c>
      <c r="D426" t="n">
        <v>7</v>
      </c>
      <c r="E426" t="inlineStr">
        <is>
          <t>FBC7-D21</t>
        </is>
      </c>
      <c r="F426" t="inlineStr">
        <is>
          <t>Friday</t>
        </is>
      </c>
      <c r="G426" s="27" t="n">
        <v>43686</v>
      </c>
      <c r="H426" t="inlineStr">
        <is>
          <t>PM</t>
        </is>
      </c>
      <c r="I426" t="inlineStr">
        <is>
          <t>Monterey, CA</t>
        </is>
      </c>
      <c r="J426" t="inlineStr">
        <is>
          <t>West</t>
        </is>
      </c>
      <c r="K426" t="n">
        <v>9</v>
      </c>
      <c r="L426" t="inlineStr">
        <is>
          <t>Front</t>
        </is>
      </c>
      <c r="M426" t="inlineStr">
        <is>
          <t>Pacific Grove</t>
        </is>
      </c>
      <c r="N426" t="inlineStr">
        <is>
          <t>Blue</t>
        </is>
      </c>
      <c r="O426" t="n">
        <v>68</v>
      </c>
      <c r="P426" t="n">
        <v>113</v>
      </c>
      <c r="Q426" t="n">
        <v>5727</v>
      </c>
      <c r="R426" t="inlineStr">
        <is>
          <t>Pinehurst</t>
        </is>
      </c>
      <c r="S426" t="inlineStr">
        <is>
          <t>Doubles</t>
        </is>
      </c>
      <c r="T426" t="inlineStr">
        <is>
          <t>Mix</t>
        </is>
      </c>
      <c r="U426" t="inlineStr">
        <is>
          <t>Ferrin/Jax</t>
        </is>
      </c>
      <c r="V426" t="inlineStr">
        <is>
          <t>Ferrin</t>
        </is>
      </c>
      <c r="W426" t="inlineStr">
        <is>
          <t>Blue</t>
        </is>
      </c>
      <c r="Y426" t="inlineStr">
        <is>
          <t>Jackson</t>
        </is>
      </c>
      <c r="AA426" t="n">
        <v>1</v>
      </c>
      <c r="AB426" t="inlineStr">
        <is>
          <t>W</t>
        </is>
      </c>
      <c r="AC426" t="inlineStr">
        <is>
          <t>3&amp;1</t>
        </is>
      </c>
      <c r="AE426">
        <f>$V426&amp;$Y426</f>
        <v/>
      </c>
      <c r="AF426" t="n">
        <v>1</v>
      </c>
      <c r="AG426" t="n">
        <v>1</v>
      </c>
      <c r="AH426" t="n">
        <v>0</v>
      </c>
      <c r="AI426" t="n">
        <v>0</v>
      </c>
      <c r="AJ426" t="n">
        <v>1</v>
      </c>
      <c r="AK426" t="inlineStr">
        <is>
          <t>Connolly</t>
        </is>
      </c>
      <c r="AL426" t="n">
        <v>0.59375</v>
      </c>
      <c r="AM426" t="inlineStr">
        <is>
          <t>Hilts</t>
        </is>
      </c>
      <c r="AN426" t="n">
        <v>0.473214285714286</v>
      </c>
    </row>
    <row r="427" ht="15" customHeight="1" s="2">
      <c r="B427" t="n">
        <v>21</v>
      </c>
      <c r="C427" t="n">
        <v>1</v>
      </c>
      <c r="D427" t="n">
        <v>7</v>
      </c>
      <c r="E427" t="inlineStr">
        <is>
          <t>FBC7-D21</t>
        </is>
      </c>
      <c r="F427" t="inlineStr">
        <is>
          <t>Friday</t>
        </is>
      </c>
      <c r="G427" s="27" t="n">
        <v>43686</v>
      </c>
      <c r="H427" t="inlineStr">
        <is>
          <t>PM</t>
        </is>
      </c>
      <c r="I427" t="inlineStr">
        <is>
          <t>Monterey, CA</t>
        </is>
      </c>
      <c r="J427" t="inlineStr">
        <is>
          <t>West</t>
        </is>
      </c>
      <c r="K427" t="n">
        <v>9</v>
      </c>
      <c r="L427" t="inlineStr">
        <is>
          <t>Front</t>
        </is>
      </c>
      <c r="M427" t="inlineStr">
        <is>
          <t>Pacific Grove</t>
        </is>
      </c>
      <c r="N427" t="inlineStr">
        <is>
          <t>Blue</t>
        </is>
      </c>
      <c r="O427" t="n">
        <v>68</v>
      </c>
      <c r="P427" t="n">
        <v>113</v>
      </c>
      <c r="Q427" t="n">
        <v>5727</v>
      </c>
      <c r="R427" t="inlineStr">
        <is>
          <t>Pinehurst</t>
        </is>
      </c>
      <c r="S427" t="inlineStr">
        <is>
          <t>Doubles</t>
        </is>
      </c>
      <c r="T427" t="inlineStr">
        <is>
          <t>over 6'</t>
        </is>
      </c>
      <c r="U427" t="inlineStr">
        <is>
          <t>Connolly/Hilts</t>
        </is>
      </c>
      <c r="V427" t="inlineStr">
        <is>
          <t>Connolly</t>
        </is>
      </c>
      <c r="W427" t="inlineStr">
        <is>
          <t>White</t>
        </is>
      </c>
      <c r="Y427" t="inlineStr">
        <is>
          <t>Hilts</t>
        </is>
      </c>
      <c r="AA427" t="n">
        <v>1</v>
      </c>
      <c r="AB427" t="inlineStr">
        <is>
          <t>L</t>
        </is>
      </c>
      <c r="AC427" t="inlineStr">
        <is>
          <t>3&amp;1</t>
        </is>
      </c>
      <c r="AE427">
        <f>$V427&amp;$Y427</f>
        <v/>
      </c>
      <c r="AF427" t="n">
        <v>0</v>
      </c>
      <c r="AG427" t="n">
        <v>0</v>
      </c>
      <c r="AH427" t="n">
        <v>1</v>
      </c>
      <c r="AI427" t="n">
        <v>0</v>
      </c>
      <c r="AJ427" t="n">
        <v>0</v>
      </c>
      <c r="AK427" t="inlineStr">
        <is>
          <t>Ferrin</t>
        </is>
      </c>
      <c r="AL427" t="n">
        <v>0.595238095238095</v>
      </c>
      <c r="AM427" t="inlineStr">
        <is>
          <t>Jackson</t>
        </is>
      </c>
      <c r="AN427" t="n">
        <v>0.6171875</v>
      </c>
    </row>
    <row r="428" ht="15" customHeight="1" s="2">
      <c r="B428" t="n">
        <v>22</v>
      </c>
      <c r="C428" t="n">
        <v>2</v>
      </c>
      <c r="D428" t="n">
        <v>7</v>
      </c>
      <c r="E428" t="inlineStr">
        <is>
          <t>FBC7-D22</t>
        </is>
      </c>
      <c r="F428" t="inlineStr">
        <is>
          <t>Friday</t>
        </is>
      </c>
      <c r="G428" s="27" t="n">
        <v>43686</v>
      </c>
      <c r="H428" t="inlineStr">
        <is>
          <t>PM</t>
        </is>
      </c>
      <c r="I428" t="inlineStr">
        <is>
          <t>Monterey, CA</t>
        </is>
      </c>
      <c r="J428" t="inlineStr">
        <is>
          <t>West</t>
        </is>
      </c>
      <c r="K428" t="n">
        <v>9</v>
      </c>
      <c r="L428" t="inlineStr">
        <is>
          <t>Front</t>
        </is>
      </c>
      <c r="M428" t="inlineStr">
        <is>
          <t>Pacific Grove</t>
        </is>
      </c>
      <c r="N428" t="inlineStr">
        <is>
          <t>Blue</t>
        </is>
      </c>
      <c r="O428" t="n">
        <v>68</v>
      </c>
      <c r="P428" t="n">
        <v>113</v>
      </c>
      <c r="Q428" t="n">
        <v>5727</v>
      </c>
      <c r="R428" t="inlineStr">
        <is>
          <t>Pinehurst</t>
        </is>
      </c>
      <c r="S428" t="inlineStr">
        <is>
          <t>Doubles</t>
        </is>
      </c>
      <c r="T428" t="inlineStr">
        <is>
          <t>over 6'</t>
        </is>
      </c>
      <c r="U428" t="inlineStr">
        <is>
          <t>Connolly/Hilts</t>
        </is>
      </c>
      <c r="V428" t="inlineStr">
        <is>
          <t>Poirier</t>
        </is>
      </c>
      <c r="W428" t="inlineStr">
        <is>
          <t>White</t>
        </is>
      </c>
      <c r="Y428" t="inlineStr">
        <is>
          <t>Shively</t>
        </is>
      </c>
      <c r="AA428" t="n">
        <v>1</v>
      </c>
      <c r="AB428" t="inlineStr">
        <is>
          <t>L</t>
        </is>
      </c>
      <c r="AC428" t="inlineStr">
        <is>
          <t>2up</t>
        </is>
      </c>
      <c r="AE428">
        <f>$V428&amp;$Y428</f>
        <v/>
      </c>
      <c r="AF428" t="n">
        <v>0</v>
      </c>
      <c r="AG428" t="n">
        <v>0</v>
      </c>
      <c r="AH428" t="n">
        <v>1</v>
      </c>
      <c r="AI428" t="n">
        <v>0</v>
      </c>
      <c r="AJ428" t="n">
        <v>0</v>
      </c>
      <c r="AK428" t="inlineStr">
        <is>
          <t>Gray</t>
        </is>
      </c>
      <c r="AL428" t="n">
        <v>0.654761904761905</v>
      </c>
      <c r="AM428" t="inlineStr">
        <is>
          <t>Lynch</t>
        </is>
      </c>
      <c r="AN428" t="n">
        <v>0.5546875</v>
      </c>
    </row>
    <row r="429" ht="15" customHeight="1" s="2">
      <c r="B429" t="n">
        <v>22</v>
      </c>
      <c r="C429" t="n">
        <v>2</v>
      </c>
      <c r="D429" t="n">
        <v>7</v>
      </c>
      <c r="E429" t="inlineStr">
        <is>
          <t>FBC7-D22</t>
        </is>
      </c>
      <c r="F429" t="inlineStr">
        <is>
          <t>Friday</t>
        </is>
      </c>
      <c r="G429" s="27" t="n">
        <v>43686</v>
      </c>
      <c r="H429" t="inlineStr">
        <is>
          <t>PM</t>
        </is>
      </c>
      <c r="I429" t="inlineStr">
        <is>
          <t>Monterey, CA</t>
        </is>
      </c>
      <c r="J429" t="inlineStr">
        <is>
          <t>West</t>
        </is>
      </c>
      <c r="K429" t="n">
        <v>9</v>
      </c>
      <c r="L429" t="inlineStr">
        <is>
          <t>Front</t>
        </is>
      </c>
      <c r="M429" t="inlineStr">
        <is>
          <t>Pacific Grove</t>
        </is>
      </c>
      <c r="N429" t="inlineStr">
        <is>
          <t>Blue</t>
        </is>
      </c>
      <c r="O429" t="n">
        <v>68</v>
      </c>
      <c r="P429" t="n">
        <v>113</v>
      </c>
      <c r="Q429" t="n">
        <v>5727</v>
      </c>
      <c r="R429" t="inlineStr">
        <is>
          <t>Pinehurst</t>
        </is>
      </c>
      <c r="S429" t="inlineStr">
        <is>
          <t>Doubles</t>
        </is>
      </c>
      <c r="T429" t="inlineStr">
        <is>
          <t>Mix</t>
        </is>
      </c>
      <c r="U429" t="inlineStr">
        <is>
          <t>Ferrin/Jax</t>
        </is>
      </c>
      <c r="V429" t="inlineStr">
        <is>
          <t>Gray</t>
        </is>
      </c>
      <c r="W429" t="inlineStr">
        <is>
          <t>Blue</t>
        </is>
      </c>
      <c r="Y429" t="inlineStr">
        <is>
          <t>Lynch</t>
        </is>
      </c>
      <c r="AA429" t="n">
        <v>1</v>
      </c>
      <c r="AB429" t="inlineStr">
        <is>
          <t>W</t>
        </is>
      </c>
      <c r="AC429" t="inlineStr">
        <is>
          <t>2up</t>
        </is>
      </c>
      <c r="AE429">
        <f>$V429&amp;$Y429</f>
        <v/>
      </c>
      <c r="AF429" t="n">
        <v>1</v>
      </c>
      <c r="AG429" t="n">
        <v>1</v>
      </c>
      <c r="AH429" t="n">
        <v>0</v>
      </c>
      <c r="AI429" t="n">
        <v>0</v>
      </c>
      <c r="AJ429" t="n">
        <v>1</v>
      </c>
      <c r="AK429" t="inlineStr">
        <is>
          <t>Poirier</t>
        </is>
      </c>
      <c r="AL429" t="n">
        <v>0.486111111111111</v>
      </c>
      <c r="AM429" t="inlineStr">
        <is>
          <t>Shively</t>
        </is>
      </c>
    </row>
    <row r="430" ht="15" customHeight="1" s="2">
      <c r="B430" t="n">
        <v>23</v>
      </c>
      <c r="C430" t="n">
        <v>3</v>
      </c>
      <c r="D430" t="n">
        <v>7</v>
      </c>
      <c r="E430" t="inlineStr">
        <is>
          <t>FBC7-D23</t>
        </is>
      </c>
      <c r="F430" t="inlineStr">
        <is>
          <t>Friday</t>
        </is>
      </c>
      <c r="G430" s="27" t="n">
        <v>43686</v>
      </c>
      <c r="H430" t="inlineStr">
        <is>
          <t>PM</t>
        </is>
      </c>
      <c r="I430" t="inlineStr">
        <is>
          <t>Monterey, CA</t>
        </is>
      </c>
      <c r="J430" t="inlineStr">
        <is>
          <t>West</t>
        </is>
      </c>
      <c r="K430" t="n">
        <v>9</v>
      </c>
      <c r="L430" t="inlineStr">
        <is>
          <t>Front</t>
        </is>
      </c>
      <c r="M430" t="inlineStr">
        <is>
          <t>Pacific Grove</t>
        </is>
      </c>
      <c r="N430" t="inlineStr">
        <is>
          <t>Blue</t>
        </is>
      </c>
      <c r="O430" t="n">
        <v>68</v>
      </c>
      <c r="P430" t="n">
        <v>113</v>
      </c>
      <c r="Q430" t="n">
        <v>5727</v>
      </c>
      <c r="R430" t="inlineStr">
        <is>
          <t>Pinehurst</t>
        </is>
      </c>
      <c r="S430" t="inlineStr">
        <is>
          <t>Doubles</t>
        </is>
      </c>
      <c r="T430" t="inlineStr">
        <is>
          <t>Mix</t>
        </is>
      </c>
      <c r="U430" t="inlineStr">
        <is>
          <t>Ferrin/Jax</t>
        </is>
      </c>
      <c r="V430" t="inlineStr">
        <is>
          <t>Flanders</t>
        </is>
      </c>
      <c r="W430" t="inlineStr">
        <is>
          <t>Blue</t>
        </is>
      </c>
      <c r="Y430" t="inlineStr">
        <is>
          <t>Zimmer</t>
        </is>
      </c>
      <c r="AA430" t="n">
        <v>1</v>
      </c>
      <c r="AB430" t="inlineStr">
        <is>
          <t>L</t>
        </is>
      </c>
      <c r="AC430" t="inlineStr">
        <is>
          <t>4&amp;2</t>
        </is>
      </c>
      <c r="AE430">
        <f>$V430&amp;$Y430</f>
        <v/>
      </c>
      <c r="AF430" t="n">
        <v>0</v>
      </c>
      <c r="AG430" t="n">
        <v>0</v>
      </c>
      <c r="AH430" t="n">
        <v>1</v>
      </c>
      <c r="AI430" t="n">
        <v>0</v>
      </c>
      <c r="AJ430" t="n">
        <v>0</v>
      </c>
      <c r="AK430" t="inlineStr">
        <is>
          <t>McInerney</t>
        </is>
      </c>
      <c r="AL430" t="n">
        <v>0.5</v>
      </c>
      <c r="AM430" t="inlineStr">
        <is>
          <t>Norat</t>
        </is>
      </c>
      <c r="AN430" t="n">
        <v>0.527777777777778</v>
      </c>
    </row>
    <row r="431" ht="15" customHeight="1" s="2">
      <c r="B431" t="n">
        <v>23</v>
      </c>
      <c r="C431" t="n">
        <v>3</v>
      </c>
      <c r="D431" t="n">
        <v>7</v>
      </c>
      <c r="E431" t="inlineStr">
        <is>
          <t>FBC7-D23</t>
        </is>
      </c>
      <c r="F431" t="inlineStr">
        <is>
          <t>Friday</t>
        </is>
      </c>
      <c r="G431" s="27" t="n">
        <v>43686</v>
      </c>
      <c r="H431" t="inlineStr">
        <is>
          <t>PM</t>
        </is>
      </c>
      <c r="I431" t="inlineStr">
        <is>
          <t>Monterey, CA</t>
        </is>
      </c>
      <c r="J431" t="inlineStr">
        <is>
          <t>West</t>
        </is>
      </c>
      <c r="K431" t="n">
        <v>9</v>
      </c>
      <c r="L431" t="inlineStr">
        <is>
          <t>Front</t>
        </is>
      </c>
      <c r="M431" t="inlineStr">
        <is>
          <t>Pacific Grove</t>
        </is>
      </c>
      <c r="N431" t="inlineStr">
        <is>
          <t>Blue</t>
        </is>
      </c>
      <c r="O431" t="n">
        <v>68</v>
      </c>
      <c r="P431" t="n">
        <v>113</v>
      </c>
      <c r="Q431" t="n">
        <v>5727</v>
      </c>
      <c r="R431" t="inlineStr">
        <is>
          <t>Pinehurst</t>
        </is>
      </c>
      <c r="S431" t="inlineStr">
        <is>
          <t>Doubles</t>
        </is>
      </c>
      <c r="T431" t="inlineStr">
        <is>
          <t>over 6'</t>
        </is>
      </c>
      <c r="U431" t="inlineStr">
        <is>
          <t>Connolly/Hilts</t>
        </is>
      </c>
      <c r="V431" t="inlineStr">
        <is>
          <t>McInerney</t>
        </is>
      </c>
      <c r="W431" t="inlineStr">
        <is>
          <t>White</t>
        </is>
      </c>
      <c r="Y431" t="inlineStr">
        <is>
          <t>Norat</t>
        </is>
      </c>
      <c r="AA431" t="n">
        <v>1</v>
      </c>
      <c r="AB431" t="inlineStr">
        <is>
          <t>W</t>
        </is>
      </c>
      <c r="AC431" t="inlineStr">
        <is>
          <t>4&amp;2</t>
        </is>
      </c>
      <c r="AE431">
        <f>$V431&amp;$Y431</f>
        <v/>
      </c>
      <c r="AF431" t="n">
        <v>1</v>
      </c>
      <c r="AG431" t="n">
        <v>1</v>
      </c>
      <c r="AH431" t="n">
        <v>0</v>
      </c>
      <c r="AI431" t="n">
        <v>0</v>
      </c>
      <c r="AJ431" t="n">
        <v>1</v>
      </c>
      <c r="AK431" t="inlineStr">
        <is>
          <t>Flanders</t>
        </is>
      </c>
      <c r="AL431" t="n">
        <v>0.4296875</v>
      </c>
      <c r="AM431" t="inlineStr">
        <is>
          <t>Zimmer</t>
        </is>
      </c>
      <c r="AN431" t="n">
        <v>0.5</v>
      </c>
    </row>
    <row r="432" ht="15" customHeight="1" s="2">
      <c r="B432" t="n">
        <v>24</v>
      </c>
      <c r="C432" t="n">
        <v>4</v>
      </c>
      <c r="D432" t="n">
        <v>7</v>
      </c>
      <c r="E432" t="inlineStr">
        <is>
          <t>FBC7-D24</t>
        </is>
      </c>
      <c r="F432" t="inlineStr">
        <is>
          <t>Friday</t>
        </is>
      </c>
      <c r="G432" s="27" t="n">
        <v>43686</v>
      </c>
      <c r="H432" t="inlineStr">
        <is>
          <t>PM</t>
        </is>
      </c>
      <c r="I432" t="inlineStr">
        <is>
          <t>Monterey, CA</t>
        </is>
      </c>
      <c r="J432" t="inlineStr">
        <is>
          <t>West</t>
        </is>
      </c>
      <c r="K432" t="n">
        <v>9</v>
      </c>
      <c r="L432" t="inlineStr">
        <is>
          <t>Front</t>
        </is>
      </c>
      <c r="M432" t="inlineStr">
        <is>
          <t>Pacific Grove</t>
        </is>
      </c>
      <c r="N432" t="inlineStr">
        <is>
          <t>Blue</t>
        </is>
      </c>
      <c r="O432" t="n">
        <v>68</v>
      </c>
      <c r="P432" t="n">
        <v>113</v>
      </c>
      <c r="Q432" t="n">
        <v>5727</v>
      </c>
      <c r="R432" t="inlineStr">
        <is>
          <t>Pinehurst</t>
        </is>
      </c>
      <c r="S432" t="inlineStr">
        <is>
          <t>Doubles</t>
        </is>
      </c>
      <c r="T432" t="inlineStr">
        <is>
          <t>over 6'</t>
        </is>
      </c>
      <c r="U432" t="inlineStr">
        <is>
          <t>Connolly/Hilts</t>
        </is>
      </c>
      <c r="V432" t="inlineStr">
        <is>
          <t>Forster</t>
        </is>
      </c>
      <c r="W432" t="inlineStr">
        <is>
          <t>White</t>
        </is>
      </c>
      <c r="Y432" t="inlineStr">
        <is>
          <t>Welker</t>
        </is>
      </c>
      <c r="AA432" t="n">
        <v>1</v>
      </c>
      <c r="AB432" t="inlineStr">
        <is>
          <t>W</t>
        </is>
      </c>
      <c r="AC432" t="inlineStr">
        <is>
          <t>4&amp;2</t>
        </is>
      </c>
      <c r="AE432">
        <f>$V432&amp;$Y432</f>
        <v/>
      </c>
      <c r="AF432" t="n">
        <v>1</v>
      </c>
      <c r="AG432" t="n">
        <v>1</v>
      </c>
      <c r="AH432" t="n">
        <v>0</v>
      </c>
      <c r="AI432" t="n">
        <v>0</v>
      </c>
      <c r="AJ432" t="n">
        <v>1</v>
      </c>
      <c r="AK432" t="inlineStr">
        <is>
          <t>Connors</t>
        </is>
      </c>
      <c r="AL432" t="n">
        <v>0.347457627118644</v>
      </c>
      <c r="AM432" t="inlineStr">
        <is>
          <t>Grise</t>
        </is>
      </c>
      <c r="AN432" t="n">
        <v>0.546875</v>
      </c>
    </row>
    <row r="433" ht="15" customHeight="1" s="2">
      <c r="B433" t="n">
        <v>24</v>
      </c>
      <c r="C433" t="n">
        <v>4</v>
      </c>
      <c r="D433" t="n">
        <v>7</v>
      </c>
      <c r="E433" t="inlineStr">
        <is>
          <t>FBC7-D24</t>
        </is>
      </c>
      <c r="F433" t="inlineStr">
        <is>
          <t>Friday</t>
        </is>
      </c>
      <c r="G433" s="27" t="n">
        <v>43686</v>
      </c>
      <c r="H433" t="inlineStr">
        <is>
          <t>PM</t>
        </is>
      </c>
      <c r="I433" t="inlineStr">
        <is>
          <t>Monterey, CA</t>
        </is>
      </c>
      <c r="J433" t="inlineStr">
        <is>
          <t>West</t>
        </is>
      </c>
      <c r="K433" t="n">
        <v>9</v>
      </c>
      <c r="L433" t="inlineStr">
        <is>
          <t>Front</t>
        </is>
      </c>
      <c r="M433" t="inlineStr">
        <is>
          <t>Pacific Grove</t>
        </is>
      </c>
      <c r="N433" t="inlineStr">
        <is>
          <t>Blue</t>
        </is>
      </c>
      <c r="O433" t="n">
        <v>68</v>
      </c>
      <c r="P433" t="n">
        <v>113</v>
      </c>
      <c r="Q433" t="n">
        <v>5727</v>
      </c>
      <c r="R433" t="inlineStr">
        <is>
          <t>Pinehurst</t>
        </is>
      </c>
      <c r="S433" t="inlineStr">
        <is>
          <t>Doubles</t>
        </is>
      </c>
      <c r="T433" t="inlineStr">
        <is>
          <t>Mix</t>
        </is>
      </c>
      <c r="U433" t="inlineStr">
        <is>
          <t>Ferrin/Jax</t>
        </is>
      </c>
      <c r="V433" t="inlineStr">
        <is>
          <t>Connors</t>
        </is>
      </c>
      <c r="W433" t="inlineStr">
        <is>
          <t>Blue</t>
        </is>
      </c>
      <c r="Y433" t="inlineStr">
        <is>
          <t>Grise</t>
        </is>
      </c>
      <c r="AA433" t="n">
        <v>1</v>
      </c>
      <c r="AB433" t="inlineStr">
        <is>
          <t>L</t>
        </is>
      </c>
      <c r="AC433" t="inlineStr">
        <is>
          <t>4&amp;2</t>
        </is>
      </c>
      <c r="AE433">
        <f>$V433&amp;$Y433</f>
        <v/>
      </c>
      <c r="AF433" t="n">
        <v>0</v>
      </c>
      <c r="AG433" t="n">
        <v>0</v>
      </c>
      <c r="AH433" t="n">
        <v>1</v>
      </c>
      <c r="AI433" t="n">
        <v>0</v>
      </c>
      <c r="AJ433" t="n">
        <v>0</v>
      </c>
      <c r="AK433" t="inlineStr">
        <is>
          <t>Forster</t>
        </is>
      </c>
      <c r="AL433" t="n">
        <v>0.596491228070175</v>
      </c>
      <c r="AM433" t="inlineStr">
        <is>
          <t>Welker</t>
        </is>
      </c>
      <c r="AN433" t="n">
        <v>0.510416666666667</v>
      </c>
    </row>
    <row r="434" ht="15" customHeight="1" s="2">
      <c r="B434" t="n">
        <v>25</v>
      </c>
      <c r="C434" t="n">
        <v>5</v>
      </c>
      <c r="D434" t="n">
        <v>7</v>
      </c>
      <c r="E434" t="inlineStr">
        <is>
          <t>FBC7-D25</t>
        </is>
      </c>
      <c r="F434" t="inlineStr">
        <is>
          <t>Friday</t>
        </is>
      </c>
      <c r="G434" s="27" t="n">
        <v>43686</v>
      </c>
      <c r="H434" t="inlineStr">
        <is>
          <t>PM</t>
        </is>
      </c>
      <c r="I434" t="inlineStr">
        <is>
          <t>Monterey, CA</t>
        </is>
      </c>
      <c r="J434" t="inlineStr">
        <is>
          <t>West</t>
        </is>
      </c>
      <c r="K434" t="n">
        <v>9</v>
      </c>
      <c r="L434" t="inlineStr">
        <is>
          <t>Front</t>
        </is>
      </c>
      <c r="M434" t="inlineStr">
        <is>
          <t>Pacific Grove</t>
        </is>
      </c>
      <c r="N434" t="inlineStr">
        <is>
          <t>Blue</t>
        </is>
      </c>
      <c r="O434" t="n">
        <v>68</v>
      </c>
      <c r="P434" t="n">
        <v>113</v>
      </c>
      <c r="Q434" t="n">
        <v>5727</v>
      </c>
      <c r="R434" t="inlineStr">
        <is>
          <t>Pinehurst</t>
        </is>
      </c>
      <c r="S434" t="inlineStr">
        <is>
          <t>Doubles</t>
        </is>
      </c>
      <c r="T434" t="inlineStr">
        <is>
          <t>Mix</t>
        </is>
      </c>
      <c r="U434" t="inlineStr">
        <is>
          <t>Ferrin/Jax</t>
        </is>
      </c>
      <c r="V434" t="inlineStr">
        <is>
          <t>Buss</t>
        </is>
      </c>
      <c r="W434" t="inlineStr">
        <is>
          <t>Blue</t>
        </is>
      </c>
      <c r="Y434" t="inlineStr">
        <is>
          <t>Cole</t>
        </is>
      </c>
      <c r="AA434" t="n">
        <v>1</v>
      </c>
      <c r="AB434" t="inlineStr">
        <is>
          <t>L</t>
        </is>
      </c>
      <c r="AC434" t="inlineStr">
        <is>
          <t>2&amp;1</t>
        </is>
      </c>
      <c r="AE434">
        <f>$V434&amp;$Y434</f>
        <v/>
      </c>
      <c r="AF434" t="n">
        <v>0</v>
      </c>
      <c r="AG434" t="n">
        <v>0</v>
      </c>
      <c r="AH434" t="n">
        <v>1</v>
      </c>
      <c r="AI434" t="n">
        <v>0</v>
      </c>
      <c r="AJ434" t="n">
        <v>0</v>
      </c>
      <c r="AK434" t="inlineStr">
        <is>
          <t>Fogan</t>
        </is>
      </c>
      <c r="AL434" t="n">
        <v>0.372881355932203</v>
      </c>
      <c r="AM434" t="inlineStr">
        <is>
          <t>Mangold</t>
        </is>
      </c>
      <c r="AN434" t="n">
        <v>0.383928571428572</v>
      </c>
    </row>
    <row r="435" ht="15" customHeight="1" s="2">
      <c r="B435" t="n">
        <v>25</v>
      </c>
      <c r="C435" t="n">
        <v>5</v>
      </c>
      <c r="D435" t="n">
        <v>7</v>
      </c>
      <c r="E435" t="inlineStr">
        <is>
          <t>FBC7-D25</t>
        </is>
      </c>
      <c r="F435" t="inlineStr">
        <is>
          <t>Friday</t>
        </is>
      </c>
      <c r="G435" s="27" t="n">
        <v>43686</v>
      </c>
      <c r="H435" t="inlineStr">
        <is>
          <t>PM</t>
        </is>
      </c>
      <c r="I435" t="inlineStr">
        <is>
          <t>Monterey, CA</t>
        </is>
      </c>
      <c r="J435" t="inlineStr">
        <is>
          <t>West</t>
        </is>
      </c>
      <c r="K435" t="n">
        <v>9</v>
      </c>
      <c r="L435" t="inlineStr">
        <is>
          <t>Front</t>
        </is>
      </c>
      <c r="M435" t="inlineStr">
        <is>
          <t>Pacific Grove</t>
        </is>
      </c>
      <c r="N435" t="inlineStr">
        <is>
          <t>Blue</t>
        </is>
      </c>
      <c r="O435" t="n">
        <v>68</v>
      </c>
      <c r="P435" t="n">
        <v>113</v>
      </c>
      <c r="Q435" t="n">
        <v>5727</v>
      </c>
      <c r="R435" t="inlineStr">
        <is>
          <t>Pinehurst</t>
        </is>
      </c>
      <c r="S435" t="inlineStr">
        <is>
          <t>Doubles</t>
        </is>
      </c>
      <c r="T435" t="inlineStr">
        <is>
          <t>over 6'</t>
        </is>
      </c>
      <c r="U435" t="inlineStr">
        <is>
          <t>Connolly/Hilts</t>
        </is>
      </c>
      <c r="V435" t="inlineStr">
        <is>
          <t>Fogan</t>
        </is>
      </c>
      <c r="W435" t="inlineStr">
        <is>
          <t>White</t>
        </is>
      </c>
      <c r="Y435" t="inlineStr">
        <is>
          <t>Mangold</t>
        </is>
      </c>
      <c r="AA435" t="n">
        <v>1</v>
      </c>
      <c r="AB435" t="inlineStr">
        <is>
          <t>W</t>
        </is>
      </c>
      <c r="AC435" t="inlineStr">
        <is>
          <t>2&amp;1</t>
        </is>
      </c>
      <c r="AE435">
        <f>$V435&amp;$Y435</f>
        <v/>
      </c>
      <c r="AF435" t="n">
        <v>1</v>
      </c>
      <c r="AG435" t="n">
        <v>1</v>
      </c>
      <c r="AH435" t="n">
        <v>0</v>
      </c>
      <c r="AI435" t="n">
        <v>0</v>
      </c>
      <c r="AJ435" t="n">
        <v>1</v>
      </c>
      <c r="AK435" t="inlineStr">
        <is>
          <t>Buss</t>
        </is>
      </c>
      <c r="AL435" t="n">
        <v>0.448275862068966</v>
      </c>
      <c r="AM435" t="inlineStr">
        <is>
          <t>Cole</t>
        </is>
      </c>
      <c r="AN435" t="n">
        <v>0.440677966101695</v>
      </c>
    </row>
    <row r="436" ht="15" customHeight="1" s="2">
      <c r="B436" t="inlineStr">
        <is>
          <t>FT1</t>
        </is>
      </c>
      <c r="D436" t="n">
        <v>7</v>
      </c>
      <c r="E436" t="inlineStr">
        <is>
          <t>FBC7-FT</t>
        </is>
      </c>
      <c r="F436" t="inlineStr">
        <is>
          <t>Friday</t>
        </is>
      </c>
      <c r="G436" s="27" t="n">
        <v>43686</v>
      </c>
      <c r="H436" t="inlineStr">
        <is>
          <t>PM</t>
        </is>
      </c>
      <c r="I436" t="inlineStr">
        <is>
          <t>Monterey, CA</t>
        </is>
      </c>
      <c r="J436" t="inlineStr">
        <is>
          <t>West</t>
        </is>
      </c>
      <c r="K436" t="n">
        <v>9</v>
      </c>
      <c r="L436" t="inlineStr">
        <is>
          <t>Back</t>
        </is>
      </c>
      <c r="M436" t="inlineStr">
        <is>
          <t>Pacific Grove</t>
        </is>
      </c>
      <c r="N436" t="inlineStr">
        <is>
          <t>Blue</t>
        </is>
      </c>
      <c r="O436" t="n">
        <v>68</v>
      </c>
      <c r="P436" t="n">
        <v>113</v>
      </c>
      <c r="Q436" t="n">
        <v>5727</v>
      </c>
      <c r="R436" t="inlineStr">
        <is>
          <t>FTAS</t>
        </is>
      </c>
      <c r="S436" t="inlineStr">
        <is>
          <t>FTAS</t>
        </is>
      </c>
      <c r="T436" t="inlineStr">
        <is>
          <t>Mix</t>
        </is>
      </c>
      <c r="U436" t="inlineStr">
        <is>
          <t>Ferrin/Jax</t>
        </is>
      </c>
      <c r="V436" t="inlineStr">
        <is>
          <t>Cole</t>
        </is>
      </c>
      <c r="W436" t="inlineStr">
        <is>
          <t>Blue</t>
        </is>
      </c>
      <c r="AA436" t="n">
        <v>0.5</v>
      </c>
      <c r="AB436" t="inlineStr">
        <is>
          <t>W</t>
        </is>
      </c>
      <c r="AC436" t="inlineStr">
        <is>
          <t>1Up</t>
        </is>
      </c>
      <c r="AE436">
        <f>$V436&amp;$Y436</f>
        <v/>
      </c>
      <c r="AF436" t="n">
        <v>0.5</v>
      </c>
      <c r="AG436" t="n">
        <v>1</v>
      </c>
      <c r="AH436" t="n">
        <v>0</v>
      </c>
      <c r="AI436" t="n">
        <v>0</v>
      </c>
      <c r="AJ436" t="n">
        <v>1</v>
      </c>
    </row>
    <row r="437" ht="15" customHeight="1" s="2">
      <c r="B437" t="inlineStr">
        <is>
          <t>FT1</t>
        </is>
      </c>
      <c r="D437" t="n">
        <v>7</v>
      </c>
      <c r="E437" t="inlineStr">
        <is>
          <t>FBC7-FT</t>
        </is>
      </c>
      <c r="F437" t="inlineStr">
        <is>
          <t>Friday</t>
        </is>
      </c>
      <c r="G437" s="27" t="n">
        <v>43686</v>
      </c>
      <c r="H437" t="inlineStr">
        <is>
          <t>PM</t>
        </is>
      </c>
      <c r="I437" t="inlineStr">
        <is>
          <t>Monterey, CA</t>
        </is>
      </c>
      <c r="J437" t="inlineStr">
        <is>
          <t>West</t>
        </is>
      </c>
      <c r="K437" t="n">
        <v>9</v>
      </c>
      <c r="L437" t="inlineStr">
        <is>
          <t>Back</t>
        </is>
      </c>
      <c r="M437" t="inlineStr">
        <is>
          <t>Pacific Grove</t>
        </is>
      </c>
      <c r="N437" t="inlineStr">
        <is>
          <t>Blue</t>
        </is>
      </c>
      <c r="O437" t="n">
        <v>68</v>
      </c>
      <c r="P437" t="n">
        <v>113</v>
      </c>
      <c r="Q437" t="n">
        <v>5727</v>
      </c>
      <c r="R437" t="inlineStr">
        <is>
          <t>FTAS</t>
        </is>
      </c>
      <c r="S437" t="inlineStr">
        <is>
          <t>FTAS</t>
        </is>
      </c>
      <c r="T437" t="inlineStr">
        <is>
          <t>Mix</t>
        </is>
      </c>
      <c r="U437" t="inlineStr">
        <is>
          <t>Ferrin/Jax</t>
        </is>
      </c>
      <c r="V437" t="inlineStr">
        <is>
          <t>Ferrin</t>
        </is>
      </c>
      <c r="W437" t="inlineStr">
        <is>
          <t>Blue</t>
        </is>
      </c>
      <c r="AA437" t="n">
        <v>0.5</v>
      </c>
      <c r="AB437" t="inlineStr">
        <is>
          <t>W</t>
        </is>
      </c>
      <c r="AC437" t="inlineStr">
        <is>
          <t>1Up</t>
        </is>
      </c>
      <c r="AE437">
        <f>$V437&amp;$Y437</f>
        <v/>
      </c>
      <c r="AF437" t="n">
        <v>0.5</v>
      </c>
      <c r="AG437" t="n">
        <v>1</v>
      </c>
      <c r="AH437" t="n">
        <v>0</v>
      </c>
      <c r="AI437" t="n">
        <v>0</v>
      </c>
      <c r="AJ437" t="n">
        <v>1</v>
      </c>
    </row>
    <row r="438" ht="15" customHeight="1" s="2">
      <c r="B438" t="inlineStr">
        <is>
          <t>FT1</t>
        </is>
      </c>
      <c r="D438" t="n">
        <v>7</v>
      </c>
      <c r="E438" t="inlineStr">
        <is>
          <t>FBC7-FT</t>
        </is>
      </c>
      <c r="F438" t="inlineStr">
        <is>
          <t>Friday</t>
        </is>
      </c>
      <c r="G438" s="27" t="n">
        <v>43686</v>
      </c>
      <c r="H438" t="inlineStr">
        <is>
          <t>PM</t>
        </is>
      </c>
      <c r="I438" t="inlineStr">
        <is>
          <t>Monterey, CA</t>
        </is>
      </c>
      <c r="J438" t="inlineStr">
        <is>
          <t>West</t>
        </is>
      </c>
      <c r="K438" t="n">
        <v>9</v>
      </c>
      <c r="L438" t="inlineStr">
        <is>
          <t>Back</t>
        </is>
      </c>
      <c r="M438" t="inlineStr">
        <is>
          <t>Pacific Grove</t>
        </is>
      </c>
      <c r="N438" t="inlineStr">
        <is>
          <t>Blue</t>
        </is>
      </c>
      <c r="O438" t="n">
        <v>68</v>
      </c>
      <c r="P438" t="n">
        <v>113</v>
      </c>
      <c r="Q438" t="n">
        <v>5727</v>
      </c>
      <c r="R438" t="inlineStr">
        <is>
          <t>FTAS</t>
        </is>
      </c>
      <c r="S438" t="inlineStr">
        <is>
          <t>FTAS</t>
        </is>
      </c>
      <c r="T438" t="inlineStr">
        <is>
          <t>Mix</t>
        </is>
      </c>
      <c r="U438" t="inlineStr">
        <is>
          <t>Ferrin/Jax</t>
        </is>
      </c>
      <c r="V438" t="inlineStr">
        <is>
          <t>Gray</t>
        </is>
      </c>
      <c r="W438" t="inlineStr">
        <is>
          <t>Blue</t>
        </is>
      </c>
      <c r="AA438" t="n">
        <v>0.5</v>
      </c>
      <c r="AB438" t="inlineStr">
        <is>
          <t>W</t>
        </is>
      </c>
      <c r="AC438" t="inlineStr">
        <is>
          <t>1Up</t>
        </is>
      </c>
      <c r="AE438">
        <f>$V438&amp;$Y438</f>
        <v/>
      </c>
      <c r="AF438" t="n">
        <v>0.5</v>
      </c>
      <c r="AG438" t="n">
        <v>1</v>
      </c>
      <c r="AH438" t="n">
        <v>0</v>
      </c>
      <c r="AI438" t="n">
        <v>0</v>
      </c>
      <c r="AJ438" t="n">
        <v>1</v>
      </c>
    </row>
    <row r="439" ht="15" customHeight="1" s="2">
      <c r="B439" t="inlineStr">
        <is>
          <t>FT1</t>
        </is>
      </c>
      <c r="D439" t="n">
        <v>7</v>
      </c>
      <c r="E439" t="inlineStr">
        <is>
          <t>FBC7-FT</t>
        </is>
      </c>
      <c r="F439" t="inlineStr">
        <is>
          <t>Friday</t>
        </is>
      </c>
      <c r="G439" s="27" t="n">
        <v>43686</v>
      </c>
      <c r="H439" t="inlineStr">
        <is>
          <t>PM</t>
        </is>
      </c>
      <c r="I439" t="inlineStr">
        <is>
          <t>Monterey, CA</t>
        </is>
      </c>
      <c r="J439" t="inlineStr">
        <is>
          <t>West</t>
        </is>
      </c>
      <c r="K439" t="n">
        <v>9</v>
      </c>
      <c r="L439" t="inlineStr">
        <is>
          <t>Back</t>
        </is>
      </c>
      <c r="M439" t="inlineStr">
        <is>
          <t>Pacific Grove</t>
        </is>
      </c>
      <c r="N439" t="inlineStr">
        <is>
          <t>Blue</t>
        </is>
      </c>
      <c r="O439" t="n">
        <v>68</v>
      </c>
      <c r="P439" t="n">
        <v>113</v>
      </c>
      <c r="Q439" t="n">
        <v>5727</v>
      </c>
      <c r="R439" t="inlineStr">
        <is>
          <t>FTAS</t>
        </is>
      </c>
      <c r="S439" t="inlineStr">
        <is>
          <t>FTAS</t>
        </is>
      </c>
      <c r="T439" t="inlineStr">
        <is>
          <t>Mix</t>
        </is>
      </c>
      <c r="U439" t="inlineStr">
        <is>
          <t>Ferrin/Jax</t>
        </is>
      </c>
      <c r="V439" t="inlineStr">
        <is>
          <t>Grise</t>
        </is>
      </c>
      <c r="W439" t="inlineStr">
        <is>
          <t>Blue</t>
        </is>
      </c>
      <c r="AA439" t="n">
        <v>0.5</v>
      </c>
      <c r="AB439" t="inlineStr">
        <is>
          <t>W</t>
        </is>
      </c>
      <c r="AC439" t="inlineStr">
        <is>
          <t>1Up</t>
        </is>
      </c>
      <c r="AE439">
        <f>$V439&amp;$Y439</f>
        <v/>
      </c>
      <c r="AF439" t="n">
        <v>0.5</v>
      </c>
      <c r="AG439" t="n">
        <v>1</v>
      </c>
      <c r="AH439" t="n">
        <v>0</v>
      </c>
      <c r="AI439" t="n">
        <v>0</v>
      </c>
      <c r="AJ439" t="n">
        <v>1</v>
      </c>
    </row>
    <row r="440" ht="15" customHeight="1" s="2">
      <c r="B440" t="inlineStr">
        <is>
          <t>FT1</t>
        </is>
      </c>
      <c r="D440" t="n">
        <v>7</v>
      </c>
      <c r="E440" t="inlineStr">
        <is>
          <t>FBC7-FT</t>
        </is>
      </c>
      <c r="F440" t="inlineStr">
        <is>
          <t>Friday</t>
        </is>
      </c>
      <c r="G440" s="27" t="n">
        <v>43686</v>
      </c>
      <c r="H440" t="inlineStr">
        <is>
          <t>PM</t>
        </is>
      </c>
      <c r="I440" t="inlineStr">
        <is>
          <t>Monterey, CA</t>
        </is>
      </c>
      <c r="J440" t="inlineStr">
        <is>
          <t>West</t>
        </is>
      </c>
      <c r="K440" t="n">
        <v>9</v>
      </c>
      <c r="L440" t="inlineStr">
        <is>
          <t>Back</t>
        </is>
      </c>
      <c r="M440" t="inlineStr">
        <is>
          <t>Pacific Grove</t>
        </is>
      </c>
      <c r="N440" t="inlineStr">
        <is>
          <t>Blue</t>
        </is>
      </c>
      <c r="O440" t="n">
        <v>68</v>
      </c>
      <c r="P440" t="n">
        <v>113</v>
      </c>
      <c r="Q440" t="n">
        <v>5727</v>
      </c>
      <c r="R440" t="inlineStr">
        <is>
          <t>FTAS</t>
        </is>
      </c>
      <c r="S440" t="inlineStr">
        <is>
          <t>FTAS</t>
        </is>
      </c>
      <c r="T440" t="inlineStr">
        <is>
          <t>Mix</t>
        </is>
      </c>
      <c r="U440" t="inlineStr">
        <is>
          <t>Ferrin/Jax</t>
        </is>
      </c>
      <c r="V440" t="inlineStr">
        <is>
          <t>Flanders</t>
        </is>
      </c>
      <c r="W440" t="inlineStr">
        <is>
          <t>Blue</t>
        </is>
      </c>
      <c r="AA440" t="n">
        <v>0.5</v>
      </c>
      <c r="AB440" t="inlineStr">
        <is>
          <t>W</t>
        </is>
      </c>
      <c r="AC440" t="inlineStr">
        <is>
          <t>1Up</t>
        </is>
      </c>
      <c r="AE440">
        <f>$V440&amp;$Y440</f>
        <v/>
      </c>
      <c r="AF440" t="n">
        <v>0.5</v>
      </c>
      <c r="AG440" t="n">
        <v>1</v>
      </c>
      <c r="AH440" t="n">
        <v>0</v>
      </c>
      <c r="AI440" t="n">
        <v>0</v>
      </c>
      <c r="AJ440" t="n">
        <v>1</v>
      </c>
    </row>
    <row r="441" ht="15" customHeight="1" s="2">
      <c r="B441" t="inlineStr">
        <is>
          <t>FT1</t>
        </is>
      </c>
      <c r="D441" t="n">
        <v>7</v>
      </c>
      <c r="E441" t="inlineStr">
        <is>
          <t>FBC7-FT</t>
        </is>
      </c>
      <c r="F441" t="inlineStr">
        <is>
          <t>Friday</t>
        </is>
      </c>
      <c r="G441" s="27" t="n">
        <v>43686</v>
      </c>
      <c r="H441" t="inlineStr">
        <is>
          <t>PM</t>
        </is>
      </c>
      <c r="I441" t="inlineStr">
        <is>
          <t>Monterey, CA</t>
        </is>
      </c>
      <c r="J441" t="inlineStr">
        <is>
          <t>West</t>
        </is>
      </c>
      <c r="K441" t="n">
        <v>9</v>
      </c>
      <c r="L441" t="inlineStr">
        <is>
          <t>Back</t>
        </is>
      </c>
      <c r="M441" t="inlineStr">
        <is>
          <t>Pacific Grove</t>
        </is>
      </c>
      <c r="N441" t="inlineStr">
        <is>
          <t>Blue</t>
        </is>
      </c>
      <c r="O441" t="n">
        <v>68</v>
      </c>
      <c r="P441" t="n">
        <v>113</v>
      </c>
      <c r="Q441" t="n">
        <v>5727</v>
      </c>
      <c r="R441" t="inlineStr">
        <is>
          <t>FTAS</t>
        </is>
      </c>
      <c r="S441" t="inlineStr">
        <is>
          <t>FTAS</t>
        </is>
      </c>
      <c r="T441" t="inlineStr">
        <is>
          <t>Mix</t>
        </is>
      </c>
      <c r="U441" t="inlineStr">
        <is>
          <t>Ferrin/Jax</t>
        </is>
      </c>
      <c r="V441" t="inlineStr">
        <is>
          <t>Buss</t>
        </is>
      </c>
      <c r="W441" t="inlineStr">
        <is>
          <t>Blue</t>
        </is>
      </c>
      <c r="AA441" t="n">
        <v>0.5</v>
      </c>
      <c r="AB441" t="inlineStr">
        <is>
          <t>W</t>
        </is>
      </c>
      <c r="AC441" t="inlineStr">
        <is>
          <t>1Up</t>
        </is>
      </c>
      <c r="AE441">
        <f>$V441&amp;$Y441</f>
        <v/>
      </c>
      <c r="AF441" t="n">
        <v>0.5</v>
      </c>
      <c r="AG441" t="n">
        <v>1</v>
      </c>
      <c r="AH441" t="n">
        <v>0</v>
      </c>
      <c r="AI441" t="n">
        <v>0</v>
      </c>
      <c r="AJ441" t="n">
        <v>1</v>
      </c>
    </row>
    <row r="442" ht="15" customHeight="1" s="2">
      <c r="B442" t="inlineStr">
        <is>
          <t>FT1</t>
        </is>
      </c>
      <c r="D442" t="n">
        <v>7</v>
      </c>
      <c r="E442" t="inlineStr">
        <is>
          <t>FBC7-FT</t>
        </is>
      </c>
      <c r="F442" t="inlineStr">
        <is>
          <t>Friday</t>
        </is>
      </c>
      <c r="G442" s="27" t="n">
        <v>43686</v>
      </c>
      <c r="H442" t="inlineStr">
        <is>
          <t>PM</t>
        </is>
      </c>
      <c r="I442" t="inlineStr">
        <is>
          <t>Monterey, CA</t>
        </is>
      </c>
      <c r="J442" t="inlineStr">
        <is>
          <t>West</t>
        </is>
      </c>
      <c r="K442" t="n">
        <v>9</v>
      </c>
      <c r="L442" t="inlineStr">
        <is>
          <t>Back</t>
        </is>
      </c>
      <c r="M442" t="inlineStr">
        <is>
          <t>Pacific Grove</t>
        </is>
      </c>
      <c r="N442" t="inlineStr">
        <is>
          <t>Blue</t>
        </is>
      </c>
      <c r="O442" t="n">
        <v>68</v>
      </c>
      <c r="P442" t="n">
        <v>113</v>
      </c>
      <c r="Q442" t="n">
        <v>5727</v>
      </c>
      <c r="R442" t="inlineStr">
        <is>
          <t>FTAS</t>
        </is>
      </c>
      <c r="S442" t="inlineStr">
        <is>
          <t>FTAS</t>
        </is>
      </c>
      <c r="T442" t="inlineStr">
        <is>
          <t>Mix</t>
        </is>
      </c>
      <c r="U442" t="inlineStr">
        <is>
          <t>Ferrin/Jax</t>
        </is>
      </c>
      <c r="V442" t="inlineStr">
        <is>
          <t>Jackson</t>
        </is>
      </c>
      <c r="W442" t="inlineStr">
        <is>
          <t>Blue</t>
        </is>
      </c>
      <c r="AA442" t="n">
        <v>0.5</v>
      </c>
      <c r="AB442" t="inlineStr">
        <is>
          <t>W</t>
        </is>
      </c>
      <c r="AC442" t="inlineStr">
        <is>
          <t>1Up</t>
        </is>
      </c>
      <c r="AE442">
        <f>$V442&amp;$Y442</f>
        <v/>
      </c>
      <c r="AF442" t="n">
        <v>0.5</v>
      </c>
      <c r="AG442" t="n">
        <v>1</v>
      </c>
      <c r="AH442" t="n">
        <v>0</v>
      </c>
      <c r="AI442" t="n">
        <v>0</v>
      </c>
      <c r="AJ442" t="n">
        <v>1</v>
      </c>
    </row>
    <row r="443" ht="15" customHeight="1" s="2">
      <c r="B443" t="inlineStr">
        <is>
          <t>FT1</t>
        </is>
      </c>
      <c r="D443" t="n">
        <v>7</v>
      </c>
      <c r="E443" t="inlineStr">
        <is>
          <t>FBC7-FT</t>
        </is>
      </c>
      <c r="F443" t="inlineStr">
        <is>
          <t>Friday</t>
        </is>
      </c>
      <c r="G443" s="27" t="n">
        <v>43686</v>
      </c>
      <c r="H443" t="inlineStr">
        <is>
          <t>PM</t>
        </is>
      </c>
      <c r="I443" t="inlineStr">
        <is>
          <t>Monterey, CA</t>
        </is>
      </c>
      <c r="J443" t="inlineStr">
        <is>
          <t>West</t>
        </is>
      </c>
      <c r="K443" t="n">
        <v>9</v>
      </c>
      <c r="L443" t="inlineStr">
        <is>
          <t>Back</t>
        </is>
      </c>
      <c r="M443" t="inlineStr">
        <is>
          <t>Pacific Grove</t>
        </is>
      </c>
      <c r="N443" t="inlineStr">
        <is>
          <t>Blue</t>
        </is>
      </c>
      <c r="O443" t="n">
        <v>68</v>
      </c>
      <c r="P443" t="n">
        <v>113</v>
      </c>
      <c r="Q443" t="n">
        <v>5727</v>
      </c>
      <c r="R443" t="inlineStr">
        <is>
          <t>FTAS</t>
        </is>
      </c>
      <c r="S443" t="inlineStr">
        <is>
          <t>FTAS</t>
        </is>
      </c>
      <c r="T443" t="inlineStr">
        <is>
          <t>Mix</t>
        </is>
      </c>
      <c r="U443" t="inlineStr">
        <is>
          <t>Ferrin/Jax</t>
        </is>
      </c>
      <c r="V443" t="inlineStr">
        <is>
          <t>Connors</t>
        </is>
      </c>
      <c r="W443" t="inlineStr">
        <is>
          <t>Blue</t>
        </is>
      </c>
      <c r="AA443" t="n">
        <v>0.5</v>
      </c>
      <c r="AB443" t="inlineStr">
        <is>
          <t>W</t>
        </is>
      </c>
      <c r="AC443" t="inlineStr">
        <is>
          <t>1Up</t>
        </is>
      </c>
      <c r="AE443">
        <f>$V443&amp;$Y443</f>
        <v/>
      </c>
      <c r="AF443" t="n">
        <v>0.5</v>
      </c>
      <c r="AG443" t="n">
        <v>1</v>
      </c>
      <c r="AH443" t="n">
        <v>0</v>
      </c>
      <c r="AI443" t="n">
        <v>0</v>
      </c>
      <c r="AJ443" t="n">
        <v>1</v>
      </c>
    </row>
    <row r="444" ht="15" customHeight="1" s="2">
      <c r="B444" t="inlineStr">
        <is>
          <t>FT1</t>
        </is>
      </c>
      <c r="D444" t="n">
        <v>7</v>
      </c>
      <c r="E444" t="inlineStr">
        <is>
          <t>FBC7-FT</t>
        </is>
      </c>
      <c r="F444" t="inlineStr">
        <is>
          <t>Friday</t>
        </is>
      </c>
      <c r="G444" s="27" t="n">
        <v>43686</v>
      </c>
      <c r="H444" t="inlineStr">
        <is>
          <t>PM</t>
        </is>
      </c>
      <c r="I444" t="inlineStr">
        <is>
          <t>Monterey, CA</t>
        </is>
      </c>
      <c r="J444" t="inlineStr">
        <is>
          <t>West</t>
        </is>
      </c>
      <c r="K444" t="n">
        <v>9</v>
      </c>
      <c r="L444" t="inlineStr">
        <is>
          <t>Back</t>
        </is>
      </c>
      <c r="M444" t="inlineStr">
        <is>
          <t>Pacific Grove</t>
        </is>
      </c>
      <c r="N444" t="inlineStr">
        <is>
          <t>Blue</t>
        </is>
      </c>
      <c r="O444" t="n">
        <v>68</v>
      </c>
      <c r="P444" t="n">
        <v>113</v>
      </c>
      <c r="Q444" t="n">
        <v>5727</v>
      </c>
      <c r="R444" t="inlineStr">
        <is>
          <t>FTAS</t>
        </is>
      </c>
      <c r="S444" t="inlineStr">
        <is>
          <t>FTAS</t>
        </is>
      </c>
      <c r="T444" t="inlineStr">
        <is>
          <t>Mix</t>
        </is>
      </c>
      <c r="U444" t="inlineStr">
        <is>
          <t>Ferrin/Jax</t>
        </is>
      </c>
      <c r="V444" t="inlineStr">
        <is>
          <t>Lynch</t>
        </is>
      </c>
      <c r="W444" t="inlineStr">
        <is>
          <t>Blue</t>
        </is>
      </c>
      <c r="AA444" t="n">
        <v>0.5</v>
      </c>
      <c r="AB444" t="inlineStr">
        <is>
          <t>W</t>
        </is>
      </c>
      <c r="AC444" t="inlineStr">
        <is>
          <t>1Up</t>
        </is>
      </c>
      <c r="AE444">
        <f>$V444&amp;$Y444</f>
        <v/>
      </c>
      <c r="AF444" t="n">
        <v>0.5</v>
      </c>
      <c r="AG444" t="n">
        <v>1</v>
      </c>
      <c r="AH444" t="n">
        <v>0</v>
      </c>
      <c r="AI444" t="n">
        <v>0</v>
      </c>
      <c r="AJ444" t="n">
        <v>1</v>
      </c>
    </row>
    <row r="445" ht="15" customHeight="1" s="2">
      <c r="B445" t="inlineStr">
        <is>
          <t>FT1</t>
        </is>
      </c>
      <c r="D445" t="n">
        <v>7</v>
      </c>
      <c r="E445" t="inlineStr">
        <is>
          <t>FBC7-FT</t>
        </is>
      </c>
      <c r="F445" t="inlineStr">
        <is>
          <t>Friday</t>
        </is>
      </c>
      <c r="G445" s="27" t="n">
        <v>43686</v>
      </c>
      <c r="H445" t="inlineStr">
        <is>
          <t>PM</t>
        </is>
      </c>
      <c r="I445" t="inlineStr">
        <is>
          <t>Monterey, CA</t>
        </is>
      </c>
      <c r="J445" t="inlineStr">
        <is>
          <t>West</t>
        </is>
      </c>
      <c r="K445" t="n">
        <v>9</v>
      </c>
      <c r="L445" t="inlineStr">
        <is>
          <t>Back</t>
        </is>
      </c>
      <c r="M445" t="inlineStr">
        <is>
          <t>Pacific Grove</t>
        </is>
      </c>
      <c r="N445" t="inlineStr">
        <is>
          <t>Blue</t>
        </is>
      </c>
      <c r="O445" t="n">
        <v>68</v>
      </c>
      <c r="P445" t="n">
        <v>113</v>
      </c>
      <c r="Q445" t="n">
        <v>5727</v>
      </c>
      <c r="R445" t="inlineStr">
        <is>
          <t>FTAS</t>
        </is>
      </c>
      <c r="S445" t="inlineStr">
        <is>
          <t>FTAS</t>
        </is>
      </c>
      <c r="T445" t="inlineStr">
        <is>
          <t>Mix</t>
        </is>
      </c>
      <c r="U445" t="inlineStr">
        <is>
          <t>Ferrin/Jax</t>
        </is>
      </c>
      <c r="V445" t="inlineStr">
        <is>
          <t>Zimmer</t>
        </is>
      </c>
      <c r="W445" t="inlineStr">
        <is>
          <t>Blue</t>
        </is>
      </c>
      <c r="AA445" t="n">
        <v>0.5</v>
      </c>
      <c r="AB445" t="inlineStr">
        <is>
          <t>W</t>
        </is>
      </c>
      <c r="AC445" t="inlineStr">
        <is>
          <t>1Up</t>
        </is>
      </c>
      <c r="AE445">
        <f>$V445&amp;$Y445</f>
        <v/>
      </c>
      <c r="AF445" t="n">
        <v>0.5</v>
      </c>
      <c r="AG445" t="n">
        <v>1</v>
      </c>
      <c r="AH445" t="n">
        <v>0</v>
      </c>
      <c r="AI445" t="n">
        <v>0</v>
      </c>
      <c r="AJ445" t="n">
        <v>1</v>
      </c>
    </row>
    <row r="446" ht="15" customHeight="1" s="2">
      <c r="B446" t="inlineStr">
        <is>
          <t>FT1</t>
        </is>
      </c>
      <c r="D446" t="n">
        <v>7</v>
      </c>
      <c r="E446" t="inlineStr">
        <is>
          <t>FBC7-FT</t>
        </is>
      </c>
      <c r="F446" t="inlineStr">
        <is>
          <t>Friday</t>
        </is>
      </c>
      <c r="G446" s="27" t="n">
        <v>43686</v>
      </c>
      <c r="H446" t="inlineStr">
        <is>
          <t>PM</t>
        </is>
      </c>
      <c r="I446" t="inlineStr">
        <is>
          <t>Monterey, CA</t>
        </is>
      </c>
      <c r="J446" t="inlineStr">
        <is>
          <t>West</t>
        </is>
      </c>
      <c r="K446" t="n">
        <v>9</v>
      </c>
      <c r="L446" t="inlineStr">
        <is>
          <t>Back</t>
        </is>
      </c>
      <c r="M446" t="inlineStr">
        <is>
          <t>Pacific Grove</t>
        </is>
      </c>
      <c r="N446" t="inlineStr">
        <is>
          <t>Blue</t>
        </is>
      </c>
      <c r="O446" t="n">
        <v>68</v>
      </c>
      <c r="P446" t="n">
        <v>113</v>
      </c>
      <c r="Q446" t="n">
        <v>5727</v>
      </c>
      <c r="R446" t="inlineStr">
        <is>
          <t>FTAS</t>
        </is>
      </c>
      <c r="S446" t="inlineStr">
        <is>
          <t>FTAS</t>
        </is>
      </c>
      <c r="T446" t="inlineStr">
        <is>
          <t>over 6'</t>
        </is>
      </c>
      <c r="U446" t="inlineStr">
        <is>
          <t>Connolly/Hilts</t>
        </is>
      </c>
      <c r="V446" t="inlineStr">
        <is>
          <t>Hilts</t>
        </is>
      </c>
      <c r="W446" t="inlineStr">
        <is>
          <t>White</t>
        </is>
      </c>
      <c r="AA446" t="n">
        <v>0.5</v>
      </c>
      <c r="AB446" t="inlineStr">
        <is>
          <t>L</t>
        </is>
      </c>
      <c r="AC446" t="inlineStr">
        <is>
          <t>1Up</t>
        </is>
      </c>
      <c r="AE446">
        <f>$V446&amp;$Y446</f>
        <v/>
      </c>
      <c r="AF446" t="n">
        <v>0</v>
      </c>
      <c r="AG446" t="n">
        <v>0</v>
      </c>
      <c r="AH446" t="n">
        <v>1</v>
      </c>
      <c r="AI446" t="n">
        <v>0</v>
      </c>
      <c r="AJ446" t="n">
        <v>0</v>
      </c>
    </row>
    <row r="447" ht="15" customHeight="1" s="2">
      <c r="B447" t="inlineStr">
        <is>
          <t>FT1</t>
        </is>
      </c>
      <c r="D447" t="n">
        <v>7</v>
      </c>
      <c r="E447" t="inlineStr">
        <is>
          <t>FBC7-FT</t>
        </is>
      </c>
      <c r="F447" t="inlineStr">
        <is>
          <t>Friday</t>
        </is>
      </c>
      <c r="G447" s="27" t="n">
        <v>43686</v>
      </c>
      <c r="H447" t="inlineStr">
        <is>
          <t>PM</t>
        </is>
      </c>
      <c r="I447" t="inlineStr">
        <is>
          <t>Monterey, CA</t>
        </is>
      </c>
      <c r="J447" t="inlineStr">
        <is>
          <t>West</t>
        </is>
      </c>
      <c r="K447" t="n">
        <v>9</v>
      </c>
      <c r="L447" t="inlineStr">
        <is>
          <t>Back</t>
        </is>
      </c>
      <c r="M447" t="inlineStr">
        <is>
          <t>Pacific Grove</t>
        </is>
      </c>
      <c r="N447" t="inlineStr">
        <is>
          <t>Blue</t>
        </is>
      </c>
      <c r="O447" t="n">
        <v>68</v>
      </c>
      <c r="P447" t="n">
        <v>113</v>
      </c>
      <c r="Q447" t="n">
        <v>5727</v>
      </c>
      <c r="R447" t="inlineStr">
        <is>
          <t>FTAS</t>
        </is>
      </c>
      <c r="S447" t="inlineStr">
        <is>
          <t>FTAS</t>
        </is>
      </c>
      <c r="T447" t="inlineStr">
        <is>
          <t>over 6'</t>
        </is>
      </c>
      <c r="U447" t="inlineStr">
        <is>
          <t>Connolly/Hilts</t>
        </is>
      </c>
      <c r="V447" t="inlineStr">
        <is>
          <t>Poirier</t>
        </is>
      </c>
      <c r="W447" t="inlineStr">
        <is>
          <t>White</t>
        </is>
      </c>
      <c r="AA447" t="n">
        <v>0.5</v>
      </c>
      <c r="AB447" t="inlineStr">
        <is>
          <t>L</t>
        </is>
      </c>
      <c r="AC447" t="inlineStr">
        <is>
          <t>1Up</t>
        </is>
      </c>
      <c r="AE447">
        <f>$V447&amp;$Y447</f>
        <v/>
      </c>
      <c r="AF447" t="n">
        <v>0</v>
      </c>
      <c r="AG447" t="n">
        <v>0</v>
      </c>
      <c r="AH447" t="n">
        <v>1</v>
      </c>
      <c r="AI447" t="n">
        <v>0</v>
      </c>
      <c r="AJ447" t="n">
        <v>0</v>
      </c>
    </row>
    <row r="448" ht="15" customHeight="1" s="2">
      <c r="B448" t="inlineStr">
        <is>
          <t>FT1</t>
        </is>
      </c>
      <c r="D448" t="n">
        <v>7</v>
      </c>
      <c r="E448" t="inlineStr">
        <is>
          <t>FBC7-FT</t>
        </is>
      </c>
      <c r="F448" t="inlineStr">
        <is>
          <t>Friday</t>
        </is>
      </c>
      <c r="G448" s="27" t="n">
        <v>43686</v>
      </c>
      <c r="H448" t="inlineStr">
        <is>
          <t>PM</t>
        </is>
      </c>
      <c r="I448" t="inlineStr">
        <is>
          <t>Monterey, CA</t>
        </is>
      </c>
      <c r="J448" t="inlineStr">
        <is>
          <t>West</t>
        </is>
      </c>
      <c r="K448" t="n">
        <v>9</v>
      </c>
      <c r="L448" t="inlineStr">
        <is>
          <t>Back</t>
        </is>
      </c>
      <c r="M448" t="inlineStr">
        <is>
          <t>Pacific Grove</t>
        </is>
      </c>
      <c r="N448" t="inlineStr">
        <is>
          <t>Blue</t>
        </is>
      </c>
      <c r="O448" t="n">
        <v>68</v>
      </c>
      <c r="P448" t="n">
        <v>113</v>
      </c>
      <c r="Q448" t="n">
        <v>5727</v>
      </c>
      <c r="R448" t="inlineStr">
        <is>
          <t>FTAS</t>
        </is>
      </c>
      <c r="S448" t="inlineStr">
        <is>
          <t>FTAS</t>
        </is>
      </c>
      <c r="T448" t="inlineStr">
        <is>
          <t>over 6'</t>
        </is>
      </c>
      <c r="U448" t="inlineStr">
        <is>
          <t>Connolly/Hilts</t>
        </is>
      </c>
      <c r="V448" t="inlineStr">
        <is>
          <t>Connolly</t>
        </is>
      </c>
      <c r="W448" t="inlineStr">
        <is>
          <t>White</t>
        </is>
      </c>
      <c r="AA448" t="n">
        <v>0.5</v>
      </c>
      <c r="AB448" t="inlineStr">
        <is>
          <t>L</t>
        </is>
      </c>
      <c r="AC448" t="inlineStr">
        <is>
          <t>1Up</t>
        </is>
      </c>
      <c r="AE448">
        <f>$V448&amp;$Y448</f>
        <v/>
      </c>
      <c r="AF448" t="n">
        <v>0</v>
      </c>
      <c r="AG448" t="n">
        <v>0</v>
      </c>
      <c r="AH448" t="n">
        <v>1</v>
      </c>
      <c r="AI448" t="n">
        <v>0</v>
      </c>
      <c r="AJ448" t="n">
        <v>0</v>
      </c>
    </row>
    <row r="449" ht="15" customHeight="1" s="2">
      <c r="B449" t="inlineStr">
        <is>
          <t>FT1</t>
        </is>
      </c>
      <c r="D449" t="n">
        <v>7</v>
      </c>
      <c r="E449" t="inlineStr">
        <is>
          <t>FBC7-FT</t>
        </is>
      </c>
      <c r="F449" t="inlineStr">
        <is>
          <t>Friday</t>
        </is>
      </c>
      <c r="G449" s="27" t="n">
        <v>43686</v>
      </c>
      <c r="H449" t="inlineStr">
        <is>
          <t>PM</t>
        </is>
      </c>
      <c r="I449" t="inlineStr">
        <is>
          <t>Monterey, CA</t>
        </is>
      </c>
      <c r="J449" t="inlineStr">
        <is>
          <t>West</t>
        </is>
      </c>
      <c r="K449" t="n">
        <v>9</v>
      </c>
      <c r="L449" t="inlineStr">
        <is>
          <t>Back</t>
        </is>
      </c>
      <c r="M449" t="inlineStr">
        <is>
          <t>Pacific Grove</t>
        </is>
      </c>
      <c r="N449" t="inlineStr">
        <is>
          <t>Blue</t>
        </is>
      </c>
      <c r="O449" t="n">
        <v>68</v>
      </c>
      <c r="P449" t="n">
        <v>113</v>
      </c>
      <c r="Q449" t="n">
        <v>5727</v>
      </c>
      <c r="R449" t="inlineStr">
        <is>
          <t>FTAS</t>
        </is>
      </c>
      <c r="S449" t="inlineStr">
        <is>
          <t>FTAS</t>
        </is>
      </c>
      <c r="T449" t="inlineStr">
        <is>
          <t>over 6'</t>
        </is>
      </c>
      <c r="U449" t="inlineStr">
        <is>
          <t>Connolly/Hilts</t>
        </is>
      </c>
      <c r="V449" t="inlineStr">
        <is>
          <t>Mangold</t>
        </is>
      </c>
      <c r="W449" t="inlineStr">
        <is>
          <t>White</t>
        </is>
      </c>
      <c r="AA449" t="n">
        <v>0.5</v>
      </c>
      <c r="AB449" t="inlineStr">
        <is>
          <t>L</t>
        </is>
      </c>
      <c r="AC449" t="inlineStr">
        <is>
          <t>1Up</t>
        </is>
      </c>
      <c r="AE449">
        <f>$V449&amp;$Y449</f>
        <v/>
      </c>
      <c r="AF449" t="n">
        <v>0</v>
      </c>
      <c r="AG449" t="n">
        <v>0</v>
      </c>
      <c r="AH449" t="n">
        <v>1</v>
      </c>
      <c r="AI449" t="n">
        <v>0</v>
      </c>
      <c r="AJ449" t="n">
        <v>0</v>
      </c>
    </row>
    <row r="450" ht="15" customHeight="1" s="2">
      <c r="B450" t="inlineStr">
        <is>
          <t>FT1</t>
        </is>
      </c>
      <c r="D450" t="n">
        <v>7</v>
      </c>
      <c r="E450" t="inlineStr">
        <is>
          <t>FBC7-FT</t>
        </is>
      </c>
      <c r="F450" t="inlineStr">
        <is>
          <t>Friday</t>
        </is>
      </c>
      <c r="G450" s="27" t="n">
        <v>43686</v>
      </c>
      <c r="H450" t="inlineStr">
        <is>
          <t>PM</t>
        </is>
      </c>
      <c r="I450" t="inlineStr">
        <is>
          <t>Monterey, CA</t>
        </is>
      </c>
      <c r="J450" t="inlineStr">
        <is>
          <t>West</t>
        </is>
      </c>
      <c r="K450" t="n">
        <v>9</v>
      </c>
      <c r="L450" t="inlineStr">
        <is>
          <t>Back</t>
        </is>
      </c>
      <c r="M450" t="inlineStr">
        <is>
          <t>Pacific Grove</t>
        </is>
      </c>
      <c r="N450" t="inlineStr">
        <is>
          <t>Blue</t>
        </is>
      </c>
      <c r="O450" t="n">
        <v>68</v>
      </c>
      <c r="P450" t="n">
        <v>113</v>
      </c>
      <c r="Q450" t="n">
        <v>5727</v>
      </c>
      <c r="R450" t="inlineStr">
        <is>
          <t>FTAS</t>
        </is>
      </c>
      <c r="S450" t="inlineStr">
        <is>
          <t>FTAS</t>
        </is>
      </c>
      <c r="T450" t="inlineStr">
        <is>
          <t>over 6'</t>
        </is>
      </c>
      <c r="U450" t="inlineStr">
        <is>
          <t>Connolly/Hilts</t>
        </is>
      </c>
      <c r="V450" t="inlineStr">
        <is>
          <t>Forster</t>
        </is>
      </c>
      <c r="W450" t="inlineStr">
        <is>
          <t>White</t>
        </is>
      </c>
      <c r="AA450" t="n">
        <v>0.5</v>
      </c>
      <c r="AB450" t="inlineStr">
        <is>
          <t>L</t>
        </is>
      </c>
      <c r="AC450" t="inlineStr">
        <is>
          <t>1Up</t>
        </is>
      </c>
      <c r="AE450">
        <f>$V450&amp;$Y450</f>
        <v/>
      </c>
      <c r="AF450" t="n">
        <v>0</v>
      </c>
      <c r="AG450" t="n">
        <v>0</v>
      </c>
      <c r="AH450" t="n">
        <v>1</v>
      </c>
      <c r="AI450" t="n">
        <v>0</v>
      </c>
      <c r="AJ450" t="n">
        <v>0</v>
      </c>
    </row>
    <row r="451" ht="15" customHeight="1" s="2">
      <c r="B451" t="inlineStr">
        <is>
          <t>FT1</t>
        </is>
      </c>
      <c r="D451" t="n">
        <v>7</v>
      </c>
      <c r="E451" t="inlineStr">
        <is>
          <t>FBC7-FT</t>
        </is>
      </c>
      <c r="F451" t="inlineStr">
        <is>
          <t>Friday</t>
        </is>
      </c>
      <c r="G451" s="27" t="n">
        <v>43686</v>
      </c>
      <c r="H451" t="inlineStr">
        <is>
          <t>PM</t>
        </is>
      </c>
      <c r="I451" t="inlineStr">
        <is>
          <t>Monterey, CA</t>
        </is>
      </c>
      <c r="J451" t="inlineStr">
        <is>
          <t>West</t>
        </is>
      </c>
      <c r="K451" t="n">
        <v>9</v>
      </c>
      <c r="L451" t="inlineStr">
        <is>
          <t>Back</t>
        </is>
      </c>
      <c r="M451" t="inlineStr">
        <is>
          <t>Pacific Grove</t>
        </is>
      </c>
      <c r="N451" t="inlineStr">
        <is>
          <t>Blue</t>
        </is>
      </c>
      <c r="O451" t="n">
        <v>68</v>
      </c>
      <c r="P451" t="n">
        <v>113</v>
      </c>
      <c r="Q451" t="n">
        <v>5727</v>
      </c>
      <c r="R451" t="inlineStr">
        <is>
          <t>FTAS</t>
        </is>
      </c>
      <c r="S451" t="inlineStr">
        <is>
          <t>FTAS</t>
        </is>
      </c>
      <c r="T451" t="inlineStr">
        <is>
          <t>over 6'</t>
        </is>
      </c>
      <c r="U451" t="inlineStr">
        <is>
          <t>Connolly/Hilts</t>
        </is>
      </c>
      <c r="V451" t="inlineStr">
        <is>
          <t>Norat</t>
        </is>
      </c>
      <c r="W451" t="inlineStr">
        <is>
          <t>White</t>
        </is>
      </c>
      <c r="AA451" t="n">
        <v>0.5</v>
      </c>
      <c r="AB451" t="inlineStr">
        <is>
          <t>L</t>
        </is>
      </c>
      <c r="AC451" t="inlineStr">
        <is>
          <t>1Up</t>
        </is>
      </c>
      <c r="AE451">
        <f>$V451&amp;$Y451</f>
        <v/>
      </c>
      <c r="AF451" t="n">
        <v>0</v>
      </c>
      <c r="AG451" t="n">
        <v>0</v>
      </c>
      <c r="AH451" t="n">
        <v>1</v>
      </c>
      <c r="AI451" t="n">
        <v>0</v>
      </c>
      <c r="AJ451" t="n">
        <v>0</v>
      </c>
    </row>
    <row r="452" ht="15" customHeight="1" s="2">
      <c r="B452" t="inlineStr">
        <is>
          <t>FT1</t>
        </is>
      </c>
      <c r="D452" t="n">
        <v>7</v>
      </c>
      <c r="E452" t="inlineStr">
        <is>
          <t>FBC7-FT</t>
        </is>
      </c>
      <c r="F452" t="inlineStr">
        <is>
          <t>Friday</t>
        </is>
      </c>
      <c r="G452" s="27" t="n">
        <v>43686</v>
      </c>
      <c r="H452" t="inlineStr">
        <is>
          <t>PM</t>
        </is>
      </c>
      <c r="I452" t="inlineStr">
        <is>
          <t>Monterey, CA</t>
        </is>
      </c>
      <c r="J452" t="inlineStr">
        <is>
          <t>West</t>
        </is>
      </c>
      <c r="K452" t="n">
        <v>9</v>
      </c>
      <c r="L452" t="inlineStr">
        <is>
          <t>Back</t>
        </is>
      </c>
      <c r="M452" t="inlineStr">
        <is>
          <t>Pacific Grove</t>
        </is>
      </c>
      <c r="N452" t="inlineStr">
        <is>
          <t>Blue</t>
        </is>
      </c>
      <c r="O452" t="n">
        <v>68</v>
      </c>
      <c r="P452" t="n">
        <v>113</v>
      </c>
      <c r="Q452" t="n">
        <v>5727</v>
      </c>
      <c r="R452" t="inlineStr">
        <is>
          <t>FTAS</t>
        </is>
      </c>
      <c r="S452" t="inlineStr">
        <is>
          <t>FTAS</t>
        </is>
      </c>
      <c r="T452" t="inlineStr">
        <is>
          <t>over 6'</t>
        </is>
      </c>
      <c r="U452" t="inlineStr">
        <is>
          <t>Connolly/Hilts</t>
        </is>
      </c>
      <c r="V452" t="inlineStr">
        <is>
          <t>Welker</t>
        </is>
      </c>
      <c r="W452" t="inlineStr">
        <is>
          <t>White</t>
        </is>
      </c>
      <c r="AA452" t="n">
        <v>0.5</v>
      </c>
      <c r="AB452" t="inlineStr">
        <is>
          <t>L</t>
        </is>
      </c>
      <c r="AC452" t="inlineStr">
        <is>
          <t>1Up</t>
        </is>
      </c>
      <c r="AE452">
        <f>$V452&amp;$Y452</f>
        <v/>
      </c>
      <c r="AF452" t="n">
        <v>0</v>
      </c>
      <c r="AG452" t="n">
        <v>0</v>
      </c>
      <c r="AH452" t="n">
        <v>1</v>
      </c>
      <c r="AI452" t="n">
        <v>0</v>
      </c>
      <c r="AJ452" t="n">
        <v>0</v>
      </c>
    </row>
    <row r="453" ht="15" customHeight="1" s="2">
      <c r="B453" t="inlineStr">
        <is>
          <t>FT1</t>
        </is>
      </c>
      <c r="D453" t="n">
        <v>7</v>
      </c>
      <c r="E453" t="inlineStr">
        <is>
          <t>FBC7-FT</t>
        </is>
      </c>
      <c r="F453" t="inlineStr">
        <is>
          <t>Friday</t>
        </is>
      </c>
      <c r="G453" s="27" t="n">
        <v>43686</v>
      </c>
      <c r="H453" t="inlineStr">
        <is>
          <t>PM</t>
        </is>
      </c>
      <c r="I453" t="inlineStr">
        <is>
          <t>Monterey, CA</t>
        </is>
      </c>
      <c r="J453" t="inlineStr">
        <is>
          <t>West</t>
        </is>
      </c>
      <c r="K453" t="n">
        <v>9</v>
      </c>
      <c r="L453" t="inlineStr">
        <is>
          <t>Back</t>
        </is>
      </c>
      <c r="M453" t="inlineStr">
        <is>
          <t>Pacific Grove</t>
        </is>
      </c>
      <c r="N453" t="inlineStr">
        <is>
          <t>Blue</t>
        </is>
      </c>
      <c r="O453" t="n">
        <v>68</v>
      </c>
      <c r="P453" t="n">
        <v>113</v>
      </c>
      <c r="Q453" t="n">
        <v>5727</v>
      </c>
      <c r="R453" t="inlineStr">
        <is>
          <t>FTAS</t>
        </is>
      </c>
      <c r="S453" t="inlineStr">
        <is>
          <t>FTAS</t>
        </is>
      </c>
      <c r="T453" t="inlineStr">
        <is>
          <t>over 6'</t>
        </is>
      </c>
      <c r="U453" t="inlineStr">
        <is>
          <t>Connolly/Hilts</t>
        </is>
      </c>
      <c r="V453" t="inlineStr">
        <is>
          <t>Shively</t>
        </is>
      </c>
      <c r="W453" t="inlineStr">
        <is>
          <t>White</t>
        </is>
      </c>
      <c r="AA453" t="n">
        <v>0.5</v>
      </c>
      <c r="AB453" t="inlineStr">
        <is>
          <t>L</t>
        </is>
      </c>
      <c r="AC453" t="inlineStr">
        <is>
          <t>1Up</t>
        </is>
      </c>
      <c r="AE453">
        <f>$V453&amp;$Y453</f>
        <v/>
      </c>
      <c r="AF453" t="n">
        <v>0</v>
      </c>
      <c r="AG453" t="n">
        <v>0</v>
      </c>
      <c r="AH453" t="n">
        <v>1</v>
      </c>
      <c r="AI453" t="n">
        <v>0</v>
      </c>
      <c r="AJ453" t="n">
        <v>0</v>
      </c>
    </row>
    <row r="454" ht="15" customHeight="1" s="2">
      <c r="B454" t="inlineStr">
        <is>
          <t>FT1</t>
        </is>
      </c>
      <c r="D454" t="n">
        <v>7</v>
      </c>
      <c r="E454" t="inlineStr">
        <is>
          <t>FBC7-FT</t>
        </is>
      </c>
      <c r="F454" t="inlineStr">
        <is>
          <t>Friday</t>
        </is>
      </c>
      <c r="G454" s="27" t="n">
        <v>43686</v>
      </c>
      <c r="H454" t="inlineStr">
        <is>
          <t>PM</t>
        </is>
      </c>
      <c r="I454" t="inlineStr">
        <is>
          <t>Monterey, CA</t>
        </is>
      </c>
      <c r="J454" t="inlineStr">
        <is>
          <t>West</t>
        </is>
      </c>
      <c r="K454" t="n">
        <v>9</v>
      </c>
      <c r="L454" t="inlineStr">
        <is>
          <t>Back</t>
        </is>
      </c>
      <c r="M454" t="inlineStr">
        <is>
          <t>Pacific Grove</t>
        </is>
      </c>
      <c r="N454" t="inlineStr">
        <is>
          <t>Blue</t>
        </is>
      </c>
      <c r="O454" t="n">
        <v>68</v>
      </c>
      <c r="P454" t="n">
        <v>113</v>
      </c>
      <c r="Q454" t="n">
        <v>5727</v>
      </c>
      <c r="R454" t="inlineStr">
        <is>
          <t>FTAS</t>
        </is>
      </c>
      <c r="S454" t="inlineStr">
        <is>
          <t>FTAS</t>
        </is>
      </c>
      <c r="T454" t="inlineStr">
        <is>
          <t>over 6'</t>
        </is>
      </c>
      <c r="U454" t="inlineStr">
        <is>
          <t>Connolly/Hilts</t>
        </is>
      </c>
      <c r="V454" t="inlineStr">
        <is>
          <t>McInerney</t>
        </is>
      </c>
      <c r="W454" t="inlineStr">
        <is>
          <t>White</t>
        </is>
      </c>
      <c r="AA454" t="n">
        <v>0.5</v>
      </c>
      <c r="AB454" t="inlineStr">
        <is>
          <t>L</t>
        </is>
      </c>
      <c r="AC454" t="inlineStr">
        <is>
          <t>1Up</t>
        </is>
      </c>
      <c r="AE454">
        <f>$V454&amp;$Y454</f>
        <v/>
      </c>
      <c r="AF454" t="n">
        <v>0</v>
      </c>
      <c r="AG454" t="n">
        <v>0</v>
      </c>
      <c r="AH454" t="n">
        <v>1</v>
      </c>
      <c r="AI454" t="n">
        <v>0</v>
      </c>
      <c r="AJ454" t="n">
        <v>0</v>
      </c>
    </row>
    <row r="455" ht="15" customHeight="1" s="2">
      <c r="B455" t="inlineStr">
        <is>
          <t>FT1</t>
        </is>
      </c>
      <c r="D455" t="n">
        <v>7</v>
      </c>
      <c r="E455" t="inlineStr">
        <is>
          <t>FBC7-FT</t>
        </is>
      </c>
      <c r="F455" t="inlineStr">
        <is>
          <t>Friday</t>
        </is>
      </c>
      <c r="G455" s="27" t="n">
        <v>43686</v>
      </c>
      <c r="H455" t="inlineStr">
        <is>
          <t>PM</t>
        </is>
      </c>
      <c r="I455" t="inlineStr">
        <is>
          <t>Monterey, CA</t>
        </is>
      </c>
      <c r="J455" t="inlineStr">
        <is>
          <t>West</t>
        </is>
      </c>
      <c r="K455" t="n">
        <v>9</v>
      </c>
      <c r="L455" t="inlineStr">
        <is>
          <t>Back</t>
        </is>
      </c>
      <c r="M455" t="inlineStr">
        <is>
          <t>Pacific Grove</t>
        </is>
      </c>
      <c r="N455" t="inlineStr">
        <is>
          <t>Blue</t>
        </is>
      </c>
      <c r="O455" t="n">
        <v>68</v>
      </c>
      <c r="P455" t="n">
        <v>113</v>
      </c>
      <c r="Q455" t="n">
        <v>5727</v>
      </c>
      <c r="R455" t="inlineStr">
        <is>
          <t>FTAS</t>
        </is>
      </c>
      <c r="S455" t="inlineStr">
        <is>
          <t>FTAS</t>
        </is>
      </c>
      <c r="T455" t="inlineStr">
        <is>
          <t>over 6'</t>
        </is>
      </c>
      <c r="U455" t="inlineStr">
        <is>
          <t>Connolly/Hilts</t>
        </is>
      </c>
      <c r="V455" t="inlineStr">
        <is>
          <t>Fogan</t>
        </is>
      </c>
      <c r="W455" t="inlineStr">
        <is>
          <t>White</t>
        </is>
      </c>
      <c r="AA455" t="n">
        <v>0.5</v>
      </c>
      <c r="AB455" t="inlineStr">
        <is>
          <t>L</t>
        </is>
      </c>
      <c r="AC455" t="inlineStr">
        <is>
          <t>1Up</t>
        </is>
      </c>
      <c r="AE455">
        <f>$V455&amp;$Y455</f>
        <v/>
      </c>
      <c r="AF455" t="n">
        <v>0</v>
      </c>
      <c r="AG455" t="n">
        <v>0</v>
      </c>
      <c r="AH455" t="n">
        <v>1</v>
      </c>
      <c r="AI455" t="n">
        <v>0</v>
      </c>
      <c r="AJ455" t="n">
        <v>0</v>
      </c>
    </row>
    <row r="456" ht="15" customHeight="1" s="2">
      <c r="B456" t="n">
        <v>21</v>
      </c>
      <c r="C456" t="n">
        <v>1</v>
      </c>
      <c r="D456" t="n">
        <v>7</v>
      </c>
      <c r="E456" t="inlineStr">
        <is>
          <t>FBC7-S-Buss-Connolly</t>
        </is>
      </c>
      <c r="F456" t="inlineStr">
        <is>
          <t>Saturday</t>
        </is>
      </c>
      <c r="G456" s="27" t="n">
        <v>43687</v>
      </c>
      <c r="H456" t="inlineStr">
        <is>
          <t>AM</t>
        </is>
      </c>
      <c r="I456" t="inlineStr">
        <is>
          <t>Monterey, CA</t>
        </is>
      </c>
      <c r="J456" t="inlineStr">
        <is>
          <t>West</t>
        </is>
      </c>
      <c r="K456" t="n">
        <v>18</v>
      </c>
      <c r="L456" t="inlineStr">
        <is>
          <t>Full</t>
        </is>
      </c>
      <c r="M456" t="inlineStr">
        <is>
          <t>Spanish Bay</t>
        </is>
      </c>
      <c r="N456" t="inlineStr">
        <is>
          <t>Gold</t>
        </is>
      </c>
      <c r="O456" t="n">
        <v>72.09999999999999</v>
      </c>
      <c r="P456" t="n">
        <v>136</v>
      </c>
      <c r="Q456" t="n">
        <v>6422</v>
      </c>
      <c r="R456" t="inlineStr">
        <is>
          <t>Match Play</t>
        </is>
      </c>
      <c r="S456" t="inlineStr">
        <is>
          <t>Singles</t>
        </is>
      </c>
      <c r="T456" t="inlineStr">
        <is>
          <t>Mix</t>
        </is>
      </c>
      <c r="U456" t="inlineStr">
        <is>
          <t>Ferrin/Jax</t>
        </is>
      </c>
      <c r="V456" t="inlineStr">
        <is>
          <t>Buss</t>
        </is>
      </c>
      <c r="W456" t="inlineStr">
        <is>
          <t>White</t>
        </is>
      </c>
      <c r="AA456" t="n">
        <v>2</v>
      </c>
      <c r="AB456" t="inlineStr">
        <is>
          <t>L</t>
        </is>
      </c>
      <c r="AC456" t="inlineStr">
        <is>
          <t>1Up</t>
        </is>
      </c>
      <c r="AD456" t="inlineStr">
        <is>
          <t>Connolly</t>
        </is>
      </c>
      <c r="AE456">
        <f>$V456&amp;$Y456</f>
        <v/>
      </c>
      <c r="AF456" t="n">
        <v>0</v>
      </c>
      <c r="AG456" t="n">
        <v>0</v>
      </c>
      <c r="AH456" t="n">
        <v>1</v>
      </c>
      <c r="AI456" t="n">
        <v>0</v>
      </c>
      <c r="AJ456" t="n">
        <v>0</v>
      </c>
      <c r="AK456" t="inlineStr">
        <is>
          <t>Connolly</t>
        </is>
      </c>
      <c r="AL456" t="n">
        <v>0.59375</v>
      </c>
    </row>
    <row r="457" ht="15" customHeight="1" s="2">
      <c r="B457" t="n">
        <v>21</v>
      </c>
      <c r="C457" t="n">
        <v>2</v>
      </c>
      <c r="D457" t="n">
        <v>7</v>
      </c>
      <c r="E457" t="inlineStr">
        <is>
          <t>FBC7-S-Ferrin-Forster</t>
        </is>
      </c>
      <c r="F457" t="inlineStr">
        <is>
          <t>Saturday</t>
        </is>
      </c>
      <c r="G457" s="27" t="n">
        <v>43687</v>
      </c>
      <c r="H457" t="inlineStr">
        <is>
          <t>AM</t>
        </is>
      </c>
      <c r="I457" t="inlineStr">
        <is>
          <t>Monterey, CA</t>
        </is>
      </c>
      <c r="J457" t="inlineStr">
        <is>
          <t>West</t>
        </is>
      </c>
      <c r="K457" t="n">
        <v>18</v>
      </c>
      <c r="L457" t="inlineStr">
        <is>
          <t>Full</t>
        </is>
      </c>
      <c r="M457" t="inlineStr">
        <is>
          <t>Spanish Bay</t>
        </is>
      </c>
      <c r="N457" t="inlineStr">
        <is>
          <t>Gold</t>
        </is>
      </c>
      <c r="O457" t="n">
        <v>72.09999999999999</v>
      </c>
      <c r="P457" t="n">
        <v>136</v>
      </c>
      <c r="Q457" t="n">
        <v>6422</v>
      </c>
      <c r="R457" t="inlineStr">
        <is>
          <t>Match Play</t>
        </is>
      </c>
      <c r="S457" t="inlineStr">
        <is>
          <t>Singles</t>
        </is>
      </c>
      <c r="T457" t="inlineStr">
        <is>
          <t>Mix</t>
        </is>
      </c>
      <c r="U457" t="inlineStr">
        <is>
          <t>Ferrin/Jax</t>
        </is>
      </c>
      <c r="V457" t="inlineStr">
        <is>
          <t>Ferrin</t>
        </is>
      </c>
      <c r="W457" t="inlineStr">
        <is>
          <t>White</t>
        </is>
      </c>
      <c r="AA457" t="n">
        <v>2</v>
      </c>
      <c r="AB457" t="inlineStr">
        <is>
          <t>L</t>
        </is>
      </c>
      <c r="AC457" t="inlineStr">
        <is>
          <t>1Up</t>
        </is>
      </c>
      <c r="AD457" t="inlineStr">
        <is>
          <t>Forster</t>
        </is>
      </c>
      <c r="AE457">
        <f>$V457&amp;$Y457</f>
        <v/>
      </c>
      <c r="AF457" t="n">
        <v>0</v>
      </c>
      <c r="AG457" t="n">
        <v>0</v>
      </c>
      <c r="AH457" t="n">
        <v>1</v>
      </c>
      <c r="AI457" t="n">
        <v>0</v>
      </c>
      <c r="AJ457" t="n">
        <v>0</v>
      </c>
      <c r="AK457" t="inlineStr">
        <is>
          <t>Forster</t>
        </is>
      </c>
      <c r="AL457" t="n">
        <v>0.596491228070175</v>
      </c>
    </row>
    <row r="458" ht="15" customHeight="1" s="2">
      <c r="B458" t="n">
        <v>22</v>
      </c>
      <c r="C458" t="n">
        <v>3</v>
      </c>
      <c r="D458" t="n">
        <v>7</v>
      </c>
      <c r="E458" t="inlineStr">
        <is>
          <t>FBC7-S-Hilts-Zimmer</t>
        </is>
      </c>
      <c r="F458" t="inlineStr">
        <is>
          <t>Saturday</t>
        </is>
      </c>
      <c r="G458" s="27" t="n">
        <v>43687</v>
      </c>
      <c r="H458" t="inlineStr">
        <is>
          <t>AM</t>
        </is>
      </c>
      <c r="I458" t="inlineStr">
        <is>
          <t>Monterey, CA</t>
        </is>
      </c>
      <c r="J458" t="inlineStr">
        <is>
          <t>West</t>
        </is>
      </c>
      <c r="K458" t="n">
        <v>18</v>
      </c>
      <c r="L458" t="inlineStr">
        <is>
          <t>Full</t>
        </is>
      </c>
      <c r="M458" t="inlineStr">
        <is>
          <t>Spanish Bay</t>
        </is>
      </c>
      <c r="N458" t="inlineStr">
        <is>
          <t>Gold</t>
        </is>
      </c>
      <c r="O458" t="n">
        <v>72.09999999999999</v>
      </c>
      <c r="P458" t="n">
        <v>136</v>
      </c>
      <c r="Q458" t="n">
        <v>6422</v>
      </c>
      <c r="R458" t="inlineStr">
        <is>
          <t>Match Play</t>
        </is>
      </c>
      <c r="S458" t="inlineStr">
        <is>
          <t>Singles</t>
        </is>
      </c>
      <c r="T458" t="inlineStr">
        <is>
          <t>Mix</t>
        </is>
      </c>
      <c r="U458" t="inlineStr">
        <is>
          <t>Ferrin/Jax</t>
        </is>
      </c>
      <c r="V458" t="inlineStr">
        <is>
          <t>Zimmer</t>
        </is>
      </c>
      <c r="W458" t="inlineStr">
        <is>
          <t>White</t>
        </is>
      </c>
      <c r="AA458" t="n">
        <v>2</v>
      </c>
      <c r="AB458" t="inlineStr">
        <is>
          <t>W</t>
        </is>
      </c>
      <c r="AC458" t="inlineStr">
        <is>
          <t>3&amp;1</t>
        </is>
      </c>
      <c r="AD458" t="inlineStr">
        <is>
          <t>Hilts</t>
        </is>
      </c>
      <c r="AE458">
        <f>$V458&amp;$Y458</f>
        <v/>
      </c>
      <c r="AF458" t="n">
        <v>2</v>
      </c>
      <c r="AG458" t="n">
        <v>1</v>
      </c>
      <c r="AH458" t="n">
        <v>0</v>
      </c>
      <c r="AI458" t="n">
        <v>0</v>
      </c>
      <c r="AJ458" t="n">
        <v>1</v>
      </c>
      <c r="AK458" t="inlineStr">
        <is>
          <t>Hilts</t>
        </is>
      </c>
      <c r="AL458" t="n">
        <v>0.473214285714286</v>
      </c>
    </row>
    <row r="459" ht="15" customHeight="1" s="2">
      <c r="B459" t="n">
        <v>22</v>
      </c>
      <c r="C459" t="n">
        <v>4</v>
      </c>
      <c r="D459" t="n">
        <v>7</v>
      </c>
      <c r="E459" t="inlineStr">
        <is>
          <t>FBC7-S-Gray-Welker</t>
        </is>
      </c>
      <c r="F459" t="inlineStr">
        <is>
          <t>Saturday</t>
        </is>
      </c>
      <c r="G459" s="27" t="n">
        <v>43687</v>
      </c>
      <c r="H459" t="inlineStr">
        <is>
          <t>AM</t>
        </is>
      </c>
      <c r="I459" t="inlineStr">
        <is>
          <t>Monterey, CA</t>
        </is>
      </c>
      <c r="J459" t="inlineStr">
        <is>
          <t>West</t>
        </is>
      </c>
      <c r="K459" t="n">
        <v>18</v>
      </c>
      <c r="L459" t="inlineStr">
        <is>
          <t>Full</t>
        </is>
      </c>
      <c r="M459" t="inlineStr">
        <is>
          <t>Spanish Bay</t>
        </is>
      </c>
      <c r="N459" t="inlineStr">
        <is>
          <t>Gold</t>
        </is>
      </c>
      <c r="O459" t="n">
        <v>72.09999999999999</v>
      </c>
      <c r="P459" t="n">
        <v>136</v>
      </c>
      <c r="Q459" t="n">
        <v>6422</v>
      </c>
      <c r="R459" t="inlineStr">
        <is>
          <t>Match Play</t>
        </is>
      </c>
      <c r="S459" t="inlineStr">
        <is>
          <t>Singles</t>
        </is>
      </c>
      <c r="T459" t="inlineStr">
        <is>
          <t>Mix</t>
        </is>
      </c>
      <c r="U459" t="inlineStr">
        <is>
          <t>Ferrin/Jax</t>
        </is>
      </c>
      <c r="V459" t="inlineStr">
        <is>
          <t>Gray</t>
        </is>
      </c>
      <c r="W459" t="inlineStr">
        <is>
          <t>White</t>
        </is>
      </c>
      <c r="AA459" t="n">
        <v>2</v>
      </c>
      <c r="AB459" t="inlineStr">
        <is>
          <t>W</t>
        </is>
      </c>
      <c r="AC459" t="inlineStr">
        <is>
          <t>1Up</t>
        </is>
      </c>
      <c r="AD459" t="inlineStr">
        <is>
          <t>Welker</t>
        </is>
      </c>
      <c r="AE459">
        <f>$V459&amp;$Y459</f>
        <v/>
      </c>
      <c r="AF459" t="n">
        <v>2</v>
      </c>
      <c r="AG459" t="n">
        <v>1</v>
      </c>
      <c r="AH459" t="n">
        <v>0</v>
      </c>
      <c r="AI459" t="n">
        <v>0</v>
      </c>
      <c r="AJ459" t="n">
        <v>1</v>
      </c>
      <c r="AK459" t="inlineStr">
        <is>
          <t>Welker</t>
        </is>
      </c>
      <c r="AL459" t="n">
        <v>0.510416666666667</v>
      </c>
    </row>
    <row r="460" ht="15" customHeight="1" s="2">
      <c r="B460" t="n">
        <v>23</v>
      </c>
      <c r="C460" t="n">
        <v>5</v>
      </c>
      <c r="D460" t="n">
        <v>7</v>
      </c>
      <c r="E460" t="inlineStr">
        <is>
          <t>FBC7-S-Grise-Mangold</t>
        </is>
      </c>
      <c r="F460" t="inlineStr">
        <is>
          <t>Saturday</t>
        </is>
      </c>
      <c r="G460" s="27" t="n">
        <v>43687</v>
      </c>
      <c r="H460" t="inlineStr">
        <is>
          <t>AM</t>
        </is>
      </c>
      <c r="I460" t="inlineStr">
        <is>
          <t>Monterey, CA</t>
        </is>
      </c>
      <c r="J460" t="inlineStr">
        <is>
          <t>West</t>
        </is>
      </c>
      <c r="K460" t="n">
        <v>18</v>
      </c>
      <c r="L460" t="inlineStr">
        <is>
          <t>Full</t>
        </is>
      </c>
      <c r="M460" t="inlineStr">
        <is>
          <t>Spanish Bay</t>
        </is>
      </c>
      <c r="N460" t="inlineStr">
        <is>
          <t>Gold</t>
        </is>
      </c>
      <c r="O460" t="n">
        <v>72.09999999999999</v>
      </c>
      <c r="P460" t="n">
        <v>136</v>
      </c>
      <c r="Q460" t="n">
        <v>6422</v>
      </c>
      <c r="R460" t="inlineStr">
        <is>
          <t>Match Play</t>
        </is>
      </c>
      <c r="S460" t="inlineStr">
        <is>
          <t>Singles</t>
        </is>
      </c>
      <c r="T460" t="inlineStr">
        <is>
          <t>Mix</t>
        </is>
      </c>
      <c r="U460" t="inlineStr">
        <is>
          <t>Ferrin/Jax</t>
        </is>
      </c>
      <c r="V460" t="inlineStr">
        <is>
          <t>Grise</t>
        </is>
      </c>
      <c r="W460" t="inlineStr">
        <is>
          <t>White</t>
        </is>
      </c>
      <c r="AA460" t="n">
        <v>2</v>
      </c>
      <c r="AB460" t="inlineStr">
        <is>
          <t>W</t>
        </is>
      </c>
      <c r="AC460" t="inlineStr">
        <is>
          <t>3&amp;2</t>
        </is>
      </c>
      <c r="AD460" t="inlineStr">
        <is>
          <t>Mangold</t>
        </is>
      </c>
      <c r="AE460">
        <f>$V460&amp;$Y460</f>
        <v/>
      </c>
      <c r="AF460" t="n">
        <v>2</v>
      </c>
      <c r="AG460" t="n">
        <v>1</v>
      </c>
      <c r="AH460" t="n">
        <v>0</v>
      </c>
      <c r="AI460" t="n">
        <v>0</v>
      </c>
      <c r="AJ460" t="n">
        <v>1</v>
      </c>
      <c r="AK460" t="inlineStr">
        <is>
          <t>Mangold</t>
        </is>
      </c>
      <c r="AL460" t="n">
        <v>0.383928571428572</v>
      </c>
    </row>
    <row r="461" ht="15" customHeight="1" s="2">
      <c r="B461" t="n">
        <v>23</v>
      </c>
      <c r="C461" t="n">
        <v>6</v>
      </c>
      <c r="D461" t="n">
        <v>7</v>
      </c>
      <c r="E461" t="inlineStr">
        <is>
          <t>FBC7-S-Flanders-Poirier</t>
        </is>
      </c>
      <c r="F461" t="inlineStr">
        <is>
          <t>Saturday</t>
        </is>
      </c>
      <c r="G461" s="27" t="n">
        <v>43687</v>
      </c>
      <c r="H461" t="inlineStr">
        <is>
          <t>AM</t>
        </is>
      </c>
      <c r="I461" t="inlineStr">
        <is>
          <t>Monterey, CA</t>
        </is>
      </c>
      <c r="J461" t="inlineStr">
        <is>
          <t>West</t>
        </is>
      </c>
      <c r="K461" t="n">
        <v>18</v>
      </c>
      <c r="L461" t="inlineStr">
        <is>
          <t>Full</t>
        </is>
      </c>
      <c r="M461" t="inlineStr">
        <is>
          <t>Spanish Bay</t>
        </is>
      </c>
      <c r="N461" t="inlineStr">
        <is>
          <t>Gold</t>
        </is>
      </c>
      <c r="O461" t="n">
        <v>72.09999999999999</v>
      </c>
      <c r="P461" t="n">
        <v>136</v>
      </c>
      <c r="Q461" t="n">
        <v>6422</v>
      </c>
      <c r="R461" t="inlineStr">
        <is>
          <t>Match Play</t>
        </is>
      </c>
      <c r="S461" t="inlineStr">
        <is>
          <t>Singles</t>
        </is>
      </c>
      <c r="T461" t="inlineStr">
        <is>
          <t>Mix</t>
        </is>
      </c>
      <c r="U461" t="inlineStr">
        <is>
          <t>Ferrin/Jax</t>
        </is>
      </c>
      <c r="V461" t="inlineStr">
        <is>
          <t>Flanders</t>
        </is>
      </c>
      <c r="W461" t="inlineStr">
        <is>
          <t>White</t>
        </is>
      </c>
      <c r="AA461" t="n">
        <v>2</v>
      </c>
      <c r="AB461" t="inlineStr">
        <is>
          <t>L</t>
        </is>
      </c>
      <c r="AC461" t="inlineStr">
        <is>
          <t>1Up</t>
        </is>
      </c>
      <c r="AD461" t="inlineStr">
        <is>
          <t>Poirier</t>
        </is>
      </c>
      <c r="AE461">
        <f>$V461&amp;$Y461</f>
        <v/>
      </c>
      <c r="AF461" t="n">
        <v>0</v>
      </c>
      <c r="AG461" t="n">
        <v>0</v>
      </c>
      <c r="AH461" t="n">
        <v>1</v>
      </c>
      <c r="AI461" t="n">
        <v>0</v>
      </c>
      <c r="AJ461" t="n">
        <v>0</v>
      </c>
      <c r="AK461" t="inlineStr">
        <is>
          <t>Poirier</t>
        </is>
      </c>
      <c r="AL461" t="n">
        <v>0.486111111111111</v>
      </c>
    </row>
    <row r="462" ht="15" customHeight="1" s="2">
      <c r="B462" t="n">
        <v>24</v>
      </c>
      <c r="C462" t="n">
        <v>7</v>
      </c>
      <c r="D462" t="n">
        <v>7</v>
      </c>
      <c r="E462" t="inlineStr">
        <is>
          <t>FBC7-S-Lynch-Shively</t>
        </is>
      </c>
      <c r="F462" t="inlineStr">
        <is>
          <t>Saturday</t>
        </is>
      </c>
      <c r="G462" s="27" t="n">
        <v>43687</v>
      </c>
      <c r="H462" t="inlineStr">
        <is>
          <t>AM</t>
        </is>
      </c>
      <c r="I462" t="inlineStr">
        <is>
          <t>Monterey, CA</t>
        </is>
      </c>
      <c r="J462" t="inlineStr">
        <is>
          <t>West</t>
        </is>
      </c>
      <c r="K462" t="n">
        <v>18</v>
      </c>
      <c r="L462" t="inlineStr">
        <is>
          <t>Full</t>
        </is>
      </c>
      <c r="M462" t="inlineStr">
        <is>
          <t>Spanish Bay</t>
        </is>
      </c>
      <c r="N462" t="inlineStr">
        <is>
          <t>Gold</t>
        </is>
      </c>
      <c r="O462" t="n">
        <v>72.09999999999999</v>
      </c>
      <c r="P462" t="n">
        <v>136</v>
      </c>
      <c r="Q462" t="n">
        <v>6422</v>
      </c>
      <c r="R462" t="inlineStr">
        <is>
          <t>Match Play</t>
        </is>
      </c>
      <c r="S462" t="inlineStr">
        <is>
          <t>Singles</t>
        </is>
      </c>
      <c r="T462" t="inlineStr">
        <is>
          <t>Mix</t>
        </is>
      </c>
      <c r="U462" t="inlineStr">
        <is>
          <t>Ferrin/Jax</t>
        </is>
      </c>
      <c r="V462" t="inlineStr">
        <is>
          <t>Lynch</t>
        </is>
      </c>
      <c r="W462" t="inlineStr">
        <is>
          <t>White</t>
        </is>
      </c>
      <c r="AA462" t="n">
        <v>2</v>
      </c>
      <c r="AB462" t="inlineStr">
        <is>
          <t>L</t>
        </is>
      </c>
      <c r="AC462" t="inlineStr">
        <is>
          <t>6&amp;5</t>
        </is>
      </c>
      <c r="AD462" t="inlineStr">
        <is>
          <t>Shively</t>
        </is>
      </c>
      <c r="AE462">
        <f>$V462&amp;$Y462</f>
        <v/>
      </c>
      <c r="AF462" t="n">
        <v>0</v>
      </c>
      <c r="AG462" t="n">
        <v>0</v>
      </c>
      <c r="AH462" t="n">
        <v>1</v>
      </c>
      <c r="AI462" t="n">
        <v>0</v>
      </c>
      <c r="AJ462" t="n">
        <v>0</v>
      </c>
      <c r="AK462" t="inlineStr">
        <is>
          <t>Shively</t>
        </is>
      </c>
    </row>
    <row r="463" ht="15" customHeight="1" s="2">
      <c r="B463" t="n">
        <v>24</v>
      </c>
      <c r="C463" t="n">
        <v>8</v>
      </c>
      <c r="D463" t="n">
        <v>7</v>
      </c>
      <c r="E463" t="inlineStr">
        <is>
          <t>FBC7-S-Jackson-McInerney</t>
        </is>
      </c>
      <c r="F463" t="inlineStr">
        <is>
          <t>Saturday</t>
        </is>
      </c>
      <c r="G463" s="27" t="n">
        <v>43687</v>
      </c>
      <c r="H463" t="inlineStr">
        <is>
          <t>AM</t>
        </is>
      </c>
      <c r="I463" t="inlineStr">
        <is>
          <t>Monterey, CA</t>
        </is>
      </c>
      <c r="J463" t="inlineStr">
        <is>
          <t>West</t>
        </is>
      </c>
      <c r="K463" t="n">
        <v>18</v>
      </c>
      <c r="L463" t="inlineStr">
        <is>
          <t>Full</t>
        </is>
      </c>
      <c r="M463" t="inlineStr">
        <is>
          <t>Spanish Bay</t>
        </is>
      </c>
      <c r="N463" t="inlineStr">
        <is>
          <t>Gold</t>
        </is>
      </c>
      <c r="O463" t="n">
        <v>72.09999999999999</v>
      </c>
      <c r="P463" t="n">
        <v>136</v>
      </c>
      <c r="Q463" t="n">
        <v>6422</v>
      </c>
      <c r="R463" t="inlineStr">
        <is>
          <t>Match Play</t>
        </is>
      </c>
      <c r="S463" t="inlineStr">
        <is>
          <t>Singles</t>
        </is>
      </c>
      <c r="T463" t="inlineStr">
        <is>
          <t>Mix</t>
        </is>
      </c>
      <c r="U463" t="inlineStr">
        <is>
          <t>Ferrin/Jax</t>
        </is>
      </c>
      <c r="V463" t="inlineStr">
        <is>
          <t>Jackson</t>
        </is>
      </c>
      <c r="W463" t="inlineStr">
        <is>
          <t>White</t>
        </is>
      </c>
      <c r="AA463" t="n">
        <v>2</v>
      </c>
      <c r="AB463" t="inlineStr">
        <is>
          <t>L</t>
        </is>
      </c>
      <c r="AC463" t="inlineStr">
        <is>
          <t>3&amp;2</t>
        </is>
      </c>
      <c r="AD463" t="inlineStr">
        <is>
          <t>McInerney</t>
        </is>
      </c>
      <c r="AE463">
        <f>$V463&amp;$Y463</f>
        <v/>
      </c>
      <c r="AF463" t="n">
        <v>0</v>
      </c>
      <c r="AG463" t="n">
        <v>0</v>
      </c>
      <c r="AH463" t="n">
        <v>1</v>
      </c>
      <c r="AI463" t="n">
        <v>0</v>
      </c>
      <c r="AJ463" t="n">
        <v>0</v>
      </c>
      <c r="AK463" t="inlineStr">
        <is>
          <t>McInerney</t>
        </is>
      </c>
      <c r="AL463" t="n">
        <v>0.5</v>
      </c>
    </row>
    <row r="464" ht="15" customHeight="1" s="2">
      <c r="B464" t="n">
        <v>25</v>
      </c>
      <c r="C464" t="n">
        <v>9</v>
      </c>
      <c r="D464" t="n">
        <v>7</v>
      </c>
      <c r="E464" t="inlineStr">
        <is>
          <t>FBC7-S-Cole-Norat</t>
        </is>
      </c>
      <c r="F464" t="inlineStr">
        <is>
          <t>Saturday</t>
        </is>
      </c>
      <c r="G464" s="27" t="n">
        <v>43687</v>
      </c>
      <c r="H464" t="inlineStr">
        <is>
          <t>AM</t>
        </is>
      </c>
      <c r="I464" t="inlineStr">
        <is>
          <t>Monterey, CA</t>
        </is>
      </c>
      <c r="J464" t="inlineStr">
        <is>
          <t>West</t>
        </is>
      </c>
      <c r="K464" t="n">
        <v>18</v>
      </c>
      <c r="L464" t="inlineStr">
        <is>
          <t>Full</t>
        </is>
      </c>
      <c r="M464" t="inlineStr">
        <is>
          <t>Spanish Bay</t>
        </is>
      </c>
      <c r="N464" t="inlineStr">
        <is>
          <t>Gold</t>
        </is>
      </c>
      <c r="O464" t="n">
        <v>72.09999999999999</v>
      </c>
      <c r="P464" t="n">
        <v>136</v>
      </c>
      <c r="Q464" t="n">
        <v>6422</v>
      </c>
      <c r="R464" t="inlineStr">
        <is>
          <t>Match Play</t>
        </is>
      </c>
      <c r="S464" t="inlineStr">
        <is>
          <t>Singles</t>
        </is>
      </c>
      <c r="T464" t="inlineStr">
        <is>
          <t>Mix</t>
        </is>
      </c>
      <c r="U464" t="inlineStr">
        <is>
          <t>Ferrin/Jax</t>
        </is>
      </c>
      <c r="V464" t="inlineStr">
        <is>
          <t>Cole</t>
        </is>
      </c>
      <c r="W464" t="inlineStr">
        <is>
          <t>White</t>
        </is>
      </c>
      <c r="AA464" t="n">
        <v>2</v>
      </c>
      <c r="AB464" t="inlineStr">
        <is>
          <t>W</t>
        </is>
      </c>
      <c r="AC464" t="inlineStr">
        <is>
          <t>3&amp;2</t>
        </is>
      </c>
      <c r="AD464" t="inlineStr">
        <is>
          <t>Norat</t>
        </is>
      </c>
      <c r="AE464">
        <f>$V464&amp;$Y464</f>
        <v/>
      </c>
      <c r="AF464" t="n">
        <v>2</v>
      </c>
      <c r="AG464" t="n">
        <v>1</v>
      </c>
      <c r="AH464" t="n">
        <v>0</v>
      </c>
      <c r="AI464" t="n">
        <v>0</v>
      </c>
      <c r="AJ464" t="n">
        <v>1</v>
      </c>
      <c r="AK464" t="inlineStr">
        <is>
          <t>Norat</t>
        </is>
      </c>
      <c r="AL464" t="n">
        <v>0.527777777777778</v>
      </c>
    </row>
    <row r="465" ht="15" customHeight="1" s="2">
      <c r="B465" t="n">
        <v>25</v>
      </c>
      <c r="C465" t="n">
        <v>10</v>
      </c>
      <c r="D465" t="n">
        <v>7</v>
      </c>
      <c r="E465" t="inlineStr">
        <is>
          <t>FBC7-S-Connors-Fogan</t>
        </is>
      </c>
      <c r="F465" t="inlineStr">
        <is>
          <t>Saturday</t>
        </is>
      </c>
      <c r="G465" s="27" t="n">
        <v>43687</v>
      </c>
      <c r="H465" t="inlineStr">
        <is>
          <t>AM</t>
        </is>
      </c>
      <c r="I465" t="inlineStr">
        <is>
          <t>Monterey, CA</t>
        </is>
      </c>
      <c r="J465" t="inlineStr">
        <is>
          <t>West</t>
        </is>
      </c>
      <c r="K465" t="n">
        <v>18</v>
      </c>
      <c r="L465" t="inlineStr">
        <is>
          <t>Full</t>
        </is>
      </c>
      <c r="M465" t="inlineStr">
        <is>
          <t>Spanish Bay</t>
        </is>
      </c>
      <c r="N465" t="inlineStr">
        <is>
          <t>Gold</t>
        </is>
      </c>
      <c r="O465" t="n">
        <v>72.09999999999999</v>
      </c>
      <c r="P465" t="n">
        <v>136</v>
      </c>
      <c r="Q465" t="n">
        <v>6422</v>
      </c>
      <c r="R465" t="inlineStr">
        <is>
          <t>Match Play</t>
        </is>
      </c>
      <c r="S465" t="inlineStr">
        <is>
          <t>Singles</t>
        </is>
      </c>
      <c r="T465" t="inlineStr">
        <is>
          <t>Mix</t>
        </is>
      </c>
      <c r="U465" t="inlineStr">
        <is>
          <t>Ferrin/Jax</t>
        </is>
      </c>
      <c r="V465" t="inlineStr">
        <is>
          <t>Connors</t>
        </is>
      </c>
      <c r="W465" t="inlineStr">
        <is>
          <t>White</t>
        </is>
      </c>
      <c r="AA465" t="n">
        <v>2</v>
      </c>
      <c r="AB465" t="inlineStr">
        <is>
          <t>L</t>
        </is>
      </c>
      <c r="AC465" t="inlineStr">
        <is>
          <t>5&amp;4</t>
        </is>
      </c>
      <c r="AD465" t="inlineStr">
        <is>
          <t>Fogan</t>
        </is>
      </c>
      <c r="AE465">
        <f>$V465&amp;$Y465</f>
        <v/>
      </c>
      <c r="AF465" t="n">
        <v>0</v>
      </c>
      <c r="AG465" t="n">
        <v>0</v>
      </c>
      <c r="AH465" t="n">
        <v>1</v>
      </c>
      <c r="AI465" t="n">
        <v>0</v>
      </c>
      <c r="AJ465" t="n">
        <v>0</v>
      </c>
      <c r="AK465" t="inlineStr">
        <is>
          <t>Fogan</t>
        </is>
      </c>
      <c r="AL465" t="n">
        <v>0.372881355932203</v>
      </c>
    </row>
    <row r="466" ht="15" customHeight="1" s="2">
      <c r="B466" t="n">
        <v>26</v>
      </c>
      <c r="C466" t="n">
        <v>1</v>
      </c>
      <c r="D466" t="n">
        <v>7</v>
      </c>
      <c r="E466" t="inlineStr">
        <is>
          <t>FBC7-S-Buss-Connolly</t>
        </is>
      </c>
      <c r="F466" t="inlineStr">
        <is>
          <t>Saturday</t>
        </is>
      </c>
      <c r="G466" s="27" t="n">
        <v>43687</v>
      </c>
      <c r="H466" t="inlineStr">
        <is>
          <t>AM</t>
        </is>
      </c>
      <c r="I466" t="inlineStr">
        <is>
          <t>Monterey, CA</t>
        </is>
      </c>
      <c r="J466" t="inlineStr">
        <is>
          <t>West</t>
        </is>
      </c>
      <c r="K466" t="n">
        <v>18</v>
      </c>
      <c r="L466" t="inlineStr">
        <is>
          <t>Full</t>
        </is>
      </c>
      <c r="M466" t="inlineStr">
        <is>
          <t>Spanish Bay</t>
        </is>
      </c>
      <c r="N466" t="inlineStr">
        <is>
          <t>Gold</t>
        </is>
      </c>
      <c r="O466" t="n">
        <v>72.09999999999999</v>
      </c>
      <c r="P466" t="n">
        <v>136</v>
      </c>
      <c r="Q466" t="n">
        <v>6422</v>
      </c>
      <c r="R466" t="inlineStr">
        <is>
          <t>Match Play</t>
        </is>
      </c>
      <c r="S466" t="inlineStr">
        <is>
          <t>Singles</t>
        </is>
      </c>
      <c r="T466" t="inlineStr">
        <is>
          <t>over 6'</t>
        </is>
      </c>
      <c r="U466" t="inlineStr">
        <is>
          <t>Connolly/Hilts</t>
        </is>
      </c>
      <c r="V466" t="inlineStr">
        <is>
          <t>Connolly</t>
        </is>
      </c>
      <c r="W466" t="inlineStr">
        <is>
          <t>Red</t>
        </is>
      </c>
      <c r="AA466" t="n">
        <v>2</v>
      </c>
      <c r="AB466" t="inlineStr">
        <is>
          <t>W</t>
        </is>
      </c>
      <c r="AC466" t="inlineStr">
        <is>
          <t>1Up</t>
        </is>
      </c>
      <c r="AD466" t="inlineStr">
        <is>
          <t>Buss</t>
        </is>
      </c>
      <c r="AE466">
        <f>$V466&amp;$Y466</f>
        <v/>
      </c>
      <c r="AF466" t="n">
        <v>2</v>
      </c>
      <c r="AG466" t="n">
        <v>1</v>
      </c>
      <c r="AH466" t="n">
        <v>0</v>
      </c>
      <c r="AI466" t="n">
        <v>0</v>
      </c>
      <c r="AJ466" t="n">
        <v>1</v>
      </c>
      <c r="AK466" t="inlineStr">
        <is>
          <t>Buss</t>
        </is>
      </c>
      <c r="AL466" t="n">
        <v>0.448275862068966</v>
      </c>
    </row>
    <row r="467" ht="15" customHeight="1" s="2">
      <c r="B467" t="n">
        <v>26</v>
      </c>
      <c r="C467" t="n">
        <v>2</v>
      </c>
      <c r="D467" t="n">
        <v>7</v>
      </c>
      <c r="E467" t="inlineStr">
        <is>
          <t>FBC7-S-Ferrin-Forster</t>
        </is>
      </c>
      <c r="F467" t="inlineStr">
        <is>
          <t>Saturday</t>
        </is>
      </c>
      <c r="G467" s="27" t="n">
        <v>43687</v>
      </c>
      <c r="H467" t="inlineStr">
        <is>
          <t>AM</t>
        </is>
      </c>
      <c r="I467" t="inlineStr">
        <is>
          <t>Monterey, CA</t>
        </is>
      </c>
      <c r="J467" t="inlineStr">
        <is>
          <t>West</t>
        </is>
      </c>
      <c r="K467" t="n">
        <v>18</v>
      </c>
      <c r="L467" t="inlineStr">
        <is>
          <t>Full</t>
        </is>
      </c>
      <c r="M467" t="inlineStr">
        <is>
          <t>Spanish Bay</t>
        </is>
      </c>
      <c r="N467" t="inlineStr">
        <is>
          <t>Gold</t>
        </is>
      </c>
      <c r="O467" t="n">
        <v>72.09999999999999</v>
      </c>
      <c r="P467" t="n">
        <v>136</v>
      </c>
      <c r="Q467" t="n">
        <v>6422</v>
      </c>
      <c r="R467" t="inlineStr">
        <is>
          <t>Match Play</t>
        </is>
      </c>
      <c r="S467" t="inlineStr">
        <is>
          <t>Singles</t>
        </is>
      </c>
      <c r="T467" t="inlineStr">
        <is>
          <t>over 6'</t>
        </is>
      </c>
      <c r="U467" t="inlineStr">
        <is>
          <t>Connolly/Hilts</t>
        </is>
      </c>
      <c r="V467" t="inlineStr">
        <is>
          <t>Forster</t>
        </is>
      </c>
      <c r="W467" t="inlineStr">
        <is>
          <t>Red</t>
        </is>
      </c>
      <c r="AA467" t="n">
        <v>2</v>
      </c>
      <c r="AB467" t="inlineStr">
        <is>
          <t>W</t>
        </is>
      </c>
      <c r="AC467" t="inlineStr">
        <is>
          <t>1Up</t>
        </is>
      </c>
      <c r="AD467" t="inlineStr">
        <is>
          <t>Ferrin</t>
        </is>
      </c>
      <c r="AE467">
        <f>$V467&amp;$Y467</f>
        <v/>
      </c>
      <c r="AF467" t="n">
        <v>2</v>
      </c>
      <c r="AG467" t="n">
        <v>1</v>
      </c>
      <c r="AH467" t="n">
        <v>0</v>
      </c>
      <c r="AI467" t="n">
        <v>0</v>
      </c>
      <c r="AJ467" t="n">
        <v>1</v>
      </c>
      <c r="AK467" t="inlineStr">
        <is>
          <t>Ferrin</t>
        </is>
      </c>
      <c r="AL467" t="n">
        <v>0.595238095238095</v>
      </c>
    </row>
    <row r="468" ht="15" customHeight="1" s="2">
      <c r="B468" t="n">
        <v>27</v>
      </c>
      <c r="C468" t="n">
        <v>3</v>
      </c>
      <c r="D468" t="n">
        <v>7</v>
      </c>
      <c r="E468" t="inlineStr">
        <is>
          <t>FBC7-S-Hilts-Zimmer</t>
        </is>
      </c>
      <c r="F468" t="inlineStr">
        <is>
          <t>Saturday</t>
        </is>
      </c>
      <c r="G468" s="27" t="n">
        <v>43687</v>
      </c>
      <c r="H468" t="inlineStr">
        <is>
          <t>AM</t>
        </is>
      </c>
      <c r="I468" t="inlineStr">
        <is>
          <t>Monterey, CA</t>
        </is>
      </c>
      <c r="J468" t="inlineStr">
        <is>
          <t>West</t>
        </is>
      </c>
      <c r="K468" t="n">
        <v>18</v>
      </c>
      <c r="L468" t="inlineStr">
        <is>
          <t>Full</t>
        </is>
      </c>
      <c r="M468" t="inlineStr">
        <is>
          <t>Spanish Bay</t>
        </is>
      </c>
      <c r="N468" t="inlineStr">
        <is>
          <t>Gold</t>
        </is>
      </c>
      <c r="O468" t="n">
        <v>72.09999999999999</v>
      </c>
      <c r="P468" t="n">
        <v>136</v>
      </c>
      <c r="Q468" t="n">
        <v>6422</v>
      </c>
      <c r="R468" t="inlineStr">
        <is>
          <t>Match Play</t>
        </is>
      </c>
      <c r="S468" t="inlineStr">
        <is>
          <t>Singles</t>
        </is>
      </c>
      <c r="T468" t="inlineStr">
        <is>
          <t>over 6'</t>
        </is>
      </c>
      <c r="U468" t="inlineStr">
        <is>
          <t>Connolly/Hilts</t>
        </is>
      </c>
      <c r="V468" t="inlineStr">
        <is>
          <t>Hilts</t>
        </is>
      </c>
      <c r="W468" t="inlineStr">
        <is>
          <t>Red</t>
        </is>
      </c>
      <c r="AA468" t="n">
        <v>2</v>
      </c>
      <c r="AB468" t="inlineStr">
        <is>
          <t>L</t>
        </is>
      </c>
      <c r="AC468" t="inlineStr">
        <is>
          <t>3&amp;1</t>
        </is>
      </c>
      <c r="AD468" t="inlineStr">
        <is>
          <t>Zimmer</t>
        </is>
      </c>
      <c r="AE468">
        <f>$V468&amp;$Y468</f>
        <v/>
      </c>
      <c r="AF468" t="n">
        <v>0</v>
      </c>
      <c r="AG468" t="n">
        <v>0</v>
      </c>
      <c r="AH468" t="n">
        <v>1</v>
      </c>
      <c r="AI468" t="n">
        <v>0</v>
      </c>
      <c r="AJ468" t="n">
        <v>0</v>
      </c>
      <c r="AK468" t="inlineStr">
        <is>
          <t>Zimmer</t>
        </is>
      </c>
      <c r="AL468" t="n">
        <v>0.5</v>
      </c>
    </row>
    <row r="469" ht="15" customHeight="1" s="2">
      <c r="B469" t="n">
        <v>27</v>
      </c>
      <c r="C469" t="n">
        <v>4</v>
      </c>
      <c r="D469" t="n">
        <v>7</v>
      </c>
      <c r="E469" t="inlineStr">
        <is>
          <t>FBC7-S-Gray-Welker</t>
        </is>
      </c>
      <c r="F469" t="inlineStr">
        <is>
          <t>Saturday</t>
        </is>
      </c>
      <c r="G469" s="27" t="n">
        <v>43687</v>
      </c>
      <c r="H469" t="inlineStr">
        <is>
          <t>AM</t>
        </is>
      </c>
      <c r="I469" t="inlineStr">
        <is>
          <t>Monterey, CA</t>
        </is>
      </c>
      <c r="J469" t="inlineStr">
        <is>
          <t>West</t>
        </is>
      </c>
      <c r="K469" t="n">
        <v>18</v>
      </c>
      <c r="L469" t="inlineStr">
        <is>
          <t>Full</t>
        </is>
      </c>
      <c r="M469" t="inlineStr">
        <is>
          <t>Spanish Bay</t>
        </is>
      </c>
      <c r="N469" t="inlineStr">
        <is>
          <t>Gold</t>
        </is>
      </c>
      <c r="O469" t="n">
        <v>72.09999999999999</v>
      </c>
      <c r="P469" t="n">
        <v>136</v>
      </c>
      <c r="Q469" t="n">
        <v>6422</v>
      </c>
      <c r="R469" t="inlineStr">
        <is>
          <t>Match Play</t>
        </is>
      </c>
      <c r="S469" t="inlineStr">
        <is>
          <t>Singles</t>
        </is>
      </c>
      <c r="T469" t="inlineStr">
        <is>
          <t>over 6'</t>
        </is>
      </c>
      <c r="U469" t="inlineStr">
        <is>
          <t>Connolly/Hilts</t>
        </is>
      </c>
      <c r="V469" t="inlineStr">
        <is>
          <t>Welker</t>
        </is>
      </c>
      <c r="W469" t="inlineStr">
        <is>
          <t>Red</t>
        </is>
      </c>
      <c r="AA469" t="n">
        <v>2</v>
      </c>
      <c r="AB469" t="inlineStr">
        <is>
          <t>L</t>
        </is>
      </c>
      <c r="AC469" t="inlineStr">
        <is>
          <t>1Up</t>
        </is>
      </c>
      <c r="AD469" t="inlineStr">
        <is>
          <t>Gray</t>
        </is>
      </c>
      <c r="AE469">
        <f>$V469&amp;$Y469</f>
        <v/>
      </c>
      <c r="AF469" t="n">
        <v>0</v>
      </c>
      <c r="AG469" t="n">
        <v>0</v>
      </c>
      <c r="AH469" t="n">
        <v>1</v>
      </c>
      <c r="AI469" t="n">
        <v>0</v>
      </c>
      <c r="AJ469" t="n">
        <v>0</v>
      </c>
      <c r="AK469" t="inlineStr">
        <is>
          <t>Gray</t>
        </is>
      </c>
      <c r="AL469" t="n">
        <v>0.654761904761905</v>
      </c>
    </row>
    <row r="470" ht="15" customHeight="1" s="2">
      <c r="B470" t="n">
        <v>28</v>
      </c>
      <c r="C470" t="n">
        <v>5</v>
      </c>
      <c r="D470" t="n">
        <v>7</v>
      </c>
      <c r="E470" t="inlineStr">
        <is>
          <t>FBC7-S-Grise-Mangold</t>
        </is>
      </c>
      <c r="F470" t="inlineStr">
        <is>
          <t>Saturday</t>
        </is>
      </c>
      <c r="G470" s="27" t="n">
        <v>43687</v>
      </c>
      <c r="H470" t="inlineStr">
        <is>
          <t>AM</t>
        </is>
      </c>
      <c r="I470" t="inlineStr">
        <is>
          <t>Monterey, CA</t>
        </is>
      </c>
      <c r="J470" t="inlineStr">
        <is>
          <t>West</t>
        </is>
      </c>
      <c r="K470" t="n">
        <v>18</v>
      </c>
      <c r="L470" t="inlineStr">
        <is>
          <t>Full</t>
        </is>
      </c>
      <c r="M470" t="inlineStr">
        <is>
          <t>Spanish Bay</t>
        </is>
      </c>
      <c r="N470" t="inlineStr">
        <is>
          <t>Gold</t>
        </is>
      </c>
      <c r="O470" t="n">
        <v>72.09999999999999</v>
      </c>
      <c r="P470" t="n">
        <v>136</v>
      </c>
      <c r="Q470" t="n">
        <v>6422</v>
      </c>
      <c r="R470" t="inlineStr">
        <is>
          <t>Match Play</t>
        </is>
      </c>
      <c r="S470" t="inlineStr">
        <is>
          <t>Singles</t>
        </is>
      </c>
      <c r="T470" t="inlineStr">
        <is>
          <t>over 6'</t>
        </is>
      </c>
      <c r="U470" t="inlineStr">
        <is>
          <t>Connolly/Hilts</t>
        </is>
      </c>
      <c r="V470" t="inlineStr">
        <is>
          <t>Mangold</t>
        </is>
      </c>
      <c r="W470" t="inlineStr">
        <is>
          <t>Red</t>
        </is>
      </c>
      <c r="AA470" t="n">
        <v>2</v>
      </c>
      <c r="AB470" t="inlineStr">
        <is>
          <t>L</t>
        </is>
      </c>
      <c r="AC470" t="inlineStr">
        <is>
          <t>3&amp;2</t>
        </is>
      </c>
      <c r="AD470" t="inlineStr">
        <is>
          <t>Grise</t>
        </is>
      </c>
      <c r="AE470">
        <f>$V470&amp;$Y470</f>
        <v/>
      </c>
      <c r="AF470" t="n">
        <v>0</v>
      </c>
      <c r="AG470" t="n">
        <v>0</v>
      </c>
      <c r="AH470" t="n">
        <v>1</v>
      </c>
      <c r="AI470" t="n">
        <v>0</v>
      </c>
      <c r="AJ470" t="n">
        <v>0</v>
      </c>
      <c r="AK470" t="inlineStr">
        <is>
          <t>Grise</t>
        </is>
      </c>
      <c r="AL470" t="n">
        <v>0.546875</v>
      </c>
    </row>
    <row r="471" ht="15" customHeight="1" s="2">
      <c r="B471" t="n">
        <v>28</v>
      </c>
      <c r="C471" t="n">
        <v>6</v>
      </c>
      <c r="D471" t="n">
        <v>7</v>
      </c>
      <c r="E471" t="inlineStr">
        <is>
          <t>FBC7-S-Flanders-Poirier</t>
        </is>
      </c>
      <c r="F471" t="inlineStr">
        <is>
          <t>Saturday</t>
        </is>
      </c>
      <c r="G471" s="27" t="n">
        <v>43687</v>
      </c>
      <c r="H471" t="inlineStr">
        <is>
          <t>AM</t>
        </is>
      </c>
      <c r="I471" t="inlineStr">
        <is>
          <t>Monterey, CA</t>
        </is>
      </c>
      <c r="J471" t="inlineStr">
        <is>
          <t>West</t>
        </is>
      </c>
      <c r="K471" t="n">
        <v>18</v>
      </c>
      <c r="L471" t="inlineStr">
        <is>
          <t>Full</t>
        </is>
      </c>
      <c r="M471" t="inlineStr">
        <is>
          <t>Spanish Bay</t>
        </is>
      </c>
      <c r="N471" t="inlineStr">
        <is>
          <t>Gold</t>
        </is>
      </c>
      <c r="O471" t="n">
        <v>72.09999999999999</v>
      </c>
      <c r="P471" t="n">
        <v>136</v>
      </c>
      <c r="Q471" t="n">
        <v>6422</v>
      </c>
      <c r="R471" t="inlineStr">
        <is>
          <t>Match Play</t>
        </is>
      </c>
      <c r="S471" t="inlineStr">
        <is>
          <t>Singles</t>
        </is>
      </c>
      <c r="T471" t="inlineStr">
        <is>
          <t>over 6'</t>
        </is>
      </c>
      <c r="U471" t="inlineStr">
        <is>
          <t>Connolly/Hilts</t>
        </is>
      </c>
      <c r="V471" t="inlineStr">
        <is>
          <t>Poirier</t>
        </is>
      </c>
      <c r="W471" t="inlineStr">
        <is>
          <t>Red</t>
        </is>
      </c>
      <c r="AA471" t="n">
        <v>2</v>
      </c>
      <c r="AB471" t="inlineStr">
        <is>
          <t>W</t>
        </is>
      </c>
      <c r="AC471" t="inlineStr">
        <is>
          <t>1Up</t>
        </is>
      </c>
      <c r="AD471" t="inlineStr">
        <is>
          <t>Flanders</t>
        </is>
      </c>
      <c r="AE471">
        <f>$V471&amp;$Y471</f>
        <v/>
      </c>
      <c r="AF471" t="n">
        <v>2</v>
      </c>
      <c r="AG471" t="n">
        <v>1</v>
      </c>
      <c r="AH471" t="n">
        <v>0</v>
      </c>
      <c r="AI471" t="n">
        <v>0</v>
      </c>
      <c r="AJ471" t="n">
        <v>1</v>
      </c>
      <c r="AK471" t="inlineStr">
        <is>
          <t>Flanders</t>
        </is>
      </c>
      <c r="AL471" t="n">
        <v>0.4296875</v>
      </c>
    </row>
    <row r="472" ht="15" customHeight="1" s="2">
      <c r="B472" t="n">
        <v>29</v>
      </c>
      <c r="C472" t="n">
        <v>7</v>
      </c>
      <c r="D472" t="n">
        <v>7</v>
      </c>
      <c r="E472" t="inlineStr">
        <is>
          <t>FBC7-S-Lynch-Shively</t>
        </is>
      </c>
      <c r="F472" t="inlineStr">
        <is>
          <t>Saturday</t>
        </is>
      </c>
      <c r="G472" s="27" t="n">
        <v>43687</v>
      </c>
      <c r="H472" t="inlineStr">
        <is>
          <t>AM</t>
        </is>
      </c>
      <c r="I472" t="inlineStr">
        <is>
          <t>Monterey, CA</t>
        </is>
      </c>
      <c r="J472" t="inlineStr">
        <is>
          <t>West</t>
        </is>
      </c>
      <c r="K472" t="n">
        <v>18</v>
      </c>
      <c r="L472" t="inlineStr">
        <is>
          <t>Full</t>
        </is>
      </c>
      <c r="M472" t="inlineStr">
        <is>
          <t>Spanish Bay</t>
        </is>
      </c>
      <c r="N472" t="inlineStr">
        <is>
          <t>Gold</t>
        </is>
      </c>
      <c r="O472" t="n">
        <v>72.09999999999999</v>
      </c>
      <c r="P472" t="n">
        <v>136</v>
      </c>
      <c r="Q472" t="n">
        <v>6422</v>
      </c>
      <c r="R472" t="inlineStr">
        <is>
          <t>Match Play</t>
        </is>
      </c>
      <c r="S472" t="inlineStr">
        <is>
          <t>Singles</t>
        </is>
      </c>
      <c r="T472" t="inlineStr">
        <is>
          <t>over 6'</t>
        </is>
      </c>
      <c r="U472" t="inlineStr">
        <is>
          <t>Connolly/Hilts</t>
        </is>
      </c>
      <c r="V472" t="inlineStr">
        <is>
          <t>Shively</t>
        </is>
      </c>
      <c r="W472" t="inlineStr">
        <is>
          <t>Red</t>
        </is>
      </c>
      <c r="AA472" t="n">
        <v>2</v>
      </c>
      <c r="AB472" t="inlineStr">
        <is>
          <t>W</t>
        </is>
      </c>
      <c r="AC472" t="inlineStr">
        <is>
          <t>6&amp;5</t>
        </is>
      </c>
      <c r="AD472" t="inlineStr">
        <is>
          <t>Lynch</t>
        </is>
      </c>
      <c r="AE472">
        <f>$V472&amp;$Y472</f>
        <v/>
      </c>
      <c r="AF472" t="n">
        <v>2</v>
      </c>
      <c r="AG472" t="n">
        <v>1</v>
      </c>
      <c r="AH472" t="n">
        <v>0</v>
      </c>
      <c r="AI472" t="n">
        <v>0</v>
      </c>
      <c r="AJ472" t="n">
        <v>1</v>
      </c>
      <c r="AK472" t="inlineStr">
        <is>
          <t>Lynch</t>
        </is>
      </c>
      <c r="AL472" t="n">
        <v>0.5546875</v>
      </c>
    </row>
    <row r="473" ht="15" customHeight="1" s="2">
      <c r="B473" t="n">
        <v>29</v>
      </c>
      <c r="C473" t="n">
        <v>8</v>
      </c>
      <c r="D473" t="n">
        <v>7</v>
      </c>
      <c r="E473" t="inlineStr">
        <is>
          <t>FBC7-S-Jackson-McInerney</t>
        </is>
      </c>
      <c r="F473" t="inlineStr">
        <is>
          <t>Saturday</t>
        </is>
      </c>
      <c r="G473" s="27" t="n">
        <v>43687</v>
      </c>
      <c r="H473" t="inlineStr">
        <is>
          <t>AM</t>
        </is>
      </c>
      <c r="I473" t="inlineStr">
        <is>
          <t>Monterey, CA</t>
        </is>
      </c>
      <c r="J473" t="inlineStr">
        <is>
          <t>West</t>
        </is>
      </c>
      <c r="K473" t="n">
        <v>18</v>
      </c>
      <c r="L473" t="inlineStr">
        <is>
          <t>Full</t>
        </is>
      </c>
      <c r="M473" t="inlineStr">
        <is>
          <t>Spanish Bay</t>
        </is>
      </c>
      <c r="N473" t="inlineStr">
        <is>
          <t>Gold</t>
        </is>
      </c>
      <c r="O473" t="n">
        <v>72.09999999999999</v>
      </c>
      <c r="P473" t="n">
        <v>136</v>
      </c>
      <c r="Q473" t="n">
        <v>6422</v>
      </c>
      <c r="R473" t="inlineStr">
        <is>
          <t>Match Play</t>
        </is>
      </c>
      <c r="S473" t="inlineStr">
        <is>
          <t>Singles</t>
        </is>
      </c>
      <c r="T473" t="inlineStr">
        <is>
          <t>over 6'</t>
        </is>
      </c>
      <c r="U473" t="inlineStr">
        <is>
          <t>Connolly/Hilts</t>
        </is>
      </c>
      <c r="V473" t="inlineStr">
        <is>
          <t>McInerney</t>
        </is>
      </c>
      <c r="W473" t="inlineStr">
        <is>
          <t>Red</t>
        </is>
      </c>
      <c r="AA473" t="n">
        <v>2</v>
      </c>
      <c r="AB473" t="inlineStr">
        <is>
          <t>W</t>
        </is>
      </c>
      <c r="AC473" t="inlineStr">
        <is>
          <t>3&amp;2</t>
        </is>
      </c>
      <c r="AD473" t="inlineStr">
        <is>
          <t>Jackson</t>
        </is>
      </c>
      <c r="AE473">
        <f>$V473&amp;$Y473</f>
        <v/>
      </c>
      <c r="AF473" t="n">
        <v>2</v>
      </c>
      <c r="AG473" t="n">
        <v>1</v>
      </c>
      <c r="AH473" t="n">
        <v>0</v>
      </c>
      <c r="AI473" t="n">
        <v>0</v>
      </c>
      <c r="AJ473" t="n">
        <v>1</v>
      </c>
      <c r="AK473" t="inlineStr">
        <is>
          <t>Jackson</t>
        </is>
      </c>
      <c r="AL473" t="n">
        <v>0.6171875</v>
      </c>
    </row>
    <row r="474" ht="15" customHeight="1" s="2">
      <c r="B474" t="n">
        <v>30</v>
      </c>
      <c r="C474" t="n">
        <v>9</v>
      </c>
      <c r="D474" t="n">
        <v>7</v>
      </c>
      <c r="E474" t="inlineStr">
        <is>
          <t>FBC7-S-Cole-Norat</t>
        </is>
      </c>
      <c r="F474" t="inlineStr">
        <is>
          <t>Saturday</t>
        </is>
      </c>
      <c r="G474" s="27" t="n">
        <v>43687</v>
      </c>
      <c r="H474" t="inlineStr">
        <is>
          <t>AM</t>
        </is>
      </c>
      <c r="I474" t="inlineStr">
        <is>
          <t>Monterey, CA</t>
        </is>
      </c>
      <c r="J474" t="inlineStr">
        <is>
          <t>West</t>
        </is>
      </c>
      <c r="K474" t="n">
        <v>18</v>
      </c>
      <c r="L474" t="inlineStr">
        <is>
          <t>Full</t>
        </is>
      </c>
      <c r="M474" t="inlineStr">
        <is>
          <t>Spanish Bay</t>
        </is>
      </c>
      <c r="N474" t="inlineStr">
        <is>
          <t>Gold</t>
        </is>
      </c>
      <c r="O474" t="n">
        <v>72.09999999999999</v>
      </c>
      <c r="P474" t="n">
        <v>136</v>
      </c>
      <c r="Q474" t="n">
        <v>6422</v>
      </c>
      <c r="R474" t="inlineStr">
        <is>
          <t>Match Play</t>
        </is>
      </c>
      <c r="S474" t="inlineStr">
        <is>
          <t>Singles</t>
        </is>
      </c>
      <c r="T474" t="inlineStr">
        <is>
          <t>over 6'</t>
        </is>
      </c>
      <c r="U474" t="inlineStr">
        <is>
          <t>Connolly/Hilts</t>
        </is>
      </c>
      <c r="V474" t="inlineStr">
        <is>
          <t>Norat</t>
        </is>
      </c>
      <c r="W474" t="inlineStr">
        <is>
          <t>Red</t>
        </is>
      </c>
      <c r="AA474" t="n">
        <v>2</v>
      </c>
      <c r="AB474" t="inlineStr">
        <is>
          <t>L</t>
        </is>
      </c>
      <c r="AC474" t="inlineStr">
        <is>
          <t>3&amp;2</t>
        </is>
      </c>
      <c r="AD474" t="inlineStr">
        <is>
          <t>Cole</t>
        </is>
      </c>
      <c r="AE474">
        <f>$V474&amp;$Y474</f>
        <v/>
      </c>
      <c r="AF474" t="n">
        <v>0</v>
      </c>
      <c r="AG474" t="n">
        <v>0</v>
      </c>
      <c r="AH474" t="n">
        <v>1</v>
      </c>
      <c r="AI474" t="n">
        <v>0</v>
      </c>
      <c r="AJ474" t="n">
        <v>0</v>
      </c>
      <c r="AK474" t="inlineStr">
        <is>
          <t>Cole</t>
        </is>
      </c>
      <c r="AL474" t="n">
        <v>0.440677966101695</v>
      </c>
    </row>
    <row r="475" ht="15" customHeight="1" s="2">
      <c r="B475" t="n">
        <v>30</v>
      </c>
      <c r="C475" t="n">
        <v>10</v>
      </c>
      <c r="D475" t="n">
        <v>7</v>
      </c>
      <c r="E475" t="inlineStr">
        <is>
          <t>FBC7-S-Connors-Fogan</t>
        </is>
      </c>
      <c r="F475" t="inlineStr">
        <is>
          <t>Saturday</t>
        </is>
      </c>
      <c r="G475" s="27" t="n">
        <v>43687</v>
      </c>
      <c r="H475" t="inlineStr">
        <is>
          <t>AM</t>
        </is>
      </c>
      <c r="I475" t="inlineStr">
        <is>
          <t>Monterey, CA</t>
        </is>
      </c>
      <c r="J475" t="inlineStr">
        <is>
          <t>West</t>
        </is>
      </c>
      <c r="K475" t="n">
        <v>18</v>
      </c>
      <c r="L475" t="inlineStr">
        <is>
          <t>Full</t>
        </is>
      </c>
      <c r="M475" t="inlineStr">
        <is>
          <t>Spanish Bay</t>
        </is>
      </c>
      <c r="N475" t="inlineStr">
        <is>
          <t>Gold</t>
        </is>
      </c>
      <c r="O475" t="n">
        <v>72.09999999999999</v>
      </c>
      <c r="P475" t="n">
        <v>136</v>
      </c>
      <c r="Q475" t="n">
        <v>6422</v>
      </c>
      <c r="R475" t="inlineStr">
        <is>
          <t>Match Play</t>
        </is>
      </c>
      <c r="S475" t="inlineStr">
        <is>
          <t>Singles</t>
        </is>
      </c>
      <c r="T475" t="inlineStr">
        <is>
          <t>over 6'</t>
        </is>
      </c>
      <c r="U475" t="inlineStr">
        <is>
          <t>Connolly/Hilts</t>
        </is>
      </c>
      <c r="V475" t="inlineStr">
        <is>
          <t>Fogan</t>
        </is>
      </c>
      <c r="W475" t="inlineStr">
        <is>
          <t>Red</t>
        </is>
      </c>
      <c r="AA475" t="n">
        <v>2</v>
      </c>
      <c r="AB475" t="inlineStr">
        <is>
          <t>W</t>
        </is>
      </c>
      <c r="AC475" t="inlineStr">
        <is>
          <t>5&amp;4</t>
        </is>
      </c>
      <c r="AD475" t="inlineStr">
        <is>
          <t>Connors</t>
        </is>
      </c>
      <c r="AE475">
        <f>$V475&amp;$Y475</f>
        <v/>
      </c>
      <c r="AF475" t="n">
        <v>2</v>
      </c>
      <c r="AG475" t="n">
        <v>1</v>
      </c>
      <c r="AH475" t="n">
        <v>0</v>
      </c>
      <c r="AI475" t="n">
        <v>0</v>
      </c>
      <c r="AJ475" t="n">
        <v>1</v>
      </c>
      <c r="AK475" t="inlineStr">
        <is>
          <t>Connors</t>
        </is>
      </c>
      <c r="AL475" t="n">
        <v>0.347457627118644</v>
      </c>
    </row>
    <row r="476" ht="15" customHeight="1" s="2">
      <c r="B476" t="n">
        <v>1</v>
      </c>
      <c r="C476" t="n">
        <v>1</v>
      </c>
      <c r="D476" t="n">
        <v>8</v>
      </c>
      <c r="E476" t="inlineStr">
        <is>
          <t>FBC8-S-Delneky-McInerney-1</t>
        </is>
      </c>
      <c r="F476" t="inlineStr">
        <is>
          <t>Friday</t>
        </is>
      </c>
      <c r="G476" s="27" t="n">
        <v>44414</v>
      </c>
      <c r="H476" t="inlineStr">
        <is>
          <t>AM</t>
        </is>
      </c>
      <c r="I476" t="inlineStr">
        <is>
          <t>Nekoosa, WI</t>
        </is>
      </c>
      <c r="J476" t="inlineStr">
        <is>
          <t>Midwest</t>
        </is>
      </c>
      <c r="K476" t="n">
        <v>9</v>
      </c>
      <c r="L476" t="inlineStr">
        <is>
          <t>Front</t>
        </is>
      </c>
      <c r="M476" t="inlineStr">
        <is>
          <t>Sand Valley</t>
        </is>
      </c>
      <c r="N476" t="inlineStr">
        <is>
          <t>Orange</t>
        </is>
      </c>
      <c r="O476" t="n">
        <v>71.40000000000001</v>
      </c>
      <c r="P476" t="n">
        <v>130</v>
      </c>
      <c r="Q476" t="n">
        <v>6535</v>
      </c>
      <c r="R476" t="inlineStr">
        <is>
          <t>Singles</t>
        </is>
      </c>
      <c r="S476" t="inlineStr">
        <is>
          <t>Singles</t>
        </is>
      </c>
      <c r="T476" t="inlineStr">
        <is>
          <t>Over 6'</t>
        </is>
      </c>
      <c r="U476" t="inlineStr">
        <is>
          <t>Flanders</t>
        </is>
      </c>
      <c r="V476" t="inlineStr">
        <is>
          <t>McInerney</t>
        </is>
      </c>
      <c r="W476" t="inlineStr">
        <is>
          <t>Blue/White</t>
        </is>
      </c>
      <c r="AA476" t="n">
        <v>1</v>
      </c>
      <c r="AB476" t="inlineStr">
        <is>
          <t>T</t>
        </is>
      </c>
      <c r="AC476" t="inlineStr">
        <is>
          <t>Halved</t>
        </is>
      </c>
      <c r="AD476" t="inlineStr">
        <is>
          <t>Delneky</t>
        </is>
      </c>
      <c r="AE476">
        <f>$V476&amp;$Y476</f>
        <v/>
      </c>
      <c r="AF476" t="n">
        <v>0.5</v>
      </c>
      <c r="AG476" t="n">
        <v>0</v>
      </c>
      <c r="AH476" t="n">
        <v>0</v>
      </c>
      <c r="AI476" t="n">
        <v>1</v>
      </c>
      <c r="AJ476" t="n">
        <v>0.5</v>
      </c>
      <c r="AK476" t="inlineStr">
        <is>
          <t>Delneky</t>
        </is>
      </c>
      <c r="AL476" t="n">
        <v>0.6590909090909089</v>
      </c>
    </row>
    <row r="477" ht="15" customHeight="1" s="2">
      <c r="B477" t="n">
        <v>1</v>
      </c>
      <c r="C477" t="n">
        <v>1</v>
      </c>
      <c r="D477" t="n">
        <v>8</v>
      </c>
      <c r="E477" t="inlineStr">
        <is>
          <t>FBC8-S-Delneky-McInerney-1</t>
        </is>
      </c>
      <c r="F477" t="inlineStr">
        <is>
          <t>Friday</t>
        </is>
      </c>
      <c r="G477" s="27" t="n">
        <v>44414</v>
      </c>
      <c r="H477" t="inlineStr">
        <is>
          <t>AM</t>
        </is>
      </c>
      <c r="I477" t="inlineStr">
        <is>
          <t>Nekoosa, WI</t>
        </is>
      </c>
      <c r="J477" t="inlineStr">
        <is>
          <t>Midwest</t>
        </is>
      </c>
      <c r="K477" t="n">
        <v>9</v>
      </c>
      <c r="L477" t="inlineStr">
        <is>
          <t>Front</t>
        </is>
      </c>
      <c r="M477" t="inlineStr">
        <is>
          <t>Sand Valley</t>
        </is>
      </c>
      <c r="N477" t="inlineStr">
        <is>
          <t>Orange</t>
        </is>
      </c>
      <c r="O477" t="n">
        <v>71.40000000000001</v>
      </c>
      <c r="P477" t="n">
        <v>130</v>
      </c>
      <c r="Q477" t="n">
        <v>6535</v>
      </c>
      <c r="R477" t="inlineStr">
        <is>
          <t>Singles</t>
        </is>
      </c>
      <c r="S477" t="inlineStr">
        <is>
          <t>Singles</t>
        </is>
      </c>
      <c r="T477" t="inlineStr">
        <is>
          <t>Over 6'</t>
        </is>
      </c>
      <c r="U477" t="inlineStr">
        <is>
          <t>Welker</t>
        </is>
      </c>
      <c r="V477" t="inlineStr">
        <is>
          <t>Delneky</t>
        </is>
      </c>
      <c r="W477" t="inlineStr">
        <is>
          <t>UPS Brown</t>
        </is>
      </c>
      <c r="AA477" t="n">
        <v>1</v>
      </c>
      <c r="AB477" t="inlineStr">
        <is>
          <t>T</t>
        </is>
      </c>
      <c r="AC477" t="inlineStr">
        <is>
          <t>Halved</t>
        </is>
      </c>
      <c r="AD477" t="inlineStr">
        <is>
          <t>McInerney</t>
        </is>
      </c>
      <c r="AE477">
        <f>$V477&amp;$Y477</f>
        <v/>
      </c>
      <c r="AF477" t="n">
        <v>0.5</v>
      </c>
      <c r="AG477" t="n">
        <v>0</v>
      </c>
      <c r="AH477" t="n">
        <v>0</v>
      </c>
      <c r="AI477" t="n">
        <v>1</v>
      </c>
      <c r="AJ477" t="n">
        <v>0.5</v>
      </c>
      <c r="AK477" t="inlineStr">
        <is>
          <t>McInerney</t>
        </is>
      </c>
      <c r="AL477" t="n">
        <v>0.5</v>
      </c>
    </row>
    <row r="478" ht="15" customHeight="1" s="2">
      <c r="B478" t="n">
        <v>2</v>
      </c>
      <c r="C478" t="n">
        <v>2</v>
      </c>
      <c r="D478" t="n">
        <v>8</v>
      </c>
      <c r="E478" t="inlineStr">
        <is>
          <t>FBC8-D2</t>
        </is>
      </c>
      <c r="F478" t="inlineStr">
        <is>
          <t>Friday</t>
        </is>
      </c>
      <c r="G478" s="27" t="n">
        <v>44414</v>
      </c>
      <c r="H478" t="inlineStr">
        <is>
          <t>AM</t>
        </is>
      </c>
      <c r="I478" t="inlineStr">
        <is>
          <t>Nekoosa, WI</t>
        </is>
      </c>
      <c r="J478" t="inlineStr">
        <is>
          <t>Midwest</t>
        </is>
      </c>
      <c r="K478" t="n">
        <v>9</v>
      </c>
      <c r="L478" t="inlineStr">
        <is>
          <t>Front</t>
        </is>
      </c>
      <c r="M478" t="inlineStr">
        <is>
          <t>Sand Valley</t>
        </is>
      </c>
      <c r="N478" t="inlineStr">
        <is>
          <t>Orange</t>
        </is>
      </c>
      <c r="O478" t="n">
        <v>71.40000000000001</v>
      </c>
      <c r="P478" t="n">
        <v>130</v>
      </c>
      <c r="Q478" t="n">
        <v>6535</v>
      </c>
      <c r="R478" t="inlineStr">
        <is>
          <t>Best Ball</t>
        </is>
      </c>
      <c r="S478" t="inlineStr">
        <is>
          <t>Doubles</t>
        </is>
      </c>
      <c r="T478" t="inlineStr">
        <is>
          <t>Over 6'</t>
        </is>
      </c>
      <c r="U478" t="inlineStr">
        <is>
          <t>Flanders</t>
        </is>
      </c>
      <c r="V478" t="inlineStr">
        <is>
          <t>Flanders</t>
        </is>
      </c>
      <c r="W478" t="inlineStr">
        <is>
          <t>Blue/White</t>
        </is>
      </c>
      <c r="Y478" t="inlineStr">
        <is>
          <t>Forster</t>
        </is>
      </c>
      <c r="AA478" t="n">
        <v>1</v>
      </c>
      <c r="AB478" t="inlineStr">
        <is>
          <t>L</t>
        </is>
      </c>
      <c r="AC478" t="inlineStr">
        <is>
          <t>5&amp;3</t>
        </is>
      </c>
      <c r="AE478">
        <f>$V478&amp;$Y478</f>
        <v/>
      </c>
      <c r="AF478" t="n">
        <v>0</v>
      </c>
      <c r="AG478" t="n">
        <v>0</v>
      </c>
      <c r="AH478" t="n">
        <v>1</v>
      </c>
      <c r="AI478" t="n">
        <v>0</v>
      </c>
      <c r="AJ478" t="n">
        <v>0</v>
      </c>
      <c r="AK478" t="inlineStr">
        <is>
          <t>Deoteris</t>
        </is>
      </c>
      <c r="AL478" t="n">
        <v>0.545454545454545</v>
      </c>
      <c r="AM478" t="inlineStr">
        <is>
          <t>Ferrin</t>
        </is>
      </c>
      <c r="AN478" t="n">
        <v>0.595238095238095</v>
      </c>
    </row>
    <row r="479" ht="15" customHeight="1" s="2">
      <c r="B479" t="n">
        <v>2</v>
      </c>
      <c r="C479" t="n">
        <v>2</v>
      </c>
      <c r="D479" t="n">
        <v>8</v>
      </c>
      <c r="E479" t="inlineStr">
        <is>
          <t>FBC8-D2</t>
        </is>
      </c>
      <c r="F479" t="inlineStr">
        <is>
          <t>Friday</t>
        </is>
      </c>
      <c r="G479" s="27" t="n">
        <v>44414</v>
      </c>
      <c r="H479" t="inlineStr">
        <is>
          <t>AM</t>
        </is>
      </c>
      <c r="I479" t="inlineStr">
        <is>
          <t>Nekoosa, WI</t>
        </is>
      </c>
      <c r="J479" t="inlineStr">
        <is>
          <t>Midwest</t>
        </is>
      </c>
      <c r="K479" t="n">
        <v>9</v>
      </c>
      <c r="L479" t="inlineStr">
        <is>
          <t>Front</t>
        </is>
      </c>
      <c r="M479" t="inlineStr">
        <is>
          <t>Sand Valley</t>
        </is>
      </c>
      <c r="N479" t="inlineStr">
        <is>
          <t>Orange</t>
        </is>
      </c>
      <c r="O479" t="n">
        <v>71.40000000000001</v>
      </c>
      <c r="P479" t="n">
        <v>130</v>
      </c>
      <c r="Q479" t="n">
        <v>6535</v>
      </c>
      <c r="R479" t="inlineStr">
        <is>
          <t>Best Ball</t>
        </is>
      </c>
      <c r="S479" t="inlineStr">
        <is>
          <t>Doubles</t>
        </is>
      </c>
      <c r="T479" t="inlineStr">
        <is>
          <t>Over 6'</t>
        </is>
      </c>
      <c r="U479" t="inlineStr">
        <is>
          <t>Welker</t>
        </is>
      </c>
      <c r="V479" t="inlineStr">
        <is>
          <t>Deoteris</t>
        </is>
      </c>
      <c r="W479" t="inlineStr">
        <is>
          <t>UPS Brown</t>
        </is>
      </c>
      <c r="Y479" t="inlineStr">
        <is>
          <t>Ferrin</t>
        </is>
      </c>
      <c r="AA479" t="n">
        <v>1</v>
      </c>
      <c r="AB479" t="inlineStr">
        <is>
          <t>W</t>
        </is>
      </c>
      <c r="AC479" t="inlineStr">
        <is>
          <t>5&amp;3</t>
        </is>
      </c>
      <c r="AE479">
        <f>$V479&amp;$Y479</f>
        <v/>
      </c>
      <c r="AF479" t="n">
        <v>1</v>
      </c>
      <c r="AG479" t="n">
        <v>1</v>
      </c>
      <c r="AH479" t="n">
        <v>0</v>
      </c>
      <c r="AI479" t="n">
        <v>0</v>
      </c>
      <c r="AJ479" t="n">
        <v>1</v>
      </c>
      <c r="AK479" t="inlineStr">
        <is>
          <t>Flanders</t>
        </is>
      </c>
      <c r="AL479" t="n">
        <v>0.4296875</v>
      </c>
      <c r="AM479" t="inlineStr">
        <is>
          <t>Forster</t>
        </is>
      </c>
      <c r="AN479" t="n">
        <v>0.596491228070175</v>
      </c>
    </row>
    <row r="480" ht="15" customHeight="1" s="2">
      <c r="B480" t="n">
        <v>3</v>
      </c>
      <c r="C480" t="n">
        <v>3</v>
      </c>
      <c r="D480" t="n">
        <v>8</v>
      </c>
      <c r="E480" t="inlineStr">
        <is>
          <t>FBC8-D3</t>
        </is>
      </c>
      <c r="F480" t="inlineStr">
        <is>
          <t>Friday</t>
        </is>
      </c>
      <c r="G480" s="27" t="n">
        <v>44414</v>
      </c>
      <c r="H480" t="inlineStr">
        <is>
          <t>AM</t>
        </is>
      </c>
      <c r="I480" t="inlineStr">
        <is>
          <t>Nekoosa, WI</t>
        </is>
      </c>
      <c r="J480" t="inlineStr">
        <is>
          <t>Midwest</t>
        </is>
      </c>
      <c r="K480" t="n">
        <v>9</v>
      </c>
      <c r="L480" t="inlineStr">
        <is>
          <t>Front</t>
        </is>
      </c>
      <c r="M480" t="inlineStr">
        <is>
          <t>Sand Valley</t>
        </is>
      </c>
      <c r="N480" t="inlineStr">
        <is>
          <t>Orange</t>
        </is>
      </c>
      <c r="O480" t="n">
        <v>71.40000000000001</v>
      </c>
      <c r="P480" t="n">
        <v>130</v>
      </c>
      <c r="Q480" t="n">
        <v>6535</v>
      </c>
      <c r="R480" t="inlineStr">
        <is>
          <t>Best Ball</t>
        </is>
      </c>
      <c r="S480" t="inlineStr">
        <is>
          <t>Doubles</t>
        </is>
      </c>
      <c r="T480" t="inlineStr">
        <is>
          <t>Over 6'</t>
        </is>
      </c>
      <c r="U480" t="inlineStr">
        <is>
          <t>Welker</t>
        </is>
      </c>
      <c r="V480" t="inlineStr">
        <is>
          <t>Delaney</t>
        </is>
      </c>
      <c r="W480" t="inlineStr">
        <is>
          <t>UPS Brown</t>
        </is>
      </c>
      <c r="Y480" t="inlineStr">
        <is>
          <t>Perkins</t>
        </is>
      </c>
      <c r="AA480" t="n">
        <v>1</v>
      </c>
      <c r="AB480" t="inlineStr">
        <is>
          <t>W</t>
        </is>
      </c>
      <c r="AC480" t="inlineStr">
        <is>
          <t>1up</t>
        </is>
      </c>
      <c r="AE480">
        <f>$V480&amp;$Y480</f>
        <v/>
      </c>
      <c r="AF480" t="n">
        <v>1</v>
      </c>
      <c r="AG480" t="n">
        <v>1</v>
      </c>
      <c r="AH480" t="n">
        <v>0</v>
      </c>
      <c r="AI480" t="n">
        <v>0</v>
      </c>
      <c r="AJ480" t="n">
        <v>1</v>
      </c>
      <c r="AK480" t="inlineStr">
        <is>
          <t>Mangold</t>
        </is>
      </c>
      <c r="AL480" t="n">
        <v>0.383928571428572</v>
      </c>
      <c r="AM480" t="inlineStr">
        <is>
          <t>Piegari</t>
        </is>
      </c>
      <c r="AN480" t="n">
        <v>0.333333333333333</v>
      </c>
    </row>
    <row r="481" ht="15" customHeight="1" s="2">
      <c r="B481" t="n">
        <v>3</v>
      </c>
      <c r="C481" t="n">
        <v>3</v>
      </c>
      <c r="D481" t="n">
        <v>8</v>
      </c>
      <c r="E481" t="inlineStr">
        <is>
          <t>FBC8-D3</t>
        </is>
      </c>
      <c r="F481" t="inlineStr">
        <is>
          <t>Friday</t>
        </is>
      </c>
      <c r="G481" s="27" t="n">
        <v>44414</v>
      </c>
      <c r="H481" t="inlineStr">
        <is>
          <t>AM</t>
        </is>
      </c>
      <c r="I481" t="inlineStr">
        <is>
          <t>Nekoosa, WI</t>
        </is>
      </c>
      <c r="J481" t="inlineStr">
        <is>
          <t>Midwest</t>
        </is>
      </c>
      <c r="K481" t="n">
        <v>9</v>
      </c>
      <c r="L481" t="inlineStr">
        <is>
          <t>Front</t>
        </is>
      </c>
      <c r="M481" t="inlineStr">
        <is>
          <t>Sand Valley</t>
        </is>
      </c>
      <c r="N481" t="inlineStr">
        <is>
          <t>Orange</t>
        </is>
      </c>
      <c r="O481" t="n">
        <v>71.40000000000001</v>
      </c>
      <c r="P481" t="n">
        <v>130</v>
      </c>
      <c r="Q481" t="n">
        <v>6535</v>
      </c>
      <c r="R481" t="inlineStr">
        <is>
          <t>Best Ball</t>
        </is>
      </c>
      <c r="S481" t="inlineStr">
        <is>
          <t>Doubles</t>
        </is>
      </c>
      <c r="T481" t="inlineStr">
        <is>
          <t>Over 6'</t>
        </is>
      </c>
      <c r="U481" t="inlineStr">
        <is>
          <t>Flanders</t>
        </is>
      </c>
      <c r="V481" t="inlineStr">
        <is>
          <t>Mangold</t>
        </is>
      </c>
      <c r="W481" t="inlineStr">
        <is>
          <t>Blue/White</t>
        </is>
      </c>
      <c r="Y481" t="inlineStr">
        <is>
          <t>Piegari</t>
        </is>
      </c>
      <c r="AA481" t="n">
        <v>1</v>
      </c>
      <c r="AB481" t="inlineStr">
        <is>
          <t>L</t>
        </is>
      </c>
      <c r="AC481" t="inlineStr">
        <is>
          <t>1up</t>
        </is>
      </c>
      <c r="AE481">
        <f>$V481&amp;$Y481</f>
        <v/>
      </c>
      <c r="AF481" t="n">
        <v>0</v>
      </c>
      <c r="AG481" t="n">
        <v>0</v>
      </c>
      <c r="AH481" t="n">
        <v>1</v>
      </c>
      <c r="AI481" t="n">
        <v>0</v>
      </c>
      <c r="AJ481" t="n">
        <v>0</v>
      </c>
      <c r="AK481" t="inlineStr">
        <is>
          <t>Delaney</t>
        </is>
      </c>
      <c r="AL481" t="n">
        <v>0.46551724137931</v>
      </c>
      <c r="AM481" t="inlineStr">
        <is>
          <t>Perkins</t>
        </is>
      </c>
      <c r="AN481" t="n">
        <v>0.638888888888889</v>
      </c>
    </row>
    <row r="482" ht="15" customHeight="1" s="2">
      <c r="B482" t="n">
        <v>4</v>
      </c>
      <c r="C482" t="n">
        <v>4</v>
      </c>
      <c r="D482" t="n">
        <v>8</v>
      </c>
      <c r="E482" t="inlineStr">
        <is>
          <t>FBC8-D4</t>
        </is>
      </c>
      <c r="F482" t="inlineStr">
        <is>
          <t>Friday</t>
        </is>
      </c>
      <c r="G482" s="27" t="n">
        <v>44414</v>
      </c>
      <c r="H482" t="inlineStr">
        <is>
          <t>AM</t>
        </is>
      </c>
      <c r="I482" t="inlineStr">
        <is>
          <t>Nekoosa, WI</t>
        </is>
      </c>
      <c r="J482" t="inlineStr">
        <is>
          <t>Midwest</t>
        </is>
      </c>
      <c r="K482" t="n">
        <v>9</v>
      </c>
      <c r="L482" t="inlineStr">
        <is>
          <t>Front</t>
        </is>
      </c>
      <c r="M482" t="inlineStr">
        <is>
          <t>Sand Valley</t>
        </is>
      </c>
      <c r="N482" t="inlineStr">
        <is>
          <t>Orange</t>
        </is>
      </c>
      <c r="O482" t="n">
        <v>71.40000000000001</v>
      </c>
      <c r="P482" t="n">
        <v>130</v>
      </c>
      <c r="Q482" t="n">
        <v>6535</v>
      </c>
      <c r="R482" t="inlineStr">
        <is>
          <t>Best Ball</t>
        </is>
      </c>
      <c r="S482" t="inlineStr">
        <is>
          <t>Doubles</t>
        </is>
      </c>
      <c r="T482" t="inlineStr">
        <is>
          <t>Over 6'</t>
        </is>
      </c>
      <c r="U482" t="inlineStr">
        <is>
          <t>Flanders</t>
        </is>
      </c>
      <c r="V482" t="inlineStr">
        <is>
          <t>Cole</t>
        </is>
      </c>
      <c r="W482" t="inlineStr">
        <is>
          <t>Blue/White</t>
        </is>
      </c>
      <c r="Y482" t="inlineStr">
        <is>
          <t>Fogan</t>
        </is>
      </c>
      <c r="AA482" t="n">
        <v>1</v>
      </c>
      <c r="AB482" t="inlineStr">
        <is>
          <t>L</t>
        </is>
      </c>
      <c r="AC482" t="inlineStr">
        <is>
          <t>3&amp;1</t>
        </is>
      </c>
      <c r="AE482">
        <f>$V482&amp;$Y482</f>
        <v/>
      </c>
      <c r="AF482" t="n">
        <v>0</v>
      </c>
      <c r="AG482" t="n">
        <v>0</v>
      </c>
      <c r="AH482" t="n">
        <v>1</v>
      </c>
      <c r="AI482" t="n">
        <v>0</v>
      </c>
      <c r="AJ482" t="n">
        <v>0</v>
      </c>
      <c r="AK482" t="inlineStr">
        <is>
          <t>Hilts</t>
        </is>
      </c>
      <c r="AL482" t="n">
        <v>0.473214285714286</v>
      </c>
      <c r="AM482" t="inlineStr">
        <is>
          <t>Welker</t>
        </is>
      </c>
      <c r="AN482" t="n">
        <v>0.510416666666667</v>
      </c>
    </row>
    <row r="483" ht="15" customHeight="1" s="2">
      <c r="B483" t="n">
        <v>4</v>
      </c>
      <c r="C483" t="n">
        <v>4</v>
      </c>
      <c r="D483" t="n">
        <v>8</v>
      </c>
      <c r="E483" t="inlineStr">
        <is>
          <t>FBC8-D4</t>
        </is>
      </c>
      <c r="F483" t="inlineStr">
        <is>
          <t>Friday</t>
        </is>
      </c>
      <c r="G483" s="27" t="n">
        <v>44414</v>
      </c>
      <c r="H483" t="inlineStr">
        <is>
          <t>AM</t>
        </is>
      </c>
      <c r="I483" t="inlineStr">
        <is>
          <t>Nekoosa, WI</t>
        </is>
      </c>
      <c r="J483" t="inlineStr">
        <is>
          <t>Midwest</t>
        </is>
      </c>
      <c r="K483" t="n">
        <v>9</v>
      </c>
      <c r="L483" t="inlineStr">
        <is>
          <t>Front</t>
        </is>
      </c>
      <c r="M483" t="inlineStr">
        <is>
          <t>Sand Valley</t>
        </is>
      </c>
      <c r="N483" t="inlineStr">
        <is>
          <t>Orange</t>
        </is>
      </c>
      <c r="O483" t="n">
        <v>71.40000000000001</v>
      </c>
      <c r="P483" t="n">
        <v>130</v>
      </c>
      <c r="Q483" t="n">
        <v>6535</v>
      </c>
      <c r="R483" t="inlineStr">
        <is>
          <t>Best Ball</t>
        </is>
      </c>
      <c r="S483" t="inlineStr">
        <is>
          <t>Doubles</t>
        </is>
      </c>
      <c r="T483" t="inlineStr">
        <is>
          <t>Over 6'</t>
        </is>
      </c>
      <c r="U483" t="inlineStr">
        <is>
          <t>Welker</t>
        </is>
      </c>
      <c r="V483" t="inlineStr">
        <is>
          <t>Hilts</t>
        </is>
      </c>
      <c r="W483" t="inlineStr">
        <is>
          <t>UPS Brown</t>
        </is>
      </c>
      <c r="Y483" t="inlineStr">
        <is>
          <t>Welker</t>
        </is>
      </c>
      <c r="AA483" t="n">
        <v>1</v>
      </c>
      <c r="AB483" t="inlineStr">
        <is>
          <t>W</t>
        </is>
      </c>
      <c r="AC483" t="inlineStr">
        <is>
          <t>3&amp;1</t>
        </is>
      </c>
      <c r="AE483">
        <f>$V483&amp;$Y483</f>
        <v/>
      </c>
      <c r="AF483" t="n">
        <v>1</v>
      </c>
      <c r="AG483" t="n">
        <v>1</v>
      </c>
      <c r="AH483" t="n">
        <v>0</v>
      </c>
      <c r="AI483" t="n">
        <v>0</v>
      </c>
      <c r="AJ483" t="n">
        <v>1</v>
      </c>
      <c r="AK483" t="inlineStr">
        <is>
          <t>Cole</t>
        </is>
      </c>
      <c r="AL483" t="n">
        <v>0.440677966101695</v>
      </c>
      <c r="AM483" t="inlineStr">
        <is>
          <t>Fogan</t>
        </is>
      </c>
      <c r="AN483" t="n">
        <v>0.372881355932203</v>
      </c>
    </row>
    <row r="484" ht="15" customHeight="1" s="2">
      <c r="B484" t="n">
        <v>5</v>
      </c>
      <c r="C484" t="n">
        <v>5</v>
      </c>
      <c r="D484" t="n">
        <v>8</v>
      </c>
      <c r="E484" t="inlineStr">
        <is>
          <t>FBC8-D5</t>
        </is>
      </c>
      <c r="F484" t="inlineStr">
        <is>
          <t>Friday</t>
        </is>
      </c>
      <c r="G484" s="27" t="n">
        <v>44414</v>
      </c>
      <c r="H484" t="inlineStr">
        <is>
          <t>AM</t>
        </is>
      </c>
      <c r="I484" t="inlineStr">
        <is>
          <t>Nekoosa, WI</t>
        </is>
      </c>
      <c r="J484" t="inlineStr">
        <is>
          <t>Midwest</t>
        </is>
      </c>
      <c r="K484" t="n">
        <v>9</v>
      </c>
      <c r="L484" t="inlineStr">
        <is>
          <t>Front</t>
        </is>
      </c>
      <c r="M484" t="inlineStr">
        <is>
          <t>Sand Valley</t>
        </is>
      </c>
      <c r="N484" t="inlineStr">
        <is>
          <t>Orange</t>
        </is>
      </c>
      <c r="O484" t="n">
        <v>71.40000000000001</v>
      </c>
      <c r="P484" t="n">
        <v>130</v>
      </c>
      <c r="Q484" t="n">
        <v>6535</v>
      </c>
      <c r="R484" t="inlineStr">
        <is>
          <t>Best Ball</t>
        </is>
      </c>
      <c r="S484" t="inlineStr">
        <is>
          <t>Doubles</t>
        </is>
      </c>
      <c r="T484" t="inlineStr">
        <is>
          <t>Over 6'</t>
        </is>
      </c>
      <c r="U484" t="inlineStr">
        <is>
          <t>Welker</t>
        </is>
      </c>
      <c r="V484" t="inlineStr">
        <is>
          <t>Grise</t>
        </is>
      </c>
      <c r="W484" t="inlineStr">
        <is>
          <t>UPS Brown</t>
        </is>
      </c>
      <c r="Y484" t="inlineStr">
        <is>
          <t>Zimmer</t>
        </is>
      </c>
      <c r="AA484" t="n">
        <v>1</v>
      </c>
      <c r="AB484" t="inlineStr">
        <is>
          <t>W</t>
        </is>
      </c>
      <c r="AC484" t="inlineStr">
        <is>
          <t>1up</t>
        </is>
      </c>
      <c r="AE484">
        <f>$V484&amp;$Y484</f>
        <v/>
      </c>
      <c r="AF484" t="n">
        <v>1</v>
      </c>
      <c r="AG484" t="n">
        <v>1</v>
      </c>
      <c r="AH484" t="n">
        <v>0</v>
      </c>
      <c r="AI484" t="n">
        <v>0</v>
      </c>
      <c r="AJ484" t="n">
        <v>1</v>
      </c>
      <c r="AK484" t="inlineStr">
        <is>
          <t>Lynch</t>
        </is>
      </c>
      <c r="AL484" t="n">
        <v>0.5546875</v>
      </c>
      <c r="AM484" t="inlineStr">
        <is>
          <t>Ramsay</t>
        </is>
      </c>
    </row>
    <row r="485" ht="15" customHeight="1" s="2">
      <c r="B485" t="n">
        <v>5</v>
      </c>
      <c r="C485" t="n">
        <v>5</v>
      </c>
      <c r="D485" t="n">
        <v>8</v>
      </c>
      <c r="E485" t="inlineStr">
        <is>
          <t>FBC8-D5</t>
        </is>
      </c>
      <c r="F485" t="inlineStr">
        <is>
          <t>Friday</t>
        </is>
      </c>
      <c r="G485" s="27" t="n">
        <v>44414</v>
      </c>
      <c r="H485" t="inlineStr">
        <is>
          <t>AM</t>
        </is>
      </c>
      <c r="I485" t="inlineStr">
        <is>
          <t>Nekoosa, WI</t>
        </is>
      </c>
      <c r="J485" t="inlineStr">
        <is>
          <t>Midwest</t>
        </is>
      </c>
      <c r="K485" t="n">
        <v>9</v>
      </c>
      <c r="L485" t="inlineStr">
        <is>
          <t>Front</t>
        </is>
      </c>
      <c r="M485" t="inlineStr">
        <is>
          <t>Sand Valley</t>
        </is>
      </c>
      <c r="N485" t="inlineStr">
        <is>
          <t>Orange</t>
        </is>
      </c>
      <c r="O485" t="n">
        <v>71.40000000000001</v>
      </c>
      <c r="P485" t="n">
        <v>130</v>
      </c>
      <c r="Q485" t="n">
        <v>6535</v>
      </c>
      <c r="R485" t="inlineStr">
        <is>
          <t>Best Ball</t>
        </is>
      </c>
      <c r="S485" t="inlineStr">
        <is>
          <t>Doubles</t>
        </is>
      </c>
      <c r="T485" t="inlineStr">
        <is>
          <t>Over 6'</t>
        </is>
      </c>
      <c r="U485" t="inlineStr">
        <is>
          <t>Flanders</t>
        </is>
      </c>
      <c r="V485" t="inlineStr">
        <is>
          <t>Lynch</t>
        </is>
      </c>
      <c r="W485" t="inlineStr">
        <is>
          <t>Blue/White</t>
        </is>
      </c>
      <c r="Y485" t="inlineStr">
        <is>
          <t>Ramsay</t>
        </is>
      </c>
      <c r="AA485" t="n">
        <v>1</v>
      </c>
      <c r="AB485" t="inlineStr">
        <is>
          <t>L</t>
        </is>
      </c>
      <c r="AC485" t="inlineStr">
        <is>
          <t>1up</t>
        </is>
      </c>
      <c r="AE485">
        <f>$V485&amp;$Y485</f>
        <v/>
      </c>
      <c r="AF485" t="n">
        <v>0</v>
      </c>
      <c r="AG485" t="n">
        <v>0</v>
      </c>
      <c r="AH485" t="n">
        <v>1</v>
      </c>
      <c r="AI485" t="n">
        <v>0</v>
      </c>
      <c r="AJ485" t="n">
        <v>0</v>
      </c>
      <c r="AK485" t="inlineStr">
        <is>
          <t>Grise</t>
        </is>
      </c>
      <c r="AL485" t="n">
        <v>0.546875</v>
      </c>
      <c r="AM485" t="inlineStr">
        <is>
          <t>Zimmer</t>
        </is>
      </c>
      <c r="AN485" t="n">
        <v>0.5</v>
      </c>
    </row>
    <row r="486" ht="15" customHeight="1" s="2">
      <c r="B486" t="n">
        <v>6</v>
      </c>
      <c r="C486" t="n">
        <v>6</v>
      </c>
      <c r="D486" t="n">
        <v>8</v>
      </c>
      <c r="E486" t="inlineStr">
        <is>
          <t>FBC8-D6</t>
        </is>
      </c>
      <c r="F486" t="inlineStr">
        <is>
          <t>Friday</t>
        </is>
      </c>
      <c r="G486" s="27" t="n">
        <v>44414</v>
      </c>
      <c r="H486" t="inlineStr">
        <is>
          <t>AM</t>
        </is>
      </c>
      <c r="I486" t="inlineStr">
        <is>
          <t>Nekoosa, WI</t>
        </is>
      </c>
      <c r="J486" t="inlineStr">
        <is>
          <t>Midwest</t>
        </is>
      </c>
      <c r="K486" t="n">
        <v>9</v>
      </c>
      <c r="L486" t="inlineStr">
        <is>
          <t>Front</t>
        </is>
      </c>
      <c r="M486" t="inlineStr">
        <is>
          <t>Sand Valley</t>
        </is>
      </c>
      <c r="N486" t="inlineStr">
        <is>
          <t>Orange</t>
        </is>
      </c>
      <c r="O486" t="n">
        <v>71.40000000000001</v>
      </c>
      <c r="P486" t="n">
        <v>130</v>
      </c>
      <c r="Q486" t="n">
        <v>6535</v>
      </c>
      <c r="R486" t="inlineStr">
        <is>
          <t>Best Ball</t>
        </is>
      </c>
      <c r="S486" t="inlineStr">
        <is>
          <t>Doubles</t>
        </is>
      </c>
      <c r="T486" t="inlineStr">
        <is>
          <t>Over 6'</t>
        </is>
      </c>
      <c r="U486" t="inlineStr">
        <is>
          <t>Flanders</t>
        </is>
      </c>
      <c r="V486" t="inlineStr">
        <is>
          <t>Jackson</t>
        </is>
      </c>
      <c r="W486" t="inlineStr">
        <is>
          <t>Blue/White</t>
        </is>
      </c>
      <c r="Y486" t="inlineStr">
        <is>
          <t>Shively</t>
        </is>
      </c>
      <c r="AA486" t="n">
        <v>1</v>
      </c>
      <c r="AB486" t="inlineStr">
        <is>
          <t>L</t>
        </is>
      </c>
      <c r="AC486" t="inlineStr">
        <is>
          <t>3&amp;2</t>
        </is>
      </c>
      <c r="AE486">
        <f>$V486&amp;$Y486</f>
        <v/>
      </c>
      <c r="AF486" t="n">
        <v>0</v>
      </c>
      <c r="AG486" t="n">
        <v>0</v>
      </c>
      <c r="AH486" t="n">
        <v>1</v>
      </c>
      <c r="AI486" t="n">
        <v>0</v>
      </c>
      <c r="AJ486" t="n">
        <v>0</v>
      </c>
      <c r="AK486" t="inlineStr">
        <is>
          <t>Connolly</t>
        </is>
      </c>
      <c r="AL486" t="n">
        <v>0.59375</v>
      </c>
      <c r="AM486" t="inlineStr">
        <is>
          <t>Connors</t>
        </is>
      </c>
      <c r="AN486" t="n">
        <v>0.347457627118644</v>
      </c>
    </row>
    <row r="487" ht="15" customHeight="1" s="2">
      <c r="B487" t="n">
        <v>6</v>
      </c>
      <c r="C487" t="n">
        <v>6</v>
      </c>
      <c r="D487" t="n">
        <v>8</v>
      </c>
      <c r="E487" t="inlineStr">
        <is>
          <t>FBC8-D6</t>
        </is>
      </c>
      <c r="F487" t="inlineStr">
        <is>
          <t>Friday</t>
        </is>
      </c>
      <c r="G487" s="27" t="n">
        <v>44414</v>
      </c>
      <c r="H487" t="inlineStr">
        <is>
          <t>AM</t>
        </is>
      </c>
      <c r="I487" t="inlineStr">
        <is>
          <t>Nekoosa, WI</t>
        </is>
      </c>
      <c r="J487" t="inlineStr">
        <is>
          <t>Midwest</t>
        </is>
      </c>
      <c r="K487" t="n">
        <v>9</v>
      </c>
      <c r="L487" t="inlineStr">
        <is>
          <t>Front</t>
        </is>
      </c>
      <c r="M487" t="inlineStr">
        <is>
          <t>Sand Valley</t>
        </is>
      </c>
      <c r="N487" t="inlineStr">
        <is>
          <t>Orange</t>
        </is>
      </c>
      <c r="O487" t="n">
        <v>71.40000000000001</v>
      </c>
      <c r="P487" t="n">
        <v>130</v>
      </c>
      <c r="Q487" t="n">
        <v>6535</v>
      </c>
      <c r="R487" t="inlineStr">
        <is>
          <t>Best Ball</t>
        </is>
      </c>
      <c r="S487" t="inlineStr">
        <is>
          <t>Doubles</t>
        </is>
      </c>
      <c r="T487" t="inlineStr">
        <is>
          <t>Over 6'</t>
        </is>
      </c>
      <c r="U487" t="inlineStr">
        <is>
          <t>Welker</t>
        </is>
      </c>
      <c r="V487" t="inlineStr">
        <is>
          <t>Connolly</t>
        </is>
      </c>
      <c r="W487" t="inlineStr">
        <is>
          <t>UPS Brown</t>
        </is>
      </c>
      <c r="Y487" t="inlineStr">
        <is>
          <t>Connors</t>
        </is>
      </c>
      <c r="AA487" t="n">
        <v>1</v>
      </c>
      <c r="AB487" t="inlineStr">
        <is>
          <t>W</t>
        </is>
      </c>
      <c r="AC487" t="inlineStr">
        <is>
          <t>3&amp;2</t>
        </is>
      </c>
      <c r="AE487">
        <f>$V487&amp;$Y487</f>
        <v/>
      </c>
      <c r="AF487" t="n">
        <v>1</v>
      </c>
      <c r="AG487" t="n">
        <v>1</v>
      </c>
      <c r="AH487" t="n">
        <v>0</v>
      </c>
      <c r="AI487" t="n">
        <v>0</v>
      </c>
      <c r="AJ487" t="n">
        <v>1</v>
      </c>
      <c r="AK487" t="inlineStr">
        <is>
          <t>Jackson</t>
        </is>
      </c>
      <c r="AL487" t="n">
        <v>0.6171875</v>
      </c>
      <c r="AM487" t="inlineStr">
        <is>
          <t>Shively</t>
        </is>
      </c>
    </row>
    <row r="488" ht="15" customHeight="1" s="2">
      <c r="B488" t="n">
        <v>7</v>
      </c>
      <c r="C488" t="n">
        <v>1</v>
      </c>
      <c r="D488" t="n">
        <v>8</v>
      </c>
      <c r="E488" t="inlineStr">
        <is>
          <t>FBC8-S-Delneky-McInerney-2</t>
        </is>
      </c>
      <c r="F488" t="inlineStr">
        <is>
          <t>Friday</t>
        </is>
      </c>
      <c r="G488" s="27" t="n">
        <v>44414</v>
      </c>
      <c r="H488" t="inlineStr">
        <is>
          <t>AM</t>
        </is>
      </c>
      <c r="I488" t="inlineStr">
        <is>
          <t>Nekoosa, WI</t>
        </is>
      </c>
      <c r="J488" t="inlineStr">
        <is>
          <t>Midwest</t>
        </is>
      </c>
      <c r="K488" t="n">
        <v>9</v>
      </c>
      <c r="L488" t="inlineStr">
        <is>
          <t>Back</t>
        </is>
      </c>
      <c r="M488" t="inlineStr">
        <is>
          <t>Sand Valley</t>
        </is>
      </c>
      <c r="N488" t="inlineStr">
        <is>
          <t>Orange</t>
        </is>
      </c>
      <c r="O488" t="n">
        <v>71.40000000000001</v>
      </c>
      <c r="P488" t="n">
        <v>130</v>
      </c>
      <c r="Q488" t="n">
        <v>6535</v>
      </c>
      <c r="R488" t="inlineStr">
        <is>
          <t>Singles</t>
        </is>
      </c>
      <c r="S488" t="inlineStr">
        <is>
          <t>Singles</t>
        </is>
      </c>
      <c r="T488" t="inlineStr">
        <is>
          <t>Over 6'</t>
        </is>
      </c>
      <c r="U488" t="inlineStr">
        <is>
          <t>Flanders</t>
        </is>
      </c>
      <c r="V488" t="inlineStr">
        <is>
          <t>McInerney</t>
        </is>
      </c>
      <c r="W488" t="inlineStr">
        <is>
          <t>Blue/White</t>
        </is>
      </c>
      <c r="AA488" t="n">
        <v>1</v>
      </c>
      <c r="AB488" t="inlineStr">
        <is>
          <t>W</t>
        </is>
      </c>
      <c r="AC488" t="inlineStr">
        <is>
          <t>1up</t>
        </is>
      </c>
      <c r="AD488" t="inlineStr">
        <is>
          <t>Delneky</t>
        </is>
      </c>
      <c r="AE488">
        <f>$V488&amp;$Y488</f>
        <v/>
      </c>
      <c r="AF488" t="n">
        <v>1</v>
      </c>
      <c r="AG488" t="n">
        <v>1</v>
      </c>
      <c r="AH488" t="n">
        <v>0</v>
      </c>
      <c r="AI488" t="n">
        <v>0</v>
      </c>
      <c r="AJ488" t="n">
        <v>1</v>
      </c>
      <c r="AK488" t="inlineStr">
        <is>
          <t>Delneky</t>
        </is>
      </c>
      <c r="AL488" t="n">
        <v>0.6590909090909089</v>
      </c>
    </row>
    <row r="489" ht="15" customHeight="1" s="2">
      <c r="B489" t="n">
        <v>7</v>
      </c>
      <c r="C489" t="n">
        <v>1</v>
      </c>
      <c r="D489" t="n">
        <v>8</v>
      </c>
      <c r="E489" t="inlineStr">
        <is>
          <t>FBC8-S-Delneky-McInerney-2</t>
        </is>
      </c>
      <c r="F489" t="inlineStr">
        <is>
          <t>Friday</t>
        </is>
      </c>
      <c r="G489" s="27" t="n">
        <v>44414</v>
      </c>
      <c r="H489" t="inlineStr">
        <is>
          <t>AM</t>
        </is>
      </c>
      <c r="I489" t="inlineStr">
        <is>
          <t>Nekoosa, WI</t>
        </is>
      </c>
      <c r="J489" t="inlineStr">
        <is>
          <t>Midwest</t>
        </is>
      </c>
      <c r="K489" t="n">
        <v>9</v>
      </c>
      <c r="L489" t="inlineStr">
        <is>
          <t>Back</t>
        </is>
      </c>
      <c r="M489" t="inlineStr">
        <is>
          <t>Sand Valley</t>
        </is>
      </c>
      <c r="N489" t="inlineStr">
        <is>
          <t>Orange</t>
        </is>
      </c>
      <c r="O489" t="n">
        <v>71.40000000000001</v>
      </c>
      <c r="P489" t="n">
        <v>130</v>
      </c>
      <c r="Q489" t="n">
        <v>6535</v>
      </c>
      <c r="R489" t="inlineStr">
        <is>
          <t>Singles</t>
        </is>
      </c>
      <c r="S489" t="inlineStr">
        <is>
          <t>Singles</t>
        </is>
      </c>
      <c r="T489" t="inlineStr">
        <is>
          <t>Over 6'</t>
        </is>
      </c>
      <c r="U489" t="inlineStr">
        <is>
          <t>Welker</t>
        </is>
      </c>
      <c r="V489" t="inlineStr">
        <is>
          <t>Delneky</t>
        </is>
      </c>
      <c r="W489" t="inlineStr">
        <is>
          <t>UPS Brown</t>
        </is>
      </c>
      <c r="AA489" t="n">
        <v>1</v>
      </c>
      <c r="AB489" t="inlineStr">
        <is>
          <t>L</t>
        </is>
      </c>
      <c r="AC489" t="inlineStr">
        <is>
          <t>1up</t>
        </is>
      </c>
      <c r="AD489" t="inlineStr">
        <is>
          <t>McInerney</t>
        </is>
      </c>
      <c r="AE489">
        <f>$V489&amp;$Y489</f>
        <v/>
      </c>
      <c r="AF489" t="n">
        <v>0</v>
      </c>
      <c r="AG489" t="n">
        <v>0</v>
      </c>
      <c r="AH489" t="n">
        <v>1</v>
      </c>
      <c r="AI489" t="n">
        <v>0</v>
      </c>
      <c r="AJ489" t="n">
        <v>0</v>
      </c>
      <c r="AK489" t="inlineStr">
        <is>
          <t>McInerney</t>
        </is>
      </c>
      <c r="AL489" t="n">
        <v>0.5</v>
      </c>
    </row>
    <row r="490" ht="15" customHeight="1" s="2">
      <c r="B490" t="n">
        <v>8</v>
      </c>
      <c r="C490" t="n">
        <v>2</v>
      </c>
      <c r="D490" t="n">
        <v>8</v>
      </c>
      <c r="E490" t="inlineStr">
        <is>
          <t>FBC8-D8</t>
        </is>
      </c>
      <c r="F490" t="inlineStr">
        <is>
          <t>Friday</t>
        </is>
      </c>
      <c r="G490" s="27" t="n">
        <v>44414</v>
      </c>
      <c r="H490" t="inlineStr">
        <is>
          <t>AM</t>
        </is>
      </c>
      <c r="I490" t="inlineStr">
        <is>
          <t>Nekoosa, WI</t>
        </is>
      </c>
      <c r="J490" t="inlineStr">
        <is>
          <t>Midwest</t>
        </is>
      </c>
      <c r="K490" t="n">
        <v>9</v>
      </c>
      <c r="L490" t="inlineStr">
        <is>
          <t>Back</t>
        </is>
      </c>
      <c r="M490" t="inlineStr">
        <is>
          <t>Sand Valley</t>
        </is>
      </c>
      <c r="N490" t="inlineStr">
        <is>
          <t>Orange</t>
        </is>
      </c>
      <c r="O490" t="n">
        <v>71.40000000000001</v>
      </c>
      <c r="P490" t="n">
        <v>130</v>
      </c>
      <c r="Q490" t="n">
        <v>6535</v>
      </c>
      <c r="R490" t="inlineStr">
        <is>
          <t>Vegas</t>
        </is>
      </c>
      <c r="S490" t="inlineStr">
        <is>
          <t>Doubles</t>
        </is>
      </c>
      <c r="T490" t="inlineStr">
        <is>
          <t>Over 6'</t>
        </is>
      </c>
      <c r="U490" t="inlineStr">
        <is>
          <t>Flanders</t>
        </is>
      </c>
      <c r="V490" t="inlineStr">
        <is>
          <t>Flanders</t>
        </is>
      </c>
      <c r="W490" t="inlineStr">
        <is>
          <t>Blue/White</t>
        </is>
      </c>
      <c r="Y490" t="inlineStr">
        <is>
          <t>Forster</t>
        </is>
      </c>
      <c r="AA490" t="n">
        <v>1</v>
      </c>
      <c r="AB490" t="inlineStr">
        <is>
          <t>L</t>
        </is>
      </c>
      <c r="AC490" t="inlineStr">
        <is>
          <t>5&amp;4</t>
        </is>
      </c>
      <c r="AE490">
        <f>$V490&amp;$Y490</f>
        <v/>
      </c>
      <c r="AF490" t="n">
        <v>0</v>
      </c>
      <c r="AG490" t="n">
        <v>0</v>
      </c>
      <c r="AH490" t="n">
        <v>1</v>
      </c>
      <c r="AI490" t="n">
        <v>0</v>
      </c>
      <c r="AJ490" t="n">
        <v>0</v>
      </c>
      <c r="AK490" t="inlineStr">
        <is>
          <t>Deoteris</t>
        </is>
      </c>
      <c r="AL490" t="n">
        <v>0.545454545454545</v>
      </c>
      <c r="AM490" t="inlineStr">
        <is>
          <t>Ferrin</t>
        </is>
      </c>
      <c r="AN490" t="n">
        <v>0.595238095238095</v>
      </c>
    </row>
    <row r="491" ht="15" customHeight="1" s="2">
      <c r="B491" t="n">
        <v>8</v>
      </c>
      <c r="C491" t="n">
        <v>2</v>
      </c>
      <c r="D491" t="n">
        <v>8</v>
      </c>
      <c r="E491" t="inlineStr">
        <is>
          <t>FBC8-D8</t>
        </is>
      </c>
      <c r="F491" t="inlineStr">
        <is>
          <t>Friday</t>
        </is>
      </c>
      <c r="G491" s="27" t="n">
        <v>44414</v>
      </c>
      <c r="H491" t="inlineStr">
        <is>
          <t>AM</t>
        </is>
      </c>
      <c r="I491" t="inlineStr">
        <is>
          <t>Nekoosa, WI</t>
        </is>
      </c>
      <c r="J491" t="inlineStr">
        <is>
          <t>Midwest</t>
        </is>
      </c>
      <c r="K491" t="n">
        <v>9</v>
      </c>
      <c r="L491" t="inlineStr">
        <is>
          <t>Back</t>
        </is>
      </c>
      <c r="M491" t="inlineStr">
        <is>
          <t>Sand Valley</t>
        </is>
      </c>
      <c r="N491" t="inlineStr">
        <is>
          <t>Orange</t>
        </is>
      </c>
      <c r="O491" t="n">
        <v>71.40000000000001</v>
      </c>
      <c r="P491" t="n">
        <v>130</v>
      </c>
      <c r="Q491" t="n">
        <v>6535</v>
      </c>
      <c r="R491" t="inlineStr">
        <is>
          <t>Vegas</t>
        </is>
      </c>
      <c r="S491" t="inlineStr">
        <is>
          <t>Doubles</t>
        </is>
      </c>
      <c r="T491" t="inlineStr">
        <is>
          <t>Over 6'</t>
        </is>
      </c>
      <c r="U491" t="inlineStr">
        <is>
          <t>Welker</t>
        </is>
      </c>
      <c r="V491" t="inlineStr">
        <is>
          <t>Deoteris</t>
        </is>
      </c>
      <c r="W491" t="inlineStr">
        <is>
          <t>UPS Brown</t>
        </is>
      </c>
      <c r="Y491" t="inlineStr">
        <is>
          <t>Ferrin</t>
        </is>
      </c>
      <c r="AA491" t="n">
        <v>1</v>
      </c>
      <c r="AB491" t="inlineStr">
        <is>
          <t>W</t>
        </is>
      </c>
      <c r="AC491" t="inlineStr">
        <is>
          <t>5&amp;4</t>
        </is>
      </c>
      <c r="AE491">
        <f>$V491&amp;$Y491</f>
        <v/>
      </c>
      <c r="AF491" t="n">
        <v>1</v>
      </c>
      <c r="AG491" t="n">
        <v>1</v>
      </c>
      <c r="AH491" t="n">
        <v>0</v>
      </c>
      <c r="AI491" t="n">
        <v>0</v>
      </c>
      <c r="AJ491" t="n">
        <v>1</v>
      </c>
      <c r="AK491" t="inlineStr">
        <is>
          <t>Flanders</t>
        </is>
      </c>
      <c r="AL491" t="n">
        <v>0.4296875</v>
      </c>
      <c r="AM491" t="inlineStr">
        <is>
          <t>Forster</t>
        </is>
      </c>
      <c r="AN491" t="n">
        <v>0.596491228070175</v>
      </c>
    </row>
    <row r="492" ht="15" customHeight="1" s="2">
      <c r="B492" t="n">
        <v>9</v>
      </c>
      <c r="C492" t="n">
        <v>3</v>
      </c>
      <c r="D492" t="n">
        <v>8</v>
      </c>
      <c r="E492" t="inlineStr">
        <is>
          <t>FBC8-D9</t>
        </is>
      </c>
      <c r="F492" t="inlineStr">
        <is>
          <t>Friday</t>
        </is>
      </c>
      <c r="G492" s="27" t="n">
        <v>44414</v>
      </c>
      <c r="H492" t="inlineStr">
        <is>
          <t>AM</t>
        </is>
      </c>
      <c r="I492" t="inlineStr">
        <is>
          <t>Nekoosa, WI</t>
        </is>
      </c>
      <c r="J492" t="inlineStr">
        <is>
          <t>Midwest</t>
        </is>
      </c>
      <c r="K492" t="n">
        <v>9</v>
      </c>
      <c r="L492" t="inlineStr">
        <is>
          <t>Back</t>
        </is>
      </c>
      <c r="M492" t="inlineStr">
        <is>
          <t>Sand Valley</t>
        </is>
      </c>
      <c r="N492" t="inlineStr">
        <is>
          <t>Orange</t>
        </is>
      </c>
      <c r="O492" t="n">
        <v>71.40000000000001</v>
      </c>
      <c r="P492" t="n">
        <v>130</v>
      </c>
      <c r="Q492" t="n">
        <v>6535</v>
      </c>
      <c r="R492" t="inlineStr">
        <is>
          <t>Vegas</t>
        </is>
      </c>
      <c r="S492" t="inlineStr">
        <is>
          <t>Doubles</t>
        </is>
      </c>
      <c r="T492" t="inlineStr">
        <is>
          <t>Over 6'</t>
        </is>
      </c>
      <c r="U492" t="inlineStr">
        <is>
          <t>Welker</t>
        </is>
      </c>
      <c r="V492" t="inlineStr">
        <is>
          <t>Delaney</t>
        </is>
      </c>
      <c r="W492" t="inlineStr">
        <is>
          <t>UPS Brown</t>
        </is>
      </c>
      <c r="Y492" t="inlineStr">
        <is>
          <t>Perkins</t>
        </is>
      </c>
      <c r="AA492" t="n">
        <v>1</v>
      </c>
      <c r="AB492" t="inlineStr">
        <is>
          <t>W</t>
        </is>
      </c>
      <c r="AC492" t="inlineStr">
        <is>
          <t>2&amp;1</t>
        </is>
      </c>
      <c r="AE492">
        <f>$V492&amp;$Y492</f>
        <v/>
      </c>
      <c r="AF492" t="n">
        <v>1</v>
      </c>
      <c r="AG492" t="n">
        <v>1</v>
      </c>
      <c r="AH492" t="n">
        <v>0</v>
      </c>
      <c r="AI492" t="n">
        <v>0</v>
      </c>
      <c r="AJ492" t="n">
        <v>1</v>
      </c>
      <c r="AK492" t="inlineStr">
        <is>
          <t>Mangold</t>
        </is>
      </c>
      <c r="AL492" t="n">
        <v>0.383928571428572</v>
      </c>
      <c r="AM492" t="inlineStr">
        <is>
          <t>Piegari</t>
        </is>
      </c>
      <c r="AN492" t="n">
        <v>0.333333333333333</v>
      </c>
    </row>
    <row r="493" ht="15" customHeight="1" s="2">
      <c r="B493" t="n">
        <v>9</v>
      </c>
      <c r="C493" t="n">
        <v>3</v>
      </c>
      <c r="D493" t="n">
        <v>8</v>
      </c>
      <c r="E493" t="inlineStr">
        <is>
          <t>FBC8-D9</t>
        </is>
      </c>
      <c r="F493" t="inlineStr">
        <is>
          <t>Friday</t>
        </is>
      </c>
      <c r="G493" s="27" t="n">
        <v>44414</v>
      </c>
      <c r="H493" t="inlineStr">
        <is>
          <t>AM</t>
        </is>
      </c>
      <c r="I493" t="inlineStr">
        <is>
          <t>Nekoosa, WI</t>
        </is>
      </c>
      <c r="J493" t="inlineStr">
        <is>
          <t>Midwest</t>
        </is>
      </c>
      <c r="K493" t="n">
        <v>9</v>
      </c>
      <c r="L493" t="inlineStr">
        <is>
          <t>Back</t>
        </is>
      </c>
      <c r="M493" t="inlineStr">
        <is>
          <t>Sand Valley</t>
        </is>
      </c>
      <c r="N493" t="inlineStr">
        <is>
          <t>Orange</t>
        </is>
      </c>
      <c r="O493" t="n">
        <v>71.40000000000001</v>
      </c>
      <c r="P493" t="n">
        <v>130</v>
      </c>
      <c r="Q493" t="n">
        <v>6535</v>
      </c>
      <c r="R493" t="inlineStr">
        <is>
          <t>Vegas</t>
        </is>
      </c>
      <c r="S493" t="inlineStr">
        <is>
          <t>Doubles</t>
        </is>
      </c>
      <c r="T493" t="inlineStr">
        <is>
          <t>Over 6'</t>
        </is>
      </c>
      <c r="U493" t="inlineStr">
        <is>
          <t>Flanders</t>
        </is>
      </c>
      <c r="V493" t="inlineStr">
        <is>
          <t>Mangold</t>
        </is>
      </c>
      <c r="W493" t="inlineStr">
        <is>
          <t>Blue/White</t>
        </is>
      </c>
      <c r="Y493" t="inlineStr">
        <is>
          <t>Piegari</t>
        </is>
      </c>
      <c r="AA493" t="n">
        <v>1</v>
      </c>
      <c r="AB493" t="inlineStr">
        <is>
          <t>L</t>
        </is>
      </c>
      <c r="AC493" t="inlineStr">
        <is>
          <t>2&amp;1</t>
        </is>
      </c>
      <c r="AE493">
        <f>$V493&amp;$Y493</f>
        <v/>
      </c>
      <c r="AF493" t="n">
        <v>0</v>
      </c>
      <c r="AG493" t="n">
        <v>0</v>
      </c>
      <c r="AH493" t="n">
        <v>1</v>
      </c>
      <c r="AI493" t="n">
        <v>0</v>
      </c>
      <c r="AJ493" t="n">
        <v>0</v>
      </c>
      <c r="AK493" t="inlineStr">
        <is>
          <t>Delaney</t>
        </is>
      </c>
      <c r="AL493" t="n">
        <v>0.46551724137931</v>
      </c>
      <c r="AM493" t="inlineStr">
        <is>
          <t>Perkins</t>
        </is>
      </c>
      <c r="AN493" t="n">
        <v>0.638888888888889</v>
      </c>
    </row>
    <row r="494" ht="15" customHeight="1" s="2">
      <c r="B494" t="n">
        <v>10</v>
      </c>
      <c r="C494" t="n">
        <v>4</v>
      </c>
      <c r="D494" t="n">
        <v>8</v>
      </c>
      <c r="E494" t="inlineStr">
        <is>
          <t>FBC8-D10</t>
        </is>
      </c>
      <c r="F494" t="inlineStr">
        <is>
          <t>Friday</t>
        </is>
      </c>
      <c r="G494" s="27" t="n">
        <v>44414</v>
      </c>
      <c r="H494" t="inlineStr">
        <is>
          <t>AM</t>
        </is>
      </c>
      <c r="I494" t="inlineStr">
        <is>
          <t>Nekoosa, WI</t>
        </is>
      </c>
      <c r="J494" t="inlineStr">
        <is>
          <t>Midwest</t>
        </is>
      </c>
      <c r="K494" t="n">
        <v>9</v>
      </c>
      <c r="L494" t="inlineStr">
        <is>
          <t>Back</t>
        </is>
      </c>
      <c r="M494" t="inlineStr">
        <is>
          <t>Sand Valley</t>
        </is>
      </c>
      <c r="N494" t="inlineStr">
        <is>
          <t>Orange</t>
        </is>
      </c>
      <c r="O494" t="n">
        <v>71.40000000000001</v>
      </c>
      <c r="P494" t="n">
        <v>130</v>
      </c>
      <c r="Q494" t="n">
        <v>6535</v>
      </c>
      <c r="R494" t="inlineStr">
        <is>
          <t>Vegas</t>
        </is>
      </c>
      <c r="S494" t="inlineStr">
        <is>
          <t>Doubles</t>
        </is>
      </c>
      <c r="T494" t="inlineStr">
        <is>
          <t>Over 6'</t>
        </is>
      </c>
      <c r="U494" t="inlineStr">
        <is>
          <t>Flanders</t>
        </is>
      </c>
      <c r="V494" t="inlineStr">
        <is>
          <t>Cole</t>
        </is>
      </c>
      <c r="W494" t="inlineStr">
        <is>
          <t>Blue/White</t>
        </is>
      </c>
      <c r="Y494" t="inlineStr">
        <is>
          <t>Fogan</t>
        </is>
      </c>
      <c r="AA494" t="n">
        <v>1</v>
      </c>
      <c r="AB494" t="inlineStr">
        <is>
          <t>L</t>
        </is>
      </c>
      <c r="AC494" t="inlineStr">
        <is>
          <t>5&amp;4</t>
        </is>
      </c>
      <c r="AE494">
        <f>$V494&amp;$Y494</f>
        <v/>
      </c>
      <c r="AF494" t="n">
        <v>0</v>
      </c>
      <c r="AG494" t="n">
        <v>0</v>
      </c>
      <c r="AH494" t="n">
        <v>1</v>
      </c>
      <c r="AI494" t="n">
        <v>0</v>
      </c>
      <c r="AJ494" t="n">
        <v>0</v>
      </c>
      <c r="AK494" t="inlineStr">
        <is>
          <t>Hilts</t>
        </is>
      </c>
      <c r="AL494" t="n">
        <v>0.473214285714286</v>
      </c>
      <c r="AM494" t="inlineStr">
        <is>
          <t>Welker</t>
        </is>
      </c>
      <c r="AN494" t="n">
        <v>0.510416666666667</v>
      </c>
    </row>
    <row r="495" ht="15" customHeight="1" s="2">
      <c r="B495" t="n">
        <v>10</v>
      </c>
      <c r="C495" t="n">
        <v>4</v>
      </c>
      <c r="D495" t="n">
        <v>8</v>
      </c>
      <c r="E495" t="inlineStr">
        <is>
          <t>FBC8-D10</t>
        </is>
      </c>
      <c r="F495" t="inlineStr">
        <is>
          <t>Friday</t>
        </is>
      </c>
      <c r="G495" s="27" t="n">
        <v>44414</v>
      </c>
      <c r="H495" t="inlineStr">
        <is>
          <t>AM</t>
        </is>
      </c>
      <c r="I495" t="inlineStr">
        <is>
          <t>Nekoosa, WI</t>
        </is>
      </c>
      <c r="J495" t="inlineStr">
        <is>
          <t>Midwest</t>
        </is>
      </c>
      <c r="K495" t="n">
        <v>9</v>
      </c>
      <c r="L495" t="inlineStr">
        <is>
          <t>Back</t>
        </is>
      </c>
      <c r="M495" t="inlineStr">
        <is>
          <t>Sand Valley</t>
        </is>
      </c>
      <c r="N495" t="inlineStr">
        <is>
          <t>Orange</t>
        </is>
      </c>
      <c r="O495" t="n">
        <v>71.40000000000001</v>
      </c>
      <c r="P495" t="n">
        <v>130</v>
      </c>
      <c r="Q495" t="n">
        <v>6535</v>
      </c>
      <c r="R495" t="inlineStr">
        <is>
          <t>Vegas</t>
        </is>
      </c>
      <c r="S495" t="inlineStr">
        <is>
          <t>Doubles</t>
        </is>
      </c>
      <c r="T495" t="inlineStr">
        <is>
          <t>Over 6'</t>
        </is>
      </c>
      <c r="U495" t="inlineStr">
        <is>
          <t>Welker</t>
        </is>
      </c>
      <c r="V495" t="inlineStr">
        <is>
          <t>Hilts</t>
        </is>
      </c>
      <c r="W495" t="inlineStr">
        <is>
          <t>UPS Brown</t>
        </is>
      </c>
      <c r="Y495" t="inlineStr">
        <is>
          <t>Welker</t>
        </is>
      </c>
      <c r="AA495" t="n">
        <v>1</v>
      </c>
      <c r="AB495" t="inlineStr">
        <is>
          <t>W</t>
        </is>
      </c>
      <c r="AC495" t="inlineStr">
        <is>
          <t>5&amp;4</t>
        </is>
      </c>
      <c r="AE495">
        <f>$V495&amp;$Y495</f>
        <v/>
      </c>
      <c r="AF495" t="n">
        <v>1</v>
      </c>
      <c r="AG495" t="n">
        <v>1</v>
      </c>
      <c r="AH495" t="n">
        <v>0</v>
      </c>
      <c r="AI495" t="n">
        <v>0</v>
      </c>
      <c r="AJ495" t="n">
        <v>1</v>
      </c>
      <c r="AK495" t="inlineStr">
        <is>
          <t>Cole</t>
        </is>
      </c>
      <c r="AL495" t="n">
        <v>0.440677966101695</v>
      </c>
      <c r="AM495" t="inlineStr">
        <is>
          <t>Fogan</t>
        </is>
      </c>
      <c r="AN495" t="n">
        <v>0.372881355932203</v>
      </c>
    </row>
    <row r="496" ht="15" customHeight="1" s="2">
      <c r="B496" t="n">
        <v>11</v>
      </c>
      <c r="C496" t="n">
        <v>5</v>
      </c>
      <c r="D496" t="n">
        <v>8</v>
      </c>
      <c r="E496" t="inlineStr">
        <is>
          <t>FBC8-D11</t>
        </is>
      </c>
      <c r="F496" t="inlineStr">
        <is>
          <t>Friday</t>
        </is>
      </c>
      <c r="G496" s="27" t="n">
        <v>44414</v>
      </c>
      <c r="H496" t="inlineStr">
        <is>
          <t>AM</t>
        </is>
      </c>
      <c r="I496" t="inlineStr">
        <is>
          <t>Nekoosa, WI</t>
        </is>
      </c>
      <c r="J496" t="inlineStr">
        <is>
          <t>Midwest</t>
        </is>
      </c>
      <c r="K496" t="n">
        <v>9</v>
      </c>
      <c r="L496" t="inlineStr">
        <is>
          <t>Back</t>
        </is>
      </c>
      <c r="M496" t="inlineStr">
        <is>
          <t>Sand Valley</t>
        </is>
      </c>
      <c r="N496" t="inlineStr">
        <is>
          <t>Orange</t>
        </is>
      </c>
      <c r="O496" t="n">
        <v>71.40000000000001</v>
      </c>
      <c r="P496" t="n">
        <v>130</v>
      </c>
      <c r="Q496" t="n">
        <v>6535</v>
      </c>
      <c r="R496" t="inlineStr">
        <is>
          <t>Vegas</t>
        </is>
      </c>
      <c r="S496" t="inlineStr">
        <is>
          <t>Doubles</t>
        </is>
      </c>
      <c r="T496" t="inlineStr">
        <is>
          <t>Over 6'</t>
        </is>
      </c>
      <c r="U496" t="inlineStr">
        <is>
          <t>Welker</t>
        </is>
      </c>
      <c r="V496" t="inlineStr">
        <is>
          <t>Grise</t>
        </is>
      </c>
      <c r="W496" t="inlineStr">
        <is>
          <t>UPS Brown</t>
        </is>
      </c>
      <c r="Y496" t="inlineStr">
        <is>
          <t>Zimmer</t>
        </is>
      </c>
      <c r="AA496" t="n">
        <v>1</v>
      </c>
      <c r="AB496" t="inlineStr">
        <is>
          <t>L</t>
        </is>
      </c>
      <c r="AC496" t="inlineStr">
        <is>
          <t>2&amp;1</t>
        </is>
      </c>
      <c r="AE496">
        <f>$V496&amp;$Y496</f>
        <v/>
      </c>
      <c r="AF496" t="n">
        <v>0</v>
      </c>
      <c r="AG496" t="n">
        <v>0</v>
      </c>
      <c r="AH496" t="n">
        <v>1</v>
      </c>
      <c r="AI496" t="n">
        <v>0</v>
      </c>
      <c r="AJ496" t="n">
        <v>0</v>
      </c>
      <c r="AK496" t="inlineStr">
        <is>
          <t>Lynch</t>
        </is>
      </c>
      <c r="AL496" t="n">
        <v>0.5546875</v>
      </c>
      <c r="AM496" t="inlineStr">
        <is>
          <t>Ramsay</t>
        </is>
      </c>
    </row>
    <row r="497" ht="15" customHeight="1" s="2">
      <c r="B497" t="n">
        <v>11</v>
      </c>
      <c r="C497" t="n">
        <v>5</v>
      </c>
      <c r="D497" t="n">
        <v>8</v>
      </c>
      <c r="E497" t="inlineStr">
        <is>
          <t>FBC8-D11</t>
        </is>
      </c>
      <c r="F497" t="inlineStr">
        <is>
          <t>Friday</t>
        </is>
      </c>
      <c r="G497" s="27" t="n">
        <v>44414</v>
      </c>
      <c r="H497" t="inlineStr">
        <is>
          <t>AM</t>
        </is>
      </c>
      <c r="I497" t="inlineStr">
        <is>
          <t>Nekoosa, WI</t>
        </is>
      </c>
      <c r="J497" t="inlineStr">
        <is>
          <t>Midwest</t>
        </is>
      </c>
      <c r="K497" t="n">
        <v>9</v>
      </c>
      <c r="L497" t="inlineStr">
        <is>
          <t>Back</t>
        </is>
      </c>
      <c r="M497" t="inlineStr">
        <is>
          <t>Sand Valley</t>
        </is>
      </c>
      <c r="N497" t="inlineStr">
        <is>
          <t>Orange</t>
        </is>
      </c>
      <c r="O497" t="n">
        <v>71.40000000000001</v>
      </c>
      <c r="P497" t="n">
        <v>130</v>
      </c>
      <c r="Q497" t="n">
        <v>6535</v>
      </c>
      <c r="R497" t="inlineStr">
        <is>
          <t>Vegas</t>
        </is>
      </c>
      <c r="S497" t="inlineStr">
        <is>
          <t>Doubles</t>
        </is>
      </c>
      <c r="T497" t="inlineStr">
        <is>
          <t>Over 6'</t>
        </is>
      </c>
      <c r="U497" t="inlineStr">
        <is>
          <t>Flanders</t>
        </is>
      </c>
      <c r="V497" t="inlineStr">
        <is>
          <t>Lynch</t>
        </is>
      </c>
      <c r="W497" t="inlineStr">
        <is>
          <t>Blue/White</t>
        </is>
      </c>
      <c r="Y497" t="inlineStr">
        <is>
          <t>Ramsay</t>
        </is>
      </c>
      <c r="AA497" t="n">
        <v>1</v>
      </c>
      <c r="AB497" t="inlineStr">
        <is>
          <t>W</t>
        </is>
      </c>
      <c r="AC497" t="inlineStr">
        <is>
          <t>2&amp;1</t>
        </is>
      </c>
      <c r="AE497">
        <f>$V497&amp;$Y497</f>
        <v/>
      </c>
      <c r="AF497" t="n">
        <v>1</v>
      </c>
      <c r="AG497" t="n">
        <v>1</v>
      </c>
      <c r="AH497" t="n">
        <v>0</v>
      </c>
      <c r="AI497" t="n">
        <v>0</v>
      </c>
      <c r="AJ497" t="n">
        <v>1</v>
      </c>
      <c r="AK497" t="inlineStr">
        <is>
          <t>Grise</t>
        </is>
      </c>
      <c r="AL497" t="n">
        <v>0.546875</v>
      </c>
      <c r="AM497" t="inlineStr">
        <is>
          <t>Zimmer</t>
        </is>
      </c>
      <c r="AN497" t="n">
        <v>0.5</v>
      </c>
    </row>
    <row r="498" ht="15" customHeight="1" s="2">
      <c r="B498" t="n">
        <v>12</v>
      </c>
      <c r="C498" t="n">
        <v>6</v>
      </c>
      <c r="D498" t="n">
        <v>8</v>
      </c>
      <c r="E498" t="inlineStr">
        <is>
          <t>FBC8-D12</t>
        </is>
      </c>
      <c r="F498" t="inlineStr">
        <is>
          <t>Friday</t>
        </is>
      </c>
      <c r="G498" s="27" t="n">
        <v>44414</v>
      </c>
      <c r="H498" t="inlineStr">
        <is>
          <t>AM</t>
        </is>
      </c>
      <c r="I498" t="inlineStr">
        <is>
          <t>Nekoosa, WI</t>
        </is>
      </c>
      <c r="J498" t="inlineStr">
        <is>
          <t>Midwest</t>
        </is>
      </c>
      <c r="K498" t="n">
        <v>9</v>
      </c>
      <c r="L498" t="inlineStr">
        <is>
          <t>Back</t>
        </is>
      </c>
      <c r="M498" t="inlineStr">
        <is>
          <t>Sand Valley</t>
        </is>
      </c>
      <c r="N498" t="inlineStr">
        <is>
          <t>Orange</t>
        </is>
      </c>
      <c r="O498" t="n">
        <v>71.40000000000001</v>
      </c>
      <c r="P498" t="n">
        <v>130</v>
      </c>
      <c r="Q498" t="n">
        <v>6535</v>
      </c>
      <c r="R498" t="inlineStr">
        <is>
          <t>Vegas</t>
        </is>
      </c>
      <c r="S498" t="inlineStr">
        <is>
          <t>Doubles</t>
        </is>
      </c>
      <c r="T498" t="inlineStr">
        <is>
          <t>Over 6'</t>
        </is>
      </c>
      <c r="U498" t="inlineStr">
        <is>
          <t>Flanders</t>
        </is>
      </c>
      <c r="V498" t="inlineStr">
        <is>
          <t>Jackson</t>
        </is>
      </c>
      <c r="W498" t="inlineStr">
        <is>
          <t>Blue/White</t>
        </is>
      </c>
      <c r="Y498" t="inlineStr">
        <is>
          <t>Shively</t>
        </is>
      </c>
      <c r="AA498" t="n">
        <v>1</v>
      </c>
      <c r="AB498" t="inlineStr">
        <is>
          <t>W</t>
        </is>
      </c>
      <c r="AC498" t="inlineStr">
        <is>
          <t>2&amp;1</t>
        </is>
      </c>
      <c r="AE498">
        <f>$V498&amp;$Y498</f>
        <v/>
      </c>
      <c r="AF498" t="n">
        <v>1</v>
      </c>
      <c r="AG498" t="n">
        <v>1</v>
      </c>
      <c r="AH498" t="n">
        <v>0</v>
      </c>
      <c r="AI498" t="n">
        <v>0</v>
      </c>
      <c r="AJ498" t="n">
        <v>1</v>
      </c>
      <c r="AK498" t="inlineStr">
        <is>
          <t>Connolly</t>
        </is>
      </c>
      <c r="AL498" t="n">
        <v>0.59375</v>
      </c>
      <c r="AM498" t="inlineStr">
        <is>
          <t>Connors</t>
        </is>
      </c>
      <c r="AN498" t="n">
        <v>0.347457627118644</v>
      </c>
    </row>
    <row r="499" ht="15" customHeight="1" s="2">
      <c r="B499" t="n">
        <v>12</v>
      </c>
      <c r="C499" t="n">
        <v>6</v>
      </c>
      <c r="D499" t="n">
        <v>8</v>
      </c>
      <c r="E499" t="inlineStr">
        <is>
          <t>FBC8-D12</t>
        </is>
      </c>
      <c r="F499" t="inlineStr">
        <is>
          <t>Friday</t>
        </is>
      </c>
      <c r="G499" s="27" t="n">
        <v>44414</v>
      </c>
      <c r="H499" t="inlineStr">
        <is>
          <t>AM</t>
        </is>
      </c>
      <c r="I499" t="inlineStr">
        <is>
          <t>Nekoosa, WI</t>
        </is>
      </c>
      <c r="J499" t="inlineStr">
        <is>
          <t>Midwest</t>
        </is>
      </c>
      <c r="K499" t="n">
        <v>9</v>
      </c>
      <c r="L499" t="inlineStr">
        <is>
          <t>Back</t>
        </is>
      </c>
      <c r="M499" t="inlineStr">
        <is>
          <t>Sand Valley</t>
        </is>
      </c>
      <c r="N499" t="inlineStr">
        <is>
          <t>Orange</t>
        </is>
      </c>
      <c r="O499" t="n">
        <v>71.40000000000001</v>
      </c>
      <c r="P499" t="n">
        <v>130</v>
      </c>
      <c r="Q499" t="n">
        <v>6535</v>
      </c>
      <c r="R499" t="inlineStr">
        <is>
          <t>Vegas</t>
        </is>
      </c>
      <c r="S499" t="inlineStr">
        <is>
          <t>Doubles</t>
        </is>
      </c>
      <c r="T499" t="inlineStr">
        <is>
          <t>Over 6'</t>
        </is>
      </c>
      <c r="U499" t="inlineStr">
        <is>
          <t>Welker</t>
        </is>
      </c>
      <c r="V499" t="inlineStr">
        <is>
          <t>Connolly</t>
        </is>
      </c>
      <c r="W499" t="inlineStr">
        <is>
          <t>UPS Brown</t>
        </is>
      </c>
      <c r="Y499" t="inlineStr">
        <is>
          <t>Connors</t>
        </is>
      </c>
      <c r="AA499" t="n">
        <v>1</v>
      </c>
      <c r="AB499" t="inlineStr">
        <is>
          <t>L</t>
        </is>
      </c>
      <c r="AC499" t="inlineStr">
        <is>
          <t>2&amp;1</t>
        </is>
      </c>
      <c r="AE499">
        <f>$V499&amp;$Y499</f>
        <v/>
      </c>
      <c r="AF499" t="n">
        <v>0</v>
      </c>
      <c r="AG499" t="n">
        <v>0</v>
      </c>
      <c r="AH499" t="n">
        <v>1</v>
      </c>
      <c r="AI499" t="n">
        <v>0</v>
      </c>
      <c r="AJ499" t="n">
        <v>0</v>
      </c>
      <c r="AK499" t="inlineStr">
        <is>
          <t>Jackson</t>
        </is>
      </c>
      <c r="AL499" t="n">
        <v>0.6171875</v>
      </c>
      <c r="AM499" t="inlineStr">
        <is>
          <t>Shively</t>
        </is>
      </c>
    </row>
    <row r="500" ht="15" customHeight="1" s="2">
      <c r="B500" t="n">
        <v>13</v>
      </c>
      <c r="C500" t="n">
        <v>1</v>
      </c>
      <c r="D500" t="n">
        <v>8</v>
      </c>
      <c r="E500" t="inlineStr">
        <is>
          <t>FBC8-S-Forster-Zimmer-1</t>
        </is>
      </c>
      <c r="F500" t="inlineStr">
        <is>
          <t>Friday</t>
        </is>
      </c>
      <c r="G500" s="27" t="n">
        <v>44414</v>
      </c>
      <c r="H500" t="inlineStr">
        <is>
          <t>PM</t>
        </is>
      </c>
      <c r="I500" t="inlineStr">
        <is>
          <t>Nekoosa, WI</t>
        </is>
      </c>
      <c r="J500" t="inlineStr">
        <is>
          <t>Midwest</t>
        </is>
      </c>
      <c r="K500" t="n">
        <v>9</v>
      </c>
      <c r="L500" t="inlineStr">
        <is>
          <t>Front</t>
        </is>
      </c>
      <c r="M500" t="inlineStr">
        <is>
          <t>Mammoth Dunes</t>
        </is>
      </c>
      <c r="N500" t="inlineStr">
        <is>
          <t>Orange</t>
        </is>
      </c>
      <c r="O500" t="n">
        <v>70.5</v>
      </c>
      <c r="P500" t="n">
        <v>124</v>
      </c>
      <c r="Q500" t="n">
        <v>6587</v>
      </c>
      <c r="R500" t="inlineStr">
        <is>
          <t>Singles</t>
        </is>
      </c>
      <c r="S500" t="inlineStr">
        <is>
          <t>Singles</t>
        </is>
      </c>
      <c r="T500" t="inlineStr">
        <is>
          <t>Over 6'</t>
        </is>
      </c>
      <c r="U500" t="inlineStr">
        <is>
          <t>Flanders</t>
        </is>
      </c>
      <c r="V500" t="inlineStr">
        <is>
          <t>Forster</t>
        </is>
      </c>
      <c r="W500" t="inlineStr">
        <is>
          <t>Blue/White</t>
        </is>
      </c>
      <c r="AA500" t="n">
        <v>1</v>
      </c>
      <c r="AB500" t="inlineStr">
        <is>
          <t>T</t>
        </is>
      </c>
      <c r="AC500" t="inlineStr">
        <is>
          <t>Halved</t>
        </is>
      </c>
      <c r="AD500" t="inlineStr">
        <is>
          <t>Zimmer</t>
        </is>
      </c>
      <c r="AE500">
        <f>$V500&amp;$Y500</f>
        <v/>
      </c>
      <c r="AF500" t="n">
        <v>0.5</v>
      </c>
      <c r="AG500" t="n">
        <v>0</v>
      </c>
      <c r="AH500" t="n">
        <v>0</v>
      </c>
      <c r="AI500" t="n">
        <v>1</v>
      </c>
      <c r="AJ500" t="n">
        <v>0.5</v>
      </c>
      <c r="AK500" t="inlineStr">
        <is>
          <t>Zimmer</t>
        </is>
      </c>
      <c r="AL500" t="n">
        <v>0.5</v>
      </c>
    </row>
    <row r="501" ht="15" customHeight="1" s="2">
      <c r="B501" t="n">
        <v>13</v>
      </c>
      <c r="C501" t="n">
        <v>1</v>
      </c>
      <c r="D501" t="n">
        <v>8</v>
      </c>
      <c r="E501" t="inlineStr">
        <is>
          <t>FBC8-S-Forster-Zimmer-1</t>
        </is>
      </c>
      <c r="F501" t="inlineStr">
        <is>
          <t>Friday</t>
        </is>
      </c>
      <c r="G501" s="27" t="n">
        <v>44414</v>
      </c>
      <c r="H501" t="inlineStr">
        <is>
          <t>PM</t>
        </is>
      </c>
      <c r="I501" t="inlineStr">
        <is>
          <t>Nekoosa, WI</t>
        </is>
      </c>
      <c r="J501" t="inlineStr">
        <is>
          <t>Midwest</t>
        </is>
      </c>
      <c r="K501" t="n">
        <v>9</v>
      </c>
      <c r="L501" t="inlineStr">
        <is>
          <t>Front</t>
        </is>
      </c>
      <c r="M501" t="inlineStr">
        <is>
          <t>Mammoth Dunes</t>
        </is>
      </c>
      <c r="N501" t="inlineStr">
        <is>
          <t>Orange</t>
        </is>
      </c>
      <c r="O501" t="n">
        <v>70.5</v>
      </c>
      <c r="P501" t="n">
        <v>124</v>
      </c>
      <c r="Q501" t="n">
        <v>6587</v>
      </c>
      <c r="R501" t="inlineStr">
        <is>
          <t>Singles</t>
        </is>
      </c>
      <c r="S501" t="inlineStr">
        <is>
          <t>Singles</t>
        </is>
      </c>
      <c r="T501" t="inlineStr">
        <is>
          <t>Over 6'</t>
        </is>
      </c>
      <c r="U501" t="inlineStr">
        <is>
          <t>Welker</t>
        </is>
      </c>
      <c r="V501" t="inlineStr">
        <is>
          <t>Zimmer</t>
        </is>
      </c>
      <c r="W501" t="inlineStr">
        <is>
          <t>UPS Brown</t>
        </is>
      </c>
      <c r="AA501" t="n">
        <v>1</v>
      </c>
      <c r="AB501" t="inlineStr">
        <is>
          <t>T</t>
        </is>
      </c>
      <c r="AC501" t="inlineStr">
        <is>
          <t>Halved</t>
        </is>
      </c>
      <c r="AD501" t="inlineStr">
        <is>
          <t>Forster</t>
        </is>
      </c>
      <c r="AE501">
        <f>$V501&amp;$Y501</f>
        <v/>
      </c>
      <c r="AF501" t="n">
        <v>0.5</v>
      </c>
      <c r="AG501" t="n">
        <v>0</v>
      </c>
      <c r="AH501" t="n">
        <v>0</v>
      </c>
      <c r="AI501" t="n">
        <v>1</v>
      </c>
      <c r="AJ501" t="n">
        <v>0.5</v>
      </c>
      <c r="AK501" t="inlineStr">
        <is>
          <t>Forster</t>
        </is>
      </c>
      <c r="AL501" t="n">
        <v>0.596491228070175</v>
      </c>
    </row>
    <row r="502" ht="15" customHeight="1" s="2">
      <c r="B502" t="n">
        <v>14</v>
      </c>
      <c r="C502" t="n">
        <v>2</v>
      </c>
      <c r="D502" t="n">
        <v>8</v>
      </c>
      <c r="E502" t="inlineStr">
        <is>
          <t>FBC8-D14</t>
        </is>
      </c>
      <c r="F502" t="inlineStr">
        <is>
          <t>Friday</t>
        </is>
      </c>
      <c r="G502" s="27" t="n">
        <v>44414</v>
      </c>
      <c r="H502" t="inlineStr">
        <is>
          <t>PM</t>
        </is>
      </c>
      <c r="I502" t="inlineStr">
        <is>
          <t>Nekoosa, WI</t>
        </is>
      </c>
      <c r="J502" t="inlineStr">
        <is>
          <t>Midwest</t>
        </is>
      </c>
      <c r="K502" t="n">
        <v>9</v>
      </c>
      <c r="L502" t="inlineStr">
        <is>
          <t>Front</t>
        </is>
      </c>
      <c r="M502" t="inlineStr">
        <is>
          <t>Mammoth Dunes</t>
        </is>
      </c>
      <c r="N502" t="inlineStr">
        <is>
          <t>Orange</t>
        </is>
      </c>
      <c r="O502" t="n">
        <v>70.5</v>
      </c>
      <c r="P502" t="n">
        <v>124</v>
      </c>
      <c r="Q502" t="n">
        <v>6587</v>
      </c>
      <c r="R502" t="inlineStr">
        <is>
          <t>Pinehurst</t>
        </is>
      </c>
      <c r="S502" t="inlineStr">
        <is>
          <t>Doubles</t>
        </is>
      </c>
      <c r="T502" t="inlineStr">
        <is>
          <t>Over 6'</t>
        </is>
      </c>
      <c r="U502" t="inlineStr">
        <is>
          <t>Flanders</t>
        </is>
      </c>
      <c r="V502" t="inlineStr">
        <is>
          <t>McInerney</t>
        </is>
      </c>
      <c r="W502" t="inlineStr">
        <is>
          <t>Blue/White</t>
        </is>
      </c>
      <c r="Y502" t="inlineStr">
        <is>
          <t>Ramsay</t>
        </is>
      </c>
      <c r="AA502" t="n">
        <v>1</v>
      </c>
      <c r="AB502" t="inlineStr">
        <is>
          <t>L</t>
        </is>
      </c>
      <c r="AC502" t="inlineStr">
        <is>
          <t>1Up</t>
        </is>
      </c>
      <c r="AE502">
        <f>$V502&amp;$Y502</f>
        <v/>
      </c>
      <c r="AF502" t="n">
        <v>0</v>
      </c>
      <c r="AG502" t="n">
        <v>0</v>
      </c>
      <c r="AH502" t="n">
        <v>1</v>
      </c>
      <c r="AI502" t="n">
        <v>0</v>
      </c>
      <c r="AJ502" t="n">
        <v>0</v>
      </c>
      <c r="AK502" t="inlineStr">
        <is>
          <t>Deoteris</t>
        </is>
      </c>
      <c r="AL502" t="n">
        <v>0.545454545454545</v>
      </c>
      <c r="AM502" t="inlineStr">
        <is>
          <t>Welker</t>
        </is>
      </c>
      <c r="AN502" t="n">
        <v>0.510416666666667</v>
      </c>
    </row>
    <row r="503" ht="15" customHeight="1" s="2">
      <c r="B503" t="n">
        <v>14</v>
      </c>
      <c r="C503" t="n">
        <v>2</v>
      </c>
      <c r="D503" t="n">
        <v>8</v>
      </c>
      <c r="E503" t="inlineStr">
        <is>
          <t>FBC8-D14</t>
        </is>
      </c>
      <c r="F503" t="inlineStr">
        <is>
          <t>Friday</t>
        </is>
      </c>
      <c r="G503" s="27" t="n">
        <v>44414</v>
      </c>
      <c r="H503" t="inlineStr">
        <is>
          <t>PM</t>
        </is>
      </c>
      <c r="I503" t="inlineStr">
        <is>
          <t>Nekoosa, WI</t>
        </is>
      </c>
      <c r="J503" t="inlineStr">
        <is>
          <t>Midwest</t>
        </is>
      </c>
      <c r="K503" t="n">
        <v>9</v>
      </c>
      <c r="L503" t="inlineStr">
        <is>
          <t>Front</t>
        </is>
      </c>
      <c r="M503" t="inlineStr">
        <is>
          <t>Mammoth Dunes</t>
        </is>
      </c>
      <c r="N503" t="inlineStr">
        <is>
          <t>Orange</t>
        </is>
      </c>
      <c r="O503" t="n">
        <v>70.5</v>
      </c>
      <c r="P503" t="n">
        <v>124</v>
      </c>
      <c r="Q503" t="n">
        <v>6587</v>
      </c>
      <c r="R503" t="inlineStr">
        <is>
          <t>Pinehurst</t>
        </is>
      </c>
      <c r="S503" t="inlineStr">
        <is>
          <t>Doubles</t>
        </is>
      </c>
      <c r="T503" t="inlineStr">
        <is>
          <t>Over 6'</t>
        </is>
      </c>
      <c r="U503" t="inlineStr">
        <is>
          <t>Welker</t>
        </is>
      </c>
      <c r="V503" t="inlineStr">
        <is>
          <t>Deoteris</t>
        </is>
      </c>
      <c r="W503" t="inlineStr">
        <is>
          <t>UPS Brown</t>
        </is>
      </c>
      <c r="Y503" t="inlineStr">
        <is>
          <t>Welker</t>
        </is>
      </c>
      <c r="AA503" t="n">
        <v>1</v>
      </c>
      <c r="AB503" t="inlineStr">
        <is>
          <t>W</t>
        </is>
      </c>
      <c r="AC503" t="inlineStr">
        <is>
          <t>1Up</t>
        </is>
      </c>
      <c r="AE503">
        <f>$V503&amp;$Y503</f>
        <v/>
      </c>
      <c r="AF503" t="n">
        <v>1</v>
      </c>
      <c r="AG503" t="n">
        <v>1</v>
      </c>
      <c r="AH503" t="n">
        <v>0</v>
      </c>
      <c r="AI503" t="n">
        <v>0</v>
      </c>
      <c r="AJ503" t="n">
        <v>1</v>
      </c>
      <c r="AK503" t="inlineStr">
        <is>
          <t>McInerney</t>
        </is>
      </c>
      <c r="AL503" t="n">
        <v>0.5</v>
      </c>
      <c r="AM503" t="inlineStr">
        <is>
          <t>Ramsay</t>
        </is>
      </c>
    </row>
    <row r="504" ht="15" customHeight="1" s="2">
      <c r="B504" t="n">
        <v>15</v>
      </c>
      <c r="C504" t="n">
        <v>3</v>
      </c>
      <c r="D504" t="n">
        <v>8</v>
      </c>
      <c r="E504" t="inlineStr">
        <is>
          <t>FBC8-D15</t>
        </is>
      </c>
      <c r="F504" t="inlineStr">
        <is>
          <t>Friday</t>
        </is>
      </c>
      <c r="G504" s="27" t="n">
        <v>44414</v>
      </c>
      <c r="H504" t="inlineStr">
        <is>
          <t>PM</t>
        </is>
      </c>
      <c r="I504" t="inlineStr">
        <is>
          <t>Nekoosa, WI</t>
        </is>
      </c>
      <c r="J504" t="inlineStr">
        <is>
          <t>Midwest</t>
        </is>
      </c>
      <c r="K504" t="n">
        <v>9</v>
      </c>
      <c r="L504" t="inlineStr">
        <is>
          <t>Front</t>
        </is>
      </c>
      <c r="M504" t="inlineStr">
        <is>
          <t>Mammoth Dunes</t>
        </is>
      </c>
      <c r="N504" t="inlineStr">
        <is>
          <t>Orange</t>
        </is>
      </c>
      <c r="O504" t="n">
        <v>70.5</v>
      </c>
      <c r="P504" t="n">
        <v>124</v>
      </c>
      <c r="Q504" t="n">
        <v>6587</v>
      </c>
      <c r="R504" t="inlineStr">
        <is>
          <t>Pinehurst</t>
        </is>
      </c>
      <c r="S504" t="inlineStr">
        <is>
          <t>Doubles</t>
        </is>
      </c>
      <c r="T504" t="inlineStr">
        <is>
          <t>Over 6'</t>
        </is>
      </c>
      <c r="U504" t="inlineStr">
        <is>
          <t>Welker</t>
        </is>
      </c>
      <c r="V504" t="inlineStr">
        <is>
          <t>Connolly</t>
        </is>
      </c>
      <c r="W504" t="inlineStr">
        <is>
          <t>UPS Brown</t>
        </is>
      </c>
      <c r="Y504" t="inlineStr">
        <is>
          <t>Delneky</t>
        </is>
      </c>
      <c r="AA504" t="n">
        <v>1</v>
      </c>
      <c r="AB504" t="inlineStr">
        <is>
          <t>L</t>
        </is>
      </c>
      <c r="AC504" t="inlineStr">
        <is>
          <t>2&amp;1</t>
        </is>
      </c>
      <c r="AE504">
        <f>$V504&amp;$Y504</f>
        <v/>
      </c>
      <c r="AF504" t="n">
        <v>0</v>
      </c>
      <c r="AG504" t="n">
        <v>0</v>
      </c>
      <c r="AH504" t="n">
        <v>1</v>
      </c>
      <c r="AI504" t="n">
        <v>0</v>
      </c>
      <c r="AJ504" t="n">
        <v>0</v>
      </c>
      <c r="AK504" t="inlineStr">
        <is>
          <t>Cole</t>
        </is>
      </c>
      <c r="AL504" t="n">
        <v>0.440677966101695</v>
      </c>
      <c r="AM504" t="inlineStr">
        <is>
          <t>Jackson</t>
        </is>
      </c>
      <c r="AN504" t="n">
        <v>0.6171875</v>
      </c>
    </row>
    <row r="505" ht="15" customHeight="1" s="2">
      <c r="B505" t="n">
        <v>15</v>
      </c>
      <c r="C505" t="n">
        <v>3</v>
      </c>
      <c r="D505" t="n">
        <v>8</v>
      </c>
      <c r="E505" t="inlineStr">
        <is>
          <t>FBC8-D15</t>
        </is>
      </c>
      <c r="F505" t="inlineStr">
        <is>
          <t>Friday</t>
        </is>
      </c>
      <c r="G505" s="27" t="n">
        <v>44414</v>
      </c>
      <c r="H505" t="inlineStr">
        <is>
          <t>PM</t>
        </is>
      </c>
      <c r="I505" t="inlineStr">
        <is>
          <t>Nekoosa, WI</t>
        </is>
      </c>
      <c r="J505" t="inlineStr">
        <is>
          <t>Midwest</t>
        </is>
      </c>
      <c r="K505" t="n">
        <v>9</v>
      </c>
      <c r="L505" t="inlineStr">
        <is>
          <t>Front</t>
        </is>
      </c>
      <c r="M505" t="inlineStr">
        <is>
          <t>Mammoth Dunes</t>
        </is>
      </c>
      <c r="N505" t="inlineStr">
        <is>
          <t>Orange</t>
        </is>
      </c>
      <c r="O505" t="n">
        <v>70.5</v>
      </c>
      <c r="P505" t="n">
        <v>124</v>
      </c>
      <c r="Q505" t="n">
        <v>6587</v>
      </c>
      <c r="R505" t="inlineStr">
        <is>
          <t>Pinehurst</t>
        </is>
      </c>
      <c r="S505" t="inlineStr">
        <is>
          <t>Doubles</t>
        </is>
      </c>
      <c r="T505" t="inlineStr">
        <is>
          <t>Over 6'</t>
        </is>
      </c>
      <c r="U505" t="inlineStr">
        <is>
          <t>Flanders</t>
        </is>
      </c>
      <c r="V505" t="inlineStr">
        <is>
          <t>Cole</t>
        </is>
      </c>
      <c r="W505" t="inlineStr">
        <is>
          <t>Blue/White</t>
        </is>
      </c>
      <c r="Y505" t="inlineStr">
        <is>
          <t>Jackson</t>
        </is>
      </c>
      <c r="AA505" t="n">
        <v>1</v>
      </c>
      <c r="AB505" t="inlineStr">
        <is>
          <t>W</t>
        </is>
      </c>
      <c r="AC505" t="inlineStr">
        <is>
          <t>2&amp;1</t>
        </is>
      </c>
      <c r="AE505">
        <f>$V505&amp;$Y505</f>
        <v/>
      </c>
      <c r="AF505" t="n">
        <v>1</v>
      </c>
      <c r="AG505" t="n">
        <v>1</v>
      </c>
      <c r="AH505" t="n">
        <v>0</v>
      </c>
      <c r="AI505" t="n">
        <v>0</v>
      </c>
      <c r="AJ505" t="n">
        <v>1</v>
      </c>
      <c r="AK505" t="inlineStr">
        <is>
          <t>Connolly</t>
        </is>
      </c>
      <c r="AL505" t="n">
        <v>0.59375</v>
      </c>
      <c r="AM505" t="inlineStr">
        <is>
          <t>Delneky</t>
        </is>
      </c>
      <c r="AN505" t="n">
        <v>0.6590909090909089</v>
      </c>
    </row>
    <row r="506" ht="15" customHeight="1" s="2">
      <c r="B506" t="n">
        <v>16</v>
      </c>
      <c r="C506" t="n">
        <v>4</v>
      </c>
      <c r="D506" t="n">
        <v>8</v>
      </c>
      <c r="E506" t="inlineStr">
        <is>
          <t>FBC8-D16</t>
        </is>
      </c>
      <c r="F506" t="inlineStr">
        <is>
          <t>Friday</t>
        </is>
      </c>
      <c r="G506" s="27" t="n">
        <v>44414</v>
      </c>
      <c r="H506" t="inlineStr">
        <is>
          <t>PM</t>
        </is>
      </c>
      <c r="I506" t="inlineStr">
        <is>
          <t>Nekoosa, WI</t>
        </is>
      </c>
      <c r="J506" t="inlineStr">
        <is>
          <t>Midwest</t>
        </is>
      </c>
      <c r="K506" t="n">
        <v>9</v>
      </c>
      <c r="L506" t="inlineStr">
        <is>
          <t>Front</t>
        </is>
      </c>
      <c r="M506" t="inlineStr">
        <is>
          <t>Mammoth Dunes</t>
        </is>
      </c>
      <c r="N506" t="inlineStr">
        <is>
          <t>Orange</t>
        </is>
      </c>
      <c r="O506" t="n">
        <v>70.5</v>
      </c>
      <c r="P506" t="n">
        <v>124</v>
      </c>
      <c r="Q506" t="n">
        <v>6587</v>
      </c>
      <c r="R506" t="inlineStr">
        <is>
          <t>Pinehurst</t>
        </is>
      </c>
      <c r="S506" t="inlineStr">
        <is>
          <t>Doubles</t>
        </is>
      </c>
      <c r="T506" t="inlineStr">
        <is>
          <t>Over 6'</t>
        </is>
      </c>
      <c r="U506" t="inlineStr">
        <is>
          <t>Flanders</t>
        </is>
      </c>
      <c r="V506" t="inlineStr">
        <is>
          <t>Piegari</t>
        </is>
      </c>
      <c r="W506" t="inlineStr">
        <is>
          <t>Blue/White</t>
        </is>
      </c>
      <c r="Y506" t="inlineStr">
        <is>
          <t>Shively</t>
        </is>
      </c>
      <c r="AA506" t="n">
        <v>1</v>
      </c>
      <c r="AB506" t="inlineStr">
        <is>
          <t>L</t>
        </is>
      </c>
      <c r="AC506" t="inlineStr">
        <is>
          <t>1up</t>
        </is>
      </c>
      <c r="AE506">
        <f>$V506&amp;$Y506</f>
        <v/>
      </c>
      <c r="AF506" t="n">
        <v>0</v>
      </c>
      <c r="AG506" t="n">
        <v>0</v>
      </c>
      <c r="AH506" t="n">
        <v>1</v>
      </c>
      <c r="AI506" t="n">
        <v>0</v>
      </c>
      <c r="AJ506" t="n">
        <v>0</v>
      </c>
      <c r="AK506" t="inlineStr">
        <is>
          <t>Delaney</t>
        </is>
      </c>
      <c r="AL506" t="n">
        <v>0.46551724137931</v>
      </c>
      <c r="AM506" t="inlineStr">
        <is>
          <t>Hilts</t>
        </is>
      </c>
      <c r="AN506" t="n">
        <v>0.473214285714286</v>
      </c>
    </row>
    <row r="507" ht="15" customHeight="1" s="2">
      <c r="B507" t="n">
        <v>16</v>
      </c>
      <c r="C507" t="n">
        <v>4</v>
      </c>
      <c r="D507" t="n">
        <v>8</v>
      </c>
      <c r="E507" t="inlineStr">
        <is>
          <t>FBC8-D16</t>
        </is>
      </c>
      <c r="F507" t="inlineStr">
        <is>
          <t>Friday</t>
        </is>
      </c>
      <c r="G507" s="27" t="n">
        <v>44414</v>
      </c>
      <c r="H507" t="inlineStr">
        <is>
          <t>PM</t>
        </is>
      </c>
      <c r="I507" t="inlineStr">
        <is>
          <t>Nekoosa, WI</t>
        </is>
      </c>
      <c r="J507" t="inlineStr">
        <is>
          <t>Midwest</t>
        </is>
      </c>
      <c r="K507" t="n">
        <v>9</v>
      </c>
      <c r="L507" t="inlineStr">
        <is>
          <t>Front</t>
        </is>
      </c>
      <c r="M507" t="inlineStr">
        <is>
          <t>Mammoth Dunes</t>
        </is>
      </c>
      <c r="N507" t="inlineStr">
        <is>
          <t>Orange</t>
        </is>
      </c>
      <c r="O507" t="n">
        <v>70.5</v>
      </c>
      <c r="P507" t="n">
        <v>124</v>
      </c>
      <c r="Q507" t="n">
        <v>6587</v>
      </c>
      <c r="R507" t="inlineStr">
        <is>
          <t>Pinehurst</t>
        </is>
      </c>
      <c r="S507" t="inlineStr">
        <is>
          <t>Doubles</t>
        </is>
      </c>
      <c r="T507" t="inlineStr">
        <is>
          <t>Over 6'</t>
        </is>
      </c>
      <c r="U507" t="inlineStr">
        <is>
          <t>Welker</t>
        </is>
      </c>
      <c r="V507" t="inlineStr">
        <is>
          <t>Delaney</t>
        </is>
      </c>
      <c r="W507" t="inlineStr">
        <is>
          <t>UPS Brown</t>
        </is>
      </c>
      <c r="Y507" t="inlineStr">
        <is>
          <t>Hilts</t>
        </is>
      </c>
      <c r="AA507" t="n">
        <v>1</v>
      </c>
      <c r="AB507" t="inlineStr">
        <is>
          <t>W</t>
        </is>
      </c>
      <c r="AC507" t="inlineStr">
        <is>
          <t>1up</t>
        </is>
      </c>
      <c r="AE507">
        <f>$V507&amp;$Y507</f>
        <v/>
      </c>
      <c r="AF507" t="n">
        <v>1</v>
      </c>
      <c r="AG507" t="n">
        <v>1</v>
      </c>
      <c r="AH507" t="n">
        <v>0</v>
      </c>
      <c r="AI507" t="n">
        <v>0</v>
      </c>
      <c r="AJ507" t="n">
        <v>1</v>
      </c>
      <c r="AK507" t="inlineStr">
        <is>
          <t>Piegari</t>
        </is>
      </c>
      <c r="AL507" t="n">
        <v>0.333333333333333</v>
      </c>
      <c r="AM507" t="inlineStr">
        <is>
          <t>Shively</t>
        </is>
      </c>
    </row>
    <row r="508" ht="15" customHeight="1" s="2">
      <c r="B508" t="n">
        <v>17</v>
      </c>
      <c r="C508" t="n">
        <v>5</v>
      </c>
      <c r="D508" t="n">
        <v>8</v>
      </c>
      <c r="E508" t="inlineStr">
        <is>
          <t>FBC8-D17</t>
        </is>
      </c>
      <c r="F508" t="inlineStr">
        <is>
          <t>Friday</t>
        </is>
      </c>
      <c r="G508" s="27" t="n">
        <v>44414</v>
      </c>
      <c r="H508" t="inlineStr">
        <is>
          <t>PM</t>
        </is>
      </c>
      <c r="I508" t="inlineStr">
        <is>
          <t>Nekoosa, WI</t>
        </is>
      </c>
      <c r="J508" t="inlineStr">
        <is>
          <t>Midwest</t>
        </is>
      </c>
      <c r="K508" t="n">
        <v>9</v>
      </c>
      <c r="L508" t="inlineStr">
        <is>
          <t>Front</t>
        </is>
      </c>
      <c r="M508" t="inlineStr">
        <is>
          <t>Mammoth Dunes</t>
        </is>
      </c>
      <c r="N508" t="inlineStr">
        <is>
          <t>Orange</t>
        </is>
      </c>
      <c r="O508" t="n">
        <v>70.5</v>
      </c>
      <c r="P508" t="n">
        <v>124</v>
      </c>
      <c r="Q508" t="n">
        <v>6587</v>
      </c>
      <c r="R508" t="inlineStr">
        <is>
          <t>Pinehurst</t>
        </is>
      </c>
      <c r="S508" t="inlineStr">
        <is>
          <t>Doubles</t>
        </is>
      </c>
      <c r="T508" t="inlineStr">
        <is>
          <t>Over 6'</t>
        </is>
      </c>
      <c r="U508" t="inlineStr">
        <is>
          <t>Welker</t>
        </is>
      </c>
      <c r="V508" t="inlineStr">
        <is>
          <t>Connors</t>
        </is>
      </c>
      <c r="W508" t="inlineStr">
        <is>
          <t>UPS Brown</t>
        </is>
      </c>
      <c r="Y508" t="inlineStr">
        <is>
          <t>Perkins</t>
        </is>
      </c>
      <c r="AA508" t="n">
        <v>1</v>
      </c>
      <c r="AB508" t="inlineStr">
        <is>
          <t>W</t>
        </is>
      </c>
      <c r="AC508" t="inlineStr">
        <is>
          <t>2&amp;1</t>
        </is>
      </c>
      <c r="AE508">
        <f>$V508&amp;$Y508</f>
        <v/>
      </c>
      <c r="AF508" t="n">
        <v>1</v>
      </c>
      <c r="AG508" t="n">
        <v>1</v>
      </c>
      <c r="AH508" t="n">
        <v>0</v>
      </c>
      <c r="AI508" t="n">
        <v>0</v>
      </c>
      <c r="AJ508" t="n">
        <v>1</v>
      </c>
      <c r="AK508" t="inlineStr">
        <is>
          <t>Flanders</t>
        </is>
      </c>
      <c r="AL508" t="n">
        <v>0.4296875</v>
      </c>
      <c r="AM508" t="inlineStr">
        <is>
          <t>Fogan</t>
        </is>
      </c>
      <c r="AN508" t="n">
        <v>0.372881355932203</v>
      </c>
    </row>
    <row r="509" ht="15" customHeight="1" s="2">
      <c r="B509" t="n">
        <v>17</v>
      </c>
      <c r="C509" t="n">
        <v>5</v>
      </c>
      <c r="D509" t="n">
        <v>8</v>
      </c>
      <c r="E509" t="inlineStr">
        <is>
          <t>FBC8-D17</t>
        </is>
      </c>
      <c r="F509" t="inlineStr">
        <is>
          <t>Friday</t>
        </is>
      </c>
      <c r="G509" s="27" t="n">
        <v>44414</v>
      </c>
      <c r="H509" t="inlineStr">
        <is>
          <t>PM</t>
        </is>
      </c>
      <c r="I509" t="inlineStr">
        <is>
          <t>Nekoosa, WI</t>
        </is>
      </c>
      <c r="J509" t="inlineStr">
        <is>
          <t>Midwest</t>
        </is>
      </c>
      <c r="K509" t="n">
        <v>9</v>
      </c>
      <c r="L509" t="inlineStr">
        <is>
          <t>Front</t>
        </is>
      </c>
      <c r="M509" t="inlineStr">
        <is>
          <t>Mammoth Dunes</t>
        </is>
      </c>
      <c r="N509" t="inlineStr">
        <is>
          <t>Orange</t>
        </is>
      </c>
      <c r="O509" t="n">
        <v>70.5</v>
      </c>
      <c r="P509" t="n">
        <v>124</v>
      </c>
      <c r="Q509" t="n">
        <v>6587</v>
      </c>
      <c r="R509" t="inlineStr">
        <is>
          <t>Pinehurst</t>
        </is>
      </c>
      <c r="S509" t="inlineStr">
        <is>
          <t>Doubles</t>
        </is>
      </c>
      <c r="T509" t="inlineStr">
        <is>
          <t>Over 6'</t>
        </is>
      </c>
      <c r="U509" t="inlineStr">
        <is>
          <t>Flanders</t>
        </is>
      </c>
      <c r="V509" t="inlineStr">
        <is>
          <t>Flanders</t>
        </is>
      </c>
      <c r="W509" t="inlineStr">
        <is>
          <t>Blue/White</t>
        </is>
      </c>
      <c r="Y509" t="inlineStr">
        <is>
          <t>Fogan</t>
        </is>
      </c>
      <c r="AA509" t="n">
        <v>1</v>
      </c>
      <c r="AB509" t="inlineStr">
        <is>
          <t>L</t>
        </is>
      </c>
      <c r="AC509" t="inlineStr">
        <is>
          <t>2&amp;1</t>
        </is>
      </c>
      <c r="AE509">
        <f>$V509&amp;$Y509</f>
        <v/>
      </c>
      <c r="AF509" t="n">
        <v>0</v>
      </c>
      <c r="AG509" t="n">
        <v>0</v>
      </c>
      <c r="AH509" t="n">
        <v>1</v>
      </c>
      <c r="AI509" t="n">
        <v>0</v>
      </c>
      <c r="AJ509" t="n">
        <v>0</v>
      </c>
      <c r="AK509" t="inlineStr">
        <is>
          <t>Connors</t>
        </is>
      </c>
      <c r="AL509" t="n">
        <v>0.347457627118644</v>
      </c>
      <c r="AM509" t="inlineStr">
        <is>
          <t>Perkins</t>
        </is>
      </c>
      <c r="AN509" t="n">
        <v>0.638888888888889</v>
      </c>
    </row>
    <row r="510" ht="15" customHeight="1" s="2">
      <c r="B510" t="n">
        <v>18</v>
      </c>
      <c r="C510" t="n">
        <v>6</v>
      </c>
      <c r="D510" t="n">
        <v>8</v>
      </c>
      <c r="E510" t="inlineStr">
        <is>
          <t>FBC8-D18</t>
        </is>
      </c>
      <c r="F510" t="inlineStr">
        <is>
          <t>Friday</t>
        </is>
      </c>
      <c r="G510" s="27" t="n">
        <v>44414</v>
      </c>
      <c r="H510" t="inlineStr">
        <is>
          <t>PM</t>
        </is>
      </c>
      <c r="I510" t="inlineStr">
        <is>
          <t>Nekoosa, WI</t>
        </is>
      </c>
      <c r="J510" t="inlineStr">
        <is>
          <t>Midwest</t>
        </is>
      </c>
      <c r="K510" t="n">
        <v>9</v>
      </c>
      <c r="L510" t="inlineStr">
        <is>
          <t>Front</t>
        </is>
      </c>
      <c r="M510" t="inlineStr">
        <is>
          <t>Mammoth Dunes</t>
        </is>
      </c>
      <c r="N510" t="inlineStr">
        <is>
          <t>Orange</t>
        </is>
      </c>
      <c r="O510" t="n">
        <v>70.5</v>
      </c>
      <c r="P510" t="n">
        <v>124</v>
      </c>
      <c r="Q510" t="n">
        <v>6587</v>
      </c>
      <c r="R510" t="inlineStr">
        <is>
          <t>Pinehurst</t>
        </is>
      </c>
      <c r="S510" t="inlineStr">
        <is>
          <t>Doubles</t>
        </is>
      </c>
      <c r="T510" t="inlineStr">
        <is>
          <t>Over 6'</t>
        </is>
      </c>
      <c r="U510" t="inlineStr">
        <is>
          <t>Flanders</t>
        </is>
      </c>
      <c r="V510" t="inlineStr">
        <is>
          <t>Lynch</t>
        </is>
      </c>
      <c r="W510" t="inlineStr">
        <is>
          <t>Blue/White</t>
        </is>
      </c>
      <c r="Y510" t="inlineStr">
        <is>
          <t>Mangold</t>
        </is>
      </c>
      <c r="AA510" t="n">
        <v>1</v>
      </c>
      <c r="AB510" t="inlineStr">
        <is>
          <t>L</t>
        </is>
      </c>
      <c r="AC510" t="inlineStr">
        <is>
          <t>4&amp;2</t>
        </is>
      </c>
      <c r="AE510">
        <f>$V510&amp;$Y510</f>
        <v/>
      </c>
      <c r="AF510" t="n">
        <v>0</v>
      </c>
      <c r="AG510" t="n">
        <v>0</v>
      </c>
      <c r="AH510" t="n">
        <v>1</v>
      </c>
      <c r="AI510" t="n">
        <v>0</v>
      </c>
      <c r="AJ510" t="n">
        <v>0</v>
      </c>
      <c r="AK510" t="inlineStr">
        <is>
          <t>Ferrin</t>
        </is>
      </c>
      <c r="AL510" t="n">
        <v>0.595238095238095</v>
      </c>
      <c r="AM510" t="inlineStr">
        <is>
          <t>Grise</t>
        </is>
      </c>
      <c r="AN510" t="n">
        <v>0.546875</v>
      </c>
    </row>
    <row r="511" ht="15" customHeight="1" s="2">
      <c r="B511" t="n">
        <v>18</v>
      </c>
      <c r="C511" t="n">
        <v>6</v>
      </c>
      <c r="D511" t="n">
        <v>8</v>
      </c>
      <c r="E511" t="inlineStr">
        <is>
          <t>FBC8-D18</t>
        </is>
      </c>
      <c r="F511" t="inlineStr">
        <is>
          <t>Friday</t>
        </is>
      </c>
      <c r="G511" s="27" t="n">
        <v>44414</v>
      </c>
      <c r="H511" t="inlineStr">
        <is>
          <t>PM</t>
        </is>
      </c>
      <c r="I511" t="inlineStr">
        <is>
          <t>Nekoosa, WI</t>
        </is>
      </c>
      <c r="J511" t="inlineStr">
        <is>
          <t>Midwest</t>
        </is>
      </c>
      <c r="K511" t="n">
        <v>9</v>
      </c>
      <c r="L511" t="inlineStr">
        <is>
          <t>Front</t>
        </is>
      </c>
      <c r="M511" t="inlineStr">
        <is>
          <t>Mammoth Dunes</t>
        </is>
      </c>
      <c r="N511" t="inlineStr">
        <is>
          <t>Orange</t>
        </is>
      </c>
      <c r="O511" t="n">
        <v>70.5</v>
      </c>
      <c r="P511" t="n">
        <v>124</v>
      </c>
      <c r="Q511" t="n">
        <v>6587</v>
      </c>
      <c r="R511" t="inlineStr">
        <is>
          <t>Pinehurst</t>
        </is>
      </c>
      <c r="S511" t="inlineStr">
        <is>
          <t>Doubles</t>
        </is>
      </c>
      <c r="T511" t="inlineStr">
        <is>
          <t>Over 6'</t>
        </is>
      </c>
      <c r="U511" t="inlineStr">
        <is>
          <t>Welker</t>
        </is>
      </c>
      <c r="V511" t="inlineStr">
        <is>
          <t>Ferrin</t>
        </is>
      </c>
      <c r="W511" t="inlineStr">
        <is>
          <t>UPS Brown</t>
        </is>
      </c>
      <c r="Y511" t="inlineStr">
        <is>
          <t>Grise</t>
        </is>
      </c>
      <c r="AA511" t="n">
        <v>1</v>
      </c>
      <c r="AB511" t="inlineStr">
        <is>
          <t>W</t>
        </is>
      </c>
      <c r="AC511" t="inlineStr">
        <is>
          <t>4&amp;2</t>
        </is>
      </c>
      <c r="AE511">
        <f>$V511&amp;$Y511</f>
        <v/>
      </c>
      <c r="AF511" t="n">
        <v>1</v>
      </c>
      <c r="AG511" t="n">
        <v>1</v>
      </c>
      <c r="AH511" t="n">
        <v>0</v>
      </c>
      <c r="AI511" t="n">
        <v>0</v>
      </c>
      <c r="AJ511" t="n">
        <v>1</v>
      </c>
      <c r="AK511" t="inlineStr">
        <is>
          <t>Lynch</t>
        </is>
      </c>
      <c r="AL511" t="n">
        <v>0.5546875</v>
      </c>
      <c r="AM511" t="inlineStr">
        <is>
          <t>Mangold</t>
        </is>
      </c>
      <c r="AN511" t="n">
        <v>0.383928571428572</v>
      </c>
    </row>
    <row r="512" ht="15" customHeight="1" s="2">
      <c r="B512" t="n">
        <v>19</v>
      </c>
      <c r="C512" t="n">
        <v>1</v>
      </c>
      <c r="D512" t="n">
        <v>8</v>
      </c>
      <c r="E512" t="inlineStr">
        <is>
          <t>FBC8-S-Forster-Zimmer-2</t>
        </is>
      </c>
      <c r="F512" t="inlineStr">
        <is>
          <t>Friday</t>
        </is>
      </c>
      <c r="G512" s="27" t="n">
        <v>44414</v>
      </c>
      <c r="H512" t="inlineStr">
        <is>
          <t>PM</t>
        </is>
      </c>
      <c r="I512" t="inlineStr">
        <is>
          <t>Nekoosa, WI</t>
        </is>
      </c>
      <c r="J512" t="inlineStr">
        <is>
          <t>Midwest</t>
        </is>
      </c>
      <c r="K512" t="n">
        <v>9</v>
      </c>
      <c r="L512" t="inlineStr">
        <is>
          <t>Back</t>
        </is>
      </c>
      <c r="M512" t="inlineStr">
        <is>
          <t>Mammoth Dunes</t>
        </is>
      </c>
      <c r="N512" t="inlineStr">
        <is>
          <t>Orange</t>
        </is>
      </c>
      <c r="O512" t="n">
        <v>70.5</v>
      </c>
      <c r="P512" t="n">
        <v>124</v>
      </c>
      <c r="Q512" t="n">
        <v>6587</v>
      </c>
      <c r="R512" t="inlineStr">
        <is>
          <t>Singles</t>
        </is>
      </c>
      <c r="S512" t="inlineStr">
        <is>
          <t>Singles</t>
        </is>
      </c>
      <c r="T512" t="inlineStr">
        <is>
          <t>Over 6'</t>
        </is>
      </c>
      <c r="U512" t="inlineStr">
        <is>
          <t>Flanders</t>
        </is>
      </c>
      <c r="V512" t="inlineStr">
        <is>
          <t>Forster</t>
        </is>
      </c>
      <c r="W512" t="inlineStr">
        <is>
          <t>Blue/White</t>
        </is>
      </c>
      <c r="AA512" t="n">
        <v>1</v>
      </c>
      <c r="AB512" t="inlineStr">
        <is>
          <t>L</t>
        </is>
      </c>
      <c r="AC512" t="inlineStr">
        <is>
          <t>4&amp;2</t>
        </is>
      </c>
      <c r="AD512" t="inlineStr">
        <is>
          <t>Zimmer</t>
        </is>
      </c>
      <c r="AE512">
        <f>$V512&amp;$Y512</f>
        <v/>
      </c>
      <c r="AF512" t="n">
        <v>0</v>
      </c>
      <c r="AG512" t="n">
        <v>0</v>
      </c>
      <c r="AH512" t="n">
        <v>1</v>
      </c>
      <c r="AI512" t="n">
        <v>0</v>
      </c>
      <c r="AJ512" t="n">
        <v>0</v>
      </c>
      <c r="AK512" t="inlineStr">
        <is>
          <t>Zimmer</t>
        </is>
      </c>
      <c r="AL512" t="n">
        <v>0.5</v>
      </c>
    </row>
    <row r="513" ht="15" customHeight="1" s="2">
      <c r="B513" t="n">
        <v>19</v>
      </c>
      <c r="C513" t="n">
        <v>1</v>
      </c>
      <c r="D513" t="n">
        <v>8</v>
      </c>
      <c r="E513" t="inlineStr">
        <is>
          <t>FBC8-S-Forster-Zimmer-2</t>
        </is>
      </c>
      <c r="F513" t="inlineStr">
        <is>
          <t>Friday</t>
        </is>
      </c>
      <c r="G513" s="27" t="n">
        <v>44414</v>
      </c>
      <c r="H513" t="inlineStr">
        <is>
          <t>PM</t>
        </is>
      </c>
      <c r="I513" t="inlineStr">
        <is>
          <t>Nekoosa, WI</t>
        </is>
      </c>
      <c r="J513" t="inlineStr">
        <is>
          <t>Midwest</t>
        </is>
      </c>
      <c r="K513" t="n">
        <v>9</v>
      </c>
      <c r="L513" t="inlineStr">
        <is>
          <t>Back</t>
        </is>
      </c>
      <c r="M513" t="inlineStr">
        <is>
          <t>Mammoth Dunes</t>
        </is>
      </c>
      <c r="N513" t="inlineStr">
        <is>
          <t>Orange</t>
        </is>
      </c>
      <c r="O513" t="n">
        <v>70.5</v>
      </c>
      <c r="P513" t="n">
        <v>124</v>
      </c>
      <c r="Q513" t="n">
        <v>6587</v>
      </c>
      <c r="R513" t="inlineStr">
        <is>
          <t>Singles</t>
        </is>
      </c>
      <c r="S513" t="inlineStr">
        <is>
          <t>Singles</t>
        </is>
      </c>
      <c r="T513" t="inlineStr">
        <is>
          <t>Over 6'</t>
        </is>
      </c>
      <c r="U513" t="inlineStr">
        <is>
          <t>Welker</t>
        </is>
      </c>
      <c r="V513" t="inlineStr">
        <is>
          <t>Zimmer</t>
        </is>
      </c>
      <c r="W513" t="inlineStr">
        <is>
          <t>UPS Brown</t>
        </is>
      </c>
      <c r="AA513" t="n">
        <v>1</v>
      </c>
      <c r="AB513" t="inlineStr">
        <is>
          <t>W</t>
        </is>
      </c>
      <c r="AC513" t="inlineStr">
        <is>
          <t>4&amp;2</t>
        </is>
      </c>
      <c r="AD513" t="inlineStr">
        <is>
          <t>Forster</t>
        </is>
      </c>
      <c r="AE513">
        <f>$V513&amp;$Y513</f>
        <v/>
      </c>
      <c r="AF513" t="n">
        <v>1</v>
      </c>
      <c r="AG513" t="n">
        <v>1</v>
      </c>
      <c r="AH513" t="n">
        <v>0</v>
      </c>
      <c r="AI513" t="n">
        <v>0</v>
      </c>
      <c r="AJ513" t="n">
        <v>1</v>
      </c>
      <c r="AK513" t="inlineStr">
        <is>
          <t>Forster</t>
        </is>
      </c>
      <c r="AL513" t="n">
        <v>0.596491228070175</v>
      </c>
    </row>
    <row r="514" ht="15" customHeight="1" s="2">
      <c r="B514" t="n">
        <v>20</v>
      </c>
      <c r="C514" t="n">
        <v>2</v>
      </c>
      <c r="D514" t="n">
        <v>8</v>
      </c>
      <c r="E514" t="inlineStr">
        <is>
          <t>FBC8-D20</t>
        </is>
      </c>
      <c r="F514" t="inlineStr">
        <is>
          <t>Friday</t>
        </is>
      </c>
      <c r="G514" s="27" t="n">
        <v>44414</v>
      </c>
      <c r="H514" t="inlineStr">
        <is>
          <t>PM</t>
        </is>
      </c>
      <c r="I514" t="inlineStr">
        <is>
          <t>Nekoosa, WI</t>
        </is>
      </c>
      <c r="J514" t="inlineStr">
        <is>
          <t>Midwest</t>
        </is>
      </c>
      <c r="K514" t="n">
        <v>9</v>
      </c>
      <c r="L514" t="inlineStr">
        <is>
          <t>Back</t>
        </is>
      </c>
      <c r="M514" t="inlineStr">
        <is>
          <t>Mammoth Dunes</t>
        </is>
      </c>
      <c r="N514" t="inlineStr">
        <is>
          <t>Orange</t>
        </is>
      </c>
      <c r="O514" t="n">
        <v>70.5</v>
      </c>
      <c r="P514" t="n">
        <v>124</v>
      </c>
      <c r="Q514" t="n">
        <v>6587</v>
      </c>
      <c r="R514" t="inlineStr">
        <is>
          <t>Scramble-Stableford</t>
        </is>
      </c>
      <c r="S514" t="inlineStr">
        <is>
          <t>Doubles</t>
        </is>
      </c>
      <c r="T514" t="inlineStr">
        <is>
          <t>Over 6'</t>
        </is>
      </c>
      <c r="U514" t="inlineStr">
        <is>
          <t>Flanders</t>
        </is>
      </c>
      <c r="V514" t="inlineStr">
        <is>
          <t>McInerney</t>
        </is>
      </c>
      <c r="W514" t="inlineStr">
        <is>
          <t>Blue/White</t>
        </is>
      </c>
      <c r="Y514" t="inlineStr">
        <is>
          <t>Ramsay</t>
        </is>
      </c>
      <c r="AA514" t="n">
        <v>1</v>
      </c>
      <c r="AB514" t="inlineStr">
        <is>
          <t>W</t>
        </is>
      </c>
      <c r="AC514" t="inlineStr">
        <is>
          <t>2&amp;1</t>
        </is>
      </c>
      <c r="AE514">
        <f>$V514&amp;$Y514</f>
        <v/>
      </c>
      <c r="AF514" t="n">
        <v>1</v>
      </c>
      <c r="AG514" t="n">
        <v>1</v>
      </c>
      <c r="AH514" t="n">
        <v>0</v>
      </c>
      <c r="AI514" t="n">
        <v>0</v>
      </c>
      <c r="AJ514" t="n">
        <v>1</v>
      </c>
      <c r="AK514" t="inlineStr">
        <is>
          <t>Deoteris</t>
        </is>
      </c>
      <c r="AL514" t="n">
        <v>0.545454545454545</v>
      </c>
      <c r="AM514" t="inlineStr">
        <is>
          <t>Welker</t>
        </is>
      </c>
      <c r="AN514" t="n">
        <v>0.510416666666667</v>
      </c>
    </row>
    <row r="515" ht="15" customHeight="1" s="2">
      <c r="B515" t="n">
        <v>20</v>
      </c>
      <c r="C515" t="n">
        <v>2</v>
      </c>
      <c r="D515" t="n">
        <v>8</v>
      </c>
      <c r="E515" t="inlineStr">
        <is>
          <t>FBC8-D20</t>
        </is>
      </c>
      <c r="F515" t="inlineStr">
        <is>
          <t>Friday</t>
        </is>
      </c>
      <c r="G515" s="27" t="n">
        <v>44414</v>
      </c>
      <c r="H515" t="inlineStr">
        <is>
          <t>PM</t>
        </is>
      </c>
      <c r="I515" t="inlineStr">
        <is>
          <t>Nekoosa, WI</t>
        </is>
      </c>
      <c r="J515" t="inlineStr">
        <is>
          <t>Midwest</t>
        </is>
      </c>
      <c r="K515" t="n">
        <v>9</v>
      </c>
      <c r="L515" t="inlineStr">
        <is>
          <t>Back</t>
        </is>
      </c>
      <c r="M515" t="inlineStr">
        <is>
          <t>Mammoth Dunes</t>
        </is>
      </c>
      <c r="N515" t="inlineStr">
        <is>
          <t>Orange</t>
        </is>
      </c>
      <c r="O515" t="n">
        <v>70.5</v>
      </c>
      <c r="P515" t="n">
        <v>124</v>
      </c>
      <c r="Q515" t="n">
        <v>6587</v>
      </c>
      <c r="R515" t="inlineStr">
        <is>
          <t>Scramble-Stableford</t>
        </is>
      </c>
      <c r="S515" t="inlineStr">
        <is>
          <t>Doubles</t>
        </is>
      </c>
      <c r="T515" t="inlineStr">
        <is>
          <t>Over 6'</t>
        </is>
      </c>
      <c r="U515" t="inlineStr">
        <is>
          <t>Welker</t>
        </is>
      </c>
      <c r="V515" t="inlineStr">
        <is>
          <t>Deoteris</t>
        </is>
      </c>
      <c r="W515" t="inlineStr">
        <is>
          <t>UPS Brown</t>
        </is>
      </c>
      <c r="Y515" t="inlineStr">
        <is>
          <t>Welker</t>
        </is>
      </c>
      <c r="AA515" t="n">
        <v>1</v>
      </c>
      <c r="AB515" t="inlineStr">
        <is>
          <t>L</t>
        </is>
      </c>
      <c r="AC515" t="inlineStr">
        <is>
          <t>2&amp;1</t>
        </is>
      </c>
      <c r="AE515">
        <f>$V515&amp;$Y515</f>
        <v/>
      </c>
      <c r="AF515" t="n">
        <v>0</v>
      </c>
      <c r="AG515" t="n">
        <v>0</v>
      </c>
      <c r="AH515" t="n">
        <v>1</v>
      </c>
      <c r="AI515" t="n">
        <v>0</v>
      </c>
      <c r="AJ515" t="n">
        <v>0</v>
      </c>
      <c r="AK515" t="inlineStr">
        <is>
          <t>McInerney</t>
        </is>
      </c>
      <c r="AL515" t="n">
        <v>0.5</v>
      </c>
      <c r="AM515" t="inlineStr">
        <is>
          <t>Ramsay</t>
        </is>
      </c>
    </row>
    <row r="516" ht="15" customHeight="1" s="2">
      <c r="B516" t="n">
        <v>21</v>
      </c>
      <c r="C516" t="n">
        <v>3</v>
      </c>
      <c r="D516" t="n">
        <v>8</v>
      </c>
      <c r="E516" t="inlineStr">
        <is>
          <t>FBC8-D21</t>
        </is>
      </c>
      <c r="F516" t="inlineStr">
        <is>
          <t>Friday</t>
        </is>
      </c>
      <c r="G516" s="27" t="n">
        <v>44414</v>
      </c>
      <c r="H516" t="inlineStr">
        <is>
          <t>PM</t>
        </is>
      </c>
      <c r="I516" t="inlineStr">
        <is>
          <t>Nekoosa, WI</t>
        </is>
      </c>
      <c r="J516" t="inlineStr">
        <is>
          <t>Midwest</t>
        </is>
      </c>
      <c r="K516" t="n">
        <v>9</v>
      </c>
      <c r="L516" t="inlineStr">
        <is>
          <t>Back</t>
        </is>
      </c>
      <c r="M516" t="inlineStr">
        <is>
          <t>Mammoth Dunes</t>
        </is>
      </c>
      <c r="N516" t="inlineStr">
        <is>
          <t>Orange</t>
        </is>
      </c>
      <c r="O516" t="n">
        <v>70.5</v>
      </c>
      <c r="P516" t="n">
        <v>124</v>
      </c>
      <c r="Q516" t="n">
        <v>6587</v>
      </c>
      <c r="R516" t="inlineStr">
        <is>
          <t>Scramble-Stableford</t>
        </is>
      </c>
      <c r="S516" t="inlineStr">
        <is>
          <t>Doubles</t>
        </is>
      </c>
      <c r="T516" t="inlineStr">
        <is>
          <t>Over 6'</t>
        </is>
      </c>
      <c r="U516" t="inlineStr">
        <is>
          <t>Welker</t>
        </is>
      </c>
      <c r="V516" t="inlineStr">
        <is>
          <t>Connolly</t>
        </is>
      </c>
      <c r="W516" t="inlineStr">
        <is>
          <t>UPS Brown</t>
        </is>
      </c>
      <c r="Y516" t="inlineStr">
        <is>
          <t>Delneky</t>
        </is>
      </c>
      <c r="AA516" t="n">
        <v>1</v>
      </c>
      <c r="AB516" t="inlineStr">
        <is>
          <t>W</t>
        </is>
      </c>
      <c r="AC516" t="inlineStr">
        <is>
          <t>2&amp;1</t>
        </is>
      </c>
      <c r="AE516">
        <f>$V516&amp;$Y516</f>
        <v/>
      </c>
      <c r="AF516" t="n">
        <v>1</v>
      </c>
      <c r="AG516" t="n">
        <v>1</v>
      </c>
      <c r="AH516" t="n">
        <v>0</v>
      </c>
      <c r="AI516" t="n">
        <v>0</v>
      </c>
      <c r="AJ516" t="n">
        <v>1</v>
      </c>
      <c r="AK516" t="inlineStr">
        <is>
          <t>Cole</t>
        </is>
      </c>
      <c r="AL516" t="n">
        <v>0.440677966101695</v>
      </c>
      <c r="AM516" t="inlineStr">
        <is>
          <t>Jackson</t>
        </is>
      </c>
      <c r="AN516" t="n">
        <v>0.6171875</v>
      </c>
    </row>
    <row r="517" ht="15" customHeight="1" s="2">
      <c r="B517" t="n">
        <v>21</v>
      </c>
      <c r="C517" t="n">
        <v>3</v>
      </c>
      <c r="D517" t="n">
        <v>8</v>
      </c>
      <c r="E517" t="inlineStr">
        <is>
          <t>FBC8-D21</t>
        </is>
      </c>
      <c r="F517" t="inlineStr">
        <is>
          <t>Friday</t>
        </is>
      </c>
      <c r="G517" s="27" t="n">
        <v>44414</v>
      </c>
      <c r="H517" t="inlineStr">
        <is>
          <t>PM</t>
        </is>
      </c>
      <c r="I517" t="inlineStr">
        <is>
          <t>Nekoosa, WI</t>
        </is>
      </c>
      <c r="J517" t="inlineStr">
        <is>
          <t>Midwest</t>
        </is>
      </c>
      <c r="K517" t="n">
        <v>9</v>
      </c>
      <c r="L517" t="inlineStr">
        <is>
          <t>Back</t>
        </is>
      </c>
      <c r="M517" t="inlineStr">
        <is>
          <t>Mammoth Dunes</t>
        </is>
      </c>
      <c r="N517" t="inlineStr">
        <is>
          <t>Orange</t>
        </is>
      </c>
      <c r="O517" t="n">
        <v>70.5</v>
      </c>
      <c r="P517" t="n">
        <v>124</v>
      </c>
      <c r="Q517" t="n">
        <v>6587</v>
      </c>
      <c r="R517" t="inlineStr">
        <is>
          <t>Scramble-Stableford</t>
        </is>
      </c>
      <c r="S517" t="inlineStr">
        <is>
          <t>Doubles</t>
        </is>
      </c>
      <c r="T517" t="inlineStr">
        <is>
          <t>Over 6'</t>
        </is>
      </c>
      <c r="U517" t="inlineStr">
        <is>
          <t>Flanders</t>
        </is>
      </c>
      <c r="V517" t="inlineStr">
        <is>
          <t>Cole</t>
        </is>
      </c>
      <c r="W517" t="inlineStr">
        <is>
          <t>Blue/White</t>
        </is>
      </c>
      <c r="Y517" t="inlineStr">
        <is>
          <t>Jackson</t>
        </is>
      </c>
      <c r="AA517" t="n">
        <v>1</v>
      </c>
      <c r="AB517" t="inlineStr">
        <is>
          <t>L</t>
        </is>
      </c>
      <c r="AC517" t="inlineStr">
        <is>
          <t>2&amp;1</t>
        </is>
      </c>
      <c r="AE517">
        <f>$V517&amp;$Y517</f>
        <v/>
      </c>
      <c r="AF517" t="n">
        <v>0</v>
      </c>
      <c r="AG517" t="n">
        <v>0</v>
      </c>
      <c r="AH517" t="n">
        <v>1</v>
      </c>
      <c r="AI517" t="n">
        <v>0</v>
      </c>
      <c r="AJ517" t="n">
        <v>0</v>
      </c>
      <c r="AK517" t="inlineStr">
        <is>
          <t>Connolly</t>
        </is>
      </c>
      <c r="AL517" t="n">
        <v>0.59375</v>
      </c>
      <c r="AM517" t="inlineStr">
        <is>
          <t>Delneky</t>
        </is>
      </c>
      <c r="AN517" t="n">
        <v>0.6590909090909089</v>
      </c>
    </row>
    <row r="518" ht="15" customHeight="1" s="2">
      <c r="B518" t="n">
        <v>22</v>
      </c>
      <c r="C518" t="n">
        <v>4</v>
      </c>
      <c r="D518" t="n">
        <v>8</v>
      </c>
      <c r="E518" t="inlineStr">
        <is>
          <t>FBC8-D22</t>
        </is>
      </c>
      <c r="F518" t="inlineStr">
        <is>
          <t>Friday</t>
        </is>
      </c>
      <c r="G518" s="27" t="n">
        <v>44414</v>
      </c>
      <c r="H518" t="inlineStr">
        <is>
          <t>PM</t>
        </is>
      </c>
      <c r="I518" t="inlineStr">
        <is>
          <t>Nekoosa, WI</t>
        </is>
      </c>
      <c r="J518" t="inlineStr">
        <is>
          <t>Midwest</t>
        </is>
      </c>
      <c r="K518" t="n">
        <v>9</v>
      </c>
      <c r="L518" t="inlineStr">
        <is>
          <t>Back</t>
        </is>
      </c>
      <c r="M518" t="inlineStr">
        <is>
          <t>Mammoth Dunes</t>
        </is>
      </c>
      <c r="N518" t="inlineStr">
        <is>
          <t>Orange</t>
        </is>
      </c>
      <c r="O518" t="n">
        <v>70.5</v>
      </c>
      <c r="P518" t="n">
        <v>124</v>
      </c>
      <c r="Q518" t="n">
        <v>6587</v>
      </c>
      <c r="R518" t="inlineStr">
        <is>
          <t>Scramble-Stableford</t>
        </is>
      </c>
      <c r="S518" t="inlineStr">
        <is>
          <t>Doubles</t>
        </is>
      </c>
      <c r="T518" t="inlineStr">
        <is>
          <t>Over 6'</t>
        </is>
      </c>
      <c r="U518" t="inlineStr">
        <is>
          <t>Flanders</t>
        </is>
      </c>
      <c r="V518" t="inlineStr">
        <is>
          <t>Piegari</t>
        </is>
      </c>
      <c r="W518" t="inlineStr">
        <is>
          <t>Blue/White</t>
        </is>
      </c>
      <c r="Y518" t="inlineStr">
        <is>
          <t>Shively</t>
        </is>
      </c>
      <c r="AA518" t="n">
        <v>1</v>
      </c>
      <c r="AB518" t="inlineStr">
        <is>
          <t>W</t>
        </is>
      </c>
      <c r="AC518" t="inlineStr">
        <is>
          <t>4&amp;3</t>
        </is>
      </c>
      <c r="AE518">
        <f>$V518&amp;$Y518</f>
        <v/>
      </c>
      <c r="AF518" t="n">
        <v>1</v>
      </c>
      <c r="AG518" t="n">
        <v>1</v>
      </c>
      <c r="AH518" t="n">
        <v>0</v>
      </c>
      <c r="AI518" t="n">
        <v>0</v>
      </c>
      <c r="AJ518" t="n">
        <v>1</v>
      </c>
      <c r="AK518" t="inlineStr">
        <is>
          <t>Delaney</t>
        </is>
      </c>
      <c r="AL518" t="n">
        <v>0.46551724137931</v>
      </c>
      <c r="AM518" t="inlineStr">
        <is>
          <t>Hilts</t>
        </is>
      </c>
      <c r="AN518" t="n">
        <v>0.473214285714286</v>
      </c>
    </row>
    <row r="519" ht="15" customHeight="1" s="2">
      <c r="B519" t="n">
        <v>22</v>
      </c>
      <c r="C519" t="n">
        <v>4</v>
      </c>
      <c r="D519" t="n">
        <v>8</v>
      </c>
      <c r="E519" t="inlineStr">
        <is>
          <t>FBC8-D22</t>
        </is>
      </c>
      <c r="F519" t="inlineStr">
        <is>
          <t>Friday</t>
        </is>
      </c>
      <c r="G519" s="27" t="n">
        <v>44414</v>
      </c>
      <c r="H519" t="inlineStr">
        <is>
          <t>PM</t>
        </is>
      </c>
      <c r="I519" t="inlineStr">
        <is>
          <t>Nekoosa, WI</t>
        </is>
      </c>
      <c r="J519" t="inlineStr">
        <is>
          <t>Midwest</t>
        </is>
      </c>
      <c r="K519" t="n">
        <v>9</v>
      </c>
      <c r="L519" t="inlineStr">
        <is>
          <t>Back</t>
        </is>
      </c>
      <c r="M519" t="inlineStr">
        <is>
          <t>Mammoth Dunes</t>
        </is>
      </c>
      <c r="N519" t="inlineStr">
        <is>
          <t>Orange</t>
        </is>
      </c>
      <c r="O519" t="n">
        <v>70.5</v>
      </c>
      <c r="P519" t="n">
        <v>124</v>
      </c>
      <c r="Q519" t="n">
        <v>6587</v>
      </c>
      <c r="R519" t="inlineStr">
        <is>
          <t>Scramble-Stableford</t>
        </is>
      </c>
      <c r="S519" t="inlineStr">
        <is>
          <t>Doubles</t>
        </is>
      </c>
      <c r="T519" t="inlineStr">
        <is>
          <t>Over 6'</t>
        </is>
      </c>
      <c r="U519" t="inlineStr">
        <is>
          <t>Welker</t>
        </is>
      </c>
      <c r="V519" t="inlineStr">
        <is>
          <t>Delaney</t>
        </is>
      </c>
      <c r="W519" t="inlineStr">
        <is>
          <t>UPS Brown</t>
        </is>
      </c>
      <c r="Y519" t="inlineStr">
        <is>
          <t>Hilts</t>
        </is>
      </c>
      <c r="AA519" t="n">
        <v>1</v>
      </c>
      <c r="AB519" t="inlineStr">
        <is>
          <t>L</t>
        </is>
      </c>
      <c r="AC519" t="inlineStr">
        <is>
          <t>4&amp;3</t>
        </is>
      </c>
      <c r="AE519">
        <f>$V519&amp;$Y519</f>
        <v/>
      </c>
      <c r="AF519" t="n">
        <v>0</v>
      </c>
      <c r="AG519" t="n">
        <v>0</v>
      </c>
      <c r="AH519" t="n">
        <v>1</v>
      </c>
      <c r="AI519" t="n">
        <v>0</v>
      </c>
      <c r="AJ519" t="n">
        <v>0</v>
      </c>
      <c r="AK519" t="inlineStr">
        <is>
          <t>Piegari</t>
        </is>
      </c>
      <c r="AL519" t="n">
        <v>0.333333333333333</v>
      </c>
      <c r="AM519" t="inlineStr">
        <is>
          <t>Shively</t>
        </is>
      </c>
    </row>
    <row r="520" ht="15" customHeight="1" s="2">
      <c r="B520" t="n">
        <v>23</v>
      </c>
      <c r="C520" t="n">
        <v>5</v>
      </c>
      <c r="D520" t="n">
        <v>8</v>
      </c>
      <c r="E520" t="inlineStr">
        <is>
          <t>FBC8-D23</t>
        </is>
      </c>
      <c r="F520" t="inlineStr">
        <is>
          <t>Friday</t>
        </is>
      </c>
      <c r="G520" s="27" t="n">
        <v>44414</v>
      </c>
      <c r="H520" t="inlineStr">
        <is>
          <t>PM</t>
        </is>
      </c>
      <c r="I520" t="inlineStr">
        <is>
          <t>Nekoosa, WI</t>
        </is>
      </c>
      <c r="J520" t="inlineStr">
        <is>
          <t>Midwest</t>
        </is>
      </c>
      <c r="K520" t="n">
        <v>9</v>
      </c>
      <c r="L520" t="inlineStr">
        <is>
          <t>Back</t>
        </is>
      </c>
      <c r="M520" t="inlineStr">
        <is>
          <t>Mammoth Dunes</t>
        </is>
      </c>
      <c r="N520" t="inlineStr">
        <is>
          <t>Orange</t>
        </is>
      </c>
      <c r="O520" t="n">
        <v>70.5</v>
      </c>
      <c r="P520" t="n">
        <v>124</v>
      </c>
      <c r="Q520" t="n">
        <v>6587</v>
      </c>
      <c r="R520" t="inlineStr">
        <is>
          <t>Scramble-Stableford</t>
        </is>
      </c>
      <c r="S520" t="inlineStr">
        <is>
          <t>Doubles</t>
        </is>
      </c>
      <c r="T520" t="inlineStr">
        <is>
          <t>Over 6'</t>
        </is>
      </c>
      <c r="U520" t="inlineStr">
        <is>
          <t>Welker</t>
        </is>
      </c>
      <c r="V520" t="inlineStr">
        <is>
          <t>Connors</t>
        </is>
      </c>
      <c r="W520" t="inlineStr">
        <is>
          <t>UPS Brown</t>
        </is>
      </c>
      <c r="Y520" t="inlineStr">
        <is>
          <t>Perkins</t>
        </is>
      </c>
      <c r="AA520" t="n">
        <v>1</v>
      </c>
      <c r="AB520" t="inlineStr">
        <is>
          <t>T</t>
        </is>
      </c>
      <c r="AC520" t="inlineStr">
        <is>
          <t>Halved</t>
        </is>
      </c>
      <c r="AE520">
        <f>$V520&amp;$Y520</f>
        <v/>
      </c>
      <c r="AF520" t="n">
        <v>0.5</v>
      </c>
      <c r="AG520" t="n">
        <v>0</v>
      </c>
      <c r="AH520" t="n">
        <v>0</v>
      </c>
      <c r="AI520" t="n">
        <v>1</v>
      </c>
      <c r="AJ520" t="n">
        <v>0.5</v>
      </c>
      <c r="AK520" t="inlineStr">
        <is>
          <t>Flanders</t>
        </is>
      </c>
      <c r="AL520" t="n">
        <v>0.4296875</v>
      </c>
      <c r="AM520" t="inlineStr">
        <is>
          <t>Fogan</t>
        </is>
      </c>
      <c r="AN520" t="n">
        <v>0.372881355932203</v>
      </c>
    </row>
    <row r="521" ht="15" customHeight="1" s="2">
      <c r="B521" t="n">
        <v>23</v>
      </c>
      <c r="C521" t="n">
        <v>5</v>
      </c>
      <c r="D521" t="n">
        <v>8</v>
      </c>
      <c r="E521" t="inlineStr">
        <is>
          <t>FBC8-D23</t>
        </is>
      </c>
      <c r="F521" t="inlineStr">
        <is>
          <t>Friday</t>
        </is>
      </c>
      <c r="G521" s="27" t="n">
        <v>44414</v>
      </c>
      <c r="H521" t="inlineStr">
        <is>
          <t>PM</t>
        </is>
      </c>
      <c r="I521" t="inlineStr">
        <is>
          <t>Nekoosa, WI</t>
        </is>
      </c>
      <c r="J521" t="inlineStr">
        <is>
          <t>Midwest</t>
        </is>
      </c>
      <c r="K521" t="n">
        <v>9</v>
      </c>
      <c r="L521" t="inlineStr">
        <is>
          <t>Back</t>
        </is>
      </c>
      <c r="M521" t="inlineStr">
        <is>
          <t>Mammoth Dunes</t>
        </is>
      </c>
      <c r="N521" t="inlineStr">
        <is>
          <t>Orange</t>
        </is>
      </c>
      <c r="O521" t="n">
        <v>70.5</v>
      </c>
      <c r="P521" t="n">
        <v>124</v>
      </c>
      <c r="Q521" t="n">
        <v>6587</v>
      </c>
      <c r="R521" t="inlineStr">
        <is>
          <t>Scramble-Stableford</t>
        </is>
      </c>
      <c r="S521" t="inlineStr">
        <is>
          <t>Doubles</t>
        </is>
      </c>
      <c r="T521" t="inlineStr">
        <is>
          <t>Over 6'</t>
        </is>
      </c>
      <c r="U521" t="inlineStr">
        <is>
          <t>Flanders</t>
        </is>
      </c>
      <c r="V521" t="inlineStr">
        <is>
          <t>Flanders</t>
        </is>
      </c>
      <c r="W521" t="inlineStr">
        <is>
          <t>Blue/White</t>
        </is>
      </c>
      <c r="Y521" t="inlineStr">
        <is>
          <t>Fogan</t>
        </is>
      </c>
      <c r="AA521" t="n">
        <v>1</v>
      </c>
      <c r="AB521" t="inlineStr">
        <is>
          <t>T</t>
        </is>
      </c>
      <c r="AC521" t="inlineStr">
        <is>
          <t>Halved</t>
        </is>
      </c>
      <c r="AE521">
        <f>$V521&amp;$Y521</f>
        <v/>
      </c>
      <c r="AF521" t="n">
        <v>0.5</v>
      </c>
      <c r="AG521" t="n">
        <v>0</v>
      </c>
      <c r="AH521" t="n">
        <v>0</v>
      </c>
      <c r="AI521" t="n">
        <v>1</v>
      </c>
      <c r="AJ521" t="n">
        <v>0.5</v>
      </c>
      <c r="AK521" t="inlineStr">
        <is>
          <t>Connors</t>
        </is>
      </c>
      <c r="AL521" t="n">
        <v>0.347457627118644</v>
      </c>
      <c r="AM521" t="inlineStr">
        <is>
          <t>Perkins</t>
        </is>
      </c>
      <c r="AN521" t="n">
        <v>0.638888888888889</v>
      </c>
    </row>
    <row r="522" ht="15" customHeight="1" s="2">
      <c r="B522" t="n">
        <v>24</v>
      </c>
      <c r="C522" t="n">
        <v>6</v>
      </c>
      <c r="D522" t="n">
        <v>8</v>
      </c>
      <c r="E522" t="inlineStr">
        <is>
          <t>FBC8-D24</t>
        </is>
      </c>
      <c r="F522" t="inlineStr">
        <is>
          <t>Friday</t>
        </is>
      </c>
      <c r="G522" s="27" t="n">
        <v>44414</v>
      </c>
      <c r="H522" t="inlineStr">
        <is>
          <t>PM</t>
        </is>
      </c>
      <c r="I522" t="inlineStr">
        <is>
          <t>Nekoosa, WI</t>
        </is>
      </c>
      <c r="J522" t="inlineStr">
        <is>
          <t>Midwest</t>
        </is>
      </c>
      <c r="K522" t="n">
        <v>9</v>
      </c>
      <c r="L522" t="inlineStr">
        <is>
          <t>Back</t>
        </is>
      </c>
      <c r="M522" t="inlineStr">
        <is>
          <t>Mammoth Dunes</t>
        </is>
      </c>
      <c r="N522" t="inlineStr">
        <is>
          <t>Orange</t>
        </is>
      </c>
      <c r="O522" t="n">
        <v>70.5</v>
      </c>
      <c r="P522" t="n">
        <v>124</v>
      </c>
      <c r="Q522" t="n">
        <v>6587</v>
      </c>
      <c r="R522" t="inlineStr">
        <is>
          <t>Scramble-Stableford</t>
        </is>
      </c>
      <c r="S522" t="inlineStr">
        <is>
          <t>Doubles</t>
        </is>
      </c>
      <c r="T522" t="inlineStr">
        <is>
          <t>Over 6'</t>
        </is>
      </c>
      <c r="U522" t="inlineStr">
        <is>
          <t>Flanders</t>
        </is>
      </c>
      <c r="V522" t="inlineStr">
        <is>
          <t>Lynch</t>
        </is>
      </c>
      <c r="W522" t="inlineStr">
        <is>
          <t>Blue/White</t>
        </is>
      </c>
      <c r="Y522" t="inlineStr">
        <is>
          <t>Mangold</t>
        </is>
      </c>
      <c r="AA522" t="n">
        <v>1</v>
      </c>
      <c r="AB522" t="inlineStr">
        <is>
          <t>T</t>
        </is>
      </c>
      <c r="AC522" t="inlineStr">
        <is>
          <t>Halved</t>
        </is>
      </c>
      <c r="AE522">
        <f>$V522&amp;$Y522</f>
        <v/>
      </c>
      <c r="AF522" t="n">
        <v>0.5</v>
      </c>
      <c r="AG522" t="n">
        <v>0</v>
      </c>
      <c r="AH522" t="n">
        <v>0</v>
      </c>
      <c r="AI522" t="n">
        <v>1</v>
      </c>
      <c r="AJ522" t="n">
        <v>0.5</v>
      </c>
      <c r="AK522" t="inlineStr">
        <is>
          <t>Ferrin</t>
        </is>
      </c>
      <c r="AL522" t="n">
        <v>0.595238095238095</v>
      </c>
      <c r="AM522" t="inlineStr">
        <is>
          <t>Grise</t>
        </is>
      </c>
      <c r="AN522" t="n">
        <v>0.546875</v>
      </c>
    </row>
    <row r="523" ht="15" customHeight="1" s="2">
      <c r="B523" t="n">
        <v>24</v>
      </c>
      <c r="C523" t="n">
        <v>6</v>
      </c>
      <c r="D523" t="n">
        <v>8</v>
      </c>
      <c r="E523" t="inlineStr">
        <is>
          <t>FBC8-D24</t>
        </is>
      </c>
      <c r="F523" t="inlineStr">
        <is>
          <t>Friday</t>
        </is>
      </c>
      <c r="G523" s="27" t="n">
        <v>44414</v>
      </c>
      <c r="H523" t="inlineStr">
        <is>
          <t>PM</t>
        </is>
      </c>
      <c r="I523" t="inlineStr">
        <is>
          <t>Nekoosa, WI</t>
        </is>
      </c>
      <c r="J523" t="inlineStr">
        <is>
          <t>Midwest</t>
        </is>
      </c>
      <c r="K523" t="n">
        <v>9</v>
      </c>
      <c r="L523" t="inlineStr">
        <is>
          <t>Back</t>
        </is>
      </c>
      <c r="M523" t="inlineStr">
        <is>
          <t>Mammoth Dunes</t>
        </is>
      </c>
      <c r="N523" t="inlineStr">
        <is>
          <t>Orange</t>
        </is>
      </c>
      <c r="O523" t="n">
        <v>70.5</v>
      </c>
      <c r="P523" t="n">
        <v>124</v>
      </c>
      <c r="Q523" t="n">
        <v>6587</v>
      </c>
      <c r="R523" t="inlineStr">
        <is>
          <t>Scramble-Stableford</t>
        </is>
      </c>
      <c r="S523" t="inlineStr">
        <is>
          <t>Doubles</t>
        </is>
      </c>
      <c r="T523" t="inlineStr">
        <is>
          <t>Over 6'</t>
        </is>
      </c>
      <c r="U523" t="inlineStr">
        <is>
          <t>Welker</t>
        </is>
      </c>
      <c r="V523" t="inlineStr">
        <is>
          <t>Ferrin</t>
        </is>
      </c>
      <c r="W523" t="inlineStr">
        <is>
          <t>UPS Brown</t>
        </is>
      </c>
      <c r="Y523" t="inlineStr">
        <is>
          <t>Grise</t>
        </is>
      </c>
      <c r="AA523" t="n">
        <v>1</v>
      </c>
      <c r="AB523" t="inlineStr">
        <is>
          <t>T</t>
        </is>
      </c>
      <c r="AC523" t="inlineStr">
        <is>
          <t>Halved</t>
        </is>
      </c>
      <c r="AE523">
        <f>$V523&amp;$Y523</f>
        <v/>
      </c>
      <c r="AF523" t="n">
        <v>0.5</v>
      </c>
      <c r="AG523" t="n">
        <v>0</v>
      </c>
      <c r="AH523" t="n">
        <v>0</v>
      </c>
      <c r="AI523" t="n">
        <v>1</v>
      </c>
      <c r="AJ523" t="n">
        <v>0.5</v>
      </c>
      <c r="AK523" t="inlineStr">
        <is>
          <t>Lynch</t>
        </is>
      </c>
      <c r="AL523" t="n">
        <v>0.5546875</v>
      </c>
      <c r="AM523" t="inlineStr">
        <is>
          <t>Mangold</t>
        </is>
      </c>
      <c r="AN523" t="n">
        <v>0.383928571428572</v>
      </c>
    </row>
    <row r="524" ht="15" customHeight="1" s="2">
      <c r="B524" t="inlineStr">
        <is>
          <t>FT1</t>
        </is>
      </c>
      <c r="D524" t="n">
        <v>8</v>
      </c>
      <c r="E524" t="inlineStr">
        <is>
          <t>FBC8-FT</t>
        </is>
      </c>
      <c r="F524" t="inlineStr">
        <is>
          <t>Friday</t>
        </is>
      </c>
      <c r="G524" s="27" t="n">
        <v>44414</v>
      </c>
      <c r="H524" t="inlineStr">
        <is>
          <t>PM</t>
        </is>
      </c>
      <c r="I524" t="inlineStr">
        <is>
          <t>Nekoosa, WI</t>
        </is>
      </c>
      <c r="J524" t="inlineStr">
        <is>
          <t>Midwest</t>
        </is>
      </c>
      <c r="K524" t="n">
        <v>9</v>
      </c>
      <c r="L524" t="inlineStr">
        <is>
          <t>Back</t>
        </is>
      </c>
      <c r="M524" t="inlineStr">
        <is>
          <t>Sandbox</t>
        </is>
      </c>
      <c r="N524" t="inlineStr">
        <is>
          <t>Standard</t>
        </is>
      </c>
      <c r="R524" t="inlineStr">
        <is>
          <t>FTAS</t>
        </is>
      </c>
      <c r="S524" t="inlineStr">
        <is>
          <t>FTAS</t>
        </is>
      </c>
      <c r="T524" t="inlineStr">
        <is>
          <t>Over 6'</t>
        </is>
      </c>
      <c r="U524" t="inlineStr">
        <is>
          <t>Flanders</t>
        </is>
      </c>
      <c r="V524" t="inlineStr">
        <is>
          <t>Forster</t>
        </is>
      </c>
      <c r="W524" t="inlineStr">
        <is>
          <t>Blue/White</t>
        </is>
      </c>
      <c r="AA524" t="n">
        <v>0.5</v>
      </c>
      <c r="AB524" t="inlineStr">
        <is>
          <t>W</t>
        </is>
      </c>
      <c r="AE524">
        <f>$V524&amp;$Y524</f>
        <v/>
      </c>
      <c r="AF524" t="n">
        <v>0.5</v>
      </c>
      <c r="AG524" t="n">
        <v>1</v>
      </c>
      <c r="AH524" t="n">
        <v>0</v>
      </c>
      <c r="AI524" t="n">
        <v>0</v>
      </c>
      <c r="AJ524" t="n">
        <v>1</v>
      </c>
    </row>
    <row r="525" ht="15" customHeight="1" s="2">
      <c r="B525" t="inlineStr">
        <is>
          <t>FT1</t>
        </is>
      </c>
      <c r="D525" t="n">
        <v>8</v>
      </c>
      <c r="E525" t="inlineStr">
        <is>
          <t>FBC8-FT</t>
        </is>
      </c>
      <c r="F525" t="inlineStr">
        <is>
          <t>Friday</t>
        </is>
      </c>
      <c r="G525" s="27" t="n">
        <v>44414</v>
      </c>
      <c r="H525" t="inlineStr">
        <is>
          <t>PM</t>
        </is>
      </c>
      <c r="I525" t="inlineStr">
        <is>
          <t>Nekoosa, WI</t>
        </is>
      </c>
      <c r="J525" t="inlineStr">
        <is>
          <t>Midwest</t>
        </is>
      </c>
      <c r="K525" t="n">
        <v>9</v>
      </c>
      <c r="L525" t="inlineStr">
        <is>
          <t>Back</t>
        </is>
      </c>
      <c r="M525" t="inlineStr">
        <is>
          <t>Sandbox</t>
        </is>
      </c>
      <c r="N525" t="inlineStr">
        <is>
          <t>Standard</t>
        </is>
      </c>
      <c r="R525" t="inlineStr">
        <is>
          <t>FTAS</t>
        </is>
      </c>
      <c r="S525" t="inlineStr">
        <is>
          <t>FTAS</t>
        </is>
      </c>
      <c r="T525" t="inlineStr">
        <is>
          <t>Over 6'</t>
        </is>
      </c>
      <c r="U525" t="inlineStr">
        <is>
          <t>Flanders</t>
        </is>
      </c>
      <c r="V525" t="inlineStr">
        <is>
          <t>McInerney</t>
        </is>
      </c>
      <c r="W525" t="inlineStr">
        <is>
          <t>Blue/White</t>
        </is>
      </c>
      <c r="AA525" t="n">
        <v>0.5</v>
      </c>
      <c r="AB525" t="inlineStr">
        <is>
          <t>W</t>
        </is>
      </c>
      <c r="AE525">
        <f>$V525&amp;$Y525</f>
        <v/>
      </c>
      <c r="AF525" t="n">
        <v>0.5</v>
      </c>
      <c r="AG525" t="n">
        <v>1</v>
      </c>
      <c r="AH525" t="n">
        <v>0</v>
      </c>
      <c r="AI525" t="n">
        <v>0</v>
      </c>
      <c r="AJ525" t="n">
        <v>1</v>
      </c>
    </row>
    <row r="526" ht="15" customHeight="1" s="2">
      <c r="B526" t="inlineStr">
        <is>
          <t>FT1</t>
        </is>
      </c>
      <c r="D526" t="n">
        <v>8</v>
      </c>
      <c r="E526" t="inlineStr">
        <is>
          <t>FBC8-FT</t>
        </is>
      </c>
      <c r="F526" t="inlineStr">
        <is>
          <t>Friday</t>
        </is>
      </c>
      <c r="G526" s="27" t="n">
        <v>44414</v>
      </c>
      <c r="H526" t="inlineStr">
        <is>
          <t>PM</t>
        </is>
      </c>
      <c r="I526" t="inlineStr">
        <is>
          <t>Nekoosa, WI</t>
        </is>
      </c>
      <c r="J526" t="inlineStr">
        <is>
          <t>Midwest</t>
        </is>
      </c>
      <c r="K526" t="n">
        <v>9</v>
      </c>
      <c r="L526" t="inlineStr">
        <is>
          <t>Back</t>
        </is>
      </c>
      <c r="M526" t="inlineStr">
        <is>
          <t>Sandbox</t>
        </is>
      </c>
      <c r="N526" t="inlineStr">
        <is>
          <t>Standard</t>
        </is>
      </c>
      <c r="R526" t="inlineStr">
        <is>
          <t>FTAS</t>
        </is>
      </c>
      <c r="S526" t="inlineStr">
        <is>
          <t>FTAS</t>
        </is>
      </c>
      <c r="T526" t="inlineStr">
        <is>
          <t>Over 6'</t>
        </is>
      </c>
      <c r="U526" t="inlineStr">
        <is>
          <t>Flanders</t>
        </is>
      </c>
      <c r="V526" t="inlineStr">
        <is>
          <t>Ramsay</t>
        </is>
      </c>
      <c r="W526" t="inlineStr">
        <is>
          <t>Blue/White</t>
        </is>
      </c>
      <c r="AA526" t="n">
        <v>0.5</v>
      </c>
      <c r="AB526" t="inlineStr">
        <is>
          <t>W</t>
        </is>
      </c>
      <c r="AE526">
        <f>$V526&amp;$Y526</f>
        <v/>
      </c>
      <c r="AF526" t="n">
        <v>0.5</v>
      </c>
      <c r="AG526" t="n">
        <v>1</v>
      </c>
      <c r="AH526" t="n">
        <v>0</v>
      </c>
      <c r="AI526" t="n">
        <v>0</v>
      </c>
      <c r="AJ526" t="n">
        <v>1</v>
      </c>
    </row>
    <row r="527" ht="15" customHeight="1" s="2">
      <c r="B527" t="inlineStr">
        <is>
          <t>FT1</t>
        </is>
      </c>
      <c r="D527" t="n">
        <v>8</v>
      </c>
      <c r="E527" t="inlineStr">
        <is>
          <t>FBC8-FT</t>
        </is>
      </c>
      <c r="F527" t="inlineStr">
        <is>
          <t>Friday</t>
        </is>
      </c>
      <c r="G527" s="27" t="n">
        <v>44414</v>
      </c>
      <c r="H527" t="inlineStr">
        <is>
          <t>PM</t>
        </is>
      </c>
      <c r="I527" t="inlineStr">
        <is>
          <t>Nekoosa, WI</t>
        </is>
      </c>
      <c r="J527" t="inlineStr">
        <is>
          <t>Midwest</t>
        </is>
      </c>
      <c r="K527" t="n">
        <v>9</v>
      </c>
      <c r="L527" t="inlineStr">
        <is>
          <t>Back</t>
        </is>
      </c>
      <c r="M527" t="inlineStr">
        <is>
          <t>Sandbox</t>
        </is>
      </c>
      <c r="N527" t="inlineStr">
        <is>
          <t>Standard</t>
        </is>
      </c>
      <c r="R527" t="inlineStr">
        <is>
          <t>FTAS</t>
        </is>
      </c>
      <c r="S527" t="inlineStr">
        <is>
          <t>FTAS</t>
        </is>
      </c>
      <c r="T527" t="inlineStr">
        <is>
          <t>Over 6'</t>
        </is>
      </c>
      <c r="U527" t="inlineStr">
        <is>
          <t>Flanders</t>
        </is>
      </c>
      <c r="V527" t="inlineStr">
        <is>
          <t>Jackson</t>
        </is>
      </c>
      <c r="W527" t="inlineStr">
        <is>
          <t>Blue/White</t>
        </is>
      </c>
      <c r="AA527" t="n">
        <v>0.5</v>
      </c>
      <c r="AB527" t="inlineStr">
        <is>
          <t>W</t>
        </is>
      </c>
      <c r="AE527">
        <f>$V527&amp;$Y527</f>
        <v/>
      </c>
      <c r="AF527" t="n">
        <v>0.5</v>
      </c>
      <c r="AG527" t="n">
        <v>1</v>
      </c>
      <c r="AH527" t="n">
        <v>0</v>
      </c>
      <c r="AI527" t="n">
        <v>0</v>
      </c>
      <c r="AJ527" t="n">
        <v>1</v>
      </c>
    </row>
    <row r="528" ht="15" customHeight="1" s="2">
      <c r="B528" t="inlineStr">
        <is>
          <t>FT1</t>
        </is>
      </c>
      <c r="D528" t="n">
        <v>8</v>
      </c>
      <c r="E528" t="inlineStr">
        <is>
          <t>FBC8-FT</t>
        </is>
      </c>
      <c r="F528" t="inlineStr">
        <is>
          <t>Friday</t>
        </is>
      </c>
      <c r="G528" s="27" t="n">
        <v>44414</v>
      </c>
      <c r="H528" t="inlineStr">
        <is>
          <t>PM</t>
        </is>
      </c>
      <c r="I528" t="inlineStr">
        <is>
          <t>Nekoosa, WI</t>
        </is>
      </c>
      <c r="J528" t="inlineStr">
        <is>
          <t>Midwest</t>
        </is>
      </c>
      <c r="K528" t="n">
        <v>17</v>
      </c>
      <c r="L528" t="inlineStr">
        <is>
          <t>Front</t>
        </is>
      </c>
      <c r="M528" t="inlineStr">
        <is>
          <t>Sandbox</t>
        </is>
      </c>
      <c r="N528" t="inlineStr">
        <is>
          <t>Standard</t>
        </is>
      </c>
      <c r="R528" t="inlineStr">
        <is>
          <t>FTAS</t>
        </is>
      </c>
      <c r="S528" t="inlineStr">
        <is>
          <t>FTAS</t>
        </is>
      </c>
      <c r="T528" t="inlineStr">
        <is>
          <t>Over 6'</t>
        </is>
      </c>
      <c r="U528" t="inlineStr">
        <is>
          <t>Flanders</t>
        </is>
      </c>
      <c r="V528" t="inlineStr">
        <is>
          <t>Cole</t>
        </is>
      </c>
      <c r="W528" t="inlineStr">
        <is>
          <t>Blue/White</t>
        </is>
      </c>
      <c r="AA528" t="n">
        <v>0.5</v>
      </c>
      <c r="AB528" t="inlineStr">
        <is>
          <t>W</t>
        </is>
      </c>
      <c r="AE528">
        <f>$V528&amp;$Y528</f>
        <v/>
      </c>
      <c r="AF528" t="n">
        <v>0.5</v>
      </c>
      <c r="AG528" t="n">
        <v>1</v>
      </c>
      <c r="AH528" t="n">
        <v>0</v>
      </c>
      <c r="AI528" t="n">
        <v>0</v>
      </c>
      <c r="AJ528" t="n">
        <v>1</v>
      </c>
    </row>
    <row r="529" ht="15" customHeight="1" s="2">
      <c r="B529" t="inlineStr">
        <is>
          <t>FT1</t>
        </is>
      </c>
      <c r="D529" t="n">
        <v>8</v>
      </c>
      <c r="E529" t="inlineStr">
        <is>
          <t>FBC8-FT</t>
        </is>
      </c>
      <c r="F529" t="inlineStr">
        <is>
          <t>Friday</t>
        </is>
      </c>
      <c r="G529" s="27" t="n">
        <v>44414</v>
      </c>
      <c r="H529" t="inlineStr">
        <is>
          <t>PM</t>
        </is>
      </c>
      <c r="I529" t="inlineStr">
        <is>
          <t>Nekoosa, WI</t>
        </is>
      </c>
      <c r="J529" t="inlineStr">
        <is>
          <t>Midwest</t>
        </is>
      </c>
      <c r="K529" t="n">
        <v>17</v>
      </c>
      <c r="L529" t="inlineStr">
        <is>
          <t>Front</t>
        </is>
      </c>
      <c r="M529" t="inlineStr">
        <is>
          <t>Sandbox</t>
        </is>
      </c>
      <c r="N529" t="inlineStr">
        <is>
          <t>Standard</t>
        </is>
      </c>
      <c r="R529" t="inlineStr">
        <is>
          <t>FTAS</t>
        </is>
      </c>
      <c r="S529" t="inlineStr">
        <is>
          <t>FTAS</t>
        </is>
      </c>
      <c r="T529" t="inlineStr">
        <is>
          <t>Over 6'</t>
        </is>
      </c>
      <c r="U529" t="inlineStr">
        <is>
          <t>Flanders</t>
        </is>
      </c>
      <c r="V529" t="inlineStr">
        <is>
          <t>Piegari</t>
        </is>
      </c>
      <c r="W529" t="inlineStr">
        <is>
          <t>Blue/White</t>
        </is>
      </c>
      <c r="AA529" t="n">
        <v>0.5</v>
      </c>
      <c r="AB529" t="inlineStr">
        <is>
          <t>W</t>
        </is>
      </c>
      <c r="AE529">
        <f>$V529&amp;$Y529</f>
        <v/>
      </c>
      <c r="AF529" t="n">
        <v>0.5</v>
      </c>
      <c r="AG529" t="n">
        <v>1</v>
      </c>
      <c r="AH529" t="n">
        <v>0</v>
      </c>
      <c r="AI529" t="n">
        <v>0</v>
      </c>
      <c r="AJ529" t="n">
        <v>1</v>
      </c>
    </row>
    <row r="530" ht="15" customHeight="1" s="2">
      <c r="B530" t="inlineStr">
        <is>
          <t>FT1</t>
        </is>
      </c>
      <c r="D530" t="n">
        <v>8</v>
      </c>
      <c r="E530" t="inlineStr">
        <is>
          <t>FBC8-FT</t>
        </is>
      </c>
      <c r="F530" t="inlineStr">
        <is>
          <t>Friday</t>
        </is>
      </c>
      <c r="G530" s="27" t="n">
        <v>44414</v>
      </c>
      <c r="H530" t="inlineStr">
        <is>
          <t>PM</t>
        </is>
      </c>
      <c r="I530" t="inlineStr">
        <is>
          <t>Nekoosa, WI</t>
        </is>
      </c>
      <c r="J530" t="inlineStr">
        <is>
          <t>Midwest</t>
        </is>
      </c>
      <c r="K530" t="n">
        <v>17</v>
      </c>
      <c r="L530" t="inlineStr">
        <is>
          <t>Front</t>
        </is>
      </c>
      <c r="M530" t="inlineStr">
        <is>
          <t>Sandbox</t>
        </is>
      </c>
      <c r="N530" t="inlineStr">
        <is>
          <t>Standard</t>
        </is>
      </c>
      <c r="R530" t="inlineStr">
        <is>
          <t>FTAS</t>
        </is>
      </c>
      <c r="S530" t="inlineStr">
        <is>
          <t>FTAS</t>
        </is>
      </c>
      <c r="T530" t="inlineStr">
        <is>
          <t>Over 6'</t>
        </is>
      </c>
      <c r="U530" t="inlineStr">
        <is>
          <t>Flanders</t>
        </is>
      </c>
      <c r="V530" t="inlineStr">
        <is>
          <t>Shively</t>
        </is>
      </c>
      <c r="W530" t="inlineStr">
        <is>
          <t>Blue/White</t>
        </is>
      </c>
      <c r="AA530" t="n">
        <v>0.5</v>
      </c>
      <c r="AB530" t="inlineStr">
        <is>
          <t>W</t>
        </is>
      </c>
      <c r="AE530">
        <f>$V530&amp;$Y530</f>
        <v/>
      </c>
      <c r="AF530" t="n">
        <v>0.5</v>
      </c>
      <c r="AG530" t="n">
        <v>1</v>
      </c>
      <c r="AH530" t="n">
        <v>0</v>
      </c>
      <c r="AI530" t="n">
        <v>0</v>
      </c>
      <c r="AJ530" t="n">
        <v>1</v>
      </c>
    </row>
    <row r="531" ht="15" customHeight="1" s="2">
      <c r="B531" t="inlineStr">
        <is>
          <t>FT1</t>
        </is>
      </c>
      <c r="D531" t="n">
        <v>8</v>
      </c>
      <c r="E531" t="inlineStr">
        <is>
          <t>FBC8-FT</t>
        </is>
      </c>
      <c r="F531" t="inlineStr">
        <is>
          <t>Friday</t>
        </is>
      </c>
      <c r="G531" s="27" t="n">
        <v>44414</v>
      </c>
      <c r="H531" t="inlineStr">
        <is>
          <t>PM</t>
        </is>
      </c>
      <c r="I531" t="inlineStr">
        <is>
          <t>Nekoosa, WI</t>
        </is>
      </c>
      <c r="J531" t="inlineStr">
        <is>
          <t>Midwest</t>
        </is>
      </c>
      <c r="K531" t="n">
        <v>17</v>
      </c>
      <c r="L531" t="inlineStr">
        <is>
          <t>Front</t>
        </is>
      </c>
      <c r="M531" t="inlineStr">
        <is>
          <t>Sandbox</t>
        </is>
      </c>
      <c r="N531" t="inlineStr">
        <is>
          <t>Standard</t>
        </is>
      </c>
      <c r="R531" t="inlineStr">
        <is>
          <t>FTAS</t>
        </is>
      </c>
      <c r="S531" t="inlineStr">
        <is>
          <t>FTAS</t>
        </is>
      </c>
      <c r="T531" t="inlineStr">
        <is>
          <t>Over 6'</t>
        </is>
      </c>
      <c r="U531" t="inlineStr">
        <is>
          <t>Flanders</t>
        </is>
      </c>
      <c r="V531" t="inlineStr">
        <is>
          <t>Flanders</t>
        </is>
      </c>
      <c r="W531" t="inlineStr">
        <is>
          <t>Blue/White</t>
        </is>
      </c>
      <c r="AA531" t="n">
        <v>0.5</v>
      </c>
      <c r="AB531" t="inlineStr">
        <is>
          <t>W</t>
        </is>
      </c>
      <c r="AE531">
        <f>$V531&amp;$Y531</f>
        <v/>
      </c>
      <c r="AF531" t="n">
        <v>0.5</v>
      </c>
      <c r="AG531" t="n">
        <v>1</v>
      </c>
      <c r="AH531" t="n">
        <v>0</v>
      </c>
      <c r="AI531" t="n">
        <v>0</v>
      </c>
      <c r="AJ531" t="n">
        <v>1</v>
      </c>
    </row>
    <row r="532" ht="15" customHeight="1" s="2">
      <c r="B532" t="inlineStr">
        <is>
          <t>FT1</t>
        </is>
      </c>
      <c r="D532" t="n">
        <v>8</v>
      </c>
      <c r="E532" t="inlineStr">
        <is>
          <t>FBC8-FT</t>
        </is>
      </c>
      <c r="F532" t="inlineStr">
        <is>
          <t>Friday</t>
        </is>
      </c>
      <c r="G532" s="27" t="n">
        <v>44414</v>
      </c>
      <c r="H532" t="inlineStr">
        <is>
          <t>PM</t>
        </is>
      </c>
      <c r="I532" t="inlineStr">
        <is>
          <t>Nekoosa, WI</t>
        </is>
      </c>
      <c r="J532" t="inlineStr">
        <is>
          <t>Midwest</t>
        </is>
      </c>
      <c r="K532" t="n">
        <v>17</v>
      </c>
      <c r="L532" t="inlineStr">
        <is>
          <t>Front</t>
        </is>
      </c>
      <c r="M532" t="inlineStr">
        <is>
          <t>Sandbox</t>
        </is>
      </c>
      <c r="N532" t="inlineStr">
        <is>
          <t>Standard</t>
        </is>
      </c>
      <c r="R532" t="inlineStr">
        <is>
          <t>FTAS</t>
        </is>
      </c>
      <c r="S532" t="inlineStr">
        <is>
          <t>FTAS</t>
        </is>
      </c>
      <c r="T532" t="inlineStr">
        <is>
          <t>Over 6'</t>
        </is>
      </c>
      <c r="U532" t="inlineStr">
        <is>
          <t>Flanders</t>
        </is>
      </c>
      <c r="V532" t="inlineStr">
        <is>
          <t>Fogan</t>
        </is>
      </c>
      <c r="W532" t="inlineStr">
        <is>
          <t>Blue/White</t>
        </is>
      </c>
      <c r="AA532" t="n">
        <v>0.5</v>
      </c>
      <c r="AB532" t="inlineStr">
        <is>
          <t>W</t>
        </is>
      </c>
      <c r="AE532">
        <f>$V532&amp;$Y532</f>
        <v/>
      </c>
      <c r="AF532" t="n">
        <v>0.5</v>
      </c>
      <c r="AG532" t="n">
        <v>1</v>
      </c>
      <c r="AH532" t="n">
        <v>0</v>
      </c>
      <c r="AI532" t="n">
        <v>0</v>
      </c>
      <c r="AJ532" t="n">
        <v>1</v>
      </c>
    </row>
    <row r="533" ht="15" customHeight="1" s="2">
      <c r="B533" t="inlineStr">
        <is>
          <t>FT1</t>
        </is>
      </c>
      <c r="D533" t="n">
        <v>8</v>
      </c>
      <c r="E533" t="inlineStr">
        <is>
          <t>FBC8-FT</t>
        </is>
      </c>
      <c r="F533" t="inlineStr">
        <is>
          <t>Friday</t>
        </is>
      </c>
      <c r="G533" s="27" t="n">
        <v>44414</v>
      </c>
      <c r="H533" t="inlineStr">
        <is>
          <t>PM</t>
        </is>
      </c>
      <c r="I533" t="inlineStr">
        <is>
          <t>Nekoosa, WI</t>
        </is>
      </c>
      <c r="J533" t="inlineStr">
        <is>
          <t>Midwest</t>
        </is>
      </c>
      <c r="K533" t="n">
        <v>17</v>
      </c>
      <c r="L533" t="inlineStr">
        <is>
          <t>Front</t>
        </is>
      </c>
      <c r="M533" t="inlineStr">
        <is>
          <t>Sandbox</t>
        </is>
      </c>
      <c r="N533" t="inlineStr">
        <is>
          <t>Standard</t>
        </is>
      </c>
      <c r="R533" t="inlineStr">
        <is>
          <t>FTAS</t>
        </is>
      </c>
      <c r="S533" t="inlineStr">
        <is>
          <t>FTAS</t>
        </is>
      </c>
      <c r="T533" t="inlineStr">
        <is>
          <t>Over 6'</t>
        </is>
      </c>
      <c r="U533" t="inlineStr">
        <is>
          <t>Flanders</t>
        </is>
      </c>
      <c r="V533" t="inlineStr">
        <is>
          <t>Lynch</t>
        </is>
      </c>
      <c r="W533" t="inlineStr">
        <is>
          <t>Blue/White</t>
        </is>
      </c>
      <c r="AA533" t="n">
        <v>0.5</v>
      </c>
      <c r="AB533" t="inlineStr">
        <is>
          <t>W</t>
        </is>
      </c>
      <c r="AE533">
        <f>$V533&amp;$Y533</f>
        <v/>
      </c>
      <c r="AF533" t="n">
        <v>0.5</v>
      </c>
      <c r="AG533" t="n">
        <v>1</v>
      </c>
      <c r="AH533" t="n">
        <v>0</v>
      </c>
      <c r="AI533" t="n">
        <v>0</v>
      </c>
      <c r="AJ533" t="n">
        <v>1</v>
      </c>
    </row>
    <row r="534" ht="15" customHeight="1" s="2">
      <c r="B534" t="inlineStr">
        <is>
          <t>FT1</t>
        </is>
      </c>
      <c r="D534" t="n">
        <v>8</v>
      </c>
      <c r="E534" t="inlineStr">
        <is>
          <t>FBC8-FT</t>
        </is>
      </c>
      <c r="F534" t="inlineStr">
        <is>
          <t>Friday</t>
        </is>
      </c>
      <c r="G534" s="27" t="n">
        <v>44414</v>
      </c>
      <c r="H534" t="inlineStr">
        <is>
          <t>PM</t>
        </is>
      </c>
      <c r="I534" t="inlineStr">
        <is>
          <t>Nekoosa, WI</t>
        </is>
      </c>
      <c r="J534" t="inlineStr">
        <is>
          <t>Midwest</t>
        </is>
      </c>
      <c r="K534" t="n">
        <v>17</v>
      </c>
      <c r="L534" t="inlineStr">
        <is>
          <t>Front</t>
        </is>
      </c>
      <c r="M534" t="inlineStr">
        <is>
          <t>Sandbox</t>
        </is>
      </c>
      <c r="N534" t="inlineStr">
        <is>
          <t>Standard</t>
        </is>
      </c>
      <c r="R534" t="inlineStr">
        <is>
          <t>FTAS</t>
        </is>
      </c>
      <c r="S534" t="inlineStr">
        <is>
          <t>FTAS</t>
        </is>
      </c>
      <c r="T534" t="inlineStr">
        <is>
          <t>Over 6'</t>
        </is>
      </c>
      <c r="U534" t="inlineStr">
        <is>
          <t>Flanders</t>
        </is>
      </c>
      <c r="V534" t="inlineStr">
        <is>
          <t>Mangold</t>
        </is>
      </c>
      <c r="W534" t="inlineStr">
        <is>
          <t>Blue/White</t>
        </is>
      </c>
      <c r="AA534" t="n">
        <v>0.5</v>
      </c>
      <c r="AB534" t="inlineStr">
        <is>
          <t>W</t>
        </is>
      </c>
      <c r="AE534">
        <f>$V534&amp;$Y534</f>
        <v/>
      </c>
      <c r="AF534" t="n">
        <v>0.5</v>
      </c>
      <c r="AG534" t="n">
        <v>1</v>
      </c>
      <c r="AH534" t="n">
        <v>0</v>
      </c>
      <c r="AI534" t="n">
        <v>0</v>
      </c>
      <c r="AJ534" t="n">
        <v>1</v>
      </c>
    </row>
    <row r="535" ht="15" customHeight="1" s="2">
      <c r="B535" t="inlineStr">
        <is>
          <t>FT1</t>
        </is>
      </c>
      <c r="D535" t="n">
        <v>8</v>
      </c>
      <c r="E535" t="inlineStr">
        <is>
          <t>FBC8-FT</t>
        </is>
      </c>
      <c r="F535" t="inlineStr">
        <is>
          <t>Friday</t>
        </is>
      </c>
      <c r="G535" s="27" t="n">
        <v>44414</v>
      </c>
      <c r="H535" t="inlineStr">
        <is>
          <t>PM</t>
        </is>
      </c>
      <c r="I535" t="inlineStr">
        <is>
          <t>Nekoosa, WI</t>
        </is>
      </c>
      <c r="J535" t="inlineStr">
        <is>
          <t>Midwest</t>
        </is>
      </c>
      <c r="K535" t="n">
        <v>17</v>
      </c>
      <c r="L535" t="inlineStr">
        <is>
          <t>Front</t>
        </is>
      </c>
      <c r="M535" t="inlineStr">
        <is>
          <t>Sandbox</t>
        </is>
      </c>
      <c r="N535" t="inlineStr">
        <is>
          <t>Standard</t>
        </is>
      </c>
      <c r="R535" t="inlineStr">
        <is>
          <t>FTAS</t>
        </is>
      </c>
      <c r="S535" t="inlineStr">
        <is>
          <t>FTAS</t>
        </is>
      </c>
      <c r="T535" t="inlineStr">
        <is>
          <t>Over 6'</t>
        </is>
      </c>
      <c r="U535" t="inlineStr">
        <is>
          <t>Welker</t>
        </is>
      </c>
      <c r="V535" t="inlineStr">
        <is>
          <t>Zimmer</t>
        </is>
      </c>
      <c r="W535" t="inlineStr">
        <is>
          <t>UPS Brown</t>
        </is>
      </c>
      <c r="AA535" t="n">
        <v>0.5</v>
      </c>
      <c r="AB535" t="inlineStr">
        <is>
          <t>L</t>
        </is>
      </c>
      <c r="AE535">
        <f>$V535&amp;$Y535</f>
        <v/>
      </c>
      <c r="AF535" t="n">
        <v>0</v>
      </c>
      <c r="AG535" t="n">
        <v>0</v>
      </c>
      <c r="AH535" t="n">
        <v>1</v>
      </c>
      <c r="AI535" t="n">
        <v>0</v>
      </c>
      <c r="AJ535" t="n">
        <v>0</v>
      </c>
    </row>
    <row r="536" ht="15" customHeight="1" s="2">
      <c r="B536" t="inlineStr">
        <is>
          <t>FT1</t>
        </is>
      </c>
      <c r="D536" t="n">
        <v>8</v>
      </c>
      <c r="E536" t="inlineStr">
        <is>
          <t>FBC8-FT</t>
        </is>
      </c>
      <c r="F536" t="inlineStr">
        <is>
          <t>Friday</t>
        </is>
      </c>
      <c r="G536" s="27" t="n">
        <v>44414</v>
      </c>
      <c r="H536" t="inlineStr">
        <is>
          <t>PM</t>
        </is>
      </c>
      <c r="I536" t="inlineStr">
        <is>
          <t>Nekoosa, WI</t>
        </is>
      </c>
      <c r="J536" t="inlineStr">
        <is>
          <t>Midwest</t>
        </is>
      </c>
      <c r="K536" t="n">
        <v>17</v>
      </c>
      <c r="L536" t="inlineStr">
        <is>
          <t>Front</t>
        </is>
      </c>
      <c r="M536" t="inlineStr">
        <is>
          <t>Sandbox</t>
        </is>
      </c>
      <c r="N536" t="inlineStr">
        <is>
          <t>Standard</t>
        </is>
      </c>
      <c r="R536" t="inlineStr">
        <is>
          <t>FTAS</t>
        </is>
      </c>
      <c r="S536" t="inlineStr">
        <is>
          <t>FTAS</t>
        </is>
      </c>
      <c r="T536" t="inlineStr">
        <is>
          <t>Over 6'</t>
        </is>
      </c>
      <c r="U536" t="inlineStr">
        <is>
          <t>Welker</t>
        </is>
      </c>
      <c r="V536" t="inlineStr">
        <is>
          <t>Welker</t>
        </is>
      </c>
      <c r="W536" t="inlineStr">
        <is>
          <t>UPS Brown</t>
        </is>
      </c>
      <c r="AA536" t="n">
        <v>0.5</v>
      </c>
      <c r="AB536" t="inlineStr">
        <is>
          <t>L</t>
        </is>
      </c>
      <c r="AE536">
        <f>$V536&amp;$Y536</f>
        <v/>
      </c>
      <c r="AF536" t="n">
        <v>0</v>
      </c>
      <c r="AG536" t="n">
        <v>0</v>
      </c>
      <c r="AH536" t="n">
        <v>1</v>
      </c>
      <c r="AI536" t="n">
        <v>0</v>
      </c>
      <c r="AJ536" t="n">
        <v>0</v>
      </c>
    </row>
    <row r="537" ht="15" customHeight="1" s="2">
      <c r="B537" t="inlineStr">
        <is>
          <t>FT1</t>
        </is>
      </c>
      <c r="D537" t="n">
        <v>8</v>
      </c>
      <c r="E537" t="inlineStr">
        <is>
          <t>FBC8-FT</t>
        </is>
      </c>
      <c r="F537" t="inlineStr">
        <is>
          <t>Friday</t>
        </is>
      </c>
      <c r="G537" s="27" t="n">
        <v>44414</v>
      </c>
      <c r="H537" t="inlineStr">
        <is>
          <t>PM</t>
        </is>
      </c>
      <c r="I537" t="inlineStr">
        <is>
          <t>Nekoosa, WI</t>
        </is>
      </c>
      <c r="J537" t="inlineStr">
        <is>
          <t>Midwest</t>
        </is>
      </c>
      <c r="K537" t="n">
        <v>17</v>
      </c>
      <c r="L537" t="inlineStr">
        <is>
          <t>Front</t>
        </is>
      </c>
      <c r="M537" t="inlineStr">
        <is>
          <t>Sandbox</t>
        </is>
      </c>
      <c r="N537" t="inlineStr">
        <is>
          <t>Standard</t>
        </is>
      </c>
      <c r="R537" t="inlineStr">
        <is>
          <t>FTAS</t>
        </is>
      </c>
      <c r="S537" t="inlineStr">
        <is>
          <t>FTAS</t>
        </is>
      </c>
      <c r="T537" t="inlineStr">
        <is>
          <t>Over 6'</t>
        </is>
      </c>
      <c r="U537" t="inlineStr">
        <is>
          <t>Welker</t>
        </is>
      </c>
      <c r="V537" t="inlineStr">
        <is>
          <t>Deoteris</t>
        </is>
      </c>
      <c r="W537" t="inlineStr">
        <is>
          <t>UPS Brown</t>
        </is>
      </c>
      <c r="AA537" t="n">
        <v>0.5</v>
      </c>
      <c r="AB537" t="inlineStr">
        <is>
          <t>L</t>
        </is>
      </c>
      <c r="AE537">
        <f>$V537&amp;$Y537</f>
        <v/>
      </c>
      <c r="AF537" t="n">
        <v>0</v>
      </c>
      <c r="AG537" t="n">
        <v>0</v>
      </c>
      <c r="AH537" t="n">
        <v>1</v>
      </c>
      <c r="AI537" t="n">
        <v>0</v>
      </c>
      <c r="AJ537" t="n">
        <v>0</v>
      </c>
    </row>
    <row r="538" ht="15" customHeight="1" s="2">
      <c r="B538" t="inlineStr">
        <is>
          <t>FT1</t>
        </is>
      </c>
      <c r="D538" t="n">
        <v>8</v>
      </c>
      <c r="E538" t="inlineStr">
        <is>
          <t>FBC8-FT</t>
        </is>
      </c>
      <c r="F538" t="inlineStr">
        <is>
          <t>Friday</t>
        </is>
      </c>
      <c r="G538" s="27" t="n">
        <v>44414</v>
      </c>
      <c r="H538" t="inlineStr">
        <is>
          <t>PM</t>
        </is>
      </c>
      <c r="I538" t="inlineStr">
        <is>
          <t>Nekoosa, WI</t>
        </is>
      </c>
      <c r="J538" t="inlineStr">
        <is>
          <t>Midwest</t>
        </is>
      </c>
      <c r="K538" t="n">
        <v>17</v>
      </c>
      <c r="L538" t="inlineStr">
        <is>
          <t>Front</t>
        </is>
      </c>
      <c r="M538" t="inlineStr">
        <is>
          <t>Sandbox</t>
        </is>
      </c>
      <c r="N538" t="inlineStr">
        <is>
          <t>Standard</t>
        </is>
      </c>
      <c r="R538" t="inlineStr">
        <is>
          <t>FTAS</t>
        </is>
      </c>
      <c r="S538" t="inlineStr">
        <is>
          <t>FTAS</t>
        </is>
      </c>
      <c r="T538" t="inlineStr">
        <is>
          <t>Over 6'</t>
        </is>
      </c>
      <c r="U538" t="inlineStr">
        <is>
          <t>Welker</t>
        </is>
      </c>
      <c r="V538" t="inlineStr">
        <is>
          <t>Delneky</t>
        </is>
      </c>
      <c r="W538" t="inlineStr">
        <is>
          <t>UPS Brown</t>
        </is>
      </c>
      <c r="AA538" t="n">
        <v>0.5</v>
      </c>
      <c r="AB538" t="inlineStr">
        <is>
          <t>L</t>
        </is>
      </c>
      <c r="AE538">
        <f>$V538&amp;$Y538</f>
        <v/>
      </c>
      <c r="AF538" t="n">
        <v>0</v>
      </c>
      <c r="AG538" t="n">
        <v>0</v>
      </c>
      <c r="AH538" t="n">
        <v>1</v>
      </c>
      <c r="AI538" t="n">
        <v>0</v>
      </c>
      <c r="AJ538" t="n">
        <v>0</v>
      </c>
    </row>
    <row r="539" ht="15" customHeight="1" s="2">
      <c r="B539" t="inlineStr">
        <is>
          <t>FT1</t>
        </is>
      </c>
      <c r="D539" t="n">
        <v>8</v>
      </c>
      <c r="E539" t="inlineStr">
        <is>
          <t>FBC8-FT</t>
        </is>
      </c>
      <c r="F539" t="inlineStr">
        <is>
          <t>Friday</t>
        </is>
      </c>
      <c r="G539" s="27" t="n">
        <v>44414</v>
      </c>
      <c r="H539" t="inlineStr">
        <is>
          <t>PM</t>
        </is>
      </c>
      <c r="I539" t="inlineStr">
        <is>
          <t>Nekoosa, WI</t>
        </is>
      </c>
      <c r="J539" t="inlineStr">
        <is>
          <t>Midwest</t>
        </is>
      </c>
      <c r="K539" t="n">
        <v>17</v>
      </c>
      <c r="L539" t="inlineStr">
        <is>
          <t>Front</t>
        </is>
      </c>
      <c r="M539" t="inlineStr">
        <is>
          <t>Sandbox</t>
        </is>
      </c>
      <c r="N539" t="inlineStr">
        <is>
          <t>Standard</t>
        </is>
      </c>
      <c r="R539" t="inlineStr">
        <is>
          <t>FTAS</t>
        </is>
      </c>
      <c r="S539" t="inlineStr">
        <is>
          <t>FTAS</t>
        </is>
      </c>
      <c r="T539" t="inlineStr">
        <is>
          <t>Over 6'</t>
        </is>
      </c>
      <c r="U539" t="inlineStr">
        <is>
          <t>Welker</t>
        </is>
      </c>
      <c r="V539" t="inlineStr">
        <is>
          <t>Connolly</t>
        </is>
      </c>
      <c r="W539" t="inlineStr">
        <is>
          <t>UPS Brown</t>
        </is>
      </c>
      <c r="AA539" t="n">
        <v>0.5</v>
      </c>
      <c r="AB539" t="inlineStr">
        <is>
          <t>L</t>
        </is>
      </c>
      <c r="AE539">
        <f>$V539&amp;$Y539</f>
        <v/>
      </c>
      <c r="AF539" t="n">
        <v>0</v>
      </c>
      <c r="AG539" t="n">
        <v>0</v>
      </c>
      <c r="AH539" t="n">
        <v>1</v>
      </c>
      <c r="AI539" t="n">
        <v>0</v>
      </c>
      <c r="AJ539" t="n">
        <v>0</v>
      </c>
    </row>
    <row r="540" ht="15" customHeight="1" s="2">
      <c r="B540" t="inlineStr">
        <is>
          <t>FT1</t>
        </is>
      </c>
      <c r="D540" t="n">
        <v>8</v>
      </c>
      <c r="E540" t="inlineStr">
        <is>
          <t>FBC8-FT</t>
        </is>
      </c>
      <c r="F540" t="inlineStr">
        <is>
          <t>Friday</t>
        </is>
      </c>
      <c r="G540" s="27" t="n">
        <v>44414</v>
      </c>
      <c r="H540" t="inlineStr">
        <is>
          <t>PM</t>
        </is>
      </c>
      <c r="I540" t="inlineStr">
        <is>
          <t>Nekoosa, WI</t>
        </is>
      </c>
      <c r="J540" t="inlineStr">
        <is>
          <t>Midwest</t>
        </is>
      </c>
      <c r="K540" t="n">
        <v>17</v>
      </c>
      <c r="L540" t="inlineStr">
        <is>
          <t>Front</t>
        </is>
      </c>
      <c r="M540" t="inlineStr">
        <is>
          <t>Sandbox</t>
        </is>
      </c>
      <c r="N540" t="inlineStr">
        <is>
          <t>Standard</t>
        </is>
      </c>
      <c r="R540" t="inlineStr">
        <is>
          <t>FTAS</t>
        </is>
      </c>
      <c r="S540" t="inlineStr">
        <is>
          <t>FTAS</t>
        </is>
      </c>
      <c r="T540" t="inlineStr">
        <is>
          <t>Over 6'</t>
        </is>
      </c>
      <c r="U540" t="inlineStr">
        <is>
          <t>Welker</t>
        </is>
      </c>
      <c r="V540" t="inlineStr">
        <is>
          <t>Delaney</t>
        </is>
      </c>
      <c r="W540" t="inlineStr">
        <is>
          <t>UPS Brown</t>
        </is>
      </c>
      <c r="AA540" t="n">
        <v>0.5</v>
      </c>
      <c r="AB540" t="inlineStr">
        <is>
          <t>L</t>
        </is>
      </c>
      <c r="AE540">
        <f>$V540&amp;$Y540</f>
        <v/>
      </c>
      <c r="AF540" t="n">
        <v>0</v>
      </c>
      <c r="AG540" t="n">
        <v>0</v>
      </c>
      <c r="AH540" t="n">
        <v>1</v>
      </c>
      <c r="AI540" t="n">
        <v>0</v>
      </c>
      <c r="AJ540" t="n">
        <v>0</v>
      </c>
    </row>
    <row r="541" ht="15" customHeight="1" s="2">
      <c r="B541" t="inlineStr">
        <is>
          <t>FT1</t>
        </is>
      </c>
      <c r="D541" t="n">
        <v>8</v>
      </c>
      <c r="E541" t="inlineStr">
        <is>
          <t>FBC8-FT</t>
        </is>
      </c>
      <c r="F541" t="inlineStr">
        <is>
          <t>Friday</t>
        </is>
      </c>
      <c r="G541" s="27" t="n">
        <v>44414</v>
      </c>
      <c r="H541" t="inlineStr">
        <is>
          <t>PM</t>
        </is>
      </c>
      <c r="I541" t="inlineStr">
        <is>
          <t>Nekoosa, WI</t>
        </is>
      </c>
      <c r="J541" t="inlineStr">
        <is>
          <t>Midwest</t>
        </is>
      </c>
      <c r="K541" t="n">
        <v>17</v>
      </c>
      <c r="L541" t="inlineStr">
        <is>
          <t>Front</t>
        </is>
      </c>
      <c r="M541" t="inlineStr">
        <is>
          <t>Sandbox</t>
        </is>
      </c>
      <c r="N541" t="inlineStr">
        <is>
          <t>Standard</t>
        </is>
      </c>
      <c r="R541" t="inlineStr">
        <is>
          <t>FTAS</t>
        </is>
      </c>
      <c r="S541" t="inlineStr">
        <is>
          <t>FTAS</t>
        </is>
      </c>
      <c r="T541" t="inlineStr">
        <is>
          <t>Over 6'</t>
        </is>
      </c>
      <c r="U541" t="inlineStr">
        <is>
          <t>Welker</t>
        </is>
      </c>
      <c r="V541" t="inlineStr">
        <is>
          <t>Hilts</t>
        </is>
      </c>
      <c r="W541" t="inlineStr">
        <is>
          <t>UPS Brown</t>
        </is>
      </c>
      <c r="AA541" t="n">
        <v>0.5</v>
      </c>
      <c r="AB541" t="inlineStr">
        <is>
          <t>L</t>
        </is>
      </c>
      <c r="AE541">
        <f>$V541&amp;$Y541</f>
        <v/>
      </c>
      <c r="AF541" t="n">
        <v>0</v>
      </c>
      <c r="AG541" t="n">
        <v>0</v>
      </c>
      <c r="AH541" t="n">
        <v>1</v>
      </c>
      <c r="AI541" t="n">
        <v>0</v>
      </c>
      <c r="AJ541" t="n">
        <v>0</v>
      </c>
    </row>
    <row r="542" ht="15" customHeight="1" s="2">
      <c r="B542" t="inlineStr">
        <is>
          <t>FT1</t>
        </is>
      </c>
      <c r="D542" t="n">
        <v>8</v>
      </c>
      <c r="E542" t="inlineStr">
        <is>
          <t>FBC8-FT</t>
        </is>
      </c>
      <c r="F542" t="inlineStr">
        <is>
          <t>Friday</t>
        </is>
      </c>
      <c r="G542" s="27" t="n">
        <v>44414</v>
      </c>
      <c r="H542" t="inlineStr">
        <is>
          <t>PM</t>
        </is>
      </c>
      <c r="I542" t="inlineStr">
        <is>
          <t>Nekoosa, WI</t>
        </is>
      </c>
      <c r="J542" t="inlineStr">
        <is>
          <t>Midwest</t>
        </is>
      </c>
      <c r="K542" t="n">
        <v>17</v>
      </c>
      <c r="L542" t="inlineStr">
        <is>
          <t>Front</t>
        </is>
      </c>
      <c r="M542" t="inlineStr">
        <is>
          <t>Sandbox</t>
        </is>
      </c>
      <c r="N542" t="inlineStr">
        <is>
          <t>Standard</t>
        </is>
      </c>
      <c r="R542" t="inlineStr">
        <is>
          <t>FTAS</t>
        </is>
      </c>
      <c r="S542" t="inlineStr">
        <is>
          <t>FTAS</t>
        </is>
      </c>
      <c r="T542" t="inlineStr">
        <is>
          <t>Over 6'</t>
        </is>
      </c>
      <c r="U542" t="inlineStr">
        <is>
          <t>Welker</t>
        </is>
      </c>
      <c r="V542" t="inlineStr">
        <is>
          <t>Perkins</t>
        </is>
      </c>
      <c r="W542" t="inlineStr">
        <is>
          <t>UPS Brown</t>
        </is>
      </c>
      <c r="AA542" t="n">
        <v>0.5</v>
      </c>
      <c r="AB542" t="inlineStr">
        <is>
          <t>L</t>
        </is>
      </c>
      <c r="AE542">
        <f>$V542&amp;$Y542</f>
        <v/>
      </c>
      <c r="AF542" t="n">
        <v>0</v>
      </c>
      <c r="AG542" t="n">
        <v>0</v>
      </c>
      <c r="AH542" t="n">
        <v>1</v>
      </c>
      <c r="AI542" t="n">
        <v>0</v>
      </c>
      <c r="AJ542" t="n">
        <v>0</v>
      </c>
    </row>
    <row r="543" ht="15" customHeight="1" s="2">
      <c r="B543" t="inlineStr">
        <is>
          <t>FT1</t>
        </is>
      </c>
      <c r="D543" t="n">
        <v>8</v>
      </c>
      <c r="E543" t="inlineStr">
        <is>
          <t>FBC8-FT</t>
        </is>
      </c>
      <c r="F543" t="inlineStr">
        <is>
          <t>Friday</t>
        </is>
      </c>
      <c r="G543" s="27" t="n">
        <v>44414</v>
      </c>
      <c r="H543" t="inlineStr">
        <is>
          <t>PM</t>
        </is>
      </c>
      <c r="I543" t="inlineStr">
        <is>
          <t>Nekoosa, WI</t>
        </is>
      </c>
      <c r="J543" t="inlineStr">
        <is>
          <t>Midwest</t>
        </is>
      </c>
      <c r="K543" t="n">
        <v>17</v>
      </c>
      <c r="L543" t="inlineStr">
        <is>
          <t>Front</t>
        </is>
      </c>
      <c r="M543" t="inlineStr">
        <is>
          <t>Sandbox</t>
        </is>
      </c>
      <c r="N543" t="inlineStr">
        <is>
          <t>Standard</t>
        </is>
      </c>
      <c r="R543" t="inlineStr">
        <is>
          <t>FTAS</t>
        </is>
      </c>
      <c r="S543" t="inlineStr">
        <is>
          <t>FTAS</t>
        </is>
      </c>
      <c r="T543" t="inlineStr">
        <is>
          <t>Over 6'</t>
        </is>
      </c>
      <c r="U543" t="inlineStr">
        <is>
          <t>Welker</t>
        </is>
      </c>
      <c r="V543" t="inlineStr">
        <is>
          <t>Connors</t>
        </is>
      </c>
      <c r="W543" t="inlineStr">
        <is>
          <t>UPS Brown</t>
        </is>
      </c>
      <c r="AA543" t="n">
        <v>0.5</v>
      </c>
      <c r="AB543" t="inlineStr">
        <is>
          <t>L</t>
        </is>
      </c>
      <c r="AE543">
        <f>$V543&amp;$Y543</f>
        <v/>
      </c>
      <c r="AF543" t="n">
        <v>0</v>
      </c>
      <c r="AG543" t="n">
        <v>0</v>
      </c>
      <c r="AH543" t="n">
        <v>1</v>
      </c>
      <c r="AI543" t="n">
        <v>0</v>
      </c>
      <c r="AJ543" t="n">
        <v>0</v>
      </c>
    </row>
    <row r="544" ht="15" customHeight="1" s="2">
      <c r="B544" t="inlineStr">
        <is>
          <t>FT1</t>
        </is>
      </c>
      <c r="D544" t="n">
        <v>8</v>
      </c>
      <c r="E544" t="inlineStr">
        <is>
          <t>FBC8-FT</t>
        </is>
      </c>
      <c r="F544" t="inlineStr">
        <is>
          <t>Friday</t>
        </is>
      </c>
      <c r="G544" s="27" t="n">
        <v>44414</v>
      </c>
      <c r="H544" t="inlineStr">
        <is>
          <t>PM</t>
        </is>
      </c>
      <c r="I544" t="inlineStr">
        <is>
          <t>Nekoosa, WI</t>
        </is>
      </c>
      <c r="J544" t="inlineStr">
        <is>
          <t>Midwest</t>
        </is>
      </c>
      <c r="K544" t="n">
        <v>17</v>
      </c>
      <c r="L544" t="inlineStr">
        <is>
          <t>Front</t>
        </is>
      </c>
      <c r="M544" t="inlineStr">
        <is>
          <t>Sandbox</t>
        </is>
      </c>
      <c r="N544" t="inlineStr">
        <is>
          <t>Standard</t>
        </is>
      </c>
      <c r="R544" t="inlineStr">
        <is>
          <t>FTAS</t>
        </is>
      </c>
      <c r="S544" t="inlineStr">
        <is>
          <t>FTAS</t>
        </is>
      </c>
      <c r="T544" t="inlineStr">
        <is>
          <t>Over 6'</t>
        </is>
      </c>
      <c r="U544" t="inlineStr">
        <is>
          <t>Welker</t>
        </is>
      </c>
      <c r="V544" t="inlineStr">
        <is>
          <t>Ferrin</t>
        </is>
      </c>
      <c r="W544" t="inlineStr">
        <is>
          <t>UPS Brown</t>
        </is>
      </c>
      <c r="AA544" t="n">
        <v>0.5</v>
      </c>
      <c r="AB544" t="inlineStr">
        <is>
          <t>L</t>
        </is>
      </c>
      <c r="AE544">
        <f>$V544&amp;$Y544</f>
        <v/>
      </c>
      <c r="AF544" t="n">
        <v>0</v>
      </c>
      <c r="AG544" t="n">
        <v>0</v>
      </c>
      <c r="AH544" t="n">
        <v>1</v>
      </c>
      <c r="AI544" t="n">
        <v>0</v>
      </c>
      <c r="AJ544" t="n">
        <v>0</v>
      </c>
    </row>
    <row r="545" ht="15" customHeight="1" s="2">
      <c r="B545" t="inlineStr">
        <is>
          <t>FT1</t>
        </is>
      </c>
      <c r="D545" t="n">
        <v>8</v>
      </c>
      <c r="E545" t="inlineStr">
        <is>
          <t>FBC8-FT</t>
        </is>
      </c>
      <c r="F545" t="inlineStr">
        <is>
          <t>Friday</t>
        </is>
      </c>
      <c r="G545" s="27" t="n">
        <v>44414</v>
      </c>
      <c r="H545" t="inlineStr">
        <is>
          <t>PM</t>
        </is>
      </c>
      <c r="I545" t="inlineStr">
        <is>
          <t>Nekoosa, WI</t>
        </is>
      </c>
      <c r="J545" t="inlineStr">
        <is>
          <t>Midwest</t>
        </is>
      </c>
      <c r="K545" t="n">
        <v>17</v>
      </c>
      <c r="L545" t="inlineStr">
        <is>
          <t>Front</t>
        </is>
      </c>
      <c r="M545" t="inlineStr">
        <is>
          <t>Sandbox</t>
        </is>
      </c>
      <c r="N545" t="inlineStr">
        <is>
          <t>Standard</t>
        </is>
      </c>
      <c r="R545" t="inlineStr">
        <is>
          <t>FTAS</t>
        </is>
      </c>
      <c r="S545" t="inlineStr">
        <is>
          <t>FTAS</t>
        </is>
      </c>
      <c r="T545" t="inlineStr">
        <is>
          <t>Over 6'</t>
        </is>
      </c>
      <c r="U545" t="inlineStr">
        <is>
          <t>Welker</t>
        </is>
      </c>
      <c r="V545" t="inlineStr">
        <is>
          <t>Grise</t>
        </is>
      </c>
      <c r="W545" t="inlineStr">
        <is>
          <t>UPS Brown</t>
        </is>
      </c>
      <c r="AA545" t="n">
        <v>0.5</v>
      </c>
      <c r="AB545" t="inlineStr">
        <is>
          <t>L</t>
        </is>
      </c>
      <c r="AE545">
        <f>$V545&amp;$Y545</f>
        <v/>
      </c>
      <c r="AF545" t="n">
        <v>0</v>
      </c>
      <c r="AG545" t="n">
        <v>0</v>
      </c>
      <c r="AH545" t="n">
        <v>1</v>
      </c>
      <c r="AI545" t="n">
        <v>0</v>
      </c>
      <c r="AJ545" t="n">
        <v>0</v>
      </c>
    </row>
    <row r="546" ht="15" customHeight="1" s="2">
      <c r="B546" t="n">
        <v>25</v>
      </c>
      <c r="C546" t="n">
        <v>1</v>
      </c>
      <c r="D546" t="n">
        <v>8</v>
      </c>
      <c r="E546" t="inlineStr">
        <is>
          <t>FBC8-S-Delaney-Fogan</t>
        </is>
      </c>
      <c r="F546" t="inlineStr">
        <is>
          <t>Sunday</t>
        </is>
      </c>
      <c r="G546" s="27" t="n">
        <v>44430</v>
      </c>
      <c r="H546" t="inlineStr">
        <is>
          <t>PM</t>
        </is>
      </c>
      <c r="I546" t="inlineStr">
        <is>
          <t>Charlotte, NC</t>
        </is>
      </c>
      <c r="J546" t="inlineStr">
        <is>
          <t>South</t>
        </is>
      </c>
      <c r="K546" t="n">
        <v>18</v>
      </c>
      <c r="L546" t="inlineStr">
        <is>
          <t>Full</t>
        </is>
      </c>
      <c r="M546" t="inlineStr">
        <is>
          <t>Carmel</t>
        </is>
      </c>
      <c r="R546" t="inlineStr">
        <is>
          <t>Match Play</t>
        </is>
      </c>
      <c r="S546" t="inlineStr">
        <is>
          <t>Singles</t>
        </is>
      </c>
      <c r="T546" t="inlineStr">
        <is>
          <t>Over 6'</t>
        </is>
      </c>
      <c r="U546" t="inlineStr">
        <is>
          <t>Flanders</t>
        </is>
      </c>
      <c r="V546" t="inlineStr">
        <is>
          <t>Fogan</t>
        </is>
      </c>
      <c r="AA546" t="n">
        <v>2</v>
      </c>
      <c r="AB546" t="inlineStr">
        <is>
          <t>W</t>
        </is>
      </c>
      <c r="AC546" t="inlineStr">
        <is>
          <t>5&amp;3</t>
        </is>
      </c>
      <c r="AD546" t="inlineStr">
        <is>
          <t>Delaney</t>
        </is>
      </c>
      <c r="AE546">
        <f>$V546&amp;$Y546</f>
        <v/>
      </c>
      <c r="AF546" t="n">
        <v>2</v>
      </c>
      <c r="AG546" t="n">
        <v>1</v>
      </c>
      <c r="AH546" t="n">
        <v>0</v>
      </c>
      <c r="AI546" t="n">
        <v>0</v>
      </c>
      <c r="AJ546" t="n">
        <v>1</v>
      </c>
      <c r="AK546" t="inlineStr">
        <is>
          <t>Delaney</t>
        </is>
      </c>
      <c r="AL546" t="n">
        <v>0.46551724137931</v>
      </c>
    </row>
    <row r="547" ht="15" customHeight="1" s="2">
      <c r="B547" t="n">
        <v>26</v>
      </c>
      <c r="C547" t="n">
        <v>2</v>
      </c>
      <c r="D547" t="n">
        <v>8</v>
      </c>
      <c r="E547" t="inlineStr">
        <is>
          <t>FBC8-S-Ferrin-Lynch</t>
        </is>
      </c>
      <c r="F547" t="inlineStr">
        <is>
          <t>Sunday</t>
        </is>
      </c>
      <c r="G547" s="27" t="n">
        <v>44451</v>
      </c>
      <c r="H547" t="inlineStr">
        <is>
          <t>AM</t>
        </is>
      </c>
      <c r="I547" t="inlineStr">
        <is>
          <t>Isle of Palms, SC</t>
        </is>
      </c>
      <c r="J547" t="inlineStr">
        <is>
          <t>South</t>
        </is>
      </c>
      <c r="K547" t="n">
        <v>18</v>
      </c>
      <c r="L547" t="inlineStr">
        <is>
          <t>Full</t>
        </is>
      </c>
      <c r="M547" t="inlineStr">
        <is>
          <t>Wild Dunes</t>
        </is>
      </c>
      <c r="R547" t="inlineStr">
        <is>
          <t>Match Play</t>
        </is>
      </c>
      <c r="S547" t="inlineStr">
        <is>
          <t>Singles</t>
        </is>
      </c>
      <c r="T547" t="inlineStr">
        <is>
          <t>Over 6'</t>
        </is>
      </c>
      <c r="U547" t="inlineStr">
        <is>
          <t>Flanders</t>
        </is>
      </c>
      <c r="V547" t="inlineStr">
        <is>
          <t>Lynch</t>
        </is>
      </c>
      <c r="AA547" t="n">
        <v>2</v>
      </c>
      <c r="AB547" t="inlineStr">
        <is>
          <t>W</t>
        </is>
      </c>
      <c r="AC547" t="inlineStr">
        <is>
          <t>4&amp;3</t>
        </is>
      </c>
      <c r="AD547" t="inlineStr">
        <is>
          <t>Ferrin</t>
        </is>
      </c>
      <c r="AE547">
        <f>$V547&amp;$Y547</f>
        <v/>
      </c>
      <c r="AF547" t="n">
        <v>2</v>
      </c>
      <c r="AG547" t="n">
        <v>1</v>
      </c>
      <c r="AH547" t="n">
        <v>0</v>
      </c>
      <c r="AI547" t="n">
        <v>0</v>
      </c>
      <c r="AJ547" t="n">
        <v>1</v>
      </c>
      <c r="AK547" t="inlineStr">
        <is>
          <t>Ferrin</t>
        </is>
      </c>
      <c r="AL547" t="n">
        <v>0.595238095238095</v>
      </c>
    </row>
    <row r="548" ht="15" customHeight="1" s="2">
      <c r="B548" t="n">
        <v>27</v>
      </c>
      <c r="C548" t="n">
        <v>3</v>
      </c>
      <c r="D548" t="n">
        <v>8</v>
      </c>
      <c r="E548" t="inlineStr">
        <is>
          <t>FBC8-S-Jackson-Zimmer</t>
        </is>
      </c>
      <c r="F548" t="inlineStr">
        <is>
          <t>Sunday</t>
        </is>
      </c>
      <c r="G548" s="27" t="n">
        <v>44451</v>
      </c>
      <c r="H548" t="inlineStr">
        <is>
          <t>AM</t>
        </is>
      </c>
      <c r="I548" t="inlineStr">
        <is>
          <t>Isle of Palms, SC</t>
        </is>
      </c>
      <c r="J548" t="inlineStr">
        <is>
          <t>South</t>
        </is>
      </c>
      <c r="K548" t="n">
        <v>18</v>
      </c>
      <c r="L548" t="inlineStr">
        <is>
          <t>Full</t>
        </is>
      </c>
      <c r="M548" t="inlineStr">
        <is>
          <t>Wild Dunes</t>
        </is>
      </c>
      <c r="R548" t="inlineStr">
        <is>
          <t>Match Play</t>
        </is>
      </c>
      <c r="S548" t="inlineStr">
        <is>
          <t>Singles</t>
        </is>
      </c>
      <c r="T548" t="inlineStr">
        <is>
          <t>Over 6'</t>
        </is>
      </c>
      <c r="U548" t="inlineStr">
        <is>
          <t>Flanders</t>
        </is>
      </c>
      <c r="V548" t="inlineStr">
        <is>
          <t>Jackson</t>
        </is>
      </c>
      <c r="AA548" t="n">
        <v>2</v>
      </c>
      <c r="AB548" t="inlineStr">
        <is>
          <t>L</t>
        </is>
      </c>
      <c r="AC548" t="inlineStr">
        <is>
          <t>4&amp;3</t>
        </is>
      </c>
      <c r="AD548" t="inlineStr">
        <is>
          <t>Zimmer</t>
        </is>
      </c>
      <c r="AE548">
        <f>$V548&amp;$Y548</f>
        <v/>
      </c>
      <c r="AF548" t="n">
        <v>0</v>
      </c>
      <c r="AG548" t="n">
        <v>0</v>
      </c>
      <c r="AH548" t="n">
        <v>1</v>
      </c>
      <c r="AI548" t="n">
        <v>0</v>
      </c>
      <c r="AJ548" t="n">
        <v>0</v>
      </c>
      <c r="AK548" t="inlineStr">
        <is>
          <t>Zimmer</t>
        </is>
      </c>
      <c r="AL548" t="n">
        <v>0.5</v>
      </c>
    </row>
    <row r="549" ht="15" customHeight="1" s="2">
      <c r="B549" t="n">
        <v>28</v>
      </c>
      <c r="C549" t="n">
        <v>4</v>
      </c>
      <c r="D549" t="n">
        <v>8</v>
      </c>
      <c r="E549" t="inlineStr">
        <is>
          <t>FBC8-S-Connolly-McInerney</t>
        </is>
      </c>
      <c r="F549" t="inlineStr">
        <is>
          <t>Sunday</t>
        </is>
      </c>
      <c r="G549" s="27" t="n">
        <v>44451</v>
      </c>
      <c r="H549" t="inlineStr">
        <is>
          <t>AM</t>
        </is>
      </c>
      <c r="I549" t="inlineStr">
        <is>
          <t>Isle of Palms, SC</t>
        </is>
      </c>
      <c r="J549" t="inlineStr">
        <is>
          <t>South</t>
        </is>
      </c>
      <c r="K549" t="n">
        <v>18</v>
      </c>
      <c r="L549" t="inlineStr">
        <is>
          <t>Full</t>
        </is>
      </c>
      <c r="M549" t="inlineStr">
        <is>
          <t>Wild Dunes</t>
        </is>
      </c>
      <c r="R549" t="inlineStr">
        <is>
          <t>Match Play</t>
        </is>
      </c>
      <c r="S549" t="inlineStr">
        <is>
          <t>Singles</t>
        </is>
      </c>
      <c r="T549" t="inlineStr">
        <is>
          <t>Over 6'</t>
        </is>
      </c>
      <c r="U549" t="inlineStr">
        <is>
          <t>Flanders</t>
        </is>
      </c>
      <c r="V549" t="inlineStr">
        <is>
          <t>McInerney</t>
        </is>
      </c>
      <c r="AA549" t="n">
        <v>2</v>
      </c>
      <c r="AB549" t="inlineStr">
        <is>
          <t>L</t>
        </is>
      </c>
      <c r="AC549" t="inlineStr">
        <is>
          <t>3&amp;2</t>
        </is>
      </c>
      <c r="AD549" t="inlineStr">
        <is>
          <t>Connolly</t>
        </is>
      </c>
      <c r="AE549">
        <f>$V549&amp;$Y549</f>
        <v/>
      </c>
      <c r="AF549" t="n">
        <v>0</v>
      </c>
      <c r="AG549" t="n">
        <v>0</v>
      </c>
      <c r="AH549" t="n">
        <v>1</v>
      </c>
      <c r="AI549" t="n">
        <v>0</v>
      </c>
      <c r="AJ549" t="n">
        <v>0</v>
      </c>
      <c r="AK549" t="inlineStr">
        <is>
          <t>Connolly</t>
        </is>
      </c>
      <c r="AL549" t="n">
        <v>0.59375</v>
      </c>
    </row>
    <row r="550" ht="15" customHeight="1" s="2">
      <c r="B550" t="n">
        <v>29</v>
      </c>
      <c r="C550" t="n">
        <v>5</v>
      </c>
      <c r="D550" t="n">
        <v>8</v>
      </c>
      <c r="E550" t="inlineStr">
        <is>
          <t>FBC8-S-Cole-Connors</t>
        </is>
      </c>
      <c r="F550" t="inlineStr">
        <is>
          <t>Sunday</t>
        </is>
      </c>
      <c r="G550" s="27" t="n">
        <v>44451</v>
      </c>
      <c r="H550" t="inlineStr">
        <is>
          <t>AM</t>
        </is>
      </c>
      <c r="I550" t="inlineStr">
        <is>
          <t>Isle of Palms, SC</t>
        </is>
      </c>
      <c r="J550" t="inlineStr">
        <is>
          <t>South</t>
        </is>
      </c>
      <c r="K550" t="n">
        <v>18</v>
      </c>
      <c r="L550" t="inlineStr">
        <is>
          <t>Full</t>
        </is>
      </c>
      <c r="M550" t="inlineStr">
        <is>
          <t>Wild Dunes</t>
        </is>
      </c>
      <c r="R550" t="inlineStr">
        <is>
          <t>Match Play</t>
        </is>
      </c>
      <c r="S550" t="inlineStr">
        <is>
          <t>Singles</t>
        </is>
      </c>
      <c r="T550" t="inlineStr">
        <is>
          <t>Over 6'</t>
        </is>
      </c>
      <c r="U550" t="inlineStr">
        <is>
          <t>Flanders</t>
        </is>
      </c>
      <c r="V550" t="inlineStr">
        <is>
          <t>Cole</t>
        </is>
      </c>
      <c r="AA550" t="n">
        <v>2</v>
      </c>
      <c r="AB550" t="inlineStr">
        <is>
          <t>W</t>
        </is>
      </c>
      <c r="AC550" t="inlineStr">
        <is>
          <t>5&amp;3</t>
        </is>
      </c>
      <c r="AD550" t="inlineStr">
        <is>
          <t>Connors</t>
        </is>
      </c>
      <c r="AE550">
        <f>$V550&amp;$Y550</f>
        <v/>
      </c>
      <c r="AF550" t="n">
        <v>2</v>
      </c>
      <c r="AG550" t="n">
        <v>1</v>
      </c>
      <c r="AH550" t="n">
        <v>0</v>
      </c>
      <c r="AI550" t="n">
        <v>0</v>
      </c>
      <c r="AJ550" t="n">
        <v>1</v>
      </c>
      <c r="AK550" t="inlineStr">
        <is>
          <t>Connors</t>
        </is>
      </c>
      <c r="AL550" t="n">
        <v>0.347457627118644</v>
      </c>
    </row>
    <row r="551" ht="15" customHeight="1" s="2">
      <c r="B551" t="n">
        <v>30</v>
      </c>
      <c r="C551" t="n">
        <v>6</v>
      </c>
      <c r="D551" t="n">
        <v>8</v>
      </c>
      <c r="E551" t="inlineStr">
        <is>
          <t>FBC8-S-Grise-Shively</t>
        </is>
      </c>
      <c r="F551" t="inlineStr">
        <is>
          <t>Sunday</t>
        </is>
      </c>
      <c r="G551" s="27" t="n">
        <v>44451</v>
      </c>
      <c r="H551" t="inlineStr">
        <is>
          <t>AM</t>
        </is>
      </c>
      <c r="I551" t="inlineStr">
        <is>
          <t>Isle of Palms, SC</t>
        </is>
      </c>
      <c r="J551" t="inlineStr">
        <is>
          <t>South</t>
        </is>
      </c>
      <c r="K551" t="n">
        <v>18</v>
      </c>
      <c r="L551" t="inlineStr">
        <is>
          <t>Full</t>
        </is>
      </c>
      <c r="M551" t="inlineStr">
        <is>
          <t>Wild Dunes</t>
        </is>
      </c>
      <c r="R551" t="inlineStr">
        <is>
          <t>Match Play</t>
        </is>
      </c>
      <c r="S551" t="inlineStr">
        <is>
          <t>Singles</t>
        </is>
      </c>
      <c r="T551" t="inlineStr">
        <is>
          <t>Over 6'</t>
        </is>
      </c>
      <c r="U551" t="inlineStr">
        <is>
          <t>Flanders</t>
        </is>
      </c>
      <c r="V551" t="inlineStr">
        <is>
          <t>Shively</t>
        </is>
      </c>
      <c r="AA551" t="n">
        <v>2</v>
      </c>
      <c r="AB551" t="inlineStr">
        <is>
          <t>L</t>
        </is>
      </c>
      <c r="AC551" t="inlineStr">
        <is>
          <t>2Up</t>
        </is>
      </c>
      <c r="AD551" t="inlineStr">
        <is>
          <t>Grise</t>
        </is>
      </c>
      <c r="AE551">
        <f>$V551&amp;$Y551</f>
        <v/>
      </c>
      <c r="AF551" t="n">
        <v>0</v>
      </c>
      <c r="AG551" t="n">
        <v>0</v>
      </c>
      <c r="AH551" t="n">
        <v>1</v>
      </c>
      <c r="AI551" t="n">
        <v>0</v>
      </c>
      <c r="AJ551" t="n">
        <v>0</v>
      </c>
      <c r="AK551" t="inlineStr">
        <is>
          <t>Grise</t>
        </is>
      </c>
      <c r="AL551" t="n">
        <v>0.546875</v>
      </c>
    </row>
    <row r="552" ht="15" customHeight="1" s="2">
      <c r="B552" t="n">
        <v>31</v>
      </c>
      <c r="C552" t="n">
        <v>7</v>
      </c>
      <c r="D552" t="n">
        <v>8</v>
      </c>
      <c r="E552" t="inlineStr">
        <is>
          <t>FBC8-S-Flanders-Welker</t>
        </is>
      </c>
      <c r="F552" t="inlineStr">
        <is>
          <t>Sunday</t>
        </is>
      </c>
      <c r="G552" s="27" t="n">
        <v>44451</v>
      </c>
      <c r="H552" t="inlineStr">
        <is>
          <t>AM</t>
        </is>
      </c>
      <c r="I552" t="inlineStr">
        <is>
          <t>Fort Lauderdale, FL</t>
        </is>
      </c>
      <c r="J552" t="inlineStr">
        <is>
          <t>South</t>
        </is>
      </c>
      <c r="K552" t="n">
        <v>18</v>
      </c>
      <c r="L552" t="inlineStr">
        <is>
          <t>Full</t>
        </is>
      </c>
      <c r="M552" t="inlineStr">
        <is>
          <t>Lauderdale</t>
        </is>
      </c>
      <c r="R552" t="inlineStr">
        <is>
          <t>Match Play</t>
        </is>
      </c>
      <c r="S552" t="inlineStr">
        <is>
          <t>Singles</t>
        </is>
      </c>
      <c r="T552" t="inlineStr">
        <is>
          <t>Over 6'</t>
        </is>
      </c>
      <c r="U552" t="inlineStr">
        <is>
          <t>Flanders</t>
        </is>
      </c>
      <c r="V552" t="inlineStr">
        <is>
          <t>Flanders</t>
        </is>
      </c>
      <c r="AA552" t="n">
        <v>2</v>
      </c>
      <c r="AB552" t="inlineStr">
        <is>
          <t>W</t>
        </is>
      </c>
      <c r="AC552" t="inlineStr">
        <is>
          <t>1up</t>
        </is>
      </c>
      <c r="AD552" t="inlineStr">
        <is>
          <t>Welker</t>
        </is>
      </c>
      <c r="AE552">
        <f>$V552&amp;$Y552</f>
        <v/>
      </c>
      <c r="AF552" t="n">
        <v>2</v>
      </c>
      <c r="AG552" t="n">
        <v>1</v>
      </c>
      <c r="AH552" t="n">
        <v>0</v>
      </c>
      <c r="AI552" t="n">
        <v>0</v>
      </c>
      <c r="AJ552" t="n">
        <v>1</v>
      </c>
      <c r="AK552" t="inlineStr">
        <is>
          <t>Welker</t>
        </is>
      </c>
      <c r="AL552" t="n">
        <v>0.510416666666667</v>
      </c>
    </row>
    <row r="553" ht="15" customHeight="1" s="2">
      <c r="B553" t="n">
        <v>32</v>
      </c>
      <c r="C553" t="n">
        <v>8</v>
      </c>
      <c r="D553" t="n">
        <v>8</v>
      </c>
      <c r="E553" t="inlineStr">
        <is>
          <t>FBC8-S-Perkins-Piegari</t>
        </is>
      </c>
      <c r="F553" t="inlineStr">
        <is>
          <t>Sunday</t>
        </is>
      </c>
      <c r="G553" s="27" t="n">
        <v>44821</v>
      </c>
      <c r="H553" t="inlineStr">
        <is>
          <t>AM</t>
        </is>
      </c>
      <c r="I553" t="inlineStr">
        <is>
          <t>San Diego, CA</t>
        </is>
      </c>
      <c r="J553" t="inlineStr">
        <is>
          <t>West</t>
        </is>
      </c>
      <c r="K553" t="n">
        <v>18</v>
      </c>
      <c r="L553" t="inlineStr">
        <is>
          <t>Full</t>
        </is>
      </c>
      <c r="M553" t="inlineStr">
        <is>
          <t>Torrey Pines South</t>
        </is>
      </c>
      <c r="R553" t="inlineStr">
        <is>
          <t>Match Play</t>
        </is>
      </c>
      <c r="S553" t="inlineStr">
        <is>
          <t>Singles</t>
        </is>
      </c>
      <c r="T553" t="inlineStr">
        <is>
          <t>Over 6'</t>
        </is>
      </c>
      <c r="U553" t="inlineStr">
        <is>
          <t>Flanders</t>
        </is>
      </c>
      <c r="V553" t="inlineStr">
        <is>
          <t>Piegari</t>
        </is>
      </c>
      <c r="AA553" t="n">
        <v>2</v>
      </c>
      <c r="AB553" t="inlineStr">
        <is>
          <t>L</t>
        </is>
      </c>
      <c r="AC553" t="inlineStr">
        <is>
          <t>1up</t>
        </is>
      </c>
      <c r="AD553" t="inlineStr">
        <is>
          <t>Perkins</t>
        </is>
      </c>
      <c r="AE553">
        <f>$V553&amp;$Y553</f>
        <v/>
      </c>
      <c r="AF553" t="n">
        <v>0</v>
      </c>
      <c r="AG553" t="n">
        <v>0</v>
      </c>
      <c r="AH553" t="n">
        <v>1</v>
      </c>
      <c r="AI553" t="n">
        <v>0</v>
      </c>
      <c r="AJ553" t="n">
        <v>0</v>
      </c>
      <c r="AK553" t="inlineStr">
        <is>
          <t>Perkins</t>
        </is>
      </c>
      <c r="AL553" t="n">
        <v>0.638888888888889</v>
      </c>
    </row>
    <row r="554" ht="15" customHeight="1" s="2">
      <c r="B554" t="n">
        <v>25</v>
      </c>
      <c r="C554" t="n">
        <v>1</v>
      </c>
      <c r="D554" t="n">
        <v>8</v>
      </c>
      <c r="E554" t="inlineStr">
        <is>
          <t>FBC8-S-Delaney-Fogan</t>
        </is>
      </c>
      <c r="F554" t="inlineStr">
        <is>
          <t>Sunday</t>
        </is>
      </c>
      <c r="G554" s="27" t="n">
        <v>44430</v>
      </c>
      <c r="H554" t="inlineStr">
        <is>
          <t>PM</t>
        </is>
      </c>
      <c r="I554" t="inlineStr">
        <is>
          <t>Charlotte, NC</t>
        </is>
      </c>
      <c r="J554" t="inlineStr">
        <is>
          <t>South</t>
        </is>
      </c>
      <c r="K554" t="n">
        <v>18</v>
      </c>
      <c r="L554" t="inlineStr">
        <is>
          <t>Full</t>
        </is>
      </c>
      <c r="M554" t="inlineStr">
        <is>
          <t>Carmel</t>
        </is>
      </c>
      <c r="R554" t="inlineStr">
        <is>
          <t>Match Play</t>
        </is>
      </c>
      <c r="S554" t="inlineStr">
        <is>
          <t>Singles</t>
        </is>
      </c>
      <c r="T554" t="inlineStr">
        <is>
          <t>Over 6'</t>
        </is>
      </c>
      <c r="U554" t="inlineStr">
        <is>
          <t>Welker</t>
        </is>
      </c>
      <c r="V554" t="inlineStr">
        <is>
          <t>Delaney</t>
        </is>
      </c>
      <c r="AA554" t="n">
        <v>2</v>
      </c>
      <c r="AB554" t="inlineStr">
        <is>
          <t>L</t>
        </is>
      </c>
      <c r="AC554" t="inlineStr">
        <is>
          <t>5&amp;3</t>
        </is>
      </c>
      <c r="AD554" t="inlineStr">
        <is>
          <t>Fogan</t>
        </is>
      </c>
      <c r="AE554">
        <f>$V554&amp;$Y554</f>
        <v/>
      </c>
      <c r="AF554" t="n">
        <v>0</v>
      </c>
      <c r="AG554" t="n">
        <v>0</v>
      </c>
      <c r="AH554" t="n">
        <v>1</v>
      </c>
      <c r="AI554" t="n">
        <v>0</v>
      </c>
      <c r="AJ554" t="n">
        <v>0</v>
      </c>
      <c r="AK554" t="inlineStr">
        <is>
          <t>Fogan</t>
        </is>
      </c>
      <c r="AL554" t="n">
        <v>0.372881355932203</v>
      </c>
    </row>
    <row r="555" ht="15" customHeight="1" s="2">
      <c r="B555" t="n">
        <v>26</v>
      </c>
      <c r="C555" t="n">
        <v>2</v>
      </c>
      <c r="D555" t="n">
        <v>8</v>
      </c>
      <c r="E555" t="inlineStr">
        <is>
          <t>FBC8-S-Ferrin-Lynch</t>
        </is>
      </c>
      <c r="F555" t="inlineStr">
        <is>
          <t>Sunday</t>
        </is>
      </c>
      <c r="G555" s="27" t="n">
        <v>44451</v>
      </c>
      <c r="H555" t="inlineStr">
        <is>
          <t>AM</t>
        </is>
      </c>
      <c r="I555" t="inlineStr">
        <is>
          <t>Isle of Palms, SC</t>
        </is>
      </c>
      <c r="J555" t="inlineStr">
        <is>
          <t>South</t>
        </is>
      </c>
      <c r="K555" t="n">
        <v>18</v>
      </c>
      <c r="L555" t="inlineStr">
        <is>
          <t>Full</t>
        </is>
      </c>
      <c r="M555" t="inlineStr">
        <is>
          <t>Wild Dunes</t>
        </is>
      </c>
      <c r="R555" t="inlineStr">
        <is>
          <t>Match Play</t>
        </is>
      </c>
      <c r="S555" t="inlineStr">
        <is>
          <t>Singles</t>
        </is>
      </c>
      <c r="T555" t="inlineStr">
        <is>
          <t>Over 6'</t>
        </is>
      </c>
      <c r="U555" t="inlineStr">
        <is>
          <t>Welker</t>
        </is>
      </c>
      <c r="V555" t="inlineStr">
        <is>
          <t>Ferrin</t>
        </is>
      </c>
      <c r="AA555" t="n">
        <v>2</v>
      </c>
      <c r="AB555" t="inlineStr">
        <is>
          <t>L</t>
        </is>
      </c>
      <c r="AC555" t="inlineStr">
        <is>
          <t>4&amp;3</t>
        </is>
      </c>
      <c r="AD555" t="inlineStr">
        <is>
          <t>Lynch</t>
        </is>
      </c>
      <c r="AE555">
        <f>$V555&amp;$Y555</f>
        <v/>
      </c>
      <c r="AF555" t="n">
        <v>0</v>
      </c>
      <c r="AG555" t="n">
        <v>0</v>
      </c>
      <c r="AH555" t="n">
        <v>1</v>
      </c>
      <c r="AI555" t="n">
        <v>0</v>
      </c>
      <c r="AJ555" t="n">
        <v>0</v>
      </c>
      <c r="AK555" t="inlineStr">
        <is>
          <t>Lynch</t>
        </is>
      </c>
      <c r="AL555" t="n">
        <v>0.5546875</v>
      </c>
    </row>
    <row r="556" ht="15" customHeight="1" s="2">
      <c r="B556" t="n">
        <v>27</v>
      </c>
      <c r="C556" t="n">
        <v>3</v>
      </c>
      <c r="D556" t="n">
        <v>8</v>
      </c>
      <c r="E556" t="inlineStr">
        <is>
          <t>FBC8-S-Jackson-Zimmer</t>
        </is>
      </c>
      <c r="F556" t="inlineStr">
        <is>
          <t>Sunday</t>
        </is>
      </c>
      <c r="G556" s="27" t="n">
        <v>44451</v>
      </c>
      <c r="H556" t="inlineStr">
        <is>
          <t>AM</t>
        </is>
      </c>
      <c r="I556" t="inlineStr">
        <is>
          <t>Isle of Palms, SC</t>
        </is>
      </c>
      <c r="J556" t="inlineStr">
        <is>
          <t>South</t>
        </is>
      </c>
      <c r="K556" t="n">
        <v>18</v>
      </c>
      <c r="L556" t="inlineStr">
        <is>
          <t>Full</t>
        </is>
      </c>
      <c r="M556" t="inlineStr">
        <is>
          <t>Wild Dunes</t>
        </is>
      </c>
      <c r="R556" t="inlineStr">
        <is>
          <t>Match Play</t>
        </is>
      </c>
      <c r="S556" t="inlineStr">
        <is>
          <t>Singles</t>
        </is>
      </c>
      <c r="T556" t="inlineStr">
        <is>
          <t>Over 6'</t>
        </is>
      </c>
      <c r="U556" t="inlineStr">
        <is>
          <t>Welker</t>
        </is>
      </c>
      <c r="V556" t="inlineStr">
        <is>
          <t>Zimmer</t>
        </is>
      </c>
      <c r="AA556" t="n">
        <v>2</v>
      </c>
      <c r="AB556" t="inlineStr">
        <is>
          <t>W</t>
        </is>
      </c>
      <c r="AC556" t="inlineStr">
        <is>
          <t>4&amp;3</t>
        </is>
      </c>
      <c r="AD556" t="inlineStr">
        <is>
          <t>Jackson</t>
        </is>
      </c>
      <c r="AE556">
        <f>$V556&amp;$Y556</f>
        <v/>
      </c>
      <c r="AF556" t="n">
        <v>2</v>
      </c>
      <c r="AG556" t="n">
        <v>1</v>
      </c>
      <c r="AH556" t="n">
        <v>0</v>
      </c>
      <c r="AI556" t="n">
        <v>0</v>
      </c>
      <c r="AJ556" t="n">
        <v>1</v>
      </c>
      <c r="AK556" t="inlineStr">
        <is>
          <t>Jackson</t>
        </is>
      </c>
      <c r="AL556" t="n">
        <v>0.6171875</v>
      </c>
    </row>
    <row r="557" ht="15" customHeight="1" s="2">
      <c r="B557" t="n">
        <v>28</v>
      </c>
      <c r="C557" t="n">
        <v>4</v>
      </c>
      <c r="D557" t="n">
        <v>8</v>
      </c>
      <c r="E557" t="inlineStr">
        <is>
          <t>FBC8-S-Connolly-McInerney</t>
        </is>
      </c>
      <c r="F557" t="inlineStr">
        <is>
          <t>Sunday</t>
        </is>
      </c>
      <c r="G557" s="27" t="n">
        <v>44451</v>
      </c>
      <c r="H557" t="inlineStr">
        <is>
          <t>AM</t>
        </is>
      </c>
      <c r="I557" t="inlineStr">
        <is>
          <t>Isle of Palms, SC</t>
        </is>
      </c>
      <c r="J557" t="inlineStr">
        <is>
          <t>South</t>
        </is>
      </c>
      <c r="K557" t="n">
        <v>18</v>
      </c>
      <c r="L557" t="inlineStr">
        <is>
          <t>Full</t>
        </is>
      </c>
      <c r="M557" t="inlineStr">
        <is>
          <t>Wild Dunes</t>
        </is>
      </c>
      <c r="R557" t="inlineStr">
        <is>
          <t>Match Play</t>
        </is>
      </c>
      <c r="S557" t="inlineStr">
        <is>
          <t>Singles</t>
        </is>
      </c>
      <c r="T557" t="inlineStr">
        <is>
          <t>Over 6'</t>
        </is>
      </c>
      <c r="U557" t="inlineStr">
        <is>
          <t>Welker</t>
        </is>
      </c>
      <c r="V557" t="inlineStr">
        <is>
          <t>Connolly</t>
        </is>
      </c>
      <c r="AA557" t="n">
        <v>2</v>
      </c>
      <c r="AB557" t="inlineStr">
        <is>
          <t>W</t>
        </is>
      </c>
      <c r="AC557" t="inlineStr">
        <is>
          <t>3&amp;2</t>
        </is>
      </c>
      <c r="AD557" t="inlineStr">
        <is>
          <t>McInerney</t>
        </is>
      </c>
      <c r="AE557">
        <f>$V557&amp;$Y557</f>
        <v/>
      </c>
      <c r="AF557" t="n">
        <v>2</v>
      </c>
      <c r="AG557" t="n">
        <v>1</v>
      </c>
      <c r="AH557" t="n">
        <v>0</v>
      </c>
      <c r="AI557" t="n">
        <v>0</v>
      </c>
      <c r="AJ557" t="n">
        <v>1</v>
      </c>
      <c r="AK557" t="inlineStr">
        <is>
          <t>McInerney</t>
        </is>
      </c>
      <c r="AL557" t="n">
        <v>0.5</v>
      </c>
    </row>
    <row r="558" ht="15" customHeight="1" s="2">
      <c r="B558" t="n">
        <v>29</v>
      </c>
      <c r="C558" t="n">
        <v>5</v>
      </c>
      <c r="D558" t="n">
        <v>8</v>
      </c>
      <c r="E558" t="inlineStr">
        <is>
          <t>FBC8-S-Cole-Connors</t>
        </is>
      </c>
      <c r="F558" t="inlineStr">
        <is>
          <t>Sunday</t>
        </is>
      </c>
      <c r="G558" s="27" t="n">
        <v>44451</v>
      </c>
      <c r="H558" t="inlineStr">
        <is>
          <t>AM</t>
        </is>
      </c>
      <c r="I558" t="inlineStr">
        <is>
          <t>Isle of Palms, SC</t>
        </is>
      </c>
      <c r="J558" t="inlineStr">
        <is>
          <t>South</t>
        </is>
      </c>
      <c r="K558" t="n">
        <v>18</v>
      </c>
      <c r="L558" t="inlineStr">
        <is>
          <t>Full</t>
        </is>
      </c>
      <c r="M558" t="inlineStr">
        <is>
          <t>Wild Dunes</t>
        </is>
      </c>
      <c r="R558" t="inlineStr">
        <is>
          <t>Match Play</t>
        </is>
      </c>
      <c r="S558" t="inlineStr">
        <is>
          <t>Singles</t>
        </is>
      </c>
      <c r="T558" t="inlineStr">
        <is>
          <t>Over 6'</t>
        </is>
      </c>
      <c r="U558" t="inlineStr">
        <is>
          <t>Welker</t>
        </is>
      </c>
      <c r="V558" t="inlineStr">
        <is>
          <t>Connors</t>
        </is>
      </c>
      <c r="AA558" t="n">
        <v>2</v>
      </c>
      <c r="AB558" t="inlineStr">
        <is>
          <t>L</t>
        </is>
      </c>
      <c r="AC558" t="inlineStr">
        <is>
          <t>5&amp;3</t>
        </is>
      </c>
      <c r="AD558" t="inlineStr">
        <is>
          <t>Cole</t>
        </is>
      </c>
      <c r="AE558">
        <f>$V558&amp;$Y558</f>
        <v/>
      </c>
      <c r="AF558" t="n">
        <v>0</v>
      </c>
      <c r="AG558" t="n">
        <v>0</v>
      </c>
      <c r="AH558" t="n">
        <v>1</v>
      </c>
      <c r="AI558" t="n">
        <v>0</v>
      </c>
      <c r="AJ558" t="n">
        <v>0</v>
      </c>
      <c r="AK558" t="inlineStr">
        <is>
          <t>Cole</t>
        </is>
      </c>
      <c r="AL558" t="n">
        <v>0.440677966101695</v>
      </c>
    </row>
    <row r="559" ht="15" customHeight="1" s="2">
      <c r="B559" t="n">
        <v>30</v>
      </c>
      <c r="C559" t="n">
        <v>6</v>
      </c>
      <c r="D559" t="n">
        <v>8</v>
      </c>
      <c r="E559" t="inlineStr">
        <is>
          <t>FBC8-S-Grise-Shively</t>
        </is>
      </c>
      <c r="F559" t="inlineStr">
        <is>
          <t>Sunday</t>
        </is>
      </c>
      <c r="G559" s="27" t="n">
        <v>44451</v>
      </c>
      <c r="H559" t="inlineStr">
        <is>
          <t>AM</t>
        </is>
      </c>
      <c r="I559" t="inlineStr">
        <is>
          <t>Isle of Palms, SC</t>
        </is>
      </c>
      <c r="J559" t="inlineStr">
        <is>
          <t>South</t>
        </is>
      </c>
      <c r="K559" t="n">
        <v>18</v>
      </c>
      <c r="L559" t="inlineStr">
        <is>
          <t>Full</t>
        </is>
      </c>
      <c r="M559" t="inlineStr">
        <is>
          <t>Wild Dunes</t>
        </is>
      </c>
      <c r="R559" t="inlineStr">
        <is>
          <t>Match Play</t>
        </is>
      </c>
      <c r="S559" t="inlineStr">
        <is>
          <t>Singles</t>
        </is>
      </c>
      <c r="T559" t="inlineStr">
        <is>
          <t>Over 6'</t>
        </is>
      </c>
      <c r="U559" t="inlineStr">
        <is>
          <t>Welker</t>
        </is>
      </c>
      <c r="V559" t="inlineStr">
        <is>
          <t>Grise</t>
        </is>
      </c>
      <c r="AA559" t="n">
        <v>2</v>
      </c>
      <c r="AB559" t="inlineStr">
        <is>
          <t>W</t>
        </is>
      </c>
      <c r="AC559" t="inlineStr">
        <is>
          <t>2Up</t>
        </is>
      </c>
      <c r="AD559" t="inlineStr">
        <is>
          <t>Shively</t>
        </is>
      </c>
      <c r="AE559">
        <f>$V559&amp;$Y559</f>
        <v/>
      </c>
      <c r="AF559" t="n">
        <v>2</v>
      </c>
      <c r="AG559" t="n">
        <v>1</v>
      </c>
      <c r="AH559" t="n">
        <v>0</v>
      </c>
      <c r="AI559" t="n">
        <v>0</v>
      </c>
      <c r="AJ559" t="n">
        <v>1</v>
      </c>
      <c r="AK559" t="inlineStr">
        <is>
          <t>Shively</t>
        </is>
      </c>
    </row>
    <row r="560" ht="15" customHeight="1" s="2">
      <c r="B560" t="n">
        <v>31</v>
      </c>
      <c r="C560" t="n">
        <v>7</v>
      </c>
      <c r="D560" t="n">
        <v>8</v>
      </c>
      <c r="E560" t="inlineStr">
        <is>
          <t>FBC8-S-Flanders-Welker</t>
        </is>
      </c>
      <c r="F560" t="inlineStr">
        <is>
          <t>Sunday</t>
        </is>
      </c>
      <c r="G560" s="27" t="n">
        <v>44451</v>
      </c>
      <c r="H560" t="inlineStr">
        <is>
          <t>AM</t>
        </is>
      </c>
      <c r="I560" t="inlineStr">
        <is>
          <t>Fort Lauderdale, FL</t>
        </is>
      </c>
      <c r="J560" t="inlineStr">
        <is>
          <t>South</t>
        </is>
      </c>
      <c r="K560" t="n">
        <v>18</v>
      </c>
      <c r="L560" t="inlineStr">
        <is>
          <t>Full</t>
        </is>
      </c>
      <c r="M560" t="inlineStr">
        <is>
          <t>Lauderdale</t>
        </is>
      </c>
      <c r="R560" t="inlineStr">
        <is>
          <t>Match Play</t>
        </is>
      </c>
      <c r="S560" t="inlineStr">
        <is>
          <t>Singles</t>
        </is>
      </c>
      <c r="T560" t="inlineStr">
        <is>
          <t>Over 6'</t>
        </is>
      </c>
      <c r="U560" t="inlineStr">
        <is>
          <t>Welker</t>
        </is>
      </c>
      <c r="V560" t="inlineStr">
        <is>
          <t>Welker</t>
        </is>
      </c>
      <c r="AA560" t="n">
        <v>2</v>
      </c>
      <c r="AB560" t="inlineStr">
        <is>
          <t>L</t>
        </is>
      </c>
      <c r="AC560" t="inlineStr">
        <is>
          <t>1up</t>
        </is>
      </c>
      <c r="AD560" t="inlineStr">
        <is>
          <t>Flanders</t>
        </is>
      </c>
      <c r="AE560">
        <f>$V560&amp;$Y560</f>
        <v/>
      </c>
      <c r="AF560" t="n">
        <v>0</v>
      </c>
      <c r="AG560" t="n">
        <v>0</v>
      </c>
      <c r="AH560" t="n">
        <v>1</v>
      </c>
      <c r="AI560" t="n">
        <v>0</v>
      </c>
      <c r="AJ560" t="n">
        <v>0</v>
      </c>
      <c r="AK560" t="inlineStr">
        <is>
          <t>Flanders</t>
        </is>
      </c>
      <c r="AL560" t="n">
        <v>0.4296875</v>
      </c>
    </row>
    <row r="561" ht="15" customHeight="1" s="2">
      <c r="B561" t="n">
        <v>1</v>
      </c>
      <c r="C561" t="n">
        <v>1</v>
      </c>
      <c r="D561" t="n">
        <v>9</v>
      </c>
      <c r="E561" t="inlineStr">
        <is>
          <t>FBC9-D1</t>
        </is>
      </c>
      <c r="F561" t="inlineStr">
        <is>
          <t>Friday</t>
        </is>
      </c>
      <c r="G561" s="27" t="n">
        <v>44757</v>
      </c>
      <c r="H561" t="inlineStr">
        <is>
          <t>AM</t>
        </is>
      </c>
      <c r="I561" t="inlineStr">
        <is>
          <t>Sea Island, GA</t>
        </is>
      </c>
      <c r="J561" t="inlineStr">
        <is>
          <t>South</t>
        </is>
      </c>
      <c r="K561" t="n">
        <v>9</v>
      </c>
      <c r="L561" t="inlineStr">
        <is>
          <t>Front</t>
        </is>
      </c>
      <c r="M561" t="inlineStr">
        <is>
          <t>Seaside</t>
        </is>
      </c>
      <c r="N561" t="inlineStr">
        <is>
          <t>Green</t>
        </is>
      </c>
      <c r="O561" t="n">
        <v>70.90000000000001</v>
      </c>
      <c r="P561" t="n">
        <v>133</v>
      </c>
      <c r="Q561" t="n">
        <v>6264</v>
      </c>
      <c r="R561" t="inlineStr">
        <is>
          <t>Best Ball</t>
        </is>
      </c>
      <c r="S561" t="inlineStr">
        <is>
          <t>Doubles</t>
        </is>
      </c>
      <c r="U561" t="inlineStr">
        <is>
          <t>Gray</t>
        </is>
      </c>
      <c r="V561" t="inlineStr">
        <is>
          <t>Connolly</t>
        </is>
      </c>
      <c r="W561" t="inlineStr">
        <is>
          <t>Blue</t>
        </is>
      </c>
      <c r="Y561" t="inlineStr">
        <is>
          <t>Perkins</t>
        </is>
      </c>
      <c r="AA561" t="n">
        <v>1</v>
      </c>
      <c r="AB561" t="inlineStr">
        <is>
          <t>W</t>
        </is>
      </c>
      <c r="AC561" t="inlineStr">
        <is>
          <t>2Up</t>
        </is>
      </c>
      <c r="AE561">
        <f>$V561&amp;$Y561</f>
        <v/>
      </c>
      <c r="AF561" t="n">
        <v>1</v>
      </c>
      <c r="AG561" t="n">
        <v>1</v>
      </c>
      <c r="AH561" t="n">
        <v>0</v>
      </c>
      <c r="AI561" t="n">
        <v>0</v>
      </c>
      <c r="AJ561" t="n">
        <v>1</v>
      </c>
      <c r="AK561" t="inlineStr">
        <is>
          <t>Ferrin</t>
        </is>
      </c>
      <c r="AL561" t="n">
        <v>0.595238095238095</v>
      </c>
      <c r="AM561" t="inlineStr">
        <is>
          <t>Jackson</t>
        </is>
      </c>
      <c r="AN561" t="n">
        <v>0.6171875</v>
      </c>
    </row>
    <row r="562" ht="15" customHeight="1" s="2">
      <c r="B562" t="n">
        <v>1</v>
      </c>
      <c r="C562" t="n">
        <v>1</v>
      </c>
      <c r="D562" t="n">
        <v>9</v>
      </c>
      <c r="E562" t="inlineStr">
        <is>
          <t>FBC9-D1</t>
        </is>
      </c>
      <c r="F562" t="inlineStr">
        <is>
          <t>Friday</t>
        </is>
      </c>
      <c r="G562" s="27" t="n">
        <v>44757</v>
      </c>
      <c r="H562" t="inlineStr">
        <is>
          <t>AM</t>
        </is>
      </c>
      <c r="I562" t="inlineStr">
        <is>
          <t>Sea Island, GA</t>
        </is>
      </c>
      <c r="J562" t="inlineStr">
        <is>
          <t>South</t>
        </is>
      </c>
      <c r="K562" t="n">
        <v>9</v>
      </c>
      <c r="L562" t="inlineStr">
        <is>
          <t>Front</t>
        </is>
      </c>
      <c r="M562" t="inlineStr">
        <is>
          <t>Seaside</t>
        </is>
      </c>
      <c r="N562" t="inlineStr">
        <is>
          <t>Green</t>
        </is>
      </c>
      <c r="O562" t="n">
        <v>70.5</v>
      </c>
      <c r="P562" t="n">
        <v>134</v>
      </c>
      <c r="Q562" t="n">
        <v>6389</v>
      </c>
      <c r="R562" t="inlineStr">
        <is>
          <t>Best Ball</t>
        </is>
      </c>
      <c r="S562" t="inlineStr">
        <is>
          <t>Doubles</t>
        </is>
      </c>
      <c r="U562" t="inlineStr">
        <is>
          <t>Zimmer</t>
        </is>
      </c>
      <c r="V562" t="inlineStr">
        <is>
          <t>Ferrin</t>
        </is>
      </c>
      <c r="W562" t="inlineStr">
        <is>
          <t>Blue</t>
        </is>
      </c>
      <c r="Y562" t="inlineStr">
        <is>
          <t>Jackson</t>
        </is>
      </c>
      <c r="AA562" t="n">
        <v>1</v>
      </c>
      <c r="AB562" t="inlineStr">
        <is>
          <t>L</t>
        </is>
      </c>
      <c r="AC562" t="inlineStr">
        <is>
          <t>2Up</t>
        </is>
      </c>
      <c r="AE562">
        <f>$V562&amp;$Y562</f>
        <v/>
      </c>
      <c r="AF562" t="n">
        <v>0</v>
      </c>
      <c r="AG562" t="n">
        <v>0</v>
      </c>
      <c r="AH562" t="n">
        <v>1</v>
      </c>
      <c r="AI562" t="n">
        <v>0</v>
      </c>
      <c r="AJ562" t="n">
        <v>0</v>
      </c>
      <c r="AK562" t="inlineStr">
        <is>
          <t>Connolly</t>
        </is>
      </c>
      <c r="AL562" t="n">
        <v>0.59375</v>
      </c>
      <c r="AM562" t="inlineStr">
        <is>
          <t>Perkins</t>
        </is>
      </c>
      <c r="AN562" t="n">
        <v>0.638888888888889</v>
      </c>
    </row>
    <row r="563" ht="15" customHeight="1" s="2">
      <c r="B563" t="n">
        <v>2</v>
      </c>
      <c r="C563" t="n">
        <v>2</v>
      </c>
      <c r="D563" t="n">
        <v>9</v>
      </c>
      <c r="E563" t="inlineStr">
        <is>
          <t>FBC9-D2</t>
        </is>
      </c>
      <c r="F563" t="inlineStr">
        <is>
          <t>Friday</t>
        </is>
      </c>
      <c r="G563" s="27" t="n">
        <v>44757</v>
      </c>
      <c r="H563" t="inlineStr">
        <is>
          <t>AM</t>
        </is>
      </c>
      <c r="I563" t="inlineStr">
        <is>
          <t>Sea Island, GA</t>
        </is>
      </c>
      <c r="J563" t="inlineStr">
        <is>
          <t>South</t>
        </is>
      </c>
      <c r="K563" t="n">
        <v>9</v>
      </c>
      <c r="L563" t="inlineStr">
        <is>
          <t>Front</t>
        </is>
      </c>
      <c r="M563" t="inlineStr">
        <is>
          <t>Seaside</t>
        </is>
      </c>
      <c r="N563" t="inlineStr">
        <is>
          <t>Green</t>
        </is>
      </c>
      <c r="O563" t="n">
        <v>70.5</v>
      </c>
      <c r="P563" t="n">
        <v>134</v>
      </c>
      <c r="Q563" t="n">
        <v>6389</v>
      </c>
      <c r="R563" t="inlineStr">
        <is>
          <t>Best Ball</t>
        </is>
      </c>
      <c r="S563" t="inlineStr">
        <is>
          <t>Doubles</t>
        </is>
      </c>
      <c r="U563" t="inlineStr">
        <is>
          <t>Zimmer</t>
        </is>
      </c>
      <c r="V563" t="inlineStr">
        <is>
          <t>Deoteris</t>
        </is>
      </c>
      <c r="W563" t="inlineStr">
        <is>
          <t>Blue</t>
        </is>
      </c>
      <c r="Y563" t="inlineStr">
        <is>
          <t>Zimmer</t>
        </is>
      </c>
      <c r="AA563" t="n">
        <v>1</v>
      </c>
      <c r="AB563" t="inlineStr">
        <is>
          <t>L</t>
        </is>
      </c>
      <c r="AC563" t="inlineStr">
        <is>
          <t>4&amp;3</t>
        </is>
      </c>
      <c r="AE563">
        <f>$V563&amp;$Y563</f>
        <v/>
      </c>
      <c r="AF563" t="n">
        <v>0</v>
      </c>
      <c r="AG563" t="n">
        <v>0</v>
      </c>
      <c r="AH563" t="n">
        <v>1</v>
      </c>
      <c r="AI563" t="n">
        <v>0</v>
      </c>
      <c r="AJ563" t="n">
        <v>0</v>
      </c>
      <c r="AK563" t="inlineStr">
        <is>
          <t>Delaney</t>
        </is>
      </c>
      <c r="AL563" t="n">
        <v>0.46551724137931</v>
      </c>
      <c r="AM563" t="inlineStr">
        <is>
          <t>Shively</t>
        </is>
      </c>
    </row>
    <row r="564" ht="15" customHeight="1" s="2">
      <c r="B564" t="n">
        <v>2</v>
      </c>
      <c r="C564" t="n">
        <v>2</v>
      </c>
      <c r="D564" t="n">
        <v>9</v>
      </c>
      <c r="E564" t="inlineStr">
        <is>
          <t>FBC9-D2</t>
        </is>
      </c>
      <c r="F564" t="inlineStr">
        <is>
          <t>Friday</t>
        </is>
      </c>
      <c r="G564" s="27" t="n">
        <v>44757</v>
      </c>
      <c r="H564" t="inlineStr">
        <is>
          <t>AM</t>
        </is>
      </c>
      <c r="I564" t="inlineStr">
        <is>
          <t>Sea Island, GA</t>
        </is>
      </c>
      <c r="J564" t="inlineStr">
        <is>
          <t>South</t>
        </is>
      </c>
      <c r="K564" t="n">
        <v>9</v>
      </c>
      <c r="L564" t="inlineStr">
        <is>
          <t>Front</t>
        </is>
      </c>
      <c r="M564" t="inlineStr">
        <is>
          <t>Seaside</t>
        </is>
      </c>
      <c r="N564" t="inlineStr">
        <is>
          <t>Green</t>
        </is>
      </c>
      <c r="O564" t="n">
        <v>70.5</v>
      </c>
      <c r="P564" t="n">
        <v>134</v>
      </c>
      <c r="Q564" t="n">
        <v>6389</v>
      </c>
      <c r="R564" t="inlineStr">
        <is>
          <t>Best Ball</t>
        </is>
      </c>
      <c r="S564" t="inlineStr">
        <is>
          <t>Doubles</t>
        </is>
      </c>
      <c r="U564" t="inlineStr">
        <is>
          <t>Gray</t>
        </is>
      </c>
      <c r="V564" t="inlineStr">
        <is>
          <t>Delaney</t>
        </is>
      </c>
      <c r="W564" t="inlineStr">
        <is>
          <t>Blue</t>
        </is>
      </c>
      <c r="Y564" t="inlineStr">
        <is>
          <t>Shively</t>
        </is>
      </c>
      <c r="AA564" t="n">
        <v>1</v>
      </c>
      <c r="AB564" t="inlineStr">
        <is>
          <t>W</t>
        </is>
      </c>
      <c r="AC564" t="inlineStr">
        <is>
          <t>4&amp;3</t>
        </is>
      </c>
      <c r="AE564">
        <f>$V564&amp;$Y564</f>
        <v/>
      </c>
      <c r="AF564" t="n">
        <v>1</v>
      </c>
      <c r="AG564" t="n">
        <v>1</v>
      </c>
      <c r="AH564" t="n">
        <v>0</v>
      </c>
      <c r="AI564" t="n">
        <v>0</v>
      </c>
      <c r="AJ564" t="n">
        <v>1</v>
      </c>
      <c r="AK564" t="inlineStr">
        <is>
          <t>Deoteris</t>
        </is>
      </c>
      <c r="AL564" t="n">
        <v>0.545454545454545</v>
      </c>
      <c r="AM564" t="inlineStr">
        <is>
          <t>Zimmer</t>
        </is>
      </c>
      <c r="AN564" t="n">
        <v>0.5</v>
      </c>
    </row>
    <row r="565" ht="15" customHeight="1" s="2">
      <c r="B565" t="n">
        <v>3</v>
      </c>
      <c r="C565" t="n">
        <v>3</v>
      </c>
      <c r="D565" t="n">
        <v>9</v>
      </c>
      <c r="E565" t="inlineStr">
        <is>
          <t>FBC9-D3</t>
        </is>
      </c>
      <c r="F565" t="inlineStr">
        <is>
          <t>Friday</t>
        </is>
      </c>
      <c r="G565" s="27" t="n">
        <v>44757</v>
      </c>
      <c r="H565" t="inlineStr">
        <is>
          <t>AM</t>
        </is>
      </c>
      <c r="I565" t="inlineStr">
        <is>
          <t>Sea Island, GA</t>
        </is>
      </c>
      <c r="J565" t="inlineStr">
        <is>
          <t>South</t>
        </is>
      </c>
      <c r="K565" t="n">
        <v>9</v>
      </c>
      <c r="L565" t="inlineStr">
        <is>
          <t>Front</t>
        </is>
      </c>
      <c r="M565" t="inlineStr">
        <is>
          <t>Seaside</t>
        </is>
      </c>
      <c r="N565" t="inlineStr">
        <is>
          <t>Green</t>
        </is>
      </c>
      <c r="O565" t="n">
        <v>70.5</v>
      </c>
      <c r="P565" t="n">
        <v>134</v>
      </c>
      <c r="Q565" t="n">
        <v>6389</v>
      </c>
      <c r="R565" t="inlineStr">
        <is>
          <t>Best Ball</t>
        </is>
      </c>
      <c r="S565" t="inlineStr">
        <is>
          <t>Doubles</t>
        </is>
      </c>
      <c r="U565" t="inlineStr">
        <is>
          <t>Gray</t>
        </is>
      </c>
      <c r="V565" t="inlineStr">
        <is>
          <t>Connors</t>
        </is>
      </c>
      <c r="W565" t="inlineStr">
        <is>
          <t>Blue</t>
        </is>
      </c>
      <c r="Y565" t="inlineStr">
        <is>
          <t>McInerney</t>
        </is>
      </c>
      <c r="AA565" t="n">
        <v>1</v>
      </c>
      <c r="AB565" t="inlineStr">
        <is>
          <t>L</t>
        </is>
      </c>
      <c r="AC565" t="inlineStr">
        <is>
          <t>3&amp;2</t>
        </is>
      </c>
      <c r="AE565">
        <f>$V565&amp;$Y565</f>
        <v/>
      </c>
      <c r="AF565" t="n">
        <v>0</v>
      </c>
      <c r="AG565" t="n">
        <v>0</v>
      </c>
      <c r="AH565" t="n">
        <v>1</v>
      </c>
      <c r="AI565" t="n">
        <v>0</v>
      </c>
      <c r="AJ565" t="n">
        <v>0</v>
      </c>
      <c r="AK565" t="inlineStr">
        <is>
          <t>Delneky</t>
        </is>
      </c>
      <c r="AL565" t="n">
        <v>0.6590909090909089</v>
      </c>
      <c r="AM565" t="inlineStr">
        <is>
          <t>Forster</t>
        </is>
      </c>
      <c r="AN565" t="n">
        <v>0.596491228070175</v>
      </c>
    </row>
    <row r="566" ht="15" customHeight="1" s="2">
      <c r="B566" t="n">
        <v>3</v>
      </c>
      <c r="C566" t="n">
        <v>3</v>
      </c>
      <c r="D566" t="n">
        <v>9</v>
      </c>
      <c r="E566" t="inlineStr">
        <is>
          <t>FBC9-D3</t>
        </is>
      </c>
      <c r="F566" t="inlineStr">
        <is>
          <t>Friday</t>
        </is>
      </c>
      <c r="G566" s="27" t="n">
        <v>44757</v>
      </c>
      <c r="H566" t="inlineStr">
        <is>
          <t>AM</t>
        </is>
      </c>
      <c r="I566" t="inlineStr">
        <is>
          <t>Sea Island, GA</t>
        </is>
      </c>
      <c r="J566" t="inlineStr">
        <is>
          <t>South</t>
        </is>
      </c>
      <c r="K566" t="n">
        <v>9</v>
      </c>
      <c r="L566" t="inlineStr">
        <is>
          <t>Front</t>
        </is>
      </c>
      <c r="M566" t="inlineStr">
        <is>
          <t>Seaside</t>
        </is>
      </c>
      <c r="N566" t="inlineStr">
        <is>
          <t>Green</t>
        </is>
      </c>
      <c r="O566" t="n">
        <v>70.5</v>
      </c>
      <c r="P566" t="n">
        <v>134</v>
      </c>
      <c r="Q566" t="n">
        <v>6389</v>
      </c>
      <c r="R566" t="inlineStr">
        <is>
          <t>Best Ball</t>
        </is>
      </c>
      <c r="S566" t="inlineStr">
        <is>
          <t>Doubles</t>
        </is>
      </c>
      <c r="U566" t="inlineStr">
        <is>
          <t>Zimmer</t>
        </is>
      </c>
      <c r="V566" t="inlineStr">
        <is>
          <t>Delneky</t>
        </is>
      </c>
      <c r="W566" t="inlineStr">
        <is>
          <t>Blue</t>
        </is>
      </c>
      <c r="Y566" t="inlineStr">
        <is>
          <t>Forster</t>
        </is>
      </c>
      <c r="AA566" t="n">
        <v>1</v>
      </c>
      <c r="AB566" t="inlineStr">
        <is>
          <t>W</t>
        </is>
      </c>
      <c r="AC566" t="inlineStr">
        <is>
          <t>3&amp;2</t>
        </is>
      </c>
      <c r="AE566">
        <f>$V566&amp;$Y566</f>
        <v/>
      </c>
      <c r="AF566" t="n">
        <v>1</v>
      </c>
      <c r="AG566" t="n">
        <v>1</v>
      </c>
      <c r="AH566" t="n">
        <v>0</v>
      </c>
      <c r="AI566" t="n">
        <v>0</v>
      </c>
      <c r="AJ566" t="n">
        <v>1</v>
      </c>
      <c r="AK566" t="inlineStr">
        <is>
          <t>Connors</t>
        </is>
      </c>
      <c r="AL566" t="n">
        <v>0.347457627118644</v>
      </c>
      <c r="AM566" t="inlineStr">
        <is>
          <t>McInerney</t>
        </is>
      </c>
      <c r="AN566" t="n">
        <v>0.5</v>
      </c>
    </row>
    <row r="567" ht="15" customHeight="1" s="2">
      <c r="B567" t="n">
        <v>4</v>
      </c>
      <c r="C567" t="n">
        <v>4</v>
      </c>
      <c r="D567" t="n">
        <v>9</v>
      </c>
      <c r="E567" t="inlineStr">
        <is>
          <t>FBC9-D4</t>
        </is>
      </c>
      <c r="F567" t="inlineStr">
        <is>
          <t>Friday</t>
        </is>
      </c>
      <c r="G567" s="27" t="n">
        <v>44757</v>
      </c>
      <c r="H567" t="inlineStr">
        <is>
          <t>AM</t>
        </is>
      </c>
      <c r="I567" t="inlineStr">
        <is>
          <t>Sea Island, GA</t>
        </is>
      </c>
      <c r="J567" t="inlineStr">
        <is>
          <t>South</t>
        </is>
      </c>
      <c r="K567" t="n">
        <v>9</v>
      </c>
      <c r="L567" t="inlineStr">
        <is>
          <t>Front</t>
        </is>
      </c>
      <c r="M567" t="inlineStr">
        <is>
          <t>Seaside</t>
        </is>
      </c>
      <c r="N567" t="inlineStr">
        <is>
          <t>Green</t>
        </is>
      </c>
      <c r="O567" t="n">
        <v>70.5</v>
      </c>
      <c r="P567" t="n">
        <v>134</v>
      </c>
      <c r="Q567" t="n">
        <v>6389</v>
      </c>
      <c r="R567" t="inlineStr">
        <is>
          <t>Best Ball</t>
        </is>
      </c>
      <c r="S567" t="inlineStr">
        <is>
          <t>Doubles</t>
        </is>
      </c>
      <c r="U567" t="inlineStr">
        <is>
          <t>Zimmer</t>
        </is>
      </c>
      <c r="V567" t="inlineStr">
        <is>
          <t>Fogan</t>
        </is>
      </c>
      <c r="W567" t="inlineStr">
        <is>
          <t>Blue</t>
        </is>
      </c>
      <c r="Y567" t="inlineStr">
        <is>
          <t>Welker</t>
        </is>
      </c>
      <c r="AA567" t="n">
        <v>1</v>
      </c>
      <c r="AB567" t="inlineStr">
        <is>
          <t>L</t>
        </is>
      </c>
      <c r="AC567" t="inlineStr">
        <is>
          <t>3&amp;2</t>
        </is>
      </c>
      <c r="AE567">
        <f>$V567&amp;$Y567</f>
        <v/>
      </c>
      <c r="AF567" t="n">
        <v>0</v>
      </c>
      <c r="AG567" t="n">
        <v>0</v>
      </c>
      <c r="AH567" t="n">
        <v>1</v>
      </c>
      <c r="AI567" t="n">
        <v>0</v>
      </c>
      <c r="AJ567" t="n">
        <v>0</v>
      </c>
      <c r="AK567" t="inlineStr">
        <is>
          <t>Hilts</t>
        </is>
      </c>
      <c r="AL567" t="n">
        <v>0.473214285714286</v>
      </c>
      <c r="AM567" t="inlineStr">
        <is>
          <t>Lynch</t>
        </is>
      </c>
      <c r="AN567" t="n">
        <v>0.5546875</v>
      </c>
    </row>
    <row r="568" ht="15" customHeight="1" s="2">
      <c r="B568" t="n">
        <v>4</v>
      </c>
      <c r="C568" t="n">
        <v>4</v>
      </c>
      <c r="D568" t="n">
        <v>9</v>
      </c>
      <c r="E568" t="inlineStr">
        <is>
          <t>FBC9-D4</t>
        </is>
      </c>
      <c r="F568" t="inlineStr">
        <is>
          <t>Friday</t>
        </is>
      </c>
      <c r="G568" s="27" t="n">
        <v>44757</v>
      </c>
      <c r="H568" t="inlineStr">
        <is>
          <t>AM</t>
        </is>
      </c>
      <c r="I568" t="inlineStr">
        <is>
          <t>Sea Island, GA</t>
        </is>
      </c>
      <c r="J568" t="inlineStr">
        <is>
          <t>South</t>
        </is>
      </c>
      <c r="K568" t="n">
        <v>9</v>
      </c>
      <c r="L568" t="inlineStr">
        <is>
          <t>Front</t>
        </is>
      </c>
      <c r="M568" t="inlineStr">
        <is>
          <t>Seaside</t>
        </is>
      </c>
      <c r="N568" t="inlineStr">
        <is>
          <t>Green</t>
        </is>
      </c>
      <c r="O568" t="n">
        <v>70.5</v>
      </c>
      <c r="P568" t="n">
        <v>134</v>
      </c>
      <c r="Q568" t="n">
        <v>6389</v>
      </c>
      <c r="R568" t="inlineStr">
        <is>
          <t>Best Ball</t>
        </is>
      </c>
      <c r="S568" t="inlineStr">
        <is>
          <t>Doubles</t>
        </is>
      </c>
      <c r="U568" t="inlineStr">
        <is>
          <t>Gray</t>
        </is>
      </c>
      <c r="V568" t="inlineStr">
        <is>
          <t>Hilts</t>
        </is>
      </c>
      <c r="W568" t="inlineStr">
        <is>
          <t>Blue</t>
        </is>
      </c>
      <c r="Y568" t="inlineStr">
        <is>
          <t>Lynch</t>
        </is>
      </c>
      <c r="AA568" t="n">
        <v>1</v>
      </c>
      <c r="AB568" t="inlineStr">
        <is>
          <t>W</t>
        </is>
      </c>
      <c r="AC568" t="inlineStr">
        <is>
          <t>3&amp;2</t>
        </is>
      </c>
      <c r="AE568">
        <f>$V568&amp;$Y568</f>
        <v/>
      </c>
      <c r="AF568" t="n">
        <v>1</v>
      </c>
      <c r="AG568" t="n">
        <v>1</v>
      </c>
      <c r="AH568" t="n">
        <v>0</v>
      </c>
      <c r="AI568" t="n">
        <v>0</v>
      </c>
      <c r="AJ568" t="n">
        <v>1</v>
      </c>
      <c r="AK568" t="inlineStr">
        <is>
          <t>Fogan</t>
        </is>
      </c>
      <c r="AL568" t="n">
        <v>0.372881355932203</v>
      </c>
      <c r="AM568" t="inlineStr">
        <is>
          <t>Welker</t>
        </is>
      </c>
      <c r="AN568" t="n">
        <v>0.510416666666667</v>
      </c>
    </row>
    <row r="569" ht="15" customHeight="1" s="2">
      <c r="B569" t="n">
        <v>5</v>
      </c>
      <c r="C569" t="n">
        <v>5</v>
      </c>
      <c r="D569" t="n">
        <v>9</v>
      </c>
      <c r="E569" t="inlineStr">
        <is>
          <t>FBC9-D5</t>
        </is>
      </c>
      <c r="F569" t="inlineStr">
        <is>
          <t>Friday</t>
        </is>
      </c>
      <c r="G569" s="27" t="n">
        <v>44757</v>
      </c>
      <c r="H569" t="inlineStr">
        <is>
          <t>AM</t>
        </is>
      </c>
      <c r="I569" t="inlineStr">
        <is>
          <t>Sea Island, GA</t>
        </is>
      </c>
      <c r="J569" t="inlineStr">
        <is>
          <t>South</t>
        </is>
      </c>
      <c r="K569" t="n">
        <v>9</v>
      </c>
      <c r="L569" t="inlineStr">
        <is>
          <t>Front</t>
        </is>
      </c>
      <c r="M569" t="inlineStr">
        <is>
          <t>Seaside</t>
        </is>
      </c>
      <c r="N569" t="inlineStr">
        <is>
          <t>Green</t>
        </is>
      </c>
      <c r="O569" t="n">
        <v>70.5</v>
      </c>
      <c r="P569" t="n">
        <v>134</v>
      </c>
      <c r="Q569" t="n">
        <v>6389</v>
      </c>
      <c r="R569" t="inlineStr">
        <is>
          <t>Best Ball</t>
        </is>
      </c>
      <c r="S569" t="inlineStr">
        <is>
          <t>Doubles</t>
        </is>
      </c>
      <c r="U569" t="inlineStr">
        <is>
          <t>Gray</t>
        </is>
      </c>
      <c r="V569" t="inlineStr">
        <is>
          <t>Flanders</t>
        </is>
      </c>
      <c r="W569" t="inlineStr">
        <is>
          <t>Blue</t>
        </is>
      </c>
      <c r="Y569" t="inlineStr">
        <is>
          <t>Cole</t>
        </is>
      </c>
      <c r="AA569" t="n">
        <v>1</v>
      </c>
      <c r="AB569" t="inlineStr">
        <is>
          <t>L</t>
        </is>
      </c>
      <c r="AC569" t="inlineStr">
        <is>
          <t>2up</t>
        </is>
      </c>
      <c r="AE569">
        <f>$V569&amp;$Y569</f>
        <v/>
      </c>
      <c r="AF569" t="n">
        <v>0</v>
      </c>
      <c r="AG569" t="n">
        <v>0</v>
      </c>
      <c r="AH569" t="n">
        <v>1</v>
      </c>
      <c r="AI569" t="n">
        <v>0</v>
      </c>
      <c r="AJ569" t="n">
        <v>0</v>
      </c>
      <c r="AK569" t="inlineStr">
        <is>
          <t>Grise</t>
        </is>
      </c>
      <c r="AL569" t="n">
        <v>0.546875</v>
      </c>
      <c r="AM569" t="inlineStr">
        <is>
          <t>Poirier</t>
        </is>
      </c>
      <c r="AN569" t="n">
        <v>0.486111111111111</v>
      </c>
    </row>
    <row r="570" ht="15" customHeight="1" s="2">
      <c r="B570" t="n">
        <v>5</v>
      </c>
      <c r="C570" t="n">
        <v>5</v>
      </c>
      <c r="D570" t="n">
        <v>9</v>
      </c>
      <c r="E570" t="inlineStr">
        <is>
          <t>FBC9-D5</t>
        </is>
      </c>
      <c r="F570" t="inlineStr">
        <is>
          <t>Friday</t>
        </is>
      </c>
      <c r="G570" s="27" t="n">
        <v>44757</v>
      </c>
      <c r="H570" t="inlineStr">
        <is>
          <t>AM</t>
        </is>
      </c>
      <c r="I570" t="inlineStr">
        <is>
          <t>Sea Island, GA</t>
        </is>
      </c>
      <c r="J570" t="inlineStr">
        <is>
          <t>South</t>
        </is>
      </c>
      <c r="K570" t="n">
        <v>9</v>
      </c>
      <c r="L570" t="inlineStr">
        <is>
          <t>Front</t>
        </is>
      </c>
      <c r="M570" t="inlineStr">
        <is>
          <t>Seaside</t>
        </is>
      </c>
      <c r="N570" t="inlineStr">
        <is>
          <t>Green</t>
        </is>
      </c>
      <c r="O570" t="n">
        <v>70.5</v>
      </c>
      <c r="P570" t="n">
        <v>134</v>
      </c>
      <c r="Q570" t="n">
        <v>6389</v>
      </c>
      <c r="R570" t="inlineStr">
        <is>
          <t>Best Ball</t>
        </is>
      </c>
      <c r="S570" t="inlineStr">
        <is>
          <t>Doubles</t>
        </is>
      </c>
      <c r="U570" t="inlineStr">
        <is>
          <t>Zimmer</t>
        </is>
      </c>
      <c r="V570" t="inlineStr">
        <is>
          <t>Grise</t>
        </is>
      </c>
      <c r="W570" t="inlineStr">
        <is>
          <t>Blue</t>
        </is>
      </c>
      <c r="Y570" t="inlineStr">
        <is>
          <t>Poirier</t>
        </is>
      </c>
      <c r="AA570" t="n">
        <v>1</v>
      </c>
      <c r="AB570" t="inlineStr">
        <is>
          <t>W</t>
        </is>
      </c>
      <c r="AC570" t="inlineStr">
        <is>
          <t>2Up</t>
        </is>
      </c>
      <c r="AE570">
        <f>$V570&amp;$Y570</f>
        <v/>
      </c>
      <c r="AF570" t="n">
        <v>1</v>
      </c>
      <c r="AG570" t="n">
        <v>1</v>
      </c>
      <c r="AH570" t="n">
        <v>0</v>
      </c>
      <c r="AI570" t="n">
        <v>0</v>
      </c>
      <c r="AJ570" t="n">
        <v>1</v>
      </c>
      <c r="AK570" t="inlineStr">
        <is>
          <t>Flanders</t>
        </is>
      </c>
      <c r="AL570" t="n">
        <v>0.4296875</v>
      </c>
      <c r="AM570" t="inlineStr">
        <is>
          <t>Cole</t>
        </is>
      </c>
      <c r="AN570" t="n">
        <v>0.440677966101695</v>
      </c>
    </row>
    <row r="571" ht="15" customHeight="1" s="2">
      <c r="B571" t="n">
        <v>6</v>
      </c>
      <c r="C571" t="n">
        <v>1</v>
      </c>
      <c r="D571" t="n">
        <v>9</v>
      </c>
      <c r="E571" t="inlineStr">
        <is>
          <t>FBC9-D6</t>
        </is>
      </c>
      <c r="F571" t="inlineStr">
        <is>
          <t>Friday</t>
        </is>
      </c>
      <c r="G571" s="27" t="n">
        <v>44757</v>
      </c>
      <c r="H571" t="inlineStr">
        <is>
          <t>AM</t>
        </is>
      </c>
      <c r="I571" t="inlineStr">
        <is>
          <t>Sea Island, GA</t>
        </is>
      </c>
      <c r="J571" t="inlineStr">
        <is>
          <t>South</t>
        </is>
      </c>
      <c r="K571" t="n">
        <v>9</v>
      </c>
      <c r="L571" t="inlineStr">
        <is>
          <t>Back</t>
        </is>
      </c>
      <c r="M571" t="inlineStr">
        <is>
          <t>Seaside</t>
        </is>
      </c>
      <c r="N571" t="inlineStr">
        <is>
          <t>Green</t>
        </is>
      </c>
      <c r="O571" t="n">
        <v>70.5</v>
      </c>
      <c r="P571" t="n">
        <v>134</v>
      </c>
      <c r="Q571" t="n">
        <v>6389</v>
      </c>
      <c r="R571" t="inlineStr">
        <is>
          <t>Vegas</t>
        </is>
      </c>
      <c r="S571" t="inlineStr">
        <is>
          <t>Doubles</t>
        </is>
      </c>
      <c r="U571" t="inlineStr">
        <is>
          <t>Gray</t>
        </is>
      </c>
      <c r="V571" t="inlineStr">
        <is>
          <t>Connolly</t>
        </is>
      </c>
      <c r="W571" t="inlineStr">
        <is>
          <t>Blue</t>
        </is>
      </c>
      <c r="Y571" t="inlineStr">
        <is>
          <t>Perkins</t>
        </is>
      </c>
      <c r="AA571" t="n">
        <v>1</v>
      </c>
      <c r="AB571" t="inlineStr">
        <is>
          <t>W</t>
        </is>
      </c>
      <c r="AC571" t="inlineStr">
        <is>
          <t>2&amp;1</t>
        </is>
      </c>
      <c r="AE571">
        <f>$V571&amp;$Y571</f>
        <v/>
      </c>
      <c r="AF571" t="n">
        <v>1</v>
      </c>
      <c r="AG571" t="n">
        <v>1</v>
      </c>
      <c r="AH571" t="n">
        <v>0</v>
      </c>
      <c r="AI571" t="n">
        <v>0</v>
      </c>
      <c r="AJ571" t="n">
        <v>1</v>
      </c>
      <c r="AK571" t="inlineStr">
        <is>
          <t>Ferrin</t>
        </is>
      </c>
      <c r="AL571" t="n">
        <v>0.595238095238095</v>
      </c>
      <c r="AM571" t="inlineStr">
        <is>
          <t>Jackson</t>
        </is>
      </c>
      <c r="AN571" t="n">
        <v>0.6171875</v>
      </c>
    </row>
    <row r="572" ht="15" customHeight="1" s="2">
      <c r="B572" t="n">
        <v>6</v>
      </c>
      <c r="C572" t="n">
        <v>1</v>
      </c>
      <c r="D572" t="n">
        <v>9</v>
      </c>
      <c r="E572" t="inlineStr">
        <is>
          <t>FBC9-D6</t>
        </is>
      </c>
      <c r="F572" t="inlineStr">
        <is>
          <t>Friday</t>
        </is>
      </c>
      <c r="G572" s="27" t="n">
        <v>44757</v>
      </c>
      <c r="H572" t="inlineStr">
        <is>
          <t>AM</t>
        </is>
      </c>
      <c r="I572" t="inlineStr">
        <is>
          <t>Sea Island, GA</t>
        </is>
      </c>
      <c r="J572" t="inlineStr">
        <is>
          <t>South</t>
        </is>
      </c>
      <c r="K572" t="n">
        <v>9</v>
      </c>
      <c r="L572" t="inlineStr">
        <is>
          <t>Back</t>
        </is>
      </c>
      <c r="M572" t="inlineStr">
        <is>
          <t>Seaside</t>
        </is>
      </c>
      <c r="N572" t="inlineStr">
        <is>
          <t>Green</t>
        </is>
      </c>
      <c r="O572" t="n">
        <v>70.5</v>
      </c>
      <c r="P572" t="n">
        <v>134</v>
      </c>
      <c r="Q572" t="n">
        <v>6389</v>
      </c>
      <c r="R572" t="inlineStr">
        <is>
          <t>Vegas</t>
        </is>
      </c>
      <c r="S572" t="inlineStr">
        <is>
          <t>Doubles</t>
        </is>
      </c>
      <c r="U572" t="inlineStr">
        <is>
          <t>Zimmer</t>
        </is>
      </c>
      <c r="V572" t="inlineStr">
        <is>
          <t>Ferrin</t>
        </is>
      </c>
      <c r="W572" t="inlineStr">
        <is>
          <t>Blue</t>
        </is>
      </c>
      <c r="Y572" t="inlineStr">
        <is>
          <t>Jackson</t>
        </is>
      </c>
      <c r="AA572" t="n">
        <v>1</v>
      </c>
      <c r="AB572" t="inlineStr">
        <is>
          <t>L</t>
        </is>
      </c>
      <c r="AC572" t="inlineStr">
        <is>
          <t>2&amp;1</t>
        </is>
      </c>
      <c r="AE572">
        <f>$V572&amp;$Y572</f>
        <v/>
      </c>
      <c r="AF572" t="n">
        <v>0</v>
      </c>
      <c r="AG572" t="n">
        <v>0</v>
      </c>
      <c r="AH572" t="n">
        <v>1</v>
      </c>
      <c r="AI572" t="n">
        <v>0</v>
      </c>
      <c r="AJ572" t="n">
        <v>0</v>
      </c>
      <c r="AK572" t="inlineStr">
        <is>
          <t>Connolly</t>
        </is>
      </c>
      <c r="AL572" t="n">
        <v>0.59375</v>
      </c>
      <c r="AM572" t="inlineStr">
        <is>
          <t>Perkins</t>
        </is>
      </c>
      <c r="AN572" t="n">
        <v>0.638888888888889</v>
      </c>
    </row>
    <row r="573" ht="15" customHeight="1" s="2">
      <c r="B573" t="n">
        <v>7</v>
      </c>
      <c r="C573" t="n">
        <v>2</v>
      </c>
      <c r="D573" t="n">
        <v>9</v>
      </c>
      <c r="E573" t="inlineStr">
        <is>
          <t>FBC9-D7</t>
        </is>
      </c>
      <c r="F573" t="inlineStr">
        <is>
          <t>Friday</t>
        </is>
      </c>
      <c r="G573" s="27" t="n">
        <v>44757</v>
      </c>
      <c r="H573" t="inlineStr">
        <is>
          <t>AM</t>
        </is>
      </c>
      <c r="I573" t="inlineStr">
        <is>
          <t>Sea Island, GA</t>
        </is>
      </c>
      <c r="J573" t="inlineStr">
        <is>
          <t>South</t>
        </is>
      </c>
      <c r="K573" t="n">
        <v>9</v>
      </c>
      <c r="L573" t="inlineStr">
        <is>
          <t>Back</t>
        </is>
      </c>
      <c r="M573" t="inlineStr">
        <is>
          <t>Seaside</t>
        </is>
      </c>
      <c r="N573" t="inlineStr">
        <is>
          <t>Green</t>
        </is>
      </c>
      <c r="O573" t="n">
        <v>70.5</v>
      </c>
      <c r="P573" t="n">
        <v>134</v>
      </c>
      <c r="Q573" t="n">
        <v>6389</v>
      </c>
      <c r="R573" t="inlineStr">
        <is>
          <t>Vegas</t>
        </is>
      </c>
      <c r="S573" t="inlineStr">
        <is>
          <t>Doubles</t>
        </is>
      </c>
      <c r="U573" t="inlineStr">
        <is>
          <t>Zimmer</t>
        </is>
      </c>
      <c r="V573" t="inlineStr">
        <is>
          <t>Deoteris</t>
        </is>
      </c>
      <c r="W573" t="inlineStr">
        <is>
          <t>Blue</t>
        </is>
      </c>
      <c r="Y573" t="inlineStr">
        <is>
          <t>Zimmer</t>
        </is>
      </c>
      <c r="AA573" t="n">
        <v>1</v>
      </c>
      <c r="AB573" t="inlineStr">
        <is>
          <t>W</t>
        </is>
      </c>
      <c r="AC573" t="inlineStr">
        <is>
          <t>2&amp;1</t>
        </is>
      </c>
      <c r="AE573">
        <f>$V573&amp;$Y573</f>
        <v/>
      </c>
      <c r="AF573" t="n">
        <v>1</v>
      </c>
      <c r="AG573" t="n">
        <v>1</v>
      </c>
      <c r="AH573" t="n">
        <v>0</v>
      </c>
      <c r="AI573" t="n">
        <v>0</v>
      </c>
      <c r="AJ573" t="n">
        <v>1</v>
      </c>
      <c r="AK573" t="inlineStr">
        <is>
          <t>Delaney</t>
        </is>
      </c>
      <c r="AL573" t="n">
        <v>0.46551724137931</v>
      </c>
      <c r="AM573" t="inlineStr">
        <is>
          <t>Shively</t>
        </is>
      </c>
    </row>
    <row r="574" ht="15" customHeight="1" s="2">
      <c r="B574" t="n">
        <v>7</v>
      </c>
      <c r="C574" t="n">
        <v>2</v>
      </c>
      <c r="D574" t="n">
        <v>9</v>
      </c>
      <c r="E574" t="inlineStr">
        <is>
          <t>FBC9-D7</t>
        </is>
      </c>
      <c r="F574" t="inlineStr">
        <is>
          <t>Friday</t>
        </is>
      </c>
      <c r="G574" s="27" t="n">
        <v>44757</v>
      </c>
      <c r="H574" t="inlineStr">
        <is>
          <t>AM</t>
        </is>
      </c>
      <c r="I574" t="inlineStr">
        <is>
          <t>Sea Island, GA</t>
        </is>
      </c>
      <c r="J574" t="inlineStr">
        <is>
          <t>South</t>
        </is>
      </c>
      <c r="K574" t="n">
        <v>9</v>
      </c>
      <c r="L574" t="inlineStr">
        <is>
          <t>Back</t>
        </is>
      </c>
      <c r="M574" t="inlineStr">
        <is>
          <t>Seaside</t>
        </is>
      </c>
      <c r="N574" t="inlineStr">
        <is>
          <t>Green</t>
        </is>
      </c>
      <c r="O574" t="n">
        <v>70.5</v>
      </c>
      <c r="P574" t="n">
        <v>134</v>
      </c>
      <c r="Q574" t="n">
        <v>6389</v>
      </c>
      <c r="R574" t="inlineStr">
        <is>
          <t>Vegas</t>
        </is>
      </c>
      <c r="S574" t="inlineStr">
        <is>
          <t>Doubles</t>
        </is>
      </c>
      <c r="U574" t="inlineStr">
        <is>
          <t>Gray</t>
        </is>
      </c>
      <c r="V574" t="inlineStr">
        <is>
          <t>Delaney</t>
        </is>
      </c>
      <c r="W574" t="inlineStr">
        <is>
          <t>Blue</t>
        </is>
      </c>
      <c r="Y574" t="inlineStr">
        <is>
          <t>Shively</t>
        </is>
      </c>
      <c r="AA574" t="n">
        <v>1</v>
      </c>
      <c r="AB574" t="inlineStr">
        <is>
          <t>L</t>
        </is>
      </c>
      <c r="AC574" t="inlineStr">
        <is>
          <t>2&amp;1</t>
        </is>
      </c>
      <c r="AE574">
        <f>$V574&amp;$Y574</f>
        <v/>
      </c>
      <c r="AF574" t="n">
        <v>0</v>
      </c>
      <c r="AG574" t="n">
        <v>0</v>
      </c>
      <c r="AH574" t="n">
        <v>1</v>
      </c>
      <c r="AI574" t="n">
        <v>0</v>
      </c>
      <c r="AJ574" t="n">
        <v>0</v>
      </c>
      <c r="AK574" t="inlineStr">
        <is>
          <t>Deoteris</t>
        </is>
      </c>
      <c r="AL574" t="n">
        <v>0.545454545454545</v>
      </c>
      <c r="AM574" t="inlineStr">
        <is>
          <t>Zimmer</t>
        </is>
      </c>
      <c r="AN574" t="n">
        <v>0.5</v>
      </c>
    </row>
    <row r="575" ht="15" customHeight="1" s="2">
      <c r="B575" t="n">
        <v>8</v>
      </c>
      <c r="C575" t="n">
        <v>3</v>
      </c>
      <c r="D575" t="n">
        <v>9</v>
      </c>
      <c r="E575" t="inlineStr">
        <is>
          <t>FBC9-D8</t>
        </is>
      </c>
      <c r="F575" t="inlineStr">
        <is>
          <t>Friday</t>
        </is>
      </c>
      <c r="G575" s="27" t="n">
        <v>44757</v>
      </c>
      <c r="H575" t="inlineStr">
        <is>
          <t>AM</t>
        </is>
      </c>
      <c r="I575" t="inlineStr">
        <is>
          <t>Sea Island, GA</t>
        </is>
      </c>
      <c r="J575" t="inlineStr">
        <is>
          <t>South</t>
        </is>
      </c>
      <c r="K575" t="n">
        <v>9</v>
      </c>
      <c r="L575" t="inlineStr">
        <is>
          <t>Back</t>
        </is>
      </c>
      <c r="M575" t="inlineStr">
        <is>
          <t>Seaside</t>
        </is>
      </c>
      <c r="N575" t="inlineStr">
        <is>
          <t>Green</t>
        </is>
      </c>
      <c r="O575" t="n">
        <v>70.5</v>
      </c>
      <c r="P575" t="n">
        <v>134</v>
      </c>
      <c r="Q575" t="n">
        <v>6389</v>
      </c>
      <c r="R575" t="inlineStr">
        <is>
          <t>Vegas</t>
        </is>
      </c>
      <c r="S575" t="inlineStr">
        <is>
          <t>Doubles</t>
        </is>
      </c>
      <c r="U575" t="inlineStr">
        <is>
          <t>Gray</t>
        </is>
      </c>
      <c r="V575" t="inlineStr">
        <is>
          <t>Connors</t>
        </is>
      </c>
      <c r="W575" t="inlineStr">
        <is>
          <t>Blue</t>
        </is>
      </c>
      <c r="Y575" t="inlineStr">
        <is>
          <t>McInerney</t>
        </is>
      </c>
      <c r="AA575" t="n">
        <v>1</v>
      </c>
      <c r="AB575" t="inlineStr">
        <is>
          <t>L</t>
        </is>
      </c>
      <c r="AC575" t="inlineStr">
        <is>
          <t>2&amp;1</t>
        </is>
      </c>
      <c r="AE575">
        <f>$V575&amp;$Y575</f>
        <v/>
      </c>
      <c r="AF575" t="n">
        <v>0</v>
      </c>
      <c r="AG575" t="n">
        <v>0</v>
      </c>
      <c r="AH575" t="n">
        <v>1</v>
      </c>
      <c r="AI575" t="n">
        <v>0</v>
      </c>
      <c r="AJ575" t="n">
        <v>0</v>
      </c>
      <c r="AK575" t="inlineStr">
        <is>
          <t>Delneky</t>
        </is>
      </c>
      <c r="AL575" t="n">
        <v>0.6590909090909089</v>
      </c>
      <c r="AM575" t="inlineStr">
        <is>
          <t>Forster</t>
        </is>
      </c>
      <c r="AN575" t="n">
        <v>0.596491228070175</v>
      </c>
    </row>
    <row r="576" ht="15" customHeight="1" s="2">
      <c r="B576" t="n">
        <v>8</v>
      </c>
      <c r="C576" t="n">
        <v>3</v>
      </c>
      <c r="D576" t="n">
        <v>9</v>
      </c>
      <c r="E576" t="inlineStr">
        <is>
          <t>FBC9-D8</t>
        </is>
      </c>
      <c r="F576" t="inlineStr">
        <is>
          <t>Friday</t>
        </is>
      </c>
      <c r="G576" s="27" t="n">
        <v>44757</v>
      </c>
      <c r="H576" t="inlineStr">
        <is>
          <t>AM</t>
        </is>
      </c>
      <c r="I576" t="inlineStr">
        <is>
          <t>Sea Island, GA</t>
        </is>
      </c>
      <c r="J576" t="inlineStr">
        <is>
          <t>South</t>
        </is>
      </c>
      <c r="K576" t="n">
        <v>9</v>
      </c>
      <c r="L576" t="inlineStr">
        <is>
          <t>Back</t>
        </is>
      </c>
      <c r="M576" t="inlineStr">
        <is>
          <t>Seaside</t>
        </is>
      </c>
      <c r="N576" t="inlineStr">
        <is>
          <t>Green</t>
        </is>
      </c>
      <c r="O576" t="n">
        <v>70.5</v>
      </c>
      <c r="P576" t="n">
        <v>134</v>
      </c>
      <c r="Q576" t="n">
        <v>6389</v>
      </c>
      <c r="R576" t="inlineStr">
        <is>
          <t>Vegas</t>
        </is>
      </c>
      <c r="S576" t="inlineStr">
        <is>
          <t>Doubles</t>
        </is>
      </c>
      <c r="U576" t="inlineStr">
        <is>
          <t>Zimmer</t>
        </is>
      </c>
      <c r="V576" t="inlineStr">
        <is>
          <t>Delneky</t>
        </is>
      </c>
      <c r="W576" t="inlineStr">
        <is>
          <t>Blue</t>
        </is>
      </c>
      <c r="Y576" t="inlineStr">
        <is>
          <t>Forster</t>
        </is>
      </c>
      <c r="AA576" t="n">
        <v>1</v>
      </c>
      <c r="AB576" t="inlineStr">
        <is>
          <t>W</t>
        </is>
      </c>
      <c r="AC576" t="inlineStr">
        <is>
          <t>2&amp;1</t>
        </is>
      </c>
      <c r="AE576">
        <f>$V576&amp;$Y576</f>
        <v/>
      </c>
      <c r="AF576" t="n">
        <v>1</v>
      </c>
      <c r="AG576" t="n">
        <v>1</v>
      </c>
      <c r="AH576" t="n">
        <v>0</v>
      </c>
      <c r="AI576" t="n">
        <v>0</v>
      </c>
      <c r="AJ576" t="n">
        <v>1</v>
      </c>
      <c r="AK576" t="inlineStr">
        <is>
          <t>Connors</t>
        </is>
      </c>
      <c r="AL576" t="n">
        <v>0.347457627118644</v>
      </c>
      <c r="AM576" t="inlineStr">
        <is>
          <t>McInerney</t>
        </is>
      </c>
      <c r="AN576" t="n">
        <v>0.5</v>
      </c>
    </row>
    <row r="577" ht="15" customHeight="1" s="2">
      <c r="B577" t="n">
        <v>9</v>
      </c>
      <c r="C577" t="n">
        <v>4</v>
      </c>
      <c r="D577" t="n">
        <v>9</v>
      </c>
      <c r="E577" t="inlineStr">
        <is>
          <t>FBC9-D9</t>
        </is>
      </c>
      <c r="F577" t="inlineStr">
        <is>
          <t>Friday</t>
        </is>
      </c>
      <c r="G577" s="27" t="n">
        <v>44757</v>
      </c>
      <c r="H577" t="inlineStr">
        <is>
          <t>AM</t>
        </is>
      </c>
      <c r="I577" t="inlineStr">
        <is>
          <t>Sea Island, GA</t>
        </is>
      </c>
      <c r="J577" t="inlineStr">
        <is>
          <t>South</t>
        </is>
      </c>
      <c r="K577" t="n">
        <v>9</v>
      </c>
      <c r="L577" t="inlineStr">
        <is>
          <t>Back</t>
        </is>
      </c>
      <c r="M577" t="inlineStr">
        <is>
          <t>Seaside</t>
        </is>
      </c>
      <c r="N577" t="inlineStr">
        <is>
          <t>Green</t>
        </is>
      </c>
      <c r="O577" t="n">
        <v>70.5</v>
      </c>
      <c r="P577" t="n">
        <v>134</v>
      </c>
      <c r="Q577" t="n">
        <v>6389</v>
      </c>
      <c r="R577" t="inlineStr">
        <is>
          <t>Vegas</t>
        </is>
      </c>
      <c r="S577" t="inlineStr">
        <is>
          <t>Doubles</t>
        </is>
      </c>
      <c r="U577" t="inlineStr">
        <is>
          <t>Zimmer</t>
        </is>
      </c>
      <c r="V577" t="inlineStr">
        <is>
          <t>Fogan</t>
        </is>
      </c>
      <c r="W577" t="inlineStr">
        <is>
          <t>Blue</t>
        </is>
      </c>
      <c r="Y577" t="inlineStr">
        <is>
          <t>Welker</t>
        </is>
      </c>
      <c r="AA577" t="n">
        <v>1</v>
      </c>
      <c r="AB577" t="inlineStr">
        <is>
          <t>L</t>
        </is>
      </c>
      <c r="AC577" t="inlineStr">
        <is>
          <t>4&amp;3</t>
        </is>
      </c>
      <c r="AE577">
        <f>$V577&amp;$Y577</f>
        <v/>
      </c>
      <c r="AF577" t="n">
        <v>0</v>
      </c>
      <c r="AG577" t="n">
        <v>0</v>
      </c>
      <c r="AH577" t="n">
        <v>1</v>
      </c>
      <c r="AI577" t="n">
        <v>0</v>
      </c>
      <c r="AJ577" t="n">
        <v>0</v>
      </c>
      <c r="AK577" t="inlineStr">
        <is>
          <t>Hilts</t>
        </is>
      </c>
      <c r="AL577" t="n">
        <v>0.473214285714286</v>
      </c>
      <c r="AM577" t="inlineStr">
        <is>
          <t>Lynch</t>
        </is>
      </c>
      <c r="AN577" t="n">
        <v>0.5546875</v>
      </c>
    </row>
    <row r="578" ht="15" customHeight="1" s="2">
      <c r="B578" t="n">
        <v>9</v>
      </c>
      <c r="C578" t="n">
        <v>4</v>
      </c>
      <c r="D578" t="n">
        <v>9</v>
      </c>
      <c r="E578" t="inlineStr">
        <is>
          <t>FBC9-D9</t>
        </is>
      </c>
      <c r="F578" t="inlineStr">
        <is>
          <t>Friday</t>
        </is>
      </c>
      <c r="G578" s="27" t="n">
        <v>44757</v>
      </c>
      <c r="H578" t="inlineStr">
        <is>
          <t>AM</t>
        </is>
      </c>
      <c r="I578" t="inlineStr">
        <is>
          <t>Sea Island, GA</t>
        </is>
      </c>
      <c r="J578" t="inlineStr">
        <is>
          <t>South</t>
        </is>
      </c>
      <c r="K578" t="n">
        <v>9</v>
      </c>
      <c r="L578" t="inlineStr">
        <is>
          <t>Back</t>
        </is>
      </c>
      <c r="M578" t="inlineStr">
        <is>
          <t>Seaside</t>
        </is>
      </c>
      <c r="N578" t="inlineStr">
        <is>
          <t>Green</t>
        </is>
      </c>
      <c r="O578" t="n">
        <v>70.5</v>
      </c>
      <c r="P578" t="n">
        <v>134</v>
      </c>
      <c r="Q578" t="n">
        <v>6389</v>
      </c>
      <c r="R578" t="inlineStr">
        <is>
          <t>Vegas</t>
        </is>
      </c>
      <c r="S578" t="inlineStr">
        <is>
          <t>Doubles</t>
        </is>
      </c>
      <c r="U578" t="inlineStr">
        <is>
          <t>Gray</t>
        </is>
      </c>
      <c r="V578" t="inlineStr">
        <is>
          <t>Hilts</t>
        </is>
      </c>
      <c r="W578" t="inlineStr">
        <is>
          <t>Blue</t>
        </is>
      </c>
      <c r="Y578" t="inlineStr">
        <is>
          <t>Lynch</t>
        </is>
      </c>
      <c r="AA578" t="n">
        <v>1</v>
      </c>
      <c r="AB578" t="inlineStr">
        <is>
          <t>W</t>
        </is>
      </c>
      <c r="AC578" t="inlineStr">
        <is>
          <t>4&amp;3</t>
        </is>
      </c>
      <c r="AE578">
        <f>$V578&amp;$Y578</f>
        <v/>
      </c>
      <c r="AF578" t="n">
        <v>1</v>
      </c>
      <c r="AG578" t="n">
        <v>1</v>
      </c>
      <c r="AH578" t="n">
        <v>0</v>
      </c>
      <c r="AI578" t="n">
        <v>0</v>
      </c>
      <c r="AJ578" t="n">
        <v>1</v>
      </c>
      <c r="AK578" t="inlineStr">
        <is>
          <t>Fogan</t>
        </is>
      </c>
      <c r="AL578" t="n">
        <v>0.372881355932203</v>
      </c>
      <c r="AM578" t="inlineStr">
        <is>
          <t>Welker</t>
        </is>
      </c>
      <c r="AN578" t="n">
        <v>0.510416666666667</v>
      </c>
    </row>
    <row r="579" ht="15" customHeight="1" s="2">
      <c r="B579" t="n">
        <v>10</v>
      </c>
      <c r="C579" t="n">
        <v>5</v>
      </c>
      <c r="D579" t="n">
        <v>9</v>
      </c>
      <c r="E579" t="inlineStr">
        <is>
          <t>FBC9-D10</t>
        </is>
      </c>
      <c r="F579" t="inlineStr">
        <is>
          <t>Friday</t>
        </is>
      </c>
      <c r="G579" s="27" t="n">
        <v>44757</v>
      </c>
      <c r="H579" t="inlineStr">
        <is>
          <t>AM</t>
        </is>
      </c>
      <c r="I579" t="inlineStr">
        <is>
          <t>Sea Island, GA</t>
        </is>
      </c>
      <c r="J579" t="inlineStr">
        <is>
          <t>South</t>
        </is>
      </c>
      <c r="K579" t="n">
        <v>9</v>
      </c>
      <c r="L579" t="inlineStr">
        <is>
          <t>Back</t>
        </is>
      </c>
      <c r="M579" t="inlineStr">
        <is>
          <t>Seaside</t>
        </is>
      </c>
      <c r="N579" t="inlineStr">
        <is>
          <t>Green</t>
        </is>
      </c>
      <c r="O579" t="n">
        <v>70.5</v>
      </c>
      <c r="P579" t="n">
        <v>134</v>
      </c>
      <c r="Q579" t="n">
        <v>6389</v>
      </c>
      <c r="R579" t="inlineStr">
        <is>
          <t>Vegas</t>
        </is>
      </c>
      <c r="S579" t="inlineStr">
        <is>
          <t>Doubles</t>
        </is>
      </c>
      <c r="U579" t="inlineStr">
        <is>
          <t>Gray</t>
        </is>
      </c>
      <c r="V579" t="inlineStr">
        <is>
          <t>Flanders</t>
        </is>
      </c>
      <c r="W579" t="inlineStr">
        <is>
          <t>Blue</t>
        </is>
      </c>
      <c r="Y579" t="inlineStr">
        <is>
          <t>Cole</t>
        </is>
      </c>
      <c r="AA579" t="n">
        <v>1</v>
      </c>
      <c r="AB579" t="inlineStr">
        <is>
          <t>W</t>
        </is>
      </c>
      <c r="AC579" t="inlineStr">
        <is>
          <t>3&amp;2</t>
        </is>
      </c>
      <c r="AE579">
        <f>$V579&amp;$Y579</f>
        <v/>
      </c>
      <c r="AF579" t="n">
        <v>1</v>
      </c>
      <c r="AG579" t="n">
        <v>1</v>
      </c>
      <c r="AH579" t="n">
        <v>0</v>
      </c>
      <c r="AI579" t="n">
        <v>0</v>
      </c>
      <c r="AJ579" t="n">
        <v>1</v>
      </c>
      <c r="AK579" t="inlineStr">
        <is>
          <t>Grise</t>
        </is>
      </c>
      <c r="AL579" t="n">
        <v>0.546875</v>
      </c>
      <c r="AM579" t="inlineStr">
        <is>
          <t>Poirier</t>
        </is>
      </c>
      <c r="AN579" t="n">
        <v>0.486111111111111</v>
      </c>
    </row>
    <row r="580" ht="15" customHeight="1" s="2">
      <c r="B580" t="n">
        <v>10</v>
      </c>
      <c r="C580" t="n">
        <v>5</v>
      </c>
      <c r="D580" t="n">
        <v>9</v>
      </c>
      <c r="E580" t="inlineStr">
        <is>
          <t>FBC9-D10</t>
        </is>
      </c>
      <c r="F580" t="inlineStr">
        <is>
          <t>Friday</t>
        </is>
      </c>
      <c r="G580" s="27" t="n">
        <v>44757</v>
      </c>
      <c r="H580" t="inlineStr">
        <is>
          <t>AM</t>
        </is>
      </c>
      <c r="I580" t="inlineStr">
        <is>
          <t>Sea Island, GA</t>
        </is>
      </c>
      <c r="J580" t="inlineStr">
        <is>
          <t>South</t>
        </is>
      </c>
      <c r="K580" t="n">
        <v>9</v>
      </c>
      <c r="L580" t="inlineStr">
        <is>
          <t>Back</t>
        </is>
      </c>
      <c r="M580" t="inlineStr">
        <is>
          <t>Seaside</t>
        </is>
      </c>
      <c r="N580" t="inlineStr">
        <is>
          <t>Green</t>
        </is>
      </c>
      <c r="O580" t="n">
        <v>70.5</v>
      </c>
      <c r="P580" t="n">
        <v>134</v>
      </c>
      <c r="Q580" t="n">
        <v>6389</v>
      </c>
      <c r="R580" t="inlineStr">
        <is>
          <t>Vegas</t>
        </is>
      </c>
      <c r="S580" t="inlineStr">
        <is>
          <t>Doubles</t>
        </is>
      </c>
      <c r="U580" t="inlineStr">
        <is>
          <t>Zimmer</t>
        </is>
      </c>
      <c r="V580" t="inlineStr">
        <is>
          <t>Grise</t>
        </is>
      </c>
      <c r="W580" t="inlineStr">
        <is>
          <t>Blue</t>
        </is>
      </c>
      <c r="Y580" t="inlineStr">
        <is>
          <t>Poirier</t>
        </is>
      </c>
      <c r="AA580" t="n">
        <v>1</v>
      </c>
      <c r="AB580" t="inlineStr">
        <is>
          <t>L</t>
        </is>
      </c>
      <c r="AC580" t="inlineStr">
        <is>
          <t>3&amp;2</t>
        </is>
      </c>
      <c r="AE580">
        <f>$V580&amp;$Y580</f>
        <v/>
      </c>
      <c r="AF580" t="n">
        <v>0</v>
      </c>
      <c r="AG580" t="n">
        <v>0</v>
      </c>
      <c r="AH580" t="n">
        <v>1</v>
      </c>
      <c r="AI580" t="n">
        <v>0</v>
      </c>
      <c r="AJ580" t="n">
        <v>0</v>
      </c>
      <c r="AK580" t="inlineStr">
        <is>
          <t>Flanders</t>
        </is>
      </c>
      <c r="AL580" t="n">
        <v>0.4296875</v>
      </c>
      <c r="AM580" t="inlineStr">
        <is>
          <t>Cole</t>
        </is>
      </c>
      <c r="AN580" t="n">
        <v>0.440677966101695</v>
      </c>
    </row>
    <row r="581" ht="15" customHeight="1" s="2">
      <c r="B581" t="n">
        <v>11</v>
      </c>
      <c r="C581" t="n">
        <v>1</v>
      </c>
      <c r="D581" t="n">
        <v>9</v>
      </c>
      <c r="E581" t="inlineStr">
        <is>
          <t>FBC9-D11</t>
        </is>
      </c>
      <c r="F581" t="inlineStr">
        <is>
          <t>Friday</t>
        </is>
      </c>
      <c r="G581" s="27" t="n">
        <v>44757</v>
      </c>
      <c r="H581" t="inlineStr">
        <is>
          <t>PM</t>
        </is>
      </c>
      <c r="I581" t="inlineStr">
        <is>
          <t>Sea Island, GA</t>
        </is>
      </c>
      <c r="J581" t="inlineStr">
        <is>
          <t>South</t>
        </is>
      </c>
      <c r="K581" t="n">
        <v>9</v>
      </c>
      <c r="L581" t="inlineStr">
        <is>
          <t>Front</t>
        </is>
      </c>
      <c r="M581" t="inlineStr">
        <is>
          <t>Seaside</t>
        </is>
      </c>
      <c r="N581" t="inlineStr">
        <is>
          <t>Green</t>
        </is>
      </c>
      <c r="O581" t="n">
        <v>70.5</v>
      </c>
      <c r="P581" t="n">
        <v>134</v>
      </c>
      <c r="Q581" t="n">
        <v>6389</v>
      </c>
      <c r="R581" t="inlineStr">
        <is>
          <t>Pinehurst</t>
        </is>
      </c>
      <c r="S581" t="inlineStr">
        <is>
          <t>Doubles</t>
        </is>
      </c>
      <c r="U581" t="inlineStr">
        <is>
          <t>Gray</t>
        </is>
      </c>
      <c r="V581" t="inlineStr">
        <is>
          <t>McInerney</t>
        </is>
      </c>
      <c r="W581" t="inlineStr">
        <is>
          <t>Blue</t>
        </is>
      </c>
      <c r="Y581" t="inlineStr">
        <is>
          <t>Perkins</t>
        </is>
      </c>
      <c r="AA581" t="n">
        <v>1</v>
      </c>
      <c r="AB581" t="inlineStr">
        <is>
          <t>W</t>
        </is>
      </c>
      <c r="AC581" t="inlineStr">
        <is>
          <t>3&amp;2</t>
        </is>
      </c>
      <c r="AE581">
        <f>$V581&amp;$Y581</f>
        <v/>
      </c>
      <c r="AF581" t="n">
        <v>1</v>
      </c>
      <c r="AG581" t="n">
        <v>1</v>
      </c>
      <c r="AH581" t="n">
        <v>0</v>
      </c>
      <c r="AI581" t="n">
        <v>0</v>
      </c>
      <c r="AJ581" t="n">
        <v>1</v>
      </c>
      <c r="AK581" t="inlineStr">
        <is>
          <t>Ferrin</t>
        </is>
      </c>
      <c r="AL581" t="n">
        <v>0.595238095238095</v>
      </c>
      <c r="AM581" t="inlineStr">
        <is>
          <t>Zimmer</t>
        </is>
      </c>
      <c r="AN581" t="n">
        <v>0.5</v>
      </c>
    </row>
    <row r="582" ht="15" customHeight="1" s="2">
      <c r="B582" t="n">
        <v>11</v>
      </c>
      <c r="C582" t="n">
        <v>1</v>
      </c>
      <c r="D582" t="n">
        <v>9</v>
      </c>
      <c r="E582" t="inlineStr">
        <is>
          <t>FBC9-D11</t>
        </is>
      </c>
      <c r="F582" t="inlineStr">
        <is>
          <t>Friday</t>
        </is>
      </c>
      <c r="G582" s="27" t="n">
        <v>44757</v>
      </c>
      <c r="H582" t="inlineStr">
        <is>
          <t>PM</t>
        </is>
      </c>
      <c r="I582" t="inlineStr">
        <is>
          <t>Sea Island, GA</t>
        </is>
      </c>
      <c r="J582" t="inlineStr">
        <is>
          <t>South</t>
        </is>
      </c>
      <c r="K582" t="n">
        <v>9</v>
      </c>
      <c r="L582" t="inlineStr">
        <is>
          <t>Front</t>
        </is>
      </c>
      <c r="M582" t="inlineStr">
        <is>
          <t>Seaside</t>
        </is>
      </c>
      <c r="N582" t="inlineStr">
        <is>
          <t>Green</t>
        </is>
      </c>
      <c r="O582" t="n">
        <v>70.5</v>
      </c>
      <c r="P582" t="n">
        <v>134</v>
      </c>
      <c r="Q582" t="n">
        <v>6389</v>
      </c>
      <c r="R582" t="inlineStr">
        <is>
          <t>Pinehurst</t>
        </is>
      </c>
      <c r="S582" t="inlineStr">
        <is>
          <t>Doubles</t>
        </is>
      </c>
      <c r="U582" t="inlineStr">
        <is>
          <t>Zimmer</t>
        </is>
      </c>
      <c r="V582" t="inlineStr">
        <is>
          <t>Ferrin</t>
        </is>
      </c>
      <c r="W582" t="inlineStr">
        <is>
          <t>Blue</t>
        </is>
      </c>
      <c r="Y582" t="inlineStr">
        <is>
          <t>Zimmer</t>
        </is>
      </c>
      <c r="AA582" t="n">
        <v>1</v>
      </c>
      <c r="AB582" t="inlineStr">
        <is>
          <t>L</t>
        </is>
      </c>
      <c r="AC582" t="inlineStr">
        <is>
          <t>3&amp;2</t>
        </is>
      </c>
      <c r="AE582">
        <f>$V582&amp;$Y582</f>
        <v/>
      </c>
      <c r="AF582" t="n">
        <v>0</v>
      </c>
      <c r="AG582" t="n">
        <v>0</v>
      </c>
      <c r="AH582" t="n">
        <v>1</v>
      </c>
      <c r="AI582" t="n">
        <v>0</v>
      </c>
      <c r="AJ582" t="n">
        <v>0</v>
      </c>
      <c r="AK582" t="inlineStr">
        <is>
          <t>McInerney</t>
        </is>
      </c>
      <c r="AL582" t="n">
        <v>0.5</v>
      </c>
      <c r="AM582" t="inlineStr">
        <is>
          <t>Perkins</t>
        </is>
      </c>
      <c r="AN582" t="n">
        <v>0.638888888888889</v>
      </c>
    </row>
    <row r="583" ht="15" customHeight="1" s="2">
      <c r="B583" t="n">
        <v>12</v>
      </c>
      <c r="C583" t="n">
        <v>2</v>
      </c>
      <c r="D583" t="n">
        <v>9</v>
      </c>
      <c r="E583" t="inlineStr">
        <is>
          <t>FBC9-D12</t>
        </is>
      </c>
      <c r="F583" t="inlineStr">
        <is>
          <t>Friday</t>
        </is>
      </c>
      <c r="G583" s="27" t="n">
        <v>44757</v>
      </c>
      <c r="H583" t="inlineStr">
        <is>
          <t>PM</t>
        </is>
      </c>
      <c r="I583" t="inlineStr">
        <is>
          <t>Sea Island, GA</t>
        </is>
      </c>
      <c r="J583" t="inlineStr">
        <is>
          <t>South</t>
        </is>
      </c>
      <c r="K583" t="n">
        <v>9</v>
      </c>
      <c r="L583" t="inlineStr">
        <is>
          <t>Front</t>
        </is>
      </c>
      <c r="M583" t="inlineStr">
        <is>
          <t>Seaside</t>
        </is>
      </c>
      <c r="N583" t="inlineStr">
        <is>
          <t>Green</t>
        </is>
      </c>
      <c r="O583" t="n">
        <v>70.5</v>
      </c>
      <c r="P583" t="n">
        <v>134</v>
      </c>
      <c r="Q583" t="n">
        <v>6389</v>
      </c>
      <c r="R583" t="inlineStr">
        <is>
          <t>Pinehurst</t>
        </is>
      </c>
      <c r="S583" t="inlineStr">
        <is>
          <t>Doubles</t>
        </is>
      </c>
      <c r="U583" t="inlineStr">
        <is>
          <t>Zimmer</t>
        </is>
      </c>
      <c r="V583" t="inlineStr">
        <is>
          <t>Forster</t>
        </is>
      </c>
      <c r="W583" t="inlineStr">
        <is>
          <t>Blue</t>
        </is>
      </c>
      <c r="Y583" t="inlineStr">
        <is>
          <t>Poirier</t>
        </is>
      </c>
      <c r="AA583" t="n">
        <v>1</v>
      </c>
      <c r="AB583" t="inlineStr">
        <is>
          <t>W</t>
        </is>
      </c>
      <c r="AC583" t="inlineStr">
        <is>
          <t>3&amp;2</t>
        </is>
      </c>
      <c r="AE583">
        <f>$V583&amp;$Y583</f>
        <v/>
      </c>
      <c r="AF583" t="n">
        <v>1</v>
      </c>
      <c r="AG583" t="n">
        <v>1</v>
      </c>
      <c r="AH583" t="n">
        <v>0</v>
      </c>
      <c r="AI583" t="n">
        <v>0</v>
      </c>
      <c r="AJ583" t="n">
        <v>1</v>
      </c>
      <c r="AK583" t="inlineStr">
        <is>
          <t>Delaney</t>
        </is>
      </c>
      <c r="AL583" t="n">
        <v>0.46551724137931</v>
      </c>
      <c r="AM583" t="inlineStr">
        <is>
          <t>Flanders</t>
        </is>
      </c>
      <c r="AN583" t="n">
        <v>0.4296875</v>
      </c>
    </row>
    <row r="584" ht="15" customHeight="1" s="2">
      <c r="B584" t="n">
        <v>12</v>
      </c>
      <c r="C584" t="n">
        <v>2</v>
      </c>
      <c r="D584" t="n">
        <v>9</v>
      </c>
      <c r="E584" t="inlineStr">
        <is>
          <t>FBC9-D12</t>
        </is>
      </c>
      <c r="F584" t="inlineStr">
        <is>
          <t>Friday</t>
        </is>
      </c>
      <c r="G584" s="27" t="n">
        <v>44757</v>
      </c>
      <c r="H584" t="inlineStr">
        <is>
          <t>PM</t>
        </is>
      </c>
      <c r="I584" t="inlineStr">
        <is>
          <t>Sea Island, GA</t>
        </is>
      </c>
      <c r="J584" t="inlineStr">
        <is>
          <t>South</t>
        </is>
      </c>
      <c r="K584" t="n">
        <v>9</v>
      </c>
      <c r="L584" t="inlineStr">
        <is>
          <t>Front</t>
        </is>
      </c>
      <c r="M584" t="inlineStr">
        <is>
          <t>Seaside</t>
        </is>
      </c>
      <c r="N584" t="inlineStr">
        <is>
          <t>Green</t>
        </is>
      </c>
      <c r="O584" t="n">
        <v>70.5</v>
      </c>
      <c r="P584" t="n">
        <v>134</v>
      </c>
      <c r="Q584" t="n">
        <v>6389</v>
      </c>
      <c r="R584" t="inlineStr">
        <is>
          <t>Pinehurst</t>
        </is>
      </c>
      <c r="S584" t="inlineStr">
        <is>
          <t>Doubles</t>
        </is>
      </c>
      <c r="U584" t="inlineStr">
        <is>
          <t>Gray</t>
        </is>
      </c>
      <c r="V584" t="inlineStr">
        <is>
          <t>Delaney</t>
        </is>
      </c>
      <c r="W584" t="inlineStr">
        <is>
          <t>Blue</t>
        </is>
      </c>
      <c r="Y584" t="inlineStr">
        <is>
          <t>Flanders</t>
        </is>
      </c>
      <c r="AA584" t="n">
        <v>1</v>
      </c>
      <c r="AB584" t="inlineStr">
        <is>
          <t>L</t>
        </is>
      </c>
      <c r="AC584" t="inlineStr">
        <is>
          <t>3&amp;2</t>
        </is>
      </c>
      <c r="AE584">
        <f>$V584&amp;$Y584</f>
        <v/>
      </c>
      <c r="AF584" t="n">
        <v>0</v>
      </c>
      <c r="AG584" t="n">
        <v>0</v>
      </c>
      <c r="AH584" t="n">
        <v>1</v>
      </c>
      <c r="AI584" t="n">
        <v>0</v>
      </c>
      <c r="AJ584" t="n">
        <v>0</v>
      </c>
      <c r="AK584" t="inlineStr">
        <is>
          <t>Forster</t>
        </is>
      </c>
      <c r="AL584" t="n">
        <v>0.596491228070175</v>
      </c>
      <c r="AM584" t="inlineStr">
        <is>
          <t>Poirier</t>
        </is>
      </c>
      <c r="AN584" t="n">
        <v>0.486111111111111</v>
      </c>
    </row>
    <row r="585" ht="15" customHeight="1" s="2">
      <c r="B585" t="n">
        <v>13</v>
      </c>
      <c r="C585" t="n">
        <v>3</v>
      </c>
      <c r="D585" t="n">
        <v>9</v>
      </c>
      <c r="E585" t="inlineStr">
        <is>
          <t>FBC9-D13</t>
        </is>
      </c>
      <c r="F585" t="inlineStr">
        <is>
          <t>Friday</t>
        </is>
      </c>
      <c r="G585" s="27" t="n">
        <v>44757</v>
      </c>
      <c r="H585" t="inlineStr">
        <is>
          <t>PM</t>
        </is>
      </c>
      <c r="I585" t="inlineStr">
        <is>
          <t>Sea Island, GA</t>
        </is>
      </c>
      <c r="J585" t="inlineStr">
        <is>
          <t>South</t>
        </is>
      </c>
      <c r="K585" t="n">
        <v>9</v>
      </c>
      <c r="L585" t="inlineStr">
        <is>
          <t>Front</t>
        </is>
      </c>
      <c r="M585" t="inlineStr">
        <is>
          <t>Seaside</t>
        </is>
      </c>
      <c r="N585" t="inlineStr">
        <is>
          <t>Green</t>
        </is>
      </c>
      <c r="O585" t="n">
        <v>70.5</v>
      </c>
      <c r="P585" t="n">
        <v>134</v>
      </c>
      <c r="Q585" t="n">
        <v>6389</v>
      </c>
      <c r="R585" t="inlineStr">
        <is>
          <t>Pinehurst</t>
        </is>
      </c>
      <c r="S585" t="inlineStr">
        <is>
          <t>Doubles</t>
        </is>
      </c>
      <c r="U585" t="inlineStr">
        <is>
          <t>Gray</t>
        </is>
      </c>
      <c r="V585" t="inlineStr">
        <is>
          <t>Cole</t>
        </is>
      </c>
      <c r="W585" t="inlineStr">
        <is>
          <t>Blue</t>
        </is>
      </c>
      <c r="Y585" t="inlineStr">
        <is>
          <t>Lynch</t>
        </is>
      </c>
      <c r="AA585" t="n">
        <v>1</v>
      </c>
      <c r="AB585" t="inlineStr">
        <is>
          <t>T</t>
        </is>
      </c>
      <c r="AC585" t="inlineStr">
        <is>
          <t>Halved</t>
        </is>
      </c>
      <c r="AE585">
        <f>$V585&amp;$Y585</f>
        <v/>
      </c>
      <c r="AF585" t="n">
        <v>0.5</v>
      </c>
      <c r="AG585" t="n">
        <v>0</v>
      </c>
      <c r="AH585" t="n">
        <v>0</v>
      </c>
      <c r="AI585" t="n">
        <v>1</v>
      </c>
      <c r="AJ585" t="n">
        <v>0.5</v>
      </c>
      <c r="AK585" t="inlineStr">
        <is>
          <t>Jackson</t>
        </is>
      </c>
      <c r="AL585" t="n">
        <v>0.6171875</v>
      </c>
      <c r="AM585" t="inlineStr">
        <is>
          <t>Welker</t>
        </is>
      </c>
      <c r="AN585" t="n">
        <v>0.510416666666667</v>
      </c>
    </row>
    <row r="586" ht="15" customHeight="1" s="2">
      <c r="B586" t="n">
        <v>13</v>
      </c>
      <c r="C586" t="n">
        <v>3</v>
      </c>
      <c r="D586" t="n">
        <v>9</v>
      </c>
      <c r="E586" t="inlineStr">
        <is>
          <t>FBC9-D13</t>
        </is>
      </c>
      <c r="F586" t="inlineStr">
        <is>
          <t>Friday</t>
        </is>
      </c>
      <c r="G586" s="27" t="n">
        <v>44757</v>
      </c>
      <c r="H586" t="inlineStr">
        <is>
          <t>PM</t>
        </is>
      </c>
      <c r="I586" t="inlineStr">
        <is>
          <t>Sea Island, GA</t>
        </is>
      </c>
      <c r="J586" t="inlineStr">
        <is>
          <t>South</t>
        </is>
      </c>
      <c r="K586" t="n">
        <v>9</v>
      </c>
      <c r="L586" t="inlineStr">
        <is>
          <t>Front</t>
        </is>
      </c>
      <c r="M586" t="inlineStr">
        <is>
          <t>Seaside</t>
        </is>
      </c>
      <c r="N586" t="inlineStr">
        <is>
          <t>Green</t>
        </is>
      </c>
      <c r="O586" t="n">
        <v>70.5</v>
      </c>
      <c r="P586" t="n">
        <v>134</v>
      </c>
      <c r="Q586" t="n">
        <v>6389</v>
      </c>
      <c r="R586" t="inlineStr">
        <is>
          <t>Pinehurst</t>
        </is>
      </c>
      <c r="S586" t="inlineStr">
        <is>
          <t>Doubles</t>
        </is>
      </c>
      <c r="U586" t="inlineStr">
        <is>
          <t>Zimmer</t>
        </is>
      </c>
      <c r="V586" t="inlineStr">
        <is>
          <t>Jackson</t>
        </is>
      </c>
      <c r="W586" t="inlineStr">
        <is>
          <t>Blue</t>
        </is>
      </c>
      <c r="Y586" t="inlineStr">
        <is>
          <t>Welker</t>
        </is>
      </c>
      <c r="AA586" t="n">
        <v>1</v>
      </c>
      <c r="AB586" t="inlineStr">
        <is>
          <t>T</t>
        </is>
      </c>
      <c r="AC586" t="inlineStr">
        <is>
          <t>Halved</t>
        </is>
      </c>
      <c r="AE586">
        <f>$V586&amp;$Y586</f>
        <v/>
      </c>
      <c r="AF586" t="n">
        <v>0.5</v>
      </c>
      <c r="AG586" t="n">
        <v>0</v>
      </c>
      <c r="AH586" t="n">
        <v>0</v>
      </c>
      <c r="AI586" t="n">
        <v>1</v>
      </c>
      <c r="AJ586" t="n">
        <v>0.5</v>
      </c>
      <c r="AK586" t="inlineStr">
        <is>
          <t>Cole</t>
        </is>
      </c>
      <c r="AL586" t="n">
        <v>0.440677966101695</v>
      </c>
      <c r="AM586" t="inlineStr">
        <is>
          <t>Lynch</t>
        </is>
      </c>
      <c r="AN586" t="n">
        <v>0.5546875</v>
      </c>
    </row>
    <row r="587" ht="15" customHeight="1" s="2">
      <c r="B587" t="n">
        <v>14</v>
      </c>
      <c r="C587" t="n">
        <v>4</v>
      </c>
      <c r="D587" t="n">
        <v>9</v>
      </c>
      <c r="E587" t="inlineStr">
        <is>
          <t>FBC9-D14</t>
        </is>
      </c>
      <c r="F587" t="inlineStr">
        <is>
          <t>Friday</t>
        </is>
      </c>
      <c r="G587" s="27" t="n">
        <v>44757</v>
      </c>
      <c r="H587" t="inlineStr">
        <is>
          <t>PM</t>
        </is>
      </c>
      <c r="I587" t="inlineStr">
        <is>
          <t>Sea Island, GA</t>
        </is>
      </c>
      <c r="J587" t="inlineStr">
        <is>
          <t>South</t>
        </is>
      </c>
      <c r="K587" t="n">
        <v>9</v>
      </c>
      <c r="L587" t="inlineStr">
        <is>
          <t>Front</t>
        </is>
      </c>
      <c r="M587" t="inlineStr">
        <is>
          <t>Seaside</t>
        </is>
      </c>
      <c r="N587" t="inlineStr">
        <is>
          <t>Green</t>
        </is>
      </c>
      <c r="O587" t="n">
        <v>70.5</v>
      </c>
      <c r="P587" t="n">
        <v>134</v>
      </c>
      <c r="Q587" t="n">
        <v>6389</v>
      </c>
      <c r="R587" t="inlineStr">
        <is>
          <t>Pinehurst</t>
        </is>
      </c>
      <c r="S587" t="inlineStr">
        <is>
          <t>Doubles</t>
        </is>
      </c>
      <c r="U587" t="inlineStr">
        <is>
          <t>Zimmer</t>
        </is>
      </c>
      <c r="V587" t="inlineStr">
        <is>
          <t>Deoteris</t>
        </is>
      </c>
      <c r="W587" t="inlineStr">
        <is>
          <t>Blue</t>
        </is>
      </c>
      <c r="Y587" t="inlineStr">
        <is>
          <t>Grise</t>
        </is>
      </c>
      <c r="AA587" t="n">
        <v>1</v>
      </c>
      <c r="AB587" t="inlineStr">
        <is>
          <t>T</t>
        </is>
      </c>
      <c r="AC587" t="inlineStr">
        <is>
          <t>Halved</t>
        </is>
      </c>
      <c r="AE587">
        <f>$V587&amp;$Y587</f>
        <v/>
      </c>
      <c r="AF587" t="n">
        <v>0.5</v>
      </c>
      <c r="AG587" t="n">
        <v>0</v>
      </c>
      <c r="AH587" t="n">
        <v>0</v>
      </c>
      <c r="AI587" t="n">
        <v>1</v>
      </c>
      <c r="AJ587" t="n">
        <v>0.5</v>
      </c>
      <c r="AK587" t="inlineStr">
        <is>
          <t>Connolly</t>
        </is>
      </c>
      <c r="AL587" t="n">
        <v>0.59375</v>
      </c>
      <c r="AM587" t="inlineStr">
        <is>
          <t>Hilts</t>
        </is>
      </c>
      <c r="AN587" t="n">
        <v>0.473214285714286</v>
      </c>
    </row>
    <row r="588" ht="15" customHeight="1" s="2">
      <c r="B588" t="n">
        <v>14</v>
      </c>
      <c r="C588" t="n">
        <v>4</v>
      </c>
      <c r="D588" t="n">
        <v>9</v>
      </c>
      <c r="E588" t="inlineStr">
        <is>
          <t>FBC9-D14</t>
        </is>
      </c>
      <c r="F588" t="inlineStr">
        <is>
          <t>Friday</t>
        </is>
      </c>
      <c r="G588" s="27" t="n">
        <v>44757</v>
      </c>
      <c r="H588" t="inlineStr">
        <is>
          <t>PM</t>
        </is>
      </c>
      <c r="I588" t="inlineStr">
        <is>
          <t>Sea Island, GA</t>
        </is>
      </c>
      <c r="J588" t="inlineStr">
        <is>
          <t>South</t>
        </is>
      </c>
      <c r="K588" t="n">
        <v>9</v>
      </c>
      <c r="L588" t="inlineStr">
        <is>
          <t>Front</t>
        </is>
      </c>
      <c r="M588" t="inlineStr">
        <is>
          <t>Seaside</t>
        </is>
      </c>
      <c r="N588" t="inlineStr">
        <is>
          <t>Green</t>
        </is>
      </c>
      <c r="O588" t="n">
        <v>70.5</v>
      </c>
      <c r="P588" t="n">
        <v>134</v>
      </c>
      <c r="Q588" t="n">
        <v>6389</v>
      </c>
      <c r="R588" t="inlineStr">
        <is>
          <t>Pinehurst</t>
        </is>
      </c>
      <c r="S588" t="inlineStr">
        <is>
          <t>Doubles</t>
        </is>
      </c>
      <c r="U588" t="inlineStr">
        <is>
          <t>Gray</t>
        </is>
      </c>
      <c r="V588" t="inlineStr">
        <is>
          <t>Connolly</t>
        </is>
      </c>
      <c r="W588" t="inlineStr">
        <is>
          <t>Blue</t>
        </is>
      </c>
      <c r="Y588" t="inlineStr">
        <is>
          <t>Hilts</t>
        </is>
      </c>
      <c r="AA588" t="n">
        <v>1</v>
      </c>
      <c r="AB588" t="inlineStr">
        <is>
          <t>T</t>
        </is>
      </c>
      <c r="AC588" t="inlineStr">
        <is>
          <t>Halved</t>
        </is>
      </c>
      <c r="AE588">
        <f>$V588&amp;$Y588</f>
        <v/>
      </c>
      <c r="AF588" t="n">
        <v>0.5</v>
      </c>
      <c r="AG588" t="n">
        <v>0</v>
      </c>
      <c r="AH588" t="n">
        <v>0</v>
      </c>
      <c r="AI588" t="n">
        <v>1</v>
      </c>
      <c r="AJ588" t="n">
        <v>0.5</v>
      </c>
      <c r="AK588" t="inlineStr">
        <is>
          <t>Deoteris</t>
        </is>
      </c>
      <c r="AL588" t="n">
        <v>0.545454545454545</v>
      </c>
      <c r="AM588" t="inlineStr">
        <is>
          <t>Grise</t>
        </is>
      </c>
      <c r="AN588" t="n">
        <v>0.546875</v>
      </c>
    </row>
    <row r="589" ht="15" customHeight="1" s="2">
      <c r="B589" t="n">
        <v>15</v>
      </c>
      <c r="C589" t="n">
        <v>5</v>
      </c>
      <c r="D589" t="n">
        <v>9</v>
      </c>
      <c r="E589" t="inlineStr">
        <is>
          <t>FBC9-D15</t>
        </is>
      </c>
      <c r="F589" t="inlineStr">
        <is>
          <t>Friday</t>
        </is>
      </c>
      <c r="G589" s="27" t="n">
        <v>44757</v>
      </c>
      <c r="H589" t="inlineStr">
        <is>
          <t>PM</t>
        </is>
      </c>
      <c r="I589" t="inlineStr">
        <is>
          <t>Sea Island, GA</t>
        </is>
      </c>
      <c r="J589" t="inlineStr">
        <is>
          <t>South</t>
        </is>
      </c>
      <c r="K589" t="n">
        <v>9</v>
      </c>
      <c r="L589" t="inlineStr">
        <is>
          <t>Front</t>
        </is>
      </c>
      <c r="M589" t="inlineStr">
        <is>
          <t>Seaside</t>
        </is>
      </c>
      <c r="N589" t="inlineStr">
        <is>
          <t>Green</t>
        </is>
      </c>
      <c r="O589" t="n">
        <v>70.5</v>
      </c>
      <c r="P589" t="n">
        <v>134</v>
      </c>
      <c r="Q589" t="n">
        <v>6389</v>
      </c>
      <c r="R589" t="inlineStr">
        <is>
          <t>Pinehurst</t>
        </is>
      </c>
      <c r="S589" t="inlineStr">
        <is>
          <t>Doubles</t>
        </is>
      </c>
      <c r="U589" t="inlineStr">
        <is>
          <t>Gray</t>
        </is>
      </c>
      <c r="V589" t="inlineStr">
        <is>
          <t>Connors</t>
        </is>
      </c>
      <c r="W589" t="inlineStr">
        <is>
          <t>Blue</t>
        </is>
      </c>
      <c r="Y589" t="inlineStr">
        <is>
          <t>Shively</t>
        </is>
      </c>
      <c r="AA589" t="n">
        <v>1</v>
      </c>
      <c r="AB589" t="inlineStr">
        <is>
          <t>L</t>
        </is>
      </c>
      <c r="AC589" t="inlineStr">
        <is>
          <t>5&amp;4</t>
        </is>
      </c>
      <c r="AE589">
        <f>$V589&amp;$Y589</f>
        <v/>
      </c>
      <c r="AF589" t="n">
        <v>0</v>
      </c>
      <c r="AG589" t="n">
        <v>0</v>
      </c>
      <c r="AH589" t="n">
        <v>1</v>
      </c>
      <c r="AI589" t="n">
        <v>0</v>
      </c>
      <c r="AJ589" t="n">
        <v>0</v>
      </c>
      <c r="AK589" t="inlineStr">
        <is>
          <t>Delneky</t>
        </is>
      </c>
      <c r="AL589" t="n">
        <v>0.6590909090909089</v>
      </c>
      <c r="AM589" t="inlineStr">
        <is>
          <t>Fogan</t>
        </is>
      </c>
      <c r="AN589" t="n">
        <v>0.372881355932203</v>
      </c>
    </row>
    <row r="590" ht="15" customHeight="1" s="2">
      <c r="B590" t="n">
        <v>15</v>
      </c>
      <c r="C590" t="n">
        <v>5</v>
      </c>
      <c r="D590" t="n">
        <v>9</v>
      </c>
      <c r="E590" t="inlineStr">
        <is>
          <t>FBC9-D15</t>
        </is>
      </c>
      <c r="F590" t="inlineStr">
        <is>
          <t>Friday</t>
        </is>
      </c>
      <c r="G590" s="27" t="n">
        <v>44757</v>
      </c>
      <c r="H590" t="inlineStr">
        <is>
          <t>PM</t>
        </is>
      </c>
      <c r="I590" t="inlineStr">
        <is>
          <t>Sea Island, GA</t>
        </is>
      </c>
      <c r="J590" t="inlineStr">
        <is>
          <t>South</t>
        </is>
      </c>
      <c r="K590" t="n">
        <v>9</v>
      </c>
      <c r="L590" t="inlineStr">
        <is>
          <t>Front</t>
        </is>
      </c>
      <c r="M590" t="inlineStr">
        <is>
          <t>Seaside</t>
        </is>
      </c>
      <c r="N590" t="inlineStr">
        <is>
          <t>Green</t>
        </is>
      </c>
      <c r="O590" t="n">
        <v>70.5</v>
      </c>
      <c r="P590" t="n">
        <v>134</v>
      </c>
      <c r="Q590" t="n">
        <v>6389</v>
      </c>
      <c r="R590" t="inlineStr">
        <is>
          <t>Pinehurst</t>
        </is>
      </c>
      <c r="S590" t="inlineStr">
        <is>
          <t>Doubles</t>
        </is>
      </c>
      <c r="U590" t="inlineStr">
        <is>
          <t>Zimmer</t>
        </is>
      </c>
      <c r="V590" t="inlineStr">
        <is>
          <t>Delneky</t>
        </is>
      </c>
      <c r="W590" t="inlineStr">
        <is>
          <t>Blue</t>
        </is>
      </c>
      <c r="Y590" t="inlineStr">
        <is>
          <t>Fogan</t>
        </is>
      </c>
      <c r="AA590" t="n">
        <v>1</v>
      </c>
      <c r="AB590" t="inlineStr">
        <is>
          <t>W</t>
        </is>
      </c>
      <c r="AC590" t="inlineStr">
        <is>
          <t>5&amp;4</t>
        </is>
      </c>
      <c r="AE590">
        <f>$V590&amp;$Y590</f>
        <v/>
      </c>
      <c r="AF590" t="n">
        <v>1</v>
      </c>
      <c r="AG590" t="n">
        <v>1</v>
      </c>
      <c r="AH590" t="n">
        <v>0</v>
      </c>
      <c r="AI590" t="n">
        <v>0</v>
      </c>
      <c r="AJ590" t="n">
        <v>1</v>
      </c>
      <c r="AK590" t="inlineStr">
        <is>
          <t>Connors</t>
        </is>
      </c>
      <c r="AL590" t="n">
        <v>0.347457627118644</v>
      </c>
      <c r="AM590" t="inlineStr">
        <is>
          <t>Shively</t>
        </is>
      </c>
    </row>
    <row r="591" ht="15" customHeight="1" s="2">
      <c r="B591" t="n">
        <v>16</v>
      </c>
      <c r="C591" t="n">
        <v>1</v>
      </c>
      <c r="D591" t="n">
        <v>9</v>
      </c>
      <c r="E591" t="inlineStr">
        <is>
          <t>FBC9-D16</t>
        </is>
      </c>
      <c r="F591" t="inlineStr">
        <is>
          <t>Friday</t>
        </is>
      </c>
      <c r="G591" s="27" t="n">
        <v>44757</v>
      </c>
      <c r="H591" t="inlineStr">
        <is>
          <t>PM</t>
        </is>
      </c>
      <c r="I591" t="inlineStr">
        <is>
          <t>Sea Island, GA</t>
        </is>
      </c>
      <c r="J591" t="inlineStr">
        <is>
          <t>South</t>
        </is>
      </c>
      <c r="K591" t="n">
        <v>9</v>
      </c>
      <c r="L591" t="inlineStr">
        <is>
          <t>Back</t>
        </is>
      </c>
      <c r="M591" t="inlineStr">
        <is>
          <t>Seaside</t>
        </is>
      </c>
      <c r="N591" t="inlineStr">
        <is>
          <t>Green</t>
        </is>
      </c>
      <c r="O591" t="n">
        <v>70.5</v>
      </c>
      <c r="P591" t="n">
        <v>134</v>
      </c>
      <c r="Q591" t="n">
        <v>6389</v>
      </c>
      <c r="R591" t="inlineStr">
        <is>
          <t>Scramble-Stableford</t>
        </is>
      </c>
      <c r="S591" t="inlineStr">
        <is>
          <t>Doubles</t>
        </is>
      </c>
      <c r="U591" t="inlineStr">
        <is>
          <t>Gray</t>
        </is>
      </c>
      <c r="V591" t="inlineStr">
        <is>
          <t>McInerney</t>
        </is>
      </c>
      <c r="W591" t="inlineStr">
        <is>
          <t>Blue</t>
        </is>
      </c>
      <c r="Y591" t="inlineStr">
        <is>
          <t>Perkins</t>
        </is>
      </c>
      <c r="AA591" t="n">
        <v>1</v>
      </c>
      <c r="AB591" t="inlineStr">
        <is>
          <t>W</t>
        </is>
      </c>
      <c r="AC591" t="inlineStr">
        <is>
          <t>3&amp;2</t>
        </is>
      </c>
      <c r="AE591">
        <f>$V591&amp;$Y591</f>
        <v/>
      </c>
      <c r="AF591" t="n">
        <v>1</v>
      </c>
      <c r="AG591" t="n">
        <v>1</v>
      </c>
      <c r="AH591" t="n">
        <v>0</v>
      </c>
      <c r="AI591" t="n">
        <v>0</v>
      </c>
      <c r="AJ591" t="n">
        <v>1</v>
      </c>
      <c r="AK591" t="inlineStr">
        <is>
          <t>Ferrin</t>
        </is>
      </c>
      <c r="AL591" t="n">
        <v>0.595238095238095</v>
      </c>
      <c r="AM591" t="inlineStr">
        <is>
          <t>Zimmer</t>
        </is>
      </c>
      <c r="AN591" t="n">
        <v>0.5</v>
      </c>
    </row>
    <row r="592" ht="15" customHeight="1" s="2">
      <c r="B592" t="n">
        <v>16</v>
      </c>
      <c r="C592" t="n">
        <v>1</v>
      </c>
      <c r="D592" t="n">
        <v>9</v>
      </c>
      <c r="E592" t="inlineStr">
        <is>
          <t>FBC9-D16</t>
        </is>
      </c>
      <c r="F592" t="inlineStr">
        <is>
          <t>Friday</t>
        </is>
      </c>
      <c r="G592" s="27" t="n">
        <v>44757</v>
      </c>
      <c r="H592" t="inlineStr">
        <is>
          <t>PM</t>
        </is>
      </c>
      <c r="I592" t="inlineStr">
        <is>
          <t>Sea Island, GA</t>
        </is>
      </c>
      <c r="J592" t="inlineStr">
        <is>
          <t>South</t>
        </is>
      </c>
      <c r="K592" t="n">
        <v>9</v>
      </c>
      <c r="L592" t="inlineStr">
        <is>
          <t>Back</t>
        </is>
      </c>
      <c r="M592" t="inlineStr">
        <is>
          <t>Seaside</t>
        </is>
      </c>
      <c r="N592" t="inlineStr">
        <is>
          <t>Green</t>
        </is>
      </c>
      <c r="O592" t="n">
        <v>70.5</v>
      </c>
      <c r="P592" t="n">
        <v>134</v>
      </c>
      <c r="Q592" t="n">
        <v>6389</v>
      </c>
      <c r="R592" t="inlineStr">
        <is>
          <t>Scramble-Stableford</t>
        </is>
      </c>
      <c r="S592" t="inlineStr">
        <is>
          <t>Doubles</t>
        </is>
      </c>
      <c r="U592" t="inlineStr">
        <is>
          <t>Zimmer</t>
        </is>
      </c>
      <c r="V592" t="inlineStr">
        <is>
          <t>Ferrin</t>
        </is>
      </c>
      <c r="W592" t="inlineStr">
        <is>
          <t>Blue</t>
        </is>
      </c>
      <c r="Y592" t="inlineStr">
        <is>
          <t>Zimmer</t>
        </is>
      </c>
      <c r="AA592" t="n">
        <v>1</v>
      </c>
      <c r="AB592" t="inlineStr">
        <is>
          <t>L</t>
        </is>
      </c>
      <c r="AC592" t="inlineStr">
        <is>
          <t>3&amp;2</t>
        </is>
      </c>
      <c r="AE592">
        <f>$V592&amp;$Y592</f>
        <v/>
      </c>
      <c r="AF592" t="n">
        <v>0</v>
      </c>
      <c r="AG592" t="n">
        <v>0</v>
      </c>
      <c r="AH592" t="n">
        <v>1</v>
      </c>
      <c r="AI592" t="n">
        <v>0</v>
      </c>
      <c r="AJ592" t="n">
        <v>0</v>
      </c>
      <c r="AK592" t="inlineStr">
        <is>
          <t>McInerney</t>
        </is>
      </c>
      <c r="AL592" t="n">
        <v>0.5</v>
      </c>
      <c r="AM592" t="inlineStr">
        <is>
          <t>Perkins</t>
        </is>
      </c>
      <c r="AN592" t="n">
        <v>0.638888888888889</v>
      </c>
    </row>
    <row r="593" ht="15" customHeight="1" s="2">
      <c r="B593" t="n">
        <v>17</v>
      </c>
      <c r="C593" t="n">
        <v>2</v>
      </c>
      <c r="D593" t="n">
        <v>9</v>
      </c>
      <c r="E593" t="inlineStr">
        <is>
          <t>FBC9-D17</t>
        </is>
      </c>
      <c r="F593" t="inlineStr">
        <is>
          <t>Friday</t>
        </is>
      </c>
      <c r="G593" s="27" t="n">
        <v>44757</v>
      </c>
      <c r="H593" t="inlineStr">
        <is>
          <t>PM</t>
        </is>
      </c>
      <c r="I593" t="inlineStr">
        <is>
          <t>Sea Island, GA</t>
        </is>
      </c>
      <c r="J593" t="inlineStr">
        <is>
          <t>South</t>
        </is>
      </c>
      <c r="K593" t="n">
        <v>9</v>
      </c>
      <c r="L593" t="inlineStr">
        <is>
          <t>Back</t>
        </is>
      </c>
      <c r="M593" t="inlineStr">
        <is>
          <t>Seaside</t>
        </is>
      </c>
      <c r="N593" t="inlineStr">
        <is>
          <t>Green</t>
        </is>
      </c>
      <c r="O593" t="n">
        <v>70.5</v>
      </c>
      <c r="P593" t="n">
        <v>134</v>
      </c>
      <c r="Q593" t="n">
        <v>6389</v>
      </c>
      <c r="R593" t="inlineStr">
        <is>
          <t>Scramble-Stableford</t>
        </is>
      </c>
      <c r="S593" t="inlineStr">
        <is>
          <t>Doubles</t>
        </is>
      </c>
      <c r="U593" t="inlineStr">
        <is>
          <t>Zimmer</t>
        </is>
      </c>
      <c r="V593" t="inlineStr">
        <is>
          <t>Forster</t>
        </is>
      </c>
      <c r="W593" t="inlineStr">
        <is>
          <t>Blue</t>
        </is>
      </c>
      <c r="Y593" t="inlineStr">
        <is>
          <t>Poirier</t>
        </is>
      </c>
      <c r="AA593" t="n">
        <v>1</v>
      </c>
      <c r="AB593" t="inlineStr">
        <is>
          <t>W</t>
        </is>
      </c>
      <c r="AC593" t="inlineStr">
        <is>
          <t>3&amp;2</t>
        </is>
      </c>
      <c r="AE593">
        <f>$V593&amp;$Y593</f>
        <v/>
      </c>
      <c r="AF593" t="n">
        <v>1</v>
      </c>
      <c r="AG593" t="n">
        <v>1</v>
      </c>
      <c r="AH593" t="n">
        <v>0</v>
      </c>
      <c r="AI593" t="n">
        <v>0</v>
      </c>
      <c r="AJ593" t="n">
        <v>1</v>
      </c>
      <c r="AK593" t="inlineStr">
        <is>
          <t>Delaney</t>
        </is>
      </c>
      <c r="AL593" t="n">
        <v>0.46551724137931</v>
      </c>
      <c r="AM593" t="inlineStr">
        <is>
          <t>Flanders</t>
        </is>
      </c>
      <c r="AN593" t="n">
        <v>0.4296875</v>
      </c>
    </row>
    <row r="594" ht="15" customHeight="1" s="2">
      <c r="B594" t="n">
        <v>17</v>
      </c>
      <c r="C594" t="n">
        <v>2</v>
      </c>
      <c r="D594" t="n">
        <v>9</v>
      </c>
      <c r="E594" t="inlineStr">
        <is>
          <t>FBC9-D17</t>
        </is>
      </c>
      <c r="F594" t="inlineStr">
        <is>
          <t>Friday</t>
        </is>
      </c>
      <c r="G594" s="27" t="n">
        <v>44757</v>
      </c>
      <c r="H594" t="inlineStr">
        <is>
          <t>PM</t>
        </is>
      </c>
      <c r="I594" t="inlineStr">
        <is>
          <t>Sea Island, GA</t>
        </is>
      </c>
      <c r="J594" t="inlineStr">
        <is>
          <t>South</t>
        </is>
      </c>
      <c r="K594" t="n">
        <v>9</v>
      </c>
      <c r="L594" t="inlineStr">
        <is>
          <t>Back</t>
        </is>
      </c>
      <c r="M594" t="inlineStr">
        <is>
          <t>Seaside</t>
        </is>
      </c>
      <c r="N594" t="inlineStr">
        <is>
          <t>Green</t>
        </is>
      </c>
      <c r="O594" t="n">
        <v>70.5</v>
      </c>
      <c r="P594" t="n">
        <v>134</v>
      </c>
      <c r="Q594" t="n">
        <v>6389</v>
      </c>
      <c r="R594" t="inlineStr">
        <is>
          <t>Scramble-Stableford</t>
        </is>
      </c>
      <c r="S594" t="inlineStr">
        <is>
          <t>Doubles</t>
        </is>
      </c>
      <c r="U594" t="inlineStr">
        <is>
          <t>Gray</t>
        </is>
      </c>
      <c r="V594" t="inlineStr">
        <is>
          <t>Delaney</t>
        </is>
      </c>
      <c r="W594" t="inlineStr">
        <is>
          <t>Blue</t>
        </is>
      </c>
      <c r="Y594" t="inlineStr">
        <is>
          <t>Flanders</t>
        </is>
      </c>
      <c r="AA594" t="n">
        <v>1</v>
      </c>
      <c r="AB594" t="inlineStr">
        <is>
          <t>L</t>
        </is>
      </c>
      <c r="AC594" t="inlineStr">
        <is>
          <t>3&amp;2</t>
        </is>
      </c>
      <c r="AE594">
        <f>$V594&amp;$Y594</f>
        <v/>
      </c>
      <c r="AF594" t="n">
        <v>0</v>
      </c>
      <c r="AG594" t="n">
        <v>0</v>
      </c>
      <c r="AH594" t="n">
        <v>1</v>
      </c>
      <c r="AI594" t="n">
        <v>0</v>
      </c>
      <c r="AJ594" t="n">
        <v>0</v>
      </c>
      <c r="AK594" t="inlineStr">
        <is>
          <t>Forster</t>
        </is>
      </c>
      <c r="AL594" t="n">
        <v>0.596491228070175</v>
      </c>
      <c r="AM594" t="inlineStr">
        <is>
          <t>Poirier</t>
        </is>
      </c>
      <c r="AN594" t="n">
        <v>0.486111111111111</v>
      </c>
    </row>
    <row r="595" ht="15" customHeight="1" s="2">
      <c r="B595" t="n">
        <v>18</v>
      </c>
      <c r="C595" t="n">
        <v>3</v>
      </c>
      <c r="D595" t="n">
        <v>9</v>
      </c>
      <c r="E595" t="inlineStr">
        <is>
          <t>FBC9-D18</t>
        </is>
      </c>
      <c r="F595" t="inlineStr">
        <is>
          <t>Friday</t>
        </is>
      </c>
      <c r="G595" s="27" t="n">
        <v>44757</v>
      </c>
      <c r="H595" t="inlineStr">
        <is>
          <t>PM</t>
        </is>
      </c>
      <c r="I595" t="inlineStr">
        <is>
          <t>Sea Island, GA</t>
        </is>
      </c>
      <c r="J595" t="inlineStr">
        <is>
          <t>South</t>
        </is>
      </c>
      <c r="K595" t="n">
        <v>9</v>
      </c>
      <c r="L595" t="inlineStr">
        <is>
          <t>Back</t>
        </is>
      </c>
      <c r="M595" t="inlineStr">
        <is>
          <t>Seaside</t>
        </is>
      </c>
      <c r="N595" t="inlineStr">
        <is>
          <t>Green</t>
        </is>
      </c>
      <c r="O595" t="n">
        <v>70.5</v>
      </c>
      <c r="P595" t="n">
        <v>134</v>
      </c>
      <c r="Q595" t="n">
        <v>6389</v>
      </c>
      <c r="R595" t="inlineStr">
        <is>
          <t>Scramble-Stableford</t>
        </is>
      </c>
      <c r="S595" t="inlineStr">
        <is>
          <t>Doubles</t>
        </is>
      </c>
      <c r="U595" t="inlineStr">
        <is>
          <t>Gray</t>
        </is>
      </c>
      <c r="V595" t="inlineStr">
        <is>
          <t>Cole</t>
        </is>
      </c>
      <c r="W595" t="inlineStr">
        <is>
          <t>Blue</t>
        </is>
      </c>
      <c r="Y595" t="inlineStr">
        <is>
          <t>Lynch</t>
        </is>
      </c>
      <c r="AA595" t="n">
        <v>1</v>
      </c>
      <c r="AB595" t="inlineStr">
        <is>
          <t>W</t>
        </is>
      </c>
      <c r="AC595" t="inlineStr">
        <is>
          <t>1Up</t>
        </is>
      </c>
      <c r="AE595">
        <f>$V595&amp;$Y595</f>
        <v/>
      </c>
      <c r="AF595" t="n">
        <v>1</v>
      </c>
      <c r="AG595" t="n">
        <v>1</v>
      </c>
      <c r="AH595" t="n">
        <v>0</v>
      </c>
      <c r="AI595" t="n">
        <v>0</v>
      </c>
      <c r="AJ595" t="n">
        <v>1</v>
      </c>
      <c r="AK595" t="inlineStr">
        <is>
          <t>Jackson</t>
        </is>
      </c>
      <c r="AL595" t="n">
        <v>0.6171875</v>
      </c>
      <c r="AM595" t="inlineStr">
        <is>
          <t>Welker</t>
        </is>
      </c>
      <c r="AN595" t="n">
        <v>0.510416666666667</v>
      </c>
    </row>
    <row r="596" ht="15" customHeight="1" s="2">
      <c r="B596" t="n">
        <v>18</v>
      </c>
      <c r="C596" t="n">
        <v>3</v>
      </c>
      <c r="D596" t="n">
        <v>9</v>
      </c>
      <c r="E596" t="inlineStr">
        <is>
          <t>FBC9-D18</t>
        </is>
      </c>
      <c r="F596" t="inlineStr">
        <is>
          <t>Friday</t>
        </is>
      </c>
      <c r="G596" s="27" t="n">
        <v>44757</v>
      </c>
      <c r="H596" t="inlineStr">
        <is>
          <t>PM</t>
        </is>
      </c>
      <c r="I596" t="inlineStr">
        <is>
          <t>Sea Island, GA</t>
        </is>
      </c>
      <c r="J596" t="inlineStr">
        <is>
          <t>South</t>
        </is>
      </c>
      <c r="K596" t="n">
        <v>9</v>
      </c>
      <c r="L596" t="inlineStr">
        <is>
          <t>Back</t>
        </is>
      </c>
      <c r="M596" t="inlineStr">
        <is>
          <t>Seaside</t>
        </is>
      </c>
      <c r="N596" t="inlineStr">
        <is>
          <t>Green</t>
        </is>
      </c>
      <c r="O596" t="n">
        <v>70.5</v>
      </c>
      <c r="P596" t="n">
        <v>134</v>
      </c>
      <c r="Q596" t="n">
        <v>6389</v>
      </c>
      <c r="R596" t="inlineStr">
        <is>
          <t>Scramble-Stableford</t>
        </is>
      </c>
      <c r="S596" t="inlineStr">
        <is>
          <t>Doubles</t>
        </is>
      </c>
      <c r="U596" t="inlineStr">
        <is>
          <t>Zimmer</t>
        </is>
      </c>
      <c r="V596" t="inlineStr">
        <is>
          <t>Jackson</t>
        </is>
      </c>
      <c r="W596" t="inlineStr">
        <is>
          <t>Blue</t>
        </is>
      </c>
      <c r="Y596" t="inlineStr">
        <is>
          <t>Welker</t>
        </is>
      </c>
      <c r="AA596" t="n">
        <v>1</v>
      </c>
      <c r="AB596" t="inlineStr">
        <is>
          <t>L</t>
        </is>
      </c>
      <c r="AC596" t="inlineStr">
        <is>
          <t>1Up</t>
        </is>
      </c>
      <c r="AE596">
        <f>$V596&amp;$Y596</f>
        <v/>
      </c>
      <c r="AF596" t="n">
        <v>0</v>
      </c>
      <c r="AG596" t="n">
        <v>0</v>
      </c>
      <c r="AH596" t="n">
        <v>1</v>
      </c>
      <c r="AI596" t="n">
        <v>0</v>
      </c>
      <c r="AJ596" t="n">
        <v>0</v>
      </c>
      <c r="AK596" t="inlineStr">
        <is>
          <t>Cole</t>
        </is>
      </c>
      <c r="AL596" t="n">
        <v>0.440677966101695</v>
      </c>
      <c r="AM596" t="inlineStr">
        <is>
          <t>Lynch</t>
        </is>
      </c>
      <c r="AN596" t="n">
        <v>0.5546875</v>
      </c>
    </row>
    <row r="597" ht="15" customHeight="1" s="2">
      <c r="B597" t="n">
        <v>19</v>
      </c>
      <c r="C597" t="n">
        <v>4</v>
      </c>
      <c r="D597" t="n">
        <v>9</v>
      </c>
      <c r="E597" t="inlineStr">
        <is>
          <t>FBC9-D19</t>
        </is>
      </c>
      <c r="F597" t="inlineStr">
        <is>
          <t>Friday</t>
        </is>
      </c>
      <c r="G597" s="27" t="n">
        <v>44757</v>
      </c>
      <c r="H597" t="inlineStr">
        <is>
          <t>PM</t>
        </is>
      </c>
      <c r="I597" t="inlineStr">
        <is>
          <t>Sea Island, GA</t>
        </is>
      </c>
      <c r="J597" t="inlineStr">
        <is>
          <t>South</t>
        </is>
      </c>
      <c r="K597" t="n">
        <v>9</v>
      </c>
      <c r="L597" t="inlineStr">
        <is>
          <t>Back</t>
        </is>
      </c>
      <c r="M597" t="inlineStr">
        <is>
          <t>Seaside</t>
        </is>
      </c>
      <c r="N597" t="inlineStr">
        <is>
          <t>Green</t>
        </is>
      </c>
      <c r="O597" t="n">
        <v>70.5</v>
      </c>
      <c r="P597" t="n">
        <v>134</v>
      </c>
      <c r="Q597" t="n">
        <v>6389</v>
      </c>
      <c r="R597" t="inlineStr">
        <is>
          <t>Scramble-Stableford</t>
        </is>
      </c>
      <c r="S597" t="inlineStr">
        <is>
          <t>Doubles</t>
        </is>
      </c>
      <c r="U597" t="inlineStr">
        <is>
          <t>Zimmer</t>
        </is>
      </c>
      <c r="V597" t="inlineStr">
        <is>
          <t>Deoteris</t>
        </is>
      </c>
      <c r="W597" t="inlineStr">
        <is>
          <t>Blue</t>
        </is>
      </c>
      <c r="Y597" t="inlineStr">
        <is>
          <t>Grise</t>
        </is>
      </c>
      <c r="AA597" t="n">
        <v>1</v>
      </c>
      <c r="AB597" t="inlineStr">
        <is>
          <t>L</t>
        </is>
      </c>
      <c r="AC597" t="inlineStr">
        <is>
          <t>2uo</t>
        </is>
      </c>
      <c r="AE597">
        <f>$V597&amp;$Y597</f>
        <v/>
      </c>
      <c r="AF597" t="n">
        <v>0</v>
      </c>
      <c r="AG597" t="n">
        <v>0</v>
      </c>
      <c r="AH597" t="n">
        <v>1</v>
      </c>
      <c r="AI597" t="n">
        <v>0</v>
      </c>
      <c r="AJ597" t="n">
        <v>0</v>
      </c>
      <c r="AK597" t="inlineStr">
        <is>
          <t>Connolly</t>
        </is>
      </c>
      <c r="AL597" t="n">
        <v>0.59375</v>
      </c>
      <c r="AM597" t="inlineStr">
        <is>
          <t>Hilts</t>
        </is>
      </c>
      <c r="AN597" t="n">
        <v>0.473214285714286</v>
      </c>
    </row>
    <row r="598" ht="15" customHeight="1" s="2">
      <c r="B598" t="n">
        <v>19</v>
      </c>
      <c r="C598" t="n">
        <v>4</v>
      </c>
      <c r="D598" t="n">
        <v>9</v>
      </c>
      <c r="E598" t="inlineStr">
        <is>
          <t>FBC9-D19</t>
        </is>
      </c>
      <c r="F598" t="inlineStr">
        <is>
          <t>Friday</t>
        </is>
      </c>
      <c r="G598" s="27" t="n">
        <v>44757</v>
      </c>
      <c r="H598" t="inlineStr">
        <is>
          <t>PM</t>
        </is>
      </c>
      <c r="I598" t="inlineStr">
        <is>
          <t>Sea Island, GA</t>
        </is>
      </c>
      <c r="J598" t="inlineStr">
        <is>
          <t>South</t>
        </is>
      </c>
      <c r="K598" t="n">
        <v>9</v>
      </c>
      <c r="L598" t="inlineStr">
        <is>
          <t>Back</t>
        </is>
      </c>
      <c r="M598" t="inlineStr">
        <is>
          <t>Seaside</t>
        </is>
      </c>
      <c r="N598" t="inlineStr">
        <is>
          <t>Green</t>
        </is>
      </c>
      <c r="O598" t="n">
        <v>70.5</v>
      </c>
      <c r="P598" t="n">
        <v>134</v>
      </c>
      <c r="Q598" t="n">
        <v>6389</v>
      </c>
      <c r="R598" t="inlineStr">
        <is>
          <t>Scramble-Stableford</t>
        </is>
      </c>
      <c r="S598" t="inlineStr">
        <is>
          <t>Doubles</t>
        </is>
      </c>
      <c r="U598" t="inlineStr">
        <is>
          <t>Gray</t>
        </is>
      </c>
      <c r="V598" t="inlineStr">
        <is>
          <t>Connolly</t>
        </is>
      </c>
      <c r="W598" t="inlineStr">
        <is>
          <t>Blue</t>
        </is>
      </c>
      <c r="Y598" t="inlineStr">
        <is>
          <t>Hilts</t>
        </is>
      </c>
      <c r="AA598" t="n">
        <v>1</v>
      </c>
      <c r="AB598" t="inlineStr">
        <is>
          <t>W</t>
        </is>
      </c>
      <c r="AC598" t="inlineStr">
        <is>
          <t>2Up</t>
        </is>
      </c>
      <c r="AE598">
        <f>$V598&amp;$Y598</f>
        <v/>
      </c>
      <c r="AF598" t="n">
        <v>1</v>
      </c>
      <c r="AG598" t="n">
        <v>1</v>
      </c>
      <c r="AH598" t="n">
        <v>0</v>
      </c>
      <c r="AI598" t="n">
        <v>0</v>
      </c>
      <c r="AJ598" t="n">
        <v>1</v>
      </c>
      <c r="AK598" t="inlineStr">
        <is>
          <t>Deoteris</t>
        </is>
      </c>
      <c r="AL598" t="n">
        <v>0.545454545454545</v>
      </c>
      <c r="AM598" t="inlineStr">
        <is>
          <t>Grise</t>
        </is>
      </c>
      <c r="AN598" t="n">
        <v>0.546875</v>
      </c>
    </row>
    <row r="599" ht="15" customHeight="1" s="2">
      <c r="B599" t="n">
        <v>20</v>
      </c>
      <c r="C599" t="n">
        <v>5</v>
      </c>
      <c r="D599" t="n">
        <v>9</v>
      </c>
      <c r="E599" t="inlineStr">
        <is>
          <t>FBC9-D20</t>
        </is>
      </c>
      <c r="F599" t="inlineStr">
        <is>
          <t>Friday</t>
        </is>
      </c>
      <c r="G599" s="27" t="n">
        <v>44757</v>
      </c>
      <c r="H599" t="inlineStr">
        <is>
          <t>PM</t>
        </is>
      </c>
      <c r="I599" t="inlineStr">
        <is>
          <t>Sea Island, GA</t>
        </is>
      </c>
      <c r="J599" t="inlineStr">
        <is>
          <t>South</t>
        </is>
      </c>
      <c r="K599" t="n">
        <v>9</v>
      </c>
      <c r="L599" t="inlineStr">
        <is>
          <t>Back</t>
        </is>
      </c>
      <c r="M599" t="inlineStr">
        <is>
          <t>Seaside</t>
        </is>
      </c>
      <c r="N599" t="inlineStr">
        <is>
          <t>Green</t>
        </is>
      </c>
      <c r="O599" t="n">
        <v>70.5</v>
      </c>
      <c r="P599" t="n">
        <v>134</v>
      </c>
      <c r="Q599" t="n">
        <v>6389</v>
      </c>
      <c r="R599" t="inlineStr">
        <is>
          <t>Scramble-Stableford</t>
        </is>
      </c>
      <c r="S599" t="inlineStr">
        <is>
          <t>Doubles</t>
        </is>
      </c>
      <c r="U599" t="inlineStr">
        <is>
          <t>Gray</t>
        </is>
      </c>
      <c r="V599" t="inlineStr">
        <is>
          <t>Connors</t>
        </is>
      </c>
      <c r="W599" t="inlineStr">
        <is>
          <t>Blue</t>
        </is>
      </c>
      <c r="Y599" t="inlineStr">
        <is>
          <t>Shively</t>
        </is>
      </c>
      <c r="AA599" t="n">
        <v>1</v>
      </c>
      <c r="AB599" t="inlineStr">
        <is>
          <t>L</t>
        </is>
      </c>
      <c r="AC599" t="inlineStr">
        <is>
          <t>2Up</t>
        </is>
      </c>
      <c r="AE599">
        <f>$V599&amp;$Y599</f>
        <v/>
      </c>
      <c r="AF599" t="n">
        <v>0</v>
      </c>
      <c r="AG599" t="n">
        <v>0</v>
      </c>
      <c r="AH599" t="n">
        <v>1</v>
      </c>
      <c r="AI599" t="n">
        <v>0</v>
      </c>
      <c r="AJ599" t="n">
        <v>0</v>
      </c>
      <c r="AK599" t="inlineStr">
        <is>
          <t>Delneky</t>
        </is>
      </c>
      <c r="AL599" t="n">
        <v>0.6590909090909089</v>
      </c>
      <c r="AM599" t="inlineStr">
        <is>
          <t>Fogan</t>
        </is>
      </c>
      <c r="AN599" t="n">
        <v>0.372881355932203</v>
      </c>
    </row>
    <row r="600" ht="15" customHeight="1" s="2">
      <c r="B600" t="n">
        <v>20</v>
      </c>
      <c r="C600" t="n">
        <v>5</v>
      </c>
      <c r="D600" t="n">
        <v>9</v>
      </c>
      <c r="E600" t="inlineStr">
        <is>
          <t>FBC9-D20</t>
        </is>
      </c>
      <c r="F600" t="inlineStr">
        <is>
          <t>Friday</t>
        </is>
      </c>
      <c r="G600" s="27" t="n">
        <v>44757</v>
      </c>
      <c r="H600" t="inlineStr">
        <is>
          <t>PM</t>
        </is>
      </c>
      <c r="I600" t="inlineStr">
        <is>
          <t>Sea Island, GA</t>
        </is>
      </c>
      <c r="J600" t="inlineStr">
        <is>
          <t>South</t>
        </is>
      </c>
      <c r="K600" t="n">
        <v>9</v>
      </c>
      <c r="L600" t="inlineStr">
        <is>
          <t>Back</t>
        </is>
      </c>
      <c r="M600" t="inlineStr">
        <is>
          <t>Seaside</t>
        </is>
      </c>
      <c r="N600" t="inlineStr">
        <is>
          <t>Green</t>
        </is>
      </c>
      <c r="O600" t="n">
        <v>70.5</v>
      </c>
      <c r="P600" t="n">
        <v>134</v>
      </c>
      <c r="Q600" t="n">
        <v>6389</v>
      </c>
      <c r="R600" t="inlineStr">
        <is>
          <t>Scramble-Stableford</t>
        </is>
      </c>
      <c r="S600" t="inlineStr">
        <is>
          <t>Doubles</t>
        </is>
      </c>
      <c r="U600" t="inlineStr">
        <is>
          <t>Zimmer</t>
        </is>
      </c>
      <c r="V600" t="inlineStr">
        <is>
          <t>Delneky</t>
        </is>
      </c>
      <c r="W600" t="inlineStr">
        <is>
          <t>Blue</t>
        </is>
      </c>
      <c r="Y600" t="inlineStr">
        <is>
          <t>Fogan</t>
        </is>
      </c>
      <c r="AA600" t="n">
        <v>1</v>
      </c>
      <c r="AB600" t="inlineStr">
        <is>
          <t>W</t>
        </is>
      </c>
      <c r="AC600" t="inlineStr">
        <is>
          <t>2Up</t>
        </is>
      </c>
      <c r="AE600">
        <f>$V600&amp;$Y600</f>
        <v/>
      </c>
      <c r="AF600" t="n">
        <v>1</v>
      </c>
      <c r="AG600" t="n">
        <v>1</v>
      </c>
      <c r="AH600" t="n">
        <v>0</v>
      </c>
      <c r="AI600" t="n">
        <v>0</v>
      </c>
      <c r="AJ600" t="n">
        <v>1</v>
      </c>
      <c r="AK600" t="inlineStr">
        <is>
          <t>Connors</t>
        </is>
      </c>
      <c r="AL600" t="n">
        <v>0.347457627118644</v>
      </c>
      <c r="AM600" t="inlineStr">
        <is>
          <t>Shively</t>
        </is>
      </c>
    </row>
    <row r="601" ht="15" customHeight="1" s="2">
      <c r="B601" t="inlineStr">
        <is>
          <t>FT1</t>
        </is>
      </c>
      <c r="D601" t="n">
        <v>9</v>
      </c>
      <c r="E601" t="inlineStr">
        <is>
          <t>FBC9-FT</t>
        </is>
      </c>
      <c r="F601" t="inlineStr">
        <is>
          <t>Friday</t>
        </is>
      </c>
      <c r="G601" s="27" t="n">
        <v>44757</v>
      </c>
      <c r="H601" t="inlineStr">
        <is>
          <t>PM</t>
        </is>
      </c>
      <c r="I601" t="inlineStr">
        <is>
          <t>Sea Island, GA</t>
        </is>
      </c>
      <c r="J601" t="inlineStr">
        <is>
          <t>South</t>
        </is>
      </c>
      <c r="K601" t="n">
        <v>9</v>
      </c>
      <c r="L601" t="inlineStr">
        <is>
          <t>Front</t>
        </is>
      </c>
      <c r="M601" t="inlineStr">
        <is>
          <t>Seaside</t>
        </is>
      </c>
      <c r="N601" t="inlineStr">
        <is>
          <t>Green</t>
        </is>
      </c>
      <c r="O601" t="n">
        <v>70.5</v>
      </c>
      <c r="P601" t="n">
        <v>134</v>
      </c>
      <c r="Q601" t="n">
        <v>6389</v>
      </c>
      <c r="R601" t="inlineStr">
        <is>
          <t>FTAS</t>
        </is>
      </c>
      <c r="S601" t="inlineStr">
        <is>
          <t>FTAS</t>
        </is>
      </c>
      <c r="U601" t="inlineStr">
        <is>
          <t>Gray</t>
        </is>
      </c>
      <c r="V601" t="inlineStr">
        <is>
          <t>Poirier</t>
        </is>
      </c>
      <c r="W601" t="inlineStr">
        <is>
          <t>Blue</t>
        </is>
      </c>
      <c r="AA601" t="n">
        <v>0.5</v>
      </c>
      <c r="AB601" t="inlineStr">
        <is>
          <t>W</t>
        </is>
      </c>
      <c r="AC601" t="inlineStr">
        <is>
          <t>1Up</t>
        </is>
      </c>
      <c r="AE601">
        <f>$V601&amp;$Y601</f>
        <v/>
      </c>
      <c r="AF601" t="n">
        <v>0.5</v>
      </c>
      <c r="AG601" t="n">
        <v>1</v>
      </c>
      <c r="AH601" t="n">
        <v>0</v>
      </c>
      <c r="AI601" t="n">
        <v>0</v>
      </c>
      <c r="AJ601" t="n">
        <v>1</v>
      </c>
    </row>
    <row r="602" ht="15" customHeight="1" s="2">
      <c r="B602" t="inlineStr">
        <is>
          <t>FT1</t>
        </is>
      </c>
      <c r="D602" t="n">
        <v>9</v>
      </c>
      <c r="E602" t="inlineStr">
        <is>
          <t>FBC9-FT</t>
        </is>
      </c>
      <c r="F602" t="inlineStr">
        <is>
          <t>Friday</t>
        </is>
      </c>
      <c r="G602" s="27" t="n">
        <v>44757</v>
      </c>
      <c r="H602" t="inlineStr">
        <is>
          <t>PM</t>
        </is>
      </c>
      <c r="I602" t="inlineStr">
        <is>
          <t>Sea Island, GA</t>
        </is>
      </c>
      <c r="J602" t="inlineStr">
        <is>
          <t>South</t>
        </is>
      </c>
      <c r="K602" t="n">
        <v>9</v>
      </c>
      <c r="L602" t="inlineStr">
        <is>
          <t>Front</t>
        </is>
      </c>
      <c r="M602" t="inlineStr">
        <is>
          <t>Seaside</t>
        </is>
      </c>
      <c r="N602" t="inlineStr">
        <is>
          <t>Green</t>
        </is>
      </c>
      <c r="O602" t="n">
        <v>70.5</v>
      </c>
      <c r="P602" t="n">
        <v>134</v>
      </c>
      <c r="Q602" t="n">
        <v>6389</v>
      </c>
      <c r="R602" t="inlineStr">
        <is>
          <t>FTAS</t>
        </is>
      </c>
      <c r="S602" t="inlineStr">
        <is>
          <t>FTAS</t>
        </is>
      </c>
      <c r="U602" t="inlineStr">
        <is>
          <t>Gray</t>
        </is>
      </c>
      <c r="V602" t="inlineStr">
        <is>
          <t>Jackson</t>
        </is>
      </c>
      <c r="W602" t="inlineStr">
        <is>
          <t>Blue</t>
        </is>
      </c>
      <c r="AA602" t="n">
        <v>0.5</v>
      </c>
      <c r="AB602" t="inlineStr">
        <is>
          <t>W</t>
        </is>
      </c>
      <c r="AC602" t="inlineStr">
        <is>
          <t>1Up</t>
        </is>
      </c>
      <c r="AE602">
        <f>$V602&amp;$Y602</f>
        <v/>
      </c>
      <c r="AF602" t="n">
        <v>0.5</v>
      </c>
      <c r="AG602" t="n">
        <v>1</v>
      </c>
      <c r="AH602" t="n">
        <v>0</v>
      </c>
      <c r="AI602" t="n">
        <v>0</v>
      </c>
      <c r="AJ602" t="n">
        <v>1</v>
      </c>
    </row>
    <row r="603" ht="15" customHeight="1" s="2">
      <c r="B603" t="inlineStr">
        <is>
          <t>FT1</t>
        </is>
      </c>
      <c r="D603" t="n">
        <v>9</v>
      </c>
      <c r="E603" t="inlineStr">
        <is>
          <t>FBC9-FT</t>
        </is>
      </c>
      <c r="F603" t="inlineStr">
        <is>
          <t>Friday</t>
        </is>
      </c>
      <c r="G603" s="27" t="n">
        <v>44757</v>
      </c>
      <c r="H603" t="inlineStr">
        <is>
          <t>PM</t>
        </is>
      </c>
      <c r="I603" t="inlineStr">
        <is>
          <t>Sea Island, GA</t>
        </is>
      </c>
      <c r="J603" t="inlineStr">
        <is>
          <t>South</t>
        </is>
      </c>
      <c r="K603" t="n">
        <v>9</v>
      </c>
      <c r="L603" t="inlineStr">
        <is>
          <t>Front</t>
        </is>
      </c>
      <c r="M603" t="inlineStr">
        <is>
          <t>Seaside</t>
        </is>
      </c>
      <c r="N603" t="inlineStr">
        <is>
          <t>Green</t>
        </is>
      </c>
      <c r="O603" t="n">
        <v>70.5</v>
      </c>
      <c r="P603" t="n">
        <v>134</v>
      </c>
      <c r="Q603" t="n">
        <v>6389</v>
      </c>
      <c r="R603" t="inlineStr">
        <is>
          <t>FTAS</t>
        </is>
      </c>
      <c r="S603" t="inlineStr">
        <is>
          <t>FTAS</t>
        </is>
      </c>
      <c r="U603" t="inlineStr">
        <is>
          <t>Gray</t>
        </is>
      </c>
      <c r="V603" t="inlineStr">
        <is>
          <t>Welker</t>
        </is>
      </c>
      <c r="W603" t="inlineStr">
        <is>
          <t>Blue</t>
        </is>
      </c>
      <c r="AA603" t="n">
        <v>0.5</v>
      </c>
      <c r="AB603" t="inlineStr">
        <is>
          <t>W</t>
        </is>
      </c>
      <c r="AC603" t="inlineStr">
        <is>
          <t>1Up</t>
        </is>
      </c>
      <c r="AE603">
        <f>$V603&amp;$Y603</f>
        <v/>
      </c>
      <c r="AF603" t="n">
        <v>0.5</v>
      </c>
      <c r="AG603" t="n">
        <v>1</v>
      </c>
      <c r="AH603" t="n">
        <v>0</v>
      </c>
      <c r="AI603" t="n">
        <v>0</v>
      </c>
      <c r="AJ603" t="n">
        <v>1</v>
      </c>
    </row>
    <row r="604" ht="15" customHeight="1" s="2">
      <c r="B604" t="inlineStr">
        <is>
          <t>FT1</t>
        </is>
      </c>
      <c r="D604" t="n">
        <v>9</v>
      </c>
      <c r="E604" t="inlineStr">
        <is>
          <t>FBC9-FT</t>
        </is>
      </c>
      <c r="F604" t="inlineStr">
        <is>
          <t>Friday</t>
        </is>
      </c>
      <c r="G604" s="27" t="n">
        <v>44757</v>
      </c>
      <c r="H604" t="inlineStr">
        <is>
          <t>PM</t>
        </is>
      </c>
      <c r="I604" t="inlineStr">
        <is>
          <t>Sea Island, GA</t>
        </is>
      </c>
      <c r="J604" t="inlineStr">
        <is>
          <t>South</t>
        </is>
      </c>
      <c r="K604" t="n">
        <v>9</v>
      </c>
      <c r="L604" t="inlineStr">
        <is>
          <t>Front</t>
        </is>
      </c>
      <c r="M604" t="inlineStr">
        <is>
          <t>Seaside</t>
        </is>
      </c>
      <c r="N604" t="inlineStr">
        <is>
          <t>Green</t>
        </is>
      </c>
      <c r="O604" t="n">
        <v>70.5</v>
      </c>
      <c r="P604" t="n">
        <v>134</v>
      </c>
      <c r="Q604" t="n">
        <v>6389</v>
      </c>
      <c r="R604" t="inlineStr">
        <is>
          <t>FTAS</t>
        </is>
      </c>
      <c r="S604" t="inlineStr">
        <is>
          <t>FTAS</t>
        </is>
      </c>
      <c r="U604" t="inlineStr">
        <is>
          <t>Gray</t>
        </is>
      </c>
      <c r="V604" t="inlineStr">
        <is>
          <t>Zimmer</t>
        </is>
      </c>
      <c r="W604" t="inlineStr">
        <is>
          <t>Blue</t>
        </is>
      </c>
      <c r="AA604" t="n">
        <v>0.5</v>
      </c>
      <c r="AB604" t="inlineStr">
        <is>
          <t>W</t>
        </is>
      </c>
      <c r="AC604" t="inlineStr">
        <is>
          <t>1Up</t>
        </is>
      </c>
      <c r="AE604">
        <f>$V604&amp;$Y604</f>
        <v/>
      </c>
      <c r="AF604" t="n">
        <v>0.5</v>
      </c>
      <c r="AG604" t="n">
        <v>1</v>
      </c>
      <c r="AH604" t="n">
        <v>0</v>
      </c>
      <c r="AI604" t="n">
        <v>0</v>
      </c>
      <c r="AJ604" t="n">
        <v>1</v>
      </c>
    </row>
    <row r="605" ht="15" customHeight="1" s="2">
      <c r="B605" t="inlineStr">
        <is>
          <t>FT1</t>
        </is>
      </c>
      <c r="D605" t="n">
        <v>9</v>
      </c>
      <c r="E605" t="inlineStr">
        <is>
          <t>FBC9-FT</t>
        </is>
      </c>
      <c r="F605" t="inlineStr">
        <is>
          <t>Friday</t>
        </is>
      </c>
      <c r="G605" s="27" t="n">
        <v>44757</v>
      </c>
      <c r="H605" t="inlineStr">
        <is>
          <t>PM</t>
        </is>
      </c>
      <c r="I605" t="inlineStr">
        <is>
          <t>Sea Island, GA</t>
        </is>
      </c>
      <c r="J605" t="inlineStr">
        <is>
          <t>South</t>
        </is>
      </c>
      <c r="K605" t="n">
        <v>9</v>
      </c>
      <c r="L605" t="inlineStr">
        <is>
          <t>Front</t>
        </is>
      </c>
      <c r="M605" t="inlineStr">
        <is>
          <t>Seaside</t>
        </is>
      </c>
      <c r="N605" t="inlineStr">
        <is>
          <t>Green</t>
        </is>
      </c>
      <c r="O605" t="n">
        <v>70.5</v>
      </c>
      <c r="P605" t="n">
        <v>134</v>
      </c>
      <c r="Q605" t="n">
        <v>6389</v>
      </c>
      <c r="R605" t="inlineStr">
        <is>
          <t>FTAS</t>
        </is>
      </c>
      <c r="S605" t="inlineStr">
        <is>
          <t>FTAS</t>
        </is>
      </c>
      <c r="U605" t="inlineStr">
        <is>
          <t>Gray</t>
        </is>
      </c>
      <c r="V605" t="inlineStr">
        <is>
          <t>Grise</t>
        </is>
      </c>
      <c r="W605" t="inlineStr">
        <is>
          <t>Blue</t>
        </is>
      </c>
      <c r="AA605" t="n">
        <v>0.5</v>
      </c>
      <c r="AB605" t="inlineStr">
        <is>
          <t>W</t>
        </is>
      </c>
      <c r="AC605" t="inlineStr">
        <is>
          <t>1Up</t>
        </is>
      </c>
      <c r="AE605">
        <f>$V605&amp;$Y605</f>
        <v/>
      </c>
      <c r="AF605" t="n">
        <v>0.5</v>
      </c>
      <c r="AG605" t="n">
        <v>1</v>
      </c>
      <c r="AH605" t="n">
        <v>0</v>
      </c>
      <c r="AI605" t="n">
        <v>0</v>
      </c>
      <c r="AJ605" t="n">
        <v>1</v>
      </c>
    </row>
    <row r="606" ht="15" customHeight="1" s="2">
      <c r="B606" t="inlineStr">
        <is>
          <t>FT1</t>
        </is>
      </c>
      <c r="D606" t="n">
        <v>9</v>
      </c>
      <c r="E606" t="inlineStr">
        <is>
          <t>FBC9-FT</t>
        </is>
      </c>
      <c r="F606" t="inlineStr">
        <is>
          <t>Friday</t>
        </is>
      </c>
      <c r="G606" s="27" t="n">
        <v>44757</v>
      </c>
      <c r="H606" t="inlineStr">
        <is>
          <t>PM</t>
        </is>
      </c>
      <c r="I606" t="inlineStr">
        <is>
          <t>Sea Island, GA</t>
        </is>
      </c>
      <c r="J606" t="inlineStr">
        <is>
          <t>South</t>
        </is>
      </c>
      <c r="K606" t="n">
        <v>9</v>
      </c>
      <c r="L606" t="inlineStr">
        <is>
          <t>Front</t>
        </is>
      </c>
      <c r="M606" t="inlineStr">
        <is>
          <t>Seaside</t>
        </is>
      </c>
      <c r="N606" t="inlineStr">
        <is>
          <t>Green</t>
        </is>
      </c>
      <c r="O606" t="n">
        <v>70.5</v>
      </c>
      <c r="P606" t="n">
        <v>134</v>
      </c>
      <c r="Q606" t="n">
        <v>6389</v>
      </c>
      <c r="R606" t="inlineStr">
        <is>
          <t>FTAS</t>
        </is>
      </c>
      <c r="S606" t="inlineStr">
        <is>
          <t>FTAS</t>
        </is>
      </c>
      <c r="U606" t="inlineStr">
        <is>
          <t>Gray</t>
        </is>
      </c>
      <c r="V606" t="inlineStr">
        <is>
          <t>Forster</t>
        </is>
      </c>
      <c r="W606" t="inlineStr">
        <is>
          <t>Blue</t>
        </is>
      </c>
      <c r="AA606" t="n">
        <v>0.5</v>
      </c>
      <c r="AB606" t="inlineStr">
        <is>
          <t>W</t>
        </is>
      </c>
      <c r="AC606" t="inlineStr">
        <is>
          <t>1Up</t>
        </is>
      </c>
      <c r="AE606">
        <f>$V606&amp;$Y606</f>
        <v/>
      </c>
      <c r="AF606" t="n">
        <v>0.5</v>
      </c>
      <c r="AG606" t="n">
        <v>1</v>
      </c>
      <c r="AH606" t="n">
        <v>0</v>
      </c>
      <c r="AI606" t="n">
        <v>0</v>
      </c>
      <c r="AJ606" t="n">
        <v>1</v>
      </c>
    </row>
    <row r="607" ht="15" customHeight="1" s="2">
      <c r="B607" t="inlineStr">
        <is>
          <t>FT1</t>
        </is>
      </c>
      <c r="D607" t="n">
        <v>9</v>
      </c>
      <c r="E607" t="inlineStr">
        <is>
          <t>FBC9-FT</t>
        </is>
      </c>
      <c r="F607" t="inlineStr">
        <is>
          <t>Friday</t>
        </is>
      </c>
      <c r="G607" s="27" t="n">
        <v>44757</v>
      </c>
      <c r="H607" t="inlineStr">
        <is>
          <t>PM</t>
        </is>
      </c>
      <c r="I607" t="inlineStr">
        <is>
          <t>Sea Island, GA</t>
        </is>
      </c>
      <c r="J607" t="inlineStr">
        <is>
          <t>South</t>
        </is>
      </c>
      <c r="K607" t="n">
        <v>9</v>
      </c>
      <c r="L607" t="inlineStr">
        <is>
          <t>Front</t>
        </is>
      </c>
      <c r="M607" t="inlineStr">
        <is>
          <t>Seaside</t>
        </is>
      </c>
      <c r="N607" t="inlineStr">
        <is>
          <t>Green</t>
        </is>
      </c>
      <c r="O607" t="n">
        <v>70.5</v>
      </c>
      <c r="P607" t="n">
        <v>134</v>
      </c>
      <c r="Q607" t="n">
        <v>6389</v>
      </c>
      <c r="R607" t="inlineStr">
        <is>
          <t>FTAS</t>
        </is>
      </c>
      <c r="S607" t="inlineStr">
        <is>
          <t>FTAS</t>
        </is>
      </c>
      <c r="U607" t="inlineStr">
        <is>
          <t>Gray</t>
        </is>
      </c>
      <c r="V607" t="inlineStr">
        <is>
          <t>Deoteris</t>
        </is>
      </c>
      <c r="W607" t="inlineStr">
        <is>
          <t>Blue</t>
        </is>
      </c>
      <c r="AA607" t="n">
        <v>0.5</v>
      </c>
      <c r="AB607" t="inlineStr">
        <is>
          <t>W</t>
        </is>
      </c>
      <c r="AC607" t="inlineStr">
        <is>
          <t>1Up</t>
        </is>
      </c>
      <c r="AE607">
        <f>$V607&amp;$Y607</f>
        <v/>
      </c>
      <c r="AF607" t="n">
        <v>0.5</v>
      </c>
      <c r="AG607" t="n">
        <v>1</v>
      </c>
      <c r="AH607" t="n">
        <v>0</v>
      </c>
      <c r="AI607" t="n">
        <v>0</v>
      </c>
      <c r="AJ607" t="n">
        <v>1</v>
      </c>
    </row>
    <row r="608" ht="15" customHeight="1" s="2">
      <c r="B608" t="inlineStr">
        <is>
          <t>FT1</t>
        </is>
      </c>
      <c r="D608" t="n">
        <v>9</v>
      </c>
      <c r="E608" t="inlineStr">
        <is>
          <t>FBC9-FT</t>
        </is>
      </c>
      <c r="F608" t="inlineStr">
        <is>
          <t>Friday</t>
        </is>
      </c>
      <c r="G608" s="27" t="n">
        <v>44757</v>
      </c>
      <c r="H608" t="inlineStr">
        <is>
          <t>PM</t>
        </is>
      </c>
      <c r="I608" t="inlineStr">
        <is>
          <t>Sea Island, GA</t>
        </is>
      </c>
      <c r="J608" t="inlineStr">
        <is>
          <t>South</t>
        </is>
      </c>
      <c r="K608" t="n">
        <v>9</v>
      </c>
      <c r="L608" t="inlineStr">
        <is>
          <t>Front</t>
        </is>
      </c>
      <c r="M608" t="inlineStr">
        <is>
          <t>Seaside</t>
        </is>
      </c>
      <c r="N608" t="inlineStr">
        <is>
          <t>Green</t>
        </is>
      </c>
      <c r="O608" t="n">
        <v>70.5</v>
      </c>
      <c r="P608" t="n">
        <v>134</v>
      </c>
      <c r="Q608" t="n">
        <v>6389</v>
      </c>
      <c r="R608" t="inlineStr">
        <is>
          <t>FTAS</t>
        </is>
      </c>
      <c r="S608" t="inlineStr">
        <is>
          <t>FTAS</t>
        </is>
      </c>
      <c r="U608" t="inlineStr">
        <is>
          <t>Gray</t>
        </is>
      </c>
      <c r="V608" t="inlineStr">
        <is>
          <t>Ferrin</t>
        </is>
      </c>
      <c r="W608" t="inlineStr">
        <is>
          <t>Blue</t>
        </is>
      </c>
      <c r="AA608" t="n">
        <v>0.5</v>
      </c>
      <c r="AB608" t="inlineStr">
        <is>
          <t>W</t>
        </is>
      </c>
      <c r="AC608" t="inlineStr">
        <is>
          <t>1Up</t>
        </is>
      </c>
      <c r="AE608">
        <f>$V608&amp;$Y608</f>
        <v/>
      </c>
      <c r="AF608" t="n">
        <v>0.5</v>
      </c>
      <c r="AG608" t="n">
        <v>1</v>
      </c>
      <c r="AH608" t="n">
        <v>0</v>
      </c>
      <c r="AI608" t="n">
        <v>0</v>
      </c>
      <c r="AJ608" t="n">
        <v>1</v>
      </c>
    </row>
    <row r="609" ht="15" customHeight="1" s="2">
      <c r="B609" t="inlineStr">
        <is>
          <t>FT1</t>
        </is>
      </c>
      <c r="D609" t="n">
        <v>9</v>
      </c>
      <c r="E609" t="inlineStr">
        <is>
          <t>FBC9-FT</t>
        </is>
      </c>
      <c r="F609" t="inlineStr">
        <is>
          <t>Friday</t>
        </is>
      </c>
      <c r="G609" s="27" t="n">
        <v>44757</v>
      </c>
      <c r="H609" t="inlineStr">
        <is>
          <t>PM</t>
        </is>
      </c>
      <c r="I609" t="inlineStr">
        <is>
          <t>Sea Island, GA</t>
        </is>
      </c>
      <c r="J609" t="inlineStr">
        <is>
          <t>South</t>
        </is>
      </c>
      <c r="K609" t="n">
        <v>9</v>
      </c>
      <c r="L609" t="inlineStr">
        <is>
          <t>Front</t>
        </is>
      </c>
      <c r="M609" t="inlineStr">
        <is>
          <t>Seaside</t>
        </is>
      </c>
      <c r="N609" t="inlineStr">
        <is>
          <t>Green</t>
        </is>
      </c>
      <c r="O609" t="n">
        <v>70.5</v>
      </c>
      <c r="P609" t="n">
        <v>134</v>
      </c>
      <c r="Q609" t="n">
        <v>6389</v>
      </c>
      <c r="R609" t="inlineStr">
        <is>
          <t>FTAS</t>
        </is>
      </c>
      <c r="S609" t="inlineStr">
        <is>
          <t>FTAS</t>
        </is>
      </c>
      <c r="U609" t="inlineStr">
        <is>
          <t>Gray</t>
        </is>
      </c>
      <c r="V609" t="inlineStr">
        <is>
          <t>Delneky</t>
        </is>
      </c>
      <c r="W609" t="inlineStr">
        <is>
          <t>Blue</t>
        </is>
      </c>
      <c r="AA609" t="n">
        <v>0.5</v>
      </c>
      <c r="AB609" t="inlineStr">
        <is>
          <t>W</t>
        </is>
      </c>
      <c r="AC609" t="inlineStr">
        <is>
          <t>1Up</t>
        </is>
      </c>
      <c r="AE609">
        <f>$V609&amp;$Y609</f>
        <v/>
      </c>
      <c r="AF609" t="n">
        <v>0.5</v>
      </c>
      <c r="AG609" t="n">
        <v>1</v>
      </c>
      <c r="AH609" t="n">
        <v>0</v>
      </c>
      <c r="AI609" t="n">
        <v>0</v>
      </c>
      <c r="AJ609" t="n">
        <v>1</v>
      </c>
    </row>
    <row r="610" ht="15" customHeight="1" s="2">
      <c r="B610" t="inlineStr">
        <is>
          <t>FT1</t>
        </is>
      </c>
      <c r="D610" t="n">
        <v>9</v>
      </c>
      <c r="E610" t="inlineStr">
        <is>
          <t>FBC9-FT</t>
        </is>
      </c>
      <c r="F610" t="inlineStr">
        <is>
          <t>Friday</t>
        </is>
      </c>
      <c r="G610" s="27" t="n">
        <v>44757</v>
      </c>
      <c r="H610" t="inlineStr">
        <is>
          <t>PM</t>
        </is>
      </c>
      <c r="I610" t="inlineStr">
        <is>
          <t>Sea Island, GA</t>
        </is>
      </c>
      <c r="J610" t="inlineStr">
        <is>
          <t>South</t>
        </is>
      </c>
      <c r="K610" t="n">
        <v>9</v>
      </c>
      <c r="L610" t="inlineStr">
        <is>
          <t>Front</t>
        </is>
      </c>
      <c r="M610" t="inlineStr">
        <is>
          <t>Seaside</t>
        </is>
      </c>
      <c r="N610" t="inlineStr">
        <is>
          <t>Green</t>
        </is>
      </c>
      <c r="O610" t="n">
        <v>70.5</v>
      </c>
      <c r="P610" t="n">
        <v>134</v>
      </c>
      <c r="Q610" t="n">
        <v>6389</v>
      </c>
      <c r="R610" t="inlineStr">
        <is>
          <t>FTAS</t>
        </is>
      </c>
      <c r="S610" t="inlineStr">
        <is>
          <t>FTAS</t>
        </is>
      </c>
      <c r="U610" t="inlineStr">
        <is>
          <t>Gray</t>
        </is>
      </c>
      <c r="V610" t="inlineStr">
        <is>
          <t>Fogan</t>
        </is>
      </c>
      <c r="W610" t="inlineStr">
        <is>
          <t>Blue</t>
        </is>
      </c>
      <c r="AA610" t="n">
        <v>0.5</v>
      </c>
      <c r="AB610" t="inlineStr">
        <is>
          <t>W</t>
        </is>
      </c>
      <c r="AC610" t="inlineStr">
        <is>
          <t>1Up</t>
        </is>
      </c>
      <c r="AE610">
        <f>$V610&amp;$Y610</f>
        <v/>
      </c>
      <c r="AF610" t="n">
        <v>0.5</v>
      </c>
      <c r="AG610" t="n">
        <v>1</v>
      </c>
      <c r="AH610" t="n">
        <v>0</v>
      </c>
      <c r="AI610" t="n">
        <v>0</v>
      </c>
      <c r="AJ610" t="n">
        <v>1</v>
      </c>
    </row>
    <row r="611" ht="15" customHeight="1" s="2">
      <c r="B611" t="inlineStr">
        <is>
          <t>FT1</t>
        </is>
      </c>
      <c r="D611" t="n">
        <v>9</v>
      </c>
      <c r="E611" t="inlineStr">
        <is>
          <t>FBC9-FT</t>
        </is>
      </c>
      <c r="F611" t="inlineStr">
        <is>
          <t>Friday</t>
        </is>
      </c>
      <c r="G611" s="27" t="n">
        <v>44757</v>
      </c>
      <c r="H611" t="inlineStr">
        <is>
          <t>PM</t>
        </is>
      </c>
      <c r="I611" t="inlineStr">
        <is>
          <t>Sea Island, GA</t>
        </is>
      </c>
      <c r="J611" t="inlineStr">
        <is>
          <t>South</t>
        </is>
      </c>
      <c r="K611" t="n">
        <v>9</v>
      </c>
      <c r="L611" t="inlineStr">
        <is>
          <t>Front</t>
        </is>
      </c>
      <c r="M611" t="inlineStr">
        <is>
          <t>Seaside</t>
        </is>
      </c>
      <c r="N611" t="inlineStr">
        <is>
          <t>Green</t>
        </is>
      </c>
      <c r="O611" t="n">
        <v>70.5</v>
      </c>
      <c r="P611" t="n">
        <v>134</v>
      </c>
      <c r="Q611" t="n">
        <v>6389</v>
      </c>
      <c r="R611" t="inlineStr">
        <is>
          <t>FTAS</t>
        </is>
      </c>
      <c r="S611" t="inlineStr">
        <is>
          <t>FTAS</t>
        </is>
      </c>
      <c r="U611" t="inlineStr">
        <is>
          <t>Zimmer</t>
        </is>
      </c>
      <c r="V611" t="inlineStr">
        <is>
          <t>McInerney</t>
        </is>
      </c>
      <c r="W611" t="inlineStr">
        <is>
          <t>Blue</t>
        </is>
      </c>
      <c r="AA611" t="n">
        <v>0.5</v>
      </c>
      <c r="AB611" t="inlineStr">
        <is>
          <t>L</t>
        </is>
      </c>
      <c r="AC611" t="inlineStr">
        <is>
          <t>1Up</t>
        </is>
      </c>
      <c r="AE611">
        <f>$V611&amp;$Y611</f>
        <v/>
      </c>
      <c r="AF611" t="n">
        <v>0</v>
      </c>
      <c r="AG611" t="n">
        <v>0</v>
      </c>
      <c r="AH611" t="n">
        <v>1</v>
      </c>
      <c r="AI611" t="n">
        <v>0</v>
      </c>
      <c r="AJ611" t="n">
        <v>0</v>
      </c>
    </row>
    <row r="612" ht="15" customHeight="1" s="2">
      <c r="B612" t="inlineStr">
        <is>
          <t>FT1</t>
        </is>
      </c>
      <c r="D612" t="n">
        <v>9</v>
      </c>
      <c r="E612" t="inlineStr">
        <is>
          <t>FBC9-FT</t>
        </is>
      </c>
      <c r="F612" t="inlineStr">
        <is>
          <t>Friday</t>
        </is>
      </c>
      <c r="G612" s="27" t="n">
        <v>44757</v>
      </c>
      <c r="H612" t="inlineStr">
        <is>
          <t>PM</t>
        </is>
      </c>
      <c r="I612" t="inlineStr">
        <is>
          <t>Sea Island, GA</t>
        </is>
      </c>
      <c r="J612" t="inlineStr">
        <is>
          <t>South</t>
        </is>
      </c>
      <c r="K612" t="n">
        <v>9</v>
      </c>
      <c r="L612" t="inlineStr">
        <is>
          <t>Front</t>
        </is>
      </c>
      <c r="M612" t="inlineStr">
        <is>
          <t>Seaside</t>
        </is>
      </c>
      <c r="N612" t="inlineStr">
        <is>
          <t>Green</t>
        </is>
      </c>
      <c r="O612" t="n">
        <v>70.5</v>
      </c>
      <c r="P612" t="n">
        <v>134</v>
      </c>
      <c r="Q612" t="n">
        <v>6389</v>
      </c>
      <c r="R612" t="inlineStr">
        <is>
          <t>FTAS</t>
        </is>
      </c>
      <c r="S612" t="inlineStr">
        <is>
          <t>FTAS</t>
        </is>
      </c>
      <c r="U612" t="inlineStr">
        <is>
          <t>Zimmer</t>
        </is>
      </c>
      <c r="V612" t="inlineStr">
        <is>
          <t>Flanders</t>
        </is>
      </c>
      <c r="W612" t="inlineStr">
        <is>
          <t>Blue</t>
        </is>
      </c>
      <c r="AA612" t="n">
        <v>0.5</v>
      </c>
      <c r="AB612" t="inlineStr">
        <is>
          <t>L</t>
        </is>
      </c>
      <c r="AC612" t="inlineStr">
        <is>
          <t>1Up</t>
        </is>
      </c>
      <c r="AE612">
        <f>$V612&amp;$Y612</f>
        <v/>
      </c>
      <c r="AF612" t="n">
        <v>0</v>
      </c>
      <c r="AG612" t="n">
        <v>0</v>
      </c>
      <c r="AH612" t="n">
        <v>1</v>
      </c>
      <c r="AI612" t="n">
        <v>0</v>
      </c>
      <c r="AJ612" t="n">
        <v>0</v>
      </c>
    </row>
    <row r="613" ht="15" customHeight="1" s="2">
      <c r="B613" t="inlineStr">
        <is>
          <t>FT1</t>
        </is>
      </c>
      <c r="D613" t="n">
        <v>9</v>
      </c>
      <c r="E613" t="inlineStr">
        <is>
          <t>FBC9-FT</t>
        </is>
      </c>
      <c r="F613" t="inlineStr">
        <is>
          <t>Friday</t>
        </is>
      </c>
      <c r="G613" s="27" t="n">
        <v>44757</v>
      </c>
      <c r="H613" t="inlineStr">
        <is>
          <t>PM</t>
        </is>
      </c>
      <c r="I613" t="inlineStr">
        <is>
          <t>Sea Island, GA</t>
        </is>
      </c>
      <c r="J613" t="inlineStr">
        <is>
          <t>South</t>
        </is>
      </c>
      <c r="K613" t="n">
        <v>9</v>
      </c>
      <c r="L613" t="inlineStr">
        <is>
          <t>Front</t>
        </is>
      </c>
      <c r="M613" t="inlineStr">
        <is>
          <t>Seaside</t>
        </is>
      </c>
      <c r="N613" t="inlineStr">
        <is>
          <t>Green</t>
        </is>
      </c>
      <c r="O613" t="n">
        <v>70.5</v>
      </c>
      <c r="P613" t="n">
        <v>134</v>
      </c>
      <c r="Q613" t="n">
        <v>6389</v>
      </c>
      <c r="R613" t="inlineStr">
        <is>
          <t>FTAS</t>
        </is>
      </c>
      <c r="S613" t="inlineStr">
        <is>
          <t>FTAS</t>
        </is>
      </c>
      <c r="U613" t="inlineStr">
        <is>
          <t>Zimmer</t>
        </is>
      </c>
      <c r="V613" t="inlineStr">
        <is>
          <t>Connolly</t>
        </is>
      </c>
      <c r="W613" t="inlineStr">
        <is>
          <t>Blue</t>
        </is>
      </c>
      <c r="AA613" t="n">
        <v>0.5</v>
      </c>
      <c r="AB613" t="inlineStr">
        <is>
          <t>L</t>
        </is>
      </c>
      <c r="AC613" t="inlineStr">
        <is>
          <t>1Up</t>
        </is>
      </c>
      <c r="AE613">
        <f>$V613&amp;$Y613</f>
        <v/>
      </c>
      <c r="AF613" t="n">
        <v>0</v>
      </c>
      <c r="AG613" t="n">
        <v>0</v>
      </c>
      <c r="AH613" t="n">
        <v>1</v>
      </c>
      <c r="AI613" t="n">
        <v>0</v>
      </c>
      <c r="AJ613" t="n">
        <v>0</v>
      </c>
    </row>
    <row r="614" ht="15" customHeight="1" s="2">
      <c r="B614" t="inlineStr">
        <is>
          <t>FT1</t>
        </is>
      </c>
      <c r="D614" t="n">
        <v>9</v>
      </c>
      <c r="E614" t="inlineStr">
        <is>
          <t>FBC9-FT</t>
        </is>
      </c>
      <c r="F614" t="inlineStr">
        <is>
          <t>Friday</t>
        </is>
      </c>
      <c r="G614" s="27" t="n">
        <v>44757</v>
      </c>
      <c r="H614" t="inlineStr">
        <is>
          <t>PM</t>
        </is>
      </c>
      <c r="I614" t="inlineStr">
        <is>
          <t>Sea Island, GA</t>
        </is>
      </c>
      <c r="J614" t="inlineStr">
        <is>
          <t>South</t>
        </is>
      </c>
      <c r="K614" t="n">
        <v>9</v>
      </c>
      <c r="L614" t="inlineStr">
        <is>
          <t>Front</t>
        </is>
      </c>
      <c r="M614" t="inlineStr">
        <is>
          <t>Seaside</t>
        </is>
      </c>
      <c r="N614" t="inlineStr">
        <is>
          <t>Green</t>
        </is>
      </c>
      <c r="O614" t="n">
        <v>70.5</v>
      </c>
      <c r="P614" t="n">
        <v>134</v>
      </c>
      <c r="Q614" t="n">
        <v>6389</v>
      </c>
      <c r="R614" t="inlineStr">
        <is>
          <t>FTAS</t>
        </is>
      </c>
      <c r="S614" t="inlineStr">
        <is>
          <t>FTAS</t>
        </is>
      </c>
      <c r="U614" t="inlineStr">
        <is>
          <t>Zimmer</t>
        </is>
      </c>
      <c r="V614" t="inlineStr">
        <is>
          <t>Lynch</t>
        </is>
      </c>
      <c r="W614" t="inlineStr">
        <is>
          <t>Blue</t>
        </is>
      </c>
      <c r="AA614" t="n">
        <v>0.5</v>
      </c>
      <c r="AB614" t="inlineStr">
        <is>
          <t>L</t>
        </is>
      </c>
      <c r="AC614" t="inlineStr">
        <is>
          <t>1Up</t>
        </is>
      </c>
      <c r="AE614">
        <f>$V614&amp;$Y614</f>
        <v/>
      </c>
      <c r="AF614" t="n">
        <v>0</v>
      </c>
      <c r="AG614" t="n">
        <v>0</v>
      </c>
      <c r="AH614" t="n">
        <v>1</v>
      </c>
      <c r="AI614" t="n">
        <v>0</v>
      </c>
      <c r="AJ614" t="n">
        <v>0</v>
      </c>
    </row>
    <row r="615" ht="15" customHeight="1" s="2">
      <c r="B615" t="inlineStr">
        <is>
          <t>FT1</t>
        </is>
      </c>
      <c r="D615" t="n">
        <v>9</v>
      </c>
      <c r="E615" t="inlineStr">
        <is>
          <t>FBC9-FT</t>
        </is>
      </c>
      <c r="F615" t="inlineStr">
        <is>
          <t>Friday</t>
        </is>
      </c>
      <c r="G615" s="27" t="n">
        <v>44757</v>
      </c>
      <c r="H615" t="inlineStr">
        <is>
          <t>PM</t>
        </is>
      </c>
      <c r="I615" t="inlineStr">
        <is>
          <t>Sea Island, GA</t>
        </is>
      </c>
      <c r="J615" t="inlineStr">
        <is>
          <t>South</t>
        </is>
      </c>
      <c r="K615" t="n">
        <v>9</v>
      </c>
      <c r="L615" t="inlineStr">
        <is>
          <t>Front</t>
        </is>
      </c>
      <c r="M615" t="inlineStr">
        <is>
          <t>Seaside</t>
        </is>
      </c>
      <c r="N615" t="inlineStr">
        <is>
          <t>Green</t>
        </is>
      </c>
      <c r="O615" t="n">
        <v>70.5</v>
      </c>
      <c r="P615" t="n">
        <v>134</v>
      </c>
      <c r="Q615" t="n">
        <v>6389</v>
      </c>
      <c r="R615" t="inlineStr">
        <is>
          <t>FTAS</t>
        </is>
      </c>
      <c r="S615" t="inlineStr">
        <is>
          <t>FTAS</t>
        </is>
      </c>
      <c r="U615" t="inlineStr">
        <is>
          <t>Zimmer</t>
        </is>
      </c>
      <c r="V615" t="inlineStr">
        <is>
          <t>Perkins</t>
        </is>
      </c>
      <c r="W615" t="inlineStr">
        <is>
          <t>Blue</t>
        </is>
      </c>
      <c r="AA615" t="n">
        <v>0.5</v>
      </c>
      <c r="AB615" t="inlineStr">
        <is>
          <t>L</t>
        </is>
      </c>
      <c r="AC615" t="inlineStr">
        <is>
          <t>1Up</t>
        </is>
      </c>
      <c r="AE615">
        <f>$V615&amp;$Y615</f>
        <v/>
      </c>
      <c r="AF615" t="n">
        <v>0</v>
      </c>
      <c r="AG615" t="n">
        <v>0</v>
      </c>
      <c r="AH615" t="n">
        <v>1</v>
      </c>
      <c r="AI615" t="n">
        <v>0</v>
      </c>
      <c r="AJ615" t="n">
        <v>0</v>
      </c>
    </row>
    <row r="616" ht="15" customHeight="1" s="2">
      <c r="B616" t="inlineStr">
        <is>
          <t>FT1</t>
        </is>
      </c>
      <c r="D616" t="n">
        <v>9</v>
      </c>
      <c r="E616" t="inlineStr">
        <is>
          <t>FBC9-FT</t>
        </is>
      </c>
      <c r="F616" t="inlineStr">
        <is>
          <t>Friday</t>
        </is>
      </c>
      <c r="G616" s="27" t="n">
        <v>44757</v>
      </c>
      <c r="H616" t="inlineStr">
        <is>
          <t>PM</t>
        </is>
      </c>
      <c r="I616" t="inlineStr">
        <is>
          <t>Sea Island, GA</t>
        </is>
      </c>
      <c r="J616" t="inlineStr">
        <is>
          <t>South</t>
        </is>
      </c>
      <c r="K616" t="n">
        <v>9</v>
      </c>
      <c r="L616" t="inlineStr">
        <is>
          <t>Front</t>
        </is>
      </c>
      <c r="M616" t="inlineStr">
        <is>
          <t>Seaside</t>
        </is>
      </c>
      <c r="N616" t="inlineStr">
        <is>
          <t>Green</t>
        </is>
      </c>
      <c r="O616" t="n">
        <v>70.5</v>
      </c>
      <c r="P616" t="n">
        <v>134</v>
      </c>
      <c r="Q616" t="n">
        <v>6389</v>
      </c>
      <c r="R616" t="inlineStr">
        <is>
          <t>FTAS</t>
        </is>
      </c>
      <c r="S616" t="inlineStr">
        <is>
          <t>FTAS</t>
        </is>
      </c>
      <c r="U616" t="inlineStr">
        <is>
          <t>Zimmer</t>
        </is>
      </c>
      <c r="V616" t="inlineStr">
        <is>
          <t>Delaney</t>
        </is>
      </c>
      <c r="W616" t="inlineStr">
        <is>
          <t>Blue</t>
        </is>
      </c>
      <c r="AA616" t="n">
        <v>0.5</v>
      </c>
      <c r="AB616" t="inlineStr">
        <is>
          <t>L</t>
        </is>
      </c>
      <c r="AC616" t="inlineStr">
        <is>
          <t>1Up</t>
        </is>
      </c>
      <c r="AE616">
        <f>$V616&amp;$Y616</f>
        <v/>
      </c>
      <c r="AF616" t="n">
        <v>0</v>
      </c>
      <c r="AG616" t="n">
        <v>0</v>
      </c>
      <c r="AH616" t="n">
        <v>1</v>
      </c>
      <c r="AI616" t="n">
        <v>0</v>
      </c>
      <c r="AJ616" t="n">
        <v>0</v>
      </c>
    </row>
    <row r="617" ht="15" customHeight="1" s="2">
      <c r="B617" t="inlineStr">
        <is>
          <t>FT1</t>
        </is>
      </c>
      <c r="D617" t="n">
        <v>9</v>
      </c>
      <c r="E617" t="inlineStr">
        <is>
          <t>FBC9-FT</t>
        </is>
      </c>
      <c r="F617" t="inlineStr">
        <is>
          <t>Friday</t>
        </is>
      </c>
      <c r="G617" s="27" t="n">
        <v>44757</v>
      </c>
      <c r="H617" t="inlineStr">
        <is>
          <t>PM</t>
        </is>
      </c>
      <c r="I617" t="inlineStr">
        <is>
          <t>Sea Island, GA</t>
        </is>
      </c>
      <c r="J617" t="inlineStr">
        <is>
          <t>South</t>
        </is>
      </c>
      <c r="K617" t="n">
        <v>9</v>
      </c>
      <c r="L617" t="inlineStr">
        <is>
          <t>Front</t>
        </is>
      </c>
      <c r="M617" t="inlineStr">
        <is>
          <t>Seaside</t>
        </is>
      </c>
      <c r="N617" t="inlineStr">
        <is>
          <t>Green</t>
        </is>
      </c>
      <c r="O617" t="n">
        <v>70.5</v>
      </c>
      <c r="P617" t="n">
        <v>134</v>
      </c>
      <c r="Q617" t="n">
        <v>6389</v>
      </c>
      <c r="R617" t="inlineStr">
        <is>
          <t>FTAS</t>
        </is>
      </c>
      <c r="S617" t="inlineStr">
        <is>
          <t>FTAS</t>
        </is>
      </c>
      <c r="U617" t="inlineStr">
        <is>
          <t>Zimmer</t>
        </is>
      </c>
      <c r="V617" t="inlineStr">
        <is>
          <t>Shively</t>
        </is>
      </c>
      <c r="W617" t="inlineStr">
        <is>
          <t>Blue</t>
        </is>
      </c>
      <c r="AA617" t="n">
        <v>0.5</v>
      </c>
      <c r="AB617" t="inlineStr">
        <is>
          <t>L</t>
        </is>
      </c>
      <c r="AC617" t="inlineStr">
        <is>
          <t>1Up</t>
        </is>
      </c>
      <c r="AE617">
        <f>$V617&amp;$Y617</f>
        <v/>
      </c>
      <c r="AF617" t="n">
        <v>0</v>
      </c>
      <c r="AG617" t="n">
        <v>0</v>
      </c>
      <c r="AH617" t="n">
        <v>1</v>
      </c>
      <c r="AI617" t="n">
        <v>0</v>
      </c>
      <c r="AJ617" t="n">
        <v>0</v>
      </c>
    </row>
    <row r="618" ht="15" customHeight="1" s="2">
      <c r="B618" t="inlineStr">
        <is>
          <t>FT1</t>
        </is>
      </c>
      <c r="D618" t="n">
        <v>9</v>
      </c>
      <c r="E618" t="inlineStr">
        <is>
          <t>FBC9-FT</t>
        </is>
      </c>
      <c r="F618" t="inlineStr">
        <is>
          <t>Friday</t>
        </is>
      </c>
      <c r="G618" s="27" t="n">
        <v>44757</v>
      </c>
      <c r="H618" t="inlineStr">
        <is>
          <t>PM</t>
        </is>
      </c>
      <c r="I618" t="inlineStr">
        <is>
          <t>Sea Island, GA</t>
        </is>
      </c>
      <c r="J618" t="inlineStr">
        <is>
          <t>South</t>
        </is>
      </c>
      <c r="K618" t="n">
        <v>9</v>
      </c>
      <c r="L618" t="inlineStr">
        <is>
          <t>Front</t>
        </is>
      </c>
      <c r="M618" t="inlineStr">
        <is>
          <t>Seaside</t>
        </is>
      </c>
      <c r="N618" t="inlineStr">
        <is>
          <t>Green</t>
        </is>
      </c>
      <c r="O618" t="n">
        <v>70.5</v>
      </c>
      <c r="P618" t="n">
        <v>134</v>
      </c>
      <c r="Q618" t="n">
        <v>6389</v>
      </c>
      <c r="R618" t="inlineStr">
        <is>
          <t>FTAS</t>
        </is>
      </c>
      <c r="S618" t="inlineStr">
        <is>
          <t>FTAS</t>
        </is>
      </c>
      <c r="U618" t="inlineStr">
        <is>
          <t>Zimmer</t>
        </is>
      </c>
      <c r="V618" t="inlineStr">
        <is>
          <t>Cole</t>
        </is>
      </c>
      <c r="W618" t="inlineStr">
        <is>
          <t>Blue</t>
        </is>
      </c>
      <c r="AA618" t="n">
        <v>0.5</v>
      </c>
      <c r="AB618" t="inlineStr">
        <is>
          <t>L</t>
        </is>
      </c>
      <c r="AC618" t="inlineStr">
        <is>
          <t>1Up</t>
        </is>
      </c>
      <c r="AE618">
        <f>$V618&amp;$Y618</f>
        <v/>
      </c>
      <c r="AF618" t="n">
        <v>0</v>
      </c>
      <c r="AG618" t="n">
        <v>0</v>
      </c>
      <c r="AH618" t="n">
        <v>1</v>
      </c>
      <c r="AI618" t="n">
        <v>0</v>
      </c>
      <c r="AJ618" t="n">
        <v>0</v>
      </c>
    </row>
    <row r="619" ht="15" customHeight="1" s="2">
      <c r="B619" t="inlineStr">
        <is>
          <t>FT1</t>
        </is>
      </c>
      <c r="D619" t="n">
        <v>9</v>
      </c>
      <c r="E619" t="inlineStr">
        <is>
          <t>FBC9-FT</t>
        </is>
      </c>
      <c r="F619" t="inlineStr">
        <is>
          <t>Friday</t>
        </is>
      </c>
      <c r="G619" s="27" t="n">
        <v>44757</v>
      </c>
      <c r="H619" t="inlineStr">
        <is>
          <t>PM</t>
        </is>
      </c>
      <c r="I619" t="inlineStr">
        <is>
          <t>Sea Island, GA</t>
        </is>
      </c>
      <c r="J619" t="inlineStr">
        <is>
          <t>South</t>
        </is>
      </c>
      <c r="K619" t="n">
        <v>9</v>
      </c>
      <c r="L619" t="inlineStr">
        <is>
          <t>Front</t>
        </is>
      </c>
      <c r="M619" t="inlineStr">
        <is>
          <t>Seaside</t>
        </is>
      </c>
      <c r="N619" t="inlineStr">
        <is>
          <t>Green</t>
        </is>
      </c>
      <c r="O619" t="n">
        <v>70.5</v>
      </c>
      <c r="P619" t="n">
        <v>134</v>
      </c>
      <c r="Q619" t="n">
        <v>6389</v>
      </c>
      <c r="R619" t="inlineStr">
        <is>
          <t>FTAS</t>
        </is>
      </c>
      <c r="S619" t="inlineStr">
        <is>
          <t>FTAS</t>
        </is>
      </c>
      <c r="U619" t="inlineStr">
        <is>
          <t>Zimmer</t>
        </is>
      </c>
      <c r="V619" t="inlineStr">
        <is>
          <t>Hilts</t>
        </is>
      </c>
      <c r="W619" t="inlineStr">
        <is>
          <t>Blue</t>
        </is>
      </c>
      <c r="AA619" t="n">
        <v>0.5</v>
      </c>
      <c r="AB619" t="inlineStr">
        <is>
          <t>L</t>
        </is>
      </c>
      <c r="AC619" t="inlineStr">
        <is>
          <t>1Up</t>
        </is>
      </c>
      <c r="AE619">
        <f>$V619&amp;$Y619</f>
        <v/>
      </c>
      <c r="AF619" t="n">
        <v>0</v>
      </c>
      <c r="AG619" t="n">
        <v>0</v>
      </c>
      <c r="AH619" t="n">
        <v>1</v>
      </c>
      <c r="AI619" t="n">
        <v>0</v>
      </c>
      <c r="AJ619" t="n">
        <v>0</v>
      </c>
    </row>
    <row r="620" ht="15" customHeight="1" s="2">
      <c r="B620" t="inlineStr">
        <is>
          <t>FT1</t>
        </is>
      </c>
      <c r="D620" t="n">
        <v>9</v>
      </c>
      <c r="E620" t="inlineStr">
        <is>
          <t>FBC9-FT</t>
        </is>
      </c>
      <c r="F620" t="inlineStr">
        <is>
          <t>Friday</t>
        </is>
      </c>
      <c r="G620" s="27" t="n">
        <v>44757</v>
      </c>
      <c r="H620" t="inlineStr">
        <is>
          <t>PM</t>
        </is>
      </c>
      <c r="I620" t="inlineStr">
        <is>
          <t>Sea Island, GA</t>
        </is>
      </c>
      <c r="J620" t="inlineStr">
        <is>
          <t>South</t>
        </is>
      </c>
      <c r="K620" t="n">
        <v>9</v>
      </c>
      <c r="L620" t="inlineStr">
        <is>
          <t>Front</t>
        </is>
      </c>
      <c r="M620" t="inlineStr">
        <is>
          <t>Seaside</t>
        </is>
      </c>
      <c r="N620" t="inlineStr">
        <is>
          <t>Green</t>
        </is>
      </c>
      <c r="O620" t="n">
        <v>70.5</v>
      </c>
      <c r="P620" t="n">
        <v>134</v>
      </c>
      <c r="Q620" t="n">
        <v>6389</v>
      </c>
      <c r="R620" t="inlineStr">
        <is>
          <t>FTAS</t>
        </is>
      </c>
      <c r="S620" t="inlineStr">
        <is>
          <t>FTAS</t>
        </is>
      </c>
      <c r="U620" t="inlineStr">
        <is>
          <t>Zimmer</t>
        </is>
      </c>
      <c r="V620" t="inlineStr">
        <is>
          <t>Connors</t>
        </is>
      </c>
      <c r="W620" t="inlineStr">
        <is>
          <t>Blue</t>
        </is>
      </c>
      <c r="AA620" t="n">
        <v>0.5</v>
      </c>
      <c r="AB620" t="inlineStr">
        <is>
          <t>L</t>
        </is>
      </c>
      <c r="AC620" t="inlineStr">
        <is>
          <t>1Up</t>
        </is>
      </c>
      <c r="AE620">
        <f>$V620&amp;$Y620</f>
        <v/>
      </c>
      <c r="AF620" t="n">
        <v>0</v>
      </c>
      <c r="AG620" t="n">
        <v>0</v>
      </c>
      <c r="AH620" t="n">
        <v>1</v>
      </c>
      <c r="AI620" t="n">
        <v>0</v>
      </c>
      <c r="AJ620" t="n">
        <v>0</v>
      </c>
    </row>
    <row r="621" ht="15" customHeight="1" s="2">
      <c r="B621" t="n">
        <v>21</v>
      </c>
      <c r="C621" t="n">
        <v>1</v>
      </c>
      <c r="D621" t="n">
        <v>9</v>
      </c>
      <c r="E621" t="inlineStr">
        <is>
          <t>FBC9-S-Jackson-Lynch</t>
        </is>
      </c>
      <c r="F621" t="inlineStr">
        <is>
          <t>Saturday</t>
        </is>
      </c>
      <c r="G621" s="27" t="n">
        <v>44758</v>
      </c>
      <c r="H621" t="inlineStr">
        <is>
          <t>AM</t>
        </is>
      </c>
      <c r="I621" t="inlineStr">
        <is>
          <t>Sea Island, GA</t>
        </is>
      </c>
      <c r="J621" t="inlineStr">
        <is>
          <t>South</t>
        </is>
      </c>
      <c r="K621" t="n">
        <v>18</v>
      </c>
      <c r="L621" t="inlineStr">
        <is>
          <t>Full</t>
        </is>
      </c>
      <c r="M621" t="inlineStr">
        <is>
          <t>Seaside</t>
        </is>
      </c>
      <c r="N621" t="inlineStr">
        <is>
          <t>Green</t>
        </is>
      </c>
      <c r="O621" t="n">
        <v>70.5</v>
      </c>
      <c r="P621" t="n">
        <v>134</v>
      </c>
      <c r="Q621" t="n">
        <v>6389</v>
      </c>
      <c r="R621" t="inlineStr">
        <is>
          <t>Match Play</t>
        </is>
      </c>
      <c r="S621" t="inlineStr">
        <is>
          <t>Singles</t>
        </is>
      </c>
      <c r="U621" t="inlineStr">
        <is>
          <t>Gray</t>
        </is>
      </c>
      <c r="V621" t="inlineStr">
        <is>
          <t>Lynch</t>
        </is>
      </c>
      <c r="AA621" t="n">
        <v>2</v>
      </c>
      <c r="AB621" t="inlineStr">
        <is>
          <t>W</t>
        </is>
      </c>
      <c r="AC621" t="inlineStr">
        <is>
          <t>2&amp;1</t>
        </is>
      </c>
      <c r="AD621" t="inlineStr">
        <is>
          <t>Jackson</t>
        </is>
      </c>
      <c r="AE621">
        <f>$V621&amp;$Y621</f>
        <v/>
      </c>
      <c r="AF621" t="n">
        <v>2</v>
      </c>
      <c r="AG621" t="n">
        <v>1</v>
      </c>
      <c r="AH621" t="n">
        <v>0</v>
      </c>
      <c r="AI621" t="n">
        <v>0</v>
      </c>
      <c r="AJ621" t="n">
        <v>1</v>
      </c>
      <c r="AK621" t="inlineStr">
        <is>
          <t>Jackson</t>
        </is>
      </c>
      <c r="AL621" t="n">
        <v>0.6171875</v>
      </c>
    </row>
    <row r="622" ht="15" customHeight="1" s="2">
      <c r="B622" t="n">
        <v>21</v>
      </c>
      <c r="C622" t="n">
        <v>2</v>
      </c>
      <c r="D622" t="n">
        <v>9</v>
      </c>
      <c r="E622" t="inlineStr">
        <is>
          <t>FBC9-S-Cole-Ferrin</t>
        </is>
      </c>
      <c r="F622" t="inlineStr">
        <is>
          <t>Saturday</t>
        </is>
      </c>
      <c r="G622" s="27" t="n">
        <v>44758</v>
      </c>
      <c r="H622" t="inlineStr">
        <is>
          <t>AM</t>
        </is>
      </c>
      <c r="I622" t="inlineStr">
        <is>
          <t>Sea Island, GA</t>
        </is>
      </c>
      <c r="J622" t="inlineStr">
        <is>
          <t>South</t>
        </is>
      </c>
      <c r="K622" t="n">
        <v>18</v>
      </c>
      <c r="L622" t="inlineStr">
        <is>
          <t>Full</t>
        </is>
      </c>
      <c r="M622" t="inlineStr">
        <is>
          <t>Seaside</t>
        </is>
      </c>
      <c r="N622" t="inlineStr">
        <is>
          <t>Green</t>
        </is>
      </c>
      <c r="O622" t="n">
        <v>70.5</v>
      </c>
      <c r="P622" t="n">
        <v>134</v>
      </c>
      <c r="Q622" t="n">
        <v>6389</v>
      </c>
      <c r="R622" t="inlineStr">
        <is>
          <t>Match Play</t>
        </is>
      </c>
      <c r="S622" t="inlineStr">
        <is>
          <t>Singles</t>
        </is>
      </c>
      <c r="U622" t="inlineStr">
        <is>
          <t>Gray</t>
        </is>
      </c>
      <c r="V622" t="inlineStr">
        <is>
          <t>Cole</t>
        </is>
      </c>
      <c r="AA622" t="n">
        <v>2</v>
      </c>
      <c r="AB622" t="inlineStr">
        <is>
          <t>L</t>
        </is>
      </c>
      <c r="AC622" t="inlineStr">
        <is>
          <t>1Up</t>
        </is>
      </c>
      <c r="AD622" t="inlineStr">
        <is>
          <t>Ferrin</t>
        </is>
      </c>
      <c r="AE622">
        <f>$V622&amp;$Y622</f>
        <v/>
      </c>
      <c r="AF622" t="n">
        <v>0</v>
      </c>
      <c r="AG622" t="n">
        <v>0</v>
      </c>
      <c r="AH622" t="n">
        <v>1</v>
      </c>
      <c r="AI622" t="n">
        <v>0</v>
      </c>
      <c r="AJ622" t="n">
        <v>0</v>
      </c>
      <c r="AK622" t="inlineStr">
        <is>
          <t>Ferrin</t>
        </is>
      </c>
      <c r="AL622" t="n">
        <v>0.595238095238095</v>
      </c>
    </row>
    <row r="623" ht="15" customHeight="1" s="2">
      <c r="B623" t="n">
        <v>22</v>
      </c>
      <c r="C623" t="n">
        <v>3</v>
      </c>
      <c r="D623" t="n">
        <v>9</v>
      </c>
      <c r="E623" t="inlineStr">
        <is>
          <t>FBC9-S-Shively-Zimmer</t>
        </is>
      </c>
      <c r="F623" t="inlineStr">
        <is>
          <t>Saturday</t>
        </is>
      </c>
      <c r="G623" s="27" t="n">
        <v>44758</v>
      </c>
      <c r="H623" t="inlineStr">
        <is>
          <t>AM</t>
        </is>
      </c>
      <c r="I623" t="inlineStr">
        <is>
          <t>Sea Island, GA</t>
        </is>
      </c>
      <c r="J623" t="inlineStr">
        <is>
          <t>South</t>
        </is>
      </c>
      <c r="K623" t="n">
        <v>18</v>
      </c>
      <c r="L623" t="inlineStr">
        <is>
          <t>Full</t>
        </is>
      </c>
      <c r="M623" t="inlineStr">
        <is>
          <t>Seaside</t>
        </is>
      </c>
      <c r="N623" t="inlineStr">
        <is>
          <t>Green</t>
        </is>
      </c>
      <c r="O623" t="n">
        <v>70.5</v>
      </c>
      <c r="P623" t="n">
        <v>134</v>
      </c>
      <c r="Q623" t="n">
        <v>6389</v>
      </c>
      <c r="R623" t="inlineStr">
        <is>
          <t>Match Play</t>
        </is>
      </c>
      <c r="S623" t="inlineStr">
        <is>
          <t>Singles</t>
        </is>
      </c>
      <c r="U623" t="inlineStr">
        <is>
          <t>Gray</t>
        </is>
      </c>
      <c r="V623" t="inlineStr">
        <is>
          <t>Shively</t>
        </is>
      </c>
      <c r="AA623" t="n">
        <v>2</v>
      </c>
      <c r="AB623" t="inlineStr">
        <is>
          <t>L</t>
        </is>
      </c>
      <c r="AC623" t="inlineStr">
        <is>
          <t>2Up</t>
        </is>
      </c>
      <c r="AD623" t="inlineStr">
        <is>
          <t>Zimmer</t>
        </is>
      </c>
      <c r="AE623">
        <f>$V623&amp;$Y623</f>
        <v/>
      </c>
      <c r="AF623" t="n">
        <v>0</v>
      </c>
      <c r="AG623" t="n">
        <v>0</v>
      </c>
      <c r="AH623" t="n">
        <v>1</v>
      </c>
      <c r="AI623" t="n">
        <v>0</v>
      </c>
      <c r="AJ623" t="n">
        <v>0</v>
      </c>
      <c r="AK623" t="inlineStr">
        <is>
          <t>Zimmer</t>
        </is>
      </c>
      <c r="AL623" t="n">
        <v>0.5</v>
      </c>
    </row>
    <row r="624" ht="15" customHeight="1" s="2">
      <c r="B624" t="n">
        <v>22</v>
      </c>
      <c r="C624" t="n">
        <v>4</v>
      </c>
      <c r="D624" t="n">
        <v>9</v>
      </c>
      <c r="E624" t="inlineStr">
        <is>
          <t>FBC9-S-Forster-Perkins</t>
        </is>
      </c>
      <c r="F624" t="inlineStr">
        <is>
          <t>Saturday</t>
        </is>
      </c>
      <c r="G624" s="27" t="n">
        <v>44758</v>
      </c>
      <c r="H624" t="inlineStr">
        <is>
          <t>AM</t>
        </is>
      </c>
      <c r="I624" t="inlineStr">
        <is>
          <t>Sea Island, GA</t>
        </is>
      </c>
      <c r="J624" t="inlineStr">
        <is>
          <t>South</t>
        </is>
      </c>
      <c r="K624" t="n">
        <v>18</v>
      </c>
      <c r="L624" t="inlineStr">
        <is>
          <t>Full</t>
        </is>
      </c>
      <c r="M624" t="inlineStr">
        <is>
          <t>Seaside</t>
        </is>
      </c>
      <c r="N624" t="inlineStr">
        <is>
          <t>Green</t>
        </is>
      </c>
      <c r="O624" t="n">
        <v>70.5</v>
      </c>
      <c r="P624" t="n">
        <v>134</v>
      </c>
      <c r="Q624" t="n">
        <v>6389</v>
      </c>
      <c r="R624" t="inlineStr">
        <is>
          <t>Match Play</t>
        </is>
      </c>
      <c r="S624" t="inlineStr">
        <is>
          <t>Singles</t>
        </is>
      </c>
      <c r="U624" t="inlineStr">
        <is>
          <t>Gray</t>
        </is>
      </c>
      <c r="V624" t="inlineStr">
        <is>
          <t>Perkins</t>
        </is>
      </c>
      <c r="AA624" t="n">
        <v>2</v>
      </c>
      <c r="AB624" t="inlineStr">
        <is>
          <t>W</t>
        </is>
      </c>
      <c r="AC624" t="inlineStr">
        <is>
          <t>7&amp;5</t>
        </is>
      </c>
      <c r="AD624" t="inlineStr">
        <is>
          <t>Forster</t>
        </is>
      </c>
      <c r="AE624">
        <f>$V624&amp;$Y624</f>
        <v/>
      </c>
      <c r="AF624" t="n">
        <v>2</v>
      </c>
      <c r="AG624" t="n">
        <v>1</v>
      </c>
      <c r="AH624" t="n">
        <v>0</v>
      </c>
      <c r="AI624" t="n">
        <v>0</v>
      </c>
      <c r="AJ624" t="n">
        <v>1</v>
      </c>
      <c r="AK624" t="inlineStr">
        <is>
          <t>Forster</t>
        </is>
      </c>
      <c r="AL624" t="n">
        <v>0.596491228070175</v>
      </c>
    </row>
    <row r="625" ht="15" customHeight="1" s="2">
      <c r="B625" t="n">
        <v>23</v>
      </c>
      <c r="C625" t="n">
        <v>5</v>
      </c>
      <c r="D625" t="n">
        <v>9</v>
      </c>
      <c r="E625" t="inlineStr">
        <is>
          <t>FBC9-S-Connolly-Welker</t>
        </is>
      </c>
      <c r="F625" t="inlineStr">
        <is>
          <t>Saturday</t>
        </is>
      </c>
      <c r="G625" s="27" t="n">
        <v>44758</v>
      </c>
      <c r="H625" t="inlineStr">
        <is>
          <t>AM</t>
        </is>
      </c>
      <c r="I625" t="inlineStr">
        <is>
          <t>Sea Island, GA</t>
        </is>
      </c>
      <c r="J625" t="inlineStr">
        <is>
          <t>South</t>
        </is>
      </c>
      <c r="K625" t="n">
        <v>18</v>
      </c>
      <c r="L625" t="inlineStr">
        <is>
          <t>Full</t>
        </is>
      </c>
      <c r="M625" t="inlineStr">
        <is>
          <t>Seaside</t>
        </is>
      </c>
      <c r="N625" t="inlineStr">
        <is>
          <t>Green</t>
        </is>
      </c>
      <c r="O625" t="n">
        <v>70.5</v>
      </c>
      <c r="P625" t="n">
        <v>134</v>
      </c>
      <c r="Q625" t="n">
        <v>6389</v>
      </c>
      <c r="R625" t="inlineStr">
        <is>
          <t>Match Play</t>
        </is>
      </c>
      <c r="S625" t="inlineStr">
        <is>
          <t>Singles</t>
        </is>
      </c>
      <c r="U625" t="inlineStr">
        <is>
          <t>Gray</t>
        </is>
      </c>
      <c r="V625" t="inlineStr">
        <is>
          <t>Connolly</t>
        </is>
      </c>
      <c r="AA625" t="n">
        <v>2</v>
      </c>
      <c r="AB625" t="inlineStr">
        <is>
          <t>L</t>
        </is>
      </c>
      <c r="AC625" t="inlineStr">
        <is>
          <t>6&amp;5</t>
        </is>
      </c>
      <c r="AD625" t="inlineStr">
        <is>
          <t>Welker</t>
        </is>
      </c>
      <c r="AE625">
        <f>$V625&amp;$Y625</f>
        <v/>
      </c>
      <c r="AF625" t="n">
        <v>0</v>
      </c>
      <c r="AG625" t="n">
        <v>0</v>
      </c>
      <c r="AH625" t="n">
        <v>1</v>
      </c>
      <c r="AI625" t="n">
        <v>0</v>
      </c>
      <c r="AJ625" t="n">
        <v>0</v>
      </c>
      <c r="AK625" t="inlineStr">
        <is>
          <t>Welker</t>
        </is>
      </c>
      <c r="AL625" t="n">
        <v>0.510416666666667</v>
      </c>
    </row>
    <row r="626" ht="15" customHeight="1" s="2">
      <c r="B626" t="n">
        <v>23</v>
      </c>
      <c r="C626" t="n">
        <v>6</v>
      </c>
      <c r="D626" t="n">
        <v>9</v>
      </c>
      <c r="E626" t="inlineStr">
        <is>
          <t>FBC9-S-Grise-McInerney</t>
        </is>
      </c>
      <c r="F626" t="inlineStr">
        <is>
          <t>Saturday</t>
        </is>
      </c>
      <c r="G626" s="27" t="n">
        <v>44758</v>
      </c>
      <c r="H626" t="inlineStr">
        <is>
          <t>AM</t>
        </is>
      </c>
      <c r="I626" t="inlineStr">
        <is>
          <t>Sea Island, GA</t>
        </is>
      </c>
      <c r="J626" t="inlineStr">
        <is>
          <t>South</t>
        </is>
      </c>
      <c r="K626" t="n">
        <v>18</v>
      </c>
      <c r="L626" t="inlineStr">
        <is>
          <t>Full</t>
        </is>
      </c>
      <c r="M626" t="inlineStr">
        <is>
          <t>Seaside</t>
        </is>
      </c>
      <c r="N626" t="inlineStr">
        <is>
          <t>Green</t>
        </is>
      </c>
      <c r="O626" t="n">
        <v>70.5</v>
      </c>
      <c r="P626" t="n">
        <v>134</v>
      </c>
      <c r="Q626" t="n">
        <v>6389</v>
      </c>
      <c r="R626" t="inlineStr">
        <is>
          <t>Match Play</t>
        </is>
      </c>
      <c r="S626" t="inlineStr">
        <is>
          <t>Singles</t>
        </is>
      </c>
      <c r="U626" t="inlineStr">
        <is>
          <t>Gray</t>
        </is>
      </c>
      <c r="V626" t="inlineStr">
        <is>
          <t>McInerney</t>
        </is>
      </c>
      <c r="AA626" t="n">
        <v>2</v>
      </c>
      <c r="AB626" t="inlineStr">
        <is>
          <t>W</t>
        </is>
      </c>
      <c r="AC626" t="inlineStr">
        <is>
          <t>4&amp;3</t>
        </is>
      </c>
      <c r="AD626" t="inlineStr">
        <is>
          <t>Grise</t>
        </is>
      </c>
      <c r="AE626">
        <f>$V626&amp;$Y626</f>
        <v/>
      </c>
      <c r="AF626" t="n">
        <v>2</v>
      </c>
      <c r="AG626" t="n">
        <v>1</v>
      </c>
      <c r="AH626" t="n">
        <v>0</v>
      </c>
      <c r="AI626" t="n">
        <v>0</v>
      </c>
      <c r="AJ626" t="n">
        <v>1</v>
      </c>
      <c r="AK626" t="inlineStr">
        <is>
          <t>Grise</t>
        </is>
      </c>
      <c r="AL626" t="n">
        <v>0.546875</v>
      </c>
    </row>
    <row r="627" ht="15" customHeight="1" s="2">
      <c r="B627" t="n">
        <v>24</v>
      </c>
      <c r="C627" t="n">
        <v>7</v>
      </c>
      <c r="D627" t="n">
        <v>9</v>
      </c>
      <c r="E627" t="inlineStr">
        <is>
          <t>FBC9-S-Fogan-Hilts</t>
        </is>
      </c>
      <c r="F627" t="inlineStr">
        <is>
          <t>Saturday</t>
        </is>
      </c>
      <c r="G627" s="27" t="n">
        <v>44758</v>
      </c>
      <c r="H627" t="inlineStr">
        <is>
          <t>AM</t>
        </is>
      </c>
      <c r="I627" t="inlineStr">
        <is>
          <t>Sea Island, GA</t>
        </is>
      </c>
      <c r="J627" t="inlineStr">
        <is>
          <t>South</t>
        </is>
      </c>
      <c r="K627" t="n">
        <v>18</v>
      </c>
      <c r="L627" t="inlineStr">
        <is>
          <t>Full</t>
        </is>
      </c>
      <c r="M627" t="inlineStr">
        <is>
          <t>Seaside</t>
        </is>
      </c>
      <c r="N627" t="inlineStr">
        <is>
          <t>Green</t>
        </is>
      </c>
      <c r="O627" t="n">
        <v>70.5</v>
      </c>
      <c r="P627" t="n">
        <v>134</v>
      </c>
      <c r="Q627" t="n">
        <v>6389</v>
      </c>
      <c r="R627" t="inlineStr">
        <is>
          <t>Match Play</t>
        </is>
      </c>
      <c r="S627" t="inlineStr">
        <is>
          <t>Singles</t>
        </is>
      </c>
      <c r="U627" t="inlineStr">
        <is>
          <t>Gray</t>
        </is>
      </c>
      <c r="V627" t="inlineStr">
        <is>
          <t>Hilts</t>
        </is>
      </c>
      <c r="AA627" t="n">
        <v>2</v>
      </c>
      <c r="AB627" t="inlineStr">
        <is>
          <t>L</t>
        </is>
      </c>
      <c r="AC627" t="inlineStr">
        <is>
          <t>1Up</t>
        </is>
      </c>
      <c r="AD627" t="inlineStr">
        <is>
          <t>Fogan</t>
        </is>
      </c>
      <c r="AE627">
        <f>$V627&amp;$Y627</f>
        <v/>
      </c>
      <c r="AF627" t="n">
        <v>0</v>
      </c>
      <c r="AG627" t="n">
        <v>0</v>
      </c>
      <c r="AH627" t="n">
        <v>1</v>
      </c>
      <c r="AI627" t="n">
        <v>0</v>
      </c>
      <c r="AJ627" t="n">
        <v>0</v>
      </c>
      <c r="AK627" t="inlineStr">
        <is>
          <t>Fogan</t>
        </is>
      </c>
      <c r="AL627" t="n">
        <v>0.372881355932203</v>
      </c>
    </row>
    <row r="628" ht="15" customHeight="1" s="2">
      <c r="B628" t="n">
        <v>24</v>
      </c>
      <c r="C628" t="n">
        <v>8</v>
      </c>
      <c r="D628" t="n">
        <v>9</v>
      </c>
      <c r="E628" t="inlineStr">
        <is>
          <t>FBC9-S-Flanders-Poirier</t>
        </is>
      </c>
      <c r="F628" t="inlineStr">
        <is>
          <t>Saturday</t>
        </is>
      </c>
      <c r="G628" s="27" t="n">
        <v>44758</v>
      </c>
      <c r="H628" t="inlineStr">
        <is>
          <t>AM</t>
        </is>
      </c>
      <c r="I628" t="inlineStr">
        <is>
          <t>Sea Island, GA</t>
        </is>
      </c>
      <c r="J628" t="inlineStr">
        <is>
          <t>South</t>
        </is>
      </c>
      <c r="K628" t="n">
        <v>18</v>
      </c>
      <c r="L628" t="inlineStr">
        <is>
          <t>Full</t>
        </is>
      </c>
      <c r="M628" t="inlineStr">
        <is>
          <t>Seaside</t>
        </is>
      </c>
      <c r="N628" t="inlineStr">
        <is>
          <t>Green</t>
        </is>
      </c>
      <c r="O628" t="n">
        <v>70.5</v>
      </c>
      <c r="P628" t="n">
        <v>134</v>
      </c>
      <c r="Q628" t="n">
        <v>6389</v>
      </c>
      <c r="R628" t="inlineStr">
        <is>
          <t>Match Play</t>
        </is>
      </c>
      <c r="S628" t="inlineStr">
        <is>
          <t>Singles</t>
        </is>
      </c>
      <c r="U628" t="inlineStr">
        <is>
          <t>Gray</t>
        </is>
      </c>
      <c r="V628" t="inlineStr">
        <is>
          <t>Flanders</t>
        </is>
      </c>
      <c r="AA628" t="n">
        <v>2</v>
      </c>
      <c r="AB628" t="inlineStr">
        <is>
          <t>T</t>
        </is>
      </c>
      <c r="AC628" t="inlineStr">
        <is>
          <t>Halved</t>
        </is>
      </c>
      <c r="AD628" t="inlineStr">
        <is>
          <t>Poirier</t>
        </is>
      </c>
      <c r="AE628">
        <f>$V628&amp;$Y628</f>
        <v/>
      </c>
      <c r="AF628" t="n">
        <v>1</v>
      </c>
      <c r="AG628" t="n">
        <v>0</v>
      </c>
      <c r="AH628" t="n">
        <v>0</v>
      </c>
      <c r="AI628" t="n">
        <v>1</v>
      </c>
      <c r="AJ628" t="n">
        <v>0.5</v>
      </c>
      <c r="AK628" t="inlineStr">
        <is>
          <t>Poirier</t>
        </is>
      </c>
      <c r="AL628" t="n">
        <v>0.486111111111111</v>
      </c>
    </row>
    <row r="629" ht="15" customHeight="1" s="2">
      <c r="B629" t="n">
        <v>25</v>
      </c>
      <c r="C629" t="n">
        <v>9</v>
      </c>
      <c r="D629" t="n">
        <v>9</v>
      </c>
      <c r="E629" t="inlineStr">
        <is>
          <t>FBC9-S-Delaney-Delneky</t>
        </is>
      </c>
      <c r="F629" t="inlineStr">
        <is>
          <t>Saturday</t>
        </is>
      </c>
      <c r="G629" s="27" t="n">
        <v>44758</v>
      </c>
      <c r="H629" t="inlineStr">
        <is>
          <t>AM</t>
        </is>
      </c>
      <c r="I629" t="inlineStr">
        <is>
          <t>Sea Island, GA</t>
        </is>
      </c>
      <c r="J629" t="inlineStr">
        <is>
          <t>South</t>
        </is>
      </c>
      <c r="K629" t="n">
        <v>18</v>
      </c>
      <c r="L629" t="inlineStr">
        <is>
          <t>Full</t>
        </is>
      </c>
      <c r="M629" t="inlineStr">
        <is>
          <t>Seaside</t>
        </is>
      </c>
      <c r="N629" t="inlineStr">
        <is>
          <t>Green</t>
        </is>
      </c>
      <c r="O629" t="n">
        <v>70.5</v>
      </c>
      <c r="P629" t="n">
        <v>134</v>
      </c>
      <c r="Q629" t="n">
        <v>6389</v>
      </c>
      <c r="R629" t="inlineStr">
        <is>
          <t>Match Play</t>
        </is>
      </c>
      <c r="S629" t="inlineStr">
        <is>
          <t>Singles</t>
        </is>
      </c>
      <c r="U629" t="inlineStr">
        <is>
          <t>Gray</t>
        </is>
      </c>
      <c r="V629" t="inlineStr">
        <is>
          <t>Delaney</t>
        </is>
      </c>
      <c r="AA629" t="n">
        <v>2</v>
      </c>
      <c r="AB629" t="inlineStr">
        <is>
          <t>W</t>
        </is>
      </c>
      <c r="AC629" t="inlineStr">
        <is>
          <t>6&amp;5</t>
        </is>
      </c>
      <c r="AD629" t="inlineStr">
        <is>
          <t>Delneky</t>
        </is>
      </c>
      <c r="AE629">
        <f>$V629&amp;$Y629</f>
        <v/>
      </c>
      <c r="AF629" t="n">
        <v>2</v>
      </c>
      <c r="AG629" t="n">
        <v>1</v>
      </c>
      <c r="AH629" t="n">
        <v>0</v>
      </c>
      <c r="AI629" t="n">
        <v>0</v>
      </c>
      <c r="AJ629" t="n">
        <v>1</v>
      </c>
      <c r="AK629" t="inlineStr">
        <is>
          <t>Delneky</t>
        </is>
      </c>
      <c r="AL629" t="n">
        <v>0.6590909090909089</v>
      </c>
    </row>
    <row r="630" ht="15" customHeight="1" s="2">
      <c r="B630" t="n">
        <v>25</v>
      </c>
      <c r="C630" t="n">
        <v>10</v>
      </c>
      <c r="D630" t="n">
        <v>9</v>
      </c>
      <c r="E630" t="inlineStr">
        <is>
          <t>FBC9-S-Connors-Deoteris</t>
        </is>
      </c>
      <c r="F630" t="inlineStr">
        <is>
          <t>Saturday</t>
        </is>
      </c>
      <c r="G630" s="27" t="n">
        <v>44758</v>
      </c>
      <c r="H630" t="inlineStr">
        <is>
          <t>AM</t>
        </is>
      </c>
      <c r="I630" t="inlineStr">
        <is>
          <t>Sea Island, GA</t>
        </is>
      </c>
      <c r="J630" t="inlineStr">
        <is>
          <t>South</t>
        </is>
      </c>
      <c r="K630" t="n">
        <v>18</v>
      </c>
      <c r="L630" t="inlineStr">
        <is>
          <t>Full</t>
        </is>
      </c>
      <c r="M630" t="inlineStr">
        <is>
          <t>Seaside</t>
        </is>
      </c>
      <c r="N630" t="inlineStr">
        <is>
          <t>Green</t>
        </is>
      </c>
      <c r="O630" t="n">
        <v>70.5</v>
      </c>
      <c r="P630" t="n">
        <v>134</v>
      </c>
      <c r="Q630" t="n">
        <v>6389</v>
      </c>
      <c r="R630" t="inlineStr">
        <is>
          <t>Match Play</t>
        </is>
      </c>
      <c r="S630" t="inlineStr">
        <is>
          <t>Singles</t>
        </is>
      </c>
      <c r="U630" t="inlineStr">
        <is>
          <t>Gray</t>
        </is>
      </c>
      <c r="V630" t="inlineStr">
        <is>
          <t>Connors</t>
        </is>
      </c>
      <c r="AA630" t="n">
        <v>2</v>
      </c>
      <c r="AB630" t="inlineStr">
        <is>
          <t>T</t>
        </is>
      </c>
      <c r="AC630" t="inlineStr">
        <is>
          <t>Halved</t>
        </is>
      </c>
      <c r="AD630" t="inlineStr">
        <is>
          <t>Deoteris</t>
        </is>
      </c>
      <c r="AE630">
        <f>$V630&amp;$Y630</f>
        <v/>
      </c>
      <c r="AF630" t="n">
        <v>1</v>
      </c>
      <c r="AG630" t="n">
        <v>0</v>
      </c>
      <c r="AH630" t="n">
        <v>0</v>
      </c>
      <c r="AI630" t="n">
        <v>1</v>
      </c>
      <c r="AJ630" t="n">
        <v>0.5</v>
      </c>
      <c r="AK630" t="inlineStr">
        <is>
          <t>Deoteris</t>
        </is>
      </c>
      <c r="AL630" t="n">
        <v>0.545454545454545</v>
      </c>
    </row>
    <row r="631" ht="15" customHeight="1" s="2">
      <c r="B631" t="n">
        <v>26</v>
      </c>
      <c r="C631" t="n">
        <v>1</v>
      </c>
      <c r="D631" t="n">
        <v>9</v>
      </c>
      <c r="E631" t="inlineStr">
        <is>
          <t>FBC9-S-Jackson-Lynch</t>
        </is>
      </c>
      <c r="F631" t="inlineStr">
        <is>
          <t>Saturday</t>
        </is>
      </c>
      <c r="G631" s="27" t="n">
        <v>44758</v>
      </c>
      <c r="H631" t="inlineStr">
        <is>
          <t>AM</t>
        </is>
      </c>
      <c r="I631" t="inlineStr">
        <is>
          <t>Sea Island, GA</t>
        </is>
      </c>
      <c r="J631" t="inlineStr">
        <is>
          <t>South</t>
        </is>
      </c>
      <c r="K631" t="n">
        <v>18</v>
      </c>
      <c r="L631" t="inlineStr">
        <is>
          <t>Full</t>
        </is>
      </c>
      <c r="M631" t="inlineStr">
        <is>
          <t>Seaside</t>
        </is>
      </c>
      <c r="N631" t="inlineStr">
        <is>
          <t>Green</t>
        </is>
      </c>
      <c r="O631" t="n">
        <v>70.5</v>
      </c>
      <c r="P631" t="n">
        <v>134</v>
      </c>
      <c r="Q631" t="n">
        <v>6389</v>
      </c>
      <c r="R631" t="inlineStr">
        <is>
          <t>Match Play</t>
        </is>
      </c>
      <c r="S631" t="inlineStr">
        <is>
          <t>Singles</t>
        </is>
      </c>
      <c r="U631" t="inlineStr">
        <is>
          <t>Zimmer</t>
        </is>
      </c>
      <c r="V631" t="inlineStr">
        <is>
          <t>Jackson</t>
        </is>
      </c>
      <c r="AA631" t="n">
        <v>2</v>
      </c>
      <c r="AB631" t="inlineStr">
        <is>
          <t>L</t>
        </is>
      </c>
      <c r="AC631" t="inlineStr">
        <is>
          <t>2&amp;1</t>
        </is>
      </c>
      <c r="AD631" t="inlineStr">
        <is>
          <t>Lynch</t>
        </is>
      </c>
      <c r="AE631">
        <f>$V631&amp;$Y631</f>
        <v/>
      </c>
      <c r="AF631" t="n">
        <v>0</v>
      </c>
      <c r="AG631" t="n">
        <v>0</v>
      </c>
      <c r="AH631" t="n">
        <v>1</v>
      </c>
      <c r="AI631" t="n">
        <v>0</v>
      </c>
      <c r="AJ631" t="n">
        <v>0</v>
      </c>
      <c r="AK631" t="inlineStr">
        <is>
          <t>Lynch</t>
        </is>
      </c>
      <c r="AL631" t="n">
        <v>0.5546875</v>
      </c>
    </row>
    <row r="632" ht="15" customHeight="1" s="2">
      <c r="B632" t="n">
        <v>26</v>
      </c>
      <c r="C632" t="n">
        <v>2</v>
      </c>
      <c r="D632" t="n">
        <v>9</v>
      </c>
      <c r="E632" t="inlineStr">
        <is>
          <t>FBC9-S-Cole-Ferrin</t>
        </is>
      </c>
      <c r="F632" t="inlineStr">
        <is>
          <t>Saturday</t>
        </is>
      </c>
      <c r="G632" s="27" t="n">
        <v>44758</v>
      </c>
      <c r="H632" t="inlineStr">
        <is>
          <t>AM</t>
        </is>
      </c>
      <c r="I632" t="inlineStr">
        <is>
          <t>Sea Island, GA</t>
        </is>
      </c>
      <c r="J632" t="inlineStr">
        <is>
          <t>South</t>
        </is>
      </c>
      <c r="K632" t="n">
        <v>18</v>
      </c>
      <c r="L632" t="inlineStr">
        <is>
          <t>Full</t>
        </is>
      </c>
      <c r="M632" t="inlineStr">
        <is>
          <t>Seaside</t>
        </is>
      </c>
      <c r="N632" t="inlineStr">
        <is>
          <t>Green</t>
        </is>
      </c>
      <c r="O632" t="n">
        <v>70.5</v>
      </c>
      <c r="P632" t="n">
        <v>134</v>
      </c>
      <c r="Q632" t="n">
        <v>6389</v>
      </c>
      <c r="R632" t="inlineStr">
        <is>
          <t>Match Play</t>
        </is>
      </c>
      <c r="S632" t="inlineStr">
        <is>
          <t>Singles</t>
        </is>
      </c>
      <c r="U632" t="inlineStr">
        <is>
          <t>Zimmer</t>
        </is>
      </c>
      <c r="V632" t="inlineStr">
        <is>
          <t>Ferrin</t>
        </is>
      </c>
      <c r="AA632" t="n">
        <v>2</v>
      </c>
      <c r="AB632" t="inlineStr">
        <is>
          <t>W</t>
        </is>
      </c>
      <c r="AC632" t="inlineStr">
        <is>
          <t>1Up</t>
        </is>
      </c>
      <c r="AD632" t="inlineStr">
        <is>
          <t>Cole</t>
        </is>
      </c>
      <c r="AE632">
        <f>$V632&amp;$Y632</f>
        <v/>
      </c>
      <c r="AF632" t="n">
        <v>2</v>
      </c>
      <c r="AG632" t="n">
        <v>1</v>
      </c>
      <c r="AH632" t="n">
        <v>0</v>
      </c>
      <c r="AI632" t="n">
        <v>0</v>
      </c>
      <c r="AJ632" t="n">
        <v>1</v>
      </c>
      <c r="AK632" t="inlineStr">
        <is>
          <t>Cole</t>
        </is>
      </c>
      <c r="AL632" t="n">
        <v>0.440677966101695</v>
      </c>
    </row>
    <row r="633" ht="15" customHeight="1" s="2">
      <c r="B633" t="n">
        <v>27</v>
      </c>
      <c r="C633" t="n">
        <v>3</v>
      </c>
      <c r="D633" t="n">
        <v>9</v>
      </c>
      <c r="E633" t="inlineStr">
        <is>
          <t>FBC9-S-Shively-Zimmer</t>
        </is>
      </c>
      <c r="F633" t="inlineStr">
        <is>
          <t>Saturday</t>
        </is>
      </c>
      <c r="G633" s="27" t="n">
        <v>44758</v>
      </c>
      <c r="H633" t="inlineStr">
        <is>
          <t>AM</t>
        </is>
      </c>
      <c r="I633" t="inlineStr">
        <is>
          <t>Sea Island, GA</t>
        </is>
      </c>
      <c r="J633" t="inlineStr">
        <is>
          <t>South</t>
        </is>
      </c>
      <c r="K633" t="n">
        <v>18</v>
      </c>
      <c r="L633" t="inlineStr">
        <is>
          <t>Full</t>
        </is>
      </c>
      <c r="M633" t="inlineStr">
        <is>
          <t>Seaside</t>
        </is>
      </c>
      <c r="N633" t="inlineStr">
        <is>
          <t>Green</t>
        </is>
      </c>
      <c r="O633" t="n">
        <v>70.5</v>
      </c>
      <c r="P633" t="n">
        <v>134</v>
      </c>
      <c r="Q633" t="n">
        <v>6389</v>
      </c>
      <c r="R633" t="inlineStr">
        <is>
          <t>Match Play</t>
        </is>
      </c>
      <c r="S633" t="inlineStr">
        <is>
          <t>Singles</t>
        </is>
      </c>
      <c r="U633" t="inlineStr">
        <is>
          <t>Zimmer</t>
        </is>
      </c>
      <c r="V633" t="inlineStr">
        <is>
          <t>Zimmer</t>
        </is>
      </c>
      <c r="AA633" t="n">
        <v>2</v>
      </c>
      <c r="AB633" t="inlineStr">
        <is>
          <t>W</t>
        </is>
      </c>
      <c r="AC633" t="inlineStr">
        <is>
          <t>2Up</t>
        </is>
      </c>
      <c r="AD633" t="inlineStr">
        <is>
          <t>Shively</t>
        </is>
      </c>
      <c r="AE633">
        <f>$V633&amp;$Y633</f>
        <v/>
      </c>
      <c r="AF633" t="n">
        <v>2</v>
      </c>
      <c r="AG633" t="n">
        <v>1</v>
      </c>
      <c r="AH633" t="n">
        <v>0</v>
      </c>
      <c r="AI633" t="n">
        <v>0</v>
      </c>
      <c r="AJ633" t="n">
        <v>1</v>
      </c>
      <c r="AK633" t="inlineStr">
        <is>
          <t>Shively</t>
        </is>
      </c>
    </row>
    <row r="634" ht="15" customHeight="1" s="2">
      <c r="B634" t="n">
        <v>27</v>
      </c>
      <c r="C634" t="n">
        <v>4</v>
      </c>
      <c r="D634" t="n">
        <v>9</v>
      </c>
      <c r="E634" t="inlineStr">
        <is>
          <t>FBC9-S-Forster-Perkins</t>
        </is>
      </c>
      <c r="F634" t="inlineStr">
        <is>
          <t>Saturday</t>
        </is>
      </c>
      <c r="G634" s="27" t="n">
        <v>44758</v>
      </c>
      <c r="H634" t="inlineStr">
        <is>
          <t>AM</t>
        </is>
      </c>
      <c r="I634" t="inlineStr">
        <is>
          <t>Sea Island, GA</t>
        </is>
      </c>
      <c r="J634" t="inlineStr">
        <is>
          <t>South</t>
        </is>
      </c>
      <c r="K634" t="n">
        <v>18</v>
      </c>
      <c r="L634" t="inlineStr">
        <is>
          <t>Full</t>
        </is>
      </c>
      <c r="M634" t="inlineStr">
        <is>
          <t>Seaside</t>
        </is>
      </c>
      <c r="N634" t="inlineStr">
        <is>
          <t>Green</t>
        </is>
      </c>
      <c r="O634" t="n">
        <v>70.5</v>
      </c>
      <c r="P634" t="n">
        <v>134</v>
      </c>
      <c r="Q634" t="n">
        <v>6389</v>
      </c>
      <c r="R634" t="inlineStr">
        <is>
          <t>Match Play</t>
        </is>
      </c>
      <c r="S634" t="inlineStr">
        <is>
          <t>Singles</t>
        </is>
      </c>
      <c r="U634" t="inlineStr">
        <is>
          <t>Zimmer</t>
        </is>
      </c>
      <c r="V634" t="inlineStr">
        <is>
          <t>Forster</t>
        </is>
      </c>
      <c r="AA634" t="n">
        <v>2</v>
      </c>
      <c r="AB634" t="inlineStr">
        <is>
          <t>L</t>
        </is>
      </c>
      <c r="AC634" t="inlineStr">
        <is>
          <t>7&amp;5</t>
        </is>
      </c>
      <c r="AD634" t="inlineStr">
        <is>
          <t>Perkins</t>
        </is>
      </c>
      <c r="AE634">
        <f>$V634&amp;$Y634</f>
        <v/>
      </c>
      <c r="AF634" t="n">
        <v>0</v>
      </c>
      <c r="AG634" t="n">
        <v>0</v>
      </c>
      <c r="AH634" t="n">
        <v>1</v>
      </c>
      <c r="AI634" t="n">
        <v>0</v>
      </c>
      <c r="AJ634" t="n">
        <v>0</v>
      </c>
      <c r="AK634" t="inlineStr">
        <is>
          <t>Perkins</t>
        </is>
      </c>
      <c r="AL634" t="n">
        <v>0.638888888888889</v>
      </c>
    </row>
    <row r="635" ht="15" customHeight="1" s="2">
      <c r="B635" t="n">
        <v>28</v>
      </c>
      <c r="C635" t="n">
        <v>5</v>
      </c>
      <c r="D635" t="n">
        <v>9</v>
      </c>
      <c r="E635" t="inlineStr">
        <is>
          <t>FBC9-S-Connolly-Welker</t>
        </is>
      </c>
      <c r="F635" t="inlineStr">
        <is>
          <t>Saturday</t>
        </is>
      </c>
      <c r="G635" s="27" t="n">
        <v>44758</v>
      </c>
      <c r="H635" t="inlineStr">
        <is>
          <t>AM</t>
        </is>
      </c>
      <c r="I635" t="inlineStr">
        <is>
          <t>Sea Island, GA</t>
        </is>
      </c>
      <c r="J635" t="inlineStr">
        <is>
          <t>South</t>
        </is>
      </c>
      <c r="K635" t="n">
        <v>18</v>
      </c>
      <c r="L635" t="inlineStr">
        <is>
          <t>Full</t>
        </is>
      </c>
      <c r="M635" t="inlineStr">
        <is>
          <t>Seaside</t>
        </is>
      </c>
      <c r="N635" t="inlineStr">
        <is>
          <t>Green</t>
        </is>
      </c>
      <c r="O635" t="n">
        <v>70.5</v>
      </c>
      <c r="P635" t="n">
        <v>134</v>
      </c>
      <c r="Q635" t="n">
        <v>6389</v>
      </c>
      <c r="R635" t="inlineStr">
        <is>
          <t>Match Play</t>
        </is>
      </c>
      <c r="S635" t="inlineStr">
        <is>
          <t>Singles</t>
        </is>
      </c>
      <c r="U635" t="inlineStr">
        <is>
          <t>Zimmer</t>
        </is>
      </c>
      <c r="V635" t="inlineStr">
        <is>
          <t>Welker</t>
        </is>
      </c>
      <c r="AA635" t="n">
        <v>2</v>
      </c>
      <c r="AB635" t="inlineStr">
        <is>
          <t>W</t>
        </is>
      </c>
      <c r="AC635" t="inlineStr">
        <is>
          <t>6&amp;5</t>
        </is>
      </c>
      <c r="AD635" t="inlineStr">
        <is>
          <t>Connolly</t>
        </is>
      </c>
      <c r="AE635">
        <f>$V635&amp;$Y635</f>
        <v/>
      </c>
      <c r="AF635" t="n">
        <v>2</v>
      </c>
      <c r="AG635" t="n">
        <v>1</v>
      </c>
      <c r="AH635" t="n">
        <v>0</v>
      </c>
      <c r="AI635" t="n">
        <v>0</v>
      </c>
      <c r="AJ635" t="n">
        <v>1</v>
      </c>
      <c r="AK635" t="inlineStr">
        <is>
          <t>Connolly</t>
        </is>
      </c>
      <c r="AL635" t="n">
        <v>0.59375</v>
      </c>
    </row>
    <row r="636" ht="15" customHeight="1" s="2">
      <c r="B636" t="n">
        <v>28</v>
      </c>
      <c r="C636" t="n">
        <v>6</v>
      </c>
      <c r="D636" t="n">
        <v>9</v>
      </c>
      <c r="E636" t="inlineStr">
        <is>
          <t>FBC9-S-Grise-McInerney</t>
        </is>
      </c>
      <c r="F636" t="inlineStr">
        <is>
          <t>Saturday</t>
        </is>
      </c>
      <c r="G636" s="27" t="n">
        <v>44758</v>
      </c>
      <c r="H636" t="inlineStr">
        <is>
          <t>AM</t>
        </is>
      </c>
      <c r="I636" t="inlineStr">
        <is>
          <t>Sea Island, GA</t>
        </is>
      </c>
      <c r="J636" t="inlineStr">
        <is>
          <t>South</t>
        </is>
      </c>
      <c r="K636" t="n">
        <v>18</v>
      </c>
      <c r="L636" t="inlineStr">
        <is>
          <t>Full</t>
        </is>
      </c>
      <c r="M636" t="inlineStr">
        <is>
          <t>Seaside</t>
        </is>
      </c>
      <c r="N636" t="inlineStr">
        <is>
          <t>Green</t>
        </is>
      </c>
      <c r="O636" t="n">
        <v>70.5</v>
      </c>
      <c r="P636" t="n">
        <v>134</v>
      </c>
      <c r="Q636" t="n">
        <v>6389</v>
      </c>
      <c r="R636" t="inlineStr">
        <is>
          <t>Match Play</t>
        </is>
      </c>
      <c r="S636" t="inlineStr">
        <is>
          <t>Singles</t>
        </is>
      </c>
      <c r="U636" t="inlineStr">
        <is>
          <t>Zimmer</t>
        </is>
      </c>
      <c r="V636" t="inlineStr">
        <is>
          <t>Grise</t>
        </is>
      </c>
      <c r="AA636" t="n">
        <v>2</v>
      </c>
      <c r="AB636" t="inlineStr">
        <is>
          <t>L</t>
        </is>
      </c>
      <c r="AC636" t="inlineStr">
        <is>
          <t>4&amp;3</t>
        </is>
      </c>
      <c r="AD636" t="inlineStr">
        <is>
          <t>McInerney</t>
        </is>
      </c>
      <c r="AE636">
        <f>$V636&amp;$Y636</f>
        <v/>
      </c>
      <c r="AF636" t="n">
        <v>0</v>
      </c>
      <c r="AG636" t="n">
        <v>0</v>
      </c>
      <c r="AH636" t="n">
        <v>1</v>
      </c>
      <c r="AI636" t="n">
        <v>0</v>
      </c>
      <c r="AJ636" t="n">
        <v>0</v>
      </c>
      <c r="AK636" t="inlineStr">
        <is>
          <t>McInerney</t>
        </is>
      </c>
      <c r="AL636" t="n">
        <v>0.5</v>
      </c>
    </row>
    <row r="637" ht="15" customHeight="1" s="2">
      <c r="B637" t="n">
        <v>29</v>
      </c>
      <c r="C637" t="n">
        <v>7</v>
      </c>
      <c r="D637" t="n">
        <v>9</v>
      </c>
      <c r="E637" t="inlineStr">
        <is>
          <t>FBC9-S-Fogan-Hilts</t>
        </is>
      </c>
      <c r="F637" t="inlineStr">
        <is>
          <t>Saturday</t>
        </is>
      </c>
      <c r="G637" s="27" t="n">
        <v>44758</v>
      </c>
      <c r="H637" t="inlineStr">
        <is>
          <t>AM</t>
        </is>
      </c>
      <c r="I637" t="inlineStr">
        <is>
          <t>Sea Island, GA</t>
        </is>
      </c>
      <c r="J637" t="inlineStr">
        <is>
          <t>South</t>
        </is>
      </c>
      <c r="K637" t="n">
        <v>18</v>
      </c>
      <c r="L637" t="inlineStr">
        <is>
          <t>Full</t>
        </is>
      </c>
      <c r="M637" t="inlineStr">
        <is>
          <t>Seaside</t>
        </is>
      </c>
      <c r="N637" t="inlineStr">
        <is>
          <t>Green</t>
        </is>
      </c>
      <c r="O637" t="n">
        <v>70.5</v>
      </c>
      <c r="P637" t="n">
        <v>134</v>
      </c>
      <c r="Q637" t="n">
        <v>6389</v>
      </c>
      <c r="R637" t="inlineStr">
        <is>
          <t>Match Play</t>
        </is>
      </c>
      <c r="S637" t="inlineStr">
        <is>
          <t>Singles</t>
        </is>
      </c>
      <c r="U637" t="inlineStr">
        <is>
          <t>Zimmer</t>
        </is>
      </c>
      <c r="V637" t="inlineStr">
        <is>
          <t>Fogan</t>
        </is>
      </c>
      <c r="AA637" t="n">
        <v>2</v>
      </c>
      <c r="AB637" t="inlineStr">
        <is>
          <t>W</t>
        </is>
      </c>
      <c r="AC637" t="inlineStr">
        <is>
          <t>1Up</t>
        </is>
      </c>
      <c r="AD637" t="inlineStr">
        <is>
          <t>Hilts</t>
        </is>
      </c>
      <c r="AE637">
        <f>$V637&amp;$Y637</f>
        <v/>
      </c>
      <c r="AF637" t="n">
        <v>2</v>
      </c>
      <c r="AG637" t="n">
        <v>1</v>
      </c>
      <c r="AH637" t="n">
        <v>0</v>
      </c>
      <c r="AI637" t="n">
        <v>0</v>
      </c>
      <c r="AJ637" t="n">
        <v>1</v>
      </c>
      <c r="AK637" t="inlineStr">
        <is>
          <t>Hilts</t>
        </is>
      </c>
      <c r="AL637" t="n">
        <v>0.473214285714286</v>
      </c>
    </row>
    <row r="638" ht="15" customHeight="1" s="2">
      <c r="B638" t="n">
        <v>29</v>
      </c>
      <c r="C638" t="n">
        <v>8</v>
      </c>
      <c r="D638" t="n">
        <v>9</v>
      </c>
      <c r="E638" t="inlineStr">
        <is>
          <t>FBC9-S-Flanders-Poirier</t>
        </is>
      </c>
      <c r="F638" t="inlineStr">
        <is>
          <t>Saturday</t>
        </is>
      </c>
      <c r="G638" s="27" t="n">
        <v>44758</v>
      </c>
      <c r="H638" t="inlineStr">
        <is>
          <t>AM</t>
        </is>
      </c>
      <c r="I638" t="inlineStr">
        <is>
          <t>Sea Island, GA</t>
        </is>
      </c>
      <c r="J638" t="inlineStr">
        <is>
          <t>South</t>
        </is>
      </c>
      <c r="K638" t="n">
        <v>18</v>
      </c>
      <c r="L638" t="inlineStr">
        <is>
          <t>Full</t>
        </is>
      </c>
      <c r="M638" t="inlineStr">
        <is>
          <t>Seaside</t>
        </is>
      </c>
      <c r="N638" t="inlineStr">
        <is>
          <t>Green</t>
        </is>
      </c>
      <c r="O638" t="n">
        <v>70.5</v>
      </c>
      <c r="P638" t="n">
        <v>134</v>
      </c>
      <c r="Q638" t="n">
        <v>6389</v>
      </c>
      <c r="R638" t="inlineStr">
        <is>
          <t>Match Play</t>
        </is>
      </c>
      <c r="S638" t="inlineStr">
        <is>
          <t>Singles</t>
        </is>
      </c>
      <c r="U638" t="inlineStr">
        <is>
          <t>Zimmer</t>
        </is>
      </c>
      <c r="V638" t="inlineStr">
        <is>
          <t>Poirier</t>
        </is>
      </c>
      <c r="AA638" t="n">
        <v>2</v>
      </c>
      <c r="AB638" t="inlineStr">
        <is>
          <t>T</t>
        </is>
      </c>
      <c r="AC638" t="inlineStr">
        <is>
          <t>Halved</t>
        </is>
      </c>
      <c r="AD638" t="inlineStr">
        <is>
          <t>Flanders</t>
        </is>
      </c>
      <c r="AE638">
        <f>$V638&amp;$Y638</f>
        <v/>
      </c>
      <c r="AF638" t="n">
        <v>1</v>
      </c>
      <c r="AG638" t="n">
        <v>0</v>
      </c>
      <c r="AH638" t="n">
        <v>0</v>
      </c>
      <c r="AI638" t="n">
        <v>1</v>
      </c>
      <c r="AJ638" t="n">
        <v>0.5</v>
      </c>
      <c r="AK638" t="inlineStr">
        <is>
          <t>Flanders</t>
        </is>
      </c>
      <c r="AL638" t="n">
        <v>0.4296875</v>
      </c>
    </row>
    <row r="639" ht="15" customHeight="1" s="2">
      <c r="B639" t="n">
        <v>30</v>
      </c>
      <c r="C639" t="n">
        <v>9</v>
      </c>
      <c r="D639" t="n">
        <v>9</v>
      </c>
      <c r="E639" t="inlineStr">
        <is>
          <t>FBC9-S-Delaney-Delneky</t>
        </is>
      </c>
      <c r="F639" t="inlineStr">
        <is>
          <t>Saturday</t>
        </is>
      </c>
      <c r="G639" s="27" t="n">
        <v>44758</v>
      </c>
      <c r="H639" t="inlineStr">
        <is>
          <t>AM</t>
        </is>
      </c>
      <c r="I639" t="inlineStr">
        <is>
          <t>Sea Island, GA</t>
        </is>
      </c>
      <c r="J639" t="inlineStr">
        <is>
          <t>South</t>
        </is>
      </c>
      <c r="K639" t="n">
        <v>18</v>
      </c>
      <c r="L639" t="inlineStr">
        <is>
          <t>Full</t>
        </is>
      </c>
      <c r="M639" t="inlineStr">
        <is>
          <t>Seaside</t>
        </is>
      </c>
      <c r="N639" t="inlineStr">
        <is>
          <t>Green</t>
        </is>
      </c>
      <c r="O639" t="n">
        <v>70.5</v>
      </c>
      <c r="P639" t="n">
        <v>134</v>
      </c>
      <c r="Q639" t="n">
        <v>6389</v>
      </c>
      <c r="R639" t="inlineStr">
        <is>
          <t>Match Play</t>
        </is>
      </c>
      <c r="S639" t="inlineStr">
        <is>
          <t>Singles</t>
        </is>
      </c>
      <c r="U639" t="inlineStr">
        <is>
          <t>Zimmer</t>
        </is>
      </c>
      <c r="V639" t="inlineStr">
        <is>
          <t>Delneky</t>
        </is>
      </c>
      <c r="AA639" t="n">
        <v>2</v>
      </c>
      <c r="AB639" t="inlineStr">
        <is>
          <t>L</t>
        </is>
      </c>
      <c r="AC639" t="inlineStr">
        <is>
          <t>6&amp;5</t>
        </is>
      </c>
      <c r="AD639" t="inlineStr">
        <is>
          <t>Delaney</t>
        </is>
      </c>
      <c r="AE639">
        <f>$V639&amp;$Y639</f>
        <v/>
      </c>
      <c r="AF639" t="n">
        <v>0</v>
      </c>
      <c r="AG639" t="n">
        <v>0</v>
      </c>
      <c r="AH639" t="n">
        <v>1</v>
      </c>
      <c r="AI639" t="n">
        <v>0</v>
      </c>
      <c r="AJ639" t="n">
        <v>0</v>
      </c>
      <c r="AK639" t="inlineStr">
        <is>
          <t>Delaney</t>
        </is>
      </c>
      <c r="AL639" t="n">
        <v>0.46551724137931</v>
      </c>
    </row>
    <row r="640" ht="15" customHeight="1" s="2">
      <c r="B640" t="n">
        <v>30</v>
      </c>
      <c r="C640" t="n">
        <v>10</v>
      </c>
      <c r="D640" t="n">
        <v>9</v>
      </c>
      <c r="E640" t="inlineStr">
        <is>
          <t>FBC9-S-Connors-Deoteris</t>
        </is>
      </c>
      <c r="F640" t="inlineStr">
        <is>
          <t>Saturday</t>
        </is>
      </c>
      <c r="G640" s="27" t="n">
        <v>44758</v>
      </c>
      <c r="H640" t="inlineStr">
        <is>
          <t>AM</t>
        </is>
      </c>
      <c r="I640" t="inlineStr">
        <is>
          <t>Sea Island, GA</t>
        </is>
      </c>
      <c r="J640" t="inlineStr">
        <is>
          <t>South</t>
        </is>
      </c>
      <c r="K640" t="n">
        <v>18</v>
      </c>
      <c r="L640" t="inlineStr">
        <is>
          <t>Full</t>
        </is>
      </c>
      <c r="M640" t="inlineStr">
        <is>
          <t>Seaside</t>
        </is>
      </c>
      <c r="N640" t="inlineStr">
        <is>
          <t>Green</t>
        </is>
      </c>
      <c r="O640" t="n">
        <v>70.5</v>
      </c>
      <c r="P640" t="n">
        <v>134</v>
      </c>
      <c r="Q640" t="n">
        <v>6389</v>
      </c>
      <c r="R640" t="inlineStr">
        <is>
          <t>Match Play</t>
        </is>
      </c>
      <c r="S640" t="inlineStr">
        <is>
          <t>Singles</t>
        </is>
      </c>
      <c r="U640" t="inlineStr">
        <is>
          <t>Zimmer</t>
        </is>
      </c>
      <c r="V640" t="inlineStr">
        <is>
          <t>Deoteris</t>
        </is>
      </c>
      <c r="AA640" t="n">
        <v>2</v>
      </c>
      <c r="AB640" t="inlineStr">
        <is>
          <t>T</t>
        </is>
      </c>
      <c r="AC640" t="inlineStr">
        <is>
          <t>Halved</t>
        </is>
      </c>
      <c r="AD640" t="inlineStr">
        <is>
          <t>Connors</t>
        </is>
      </c>
      <c r="AE640">
        <f>$V640&amp;$Y640</f>
        <v/>
      </c>
      <c r="AF640" t="n">
        <v>1</v>
      </c>
      <c r="AG640" t="n">
        <v>0</v>
      </c>
      <c r="AH640" t="n">
        <v>0</v>
      </c>
      <c r="AI640" t="n">
        <v>1</v>
      </c>
      <c r="AJ640" t="n">
        <v>0.5</v>
      </c>
      <c r="AK640" t="inlineStr">
        <is>
          <t>Connors</t>
        </is>
      </c>
      <c r="AL640" t="n">
        <v>0.347457627118644</v>
      </c>
    </row>
    <row r="641" ht="15" customHeight="1" s="2">
      <c r="B641" t="n">
        <v>1</v>
      </c>
      <c r="C641" t="n">
        <v>1</v>
      </c>
      <c r="D641" t="n">
        <v>10</v>
      </c>
      <c r="E641" t="inlineStr">
        <is>
          <t>FBC10-D1</t>
        </is>
      </c>
      <c r="F641" t="inlineStr">
        <is>
          <t>Thursday</t>
        </is>
      </c>
      <c r="G641" s="27" t="n">
        <v>45141</v>
      </c>
      <c r="H641" t="inlineStr">
        <is>
          <t>PM</t>
        </is>
      </c>
      <c r="I641" t="inlineStr">
        <is>
          <t>Dublin, IE</t>
        </is>
      </c>
      <c r="J641" t="inlineStr">
        <is>
          <t>Europe</t>
        </is>
      </c>
      <c r="K641" t="n">
        <v>9</v>
      </c>
      <c r="L641" t="inlineStr">
        <is>
          <t>Front</t>
        </is>
      </c>
      <c r="M641" t="inlineStr">
        <is>
          <t>The Island</t>
        </is>
      </c>
      <c r="N641" t="inlineStr">
        <is>
          <t>Green</t>
        </is>
      </c>
      <c r="O641" t="n">
        <v>72.8</v>
      </c>
      <c r="P641" t="n">
        <v>131</v>
      </c>
      <c r="Q641" t="n">
        <v>6692</v>
      </c>
      <c r="R641" t="inlineStr">
        <is>
          <t>Best Ball</t>
        </is>
      </c>
      <c r="S641" t="inlineStr">
        <is>
          <t>Doubles</t>
        </is>
      </c>
      <c r="T641" t="inlineStr">
        <is>
          <t>over 6'</t>
        </is>
      </c>
      <c r="U641" t="inlineStr">
        <is>
          <t>McInerney</t>
        </is>
      </c>
      <c r="V641" t="inlineStr">
        <is>
          <t>Connors</t>
        </is>
      </c>
      <c r="W641" t="inlineStr">
        <is>
          <t>Pink</t>
        </is>
      </c>
      <c r="Y641" t="inlineStr">
        <is>
          <t>Mangold</t>
        </is>
      </c>
      <c r="AA641" t="n">
        <v>1</v>
      </c>
      <c r="AB641" t="inlineStr">
        <is>
          <t>L</t>
        </is>
      </c>
      <c r="AC641" t="inlineStr">
        <is>
          <t>4&amp;3</t>
        </is>
      </c>
      <c r="AE641">
        <f>$V641&amp;$Y641</f>
        <v/>
      </c>
      <c r="AF641" t="n">
        <v>0</v>
      </c>
      <c r="AG641" t="n">
        <v>0</v>
      </c>
      <c r="AH641" t="n">
        <v>1</v>
      </c>
      <c r="AI641" t="n">
        <v>0</v>
      </c>
      <c r="AJ641" t="n">
        <v>0</v>
      </c>
      <c r="AK641" t="inlineStr">
        <is>
          <t>Cole</t>
        </is>
      </c>
      <c r="AL641" t="n">
        <v>0.440677966101695</v>
      </c>
      <c r="AM641" t="inlineStr">
        <is>
          <t>Hilts</t>
        </is>
      </c>
      <c r="AN641" t="n">
        <v>0.473214285714286</v>
      </c>
    </row>
    <row r="642" ht="15" customHeight="1" s="2">
      <c r="B642" t="n">
        <v>1</v>
      </c>
      <c r="C642" t="n">
        <v>1</v>
      </c>
      <c r="D642" t="n">
        <v>10</v>
      </c>
      <c r="E642" t="inlineStr">
        <is>
          <t>FBC10-D1</t>
        </is>
      </c>
      <c r="F642" t="inlineStr">
        <is>
          <t>Thursday</t>
        </is>
      </c>
      <c r="G642" s="27" t="n">
        <v>45141</v>
      </c>
      <c r="H642" t="inlineStr">
        <is>
          <t>PM</t>
        </is>
      </c>
      <c r="I642" t="inlineStr">
        <is>
          <t>Dublin, IE</t>
        </is>
      </c>
      <c r="J642" t="inlineStr">
        <is>
          <t>Europe</t>
        </is>
      </c>
      <c r="K642" t="n">
        <v>9</v>
      </c>
      <c r="L642" t="inlineStr">
        <is>
          <t>Front</t>
        </is>
      </c>
      <c r="M642" t="inlineStr">
        <is>
          <t>The Island</t>
        </is>
      </c>
      <c r="N642" t="inlineStr">
        <is>
          <t>Green</t>
        </is>
      </c>
      <c r="O642" t="n">
        <v>72.8</v>
      </c>
      <c r="P642" t="n">
        <v>131</v>
      </c>
      <c r="Q642" t="n">
        <v>6692</v>
      </c>
      <c r="R642" t="inlineStr">
        <is>
          <t>Best Ball</t>
        </is>
      </c>
      <c r="S642" t="inlineStr">
        <is>
          <t>Doubles</t>
        </is>
      </c>
      <c r="T642" t="inlineStr">
        <is>
          <t>over 6'</t>
        </is>
      </c>
      <c r="U642" t="inlineStr">
        <is>
          <t>Cole</t>
        </is>
      </c>
      <c r="V642" t="inlineStr">
        <is>
          <t>Cole</t>
        </is>
      </c>
      <c r="W642" t="inlineStr">
        <is>
          <t>Turtle Pattern</t>
        </is>
      </c>
      <c r="Y642" t="inlineStr">
        <is>
          <t>Hilts</t>
        </is>
      </c>
      <c r="AA642" t="n">
        <v>1</v>
      </c>
      <c r="AB642" t="inlineStr">
        <is>
          <t>W</t>
        </is>
      </c>
      <c r="AC642" t="inlineStr">
        <is>
          <t>4&amp;3</t>
        </is>
      </c>
      <c r="AE642">
        <f>$V642&amp;$Y642</f>
        <v/>
      </c>
      <c r="AF642" t="n">
        <v>1</v>
      </c>
      <c r="AG642" t="n">
        <v>1</v>
      </c>
      <c r="AH642" t="n">
        <v>0</v>
      </c>
      <c r="AI642" t="n">
        <v>0</v>
      </c>
      <c r="AJ642" t="n">
        <v>1</v>
      </c>
      <c r="AK642" t="inlineStr">
        <is>
          <t>Connors</t>
        </is>
      </c>
      <c r="AL642" t="n">
        <v>0.347457627118644</v>
      </c>
      <c r="AM642" t="inlineStr">
        <is>
          <t>Mangold</t>
        </is>
      </c>
      <c r="AN642" t="n">
        <v>0.383928571428572</v>
      </c>
    </row>
    <row r="643" ht="15" customHeight="1" s="2">
      <c r="B643" t="n">
        <v>2</v>
      </c>
      <c r="C643" t="n">
        <v>2</v>
      </c>
      <c r="D643" t="n">
        <v>10</v>
      </c>
      <c r="E643" t="inlineStr">
        <is>
          <t>FBC10-D2</t>
        </is>
      </c>
      <c r="F643" t="inlineStr">
        <is>
          <t>Thursday</t>
        </is>
      </c>
      <c r="G643" s="27" t="n">
        <v>45141</v>
      </c>
      <c r="H643" t="inlineStr">
        <is>
          <t>PM</t>
        </is>
      </c>
      <c r="I643" t="inlineStr">
        <is>
          <t>Dublin, IE</t>
        </is>
      </c>
      <c r="J643" t="inlineStr">
        <is>
          <t>Europe</t>
        </is>
      </c>
      <c r="K643" t="n">
        <v>9</v>
      </c>
      <c r="L643" t="inlineStr">
        <is>
          <t>Front</t>
        </is>
      </c>
      <c r="M643" t="inlineStr">
        <is>
          <t>The Island</t>
        </is>
      </c>
      <c r="N643" t="inlineStr">
        <is>
          <t>Green</t>
        </is>
      </c>
      <c r="O643" t="n">
        <v>72.8</v>
      </c>
      <c r="P643" t="n">
        <v>131</v>
      </c>
      <c r="Q643" t="n">
        <v>6692</v>
      </c>
      <c r="R643" t="inlineStr">
        <is>
          <t>Best Ball</t>
        </is>
      </c>
      <c r="S643" t="inlineStr">
        <is>
          <t>Doubles</t>
        </is>
      </c>
      <c r="T643" t="inlineStr">
        <is>
          <t>over 6'</t>
        </is>
      </c>
      <c r="U643" t="inlineStr">
        <is>
          <t>Cole</t>
        </is>
      </c>
      <c r="V643" t="inlineStr">
        <is>
          <t>Ferrin</t>
        </is>
      </c>
      <c r="W643" t="inlineStr">
        <is>
          <t>Turtle Pattern</t>
        </is>
      </c>
      <c r="Y643" t="inlineStr">
        <is>
          <t>Grise</t>
        </is>
      </c>
      <c r="AA643" t="n">
        <v>1</v>
      </c>
      <c r="AB643" t="inlineStr">
        <is>
          <t>L</t>
        </is>
      </c>
      <c r="AC643" t="inlineStr">
        <is>
          <t>1up</t>
        </is>
      </c>
      <c r="AE643">
        <f>$V643&amp;$Y643</f>
        <v/>
      </c>
      <c r="AF643" t="n">
        <v>0</v>
      </c>
      <c r="AG643" t="n">
        <v>0</v>
      </c>
      <c r="AH643" t="n">
        <v>1</v>
      </c>
      <c r="AI643" t="n">
        <v>0</v>
      </c>
      <c r="AJ643" t="n">
        <v>0</v>
      </c>
      <c r="AK643" t="inlineStr">
        <is>
          <t>Jackson</t>
        </is>
      </c>
      <c r="AL643" t="n">
        <v>0.6171875</v>
      </c>
      <c r="AM643" t="inlineStr">
        <is>
          <t>Zimmer</t>
        </is>
      </c>
      <c r="AN643" t="n">
        <v>0.5</v>
      </c>
    </row>
    <row r="644" ht="15" customHeight="1" s="2">
      <c r="B644" t="n">
        <v>2</v>
      </c>
      <c r="C644" t="n">
        <v>2</v>
      </c>
      <c r="D644" t="n">
        <v>10</v>
      </c>
      <c r="E644" t="inlineStr">
        <is>
          <t>FBC10-D2</t>
        </is>
      </c>
      <c r="F644" t="inlineStr">
        <is>
          <t>Thursday</t>
        </is>
      </c>
      <c r="G644" s="27" t="n">
        <v>45141</v>
      </c>
      <c r="H644" t="inlineStr">
        <is>
          <t>PM</t>
        </is>
      </c>
      <c r="I644" t="inlineStr">
        <is>
          <t>Dublin, IE</t>
        </is>
      </c>
      <c r="J644" t="inlineStr">
        <is>
          <t>Europe</t>
        </is>
      </c>
      <c r="K644" t="n">
        <v>9</v>
      </c>
      <c r="L644" t="inlineStr">
        <is>
          <t>Front</t>
        </is>
      </c>
      <c r="M644" t="inlineStr">
        <is>
          <t>The Island</t>
        </is>
      </c>
      <c r="N644" t="inlineStr">
        <is>
          <t>Green</t>
        </is>
      </c>
      <c r="O644" t="n">
        <v>72.8</v>
      </c>
      <c r="P644" t="n">
        <v>131</v>
      </c>
      <c r="Q644" t="n">
        <v>6692</v>
      </c>
      <c r="R644" t="inlineStr">
        <is>
          <t>Best Ball</t>
        </is>
      </c>
      <c r="S644" t="inlineStr">
        <is>
          <t>Doubles</t>
        </is>
      </c>
      <c r="T644" t="inlineStr">
        <is>
          <t>over 6'</t>
        </is>
      </c>
      <c r="U644" t="inlineStr">
        <is>
          <t>McInerney</t>
        </is>
      </c>
      <c r="V644" t="inlineStr">
        <is>
          <t>Jackson</t>
        </is>
      </c>
      <c r="W644" t="inlineStr">
        <is>
          <t>Pink</t>
        </is>
      </c>
      <c r="Y644" t="inlineStr">
        <is>
          <t>Zimmer</t>
        </is>
      </c>
      <c r="AA644" t="n">
        <v>1</v>
      </c>
      <c r="AB644" t="inlineStr">
        <is>
          <t>W</t>
        </is>
      </c>
      <c r="AC644" t="inlineStr">
        <is>
          <t>1up</t>
        </is>
      </c>
      <c r="AE644">
        <f>$V644&amp;$Y644</f>
        <v/>
      </c>
      <c r="AF644" t="n">
        <v>1</v>
      </c>
      <c r="AG644" t="n">
        <v>1</v>
      </c>
      <c r="AH644" t="n">
        <v>0</v>
      </c>
      <c r="AI644" t="n">
        <v>0</v>
      </c>
      <c r="AJ644" t="n">
        <v>1</v>
      </c>
      <c r="AK644" t="inlineStr">
        <is>
          <t>Ferrin</t>
        </is>
      </c>
      <c r="AL644" t="n">
        <v>0.595238095238095</v>
      </c>
      <c r="AM644" t="inlineStr">
        <is>
          <t>Grise</t>
        </is>
      </c>
      <c r="AN644" t="n">
        <v>0.546875</v>
      </c>
    </row>
    <row r="645" ht="15" customHeight="1" s="2">
      <c r="B645" t="n">
        <v>3</v>
      </c>
      <c r="C645" t="n">
        <v>3</v>
      </c>
      <c r="D645" t="n">
        <v>10</v>
      </c>
      <c r="E645" t="inlineStr">
        <is>
          <t>FBC10-D3</t>
        </is>
      </c>
      <c r="F645" t="inlineStr">
        <is>
          <t>Thursday</t>
        </is>
      </c>
      <c r="G645" s="27" t="n">
        <v>45141</v>
      </c>
      <c r="H645" t="inlineStr">
        <is>
          <t>PM</t>
        </is>
      </c>
      <c r="I645" t="inlineStr">
        <is>
          <t>Dublin, IE</t>
        </is>
      </c>
      <c r="J645" t="inlineStr">
        <is>
          <t>Europe</t>
        </is>
      </c>
      <c r="K645" t="n">
        <v>9</v>
      </c>
      <c r="L645" t="inlineStr">
        <is>
          <t>Front</t>
        </is>
      </c>
      <c r="M645" t="inlineStr">
        <is>
          <t>The Island</t>
        </is>
      </c>
      <c r="N645" t="inlineStr">
        <is>
          <t>Green</t>
        </is>
      </c>
      <c r="O645" t="n">
        <v>72.8</v>
      </c>
      <c r="P645" t="n">
        <v>131</v>
      </c>
      <c r="Q645" t="n">
        <v>6692</v>
      </c>
      <c r="R645" t="inlineStr">
        <is>
          <t>Best Ball</t>
        </is>
      </c>
      <c r="S645" t="inlineStr">
        <is>
          <t>Doubles</t>
        </is>
      </c>
      <c r="T645" t="inlineStr">
        <is>
          <t>over 6'</t>
        </is>
      </c>
      <c r="U645" t="inlineStr">
        <is>
          <t>McInerney</t>
        </is>
      </c>
      <c r="V645" t="inlineStr">
        <is>
          <t>Forster</t>
        </is>
      </c>
      <c r="W645" t="inlineStr">
        <is>
          <t>Pink</t>
        </is>
      </c>
      <c r="Y645" t="inlineStr">
        <is>
          <t>Welker</t>
        </is>
      </c>
      <c r="AA645" t="n">
        <v>1</v>
      </c>
      <c r="AB645" t="inlineStr">
        <is>
          <t>L</t>
        </is>
      </c>
      <c r="AC645" t="inlineStr">
        <is>
          <t>4&amp;3</t>
        </is>
      </c>
      <c r="AE645">
        <f>$V645&amp;$Y645</f>
        <v/>
      </c>
      <c r="AF645" t="n">
        <v>0</v>
      </c>
      <c r="AG645" t="n">
        <v>0</v>
      </c>
      <c r="AH645" t="n">
        <v>1</v>
      </c>
      <c r="AI645" t="n">
        <v>0</v>
      </c>
      <c r="AJ645" t="n">
        <v>0</v>
      </c>
      <c r="AK645" t="inlineStr">
        <is>
          <t>Flanders</t>
        </is>
      </c>
      <c r="AL645" t="n">
        <v>0.4296875</v>
      </c>
      <c r="AM645" t="inlineStr">
        <is>
          <t>Lynch</t>
        </is>
      </c>
      <c r="AN645" t="n">
        <v>0.5546875</v>
      </c>
    </row>
    <row r="646" ht="15" customHeight="1" s="2">
      <c r="B646" t="n">
        <v>3</v>
      </c>
      <c r="C646" t="n">
        <v>3</v>
      </c>
      <c r="D646" t="n">
        <v>10</v>
      </c>
      <c r="E646" t="inlineStr">
        <is>
          <t>FBC10-D3</t>
        </is>
      </c>
      <c r="F646" t="inlineStr">
        <is>
          <t>Thursday</t>
        </is>
      </c>
      <c r="G646" s="27" t="n">
        <v>45141</v>
      </c>
      <c r="H646" t="inlineStr">
        <is>
          <t>PM</t>
        </is>
      </c>
      <c r="I646" t="inlineStr">
        <is>
          <t>Dublin, IE</t>
        </is>
      </c>
      <c r="J646" t="inlineStr">
        <is>
          <t>Europe</t>
        </is>
      </c>
      <c r="K646" t="n">
        <v>9</v>
      </c>
      <c r="L646" t="inlineStr">
        <is>
          <t>Front</t>
        </is>
      </c>
      <c r="M646" t="inlineStr">
        <is>
          <t>The Island</t>
        </is>
      </c>
      <c r="N646" t="inlineStr">
        <is>
          <t>Green</t>
        </is>
      </c>
      <c r="O646" t="n">
        <v>72.8</v>
      </c>
      <c r="P646" t="n">
        <v>131</v>
      </c>
      <c r="Q646" t="n">
        <v>6692</v>
      </c>
      <c r="R646" t="inlineStr">
        <is>
          <t>Best Ball</t>
        </is>
      </c>
      <c r="S646" t="inlineStr">
        <is>
          <t>Doubles</t>
        </is>
      </c>
      <c r="T646" t="inlineStr">
        <is>
          <t>over 6'</t>
        </is>
      </c>
      <c r="U646" t="inlineStr">
        <is>
          <t>Cole</t>
        </is>
      </c>
      <c r="V646" t="inlineStr">
        <is>
          <t>Flanders</t>
        </is>
      </c>
      <c r="W646" t="inlineStr">
        <is>
          <t>Turtle Pattern</t>
        </is>
      </c>
      <c r="Y646" t="inlineStr">
        <is>
          <t>Lynch</t>
        </is>
      </c>
      <c r="AA646" t="n">
        <v>1</v>
      </c>
      <c r="AB646" t="inlineStr">
        <is>
          <t>W</t>
        </is>
      </c>
      <c r="AC646" t="inlineStr">
        <is>
          <t>4&amp;3</t>
        </is>
      </c>
      <c r="AE646">
        <f>$V646&amp;$Y646</f>
        <v/>
      </c>
      <c r="AF646" t="n">
        <v>1</v>
      </c>
      <c r="AG646" t="n">
        <v>1</v>
      </c>
      <c r="AH646" t="n">
        <v>0</v>
      </c>
      <c r="AI646" t="n">
        <v>0</v>
      </c>
      <c r="AJ646" t="n">
        <v>1</v>
      </c>
      <c r="AK646" t="inlineStr">
        <is>
          <t>Forster</t>
        </is>
      </c>
      <c r="AL646" t="n">
        <v>0.596491228070175</v>
      </c>
      <c r="AM646" t="inlineStr">
        <is>
          <t>Welker</t>
        </is>
      </c>
      <c r="AN646" t="n">
        <v>0.510416666666667</v>
      </c>
    </row>
    <row r="647" ht="15" customHeight="1" s="2">
      <c r="B647" t="n">
        <v>4</v>
      </c>
      <c r="C647" t="n">
        <v>4</v>
      </c>
      <c r="D647" t="n">
        <v>10</v>
      </c>
      <c r="E647" t="inlineStr">
        <is>
          <t>FBC10-D4</t>
        </is>
      </c>
      <c r="F647" t="inlineStr">
        <is>
          <t>Thursday</t>
        </is>
      </c>
      <c r="G647" s="27" t="n">
        <v>45141</v>
      </c>
      <c r="H647" t="inlineStr">
        <is>
          <t>PM</t>
        </is>
      </c>
      <c r="I647" t="inlineStr">
        <is>
          <t>Dublin, IE</t>
        </is>
      </c>
      <c r="J647" t="inlineStr">
        <is>
          <t>Europe</t>
        </is>
      </c>
      <c r="K647" t="n">
        <v>9</v>
      </c>
      <c r="L647" t="inlineStr">
        <is>
          <t>Front</t>
        </is>
      </c>
      <c r="M647" t="inlineStr">
        <is>
          <t>The Island</t>
        </is>
      </c>
      <c r="N647" t="inlineStr">
        <is>
          <t>Green</t>
        </is>
      </c>
      <c r="O647" t="n">
        <v>72.8</v>
      </c>
      <c r="P647" t="n">
        <v>131</v>
      </c>
      <c r="Q647" t="n">
        <v>6692</v>
      </c>
      <c r="R647" t="inlineStr">
        <is>
          <t>Best Ball</t>
        </is>
      </c>
      <c r="S647" t="inlineStr">
        <is>
          <t>Doubles</t>
        </is>
      </c>
      <c r="T647" t="inlineStr">
        <is>
          <t>over 6'</t>
        </is>
      </c>
      <c r="U647" t="inlineStr">
        <is>
          <t>Cole</t>
        </is>
      </c>
      <c r="V647" t="inlineStr">
        <is>
          <t>Connolly</t>
        </is>
      </c>
      <c r="W647" t="inlineStr">
        <is>
          <t>Turtle Pattern</t>
        </is>
      </c>
      <c r="Y647" t="inlineStr">
        <is>
          <t>R. Connolly</t>
        </is>
      </c>
      <c r="AA647" t="n">
        <v>1</v>
      </c>
      <c r="AB647" t="inlineStr">
        <is>
          <t>T</t>
        </is>
      </c>
      <c r="AC647" t="inlineStr">
        <is>
          <t>Halved</t>
        </is>
      </c>
      <c r="AE647">
        <f>$V647&amp;$Y647</f>
        <v/>
      </c>
      <c r="AF647" t="n">
        <v>0.5</v>
      </c>
      <c r="AG647" t="n">
        <v>0</v>
      </c>
      <c r="AH647" t="n">
        <v>0</v>
      </c>
      <c r="AI647" t="n">
        <v>1</v>
      </c>
      <c r="AJ647" t="n">
        <v>0.5</v>
      </c>
      <c r="AK647" t="inlineStr">
        <is>
          <t>Gray</t>
        </is>
      </c>
      <c r="AL647" t="n">
        <v>0.654761904761905</v>
      </c>
      <c r="AM647" t="inlineStr">
        <is>
          <t>McInerney</t>
        </is>
      </c>
      <c r="AN647" t="n">
        <v>0.5</v>
      </c>
    </row>
    <row r="648" ht="15" customHeight="1" s="2">
      <c r="B648" t="n">
        <v>4</v>
      </c>
      <c r="C648" t="n">
        <v>4</v>
      </c>
      <c r="D648" t="n">
        <v>10</v>
      </c>
      <c r="E648" t="inlineStr">
        <is>
          <t>FBC10-D4</t>
        </is>
      </c>
      <c r="F648" t="inlineStr">
        <is>
          <t>Thursday</t>
        </is>
      </c>
      <c r="G648" s="27" t="n">
        <v>45141</v>
      </c>
      <c r="H648" t="inlineStr">
        <is>
          <t>PM</t>
        </is>
      </c>
      <c r="I648" t="inlineStr">
        <is>
          <t>Dublin, IE</t>
        </is>
      </c>
      <c r="J648" t="inlineStr">
        <is>
          <t>Europe</t>
        </is>
      </c>
      <c r="K648" t="n">
        <v>9</v>
      </c>
      <c r="L648" t="inlineStr">
        <is>
          <t>Front</t>
        </is>
      </c>
      <c r="M648" t="inlineStr">
        <is>
          <t>The Island</t>
        </is>
      </c>
      <c r="N648" t="inlineStr">
        <is>
          <t>Green</t>
        </is>
      </c>
      <c r="O648" t="n">
        <v>72.8</v>
      </c>
      <c r="P648" t="n">
        <v>131</v>
      </c>
      <c r="Q648" t="n">
        <v>6692</v>
      </c>
      <c r="R648" t="inlineStr">
        <is>
          <t>Best Ball</t>
        </is>
      </c>
      <c r="S648" t="inlineStr">
        <is>
          <t>Doubles</t>
        </is>
      </c>
      <c r="T648" t="inlineStr">
        <is>
          <t>over 6'</t>
        </is>
      </c>
      <c r="U648" t="inlineStr">
        <is>
          <t>McInerney</t>
        </is>
      </c>
      <c r="V648" t="inlineStr">
        <is>
          <t>Gray</t>
        </is>
      </c>
      <c r="W648" t="inlineStr">
        <is>
          <t>Pink</t>
        </is>
      </c>
      <c r="Y648" t="inlineStr">
        <is>
          <t>McInerney</t>
        </is>
      </c>
      <c r="AA648" t="n">
        <v>1</v>
      </c>
      <c r="AB648" t="inlineStr">
        <is>
          <t>T</t>
        </is>
      </c>
      <c r="AC648" t="inlineStr">
        <is>
          <t>Halved</t>
        </is>
      </c>
      <c r="AE648">
        <f>$V648&amp;$Y648</f>
        <v/>
      </c>
      <c r="AF648" t="n">
        <v>0.5</v>
      </c>
      <c r="AG648" t="n">
        <v>0</v>
      </c>
      <c r="AH648" t="n">
        <v>0</v>
      </c>
      <c r="AI648" t="n">
        <v>1</v>
      </c>
      <c r="AJ648" t="n">
        <v>0.5</v>
      </c>
      <c r="AK648" t="inlineStr">
        <is>
          <t>Connolly</t>
        </is>
      </c>
      <c r="AL648" t="n">
        <v>0.59375</v>
      </c>
      <c r="AM648" t="inlineStr">
        <is>
          <t>R. Connolly</t>
        </is>
      </c>
      <c r="AN648" t="n">
        <v>0.333333333333333</v>
      </c>
    </row>
    <row r="649" ht="15" customHeight="1" s="2">
      <c r="B649" t="n">
        <v>5</v>
      </c>
      <c r="C649" t="n">
        <v>5</v>
      </c>
      <c r="D649" t="n">
        <v>10</v>
      </c>
      <c r="E649" t="inlineStr">
        <is>
          <t>FBC10-D5</t>
        </is>
      </c>
      <c r="F649" t="inlineStr">
        <is>
          <t>Thursday</t>
        </is>
      </c>
      <c r="G649" s="27" t="n">
        <v>45141</v>
      </c>
      <c r="H649" t="inlineStr">
        <is>
          <t>PM</t>
        </is>
      </c>
      <c r="I649" t="inlineStr">
        <is>
          <t>Dublin, IE</t>
        </is>
      </c>
      <c r="J649" t="inlineStr">
        <is>
          <t>Europe</t>
        </is>
      </c>
      <c r="K649" t="n">
        <v>9</v>
      </c>
      <c r="L649" t="inlineStr">
        <is>
          <t>Front</t>
        </is>
      </c>
      <c r="M649" t="inlineStr">
        <is>
          <t>The Island</t>
        </is>
      </c>
      <c r="N649" t="inlineStr">
        <is>
          <t>Green</t>
        </is>
      </c>
      <c r="O649" t="n">
        <v>72.8</v>
      </c>
      <c r="P649" t="n">
        <v>131</v>
      </c>
      <c r="Q649" t="n">
        <v>6692</v>
      </c>
      <c r="R649" t="inlineStr">
        <is>
          <t>3-man Stableford</t>
        </is>
      </c>
      <c r="S649" t="inlineStr">
        <is>
          <t>Doubles</t>
        </is>
      </c>
      <c r="T649" t="inlineStr">
        <is>
          <t>over 6'</t>
        </is>
      </c>
      <c r="U649" t="inlineStr">
        <is>
          <t>McInerney</t>
        </is>
      </c>
      <c r="V649" t="inlineStr">
        <is>
          <t>Fogan</t>
        </is>
      </c>
      <c r="W649" t="inlineStr">
        <is>
          <t>Pink</t>
        </is>
      </c>
      <c r="Y649" t="inlineStr">
        <is>
          <t>Delneky</t>
        </is>
      </c>
      <c r="AA649" t="n">
        <v>1</v>
      </c>
      <c r="AB649" t="inlineStr">
        <is>
          <t>L</t>
        </is>
      </c>
      <c r="AC649" t="inlineStr">
        <is>
          <t>-34 to -11</t>
        </is>
      </c>
      <c r="AE649">
        <f>$V649&amp;$Y649</f>
        <v/>
      </c>
      <c r="AF649" t="n">
        <v>0</v>
      </c>
      <c r="AG649" t="n">
        <v>0</v>
      </c>
      <c r="AH649" t="n">
        <v>1</v>
      </c>
      <c r="AI649" t="n">
        <v>0</v>
      </c>
      <c r="AJ649" t="n">
        <v>0</v>
      </c>
      <c r="AK649" t="inlineStr">
        <is>
          <t>Delaney</t>
        </is>
      </c>
      <c r="AL649" t="n">
        <v>0.46551724137931</v>
      </c>
      <c r="AM649" t="inlineStr">
        <is>
          <t>Perkins</t>
        </is>
      </c>
      <c r="AN649" t="n">
        <v>0.638888888888889</v>
      </c>
    </row>
    <row r="650" ht="15" customHeight="1" s="2">
      <c r="B650" t="n">
        <v>5</v>
      </c>
      <c r="C650" t="n">
        <v>5</v>
      </c>
      <c r="D650" t="n">
        <v>10</v>
      </c>
      <c r="E650" t="inlineStr">
        <is>
          <t>FBC10-D5</t>
        </is>
      </c>
      <c r="F650" t="inlineStr">
        <is>
          <t>Thursday</t>
        </is>
      </c>
      <c r="G650" s="27" t="n">
        <v>45141</v>
      </c>
      <c r="H650" t="inlineStr">
        <is>
          <t>PM</t>
        </is>
      </c>
      <c r="I650" t="inlineStr">
        <is>
          <t>Dublin, IE</t>
        </is>
      </c>
      <c r="J650" t="inlineStr">
        <is>
          <t>Europe</t>
        </is>
      </c>
      <c r="K650" t="n">
        <v>9</v>
      </c>
      <c r="L650" t="inlineStr">
        <is>
          <t>Front</t>
        </is>
      </c>
      <c r="M650" t="inlineStr">
        <is>
          <t>The Island</t>
        </is>
      </c>
      <c r="N650" t="inlineStr">
        <is>
          <t>Green</t>
        </is>
      </c>
      <c r="O650" t="n">
        <v>72.8</v>
      </c>
      <c r="P650" t="n">
        <v>131</v>
      </c>
      <c r="Q650" t="n">
        <v>6692</v>
      </c>
      <c r="R650" t="inlineStr">
        <is>
          <t>3-man Stableford</t>
        </is>
      </c>
      <c r="S650" t="inlineStr">
        <is>
          <t>Doubles</t>
        </is>
      </c>
      <c r="T650" t="inlineStr">
        <is>
          <t>over 6'</t>
        </is>
      </c>
      <c r="U650" t="inlineStr">
        <is>
          <t>Cole</t>
        </is>
      </c>
      <c r="V650" t="inlineStr">
        <is>
          <t>Delaney</t>
        </is>
      </c>
      <c r="W650" t="inlineStr">
        <is>
          <t>Turtle Pattern</t>
        </is>
      </c>
      <c r="Y650" t="inlineStr">
        <is>
          <t>Perkins</t>
        </is>
      </c>
      <c r="AA650" t="n">
        <v>1</v>
      </c>
      <c r="AB650" t="inlineStr">
        <is>
          <t>W</t>
        </is>
      </c>
      <c r="AC650" t="inlineStr">
        <is>
          <t>-34 to -11</t>
        </is>
      </c>
      <c r="AE650">
        <f>$V650&amp;$Y650</f>
        <v/>
      </c>
      <c r="AF650" t="n">
        <v>1</v>
      </c>
      <c r="AG650" t="n">
        <v>1</v>
      </c>
      <c r="AH650" t="n">
        <v>0</v>
      </c>
      <c r="AI650" t="n">
        <v>0</v>
      </c>
      <c r="AJ650" t="n">
        <v>1</v>
      </c>
      <c r="AK650" t="inlineStr">
        <is>
          <t>Fogan</t>
        </is>
      </c>
      <c r="AL650" t="n">
        <v>0.372881355932203</v>
      </c>
      <c r="AM650" t="inlineStr">
        <is>
          <t>Delneky</t>
        </is>
      </c>
      <c r="AN650" t="n">
        <v>0.372881355932203</v>
      </c>
    </row>
    <row r="651" ht="15" customHeight="1" s="2">
      <c r="B651" t="n">
        <v>6</v>
      </c>
      <c r="C651" t="n">
        <v>1</v>
      </c>
      <c r="D651" t="n">
        <v>10</v>
      </c>
      <c r="E651" t="inlineStr">
        <is>
          <t>FBC10-D6</t>
        </is>
      </c>
      <c r="F651" t="inlineStr">
        <is>
          <t>Thursday</t>
        </is>
      </c>
      <c r="G651" s="27" t="n">
        <v>45141</v>
      </c>
      <c r="H651" t="inlineStr">
        <is>
          <t>PM</t>
        </is>
      </c>
      <c r="I651" t="inlineStr">
        <is>
          <t>Dublin, IE</t>
        </is>
      </c>
      <c r="J651" t="inlineStr">
        <is>
          <t>Europe</t>
        </is>
      </c>
      <c r="K651" t="n">
        <v>9</v>
      </c>
      <c r="L651" t="inlineStr">
        <is>
          <t>Back</t>
        </is>
      </c>
      <c r="M651" t="inlineStr">
        <is>
          <t>The Island</t>
        </is>
      </c>
      <c r="N651" t="inlineStr">
        <is>
          <t>Green</t>
        </is>
      </c>
      <c r="O651" t="n">
        <v>72.8</v>
      </c>
      <c r="P651" t="n">
        <v>131</v>
      </c>
      <c r="Q651" t="n">
        <v>6692</v>
      </c>
      <c r="R651" t="inlineStr">
        <is>
          <t>Pinehurst</t>
        </is>
      </c>
      <c r="S651" t="inlineStr">
        <is>
          <t>Doubles</t>
        </is>
      </c>
      <c r="T651" t="inlineStr">
        <is>
          <t>over 6'</t>
        </is>
      </c>
      <c r="U651" t="inlineStr">
        <is>
          <t>McInerney</t>
        </is>
      </c>
      <c r="V651" t="inlineStr">
        <is>
          <t>Connors</t>
        </is>
      </c>
      <c r="W651" t="inlineStr">
        <is>
          <t>Pink</t>
        </is>
      </c>
      <c r="Y651" t="inlineStr">
        <is>
          <t>Mangold</t>
        </is>
      </c>
      <c r="AA651" t="n">
        <v>1</v>
      </c>
      <c r="AB651" t="inlineStr">
        <is>
          <t>T</t>
        </is>
      </c>
      <c r="AC651" t="inlineStr">
        <is>
          <t>Halved</t>
        </is>
      </c>
      <c r="AE651">
        <f>$V651&amp;$Y651</f>
        <v/>
      </c>
      <c r="AF651" t="n">
        <v>0.5</v>
      </c>
      <c r="AG651" t="n">
        <v>0</v>
      </c>
      <c r="AH651" t="n">
        <v>0</v>
      </c>
      <c r="AI651" t="n">
        <v>1</v>
      </c>
      <c r="AJ651" t="n">
        <v>0.5</v>
      </c>
      <c r="AK651" t="inlineStr">
        <is>
          <t>Cole</t>
        </is>
      </c>
      <c r="AL651" t="n">
        <v>0.440677966101695</v>
      </c>
      <c r="AM651" t="inlineStr">
        <is>
          <t>Hilts</t>
        </is>
      </c>
      <c r="AN651" t="n">
        <v>0.473214285714286</v>
      </c>
    </row>
    <row r="652" ht="15" customHeight="1" s="2">
      <c r="B652" t="n">
        <v>6</v>
      </c>
      <c r="C652" t="n">
        <v>1</v>
      </c>
      <c r="D652" t="n">
        <v>10</v>
      </c>
      <c r="E652" t="inlineStr">
        <is>
          <t>FBC10-D6</t>
        </is>
      </c>
      <c r="F652" t="inlineStr">
        <is>
          <t>Thursday</t>
        </is>
      </c>
      <c r="G652" s="27" t="n">
        <v>45141</v>
      </c>
      <c r="H652" t="inlineStr">
        <is>
          <t>PM</t>
        </is>
      </c>
      <c r="I652" t="inlineStr">
        <is>
          <t>Dublin, IE</t>
        </is>
      </c>
      <c r="J652" t="inlineStr">
        <is>
          <t>Europe</t>
        </is>
      </c>
      <c r="K652" t="n">
        <v>9</v>
      </c>
      <c r="L652" t="inlineStr">
        <is>
          <t>Back</t>
        </is>
      </c>
      <c r="M652" t="inlineStr">
        <is>
          <t>The Island</t>
        </is>
      </c>
      <c r="N652" t="inlineStr">
        <is>
          <t>Green</t>
        </is>
      </c>
      <c r="O652" t="n">
        <v>72.8</v>
      </c>
      <c r="P652" t="n">
        <v>131</v>
      </c>
      <c r="Q652" t="n">
        <v>6692</v>
      </c>
      <c r="R652" t="inlineStr">
        <is>
          <t>Pinehurst</t>
        </is>
      </c>
      <c r="S652" t="inlineStr">
        <is>
          <t>Doubles</t>
        </is>
      </c>
      <c r="T652" t="inlineStr">
        <is>
          <t>over 6'</t>
        </is>
      </c>
      <c r="U652" t="inlineStr">
        <is>
          <t>Cole</t>
        </is>
      </c>
      <c r="V652" t="inlineStr">
        <is>
          <t>Cole</t>
        </is>
      </c>
      <c r="W652" t="inlineStr">
        <is>
          <t>Turtle Pattern</t>
        </is>
      </c>
      <c r="Y652" t="inlineStr">
        <is>
          <t>Hilts</t>
        </is>
      </c>
      <c r="AA652" t="n">
        <v>1</v>
      </c>
      <c r="AB652" t="inlineStr">
        <is>
          <t>T</t>
        </is>
      </c>
      <c r="AC652" t="inlineStr">
        <is>
          <t>Halved</t>
        </is>
      </c>
      <c r="AE652">
        <f>$V652&amp;$Y652</f>
        <v/>
      </c>
      <c r="AF652" t="n">
        <v>0.5</v>
      </c>
      <c r="AG652" t="n">
        <v>0</v>
      </c>
      <c r="AH652" t="n">
        <v>0</v>
      </c>
      <c r="AI652" t="n">
        <v>1</v>
      </c>
      <c r="AJ652" t="n">
        <v>0.5</v>
      </c>
      <c r="AK652" t="inlineStr">
        <is>
          <t>Connors</t>
        </is>
      </c>
      <c r="AL652" t="n">
        <v>0.347457627118644</v>
      </c>
      <c r="AM652" t="inlineStr">
        <is>
          <t>Mangold</t>
        </is>
      </c>
      <c r="AN652" t="n">
        <v>0.383928571428572</v>
      </c>
    </row>
    <row r="653" ht="15" customHeight="1" s="2">
      <c r="B653" t="n">
        <v>7</v>
      </c>
      <c r="C653" t="n">
        <v>2</v>
      </c>
      <c r="D653" t="n">
        <v>10</v>
      </c>
      <c r="E653" t="inlineStr">
        <is>
          <t>FBC10-D7</t>
        </is>
      </c>
      <c r="F653" t="inlineStr">
        <is>
          <t>Thursday</t>
        </is>
      </c>
      <c r="G653" s="27" t="n">
        <v>45141</v>
      </c>
      <c r="H653" t="inlineStr">
        <is>
          <t>PM</t>
        </is>
      </c>
      <c r="I653" t="inlineStr">
        <is>
          <t>Dublin, IE</t>
        </is>
      </c>
      <c r="J653" t="inlineStr">
        <is>
          <t>Europe</t>
        </is>
      </c>
      <c r="K653" t="n">
        <v>9</v>
      </c>
      <c r="L653" t="inlineStr">
        <is>
          <t>Back</t>
        </is>
      </c>
      <c r="M653" t="inlineStr">
        <is>
          <t>The Island</t>
        </is>
      </c>
      <c r="N653" t="inlineStr">
        <is>
          <t>Green</t>
        </is>
      </c>
      <c r="O653" t="n">
        <v>72.8</v>
      </c>
      <c r="P653" t="n">
        <v>131</v>
      </c>
      <c r="Q653" t="n">
        <v>6692</v>
      </c>
      <c r="R653" t="inlineStr">
        <is>
          <t>Pinehurst</t>
        </is>
      </c>
      <c r="S653" t="inlineStr">
        <is>
          <t>Doubles</t>
        </is>
      </c>
      <c r="T653" t="inlineStr">
        <is>
          <t>over 6'</t>
        </is>
      </c>
      <c r="U653" t="inlineStr">
        <is>
          <t>Cole</t>
        </is>
      </c>
      <c r="V653" t="inlineStr">
        <is>
          <t>Ferrin</t>
        </is>
      </c>
      <c r="W653" t="inlineStr">
        <is>
          <t>Turtle Pattern</t>
        </is>
      </c>
      <c r="Y653" t="inlineStr">
        <is>
          <t>Grise</t>
        </is>
      </c>
      <c r="AA653" t="n">
        <v>1</v>
      </c>
      <c r="AB653" t="inlineStr">
        <is>
          <t>W</t>
        </is>
      </c>
      <c r="AC653" t="inlineStr">
        <is>
          <t>2Up</t>
        </is>
      </c>
      <c r="AE653">
        <f>$V653&amp;$Y653</f>
        <v/>
      </c>
      <c r="AF653" t="n">
        <v>1</v>
      </c>
      <c r="AG653" t="n">
        <v>1</v>
      </c>
      <c r="AH653" t="n">
        <v>0</v>
      </c>
      <c r="AI653" t="n">
        <v>0</v>
      </c>
      <c r="AJ653" t="n">
        <v>1</v>
      </c>
      <c r="AK653" t="inlineStr">
        <is>
          <t>Jackson</t>
        </is>
      </c>
      <c r="AL653" t="n">
        <v>0.6171875</v>
      </c>
      <c r="AM653" t="inlineStr">
        <is>
          <t>Zimmer</t>
        </is>
      </c>
      <c r="AN653" t="n">
        <v>0.5</v>
      </c>
    </row>
    <row r="654" ht="15" customHeight="1" s="2">
      <c r="B654" t="n">
        <v>7</v>
      </c>
      <c r="C654" t="n">
        <v>2</v>
      </c>
      <c r="D654" t="n">
        <v>10</v>
      </c>
      <c r="E654" t="inlineStr">
        <is>
          <t>FBC10-D7</t>
        </is>
      </c>
      <c r="F654" t="inlineStr">
        <is>
          <t>Thursday</t>
        </is>
      </c>
      <c r="G654" s="27" t="n">
        <v>45141</v>
      </c>
      <c r="H654" t="inlineStr">
        <is>
          <t>PM</t>
        </is>
      </c>
      <c r="I654" t="inlineStr">
        <is>
          <t>Dublin, IE</t>
        </is>
      </c>
      <c r="J654" t="inlineStr">
        <is>
          <t>Europe</t>
        </is>
      </c>
      <c r="K654" t="n">
        <v>9</v>
      </c>
      <c r="L654" t="inlineStr">
        <is>
          <t>Back</t>
        </is>
      </c>
      <c r="M654" t="inlineStr">
        <is>
          <t>The Island</t>
        </is>
      </c>
      <c r="N654" t="inlineStr">
        <is>
          <t>Green</t>
        </is>
      </c>
      <c r="O654" t="n">
        <v>72.8</v>
      </c>
      <c r="P654" t="n">
        <v>131</v>
      </c>
      <c r="Q654" t="n">
        <v>6692</v>
      </c>
      <c r="R654" t="inlineStr">
        <is>
          <t>Pinehurst</t>
        </is>
      </c>
      <c r="S654" t="inlineStr">
        <is>
          <t>Doubles</t>
        </is>
      </c>
      <c r="T654" t="inlineStr">
        <is>
          <t>over 6'</t>
        </is>
      </c>
      <c r="U654" t="inlineStr">
        <is>
          <t>McInerney</t>
        </is>
      </c>
      <c r="V654" t="inlineStr">
        <is>
          <t>Jackson</t>
        </is>
      </c>
      <c r="W654" t="inlineStr">
        <is>
          <t>Pink</t>
        </is>
      </c>
      <c r="Y654" t="inlineStr">
        <is>
          <t>Zimmer</t>
        </is>
      </c>
      <c r="AA654" t="n">
        <v>1</v>
      </c>
      <c r="AB654" t="inlineStr">
        <is>
          <t>L</t>
        </is>
      </c>
      <c r="AC654" t="inlineStr">
        <is>
          <t>2Up</t>
        </is>
      </c>
      <c r="AE654">
        <f>$V654&amp;$Y654</f>
        <v/>
      </c>
      <c r="AF654" t="n">
        <v>0</v>
      </c>
      <c r="AG654" t="n">
        <v>0</v>
      </c>
      <c r="AH654" t="n">
        <v>1</v>
      </c>
      <c r="AI654" t="n">
        <v>0</v>
      </c>
      <c r="AJ654" t="n">
        <v>0</v>
      </c>
      <c r="AK654" t="inlineStr">
        <is>
          <t>Ferrin</t>
        </is>
      </c>
      <c r="AL654" t="n">
        <v>0.595238095238095</v>
      </c>
      <c r="AM654" t="inlineStr">
        <is>
          <t>Grise</t>
        </is>
      </c>
      <c r="AN654" t="n">
        <v>0.546875</v>
      </c>
    </row>
    <row r="655" ht="15" customHeight="1" s="2">
      <c r="B655" t="n">
        <v>8</v>
      </c>
      <c r="C655" t="n">
        <v>3</v>
      </c>
      <c r="D655" t="n">
        <v>10</v>
      </c>
      <c r="E655" t="inlineStr">
        <is>
          <t>FBC10-D8</t>
        </is>
      </c>
      <c r="F655" t="inlineStr">
        <is>
          <t>Thursday</t>
        </is>
      </c>
      <c r="G655" s="27" t="n">
        <v>45141</v>
      </c>
      <c r="H655" t="inlineStr">
        <is>
          <t>PM</t>
        </is>
      </c>
      <c r="I655" t="inlineStr">
        <is>
          <t>Dublin, IE</t>
        </is>
      </c>
      <c r="J655" t="inlineStr">
        <is>
          <t>Europe</t>
        </is>
      </c>
      <c r="K655" t="n">
        <v>9</v>
      </c>
      <c r="L655" t="inlineStr">
        <is>
          <t>Back</t>
        </is>
      </c>
      <c r="M655" t="inlineStr">
        <is>
          <t>The Island</t>
        </is>
      </c>
      <c r="N655" t="inlineStr">
        <is>
          <t>Green</t>
        </is>
      </c>
      <c r="O655" t="n">
        <v>72.8</v>
      </c>
      <c r="P655" t="n">
        <v>131</v>
      </c>
      <c r="Q655" t="n">
        <v>6692</v>
      </c>
      <c r="R655" t="inlineStr">
        <is>
          <t>Pinehurst</t>
        </is>
      </c>
      <c r="S655" t="inlineStr">
        <is>
          <t>Doubles</t>
        </is>
      </c>
      <c r="T655" t="inlineStr">
        <is>
          <t>over 6'</t>
        </is>
      </c>
      <c r="U655" t="inlineStr">
        <is>
          <t>McInerney</t>
        </is>
      </c>
      <c r="V655" t="inlineStr">
        <is>
          <t>Forster</t>
        </is>
      </c>
      <c r="W655" t="inlineStr">
        <is>
          <t>Pink</t>
        </is>
      </c>
      <c r="Y655" t="inlineStr">
        <is>
          <t>Welker</t>
        </is>
      </c>
      <c r="AA655" t="n">
        <v>1</v>
      </c>
      <c r="AB655" t="inlineStr">
        <is>
          <t>L</t>
        </is>
      </c>
      <c r="AC655" t="inlineStr">
        <is>
          <t>4&amp;3</t>
        </is>
      </c>
      <c r="AE655">
        <f>$V655&amp;$Y655</f>
        <v/>
      </c>
      <c r="AF655" t="n">
        <v>0</v>
      </c>
      <c r="AG655" t="n">
        <v>0</v>
      </c>
      <c r="AH655" t="n">
        <v>1</v>
      </c>
      <c r="AI655" t="n">
        <v>0</v>
      </c>
      <c r="AJ655" t="n">
        <v>0</v>
      </c>
      <c r="AK655" t="inlineStr">
        <is>
          <t>Flanders</t>
        </is>
      </c>
      <c r="AL655" t="n">
        <v>0.4296875</v>
      </c>
      <c r="AM655" t="inlineStr">
        <is>
          <t>Lynch</t>
        </is>
      </c>
      <c r="AN655" t="n">
        <v>0.5546875</v>
      </c>
    </row>
    <row r="656" ht="15" customHeight="1" s="2">
      <c r="B656" t="n">
        <v>8</v>
      </c>
      <c r="C656" t="n">
        <v>3</v>
      </c>
      <c r="D656" t="n">
        <v>10</v>
      </c>
      <c r="E656" t="inlineStr">
        <is>
          <t>FBC10-D8</t>
        </is>
      </c>
      <c r="F656" t="inlineStr">
        <is>
          <t>Thursday</t>
        </is>
      </c>
      <c r="G656" s="27" t="n">
        <v>45141</v>
      </c>
      <c r="H656" t="inlineStr">
        <is>
          <t>PM</t>
        </is>
      </c>
      <c r="I656" t="inlineStr">
        <is>
          <t>Dublin, IE</t>
        </is>
      </c>
      <c r="J656" t="inlineStr">
        <is>
          <t>Europe</t>
        </is>
      </c>
      <c r="K656" t="n">
        <v>9</v>
      </c>
      <c r="L656" t="inlineStr">
        <is>
          <t>Back</t>
        </is>
      </c>
      <c r="M656" t="inlineStr">
        <is>
          <t>The Island</t>
        </is>
      </c>
      <c r="N656" t="inlineStr">
        <is>
          <t>Green</t>
        </is>
      </c>
      <c r="O656" t="n">
        <v>72.8</v>
      </c>
      <c r="P656" t="n">
        <v>131</v>
      </c>
      <c r="Q656" t="n">
        <v>6692</v>
      </c>
      <c r="R656" t="inlineStr">
        <is>
          <t>Pinehurst</t>
        </is>
      </c>
      <c r="S656" t="inlineStr">
        <is>
          <t>Doubles</t>
        </is>
      </c>
      <c r="T656" t="inlineStr">
        <is>
          <t>over 6'</t>
        </is>
      </c>
      <c r="U656" t="inlineStr">
        <is>
          <t>Cole</t>
        </is>
      </c>
      <c r="V656" t="inlineStr">
        <is>
          <t>Flanders</t>
        </is>
      </c>
      <c r="W656" t="inlineStr">
        <is>
          <t>Turtle Pattern</t>
        </is>
      </c>
      <c r="Y656" t="inlineStr">
        <is>
          <t>Lynch</t>
        </is>
      </c>
      <c r="AA656" t="n">
        <v>1</v>
      </c>
      <c r="AB656" t="inlineStr">
        <is>
          <t>W</t>
        </is>
      </c>
      <c r="AC656" t="inlineStr">
        <is>
          <t>4&amp;3</t>
        </is>
      </c>
      <c r="AE656">
        <f>$V656&amp;$Y656</f>
        <v/>
      </c>
      <c r="AF656" t="n">
        <v>1</v>
      </c>
      <c r="AG656" t="n">
        <v>1</v>
      </c>
      <c r="AH656" t="n">
        <v>0</v>
      </c>
      <c r="AI656" t="n">
        <v>0</v>
      </c>
      <c r="AJ656" t="n">
        <v>1</v>
      </c>
      <c r="AK656" t="inlineStr">
        <is>
          <t>Forster</t>
        </is>
      </c>
      <c r="AL656" t="n">
        <v>0.596491228070175</v>
      </c>
      <c r="AM656" t="inlineStr">
        <is>
          <t>Welker</t>
        </is>
      </c>
      <c r="AN656" t="n">
        <v>0.510416666666667</v>
      </c>
    </row>
    <row r="657" ht="15" customHeight="1" s="2">
      <c r="B657" t="n">
        <v>9</v>
      </c>
      <c r="C657" t="n">
        <v>4</v>
      </c>
      <c r="D657" t="n">
        <v>10</v>
      </c>
      <c r="E657" t="inlineStr">
        <is>
          <t>FBC10-D9</t>
        </is>
      </c>
      <c r="F657" t="inlineStr">
        <is>
          <t>Thursday</t>
        </is>
      </c>
      <c r="G657" s="27" t="n">
        <v>45141</v>
      </c>
      <c r="H657" t="inlineStr">
        <is>
          <t>PM</t>
        </is>
      </c>
      <c r="I657" t="inlineStr">
        <is>
          <t>Dublin, IE</t>
        </is>
      </c>
      <c r="J657" t="inlineStr">
        <is>
          <t>Europe</t>
        </is>
      </c>
      <c r="K657" t="n">
        <v>9</v>
      </c>
      <c r="L657" t="inlineStr">
        <is>
          <t>Back</t>
        </is>
      </c>
      <c r="M657" t="inlineStr">
        <is>
          <t>The Island</t>
        </is>
      </c>
      <c r="N657" t="inlineStr">
        <is>
          <t>Green</t>
        </is>
      </c>
      <c r="O657" t="n">
        <v>72.8</v>
      </c>
      <c r="P657" t="n">
        <v>131</v>
      </c>
      <c r="Q657" t="n">
        <v>6692</v>
      </c>
      <c r="R657" t="inlineStr">
        <is>
          <t>Pinehurst</t>
        </is>
      </c>
      <c r="S657" t="inlineStr">
        <is>
          <t>Doubles</t>
        </is>
      </c>
      <c r="T657" t="inlineStr">
        <is>
          <t>over 6'</t>
        </is>
      </c>
      <c r="U657" t="inlineStr">
        <is>
          <t>Cole</t>
        </is>
      </c>
      <c r="V657" t="inlineStr">
        <is>
          <t>Connolly</t>
        </is>
      </c>
      <c r="W657" t="inlineStr">
        <is>
          <t>Turtle Pattern</t>
        </is>
      </c>
      <c r="Y657" t="inlineStr">
        <is>
          <t>R. Connolly</t>
        </is>
      </c>
      <c r="AA657" t="n">
        <v>1</v>
      </c>
      <c r="AB657" t="inlineStr">
        <is>
          <t>T</t>
        </is>
      </c>
      <c r="AC657" t="inlineStr">
        <is>
          <t>Halved</t>
        </is>
      </c>
      <c r="AE657">
        <f>$V657&amp;$Y657</f>
        <v/>
      </c>
      <c r="AF657" t="n">
        <v>0.5</v>
      </c>
      <c r="AG657" t="n">
        <v>0</v>
      </c>
      <c r="AH657" t="n">
        <v>0</v>
      </c>
      <c r="AI657" t="n">
        <v>1</v>
      </c>
      <c r="AJ657" t="n">
        <v>0.5</v>
      </c>
      <c r="AK657" t="inlineStr">
        <is>
          <t>Gray</t>
        </is>
      </c>
      <c r="AL657" t="n">
        <v>0.654761904761905</v>
      </c>
      <c r="AM657" t="inlineStr">
        <is>
          <t>McInerney</t>
        </is>
      </c>
      <c r="AN657" t="n">
        <v>0.5</v>
      </c>
    </row>
    <row r="658" ht="15" customHeight="1" s="2">
      <c r="B658" t="n">
        <v>9</v>
      </c>
      <c r="C658" t="n">
        <v>4</v>
      </c>
      <c r="D658" t="n">
        <v>10</v>
      </c>
      <c r="E658" t="inlineStr">
        <is>
          <t>FBC10-D9</t>
        </is>
      </c>
      <c r="F658" t="inlineStr">
        <is>
          <t>Thursday</t>
        </is>
      </c>
      <c r="G658" s="27" t="n">
        <v>45141</v>
      </c>
      <c r="H658" t="inlineStr">
        <is>
          <t>PM</t>
        </is>
      </c>
      <c r="I658" t="inlineStr">
        <is>
          <t>Dublin, IE</t>
        </is>
      </c>
      <c r="J658" t="inlineStr">
        <is>
          <t>Europe</t>
        </is>
      </c>
      <c r="K658" t="n">
        <v>9</v>
      </c>
      <c r="L658" t="inlineStr">
        <is>
          <t>Back</t>
        </is>
      </c>
      <c r="M658" t="inlineStr">
        <is>
          <t>The Island</t>
        </is>
      </c>
      <c r="N658" t="inlineStr">
        <is>
          <t>Green</t>
        </is>
      </c>
      <c r="O658" t="n">
        <v>72.8</v>
      </c>
      <c r="P658" t="n">
        <v>131</v>
      </c>
      <c r="Q658" t="n">
        <v>6692</v>
      </c>
      <c r="R658" t="inlineStr">
        <is>
          <t>Pinehurst</t>
        </is>
      </c>
      <c r="S658" t="inlineStr">
        <is>
          <t>Doubles</t>
        </is>
      </c>
      <c r="T658" t="inlineStr">
        <is>
          <t>over 6'</t>
        </is>
      </c>
      <c r="U658" t="inlineStr">
        <is>
          <t>McInerney</t>
        </is>
      </c>
      <c r="V658" t="inlineStr">
        <is>
          <t>Gray</t>
        </is>
      </c>
      <c r="W658" t="inlineStr">
        <is>
          <t>Pink</t>
        </is>
      </c>
      <c r="Y658" t="inlineStr">
        <is>
          <t>McInerney</t>
        </is>
      </c>
      <c r="AA658" t="n">
        <v>1</v>
      </c>
      <c r="AB658" t="inlineStr">
        <is>
          <t>T</t>
        </is>
      </c>
      <c r="AC658" t="inlineStr">
        <is>
          <t>Halved</t>
        </is>
      </c>
      <c r="AE658">
        <f>$V658&amp;$Y658</f>
        <v/>
      </c>
      <c r="AF658" t="n">
        <v>0.5</v>
      </c>
      <c r="AG658" t="n">
        <v>0</v>
      </c>
      <c r="AH658" t="n">
        <v>0</v>
      </c>
      <c r="AI658" t="n">
        <v>1</v>
      </c>
      <c r="AJ658" t="n">
        <v>0.5</v>
      </c>
      <c r="AK658" t="inlineStr">
        <is>
          <t>Connolly</t>
        </is>
      </c>
      <c r="AL658" t="n">
        <v>0.59375</v>
      </c>
      <c r="AM658" t="inlineStr">
        <is>
          <t>R. Connolly</t>
        </is>
      </c>
      <c r="AN658" t="n">
        <v>0.333333333333333</v>
      </c>
    </row>
    <row r="659" ht="15" customHeight="1" s="2">
      <c r="B659" t="n">
        <v>10</v>
      </c>
      <c r="C659" t="n">
        <v>5</v>
      </c>
      <c r="D659" t="n">
        <v>10</v>
      </c>
      <c r="E659" t="inlineStr">
        <is>
          <t>FBC10-D10</t>
        </is>
      </c>
      <c r="F659" t="inlineStr">
        <is>
          <t>Thursday</t>
        </is>
      </c>
      <c r="G659" s="27" t="n">
        <v>45141</v>
      </c>
      <c r="H659" t="inlineStr">
        <is>
          <t>PM</t>
        </is>
      </c>
      <c r="I659" t="inlineStr">
        <is>
          <t>Dublin, IE</t>
        </is>
      </c>
      <c r="J659" t="inlineStr">
        <is>
          <t>Europe</t>
        </is>
      </c>
      <c r="K659" t="n">
        <v>9</v>
      </c>
      <c r="L659" t="inlineStr">
        <is>
          <t>Back</t>
        </is>
      </c>
      <c r="M659" t="inlineStr">
        <is>
          <t>The Island</t>
        </is>
      </c>
      <c r="N659" t="inlineStr">
        <is>
          <t>Green</t>
        </is>
      </c>
      <c r="O659" t="n">
        <v>72.8</v>
      </c>
      <c r="P659" t="n">
        <v>131</v>
      </c>
      <c r="Q659" t="n">
        <v>6692</v>
      </c>
      <c r="R659" t="inlineStr">
        <is>
          <t>Pinehurst</t>
        </is>
      </c>
      <c r="S659" t="inlineStr">
        <is>
          <t>Doubles</t>
        </is>
      </c>
      <c r="T659" t="inlineStr">
        <is>
          <t>over 6'</t>
        </is>
      </c>
      <c r="U659" t="inlineStr">
        <is>
          <t>McInerney</t>
        </is>
      </c>
      <c r="V659" t="inlineStr">
        <is>
          <t>Delneky</t>
        </is>
      </c>
      <c r="W659" t="inlineStr">
        <is>
          <t>Pink</t>
        </is>
      </c>
      <c r="Y659" t="inlineStr">
        <is>
          <t>Fogan</t>
        </is>
      </c>
      <c r="AA659" t="n">
        <v>1</v>
      </c>
      <c r="AB659" t="inlineStr">
        <is>
          <t>T</t>
        </is>
      </c>
      <c r="AC659" t="inlineStr">
        <is>
          <t>Halved</t>
        </is>
      </c>
      <c r="AE659">
        <f>$V659&amp;$Y659</f>
        <v/>
      </c>
      <c r="AF659" t="n">
        <v>0.5</v>
      </c>
      <c r="AG659" t="n">
        <v>0</v>
      </c>
      <c r="AH659" t="n">
        <v>0</v>
      </c>
      <c r="AI659" t="n">
        <v>1</v>
      </c>
      <c r="AJ659" t="n">
        <v>0.5</v>
      </c>
      <c r="AK659" t="inlineStr">
        <is>
          <t>Delaney</t>
        </is>
      </c>
      <c r="AL659" t="n">
        <v>0.46551724137931</v>
      </c>
      <c r="AM659" t="inlineStr">
        <is>
          <t>Perkins</t>
        </is>
      </c>
      <c r="AN659" t="n">
        <v>0.638888888888889</v>
      </c>
    </row>
    <row r="660" ht="15" customHeight="1" s="2">
      <c r="B660" t="n">
        <v>10</v>
      </c>
      <c r="C660" t="n">
        <v>5</v>
      </c>
      <c r="D660" t="n">
        <v>10</v>
      </c>
      <c r="E660" t="inlineStr">
        <is>
          <t>FBC10-D10</t>
        </is>
      </c>
      <c r="F660" t="inlineStr">
        <is>
          <t>Thursday</t>
        </is>
      </c>
      <c r="G660" s="27" t="n">
        <v>45141</v>
      </c>
      <c r="H660" t="inlineStr">
        <is>
          <t>PM</t>
        </is>
      </c>
      <c r="I660" t="inlineStr">
        <is>
          <t>Dublin, IE</t>
        </is>
      </c>
      <c r="J660" t="inlineStr">
        <is>
          <t>Europe</t>
        </is>
      </c>
      <c r="K660" t="n">
        <v>9</v>
      </c>
      <c r="L660" t="inlineStr">
        <is>
          <t>Back</t>
        </is>
      </c>
      <c r="M660" t="inlineStr">
        <is>
          <t>The Island</t>
        </is>
      </c>
      <c r="N660" t="inlineStr">
        <is>
          <t>Green</t>
        </is>
      </c>
      <c r="O660" t="n">
        <v>72.8</v>
      </c>
      <c r="P660" t="n">
        <v>131</v>
      </c>
      <c r="Q660" t="n">
        <v>6692</v>
      </c>
      <c r="R660" t="inlineStr">
        <is>
          <t>Pinehurst</t>
        </is>
      </c>
      <c r="S660" t="inlineStr">
        <is>
          <t>Doubles</t>
        </is>
      </c>
      <c r="T660" t="inlineStr">
        <is>
          <t>over 6'</t>
        </is>
      </c>
      <c r="U660" t="inlineStr">
        <is>
          <t>Cole</t>
        </is>
      </c>
      <c r="V660" t="inlineStr">
        <is>
          <t>Delaney</t>
        </is>
      </c>
      <c r="W660" t="inlineStr">
        <is>
          <t>Turtle Pattern</t>
        </is>
      </c>
      <c r="Y660" t="inlineStr">
        <is>
          <t>Perkins</t>
        </is>
      </c>
      <c r="AA660" t="n">
        <v>1</v>
      </c>
      <c r="AB660" t="inlineStr">
        <is>
          <t>T</t>
        </is>
      </c>
      <c r="AC660" t="inlineStr">
        <is>
          <t>Halved</t>
        </is>
      </c>
      <c r="AE660">
        <f>$V660&amp;$Y660</f>
        <v/>
      </c>
      <c r="AF660" t="n">
        <v>0.5</v>
      </c>
      <c r="AG660" t="n">
        <v>0</v>
      </c>
      <c r="AH660" t="n">
        <v>0</v>
      </c>
      <c r="AI660" t="n">
        <v>1</v>
      </c>
      <c r="AJ660" t="n">
        <v>0.5</v>
      </c>
      <c r="AK660" t="inlineStr">
        <is>
          <t>Delneky</t>
        </is>
      </c>
      <c r="AL660" t="n">
        <v>0.6590909090909089</v>
      </c>
      <c r="AM660" t="inlineStr">
        <is>
          <t>Fogan</t>
        </is>
      </c>
      <c r="AN660" t="n">
        <v>0.372881355932203</v>
      </c>
    </row>
    <row r="661" ht="15" customHeight="1" s="2">
      <c r="B661" t="n">
        <v>11</v>
      </c>
      <c r="C661" t="n">
        <v>1</v>
      </c>
      <c r="D661" t="n">
        <v>10</v>
      </c>
      <c r="E661" t="inlineStr">
        <is>
          <t>FBC10-D11</t>
        </is>
      </c>
      <c r="F661" t="inlineStr">
        <is>
          <t>Friday</t>
        </is>
      </c>
      <c r="G661" s="27" t="n">
        <v>45142</v>
      </c>
      <c r="H661" t="inlineStr">
        <is>
          <t>AM</t>
        </is>
      </c>
      <c r="I661" t="inlineStr">
        <is>
          <t>Dublin, IE</t>
        </is>
      </c>
      <c r="J661" t="inlineStr">
        <is>
          <t>Europe</t>
        </is>
      </c>
      <c r="K661" t="n">
        <v>9</v>
      </c>
      <c r="L661" t="inlineStr">
        <is>
          <t>Front</t>
        </is>
      </c>
      <c r="M661" t="inlineStr">
        <is>
          <t>Portmarnock Red</t>
        </is>
      </c>
      <c r="N661" t="inlineStr">
        <is>
          <t>Green</t>
        </is>
      </c>
      <c r="O661" t="n">
        <v>73.59999999999999</v>
      </c>
      <c r="P661" t="n">
        <v>135</v>
      </c>
      <c r="Q661" t="n">
        <v>6705</v>
      </c>
      <c r="R661" t="inlineStr">
        <is>
          <t>Best Ball</t>
        </is>
      </c>
      <c r="S661" t="inlineStr">
        <is>
          <t>Doubles</t>
        </is>
      </c>
      <c r="T661" t="inlineStr">
        <is>
          <t>over 6'</t>
        </is>
      </c>
      <c r="U661" t="inlineStr">
        <is>
          <t>McInerney</t>
        </is>
      </c>
      <c r="V661" t="inlineStr">
        <is>
          <t>Mangold</t>
        </is>
      </c>
      <c r="W661" t="inlineStr">
        <is>
          <t>Dice Pattern</t>
        </is>
      </c>
      <c r="Y661" t="inlineStr">
        <is>
          <t>Welker</t>
        </is>
      </c>
      <c r="AA661" t="n">
        <v>1</v>
      </c>
      <c r="AB661" t="inlineStr">
        <is>
          <t>W</t>
        </is>
      </c>
      <c r="AC661" t="inlineStr">
        <is>
          <t>2&amp;1</t>
        </is>
      </c>
      <c r="AE661">
        <f>$V661&amp;$Y661</f>
        <v/>
      </c>
      <c r="AF661" t="n">
        <v>1</v>
      </c>
      <c r="AG661" t="n">
        <v>1</v>
      </c>
      <c r="AH661" t="n">
        <v>0</v>
      </c>
      <c r="AI661" t="n">
        <v>0</v>
      </c>
      <c r="AJ661" t="n">
        <v>1</v>
      </c>
      <c r="AK661" t="inlineStr">
        <is>
          <t>Cole</t>
        </is>
      </c>
      <c r="AL661" t="n">
        <v>0.440677966101695</v>
      </c>
      <c r="AM661" t="inlineStr">
        <is>
          <t>R. Connolly</t>
        </is>
      </c>
      <c r="AN661" t="n">
        <v>0.333333333333333</v>
      </c>
    </row>
    <row r="662" ht="15" customHeight="1" s="2">
      <c r="B662" t="n">
        <v>11</v>
      </c>
      <c r="C662" t="n">
        <v>1</v>
      </c>
      <c r="D662" t="n">
        <v>10</v>
      </c>
      <c r="E662" t="inlineStr">
        <is>
          <t>FBC10-D11</t>
        </is>
      </c>
      <c r="F662" t="inlineStr">
        <is>
          <t>Friday</t>
        </is>
      </c>
      <c r="G662" s="27" t="n">
        <v>45142</v>
      </c>
      <c r="H662" t="inlineStr">
        <is>
          <t>AM</t>
        </is>
      </c>
      <c r="I662" t="inlineStr">
        <is>
          <t>Dublin, IE</t>
        </is>
      </c>
      <c r="J662" t="inlineStr">
        <is>
          <t>Europe</t>
        </is>
      </c>
      <c r="K662" t="n">
        <v>9</v>
      </c>
      <c r="L662" t="inlineStr">
        <is>
          <t>Front</t>
        </is>
      </c>
      <c r="M662" t="inlineStr">
        <is>
          <t>Portmarnock Red</t>
        </is>
      </c>
      <c r="N662" t="inlineStr">
        <is>
          <t>Green</t>
        </is>
      </c>
      <c r="O662" t="n">
        <v>73.59999999999999</v>
      </c>
      <c r="P662" t="n">
        <v>135</v>
      </c>
      <c r="Q662" t="n">
        <v>6705</v>
      </c>
      <c r="R662" t="inlineStr">
        <is>
          <t>Best Ball</t>
        </is>
      </c>
      <c r="S662" t="inlineStr">
        <is>
          <t>Doubles</t>
        </is>
      </c>
      <c r="T662" t="inlineStr">
        <is>
          <t>over 6'</t>
        </is>
      </c>
      <c r="U662" t="inlineStr">
        <is>
          <t>Cole</t>
        </is>
      </c>
      <c r="V662" t="inlineStr">
        <is>
          <t>Cole</t>
        </is>
      </c>
      <c r="W662" t="inlineStr">
        <is>
          <t>White/Green</t>
        </is>
      </c>
      <c r="Y662" t="inlineStr">
        <is>
          <t>R. Connolly</t>
        </is>
      </c>
      <c r="AA662" t="n">
        <v>1</v>
      </c>
      <c r="AB662" t="inlineStr">
        <is>
          <t>L</t>
        </is>
      </c>
      <c r="AC662" t="inlineStr">
        <is>
          <t>2&amp;1</t>
        </is>
      </c>
      <c r="AE662">
        <f>$V662&amp;$Y662</f>
        <v/>
      </c>
      <c r="AF662" t="n">
        <v>0</v>
      </c>
      <c r="AG662" t="n">
        <v>0</v>
      </c>
      <c r="AH662" t="n">
        <v>1</v>
      </c>
      <c r="AI662" t="n">
        <v>0</v>
      </c>
      <c r="AJ662" t="n">
        <v>0</v>
      </c>
      <c r="AK662" t="inlineStr">
        <is>
          <t>Mangold</t>
        </is>
      </c>
      <c r="AL662" t="n">
        <v>0.383928571428572</v>
      </c>
      <c r="AM662" t="inlineStr">
        <is>
          <t>Welker</t>
        </is>
      </c>
      <c r="AN662" t="n">
        <v>0.510416666666667</v>
      </c>
    </row>
    <row r="663" ht="15" customHeight="1" s="2">
      <c r="B663" t="n">
        <v>12</v>
      </c>
      <c r="C663" t="n">
        <v>2</v>
      </c>
      <c r="D663" t="n">
        <v>10</v>
      </c>
      <c r="E663" t="inlineStr">
        <is>
          <t>FBC10-D12</t>
        </is>
      </c>
      <c r="F663" t="inlineStr">
        <is>
          <t>Friday</t>
        </is>
      </c>
      <c r="G663" s="27" t="n">
        <v>45142</v>
      </c>
      <c r="H663" t="inlineStr">
        <is>
          <t>AM</t>
        </is>
      </c>
      <c r="I663" t="inlineStr">
        <is>
          <t>Dublin, IE</t>
        </is>
      </c>
      <c r="J663" t="inlineStr">
        <is>
          <t>Europe</t>
        </is>
      </c>
      <c r="K663" t="n">
        <v>9</v>
      </c>
      <c r="L663" t="inlineStr">
        <is>
          <t>Front</t>
        </is>
      </c>
      <c r="M663" t="inlineStr">
        <is>
          <t>Portmarnock Red</t>
        </is>
      </c>
      <c r="N663" t="inlineStr">
        <is>
          <t>Green</t>
        </is>
      </c>
      <c r="O663" t="n">
        <v>73.59999999999999</v>
      </c>
      <c r="P663" t="n">
        <v>135</v>
      </c>
      <c r="Q663" t="n">
        <v>6705</v>
      </c>
      <c r="R663" t="inlineStr">
        <is>
          <t>Best Ball</t>
        </is>
      </c>
      <c r="S663" t="inlineStr">
        <is>
          <t>Doubles</t>
        </is>
      </c>
      <c r="T663" t="inlineStr">
        <is>
          <t>over 6'</t>
        </is>
      </c>
      <c r="U663" t="inlineStr">
        <is>
          <t>Cole</t>
        </is>
      </c>
      <c r="V663" t="inlineStr">
        <is>
          <t>Delaney</t>
        </is>
      </c>
      <c r="W663" t="inlineStr">
        <is>
          <t>White/Green</t>
        </is>
      </c>
      <c r="Y663" t="inlineStr">
        <is>
          <t>Hilts</t>
        </is>
      </c>
      <c r="AA663" t="n">
        <v>1</v>
      </c>
      <c r="AB663" t="inlineStr">
        <is>
          <t>L</t>
        </is>
      </c>
      <c r="AC663" t="inlineStr">
        <is>
          <t>1Up</t>
        </is>
      </c>
      <c r="AE663">
        <f>$V663&amp;$Y663</f>
        <v/>
      </c>
      <c r="AF663" t="n">
        <v>0</v>
      </c>
      <c r="AG663" t="n">
        <v>0</v>
      </c>
      <c r="AH663" t="n">
        <v>1</v>
      </c>
      <c r="AI663" t="n">
        <v>0</v>
      </c>
      <c r="AJ663" t="n">
        <v>0</v>
      </c>
      <c r="AK663" t="inlineStr">
        <is>
          <t>Connors</t>
        </is>
      </c>
      <c r="AL663" t="n">
        <v>0.347457627118644</v>
      </c>
      <c r="AM663" t="inlineStr">
        <is>
          <t>Jackson</t>
        </is>
      </c>
      <c r="AN663" t="n">
        <v>0.6171875</v>
      </c>
    </row>
    <row r="664" ht="15" customHeight="1" s="2">
      <c r="B664" t="n">
        <v>12</v>
      </c>
      <c r="C664" t="n">
        <v>2</v>
      </c>
      <c r="D664" t="n">
        <v>10</v>
      </c>
      <c r="E664" t="inlineStr">
        <is>
          <t>FBC10-D12</t>
        </is>
      </c>
      <c r="F664" t="inlineStr">
        <is>
          <t>Friday</t>
        </is>
      </c>
      <c r="G664" s="27" t="n">
        <v>45142</v>
      </c>
      <c r="H664" t="inlineStr">
        <is>
          <t>AM</t>
        </is>
      </c>
      <c r="I664" t="inlineStr">
        <is>
          <t>Dublin, IE</t>
        </is>
      </c>
      <c r="J664" t="inlineStr">
        <is>
          <t>Europe</t>
        </is>
      </c>
      <c r="K664" t="n">
        <v>9</v>
      </c>
      <c r="L664" t="inlineStr">
        <is>
          <t>Front</t>
        </is>
      </c>
      <c r="M664" t="inlineStr">
        <is>
          <t>Portmarnock Red</t>
        </is>
      </c>
      <c r="N664" t="inlineStr">
        <is>
          <t>Green</t>
        </is>
      </c>
      <c r="O664" t="n">
        <v>73.59999999999999</v>
      </c>
      <c r="P664" t="n">
        <v>135</v>
      </c>
      <c r="Q664" t="n">
        <v>6705</v>
      </c>
      <c r="R664" t="inlineStr">
        <is>
          <t>Best Ball</t>
        </is>
      </c>
      <c r="S664" t="inlineStr">
        <is>
          <t>Doubles</t>
        </is>
      </c>
      <c r="T664" t="inlineStr">
        <is>
          <t>over 6'</t>
        </is>
      </c>
      <c r="U664" t="inlineStr">
        <is>
          <t>McInerney</t>
        </is>
      </c>
      <c r="V664" t="inlineStr">
        <is>
          <t>Connors</t>
        </is>
      </c>
      <c r="W664" t="inlineStr">
        <is>
          <t>Dice Pattern</t>
        </is>
      </c>
      <c r="Y664" t="inlineStr">
        <is>
          <t>Jackson</t>
        </is>
      </c>
      <c r="AA664" t="n">
        <v>1</v>
      </c>
      <c r="AB664" t="inlineStr">
        <is>
          <t>W</t>
        </is>
      </c>
      <c r="AC664" t="inlineStr">
        <is>
          <t>1Up</t>
        </is>
      </c>
      <c r="AE664">
        <f>$V664&amp;$Y664</f>
        <v/>
      </c>
      <c r="AF664" t="n">
        <v>1</v>
      </c>
      <c r="AG664" t="n">
        <v>1</v>
      </c>
      <c r="AH664" t="n">
        <v>0</v>
      </c>
      <c r="AI664" t="n">
        <v>0</v>
      </c>
      <c r="AJ664" t="n">
        <v>1</v>
      </c>
      <c r="AK664" t="inlineStr">
        <is>
          <t>Delaney</t>
        </is>
      </c>
      <c r="AL664" t="n">
        <v>0.46551724137931</v>
      </c>
      <c r="AM664" t="inlineStr">
        <is>
          <t>Hilts</t>
        </is>
      </c>
      <c r="AN664" t="n">
        <v>0.473214285714286</v>
      </c>
    </row>
    <row r="665" ht="15" customHeight="1" s="2">
      <c r="B665" t="n">
        <v>13</v>
      </c>
      <c r="C665" t="n">
        <v>3</v>
      </c>
      <c r="D665" t="n">
        <v>10</v>
      </c>
      <c r="E665" t="inlineStr">
        <is>
          <t>FBC10-D13</t>
        </is>
      </c>
      <c r="F665" t="inlineStr">
        <is>
          <t>Friday</t>
        </is>
      </c>
      <c r="G665" s="27" t="n">
        <v>45142</v>
      </c>
      <c r="H665" t="inlineStr">
        <is>
          <t>AM</t>
        </is>
      </c>
      <c r="I665" t="inlineStr">
        <is>
          <t>Dublin, IE</t>
        </is>
      </c>
      <c r="J665" t="inlineStr">
        <is>
          <t>Europe</t>
        </is>
      </c>
      <c r="K665" t="n">
        <v>9</v>
      </c>
      <c r="L665" t="inlineStr">
        <is>
          <t>Front</t>
        </is>
      </c>
      <c r="M665" t="inlineStr">
        <is>
          <t>Portmarnock Red</t>
        </is>
      </c>
      <c r="N665" t="inlineStr">
        <is>
          <t>Green</t>
        </is>
      </c>
      <c r="O665" t="n">
        <v>73.59999999999999</v>
      </c>
      <c r="P665" t="n">
        <v>135</v>
      </c>
      <c r="Q665" t="n">
        <v>6705</v>
      </c>
      <c r="R665" t="inlineStr">
        <is>
          <t>Best Ball</t>
        </is>
      </c>
      <c r="S665" t="inlineStr">
        <is>
          <t>Doubles</t>
        </is>
      </c>
      <c r="T665" t="inlineStr">
        <is>
          <t>over 6'</t>
        </is>
      </c>
      <c r="U665" t="inlineStr">
        <is>
          <t>McInerney</t>
        </is>
      </c>
      <c r="V665" t="inlineStr">
        <is>
          <t>Delneky</t>
        </is>
      </c>
      <c r="W665" t="inlineStr">
        <is>
          <t>Dice Pattern</t>
        </is>
      </c>
      <c r="Y665" t="inlineStr">
        <is>
          <t>Gray</t>
        </is>
      </c>
      <c r="AA665" t="n">
        <v>1</v>
      </c>
      <c r="AB665" t="inlineStr">
        <is>
          <t>W</t>
        </is>
      </c>
      <c r="AC665" t="inlineStr">
        <is>
          <t>3&amp;1</t>
        </is>
      </c>
      <c r="AE665">
        <f>$V665&amp;$Y665</f>
        <v/>
      </c>
      <c r="AF665" t="n">
        <v>1</v>
      </c>
      <c r="AG665" t="n">
        <v>1</v>
      </c>
      <c r="AH665" t="n">
        <v>0</v>
      </c>
      <c r="AI665" t="n">
        <v>0</v>
      </c>
      <c r="AJ665" t="n">
        <v>1</v>
      </c>
      <c r="AK665" t="inlineStr">
        <is>
          <t>Lynch</t>
        </is>
      </c>
      <c r="AL665" t="n">
        <v>0.5546875</v>
      </c>
      <c r="AM665" t="inlineStr">
        <is>
          <t>Perkins</t>
        </is>
      </c>
      <c r="AN665" t="n">
        <v>0.638888888888889</v>
      </c>
    </row>
    <row r="666" ht="15" customHeight="1" s="2">
      <c r="B666" t="n">
        <v>13</v>
      </c>
      <c r="C666" t="n">
        <v>3</v>
      </c>
      <c r="D666" t="n">
        <v>10</v>
      </c>
      <c r="E666" t="inlineStr">
        <is>
          <t>FBC10-D13</t>
        </is>
      </c>
      <c r="F666" t="inlineStr">
        <is>
          <t>Friday</t>
        </is>
      </c>
      <c r="G666" s="27" t="n">
        <v>45142</v>
      </c>
      <c r="H666" t="inlineStr">
        <is>
          <t>AM</t>
        </is>
      </c>
      <c r="I666" t="inlineStr">
        <is>
          <t>Dublin, IE</t>
        </is>
      </c>
      <c r="J666" t="inlineStr">
        <is>
          <t>Europe</t>
        </is>
      </c>
      <c r="K666" t="n">
        <v>9</v>
      </c>
      <c r="L666" t="inlineStr">
        <is>
          <t>Front</t>
        </is>
      </c>
      <c r="M666" t="inlineStr">
        <is>
          <t>Portmarnock Red</t>
        </is>
      </c>
      <c r="N666" t="inlineStr">
        <is>
          <t>Green</t>
        </is>
      </c>
      <c r="O666" t="n">
        <v>73.59999999999999</v>
      </c>
      <c r="P666" t="n">
        <v>135</v>
      </c>
      <c r="Q666" t="n">
        <v>6705</v>
      </c>
      <c r="R666" t="inlineStr">
        <is>
          <t>Best Ball</t>
        </is>
      </c>
      <c r="S666" t="inlineStr">
        <is>
          <t>Doubles</t>
        </is>
      </c>
      <c r="T666" t="inlineStr">
        <is>
          <t>over 6'</t>
        </is>
      </c>
      <c r="U666" t="inlineStr">
        <is>
          <t>Cole</t>
        </is>
      </c>
      <c r="V666" t="inlineStr">
        <is>
          <t>Lynch</t>
        </is>
      </c>
      <c r="W666" t="inlineStr">
        <is>
          <t>White/Green</t>
        </is>
      </c>
      <c r="Y666" t="inlineStr">
        <is>
          <t>Perkins</t>
        </is>
      </c>
      <c r="AA666" t="n">
        <v>1</v>
      </c>
      <c r="AB666" t="inlineStr">
        <is>
          <t>L</t>
        </is>
      </c>
      <c r="AC666" t="inlineStr">
        <is>
          <t>3&amp;1</t>
        </is>
      </c>
      <c r="AE666">
        <f>$V666&amp;$Y666</f>
        <v/>
      </c>
      <c r="AF666" t="n">
        <v>0</v>
      </c>
      <c r="AG666" t="n">
        <v>0</v>
      </c>
      <c r="AH666" t="n">
        <v>1</v>
      </c>
      <c r="AI666" t="n">
        <v>0</v>
      </c>
      <c r="AJ666" t="n">
        <v>0</v>
      </c>
      <c r="AK666" t="inlineStr">
        <is>
          <t>Delneky</t>
        </is>
      </c>
      <c r="AL666" t="n">
        <v>0.6590909090909089</v>
      </c>
      <c r="AM666" t="inlineStr">
        <is>
          <t>Gray</t>
        </is>
      </c>
      <c r="AN666" t="n">
        <v>0.654761904761905</v>
      </c>
    </row>
    <row r="667" ht="15" customHeight="1" s="2">
      <c r="B667" t="n">
        <v>14</v>
      </c>
      <c r="C667" t="n">
        <v>4</v>
      </c>
      <c r="D667" t="n">
        <v>10</v>
      </c>
      <c r="E667" t="inlineStr">
        <is>
          <t>FBC10-D14</t>
        </is>
      </c>
      <c r="F667" t="inlineStr">
        <is>
          <t>Friday</t>
        </is>
      </c>
      <c r="G667" s="27" t="n">
        <v>45142</v>
      </c>
      <c r="H667" t="inlineStr">
        <is>
          <t>AM</t>
        </is>
      </c>
      <c r="I667" t="inlineStr">
        <is>
          <t>Dublin, IE</t>
        </is>
      </c>
      <c r="J667" t="inlineStr">
        <is>
          <t>Europe</t>
        </is>
      </c>
      <c r="K667" t="n">
        <v>9</v>
      </c>
      <c r="L667" t="inlineStr">
        <is>
          <t>Front</t>
        </is>
      </c>
      <c r="M667" t="inlineStr">
        <is>
          <t>Portmarnock Red</t>
        </is>
      </c>
      <c r="N667" t="inlineStr">
        <is>
          <t>Green</t>
        </is>
      </c>
      <c r="O667" t="n">
        <v>73.59999999999999</v>
      </c>
      <c r="P667" t="n">
        <v>135</v>
      </c>
      <c r="Q667" t="n">
        <v>6705</v>
      </c>
      <c r="R667" t="inlineStr">
        <is>
          <t>Best Ball</t>
        </is>
      </c>
      <c r="S667" t="inlineStr">
        <is>
          <t>Doubles</t>
        </is>
      </c>
      <c r="T667" t="inlineStr">
        <is>
          <t>over 6'</t>
        </is>
      </c>
      <c r="U667" t="inlineStr">
        <is>
          <t>Cole</t>
        </is>
      </c>
      <c r="V667" t="inlineStr">
        <is>
          <t>Connolly</t>
        </is>
      </c>
      <c r="W667" t="inlineStr">
        <is>
          <t>White/Green</t>
        </is>
      </c>
      <c r="Y667" t="inlineStr">
        <is>
          <t>Grise</t>
        </is>
      </c>
      <c r="AA667" t="n">
        <v>1</v>
      </c>
      <c r="AB667" t="inlineStr">
        <is>
          <t>W</t>
        </is>
      </c>
      <c r="AC667" t="inlineStr">
        <is>
          <t>1Up</t>
        </is>
      </c>
      <c r="AE667">
        <f>$V667&amp;$Y667</f>
        <v/>
      </c>
      <c r="AF667" t="n">
        <v>1</v>
      </c>
      <c r="AG667" t="n">
        <v>1</v>
      </c>
      <c r="AH667" t="n">
        <v>0</v>
      </c>
      <c r="AI667" t="n">
        <v>0</v>
      </c>
      <c r="AJ667" t="n">
        <v>1</v>
      </c>
      <c r="AK667" t="inlineStr">
        <is>
          <t>McInerney</t>
        </is>
      </c>
      <c r="AL667" t="n">
        <v>0.5</v>
      </c>
      <c r="AM667" t="inlineStr">
        <is>
          <t>Fogan</t>
        </is>
      </c>
      <c r="AN667" t="n">
        <v>0.372881355932203</v>
      </c>
    </row>
    <row r="668" ht="15" customHeight="1" s="2">
      <c r="B668" t="n">
        <v>14</v>
      </c>
      <c r="C668" t="n">
        <v>4</v>
      </c>
      <c r="D668" t="n">
        <v>10</v>
      </c>
      <c r="E668" t="inlineStr">
        <is>
          <t>FBC10-D14</t>
        </is>
      </c>
      <c r="F668" t="inlineStr">
        <is>
          <t>Friday</t>
        </is>
      </c>
      <c r="G668" s="27" t="n">
        <v>45142</v>
      </c>
      <c r="H668" t="inlineStr">
        <is>
          <t>AM</t>
        </is>
      </c>
      <c r="I668" t="inlineStr">
        <is>
          <t>Dublin, IE</t>
        </is>
      </c>
      <c r="J668" t="inlineStr">
        <is>
          <t>Europe</t>
        </is>
      </c>
      <c r="K668" t="n">
        <v>9</v>
      </c>
      <c r="L668" t="inlineStr">
        <is>
          <t>Front</t>
        </is>
      </c>
      <c r="M668" t="inlineStr">
        <is>
          <t>Portmarnock Red</t>
        </is>
      </c>
      <c r="N668" t="inlineStr">
        <is>
          <t>Green</t>
        </is>
      </c>
      <c r="O668" t="n">
        <v>73.59999999999999</v>
      </c>
      <c r="P668" t="n">
        <v>135</v>
      </c>
      <c r="Q668" t="n">
        <v>6705</v>
      </c>
      <c r="R668" t="inlineStr">
        <is>
          <t>Best Ball</t>
        </is>
      </c>
      <c r="S668" t="inlineStr">
        <is>
          <t>Doubles</t>
        </is>
      </c>
      <c r="T668" t="inlineStr">
        <is>
          <t>over 6'</t>
        </is>
      </c>
      <c r="U668" t="inlineStr">
        <is>
          <t>McInerney</t>
        </is>
      </c>
      <c r="V668" t="inlineStr">
        <is>
          <t>McInerney</t>
        </is>
      </c>
      <c r="W668" t="inlineStr">
        <is>
          <t>Dice Pattern</t>
        </is>
      </c>
      <c r="Y668" t="inlineStr">
        <is>
          <t>Fogan</t>
        </is>
      </c>
      <c r="AA668" t="n">
        <v>1</v>
      </c>
      <c r="AB668" t="inlineStr">
        <is>
          <t>L</t>
        </is>
      </c>
      <c r="AC668" t="inlineStr">
        <is>
          <t>1Up</t>
        </is>
      </c>
      <c r="AE668">
        <f>$V668&amp;$Y668</f>
        <v/>
      </c>
      <c r="AF668" t="n">
        <v>0</v>
      </c>
      <c r="AG668" t="n">
        <v>0</v>
      </c>
      <c r="AH668" t="n">
        <v>1</v>
      </c>
      <c r="AI668" t="n">
        <v>0</v>
      </c>
      <c r="AJ668" t="n">
        <v>0</v>
      </c>
      <c r="AK668" t="inlineStr">
        <is>
          <t>Connolly</t>
        </is>
      </c>
      <c r="AL668" t="n">
        <v>0.59375</v>
      </c>
      <c r="AM668" t="inlineStr">
        <is>
          <t>Grise</t>
        </is>
      </c>
      <c r="AN668" t="n">
        <v>0.546875</v>
      </c>
    </row>
    <row r="669" ht="15" customHeight="1" s="2">
      <c r="B669" t="n">
        <v>15</v>
      </c>
      <c r="C669" t="n">
        <v>5</v>
      </c>
      <c r="D669" t="n">
        <v>10</v>
      </c>
      <c r="E669" t="inlineStr">
        <is>
          <t>FBC10-D15</t>
        </is>
      </c>
      <c r="F669" t="inlineStr">
        <is>
          <t>Friday</t>
        </is>
      </c>
      <c r="G669" s="27" t="n">
        <v>45142</v>
      </c>
      <c r="H669" t="inlineStr">
        <is>
          <t>AM</t>
        </is>
      </c>
      <c r="I669" t="inlineStr">
        <is>
          <t>Dublin, IE</t>
        </is>
      </c>
      <c r="J669" t="inlineStr">
        <is>
          <t>Europe</t>
        </is>
      </c>
      <c r="K669" t="n">
        <v>9</v>
      </c>
      <c r="L669" t="inlineStr">
        <is>
          <t>Front</t>
        </is>
      </c>
      <c r="M669" t="inlineStr">
        <is>
          <t>Portmarnock Red</t>
        </is>
      </c>
      <c r="N669" t="inlineStr">
        <is>
          <t>Green</t>
        </is>
      </c>
      <c r="O669" t="n">
        <v>73.59999999999999</v>
      </c>
      <c r="P669" t="n">
        <v>135</v>
      </c>
      <c r="Q669" t="n">
        <v>6705</v>
      </c>
      <c r="R669" t="inlineStr">
        <is>
          <t>Best Ball</t>
        </is>
      </c>
      <c r="S669" t="inlineStr">
        <is>
          <t>Doubles</t>
        </is>
      </c>
      <c r="T669" t="inlineStr">
        <is>
          <t>over 6'</t>
        </is>
      </c>
      <c r="U669" t="inlineStr">
        <is>
          <t>McInerney</t>
        </is>
      </c>
      <c r="V669" t="inlineStr">
        <is>
          <t>Forster</t>
        </is>
      </c>
      <c r="W669" t="inlineStr">
        <is>
          <t>Dice Pattern</t>
        </is>
      </c>
      <c r="Y669" t="inlineStr">
        <is>
          <t>Zimmer</t>
        </is>
      </c>
      <c r="AA669" t="n">
        <v>1</v>
      </c>
      <c r="AB669" t="inlineStr">
        <is>
          <t>L</t>
        </is>
      </c>
      <c r="AC669" t="inlineStr">
        <is>
          <t>3&amp;2</t>
        </is>
      </c>
      <c r="AE669">
        <f>$V669&amp;$Y669</f>
        <v/>
      </c>
      <c r="AF669" t="n">
        <v>0</v>
      </c>
      <c r="AG669" t="n">
        <v>0</v>
      </c>
      <c r="AH669" t="n">
        <v>1</v>
      </c>
      <c r="AI669" t="n">
        <v>0</v>
      </c>
      <c r="AJ669" t="n">
        <v>0</v>
      </c>
      <c r="AK669" t="inlineStr">
        <is>
          <t>Ferrin</t>
        </is>
      </c>
      <c r="AL669" t="n">
        <v>0.595238095238095</v>
      </c>
      <c r="AM669" t="inlineStr">
        <is>
          <t>Flanders</t>
        </is>
      </c>
      <c r="AN669" t="n">
        <v>0.4296875</v>
      </c>
    </row>
    <row r="670" ht="15" customHeight="1" s="2">
      <c r="B670" t="n">
        <v>15</v>
      </c>
      <c r="C670" t="n">
        <v>5</v>
      </c>
      <c r="D670" t="n">
        <v>10</v>
      </c>
      <c r="E670" t="inlineStr">
        <is>
          <t>FBC10-D15</t>
        </is>
      </c>
      <c r="F670" t="inlineStr">
        <is>
          <t>Friday</t>
        </is>
      </c>
      <c r="G670" s="27" t="n">
        <v>45142</v>
      </c>
      <c r="H670" t="inlineStr">
        <is>
          <t>AM</t>
        </is>
      </c>
      <c r="I670" t="inlineStr">
        <is>
          <t>Dublin, IE</t>
        </is>
      </c>
      <c r="J670" t="inlineStr">
        <is>
          <t>Europe</t>
        </is>
      </c>
      <c r="K670" t="n">
        <v>9</v>
      </c>
      <c r="L670" t="inlineStr">
        <is>
          <t>Front</t>
        </is>
      </c>
      <c r="M670" t="inlineStr">
        <is>
          <t>Portmarnock Red</t>
        </is>
      </c>
      <c r="N670" t="inlineStr">
        <is>
          <t>Green</t>
        </is>
      </c>
      <c r="O670" t="n">
        <v>73.59999999999999</v>
      </c>
      <c r="P670" t="n">
        <v>135</v>
      </c>
      <c r="Q670" t="n">
        <v>6705</v>
      </c>
      <c r="R670" t="inlineStr">
        <is>
          <t>Best Ball</t>
        </is>
      </c>
      <c r="S670" t="inlineStr">
        <is>
          <t>Doubles</t>
        </is>
      </c>
      <c r="T670" t="inlineStr">
        <is>
          <t>over 6'</t>
        </is>
      </c>
      <c r="U670" t="inlineStr">
        <is>
          <t>Cole</t>
        </is>
      </c>
      <c r="V670" t="inlineStr">
        <is>
          <t>Ferrin</t>
        </is>
      </c>
      <c r="W670" t="inlineStr">
        <is>
          <t>White/Green</t>
        </is>
      </c>
      <c r="Y670" t="inlineStr">
        <is>
          <t>Flanders</t>
        </is>
      </c>
      <c r="AA670" t="n">
        <v>1</v>
      </c>
      <c r="AB670" t="inlineStr">
        <is>
          <t>W</t>
        </is>
      </c>
      <c r="AC670" t="inlineStr">
        <is>
          <t>3&amp;2</t>
        </is>
      </c>
      <c r="AE670">
        <f>$V670&amp;$Y670</f>
        <v/>
      </c>
      <c r="AF670" t="n">
        <v>1</v>
      </c>
      <c r="AG670" t="n">
        <v>1</v>
      </c>
      <c r="AH670" t="n">
        <v>0</v>
      </c>
      <c r="AI670" t="n">
        <v>0</v>
      </c>
      <c r="AJ670" t="n">
        <v>1</v>
      </c>
      <c r="AK670" t="inlineStr">
        <is>
          <t>Forster</t>
        </is>
      </c>
      <c r="AL670" t="n">
        <v>0.596491228070175</v>
      </c>
      <c r="AM670" t="inlineStr">
        <is>
          <t>Zimmer</t>
        </is>
      </c>
      <c r="AN670" t="n">
        <v>0.5</v>
      </c>
    </row>
    <row r="671" ht="15" customHeight="1" s="2">
      <c r="B671" t="n">
        <v>16</v>
      </c>
      <c r="C671" t="n">
        <v>1</v>
      </c>
      <c r="D671" t="n">
        <v>10</v>
      </c>
      <c r="E671" t="inlineStr">
        <is>
          <t>FBC10-D16</t>
        </is>
      </c>
      <c r="F671" t="inlineStr">
        <is>
          <t>Friday</t>
        </is>
      </c>
      <c r="G671" s="27" t="n">
        <v>45142</v>
      </c>
      <c r="H671" t="inlineStr">
        <is>
          <t>AM</t>
        </is>
      </c>
      <c r="I671" t="inlineStr">
        <is>
          <t>Dublin, IE</t>
        </is>
      </c>
      <c r="J671" t="inlineStr">
        <is>
          <t>Europe</t>
        </is>
      </c>
      <c r="K671" t="n">
        <v>9</v>
      </c>
      <c r="L671" t="inlineStr">
        <is>
          <t>Back</t>
        </is>
      </c>
      <c r="M671" t="inlineStr">
        <is>
          <t>Portmarnock Blue</t>
        </is>
      </c>
      <c r="N671" t="inlineStr">
        <is>
          <t>Green</t>
        </is>
      </c>
      <c r="O671" t="n">
        <v>73.59999999999999</v>
      </c>
      <c r="P671" t="n">
        <v>135</v>
      </c>
      <c r="Q671" t="n">
        <v>6705</v>
      </c>
      <c r="R671" t="inlineStr">
        <is>
          <t>Vegas</t>
        </is>
      </c>
      <c r="S671" t="inlineStr">
        <is>
          <t>Doubles</t>
        </is>
      </c>
      <c r="T671" t="inlineStr">
        <is>
          <t>over 6'</t>
        </is>
      </c>
      <c r="U671" t="inlineStr">
        <is>
          <t>McInerney</t>
        </is>
      </c>
      <c r="V671" t="inlineStr">
        <is>
          <t>Mangold</t>
        </is>
      </c>
      <c r="W671" t="inlineStr">
        <is>
          <t>Dice Pattern</t>
        </is>
      </c>
      <c r="Y671" t="inlineStr">
        <is>
          <t>Welker</t>
        </is>
      </c>
      <c r="AA671" t="n">
        <v>1</v>
      </c>
      <c r="AB671" t="inlineStr">
        <is>
          <t>W</t>
        </is>
      </c>
      <c r="AC671" t="inlineStr">
        <is>
          <t>3&amp;2</t>
        </is>
      </c>
      <c r="AE671">
        <f>$V671&amp;$Y671</f>
        <v/>
      </c>
      <c r="AF671" t="n">
        <v>1</v>
      </c>
      <c r="AG671" t="n">
        <v>1</v>
      </c>
      <c r="AH671" t="n">
        <v>0</v>
      </c>
      <c r="AI671" t="n">
        <v>0</v>
      </c>
      <c r="AJ671" t="n">
        <v>1</v>
      </c>
      <c r="AK671" t="inlineStr">
        <is>
          <t>Cole</t>
        </is>
      </c>
      <c r="AL671" t="n">
        <v>0.440677966101695</v>
      </c>
      <c r="AM671" t="inlineStr">
        <is>
          <t>R. Connolly</t>
        </is>
      </c>
      <c r="AN671" t="n">
        <v>0.333333333333333</v>
      </c>
    </row>
    <row r="672" ht="15" customHeight="1" s="2">
      <c r="B672" t="n">
        <v>16</v>
      </c>
      <c r="C672" t="n">
        <v>1</v>
      </c>
      <c r="D672" t="n">
        <v>10</v>
      </c>
      <c r="E672" t="inlineStr">
        <is>
          <t>FBC10-D16</t>
        </is>
      </c>
      <c r="F672" t="inlineStr">
        <is>
          <t>Friday</t>
        </is>
      </c>
      <c r="G672" s="27" t="n">
        <v>45142</v>
      </c>
      <c r="H672" t="inlineStr">
        <is>
          <t>AM</t>
        </is>
      </c>
      <c r="I672" t="inlineStr">
        <is>
          <t>Dublin, IE</t>
        </is>
      </c>
      <c r="J672" t="inlineStr">
        <is>
          <t>Europe</t>
        </is>
      </c>
      <c r="K672" t="n">
        <v>9</v>
      </c>
      <c r="L672" t="inlineStr">
        <is>
          <t>Back</t>
        </is>
      </c>
      <c r="M672" t="inlineStr">
        <is>
          <t>Portmarnock Blue</t>
        </is>
      </c>
      <c r="N672" t="inlineStr">
        <is>
          <t>Green</t>
        </is>
      </c>
      <c r="O672" t="n">
        <v>73.59999999999999</v>
      </c>
      <c r="P672" t="n">
        <v>135</v>
      </c>
      <c r="Q672" t="n">
        <v>6705</v>
      </c>
      <c r="R672" t="inlineStr">
        <is>
          <t>Vegas</t>
        </is>
      </c>
      <c r="S672" t="inlineStr">
        <is>
          <t>Doubles</t>
        </is>
      </c>
      <c r="T672" t="inlineStr">
        <is>
          <t>over 6'</t>
        </is>
      </c>
      <c r="U672" t="inlineStr">
        <is>
          <t>Cole</t>
        </is>
      </c>
      <c r="V672" t="inlineStr">
        <is>
          <t>Cole</t>
        </is>
      </c>
      <c r="W672" t="inlineStr">
        <is>
          <t>White/Green</t>
        </is>
      </c>
      <c r="Y672" t="inlineStr">
        <is>
          <t>R. Connolly</t>
        </is>
      </c>
      <c r="AA672" t="n">
        <v>1</v>
      </c>
      <c r="AB672" t="inlineStr">
        <is>
          <t>L</t>
        </is>
      </c>
      <c r="AC672" t="inlineStr">
        <is>
          <t>3&amp;2</t>
        </is>
      </c>
      <c r="AE672">
        <f>$V672&amp;$Y672</f>
        <v/>
      </c>
      <c r="AF672" t="n">
        <v>0</v>
      </c>
      <c r="AG672" t="n">
        <v>0</v>
      </c>
      <c r="AH672" t="n">
        <v>1</v>
      </c>
      <c r="AI672" t="n">
        <v>0</v>
      </c>
      <c r="AJ672" t="n">
        <v>0</v>
      </c>
      <c r="AK672" t="inlineStr">
        <is>
          <t>Mangold</t>
        </is>
      </c>
      <c r="AL672" t="n">
        <v>0.383928571428572</v>
      </c>
      <c r="AM672" t="inlineStr">
        <is>
          <t>Welker</t>
        </is>
      </c>
      <c r="AN672" t="n">
        <v>0.510416666666667</v>
      </c>
    </row>
    <row r="673" ht="15" customHeight="1" s="2">
      <c r="B673" t="n">
        <v>17</v>
      </c>
      <c r="C673" t="n">
        <v>2</v>
      </c>
      <c r="D673" t="n">
        <v>10</v>
      </c>
      <c r="E673" t="inlineStr">
        <is>
          <t>FBC10-D17</t>
        </is>
      </c>
      <c r="F673" t="inlineStr">
        <is>
          <t>Friday</t>
        </is>
      </c>
      <c r="G673" s="27" t="n">
        <v>45142</v>
      </c>
      <c r="H673" t="inlineStr">
        <is>
          <t>AM</t>
        </is>
      </c>
      <c r="I673" t="inlineStr">
        <is>
          <t>Dublin, IE</t>
        </is>
      </c>
      <c r="J673" t="inlineStr">
        <is>
          <t>Europe</t>
        </is>
      </c>
      <c r="K673" t="n">
        <v>9</v>
      </c>
      <c r="L673" t="inlineStr">
        <is>
          <t>Back</t>
        </is>
      </c>
      <c r="M673" t="inlineStr">
        <is>
          <t>Portmarnock Blue</t>
        </is>
      </c>
      <c r="N673" t="inlineStr">
        <is>
          <t>Green</t>
        </is>
      </c>
      <c r="O673" t="n">
        <v>73.59999999999999</v>
      </c>
      <c r="P673" t="n">
        <v>135</v>
      </c>
      <c r="Q673" t="n">
        <v>6705</v>
      </c>
      <c r="R673" t="inlineStr">
        <is>
          <t>Vegas</t>
        </is>
      </c>
      <c r="S673" t="inlineStr">
        <is>
          <t>Doubles</t>
        </is>
      </c>
      <c r="T673" t="inlineStr">
        <is>
          <t>over 6'</t>
        </is>
      </c>
      <c r="U673" t="inlineStr">
        <is>
          <t>Cole</t>
        </is>
      </c>
      <c r="V673" t="inlineStr">
        <is>
          <t>Delaney</t>
        </is>
      </c>
      <c r="W673" t="inlineStr">
        <is>
          <t>White/Green</t>
        </is>
      </c>
      <c r="Y673" t="inlineStr">
        <is>
          <t>Hilts</t>
        </is>
      </c>
      <c r="AA673" t="n">
        <v>1</v>
      </c>
      <c r="AB673" t="inlineStr">
        <is>
          <t>T</t>
        </is>
      </c>
      <c r="AC673" t="inlineStr">
        <is>
          <t>Halved</t>
        </is>
      </c>
      <c r="AE673">
        <f>$V673&amp;$Y673</f>
        <v/>
      </c>
      <c r="AF673" t="n">
        <v>0.5</v>
      </c>
      <c r="AG673" t="n">
        <v>0</v>
      </c>
      <c r="AH673" t="n">
        <v>0</v>
      </c>
      <c r="AI673" t="n">
        <v>1</v>
      </c>
      <c r="AJ673" t="n">
        <v>0.5</v>
      </c>
      <c r="AK673" t="inlineStr">
        <is>
          <t>Connors</t>
        </is>
      </c>
      <c r="AL673" t="n">
        <v>0.347457627118644</v>
      </c>
      <c r="AM673" t="inlineStr">
        <is>
          <t>Jackson</t>
        </is>
      </c>
      <c r="AN673" t="n">
        <v>0.6171875</v>
      </c>
    </row>
    <row r="674" ht="15" customHeight="1" s="2">
      <c r="B674" t="n">
        <v>17</v>
      </c>
      <c r="C674" t="n">
        <v>2</v>
      </c>
      <c r="D674" t="n">
        <v>10</v>
      </c>
      <c r="E674" t="inlineStr">
        <is>
          <t>FBC10-D17</t>
        </is>
      </c>
      <c r="F674" t="inlineStr">
        <is>
          <t>Friday</t>
        </is>
      </c>
      <c r="G674" s="27" t="n">
        <v>45142</v>
      </c>
      <c r="H674" t="inlineStr">
        <is>
          <t>AM</t>
        </is>
      </c>
      <c r="I674" t="inlineStr">
        <is>
          <t>Dublin, IE</t>
        </is>
      </c>
      <c r="J674" t="inlineStr">
        <is>
          <t>Europe</t>
        </is>
      </c>
      <c r="K674" t="n">
        <v>9</v>
      </c>
      <c r="L674" t="inlineStr">
        <is>
          <t>Back</t>
        </is>
      </c>
      <c r="M674" t="inlineStr">
        <is>
          <t>Portmarnock Blue</t>
        </is>
      </c>
      <c r="N674" t="inlineStr">
        <is>
          <t>Green</t>
        </is>
      </c>
      <c r="O674" t="n">
        <v>73.59999999999999</v>
      </c>
      <c r="P674" t="n">
        <v>135</v>
      </c>
      <c r="Q674" t="n">
        <v>6705</v>
      </c>
      <c r="R674" t="inlineStr">
        <is>
          <t>Vegas</t>
        </is>
      </c>
      <c r="S674" t="inlineStr">
        <is>
          <t>Doubles</t>
        </is>
      </c>
      <c r="T674" t="inlineStr">
        <is>
          <t>over 6'</t>
        </is>
      </c>
      <c r="U674" t="inlineStr">
        <is>
          <t>McInerney</t>
        </is>
      </c>
      <c r="V674" t="inlineStr">
        <is>
          <t>Connors</t>
        </is>
      </c>
      <c r="W674" t="inlineStr">
        <is>
          <t>Dice Pattern</t>
        </is>
      </c>
      <c r="Y674" t="inlineStr">
        <is>
          <t>Jackson</t>
        </is>
      </c>
      <c r="AA674" t="n">
        <v>1</v>
      </c>
      <c r="AB674" t="inlineStr">
        <is>
          <t>T</t>
        </is>
      </c>
      <c r="AC674" t="inlineStr">
        <is>
          <t>Halved</t>
        </is>
      </c>
      <c r="AE674">
        <f>$V674&amp;$Y674</f>
        <v/>
      </c>
      <c r="AF674" t="n">
        <v>0.5</v>
      </c>
      <c r="AG674" t="n">
        <v>0</v>
      </c>
      <c r="AH674" t="n">
        <v>0</v>
      </c>
      <c r="AI674" t="n">
        <v>1</v>
      </c>
      <c r="AJ674" t="n">
        <v>0.5</v>
      </c>
      <c r="AK674" t="inlineStr">
        <is>
          <t>Delaney</t>
        </is>
      </c>
      <c r="AL674" t="n">
        <v>0.46551724137931</v>
      </c>
      <c r="AM674" t="inlineStr">
        <is>
          <t>Hilts</t>
        </is>
      </c>
      <c r="AN674" t="n">
        <v>0.473214285714286</v>
      </c>
    </row>
    <row r="675" ht="15" customHeight="1" s="2">
      <c r="B675" t="n">
        <v>18</v>
      </c>
      <c r="C675" t="n">
        <v>3</v>
      </c>
      <c r="D675" t="n">
        <v>10</v>
      </c>
      <c r="E675" t="inlineStr">
        <is>
          <t>FBC10-D18</t>
        </is>
      </c>
      <c r="F675" t="inlineStr">
        <is>
          <t>Friday</t>
        </is>
      </c>
      <c r="G675" s="27" t="n">
        <v>45142</v>
      </c>
      <c r="H675" t="inlineStr">
        <is>
          <t>AM</t>
        </is>
      </c>
      <c r="I675" t="inlineStr">
        <is>
          <t>Dublin, IE</t>
        </is>
      </c>
      <c r="J675" t="inlineStr">
        <is>
          <t>Europe</t>
        </is>
      </c>
      <c r="K675" t="n">
        <v>9</v>
      </c>
      <c r="L675" t="inlineStr">
        <is>
          <t>Back</t>
        </is>
      </c>
      <c r="M675" t="inlineStr">
        <is>
          <t>Portmarnock Blue</t>
        </is>
      </c>
      <c r="N675" t="inlineStr">
        <is>
          <t>Green</t>
        </is>
      </c>
      <c r="O675" t="n">
        <v>73.59999999999999</v>
      </c>
      <c r="P675" t="n">
        <v>135</v>
      </c>
      <c r="Q675" t="n">
        <v>6705</v>
      </c>
      <c r="R675" t="inlineStr">
        <is>
          <t>Vegas</t>
        </is>
      </c>
      <c r="S675" t="inlineStr">
        <is>
          <t>Doubles</t>
        </is>
      </c>
      <c r="T675" t="inlineStr">
        <is>
          <t>over 6'</t>
        </is>
      </c>
      <c r="U675" t="inlineStr">
        <is>
          <t>McInerney</t>
        </is>
      </c>
      <c r="V675" t="inlineStr">
        <is>
          <t>Delneky</t>
        </is>
      </c>
      <c r="W675" t="inlineStr">
        <is>
          <t>Dice Pattern</t>
        </is>
      </c>
      <c r="Y675" t="inlineStr">
        <is>
          <t>Gray</t>
        </is>
      </c>
      <c r="AA675" t="n">
        <v>1</v>
      </c>
      <c r="AB675" t="inlineStr">
        <is>
          <t>T</t>
        </is>
      </c>
      <c r="AC675" t="inlineStr">
        <is>
          <t>Halved</t>
        </is>
      </c>
      <c r="AE675">
        <f>$V675&amp;$Y675</f>
        <v/>
      </c>
      <c r="AF675" t="n">
        <v>0.5</v>
      </c>
      <c r="AG675" t="n">
        <v>0</v>
      </c>
      <c r="AH675" t="n">
        <v>0</v>
      </c>
      <c r="AI675" t="n">
        <v>1</v>
      </c>
      <c r="AJ675" t="n">
        <v>0.5</v>
      </c>
      <c r="AK675" t="inlineStr">
        <is>
          <t>Lynch</t>
        </is>
      </c>
      <c r="AL675" t="n">
        <v>0.5546875</v>
      </c>
      <c r="AM675" t="inlineStr">
        <is>
          <t>Perkins</t>
        </is>
      </c>
      <c r="AN675" t="n">
        <v>0.638888888888889</v>
      </c>
    </row>
    <row r="676" ht="15" customHeight="1" s="2">
      <c r="B676" t="n">
        <v>18</v>
      </c>
      <c r="C676" t="n">
        <v>3</v>
      </c>
      <c r="D676" t="n">
        <v>10</v>
      </c>
      <c r="E676" t="inlineStr">
        <is>
          <t>FBC10-D18</t>
        </is>
      </c>
      <c r="F676" t="inlineStr">
        <is>
          <t>Friday</t>
        </is>
      </c>
      <c r="G676" s="27" t="n">
        <v>45142</v>
      </c>
      <c r="H676" t="inlineStr">
        <is>
          <t>AM</t>
        </is>
      </c>
      <c r="I676" t="inlineStr">
        <is>
          <t>Dublin, IE</t>
        </is>
      </c>
      <c r="J676" t="inlineStr">
        <is>
          <t>Europe</t>
        </is>
      </c>
      <c r="K676" t="n">
        <v>9</v>
      </c>
      <c r="L676" t="inlineStr">
        <is>
          <t>Back</t>
        </is>
      </c>
      <c r="M676" t="inlineStr">
        <is>
          <t>Portmarnock Blue</t>
        </is>
      </c>
      <c r="N676" t="inlineStr">
        <is>
          <t>Green</t>
        </is>
      </c>
      <c r="O676" t="n">
        <v>73.59999999999999</v>
      </c>
      <c r="P676" t="n">
        <v>135</v>
      </c>
      <c r="Q676" t="n">
        <v>6705</v>
      </c>
      <c r="R676" t="inlineStr">
        <is>
          <t>Vegas</t>
        </is>
      </c>
      <c r="S676" t="inlineStr">
        <is>
          <t>Doubles</t>
        </is>
      </c>
      <c r="T676" t="inlineStr">
        <is>
          <t>over 6'</t>
        </is>
      </c>
      <c r="U676" t="inlineStr">
        <is>
          <t>Cole</t>
        </is>
      </c>
      <c r="V676" t="inlineStr">
        <is>
          <t>Lynch</t>
        </is>
      </c>
      <c r="W676" t="inlineStr">
        <is>
          <t>White/Green</t>
        </is>
      </c>
      <c r="Y676" t="inlineStr">
        <is>
          <t>Perkins</t>
        </is>
      </c>
      <c r="AA676" t="n">
        <v>1</v>
      </c>
      <c r="AB676" t="inlineStr">
        <is>
          <t>T</t>
        </is>
      </c>
      <c r="AC676" t="inlineStr">
        <is>
          <t>Halved</t>
        </is>
      </c>
      <c r="AE676">
        <f>$V676&amp;$Y676</f>
        <v/>
      </c>
      <c r="AF676" t="n">
        <v>0.5</v>
      </c>
      <c r="AG676" t="n">
        <v>0</v>
      </c>
      <c r="AH676" t="n">
        <v>0</v>
      </c>
      <c r="AI676" t="n">
        <v>1</v>
      </c>
      <c r="AJ676" t="n">
        <v>0.5</v>
      </c>
      <c r="AK676" t="inlineStr">
        <is>
          <t>Delneky</t>
        </is>
      </c>
      <c r="AL676" t="n">
        <v>0.6590909090909089</v>
      </c>
      <c r="AM676" t="inlineStr">
        <is>
          <t>Gray</t>
        </is>
      </c>
      <c r="AN676" t="n">
        <v>0.654761904761905</v>
      </c>
    </row>
    <row r="677" ht="15" customHeight="1" s="2">
      <c r="B677" t="n">
        <v>19</v>
      </c>
      <c r="C677" t="n">
        <v>4</v>
      </c>
      <c r="D677" t="n">
        <v>10</v>
      </c>
      <c r="E677" t="inlineStr">
        <is>
          <t>FBC10-D19</t>
        </is>
      </c>
      <c r="F677" t="inlineStr">
        <is>
          <t>Friday</t>
        </is>
      </c>
      <c r="G677" s="27" t="n">
        <v>45142</v>
      </c>
      <c r="H677" t="inlineStr">
        <is>
          <t>AM</t>
        </is>
      </c>
      <c r="I677" t="inlineStr">
        <is>
          <t>Dublin, IE</t>
        </is>
      </c>
      <c r="J677" t="inlineStr">
        <is>
          <t>Europe</t>
        </is>
      </c>
      <c r="K677" t="n">
        <v>9</v>
      </c>
      <c r="L677" t="inlineStr">
        <is>
          <t>Back</t>
        </is>
      </c>
      <c r="M677" t="inlineStr">
        <is>
          <t>Portmarnock Blue</t>
        </is>
      </c>
      <c r="N677" t="inlineStr">
        <is>
          <t>Green</t>
        </is>
      </c>
      <c r="O677" t="n">
        <v>73.59999999999999</v>
      </c>
      <c r="P677" t="n">
        <v>135</v>
      </c>
      <c r="Q677" t="n">
        <v>6705</v>
      </c>
      <c r="R677" t="inlineStr">
        <is>
          <t>Vegas</t>
        </is>
      </c>
      <c r="S677" t="inlineStr">
        <is>
          <t>Doubles</t>
        </is>
      </c>
      <c r="T677" t="inlineStr">
        <is>
          <t>over 6'</t>
        </is>
      </c>
      <c r="U677" t="inlineStr">
        <is>
          <t>Cole</t>
        </is>
      </c>
      <c r="V677" t="inlineStr">
        <is>
          <t>Connolly</t>
        </is>
      </c>
      <c r="W677" t="inlineStr">
        <is>
          <t>White/Green</t>
        </is>
      </c>
      <c r="Y677" t="inlineStr">
        <is>
          <t>Grise</t>
        </is>
      </c>
      <c r="AA677" t="n">
        <v>1</v>
      </c>
      <c r="AB677" t="inlineStr">
        <is>
          <t>W</t>
        </is>
      </c>
      <c r="AC677" t="inlineStr">
        <is>
          <t>3&amp;2</t>
        </is>
      </c>
      <c r="AE677">
        <f>$V677&amp;$Y677</f>
        <v/>
      </c>
      <c r="AF677" t="n">
        <v>1</v>
      </c>
      <c r="AG677" t="n">
        <v>1</v>
      </c>
      <c r="AH677" t="n">
        <v>0</v>
      </c>
      <c r="AI677" t="n">
        <v>0</v>
      </c>
      <c r="AJ677" t="n">
        <v>1</v>
      </c>
      <c r="AK677" t="inlineStr">
        <is>
          <t>McInerney</t>
        </is>
      </c>
      <c r="AL677" t="n">
        <v>0.5</v>
      </c>
      <c r="AM677" t="inlineStr">
        <is>
          <t>Fogan</t>
        </is>
      </c>
      <c r="AN677" t="n">
        <v>0.372881355932203</v>
      </c>
    </row>
    <row r="678" ht="15" customHeight="1" s="2">
      <c r="B678" t="n">
        <v>19</v>
      </c>
      <c r="C678" t="n">
        <v>4</v>
      </c>
      <c r="D678" t="n">
        <v>10</v>
      </c>
      <c r="E678" t="inlineStr">
        <is>
          <t>FBC10-D19</t>
        </is>
      </c>
      <c r="F678" t="inlineStr">
        <is>
          <t>Friday</t>
        </is>
      </c>
      <c r="G678" s="27" t="n">
        <v>45142</v>
      </c>
      <c r="H678" t="inlineStr">
        <is>
          <t>AM</t>
        </is>
      </c>
      <c r="I678" t="inlineStr">
        <is>
          <t>Dublin, IE</t>
        </is>
      </c>
      <c r="J678" t="inlineStr">
        <is>
          <t>Europe</t>
        </is>
      </c>
      <c r="K678" t="n">
        <v>9</v>
      </c>
      <c r="L678" t="inlineStr">
        <is>
          <t>Back</t>
        </is>
      </c>
      <c r="M678" t="inlineStr">
        <is>
          <t>Portmarnock Blue</t>
        </is>
      </c>
      <c r="N678" t="inlineStr">
        <is>
          <t>Green</t>
        </is>
      </c>
      <c r="O678" t="n">
        <v>73.59999999999999</v>
      </c>
      <c r="P678" t="n">
        <v>135</v>
      </c>
      <c r="Q678" t="n">
        <v>6705</v>
      </c>
      <c r="R678" t="inlineStr">
        <is>
          <t>Vegas</t>
        </is>
      </c>
      <c r="S678" t="inlineStr">
        <is>
          <t>Doubles</t>
        </is>
      </c>
      <c r="T678" t="inlineStr">
        <is>
          <t>over 6'</t>
        </is>
      </c>
      <c r="U678" t="inlineStr">
        <is>
          <t>McInerney</t>
        </is>
      </c>
      <c r="V678" t="inlineStr">
        <is>
          <t>McInerney</t>
        </is>
      </c>
      <c r="W678" t="inlineStr">
        <is>
          <t>Dice Pattern</t>
        </is>
      </c>
      <c r="Y678" t="inlineStr">
        <is>
          <t>Fogan</t>
        </is>
      </c>
      <c r="AA678" t="n">
        <v>1</v>
      </c>
      <c r="AB678" t="inlineStr">
        <is>
          <t>L</t>
        </is>
      </c>
      <c r="AC678" t="inlineStr">
        <is>
          <t>3&amp;2</t>
        </is>
      </c>
      <c r="AE678">
        <f>$V678&amp;$Y678</f>
        <v/>
      </c>
      <c r="AF678" t="n">
        <v>0</v>
      </c>
      <c r="AG678" t="n">
        <v>0</v>
      </c>
      <c r="AH678" t="n">
        <v>1</v>
      </c>
      <c r="AI678" t="n">
        <v>0</v>
      </c>
      <c r="AJ678" t="n">
        <v>0</v>
      </c>
      <c r="AK678" t="inlineStr">
        <is>
          <t>Connolly</t>
        </is>
      </c>
      <c r="AL678" t="n">
        <v>0.59375</v>
      </c>
      <c r="AM678" t="inlineStr">
        <is>
          <t>Grise</t>
        </is>
      </c>
      <c r="AN678" t="n">
        <v>0.546875</v>
      </c>
    </row>
    <row r="679" ht="15" customHeight="1" s="2">
      <c r="B679" t="n">
        <v>20</v>
      </c>
      <c r="C679" t="n">
        <v>5</v>
      </c>
      <c r="D679" t="n">
        <v>10</v>
      </c>
      <c r="E679" t="inlineStr">
        <is>
          <t>FBC10-D20</t>
        </is>
      </c>
      <c r="F679" t="inlineStr">
        <is>
          <t>Friday</t>
        </is>
      </c>
      <c r="G679" s="27" t="n">
        <v>45142</v>
      </c>
      <c r="H679" t="inlineStr">
        <is>
          <t>AM</t>
        </is>
      </c>
      <c r="I679" t="inlineStr">
        <is>
          <t>Dublin, IE</t>
        </is>
      </c>
      <c r="J679" t="inlineStr">
        <is>
          <t>Europe</t>
        </is>
      </c>
      <c r="K679" t="n">
        <v>9</v>
      </c>
      <c r="L679" t="inlineStr">
        <is>
          <t>Back</t>
        </is>
      </c>
      <c r="M679" t="inlineStr">
        <is>
          <t>Portmarnock Blue</t>
        </is>
      </c>
      <c r="N679" t="inlineStr">
        <is>
          <t>Green</t>
        </is>
      </c>
      <c r="O679" t="n">
        <v>73.59999999999999</v>
      </c>
      <c r="P679" t="n">
        <v>135</v>
      </c>
      <c r="Q679" t="n">
        <v>6705</v>
      </c>
      <c r="R679" t="inlineStr">
        <is>
          <t>Vegas</t>
        </is>
      </c>
      <c r="S679" t="inlineStr">
        <is>
          <t>Doubles</t>
        </is>
      </c>
      <c r="T679" t="inlineStr">
        <is>
          <t>over 6'</t>
        </is>
      </c>
      <c r="U679" t="inlineStr">
        <is>
          <t>McInerney</t>
        </is>
      </c>
      <c r="V679" t="inlineStr">
        <is>
          <t>Forster</t>
        </is>
      </c>
      <c r="W679" t="inlineStr">
        <is>
          <t>Dice Pattern</t>
        </is>
      </c>
      <c r="Y679" t="inlineStr">
        <is>
          <t>Zimmer</t>
        </is>
      </c>
      <c r="AA679" t="n">
        <v>1</v>
      </c>
      <c r="AB679" t="inlineStr">
        <is>
          <t>L</t>
        </is>
      </c>
      <c r="AC679" t="inlineStr">
        <is>
          <t>4&amp;3</t>
        </is>
      </c>
      <c r="AE679">
        <f>$V679&amp;$Y679</f>
        <v/>
      </c>
      <c r="AF679" t="n">
        <v>0</v>
      </c>
      <c r="AG679" t="n">
        <v>0</v>
      </c>
      <c r="AH679" t="n">
        <v>1</v>
      </c>
      <c r="AI679" t="n">
        <v>0</v>
      </c>
      <c r="AJ679" t="n">
        <v>0</v>
      </c>
      <c r="AK679" t="inlineStr">
        <is>
          <t>Ferrin</t>
        </is>
      </c>
      <c r="AL679" t="n">
        <v>0.595238095238095</v>
      </c>
      <c r="AM679" t="inlineStr">
        <is>
          <t>Flanders</t>
        </is>
      </c>
      <c r="AN679" t="n">
        <v>0.4296875</v>
      </c>
    </row>
    <row r="680" ht="15" customHeight="1" s="2">
      <c r="B680" t="n">
        <v>20</v>
      </c>
      <c r="C680" t="n">
        <v>5</v>
      </c>
      <c r="D680" t="n">
        <v>10</v>
      </c>
      <c r="E680" t="inlineStr">
        <is>
          <t>FBC10-D20</t>
        </is>
      </c>
      <c r="F680" t="inlineStr">
        <is>
          <t>Friday</t>
        </is>
      </c>
      <c r="G680" s="27" t="n">
        <v>45142</v>
      </c>
      <c r="H680" t="inlineStr">
        <is>
          <t>AM</t>
        </is>
      </c>
      <c r="I680" t="inlineStr">
        <is>
          <t>Dublin, IE</t>
        </is>
      </c>
      <c r="J680" t="inlineStr">
        <is>
          <t>Europe</t>
        </is>
      </c>
      <c r="K680" t="n">
        <v>9</v>
      </c>
      <c r="L680" t="inlineStr">
        <is>
          <t>Back</t>
        </is>
      </c>
      <c r="M680" t="inlineStr">
        <is>
          <t>Portmarnock Blue</t>
        </is>
      </c>
      <c r="N680" t="inlineStr">
        <is>
          <t>Green</t>
        </is>
      </c>
      <c r="O680" t="n">
        <v>73.59999999999999</v>
      </c>
      <c r="P680" t="n">
        <v>135</v>
      </c>
      <c r="Q680" t="n">
        <v>6705</v>
      </c>
      <c r="R680" t="inlineStr">
        <is>
          <t>Vegas</t>
        </is>
      </c>
      <c r="S680" t="inlineStr">
        <is>
          <t>Doubles</t>
        </is>
      </c>
      <c r="T680" t="inlineStr">
        <is>
          <t>over 6'</t>
        </is>
      </c>
      <c r="U680" t="inlineStr">
        <is>
          <t>Cole</t>
        </is>
      </c>
      <c r="V680" t="inlineStr">
        <is>
          <t>Ferrin</t>
        </is>
      </c>
      <c r="W680" t="inlineStr">
        <is>
          <t>White/Green</t>
        </is>
      </c>
      <c r="Y680" t="inlineStr">
        <is>
          <t>Flanders</t>
        </is>
      </c>
      <c r="AA680" t="n">
        <v>1</v>
      </c>
      <c r="AB680" t="inlineStr">
        <is>
          <t>W</t>
        </is>
      </c>
      <c r="AC680" t="inlineStr">
        <is>
          <t>4&amp;3</t>
        </is>
      </c>
      <c r="AE680">
        <f>$V680&amp;$Y680</f>
        <v/>
      </c>
      <c r="AF680" t="n">
        <v>1</v>
      </c>
      <c r="AG680" t="n">
        <v>1</v>
      </c>
      <c r="AH680" t="n">
        <v>0</v>
      </c>
      <c r="AI680" t="n">
        <v>0</v>
      </c>
      <c r="AJ680" t="n">
        <v>1</v>
      </c>
      <c r="AK680" t="inlineStr">
        <is>
          <t>Forster</t>
        </is>
      </c>
      <c r="AL680" t="n">
        <v>0.596491228070175</v>
      </c>
      <c r="AM680" t="inlineStr">
        <is>
          <t>Zimmer</t>
        </is>
      </c>
      <c r="AN680" t="n">
        <v>0.5</v>
      </c>
    </row>
    <row r="681" ht="15" customHeight="1" s="2">
      <c r="B681" t="n">
        <v>21</v>
      </c>
      <c r="C681" t="n">
        <v>1</v>
      </c>
      <c r="D681" t="n">
        <v>10</v>
      </c>
      <c r="E681" t="inlineStr">
        <is>
          <t>FBC10-D21</t>
        </is>
      </c>
      <c r="F681" t="inlineStr">
        <is>
          <t>Friday</t>
        </is>
      </c>
      <c r="G681" s="27" t="n">
        <v>45142</v>
      </c>
      <c r="H681" t="inlineStr">
        <is>
          <t>PM</t>
        </is>
      </c>
      <c r="I681" t="inlineStr">
        <is>
          <t>Dublin, IE</t>
        </is>
      </c>
      <c r="J681" t="inlineStr">
        <is>
          <t>Europe</t>
        </is>
      </c>
      <c r="K681" t="n">
        <v>9</v>
      </c>
      <c r="L681" t="inlineStr">
        <is>
          <t>Front</t>
        </is>
      </c>
      <c r="M681" t="inlineStr">
        <is>
          <t>Portmarnock Yellow</t>
        </is>
      </c>
      <c r="N681" t="inlineStr">
        <is>
          <t>Green</t>
        </is>
      </c>
      <c r="O681" t="n">
        <v>36.1</v>
      </c>
      <c r="P681" t="n">
        <v>125</v>
      </c>
      <c r="Q681" t="n">
        <v>2959</v>
      </c>
      <c r="R681" t="inlineStr">
        <is>
          <t>Scramble</t>
        </is>
      </c>
      <c r="S681" t="inlineStr">
        <is>
          <t>Doubles</t>
        </is>
      </c>
      <c r="T681" t="inlineStr">
        <is>
          <t>over 6'</t>
        </is>
      </c>
      <c r="U681" t="inlineStr">
        <is>
          <t>McInerney</t>
        </is>
      </c>
      <c r="V681" t="inlineStr">
        <is>
          <t>Fogan</t>
        </is>
      </c>
      <c r="W681" t="inlineStr">
        <is>
          <t>Dice Pattern</t>
        </is>
      </c>
      <c r="Y681" t="inlineStr">
        <is>
          <t>Welker</t>
        </is>
      </c>
      <c r="AA681" t="n">
        <v>1</v>
      </c>
      <c r="AB681" t="inlineStr">
        <is>
          <t>W</t>
        </is>
      </c>
      <c r="AC681" t="inlineStr">
        <is>
          <t>3&amp;2</t>
        </is>
      </c>
      <c r="AE681">
        <f>$V681&amp;$Y681</f>
        <v/>
      </c>
      <c r="AF681" t="n">
        <v>1</v>
      </c>
      <c r="AG681" t="n">
        <v>1</v>
      </c>
      <c r="AH681" t="n">
        <v>0</v>
      </c>
      <c r="AI681" t="n">
        <v>0</v>
      </c>
      <c r="AJ681" t="n">
        <v>1</v>
      </c>
      <c r="AK681" t="inlineStr">
        <is>
          <t>Delaney</t>
        </is>
      </c>
      <c r="AL681" t="n">
        <v>0.46551724137931</v>
      </c>
      <c r="AM681" t="inlineStr">
        <is>
          <t>Ferrin</t>
        </is>
      </c>
      <c r="AN681" t="n">
        <v>0.595238095238095</v>
      </c>
    </row>
    <row r="682" ht="15" customHeight="1" s="2">
      <c r="B682" t="n">
        <v>21</v>
      </c>
      <c r="C682" t="n">
        <v>1</v>
      </c>
      <c r="D682" t="n">
        <v>10</v>
      </c>
      <c r="E682" t="inlineStr">
        <is>
          <t>FBC10-D21</t>
        </is>
      </c>
      <c r="F682" t="inlineStr">
        <is>
          <t>Friday</t>
        </is>
      </c>
      <c r="G682" s="27" t="n">
        <v>45142</v>
      </c>
      <c r="H682" t="inlineStr">
        <is>
          <t>PM</t>
        </is>
      </c>
      <c r="I682" t="inlineStr">
        <is>
          <t>Dublin, IE</t>
        </is>
      </c>
      <c r="J682" t="inlineStr">
        <is>
          <t>Europe</t>
        </is>
      </c>
      <c r="K682" t="n">
        <v>9</v>
      </c>
      <c r="L682" t="inlineStr">
        <is>
          <t>Front</t>
        </is>
      </c>
      <c r="M682" t="inlineStr">
        <is>
          <t>Portmarnock Yellow</t>
        </is>
      </c>
      <c r="N682" t="inlineStr">
        <is>
          <t>Green</t>
        </is>
      </c>
      <c r="O682" t="n">
        <v>36.1</v>
      </c>
      <c r="P682" t="n">
        <v>125</v>
      </c>
      <c r="Q682" t="n">
        <v>2959</v>
      </c>
      <c r="R682" t="inlineStr">
        <is>
          <t>Scramble</t>
        </is>
      </c>
      <c r="S682" t="inlineStr">
        <is>
          <t>Doubles</t>
        </is>
      </c>
      <c r="T682" t="inlineStr">
        <is>
          <t>over 6'</t>
        </is>
      </c>
      <c r="U682" t="inlineStr">
        <is>
          <t>Cole</t>
        </is>
      </c>
      <c r="V682" t="inlineStr">
        <is>
          <t>Delaney</t>
        </is>
      </c>
      <c r="W682" t="inlineStr">
        <is>
          <t>White/Green</t>
        </is>
      </c>
      <c r="Y682" t="inlineStr">
        <is>
          <t>Ferrin</t>
        </is>
      </c>
      <c r="AA682" t="n">
        <v>1</v>
      </c>
      <c r="AB682" t="inlineStr">
        <is>
          <t>L</t>
        </is>
      </c>
      <c r="AC682" t="inlineStr">
        <is>
          <t>3&amp;2</t>
        </is>
      </c>
      <c r="AE682">
        <f>$V682&amp;$Y682</f>
        <v/>
      </c>
      <c r="AF682" t="n">
        <v>0</v>
      </c>
      <c r="AG682" t="n">
        <v>0</v>
      </c>
      <c r="AH682" t="n">
        <v>1</v>
      </c>
      <c r="AI682" t="n">
        <v>0</v>
      </c>
      <c r="AJ682" t="n">
        <v>0</v>
      </c>
      <c r="AK682" t="inlineStr">
        <is>
          <t>Fogan</t>
        </is>
      </c>
      <c r="AL682" t="n">
        <v>0.372881355932203</v>
      </c>
      <c r="AM682" t="inlineStr">
        <is>
          <t>Welker</t>
        </is>
      </c>
      <c r="AN682" t="n">
        <v>0.510416666666667</v>
      </c>
    </row>
    <row r="683" ht="15" customHeight="1" s="2">
      <c r="B683" t="n">
        <v>22</v>
      </c>
      <c r="C683" t="n">
        <v>2</v>
      </c>
      <c r="D683" t="n">
        <v>10</v>
      </c>
      <c r="E683" t="inlineStr">
        <is>
          <t>FBC10-D22</t>
        </is>
      </c>
      <c r="F683" t="inlineStr">
        <is>
          <t>Friday</t>
        </is>
      </c>
      <c r="G683" s="27" t="n">
        <v>45142</v>
      </c>
      <c r="H683" t="inlineStr">
        <is>
          <t>PM</t>
        </is>
      </c>
      <c r="I683" t="inlineStr">
        <is>
          <t>Dublin, IE</t>
        </is>
      </c>
      <c r="J683" t="inlineStr">
        <is>
          <t>Europe</t>
        </is>
      </c>
      <c r="K683" t="n">
        <v>9</v>
      </c>
      <c r="L683" t="inlineStr">
        <is>
          <t>Front</t>
        </is>
      </c>
      <c r="M683" t="inlineStr">
        <is>
          <t>Portmarnock Yellow</t>
        </is>
      </c>
      <c r="N683" t="inlineStr">
        <is>
          <t>Green</t>
        </is>
      </c>
      <c r="O683" t="n">
        <v>36.1</v>
      </c>
      <c r="P683" t="n">
        <v>125</v>
      </c>
      <c r="Q683" t="n">
        <v>2959</v>
      </c>
      <c r="R683" t="inlineStr">
        <is>
          <t>Scramble</t>
        </is>
      </c>
      <c r="S683" t="inlineStr">
        <is>
          <t>Doubles</t>
        </is>
      </c>
      <c r="T683" t="inlineStr">
        <is>
          <t>over 6'</t>
        </is>
      </c>
      <c r="U683" t="inlineStr">
        <is>
          <t>Cole</t>
        </is>
      </c>
      <c r="V683" t="inlineStr">
        <is>
          <t>Hilts</t>
        </is>
      </c>
      <c r="W683" t="inlineStr">
        <is>
          <t>White/Green</t>
        </is>
      </c>
      <c r="Y683" t="inlineStr">
        <is>
          <t>Lynch</t>
        </is>
      </c>
      <c r="AA683" t="n">
        <v>1</v>
      </c>
      <c r="AB683" t="inlineStr">
        <is>
          <t>W</t>
        </is>
      </c>
      <c r="AC683" t="inlineStr">
        <is>
          <t>2Up</t>
        </is>
      </c>
      <c r="AE683">
        <f>$V683&amp;$Y683</f>
        <v/>
      </c>
      <c r="AF683" t="n">
        <v>1</v>
      </c>
      <c r="AG683" t="n">
        <v>1</v>
      </c>
      <c r="AH683" t="n">
        <v>0</v>
      </c>
      <c r="AI683" t="n">
        <v>0</v>
      </c>
      <c r="AJ683" t="n">
        <v>1</v>
      </c>
      <c r="AK683" t="inlineStr">
        <is>
          <t>Forster</t>
        </is>
      </c>
      <c r="AL683" t="n">
        <v>0.596491228070175</v>
      </c>
      <c r="AM683" t="inlineStr">
        <is>
          <t>Mangold</t>
        </is>
      </c>
      <c r="AN683" t="n">
        <v>0.383928571428572</v>
      </c>
    </row>
    <row r="684" ht="15" customHeight="1" s="2">
      <c r="B684" t="n">
        <v>22</v>
      </c>
      <c r="C684" t="n">
        <v>2</v>
      </c>
      <c r="D684" t="n">
        <v>10</v>
      </c>
      <c r="E684" t="inlineStr">
        <is>
          <t>FBC10-D22</t>
        </is>
      </c>
      <c r="F684" t="inlineStr">
        <is>
          <t>Friday</t>
        </is>
      </c>
      <c r="G684" s="27" t="n">
        <v>45142</v>
      </c>
      <c r="H684" t="inlineStr">
        <is>
          <t>PM</t>
        </is>
      </c>
      <c r="I684" t="inlineStr">
        <is>
          <t>Dublin, IE</t>
        </is>
      </c>
      <c r="J684" t="inlineStr">
        <is>
          <t>Europe</t>
        </is>
      </c>
      <c r="K684" t="n">
        <v>9</v>
      </c>
      <c r="L684" t="inlineStr">
        <is>
          <t>Front</t>
        </is>
      </c>
      <c r="M684" t="inlineStr">
        <is>
          <t>Portmarnock Yellow</t>
        </is>
      </c>
      <c r="N684" t="inlineStr">
        <is>
          <t>Green</t>
        </is>
      </c>
      <c r="O684" t="n">
        <v>36.1</v>
      </c>
      <c r="P684" t="n">
        <v>125</v>
      </c>
      <c r="Q684" t="n">
        <v>2959</v>
      </c>
      <c r="R684" t="inlineStr">
        <is>
          <t>Scramble</t>
        </is>
      </c>
      <c r="S684" t="inlineStr">
        <is>
          <t>Doubles</t>
        </is>
      </c>
      <c r="T684" t="inlineStr">
        <is>
          <t>over 6'</t>
        </is>
      </c>
      <c r="U684" t="inlineStr">
        <is>
          <t>McInerney</t>
        </is>
      </c>
      <c r="V684" t="inlineStr">
        <is>
          <t>Forster</t>
        </is>
      </c>
      <c r="W684" t="inlineStr">
        <is>
          <t>Dice Pattern</t>
        </is>
      </c>
      <c r="Y684" t="inlineStr">
        <is>
          <t>Mangold</t>
        </is>
      </c>
      <c r="AA684" t="n">
        <v>1</v>
      </c>
      <c r="AB684" t="inlineStr">
        <is>
          <t>L</t>
        </is>
      </c>
      <c r="AC684" t="inlineStr">
        <is>
          <t>2up</t>
        </is>
      </c>
      <c r="AE684">
        <f>$V684&amp;$Y684</f>
        <v/>
      </c>
      <c r="AF684" t="n">
        <v>0</v>
      </c>
      <c r="AG684" t="n">
        <v>0</v>
      </c>
      <c r="AH684" t="n">
        <v>1</v>
      </c>
      <c r="AI684" t="n">
        <v>0</v>
      </c>
      <c r="AJ684" t="n">
        <v>0</v>
      </c>
      <c r="AK684" t="inlineStr">
        <is>
          <t>Hilts</t>
        </is>
      </c>
      <c r="AL684" t="n">
        <v>0.473214285714286</v>
      </c>
      <c r="AM684" t="inlineStr">
        <is>
          <t>Lynch</t>
        </is>
      </c>
      <c r="AN684" t="n">
        <v>0.5546875</v>
      </c>
    </row>
    <row r="685" ht="15" customHeight="1" s="2">
      <c r="B685" t="n">
        <v>23</v>
      </c>
      <c r="C685" t="n">
        <v>3</v>
      </c>
      <c r="D685" t="n">
        <v>10</v>
      </c>
      <c r="E685" t="inlineStr">
        <is>
          <t>FBC10-D23</t>
        </is>
      </c>
      <c r="F685" t="inlineStr">
        <is>
          <t>Friday</t>
        </is>
      </c>
      <c r="G685" s="27" t="n">
        <v>45142</v>
      </c>
      <c r="H685" t="inlineStr">
        <is>
          <t>PM</t>
        </is>
      </c>
      <c r="I685" t="inlineStr">
        <is>
          <t>Dublin, IE</t>
        </is>
      </c>
      <c r="J685" t="inlineStr">
        <is>
          <t>Europe</t>
        </is>
      </c>
      <c r="K685" t="n">
        <v>9</v>
      </c>
      <c r="L685" t="inlineStr">
        <is>
          <t>Front</t>
        </is>
      </c>
      <c r="M685" t="inlineStr">
        <is>
          <t>Portmarnock Yellow</t>
        </is>
      </c>
      <c r="N685" t="inlineStr">
        <is>
          <t>Green</t>
        </is>
      </c>
      <c r="O685" t="n">
        <v>36.1</v>
      </c>
      <c r="P685" t="n">
        <v>125</v>
      </c>
      <c r="Q685" t="n">
        <v>2959</v>
      </c>
      <c r="R685" t="inlineStr">
        <is>
          <t>Scramble</t>
        </is>
      </c>
      <c r="S685" t="inlineStr">
        <is>
          <t>Doubles</t>
        </is>
      </c>
      <c r="T685" t="inlineStr">
        <is>
          <t>over 6'</t>
        </is>
      </c>
      <c r="U685" t="inlineStr">
        <is>
          <t>McInerney</t>
        </is>
      </c>
      <c r="V685" t="inlineStr">
        <is>
          <t>Gray</t>
        </is>
      </c>
      <c r="W685" t="inlineStr">
        <is>
          <t>Dice Pattern</t>
        </is>
      </c>
      <c r="Y685" t="inlineStr">
        <is>
          <t>Jackson</t>
        </is>
      </c>
      <c r="AA685" t="n">
        <v>1</v>
      </c>
      <c r="AB685" t="inlineStr">
        <is>
          <t>W</t>
        </is>
      </c>
      <c r="AC685" t="inlineStr">
        <is>
          <t>3&amp;2</t>
        </is>
      </c>
      <c r="AE685">
        <f>$V685&amp;$Y685</f>
        <v/>
      </c>
      <c r="AF685" t="n">
        <v>1</v>
      </c>
      <c r="AG685" t="n">
        <v>1</v>
      </c>
      <c r="AH685" t="n">
        <v>0</v>
      </c>
      <c r="AI685" t="n">
        <v>0</v>
      </c>
      <c r="AJ685" t="n">
        <v>1</v>
      </c>
      <c r="AK685" t="inlineStr">
        <is>
          <t>Flanders</t>
        </is>
      </c>
      <c r="AL685" t="n">
        <v>0.4296875</v>
      </c>
      <c r="AM685" t="inlineStr">
        <is>
          <t>Grise</t>
        </is>
      </c>
      <c r="AN685" t="n">
        <v>0.546875</v>
      </c>
    </row>
    <row r="686" ht="15" customHeight="1" s="2">
      <c r="B686" t="n">
        <v>23</v>
      </c>
      <c r="C686" t="n">
        <v>3</v>
      </c>
      <c r="D686" t="n">
        <v>10</v>
      </c>
      <c r="E686" t="inlineStr">
        <is>
          <t>FBC10-D23</t>
        </is>
      </c>
      <c r="F686" t="inlineStr">
        <is>
          <t>Friday</t>
        </is>
      </c>
      <c r="G686" s="27" t="n">
        <v>45142</v>
      </c>
      <c r="H686" t="inlineStr">
        <is>
          <t>PM</t>
        </is>
      </c>
      <c r="I686" t="inlineStr">
        <is>
          <t>Dublin, IE</t>
        </is>
      </c>
      <c r="J686" t="inlineStr">
        <is>
          <t>Europe</t>
        </is>
      </c>
      <c r="K686" t="n">
        <v>9</v>
      </c>
      <c r="L686" t="inlineStr">
        <is>
          <t>Front</t>
        </is>
      </c>
      <c r="M686" t="inlineStr">
        <is>
          <t>Portmarnock Yellow</t>
        </is>
      </c>
      <c r="N686" t="inlineStr">
        <is>
          <t>Green</t>
        </is>
      </c>
      <c r="O686" t="n">
        <v>36.1</v>
      </c>
      <c r="P686" t="n">
        <v>125</v>
      </c>
      <c r="Q686" t="n">
        <v>2959</v>
      </c>
      <c r="R686" t="inlineStr">
        <is>
          <t>Scramble</t>
        </is>
      </c>
      <c r="S686" t="inlineStr">
        <is>
          <t>Doubles</t>
        </is>
      </c>
      <c r="T686" t="inlineStr">
        <is>
          <t>over 6'</t>
        </is>
      </c>
      <c r="U686" t="inlineStr">
        <is>
          <t>Cole</t>
        </is>
      </c>
      <c r="V686" t="inlineStr">
        <is>
          <t>Flanders</t>
        </is>
      </c>
      <c r="W686" t="inlineStr">
        <is>
          <t>White/Green</t>
        </is>
      </c>
      <c r="Y686" t="inlineStr">
        <is>
          <t>Grise</t>
        </is>
      </c>
      <c r="AA686" t="n">
        <v>1</v>
      </c>
      <c r="AB686" t="inlineStr">
        <is>
          <t>L</t>
        </is>
      </c>
      <c r="AC686" t="inlineStr">
        <is>
          <t>3&amp;2</t>
        </is>
      </c>
      <c r="AE686">
        <f>$V686&amp;$Y686</f>
        <v/>
      </c>
      <c r="AF686" t="n">
        <v>0</v>
      </c>
      <c r="AG686" t="n">
        <v>0</v>
      </c>
      <c r="AH686" t="n">
        <v>1</v>
      </c>
      <c r="AI686" t="n">
        <v>0</v>
      </c>
      <c r="AJ686" t="n">
        <v>0</v>
      </c>
      <c r="AK686" t="inlineStr">
        <is>
          <t>Gray</t>
        </is>
      </c>
      <c r="AL686" t="n">
        <v>0.654761904761905</v>
      </c>
      <c r="AM686" t="inlineStr">
        <is>
          <t>Jackson</t>
        </is>
      </c>
      <c r="AN686" t="n">
        <v>0.6171875</v>
      </c>
    </row>
    <row r="687" ht="15" customHeight="1" s="2">
      <c r="B687" t="n">
        <v>24</v>
      </c>
      <c r="C687" t="n">
        <v>4</v>
      </c>
      <c r="D687" t="n">
        <v>10</v>
      </c>
      <c r="E687" t="inlineStr">
        <is>
          <t>FBC10-D24</t>
        </is>
      </c>
      <c r="F687" t="inlineStr">
        <is>
          <t>Friday</t>
        </is>
      </c>
      <c r="G687" s="27" t="n">
        <v>45142</v>
      </c>
      <c r="H687" t="inlineStr">
        <is>
          <t>PM</t>
        </is>
      </c>
      <c r="I687" t="inlineStr">
        <is>
          <t>Dublin, IE</t>
        </is>
      </c>
      <c r="J687" t="inlineStr">
        <is>
          <t>Europe</t>
        </is>
      </c>
      <c r="K687" t="n">
        <v>9</v>
      </c>
      <c r="L687" t="inlineStr">
        <is>
          <t>Front</t>
        </is>
      </c>
      <c r="M687" t="inlineStr">
        <is>
          <t>Portmarnock Yellow</t>
        </is>
      </c>
      <c r="N687" t="inlineStr">
        <is>
          <t>Green</t>
        </is>
      </c>
      <c r="O687" t="n">
        <v>36.1</v>
      </c>
      <c r="P687" t="n">
        <v>125</v>
      </c>
      <c r="Q687" t="n">
        <v>2959</v>
      </c>
      <c r="R687" t="inlineStr">
        <is>
          <t>Scramble</t>
        </is>
      </c>
      <c r="S687" t="inlineStr">
        <is>
          <t>Doubles</t>
        </is>
      </c>
      <c r="T687" t="inlineStr">
        <is>
          <t>over 6'</t>
        </is>
      </c>
      <c r="U687" t="inlineStr">
        <is>
          <t>Cole</t>
        </is>
      </c>
      <c r="V687" t="inlineStr">
        <is>
          <t>Cole</t>
        </is>
      </c>
      <c r="W687" t="inlineStr">
        <is>
          <t>White/Green</t>
        </is>
      </c>
      <c r="Y687" t="inlineStr">
        <is>
          <t>Connolly</t>
        </is>
      </c>
      <c r="AA687" t="n">
        <v>1</v>
      </c>
      <c r="AB687" t="inlineStr">
        <is>
          <t>W</t>
        </is>
      </c>
      <c r="AC687" t="inlineStr">
        <is>
          <t>4&amp;3</t>
        </is>
      </c>
      <c r="AE687">
        <f>$V687&amp;$Y687</f>
        <v/>
      </c>
      <c r="AF687" t="n">
        <v>1</v>
      </c>
      <c r="AG687" t="n">
        <v>1</v>
      </c>
      <c r="AH687" t="n">
        <v>0</v>
      </c>
      <c r="AI687" t="n">
        <v>0</v>
      </c>
      <c r="AJ687" t="n">
        <v>1</v>
      </c>
      <c r="AK687" t="inlineStr">
        <is>
          <t>McInerney</t>
        </is>
      </c>
      <c r="AL687" t="n">
        <v>0.5</v>
      </c>
      <c r="AM687" t="inlineStr">
        <is>
          <t>Zimmer</t>
        </is>
      </c>
      <c r="AN687" t="n">
        <v>0.5</v>
      </c>
    </row>
    <row r="688" ht="15" customHeight="1" s="2">
      <c r="B688" t="n">
        <v>24</v>
      </c>
      <c r="C688" t="n">
        <v>4</v>
      </c>
      <c r="D688" t="n">
        <v>10</v>
      </c>
      <c r="E688" t="inlineStr">
        <is>
          <t>FBC10-D24</t>
        </is>
      </c>
      <c r="F688" t="inlineStr">
        <is>
          <t>Friday</t>
        </is>
      </c>
      <c r="G688" s="27" t="n">
        <v>45142</v>
      </c>
      <c r="H688" t="inlineStr">
        <is>
          <t>PM</t>
        </is>
      </c>
      <c r="I688" t="inlineStr">
        <is>
          <t>Dublin, IE</t>
        </is>
      </c>
      <c r="J688" t="inlineStr">
        <is>
          <t>Europe</t>
        </is>
      </c>
      <c r="K688" t="n">
        <v>9</v>
      </c>
      <c r="L688" t="inlineStr">
        <is>
          <t>Front</t>
        </is>
      </c>
      <c r="M688" t="inlineStr">
        <is>
          <t>Portmarnock Yellow</t>
        </is>
      </c>
      <c r="N688" t="inlineStr">
        <is>
          <t>Green</t>
        </is>
      </c>
      <c r="O688" t="n">
        <v>36.1</v>
      </c>
      <c r="P688" t="n">
        <v>125</v>
      </c>
      <c r="Q688" t="n">
        <v>2959</v>
      </c>
      <c r="R688" t="inlineStr">
        <is>
          <t>Scramble</t>
        </is>
      </c>
      <c r="S688" t="inlineStr">
        <is>
          <t>Doubles</t>
        </is>
      </c>
      <c r="T688" t="inlineStr">
        <is>
          <t>over 6'</t>
        </is>
      </c>
      <c r="U688" t="inlineStr">
        <is>
          <t>McInerney</t>
        </is>
      </c>
      <c r="V688" t="inlineStr">
        <is>
          <t>McInerney</t>
        </is>
      </c>
      <c r="W688" t="inlineStr">
        <is>
          <t>Dice Pattern</t>
        </is>
      </c>
      <c r="Y688" t="inlineStr">
        <is>
          <t>Zimmer</t>
        </is>
      </c>
      <c r="AA688" t="n">
        <v>1</v>
      </c>
      <c r="AB688" t="inlineStr">
        <is>
          <t>L</t>
        </is>
      </c>
      <c r="AC688" t="inlineStr">
        <is>
          <t>4&amp;3</t>
        </is>
      </c>
      <c r="AE688">
        <f>$V688&amp;$Y688</f>
        <v/>
      </c>
      <c r="AF688" t="n">
        <v>0</v>
      </c>
      <c r="AG688" t="n">
        <v>0</v>
      </c>
      <c r="AH688" t="n">
        <v>1</v>
      </c>
      <c r="AI688" t="n">
        <v>0</v>
      </c>
      <c r="AJ688" t="n">
        <v>0</v>
      </c>
      <c r="AK688" t="inlineStr">
        <is>
          <t>Cole</t>
        </is>
      </c>
      <c r="AL688" t="n">
        <v>0.440677966101695</v>
      </c>
      <c r="AM688" t="inlineStr">
        <is>
          <t>Connolly</t>
        </is>
      </c>
      <c r="AN688" t="n">
        <v>0.59375</v>
      </c>
    </row>
    <row r="689" ht="15" customHeight="1" s="2">
      <c r="B689" t="n">
        <v>25</v>
      </c>
      <c r="C689" t="n">
        <v>5</v>
      </c>
      <c r="D689" t="n">
        <v>10</v>
      </c>
      <c r="E689" t="inlineStr">
        <is>
          <t>FBC10-D25</t>
        </is>
      </c>
      <c r="F689" t="inlineStr">
        <is>
          <t>Friday</t>
        </is>
      </c>
      <c r="G689" s="27" t="n">
        <v>45142</v>
      </c>
      <c r="H689" t="inlineStr">
        <is>
          <t>PM</t>
        </is>
      </c>
      <c r="I689" t="inlineStr">
        <is>
          <t>Dublin, IE</t>
        </is>
      </c>
      <c r="J689" t="inlineStr">
        <is>
          <t>Europe</t>
        </is>
      </c>
      <c r="K689" t="n">
        <v>9</v>
      </c>
      <c r="L689" t="inlineStr">
        <is>
          <t>Front</t>
        </is>
      </c>
      <c r="M689" t="inlineStr">
        <is>
          <t>Portmarnock Yellow</t>
        </is>
      </c>
      <c r="N689" t="inlineStr">
        <is>
          <t>Green</t>
        </is>
      </c>
      <c r="O689" t="n">
        <v>36.1</v>
      </c>
      <c r="P689" t="n">
        <v>125</v>
      </c>
      <c r="Q689" t="n">
        <v>2959</v>
      </c>
      <c r="R689" t="inlineStr">
        <is>
          <t>Scramble</t>
        </is>
      </c>
      <c r="S689" t="inlineStr">
        <is>
          <t>Doubles</t>
        </is>
      </c>
      <c r="T689" t="inlineStr">
        <is>
          <t>over 6'</t>
        </is>
      </c>
      <c r="U689" t="inlineStr">
        <is>
          <t>McInerney</t>
        </is>
      </c>
      <c r="V689" t="inlineStr">
        <is>
          <t>Connors</t>
        </is>
      </c>
      <c r="W689" t="inlineStr">
        <is>
          <t>Dice Pattern</t>
        </is>
      </c>
      <c r="Y689" t="inlineStr">
        <is>
          <t>Delneky</t>
        </is>
      </c>
      <c r="AA689" t="n">
        <v>1</v>
      </c>
      <c r="AB689" t="inlineStr">
        <is>
          <t>W</t>
        </is>
      </c>
      <c r="AC689" t="inlineStr">
        <is>
          <t>2&amp;1</t>
        </is>
      </c>
      <c r="AE689">
        <f>$V689&amp;$Y689</f>
        <v/>
      </c>
      <c r="AF689" t="n">
        <v>1</v>
      </c>
      <c r="AG689" t="n">
        <v>1</v>
      </c>
      <c r="AH689" t="n">
        <v>0</v>
      </c>
      <c r="AI689" t="n">
        <v>0</v>
      </c>
      <c r="AJ689" t="n">
        <v>1</v>
      </c>
      <c r="AK689" t="inlineStr">
        <is>
          <t>R. Connolly</t>
        </is>
      </c>
      <c r="AL689" t="n">
        <v>0.333333333333333</v>
      </c>
      <c r="AM689" t="inlineStr">
        <is>
          <t>Perkins</t>
        </is>
      </c>
      <c r="AN689" t="n">
        <v>0.638888888888889</v>
      </c>
    </row>
    <row r="690" ht="15" customHeight="1" s="2">
      <c r="B690" t="n">
        <v>25</v>
      </c>
      <c r="C690" t="n">
        <v>5</v>
      </c>
      <c r="D690" t="n">
        <v>10</v>
      </c>
      <c r="E690" t="inlineStr">
        <is>
          <t>FBC10-D25</t>
        </is>
      </c>
      <c r="F690" t="inlineStr">
        <is>
          <t>Friday</t>
        </is>
      </c>
      <c r="G690" s="27" t="n">
        <v>45142</v>
      </c>
      <c r="H690" t="inlineStr">
        <is>
          <t>PM</t>
        </is>
      </c>
      <c r="I690" t="inlineStr">
        <is>
          <t>Dublin, IE</t>
        </is>
      </c>
      <c r="J690" t="inlineStr">
        <is>
          <t>Europe</t>
        </is>
      </c>
      <c r="K690" t="n">
        <v>9</v>
      </c>
      <c r="L690" t="inlineStr">
        <is>
          <t>Front</t>
        </is>
      </c>
      <c r="M690" t="inlineStr">
        <is>
          <t>Portmarnock Yellow</t>
        </is>
      </c>
      <c r="N690" t="inlineStr">
        <is>
          <t>Green</t>
        </is>
      </c>
      <c r="O690" t="n">
        <v>36.1</v>
      </c>
      <c r="P690" t="n">
        <v>125</v>
      </c>
      <c r="Q690" t="n">
        <v>2959</v>
      </c>
      <c r="R690" t="inlineStr">
        <is>
          <t>Scramble</t>
        </is>
      </c>
      <c r="S690" t="inlineStr">
        <is>
          <t>Doubles</t>
        </is>
      </c>
      <c r="T690" t="inlineStr">
        <is>
          <t>over 6'</t>
        </is>
      </c>
      <c r="U690" t="inlineStr">
        <is>
          <t>Cole</t>
        </is>
      </c>
      <c r="V690" t="inlineStr">
        <is>
          <t>R. Connolly</t>
        </is>
      </c>
      <c r="W690" t="inlineStr">
        <is>
          <t>White/Green</t>
        </is>
      </c>
      <c r="Y690" t="inlineStr">
        <is>
          <t>Perkins</t>
        </is>
      </c>
      <c r="AA690" t="n">
        <v>1</v>
      </c>
      <c r="AB690" t="inlineStr">
        <is>
          <t>L</t>
        </is>
      </c>
      <c r="AC690" t="inlineStr">
        <is>
          <t>2&amp;1</t>
        </is>
      </c>
      <c r="AE690">
        <f>$V690&amp;$Y690</f>
        <v/>
      </c>
      <c r="AF690" t="n">
        <v>0</v>
      </c>
      <c r="AG690" t="n">
        <v>0</v>
      </c>
      <c r="AH690" t="n">
        <v>1</v>
      </c>
      <c r="AI690" t="n">
        <v>0</v>
      </c>
      <c r="AJ690" t="n">
        <v>0</v>
      </c>
      <c r="AK690" t="inlineStr">
        <is>
          <t>Connors</t>
        </is>
      </c>
      <c r="AL690" t="n">
        <v>0.347457627118644</v>
      </c>
      <c r="AM690" t="inlineStr">
        <is>
          <t>Delneky</t>
        </is>
      </c>
      <c r="AN690" t="n">
        <v>0.6590909090909089</v>
      </c>
    </row>
    <row r="691" ht="15" customHeight="1" s="2">
      <c r="B691" t="n">
        <v>21</v>
      </c>
      <c r="C691" t="n">
        <v>1</v>
      </c>
      <c r="D691" t="n">
        <v>10</v>
      </c>
      <c r="E691" t="inlineStr">
        <is>
          <t>FBC10-S-Delaney-Jackson</t>
        </is>
      </c>
      <c r="F691" t="inlineStr">
        <is>
          <t>Saturday</t>
        </is>
      </c>
      <c r="G691" s="27" t="n">
        <v>45143</v>
      </c>
      <c r="H691" t="inlineStr">
        <is>
          <t>AM</t>
        </is>
      </c>
      <c r="I691" t="inlineStr">
        <is>
          <t>Dublin, IE</t>
        </is>
      </c>
      <c r="J691" t="inlineStr">
        <is>
          <t>Europe</t>
        </is>
      </c>
      <c r="K691" t="n">
        <v>18</v>
      </c>
      <c r="L691" t="inlineStr">
        <is>
          <t>Full</t>
        </is>
      </c>
      <c r="M691" t="inlineStr">
        <is>
          <t>European Club</t>
        </is>
      </c>
      <c r="N691" t="inlineStr">
        <is>
          <t>Yellow</t>
        </is>
      </c>
      <c r="O691" t="n">
        <v>70.2</v>
      </c>
      <c r="P691" t="n">
        <v>130</v>
      </c>
      <c r="Q691" t="n">
        <v>5675</v>
      </c>
      <c r="R691" t="inlineStr">
        <is>
          <t>Match Play</t>
        </is>
      </c>
      <c r="S691" t="inlineStr">
        <is>
          <t>Singles</t>
        </is>
      </c>
      <c r="T691" t="inlineStr">
        <is>
          <t>over 6'</t>
        </is>
      </c>
      <c r="U691" t="inlineStr">
        <is>
          <t>McInerney</t>
        </is>
      </c>
      <c r="V691" t="inlineStr">
        <is>
          <t>Jackson</t>
        </is>
      </c>
      <c r="W691" t="inlineStr">
        <is>
          <t>Yellow/Black</t>
        </is>
      </c>
      <c r="AA691" t="n">
        <v>2</v>
      </c>
      <c r="AB691" t="inlineStr">
        <is>
          <t>W</t>
        </is>
      </c>
      <c r="AC691" t="inlineStr">
        <is>
          <t>1Up</t>
        </is>
      </c>
      <c r="AD691" t="inlineStr">
        <is>
          <t>Delaney</t>
        </is>
      </c>
      <c r="AE691">
        <f>$V691&amp;$Y691</f>
        <v/>
      </c>
      <c r="AF691" t="n">
        <v>2</v>
      </c>
      <c r="AG691" t="n">
        <v>1</v>
      </c>
      <c r="AH691" t="n">
        <v>0</v>
      </c>
      <c r="AI691" t="n">
        <v>0</v>
      </c>
      <c r="AJ691" t="n">
        <v>1</v>
      </c>
      <c r="AK691" t="inlineStr">
        <is>
          <t>Delaney</t>
        </is>
      </c>
      <c r="AL691" t="n">
        <v>0.46551724137931</v>
      </c>
    </row>
    <row r="692" ht="15" customHeight="1" s="2">
      <c r="B692" t="n">
        <v>21</v>
      </c>
      <c r="C692" t="n">
        <v>2</v>
      </c>
      <c r="D692" t="n">
        <v>10</v>
      </c>
      <c r="E692" t="inlineStr">
        <is>
          <t>FBC10-S-Connolly-Zimmer</t>
        </is>
      </c>
      <c r="F692" t="inlineStr">
        <is>
          <t>Saturday</t>
        </is>
      </c>
      <c r="G692" s="27" t="n">
        <v>45143</v>
      </c>
      <c r="H692" t="inlineStr">
        <is>
          <t>AM</t>
        </is>
      </c>
      <c r="I692" t="inlineStr">
        <is>
          <t>Dublin, IE</t>
        </is>
      </c>
      <c r="J692" t="inlineStr">
        <is>
          <t>Europe</t>
        </is>
      </c>
      <c r="K692" t="n">
        <v>18</v>
      </c>
      <c r="L692" t="inlineStr">
        <is>
          <t>Full</t>
        </is>
      </c>
      <c r="M692" t="inlineStr">
        <is>
          <t>European Club</t>
        </is>
      </c>
      <c r="N692" t="inlineStr">
        <is>
          <t>Yellow</t>
        </is>
      </c>
      <c r="O692" t="n">
        <v>70.2</v>
      </c>
      <c r="P692" t="n">
        <v>130</v>
      </c>
      <c r="Q692" t="n">
        <v>5675</v>
      </c>
      <c r="R692" t="inlineStr">
        <is>
          <t>Match Play</t>
        </is>
      </c>
      <c r="S692" t="inlineStr">
        <is>
          <t>Singles</t>
        </is>
      </c>
      <c r="T692" t="inlineStr">
        <is>
          <t>over 6'</t>
        </is>
      </c>
      <c r="U692" t="inlineStr">
        <is>
          <t>McInerney</t>
        </is>
      </c>
      <c r="V692" t="inlineStr">
        <is>
          <t>Zimmer</t>
        </is>
      </c>
      <c r="W692" t="inlineStr">
        <is>
          <t>Yellow/Black</t>
        </is>
      </c>
      <c r="AA692" t="n">
        <v>2</v>
      </c>
      <c r="AB692" t="inlineStr">
        <is>
          <t>L</t>
        </is>
      </c>
      <c r="AC692" t="inlineStr">
        <is>
          <t>7&amp;6</t>
        </is>
      </c>
      <c r="AD692" t="inlineStr">
        <is>
          <t>Connolly</t>
        </is>
      </c>
      <c r="AE692">
        <f>$V692&amp;$Y692</f>
        <v/>
      </c>
      <c r="AF692" t="n">
        <v>0</v>
      </c>
      <c r="AG692" t="n">
        <v>0</v>
      </c>
      <c r="AH692" t="n">
        <v>1</v>
      </c>
      <c r="AI692" t="n">
        <v>0</v>
      </c>
      <c r="AJ692" t="n">
        <v>0</v>
      </c>
      <c r="AK692" t="inlineStr">
        <is>
          <t>Connolly</t>
        </is>
      </c>
      <c r="AL692" t="n">
        <v>0.59375</v>
      </c>
    </row>
    <row r="693" ht="15" customHeight="1" s="2">
      <c r="B693" t="n">
        <v>22</v>
      </c>
      <c r="C693" t="n">
        <v>3</v>
      </c>
      <c r="D693" t="n">
        <v>10</v>
      </c>
      <c r="E693" t="inlineStr">
        <is>
          <t>FBC10-S-Delneky-Hilts</t>
        </is>
      </c>
      <c r="F693" t="inlineStr">
        <is>
          <t>Saturday</t>
        </is>
      </c>
      <c r="G693" s="27" t="n">
        <v>45143</v>
      </c>
      <c r="H693" t="inlineStr">
        <is>
          <t>AM</t>
        </is>
      </c>
      <c r="I693" t="inlineStr">
        <is>
          <t>Dublin, IE</t>
        </is>
      </c>
      <c r="J693" t="inlineStr">
        <is>
          <t>Europe</t>
        </is>
      </c>
      <c r="K693" t="n">
        <v>18</v>
      </c>
      <c r="L693" t="inlineStr">
        <is>
          <t>Full</t>
        </is>
      </c>
      <c r="M693" t="inlineStr">
        <is>
          <t>European Club</t>
        </is>
      </c>
      <c r="N693" t="inlineStr">
        <is>
          <t>Yellow</t>
        </is>
      </c>
      <c r="O693" t="n">
        <v>70.2</v>
      </c>
      <c r="P693" t="n">
        <v>130</v>
      </c>
      <c r="Q693" t="n">
        <v>5675</v>
      </c>
      <c r="R693" t="inlineStr">
        <is>
          <t>Match Play</t>
        </is>
      </c>
      <c r="S693" t="inlineStr">
        <is>
          <t>Singles</t>
        </is>
      </c>
      <c r="T693" t="inlineStr">
        <is>
          <t>over 6'</t>
        </is>
      </c>
      <c r="U693" t="inlineStr">
        <is>
          <t>McInerney</t>
        </is>
      </c>
      <c r="V693" t="inlineStr">
        <is>
          <t>Delneky</t>
        </is>
      </c>
      <c r="W693" t="inlineStr">
        <is>
          <t>Yellow/Black</t>
        </is>
      </c>
      <c r="AA693" t="n">
        <v>2</v>
      </c>
      <c r="AB693" t="inlineStr">
        <is>
          <t>W</t>
        </is>
      </c>
      <c r="AC693" t="inlineStr">
        <is>
          <t>8&amp;7</t>
        </is>
      </c>
      <c r="AD693" t="inlineStr">
        <is>
          <t>Hilts</t>
        </is>
      </c>
      <c r="AE693">
        <f>$V693&amp;$Y693</f>
        <v/>
      </c>
      <c r="AF693" t="n">
        <v>2</v>
      </c>
      <c r="AG693" t="n">
        <v>1</v>
      </c>
      <c r="AH693" t="n">
        <v>0</v>
      </c>
      <c r="AI693" t="n">
        <v>0</v>
      </c>
      <c r="AJ693" t="n">
        <v>1</v>
      </c>
      <c r="AK693" t="inlineStr">
        <is>
          <t>Hilts</t>
        </is>
      </c>
      <c r="AL693" t="n">
        <v>0.473214285714286</v>
      </c>
    </row>
    <row r="694" ht="15" customHeight="1" s="2">
      <c r="B694" t="n">
        <v>22</v>
      </c>
      <c r="C694" t="n">
        <v>4</v>
      </c>
      <c r="D694" t="n">
        <v>10</v>
      </c>
      <c r="E694" t="inlineStr">
        <is>
          <t>FBC10-S-Fogan-R. Connolly</t>
        </is>
      </c>
      <c r="F694" t="inlineStr">
        <is>
          <t>Saturday</t>
        </is>
      </c>
      <c r="G694" s="27" t="n">
        <v>45143</v>
      </c>
      <c r="H694" t="inlineStr">
        <is>
          <t>AM</t>
        </is>
      </c>
      <c r="I694" t="inlineStr">
        <is>
          <t>Dublin, IE</t>
        </is>
      </c>
      <c r="J694" t="inlineStr">
        <is>
          <t>Europe</t>
        </is>
      </c>
      <c r="K694" t="n">
        <v>18</v>
      </c>
      <c r="L694" t="inlineStr">
        <is>
          <t>Full</t>
        </is>
      </c>
      <c r="M694" t="inlineStr">
        <is>
          <t>European Club</t>
        </is>
      </c>
      <c r="N694" t="inlineStr">
        <is>
          <t>Yellow</t>
        </is>
      </c>
      <c r="O694" t="n">
        <v>70.2</v>
      </c>
      <c r="P694" t="n">
        <v>130</v>
      </c>
      <c r="Q694" t="n">
        <v>5675</v>
      </c>
      <c r="R694" t="inlineStr">
        <is>
          <t>Match Play</t>
        </is>
      </c>
      <c r="S694" t="inlineStr">
        <is>
          <t>Singles</t>
        </is>
      </c>
      <c r="T694" t="inlineStr">
        <is>
          <t>over 6'</t>
        </is>
      </c>
      <c r="U694" t="inlineStr">
        <is>
          <t>McInerney</t>
        </is>
      </c>
      <c r="V694" t="inlineStr">
        <is>
          <t>Fogan</t>
        </is>
      </c>
      <c r="W694" t="inlineStr">
        <is>
          <t>Yellow/Black</t>
        </is>
      </c>
      <c r="AA694" t="n">
        <v>2</v>
      </c>
      <c r="AB694" t="inlineStr">
        <is>
          <t>L</t>
        </is>
      </c>
      <c r="AC694" t="inlineStr">
        <is>
          <t>4&amp;3</t>
        </is>
      </c>
      <c r="AD694" t="inlineStr">
        <is>
          <t>R. Connolly</t>
        </is>
      </c>
      <c r="AE694">
        <f>$V694&amp;$Y694</f>
        <v/>
      </c>
      <c r="AF694" t="n">
        <v>0</v>
      </c>
      <c r="AG694" t="n">
        <v>0</v>
      </c>
      <c r="AH694" t="n">
        <v>1</v>
      </c>
      <c r="AI694" t="n">
        <v>0</v>
      </c>
      <c r="AJ694" t="n">
        <v>0</v>
      </c>
      <c r="AK694" t="inlineStr">
        <is>
          <t>R. Connolly</t>
        </is>
      </c>
      <c r="AL694" t="n">
        <v>0.333333333333333</v>
      </c>
    </row>
    <row r="695" ht="15" customHeight="1" s="2">
      <c r="B695" t="n">
        <v>23</v>
      </c>
      <c r="C695" t="n">
        <v>5</v>
      </c>
      <c r="D695" t="n">
        <v>10</v>
      </c>
      <c r="E695" t="inlineStr">
        <is>
          <t>FBC10-S-Flanders-Gray</t>
        </is>
      </c>
      <c r="F695" t="inlineStr">
        <is>
          <t>Saturday</t>
        </is>
      </c>
      <c r="G695" s="27" t="n">
        <v>45143</v>
      </c>
      <c r="H695" t="inlineStr">
        <is>
          <t>AM</t>
        </is>
      </c>
      <c r="I695" t="inlineStr">
        <is>
          <t>Dublin, IE</t>
        </is>
      </c>
      <c r="J695" t="inlineStr">
        <is>
          <t>Europe</t>
        </is>
      </c>
      <c r="K695" t="n">
        <v>18</v>
      </c>
      <c r="L695" t="inlineStr">
        <is>
          <t>Full</t>
        </is>
      </c>
      <c r="M695" t="inlineStr">
        <is>
          <t>European Club</t>
        </is>
      </c>
      <c r="N695" t="inlineStr">
        <is>
          <t>Yellow</t>
        </is>
      </c>
      <c r="O695" t="n">
        <v>70.2</v>
      </c>
      <c r="P695" t="n">
        <v>130</v>
      </c>
      <c r="Q695" t="n">
        <v>5675</v>
      </c>
      <c r="R695" t="inlineStr">
        <is>
          <t>Match Play</t>
        </is>
      </c>
      <c r="S695" t="inlineStr">
        <is>
          <t>Singles</t>
        </is>
      </c>
      <c r="T695" t="inlineStr">
        <is>
          <t>over 6'</t>
        </is>
      </c>
      <c r="U695" t="inlineStr">
        <is>
          <t>McInerney</t>
        </is>
      </c>
      <c r="V695" t="inlineStr">
        <is>
          <t>Gray</t>
        </is>
      </c>
      <c r="W695" t="inlineStr">
        <is>
          <t>Yellow/Black</t>
        </is>
      </c>
      <c r="AA695" t="n">
        <v>2</v>
      </c>
      <c r="AB695" t="inlineStr">
        <is>
          <t>W</t>
        </is>
      </c>
      <c r="AC695" t="inlineStr">
        <is>
          <t>3&amp;1</t>
        </is>
      </c>
      <c r="AD695" t="inlineStr">
        <is>
          <t>Flanders</t>
        </is>
      </c>
      <c r="AE695">
        <f>$V695&amp;$Y695</f>
        <v/>
      </c>
      <c r="AF695" t="n">
        <v>2</v>
      </c>
      <c r="AG695" t="n">
        <v>1</v>
      </c>
      <c r="AH695" t="n">
        <v>0</v>
      </c>
      <c r="AI695" t="n">
        <v>0</v>
      </c>
      <c r="AJ695" t="n">
        <v>1</v>
      </c>
      <c r="AK695" t="inlineStr">
        <is>
          <t>Flanders</t>
        </is>
      </c>
      <c r="AL695" t="n">
        <v>0.4296875</v>
      </c>
    </row>
    <row r="696" ht="15" customHeight="1" s="2">
      <c r="B696" t="n">
        <v>23</v>
      </c>
      <c r="C696" t="n">
        <v>6</v>
      </c>
      <c r="D696" t="n">
        <v>10</v>
      </c>
      <c r="E696" t="inlineStr">
        <is>
          <t>FBC10-S-McInerney-Perkins</t>
        </is>
      </c>
      <c r="F696" t="inlineStr">
        <is>
          <t>Saturday</t>
        </is>
      </c>
      <c r="G696" s="27" t="n">
        <v>45143</v>
      </c>
      <c r="H696" t="inlineStr">
        <is>
          <t>AM</t>
        </is>
      </c>
      <c r="I696" t="inlineStr">
        <is>
          <t>Dublin, IE</t>
        </is>
      </c>
      <c r="J696" t="inlineStr">
        <is>
          <t>Europe</t>
        </is>
      </c>
      <c r="K696" t="n">
        <v>18</v>
      </c>
      <c r="L696" t="inlineStr">
        <is>
          <t>Full</t>
        </is>
      </c>
      <c r="M696" t="inlineStr">
        <is>
          <t>European Club</t>
        </is>
      </c>
      <c r="N696" t="inlineStr">
        <is>
          <t>Yellow</t>
        </is>
      </c>
      <c r="O696" t="n">
        <v>70.2</v>
      </c>
      <c r="P696" t="n">
        <v>130</v>
      </c>
      <c r="Q696" t="n">
        <v>5675</v>
      </c>
      <c r="R696" t="inlineStr">
        <is>
          <t>Match Play</t>
        </is>
      </c>
      <c r="S696" t="inlineStr">
        <is>
          <t>Singles</t>
        </is>
      </c>
      <c r="T696" t="inlineStr">
        <is>
          <t>over 6'</t>
        </is>
      </c>
      <c r="U696" t="inlineStr">
        <is>
          <t>McInerney</t>
        </is>
      </c>
      <c r="V696" t="inlineStr">
        <is>
          <t>McInerney</t>
        </is>
      </c>
      <c r="W696" t="inlineStr">
        <is>
          <t>Yellow/Black</t>
        </is>
      </c>
      <c r="AA696" t="n">
        <v>2</v>
      </c>
      <c r="AB696" t="inlineStr">
        <is>
          <t>W</t>
        </is>
      </c>
      <c r="AC696" t="inlineStr">
        <is>
          <t>4&amp;3</t>
        </is>
      </c>
      <c r="AD696" t="inlineStr">
        <is>
          <t>Perkins</t>
        </is>
      </c>
      <c r="AE696">
        <f>$V696&amp;$Y696</f>
        <v/>
      </c>
      <c r="AF696" t="n">
        <v>2</v>
      </c>
      <c r="AG696" t="n">
        <v>1</v>
      </c>
      <c r="AH696" t="n">
        <v>0</v>
      </c>
      <c r="AI696" t="n">
        <v>0</v>
      </c>
      <c r="AJ696" t="n">
        <v>1</v>
      </c>
      <c r="AK696" t="inlineStr">
        <is>
          <t>Perkins</t>
        </is>
      </c>
      <c r="AL696" t="n">
        <v>0.638888888888889</v>
      </c>
    </row>
    <row r="697" ht="15" customHeight="1" s="2">
      <c r="B697" t="n">
        <v>24</v>
      </c>
      <c r="C697" t="n">
        <v>7</v>
      </c>
      <c r="D697" t="n">
        <v>10</v>
      </c>
      <c r="E697" t="inlineStr">
        <is>
          <t>FBC10-S-Cole-Connors</t>
        </is>
      </c>
      <c r="F697" t="inlineStr">
        <is>
          <t>Saturday</t>
        </is>
      </c>
      <c r="G697" s="27" t="n">
        <v>45143</v>
      </c>
      <c r="H697" t="inlineStr">
        <is>
          <t>AM</t>
        </is>
      </c>
      <c r="I697" t="inlineStr">
        <is>
          <t>Dublin, IE</t>
        </is>
      </c>
      <c r="J697" t="inlineStr">
        <is>
          <t>Europe</t>
        </is>
      </c>
      <c r="K697" t="n">
        <v>18</v>
      </c>
      <c r="L697" t="inlineStr">
        <is>
          <t>Full</t>
        </is>
      </c>
      <c r="M697" t="inlineStr">
        <is>
          <t>European Club</t>
        </is>
      </c>
      <c r="N697" t="inlineStr">
        <is>
          <t>Yellow</t>
        </is>
      </c>
      <c r="O697" t="n">
        <v>70.2</v>
      </c>
      <c r="P697" t="n">
        <v>130</v>
      </c>
      <c r="Q697" t="n">
        <v>5675</v>
      </c>
      <c r="R697" t="inlineStr">
        <is>
          <t>Match Play</t>
        </is>
      </c>
      <c r="S697" t="inlineStr">
        <is>
          <t>Singles</t>
        </is>
      </c>
      <c r="T697" t="inlineStr">
        <is>
          <t>over 6'</t>
        </is>
      </c>
      <c r="U697" t="inlineStr">
        <is>
          <t>McInerney</t>
        </is>
      </c>
      <c r="V697" t="inlineStr">
        <is>
          <t>Connors</t>
        </is>
      </c>
      <c r="W697" t="inlineStr">
        <is>
          <t>Yellow/Black</t>
        </is>
      </c>
      <c r="AA697" t="n">
        <v>2</v>
      </c>
      <c r="AB697" t="inlineStr">
        <is>
          <t>L</t>
        </is>
      </c>
      <c r="AC697" t="inlineStr">
        <is>
          <t>3&amp;2</t>
        </is>
      </c>
      <c r="AD697" t="inlineStr">
        <is>
          <t>Cole</t>
        </is>
      </c>
      <c r="AE697">
        <f>$V697&amp;$Y697</f>
        <v/>
      </c>
      <c r="AF697" t="n">
        <v>0</v>
      </c>
      <c r="AG697" t="n">
        <v>0</v>
      </c>
      <c r="AH697" t="n">
        <v>1</v>
      </c>
      <c r="AI697" t="n">
        <v>0</v>
      </c>
      <c r="AJ697" t="n">
        <v>0</v>
      </c>
      <c r="AK697" t="inlineStr">
        <is>
          <t>Cole</t>
        </is>
      </c>
      <c r="AL697" t="n">
        <v>0.440677966101695</v>
      </c>
    </row>
    <row r="698" ht="15" customHeight="1" s="2">
      <c r="B698" t="n">
        <v>24</v>
      </c>
      <c r="C698" t="n">
        <v>8</v>
      </c>
      <c r="D698" t="n">
        <v>10</v>
      </c>
      <c r="E698" t="inlineStr">
        <is>
          <t>FBC10-S-Lynch-Welker</t>
        </is>
      </c>
      <c r="F698" t="inlineStr">
        <is>
          <t>Saturday</t>
        </is>
      </c>
      <c r="G698" s="27" t="n">
        <v>45143</v>
      </c>
      <c r="H698" t="inlineStr">
        <is>
          <t>AM</t>
        </is>
      </c>
      <c r="I698" t="inlineStr">
        <is>
          <t>Dublin, IE</t>
        </is>
      </c>
      <c r="J698" t="inlineStr">
        <is>
          <t>Europe</t>
        </is>
      </c>
      <c r="K698" t="n">
        <v>18</v>
      </c>
      <c r="L698" t="inlineStr">
        <is>
          <t>Full</t>
        </is>
      </c>
      <c r="M698" t="inlineStr">
        <is>
          <t>European Club</t>
        </is>
      </c>
      <c r="N698" t="inlineStr">
        <is>
          <t>Yellow</t>
        </is>
      </c>
      <c r="O698" t="n">
        <v>70.2</v>
      </c>
      <c r="P698" t="n">
        <v>130</v>
      </c>
      <c r="Q698" t="n">
        <v>5675</v>
      </c>
      <c r="R698" t="inlineStr">
        <is>
          <t>Match Play</t>
        </is>
      </c>
      <c r="S698" t="inlineStr">
        <is>
          <t>Singles</t>
        </is>
      </c>
      <c r="T698" t="inlineStr">
        <is>
          <t>over 6'</t>
        </is>
      </c>
      <c r="U698" t="inlineStr">
        <is>
          <t>McInerney</t>
        </is>
      </c>
      <c r="V698" t="inlineStr">
        <is>
          <t>Welker</t>
        </is>
      </c>
      <c r="W698" t="inlineStr">
        <is>
          <t>Yellow/Black</t>
        </is>
      </c>
      <c r="AA698" t="n">
        <v>2</v>
      </c>
      <c r="AB698" t="inlineStr">
        <is>
          <t>W</t>
        </is>
      </c>
      <c r="AC698" t="inlineStr">
        <is>
          <t>3&amp;2</t>
        </is>
      </c>
      <c r="AD698" t="inlineStr">
        <is>
          <t>Lynch</t>
        </is>
      </c>
      <c r="AE698">
        <f>$V698&amp;$Y698</f>
        <v/>
      </c>
      <c r="AF698" t="n">
        <v>2</v>
      </c>
      <c r="AG698" t="n">
        <v>1</v>
      </c>
      <c r="AH698" t="n">
        <v>0</v>
      </c>
      <c r="AI698" t="n">
        <v>0</v>
      </c>
      <c r="AJ698" t="n">
        <v>1</v>
      </c>
      <c r="AK698" t="inlineStr">
        <is>
          <t>Lynch</t>
        </is>
      </c>
      <c r="AL698" t="n">
        <v>0.5546875</v>
      </c>
    </row>
    <row r="699" ht="15" customHeight="1" s="2">
      <c r="B699" t="n">
        <v>25</v>
      </c>
      <c r="C699" t="n">
        <v>9</v>
      </c>
      <c r="D699" t="n">
        <v>10</v>
      </c>
      <c r="E699" t="inlineStr">
        <is>
          <t>FBC10-S-Ferrin-Mangold</t>
        </is>
      </c>
      <c r="F699" t="inlineStr">
        <is>
          <t>Saturday</t>
        </is>
      </c>
      <c r="G699" s="27" t="n">
        <v>45143</v>
      </c>
      <c r="H699" t="inlineStr">
        <is>
          <t>AM</t>
        </is>
      </c>
      <c r="I699" t="inlineStr">
        <is>
          <t>Dublin, IE</t>
        </is>
      </c>
      <c r="J699" t="inlineStr">
        <is>
          <t>Europe</t>
        </is>
      </c>
      <c r="K699" t="n">
        <v>18</v>
      </c>
      <c r="L699" t="inlineStr">
        <is>
          <t>Full</t>
        </is>
      </c>
      <c r="M699" t="inlineStr">
        <is>
          <t>European Club</t>
        </is>
      </c>
      <c r="N699" t="inlineStr">
        <is>
          <t>Yellow</t>
        </is>
      </c>
      <c r="O699" t="n">
        <v>70.2</v>
      </c>
      <c r="P699" t="n">
        <v>130</v>
      </c>
      <c r="Q699" t="n">
        <v>5675</v>
      </c>
      <c r="R699" t="inlineStr">
        <is>
          <t>Match Play</t>
        </is>
      </c>
      <c r="S699" t="inlineStr">
        <is>
          <t>Singles</t>
        </is>
      </c>
      <c r="T699" t="inlineStr">
        <is>
          <t>over 6'</t>
        </is>
      </c>
      <c r="U699" t="inlineStr">
        <is>
          <t>McInerney</t>
        </is>
      </c>
      <c r="V699" t="inlineStr">
        <is>
          <t>Mangold</t>
        </is>
      </c>
      <c r="W699" t="inlineStr">
        <is>
          <t>Yellow/Black</t>
        </is>
      </c>
      <c r="AA699" t="n">
        <v>2</v>
      </c>
      <c r="AB699" t="inlineStr">
        <is>
          <t>T</t>
        </is>
      </c>
      <c r="AC699" t="inlineStr">
        <is>
          <t>Halved</t>
        </is>
      </c>
      <c r="AD699" t="inlineStr">
        <is>
          <t>Ferrin</t>
        </is>
      </c>
      <c r="AE699">
        <f>$V699&amp;$Y699</f>
        <v/>
      </c>
      <c r="AF699" t="n">
        <v>1</v>
      </c>
      <c r="AG699" t="n">
        <v>0</v>
      </c>
      <c r="AH699" t="n">
        <v>0</v>
      </c>
      <c r="AI699" t="n">
        <v>1</v>
      </c>
      <c r="AJ699" t="n">
        <v>0.5</v>
      </c>
      <c r="AK699" t="inlineStr">
        <is>
          <t>Ferrin</t>
        </is>
      </c>
      <c r="AL699" t="n">
        <v>0.595238095238095</v>
      </c>
    </row>
    <row r="700" ht="15" customHeight="1" s="2">
      <c r="B700" t="n">
        <v>25</v>
      </c>
      <c r="C700" t="n">
        <v>10</v>
      </c>
      <c r="D700" t="n">
        <v>10</v>
      </c>
      <c r="E700" t="inlineStr">
        <is>
          <t>FBC10-S-Forster-Grise</t>
        </is>
      </c>
      <c r="F700" t="inlineStr">
        <is>
          <t>Saturday</t>
        </is>
      </c>
      <c r="G700" s="27" t="n">
        <v>45143</v>
      </c>
      <c r="H700" t="inlineStr">
        <is>
          <t>AM</t>
        </is>
      </c>
      <c r="I700" t="inlineStr">
        <is>
          <t>Dublin, IE</t>
        </is>
      </c>
      <c r="J700" t="inlineStr">
        <is>
          <t>Europe</t>
        </is>
      </c>
      <c r="K700" t="n">
        <v>18</v>
      </c>
      <c r="L700" t="inlineStr">
        <is>
          <t>Full</t>
        </is>
      </c>
      <c r="M700" t="inlineStr">
        <is>
          <t>European Club</t>
        </is>
      </c>
      <c r="N700" t="inlineStr">
        <is>
          <t>Yellow</t>
        </is>
      </c>
      <c r="O700" t="n">
        <v>70.2</v>
      </c>
      <c r="P700" t="n">
        <v>130</v>
      </c>
      <c r="Q700" t="n">
        <v>5675</v>
      </c>
      <c r="R700" t="inlineStr">
        <is>
          <t>Match Play</t>
        </is>
      </c>
      <c r="S700" t="inlineStr">
        <is>
          <t>Singles</t>
        </is>
      </c>
      <c r="T700" t="inlineStr">
        <is>
          <t>over 6'</t>
        </is>
      </c>
      <c r="U700" t="inlineStr">
        <is>
          <t>McInerney</t>
        </is>
      </c>
      <c r="V700" t="inlineStr">
        <is>
          <t>Forster</t>
        </is>
      </c>
      <c r="W700" t="inlineStr">
        <is>
          <t>Yellow/Black</t>
        </is>
      </c>
      <c r="AA700" t="n">
        <v>2</v>
      </c>
      <c r="AB700" t="inlineStr">
        <is>
          <t>L</t>
        </is>
      </c>
      <c r="AC700" t="inlineStr">
        <is>
          <t>4&amp;3</t>
        </is>
      </c>
      <c r="AD700" t="inlineStr">
        <is>
          <t>Grise</t>
        </is>
      </c>
      <c r="AE700">
        <f>$V700&amp;$Y700</f>
        <v/>
      </c>
      <c r="AF700" t="n">
        <v>0</v>
      </c>
      <c r="AG700" t="n">
        <v>0</v>
      </c>
      <c r="AH700" t="n">
        <v>1</v>
      </c>
      <c r="AI700" t="n">
        <v>0</v>
      </c>
      <c r="AJ700" t="n">
        <v>0</v>
      </c>
      <c r="AK700" t="inlineStr">
        <is>
          <t>Grise</t>
        </is>
      </c>
      <c r="AL700" t="n">
        <v>0.546875</v>
      </c>
    </row>
    <row r="701" ht="15" customHeight="1" s="2">
      <c r="B701" t="n">
        <v>26</v>
      </c>
      <c r="C701" t="n">
        <v>1</v>
      </c>
      <c r="D701" t="n">
        <v>10</v>
      </c>
      <c r="E701" t="inlineStr">
        <is>
          <t>FBC10-S-Delaney-Jackson</t>
        </is>
      </c>
      <c r="F701" t="inlineStr">
        <is>
          <t>Saturday</t>
        </is>
      </c>
      <c r="G701" s="27" t="n">
        <v>45143</v>
      </c>
      <c r="H701" t="inlineStr">
        <is>
          <t>AM</t>
        </is>
      </c>
      <c r="I701" t="inlineStr">
        <is>
          <t>Dublin, IE</t>
        </is>
      </c>
      <c r="J701" t="inlineStr">
        <is>
          <t>Europe</t>
        </is>
      </c>
      <c r="K701" t="n">
        <v>18</v>
      </c>
      <c r="L701" t="inlineStr">
        <is>
          <t>Full</t>
        </is>
      </c>
      <c r="M701" t="inlineStr">
        <is>
          <t>European Club</t>
        </is>
      </c>
      <c r="N701" t="inlineStr">
        <is>
          <t>Yellow</t>
        </is>
      </c>
      <c r="O701" t="n">
        <v>70.2</v>
      </c>
      <c r="P701" t="n">
        <v>130</v>
      </c>
      <c r="Q701" t="n">
        <v>5675</v>
      </c>
      <c r="R701" t="inlineStr">
        <is>
          <t>Match Play</t>
        </is>
      </c>
      <c r="S701" t="inlineStr">
        <is>
          <t>Singles</t>
        </is>
      </c>
      <c r="T701" t="inlineStr">
        <is>
          <t>over 6'</t>
        </is>
      </c>
      <c r="U701" t="inlineStr">
        <is>
          <t>Cole</t>
        </is>
      </c>
      <c r="V701" t="inlineStr">
        <is>
          <t>Delaney</t>
        </is>
      </c>
      <c r="W701" t="inlineStr">
        <is>
          <t>Green</t>
        </is>
      </c>
      <c r="AA701" t="n">
        <v>2</v>
      </c>
      <c r="AB701" t="inlineStr">
        <is>
          <t>L</t>
        </is>
      </c>
      <c r="AC701" t="inlineStr">
        <is>
          <t>1Up</t>
        </is>
      </c>
      <c r="AD701" t="inlineStr">
        <is>
          <t>Jackson</t>
        </is>
      </c>
      <c r="AE701">
        <f>$V701&amp;$Y701</f>
        <v/>
      </c>
      <c r="AF701" t="n">
        <v>0</v>
      </c>
      <c r="AG701" t="n">
        <v>0</v>
      </c>
      <c r="AH701" t="n">
        <v>1</v>
      </c>
      <c r="AI701" t="n">
        <v>0</v>
      </c>
      <c r="AJ701" t="n">
        <v>0</v>
      </c>
      <c r="AK701" t="inlineStr">
        <is>
          <t>Jackson</t>
        </is>
      </c>
      <c r="AL701" t="n">
        <v>0.6171875</v>
      </c>
    </row>
    <row r="702" ht="15" customHeight="1" s="2">
      <c r="B702" t="n">
        <v>26</v>
      </c>
      <c r="C702" t="n">
        <v>2</v>
      </c>
      <c r="D702" t="n">
        <v>10</v>
      </c>
      <c r="E702" t="inlineStr">
        <is>
          <t>FBC10-S-Connolly-Zimmer</t>
        </is>
      </c>
      <c r="F702" t="inlineStr">
        <is>
          <t>Saturday</t>
        </is>
      </c>
      <c r="G702" s="27" t="n">
        <v>45143</v>
      </c>
      <c r="H702" t="inlineStr">
        <is>
          <t>AM</t>
        </is>
      </c>
      <c r="I702" t="inlineStr">
        <is>
          <t>Dublin, IE</t>
        </is>
      </c>
      <c r="J702" t="inlineStr">
        <is>
          <t>Europe</t>
        </is>
      </c>
      <c r="K702" t="n">
        <v>18</v>
      </c>
      <c r="L702" t="inlineStr">
        <is>
          <t>Full</t>
        </is>
      </c>
      <c r="M702" t="inlineStr">
        <is>
          <t>European Club</t>
        </is>
      </c>
      <c r="N702" t="inlineStr">
        <is>
          <t>Yellow</t>
        </is>
      </c>
      <c r="O702" t="n">
        <v>70.2</v>
      </c>
      <c r="P702" t="n">
        <v>130</v>
      </c>
      <c r="Q702" t="n">
        <v>5675</v>
      </c>
      <c r="R702" t="inlineStr">
        <is>
          <t>Match Play</t>
        </is>
      </c>
      <c r="S702" t="inlineStr">
        <is>
          <t>Singles</t>
        </is>
      </c>
      <c r="T702" t="inlineStr">
        <is>
          <t>over 6'</t>
        </is>
      </c>
      <c r="U702" t="inlineStr">
        <is>
          <t>Cole</t>
        </is>
      </c>
      <c r="V702" t="inlineStr">
        <is>
          <t>Connolly</t>
        </is>
      </c>
      <c r="W702" t="inlineStr">
        <is>
          <t>Green</t>
        </is>
      </c>
      <c r="AA702" t="n">
        <v>2</v>
      </c>
      <c r="AB702" t="inlineStr">
        <is>
          <t>W</t>
        </is>
      </c>
      <c r="AC702" t="inlineStr">
        <is>
          <t>7&amp;6</t>
        </is>
      </c>
      <c r="AD702" t="inlineStr">
        <is>
          <t>Zimmer</t>
        </is>
      </c>
      <c r="AE702">
        <f>$V702&amp;$Y702</f>
        <v/>
      </c>
      <c r="AF702" t="n">
        <v>2</v>
      </c>
      <c r="AG702" t="n">
        <v>1</v>
      </c>
      <c r="AH702" t="n">
        <v>0</v>
      </c>
      <c r="AI702" t="n">
        <v>0</v>
      </c>
      <c r="AJ702" t="n">
        <v>1</v>
      </c>
      <c r="AK702" t="inlineStr">
        <is>
          <t>Zimmer</t>
        </is>
      </c>
      <c r="AL702" t="n">
        <v>0.5</v>
      </c>
    </row>
    <row r="703" ht="15" customHeight="1" s="2">
      <c r="B703" t="n">
        <v>27</v>
      </c>
      <c r="C703" t="n">
        <v>3</v>
      </c>
      <c r="D703" t="n">
        <v>10</v>
      </c>
      <c r="E703" t="inlineStr">
        <is>
          <t>FBC10-S-Delneky-Hilts</t>
        </is>
      </c>
      <c r="F703" t="inlineStr">
        <is>
          <t>Saturday</t>
        </is>
      </c>
      <c r="G703" s="27" t="n">
        <v>45143</v>
      </c>
      <c r="H703" t="inlineStr">
        <is>
          <t>AM</t>
        </is>
      </c>
      <c r="I703" t="inlineStr">
        <is>
          <t>Dublin, IE</t>
        </is>
      </c>
      <c r="J703" t="inlineStr">
        <is>
          <t>Europe</t>
        </is>
      </c>
      <c r="K703" t="n">
        <v>18</v>
      </c>
      <c r="L703" t="inlineStr">
        <is>
          <t>Full</t>
        </is>
      </c>
      <c r="M703" t="inlineStr">
        <is>
          <t>European Club</t>
        </is>
      </c>
      <c r="N703" t="inlineStr">
        <is>
          <t>Yellow</t>
        </is>
      </c>
      <c r="O703" t="n">
        <v>70.2</v>
      </c>
      <c r="P703" t="n">
        <v>130</v>
      </c>
      <c r="Q703" t="n">
        <v>5675</v>
      </c>
      <c r="R703" t="inlineStr">
        <is>
          <t>Match Play</t>
        </is>
      </c>
      <c r="S703" t="inlineStr">
        <is>
          <t>Singles</t>
        </is>
      </c>
      <c r="T703" t="inlineStr">
        <is>
          <t>over 6'</t>
        </is>
      </c>
      <c r="U703" t="inlineStr">
        <is>
          <t>Cole</t>
        </is>
      </c>
      <c r="V703" t="inlineStr">
        <is>
          <t>Hilts</t>
        </is>
      </c>
      <c r="W703" t="inlineStr">
        <is>
          <t>Green</t>
        </is>
      </c>
      <c r="AA703" t="n">
        <v>2</v>
      </c>
      <c r="AB703" t="inlineStr">
        <is>
          <t>L</t>
        </is>
      </c>
      <c r="AC703" t="inlineStr">
        <is>
          <t>8&amp;7</t>
        </is>
      </c>
      <c r="AD703" t="inlineStr">
        <is>
          <t>Delneky</t>
        </is>
      </c>
      <c r="AE703">
        <f>$V703&amp;$Y703</f>
        <v/>
      </c>
      <c r="AF703" t="n">
        <v>0</v>
      </c>
      <c r="AG703" t="n">
        <v>0</v>
      </c>
      <c r="AH703" t="n">
        <v>1</v>
      </c>
      <c r="AI703" t="n">
        <v>0</v>
      </c>
      <c r="AJ703" t="n">
        <v>0</v>
      </c>
      <c r="AK703" t="inlineStr">
        <is>
          <t>Delneky</t>
        </is>
      </c>
      <c r="AL703" t="n">
        <v>0.6590909090909089</v>
      </c>
    </row>
    <row r="704" ht="15" customHeight="1" s="2">
      <c r="B704" t="n">
        <v>27</v>
      </c>
      <c r="C704" t="n">
        <v>4</v>
      </c>
      <c r="D704" t="n">
        <v>10</v>
      </c>
      <c r="E704" t="inlineStr">
        <is>
          <t>FBC10-S-Fogan-R. Connolly</t>
        </is>
      </c>
      <c r="F704" t="inlineStr">
        <is>
          <t>Saturday</t>
        </is>
      </c>
      <c r="G704" s="27" t="n">
        <v>45143</v>
      </c>
      <c r="H704" t="inlineStr">
        <is>
          <t>AM</t>
        </is>
      </c>
      <c r="I704" t="inlineStr">
        <is>
          <t>Dublin, IE</t>
        </is>
      </c>
      <c r="J704" t="inlineStr">
        <is>
          <t>Europe</t>
        </is>
      </c>
      <c r="K704" t="n">
        <v>18</v>
      </c>
      <c r="L704" t="inlineStr">
        <is>
          <t>Full</t>
        </is>
      </c>
      <c r="M704" t="inlineStr">
        <is>
          <t>European Club</t>
        </is>
      </c>
      <c r="N704" t="inlineStr">
        <is>
          <t>Yellow</t>
        </is>
      </c>
      <c r="O704" t="n">
        <v>70.2</v>
      </c>
      <c r="P704" t="n">
        <v>130</v>
      </c>
      <c r="Q704" t="n">
        <v>5675</v>
      </c>
      <c r="R704" t="inlineStr">
        <is>
          <t>Match Play</t>
        </is>
      </c>
      <c r="S704" t="inlineStr">
        <is>
          <t>Singles</t>
        </is>
      </c>
      <c r="T704" t="inlineStr">
        <is>
          <t>over 6'</t>
        </is>
      </c>
      <c r="U704" t="inlineStr">
        <is>
          <t>Cole</t>
        </is>
      </c>
      <c r="V704" t="inlineStr">
        <is>
          <t>R. Connolly</t>
        </is>
      </c>
      <c r="W704" t="inlineStr">
        <is>
          <t>Green</t>
        </is>
      </c>
      <c r="AA704" t="n">
        <v>2</v>
      </c>
      <c r="AB704" t="inlineStr">
        <is>
          <t>W</t>
        </is>
      </c>
      <c r="AC704" t="inlineStr">
        <is>
          <t>4&amp;3</t>
        </is>
      </c>
      <c r="AD704" t="inlineStr">
        <is>
          <t>Fogan</t>
        </is>
      </c>
      <c r="AE704">
        <f>$V704&amp;$Y704</f>
        <v/>
      </c>
      <c r="AF704" t="n">
        <v>2</v>
      </c>
      <c r="AG704" t="n">
        <v>1</v>
      </c>
      <c r="AH704" t="n">
        <v>0</v>
      </c>
      <c r="AI704" t="n">
        <v>0</v>
      </c>
      <c r="AJ704" t="n">
        <v>1</v>
      </c>
      <c r="AK704" t="inlineStr">
        <is>
          <t>Fogan</t>
        </is>
      </c>
      <c r="AL704" t="n">
        <v>0.372881355932203</v>
      </c>
    </row>
    <row r="705" ht="15" customHeight="1" s="2">
      <c r="B705" t="n">
        <v>28</v>
      </c>
      <c r="C705" t="n">
        <v>5</v>
      </c>
      <c r="D705" t="n">
        <v>10</v>
      </c>
      <c r="E705" t="inlineStr">
        <is>
          <t>FBC10-S-Flanders-Gray</t>
        </is>
      </c>
      <c r="F705" t="inlineStr">
        <is>
          <t>Saturday</t>
        </is>
      </c>
      <c r="G705" s="27" t="n">
        <v>45143</v>
      </c>
      <c r="H705" t="inlineStr">
        <is>
          <t>AM</t>
        </is>
      </c>
      <c r="I705" t="inlineStr">
        <is>
          <t>Dublin, IE</t>
        </is>
      </c>
      <c r="J705" t="inlineStr">
        <is>
          <t>Europe</t>
        </is>
      </c>
      <c r="K705" t="n">
        <v>18</v>
      </c>
      <c r="L705" t="inlineStr">
        <is>
          <t>Full</t>
        </is>
      </c>
      <c r="M705" t="inlineStr">
        <is>
          <t>European Club</t>
        </is>
      </c>
      <c r="N705" t="inlineStr">
        <is>
          <t>Yellow</t>
        </is>
      </c>
      <c r="O705" t="n">
        <v>70.2</v>
      </c>
      <c r="P705" t="n">
        <v>130</v>
      </c>
      <c r="Q705" t="n">
        <v>5675</v>
      </c>
      <c r="R705" t="inlineStr">
        <is>
          <t>Match Play</t>
        </is>
      </c>
      <c r="S705" t="inlineStr">
        <is>
          <t>Singles</t>
        </is>
      </c>
      <c r="T705" t="inlineStr">
        <is>
          <t>over 6'</t>
        </is>
      </c>
      <c r="U705" t="inlineStr">
        <is>
          <t>Cole</t>
        </is>
      </c>
      <c r="V705" t="inlineStr">
        <is>
          <t>Flanders</t>
        </is>
      </c>
      <c r="W705" t="inlineStr">
        <is>
          <t>Green</t>
        </is>
      </c>
      <c r="AA705" t="n">
        <v>2</v>
      </c>
      <c r="AB705" t="inlineStr">
        <is>
          <t>L</t>
        </is>
      </c>
      <c r="AC705" t="inlineStr">
        <is>
          <t>3&amp;1</t>
        </is>
      </c>
      <c r="AD705" t="inlineStr">
        <is>
          <t>Gray</t>
        </is>
      </c>
      <c r="AE705">
        <f>$V705&amp;$Y705</f>
        <v/>
      </c>
      <c r="AF705" t="n">
        <v>0</v>
      </c>
      <c r="AG705" t="n">
        <v>0</v>
      </c>
      <c r="AH705" t="n">
        <v>1</v>
      </c>
      <c r="AI705" t="n">
        <v>0</v>
      </c>
      <c r="AJ705" t="n">
        <v>0</v>
      </c>
      <c r="AK705" t="inlineStr">
        <is>
          <t>Gray</t>
        </is>
      </c>
      <c r="AL705" t="n">
        <v>0.654761904761905</v>
      </c>
    </row>
    <row r="706" ht="15" customHeight="1" s="2">
      <c r="B706" t="n">
        <v>28</v>
      </c>
      <c r="C706" t="n">
        <v>6</v>
      </c>
      <c r="D706" t="n">
        <v>10</v>
      </c>
      <c r="E706" t="inlineStr">
        <is>
          <t>FBC10-S-McInerney-Perkins</t>
        </is>
      </c>
      <c r="F706" t="inlineStr">
        <is>
          <t>Saturday</t>
        </is>
      </c>
      <c r="G706" s="27" t="n">
        <v>45143</v>
      </c>
      <c r="H706" t="inlineStr">
        <is>
          <t>AM</t>
        </is>
      </c>
      <c r="I706" t="inlineStr">
        <is>
          <t>Dublin, IE</t>
        </is>
      </c>
      <c r="J706" t="inlineStr">
        <is>
          <t>Europe</t>
        </is>
      </c>
      <c r="K706" t="n">
        <v>18</v>
      </c>
      <c r="L706" t="inlineStr">
        <is>
          <t>Full</t>
        </is>
      </c>
      <c r="M706" t="inlineStr">
        <is>
          <t>European Club</t>
        </is>
      </c>
      <c r="N706" t="inlineStr">
        <is>
          <t>Yellow</t>
        </is>
      </c>
      <c r="O706" t="n">
        <v>70.2</v>
      </c>
      <c r="P706" t="n">
        <v>130</v>
      </c>
      <c r="Q706" t="n">
        <v>5675</v>
      </c>
      <c r="R706" t="inlineStr">
        <is>
          <t>Match Play</t>
        </is>
      </c>
      <c r="S706" t="inlineStr">
        <is>
          <t>Singles</t>
        </is>
      </c>
      <c r="T706" t="inlineStr">
        <is>
          <t>over 6'</t>
        </is>
      </c>
      <c r="U706" t="inlineStr">
        <is>
          <t>Cole</t>
        </is>
      </c>
      <c r="V706" t="inlineStr">
        <is>
          <t>Perkins</t>
        </is>
      </c>
      <c r="W706" t="inlineStr">
        <is>
          <t>Green</t>
        </is>
      </c>
      <c r="AA706" t="n">
        <v>2</v>
      </c>
      <c r="AB706" t="inlineStr">
        <is>
          <t>L</t>
        </is>
      </c>
      <c r="AC706" t="inlineStr">
        <is>
          <t>4&amp;3</t>
        </is>
      </c>
      <c r="AD706" t="inlineStr">
        <is>
          <t>McInerney</t>
        </is>
      </c>
      <c r="AE706">
        <f>$V706&amp;$Y706</f>
        <v/>
      </c>
      <c r="AF706" t="n">
        <v>0</v>
      </c>
      <c r="AG706" t="n">
        <v>0</v>
      </c>
      <c r="AH706" t="n">
        <v>1</v>
      </c>
      <c r="AI706" t="n">
        <v>0</v>
      </c>
      <c r="AJ706" t="n">
        <v>0</v>
      </c>
      <c r="AK706" t="inlineStr">
        <is>
          <t>McInerney</t>
        </is>
      </c>
      <c r="AL706" t="n">
        <v>0.5</v>
      </c>
    </row>
    <row r="707" ht="15" customHeight="1" s="2">
      <c r="B707" t="n">
        <v>29</v>
      </c>
      <c r="C707" t="n">
        <v>7</v>
      </c>
      <c r="D707" t="n">
        <v>10</v>
      </c>
      <c r="E707" t="inlineStr">
        <is>
          <t>FBC10-S-Cole-Connors</t>
        </is>
      </c>
      <c r="F707" t="inlineStr">
        <is>
          <t>Saturday</t>
        </is>
      </c>
      <c r="G707" s="27" t="n">
        <v>45143</v>
      </c>
      <c r="H707" t="inlineStr">
        <is>
          <t>AM</t>
        </is>
      </c>
      <c r="I707" t="inlineStr">
        <is>
          <t>Dublin, IE</t>
        </is>
      </c>
      <c r="J707" t="inlineStr">
        <is>
          <t>Europe</t>
        </is>
      </c>
      <c r="K707" t="n">
        <v>18</v>
      </c>
      <c r="L707" t="inlineStr">
        <is>
          <t>Full</t>
        </is>
      </c>
      <c r="M707" t="inlineStr">
        <is>
          <t>European Club</t>
        </is>
      </c>
      <c r="N707" t="inlineStr">
        <is>
          <t>Yellow</t>
        </is>
      </c>
      <c r="O707" t="n">
        <v>70.2</v>
      </c>
      <c r="P707" t="n">
        <v>130</v>
      </c>
      <c r="Q707" t="n">
        <v>5675</v>
      </c>
      <c r="R707" t="inlineStr">
        <is>
          <t>Match Play</t>
        </is>
      </c>
      <c r="S707" t="inlineStr">
        <is>
          <t>Singles</t>
        </is>
      </c>
      <c r="T707" t="inlineStr">
        <is>
          <t>over 6'</t>
        </is>
      </c>
      <c r="U707" t="inlineStr">
        <is>
          <t>Cole</t>
        </is>
      </c>
      <c r="V707" t="inlineStr">
        <is>
          <t>Cole</t>
        </is>
      </c>
      <c r="W707" t="inlineStr">
        <is>
          <t>Green</t>
        </is>
      </c>
      <c r="AA707" t="n">
        <v>2</v>
      </c>
      <c r="AB707" t="inlineStr">
        <is>
          <t>W</t>
        </is>
      </c>
      <c r="AC707" t="inlineStr">
        <is>
          <t>3&amp;2</t>
        </is>
      </c>
      <c r="AD707" t="inlineStr">
        <is>
          <t>Connors</t>
        </is>
      </c>
      <c r="AE707">
        <f>$V707&amp;$Y707</f>
        <v/>
      </c>
      <c r="AF707" t="n">
        <v>2</v>
      </c>
      <c r="AG707" t="n">
        <v>1</v>
      </c>
      <c r="AH707" t="n">
        <v>0</v>
      </c>
      <c r="AI707" t="n">
        <v>0</v>
      </c>
      <c r="AJ707" t="n">
        <v>1</v>
      </c>
      <c r="AK707" t="inlineStr">
        <is>
          <t>Connors</t>
        </is>
      </c>
      <c r="AL707" t="n">
        <v>0.347457627118644</v>
      </c>
    </row>
    <row r="708" ht="15" customHeight="1" s="2">
      <c r="B708" t="n">
        <v>29</v>
      </c>
      <c r="C708" t="n">
        <v>8</v>
      </c>
      <c r="D708" t="n">
        <v>10</v>
      </c>
      <c r="E708" t="inlineStr">
        <is>
          <t>FBC10-S-Lynch-Welker</t>
        </is>
      </c>
      <c r="F708" t="inlineStr">
        <is>
          <t>Saturday</t>
        </is>
      </c>
      <c r="G708" s="27" t="n">
        <v>45143</v>
      </c>
      <c r="H708" t="inlineStr">
        <is>
          <t>AM</t>
        </is>
      </c>
      <c r="I708" t="inlineStr">
        <is>
          <t>Dublin, IE</t>
        </is>
      </c>
      <c r="J708" t="inlineStr">
        <is>
          <t>Europe</t>
        </is>
      </c>
      <c r="K708" t="n">
        <v>18</v>
      </c>
      <c r="L708" t="inlineStr">
        <is>
          <t>Full</t>
        </is>
      </c>
      <c r="M708" t="inlineStr">
        <is>
          <t>European Club</t>
        </is>
      </c>
      <c r="N708" t="inlineStr">
        <is>
          <t>Yellow</t>
        </is>
      </c>
      <c r="O708" t="n">
        <v>70.2</v>
      </c>
      <c r="P708" t="n">
        <v>130</v>
      </c>
      <c r="Q708" t="n">
        <v>5675</v>
      </c>
      <c r="R708" t="inlineStr">
        <is>
          <t>Match Play</t>
        </is>
      </c>
      <c r="S708" t="inlineStr">
        <is>
          <t>Singles</t>
        </is>
      </c>
      <c r="T708" t="inlineStr">
        <is>
          <t>over 6'</t>
        </is>
      </c>
      <c r="U708" t="inlineStr">
        <is>
          <t>Cole</t>
        </is>
      </c>
      <c r="V708" t="inlineStr">
        <is>
          <t>Lynch</t>
        </is>
      </c>
      <c r="W708" t="inlineStr">
        <is>
          <t>Green</t>
        </is>
      </c>
      <c r="AA708" t="n">
        <v>2</v>
      </c>
      <c r="AB708" t="inlineStr">
        <is>
          <t>L</t>
        </is>
      </c>
      <c r="AC708" t="inlineStr">
        <is>
          <t>3&amp;2</t>
        </is>
      </c>
      <c r="AD708" t="inlineStr">
        <is>
          <t>Welker</t>
        </is>
      </c>
      <c r="AE708">
        <f>$V708&amp;$Y708</f>
        <v/>
      </c>
      <c r="AF708" t="n">
        <v>0</v>
      </c>
      <c r="AG708" t="n">
        <v>0</v>
      </c>
      <c r="AH708" t="n">
        <v>1</v>
      </c>
      <c r="AI708" t="n">
        <v>0</v>
      </c>
      <c r="AJ708" t="n">
        <v>0</v>
      </c>
      <c r="AK708" t="inlineStr">
        <is>
          <t>Welker</t>
        </is>
      </c>
      <c r="AL708" t="n">
        <v>0.510416666666667</v>
      </c>
    </row>
    <row r="709" ht="15" customHeight="1" s="2">
      <c r="B709" t="n">
        <v>30</v>
      </c>
      <c r="C709" t="n">
        <v>9</v>
      </c>
      <c r="D709" t="n">
        <v>10</v>
      </c>
      <c r="E709" t="inlineStr">
        <is>
          <t>FBC10-S-Ferrin-Mangold</t>
        </is>
      </c>
      <c r="F709" t="inlineStr">
        <is>
          <t>Saturday</t>
        </is>
      </c>
      <c r="G709" s="27" t="n">
        <v>45143</v>
      </c>
      <c r="H709" t="inlineStr">
        <is>
          <t>AM</t>
        </is>
      </c>
      <c r="I709" t="inlineStr">
        <is>
          <t>Dublin, IE</t>
        </is>
      </c>
      <c r="J709" t="inlineStr">
        <is>
          <t>Europe</t>
        </is>
      </c>
      <c r="K709" t="n">
        <v>18</v>
      </c>
      <c r="L709" t="inlineStr">
        <is>
          <t>Full</t>
        </is>
      </c>
      <c r="M709" t="inlineStr">
        <is>
          <t>European Club</t>
        </is>
      </c>
      <c r="N709" t="inlineStr">
        <is>
          <t>Yellow</t>
        </is>
      </c>
      <c r="O709" t="n">
        <v>70.2</v>
      </c>
      <c r="P709" t="n">
        <v>130</v>
      </c>
      <c r="Q709" t="n">
        <v>5675</v>
      </c>
      <c r="R709" t="inlineStr">
        <is>
          <t>Match Play</t>
        </is>
      </c>
      <c r="S709" t="inlineStr">
        <is>
          <t>Singles</t>
        </is>
      </c>
      <c r="T709" t="inlineStr">
        <is>
          <t>over 6'</t>
        </is>
      </c>
      <c r="U709" t="inlineStr">
        <is>
          <t>Cole</t>
        </is>
      </c>
      <c r="V709" t="inlineStr">
        <is>
          <t>Ferrin</t>
        </is>
      </c>
      <c r="W709" t="inlineStr">
        <is>
          <t>Green</t>
        </is>
      </c>
      <c r="AA709" t="n">
        <v>2</v>
      </c>
      <c r="AB709" t="inlineStr">
        <is>
          <t>T</t>
        </is>
      </c>
      <c r="AC709" t="inlineStr">
        <is>
          <t>Halved</t>
        </is>
      </c>
      <c r="AD709" t="inlineStr">
        <is>
          <t>Mangold</t>
        </is>
      </c>
      <c r="AE709">
        <f>$V709&amp;$Y709</f>
        <v/>
      </c>
      <c r="AF709" t="n">
        <v>1</v>
      </c>
      <c r="AG709" t="n">
        <v>0</v>
      </c>
      <c r="AH709" t="n">
        <v>0</v>
      </c>
      <c r="AI709" t="n">
        <v>1</v>
      </c>
      <c r="AJ709" t="n">
        <v>0.5</v>
      </c>
      <c r="AK709" t="inlineStr">
        <is>
          <t>Mangold</t>
        </is>
      </c>
      <c r="AL709" t="n">
        <v>0.383928571428572</v>
      </c>
    </row>
    <row r="710" ht="15" customHeight="1" s="2">
      <c r="B710" t="n">
        <v>30</v>
      </c>
      <c r="C710" t="n">
        <v>10</v>
      </c>
      <c r="D710" t="n">
        <v>10</v>
      </c>
      <c r="E710" t="inlineStr">
        <is>
          <t>FBC10-S-Forster-Grise</t>
        </is>
      </c>
      <c r="F710" t="inlineStr">
        <is>
          <t>Saturday</t>
        </is>
      </c>
      <c r="G710" s="27" t="n">
        <v>45143</v>
      </c>
      <c r="H710" t="inlineStr">
        <is>
          <t>AM</t>
        </is>
      </c>
      <c r="I710" t="inlineStr">
        <is>
          <t>Dublin, IE</t>
        </is>
      </c>
      <c r="J710" t="inlineStr">
        <is>
          <t>Europe</t>
        </is>
      </c>
      <c r="K710" t="n">
        <v>18</v>
      </c>
      <c r="L710" t="inlineStr">
        <is>
          <t>Full</t>
        </is>
      </c>
      <c r="M710" t="inlineStr">
        <is>
          <t>European Club</t>
        </is>
      </c>
      <c r="N710" t="inlineStr">
        <is>
          <t>Yellow</t>
        </is>
      </c>
      <c r="O710" t="n">
        <v>70.2</v>
      </c>
      <c r="P710" t="n">
        <v>130</v>
      </c>
      <c r="Q710" t="n">
        <v>5675</v>
      </c>
      <c r="R710" t="inlineStr">
        <is>
          <t>Match Play</t>
        </is>
      </c>
      <c r="S710" t="inlineStr">
        <is>
          <t>Singles</t>
        </is>
      </c>
      <c r="T710" t="inlineStr">
        <is>
          <t>over 6'</t>
        </is>
      </c>
      <c r="U710" t="inlineStr">
        <is>
          <t>Cole</t>
        </is>
      </c>
      <c r="V710" t="inlineStr">
        <is>
          <t>Grise</t>
        </is>
      </c>
      <c r="W710" t="inlineStr">
        <is>
          <t>Green</t>
        </is>
      </c>
      <c r="AA710" t="n">
        <v>2</v>
      </c>
      <c r="AB710" t="inlineStr">
        <is>
          <t>W</t>
        </is>
      </c>
      <c r="AC710" t="inlineStr">
        <is>
          <t>4&amp;3</t>
        </is>
      </c>
      <c r="AD710" t="inlineStr">
        <is>
          <t>Forster</t>
        </is>
      </c>
      <c r="AE710">
        <f>$V710&amp;$Y710</f>
        <v/>
      </c>
      <c r="AF710" t="n">
        <v>2</v>
      </c>
      <c r="AG710" t="n">
        <v>1</v>
      </c>
      <c r="AH710" t="n">
        <v>0</v>
      </c>
      <c r="AI710" t="n">
        <v>0</v>
      </c>
      <c r="AJ710" t="n">
        <v>1</v>
      </c>
      <c r="AK710" t="inlineStr">
        <is>
          <t>Forster</t>
        </is>
      </c>
      <c r="AL710" t="n">
        <v>0.596491228070175</v>
      </c>
    </row>
    <row r="711" ht="15" customHeight="1" s="2">
      <c r="B711" t="n">
        <v>1</v>
      </c>
      <c r="C711" t="n">
        <v>1</v>
      </c>
      <c r="D711" t="n">
        <v>11</v>
      </c>
      <c r="E711" t="inlineStr">
        <is>
          <t>FBC11-D1</t>
        </is>
      </c>
      <c r="F711" t="inlineStr">
        <is>
          <t>Friday</t>
        </is>
      </c>
      <c r="G711" s="27" t="n">
        <v>45583</v>
      </c>
      <c r="H711" t="inlineStr">
        <is>
          <t>AM</t>
        </is>
      </c>
      <c r="I711" t="inlineStr">
        <is>
          <t>Pinehurst, NC</t>
        </is>
      </c>
      <c r="J711" t="inlineStr">
        <is>
          <t>South</t>
        </is>
      </c>
      <c r="K711" t="n">
        <v>9</v>
      </c>
      <c r="L711" t="inlineStr">
        <is>
          <t>Front</t>
        </is>
      </c>
      <c r="M711" t="inlineStr">
        <is>
          <t>Pinehurst No. 2</t>
        </is>
      </c>
      <c r="N711" t="inlineStr">
        <is>
          <t>White</t>
        </is>
      </c>
      <c r="P711" t="n">
        <v>139</v>
      </c>
      <c r="Q711" t="n">
        <v>6307</v>
      </c>
      <c r="R711" t="inlineStr">
        <is>
          <t>Best Ball</t>
        </is>
      </c>
      <c r="S711" t="inlineStr">
        <is>
          <t>Doubles</t>
        </is>
      </c>
      <c r="U711" t="inlineStr">
        <is>
          <t>Connors</t>
        </is>
      </c>
      <c r="V711" t="inlineStr">
        <is>
          <t>Flanders</t>
        </is>
      </c>
      <c r="W711" t="inlineStr">
        <is>
          <t>Blue</t>
        </is>
      </c>
      <c r="Y711" t="inlineStr">
        <is>
          <t>Grise</t>
        </is>
      </c>
      <c r="AA711" t="n">
        <v>1</v>
      </c>
      <c r="AB711" t="inlineStr">
        <is>
          <t>L</t>
        </is>
      </c>
      <c r="AC711" t="inlineStr">
        <is>
          <t>1Dn</t>
        </is>
      </c>
      <c r="AE711">
        <f>$V711&amp;$Y711</f>
        <v/>
      </c>
      <c r="AF711" t="n">
        <v>0</v>
      </c>
      <c r="AG711" t="n">
        <v>0</v>
      </c>
      <c r="AH711" t="n">
        <v>1</v>
      </c>
      <c r="AI711" t="n">
        <v>0</v>
      </c>
      <c r="AJ711" t="n">
        <v>0</v>
      </c>
      <c r="AK711" t="inlineStr">
        <is>
          <t>Fogan</t>
        </is>
      </c>
      <c r="AL711" t="n">
        <v>0.372881355932203</v>
      </c>
      <c r="AM711" t="inlineStr">
        <is>
          <t>Poirier</t>
        </is>
      </c>
      <c r="AN711" t="n">
        <v>0.486111111111111</v>
      </c>
    </row>
    <row r="712" ht="15" customHeight="1" s="2">
      <c r="B712" t="n">
        <v>1</v>
      </c>
      <c r="C712" t="n">
        <v>1</v>
      </c>
      <c r="D712" t="n">
        <v>11</v>
      </c>
      <c r="E712" t="inlineStr">
        <is>
          <t>FBC11-D1</t>
        </is>
      </c>
      <c r="F712" t="inlineStr">
        <is>
          <t>Friday</t>
        </is>
      </c>
      <c r="G712" s="27" t="n">
        <v>45583</v>
      </c>
      <c r="H712" t="inlineStr">
        <is>
          <t>AM</t>
        </is>
      </c>
      <c r="I712" t="inlineStr">
        <is>
          <t>Pinehurst, NC</t>
        </is>
      </c>
      <c r="J712" t="inlineStr">
        <is>
          <t>South</t>
        </is>
      </c>
      <c r="K712" t="n">
        <v>9</v>
      </c>
      <c r="L712" t="inlineStr">
        <is>
          <t>Front</t>
        </is>
      </c>
      <c r="M712" t="inlineStr">
        <is>
          <t>Pinehurst No. 2</t>
        </is>
      </c>
      <c r="N712" t="inlineStr">
        <is>
          <t>White</t>
        </is>
      </c>
      <c r="P712" t="n">
        <v>139</v>
      </c>
      <c r="Q712" t="n">
        <v>6307</v>
      </c>
      <c r="R712" t="inlineStr">
        <is>
          <t>Best Ball</t>
        </is>
      </c>
      <c r="S712" t="inlineStr">
        <is>
          <t>Doubles</t>
        </is>
      </c>
      <c r="U712" t="inlineStr">
        <is>
          <t>Delneky</t>
        </is>
      </c>
      <c r="V712" t="inlineStr">
        <is>
          <t>Fogan</t>
        </is>
      </c>
      <c r="W712" t="inlineStr">
        <is>
          <t>Blue</t>
        </is>
      </c>
      <c r="Y712" t="inlineStr">
        <is>
          <t>Poirier</t>
        </is>
      </c>
      <c r="AA712" t="n">
        <v>1</v>
      </c>
      <c r="AB712" t="inlineStr">
        <is>
          <t>W</t>
        </is>
      </c>
      <c r="AC712" t="inlineStr">
        <is>
          <t>1up</t>
        </is>
      </c>
      <c r="AE712">
        <f>$V712&amp;$Y712</f>
        <v/>
      </c>
      <c r="AF712" t="n">
        <v>1</v>
      </c>
      <c r="AG712" t="n">
        <v>1</v>
      </c>
      <c r="AH712" t="n">
        <v>0</v>
      </c>
      <c r="AI712" t="n">
        <v>0</v>
      </c>
      <c r="AJ712" t="n">
        <v>1</v>
      </c>
      <c r="AK712" t="inlineStr">
        <is>
          <t>Flanders</t>
        </is>
      </c>
      <c r="AL712" t="n">
        <v>0.4296875</v>
      </c>
      <c r="AM712" t="inlineStr">
        <is>
          <t>Grise</t>
        </is>
      </c>
      <c r="AN712" t="n">
        <v>0.527777777777778</v>
      </c>
    </row>
    <row r="713" ht="15" customHeight="1" s="2">
      <c r="B713" t="n">
        <v>2</v>
      </c>
      <c r="C713" t="n">
        <v>2</v>
      </c>
      <c r="D713" t="n">
        <v>11</v>
      </c>
      <c r="E713" t="inlineStr">
        <is>
          <t>FBC11-D2</t>
        </is>
      </c>
      <c r="F713" t="inlineStr">
        <is>
          <t>Friday</t>
        </is>
      </c>
      <c r="G713" s="27" t="n">
        <v>45583</v>
      </c>
      <c r="H713" t="inlineStr">
        <is>
          <t>AM</t>
        </is>
      </c>
      <c r="I713" t="inlineStr">
        <is>
          <t>Pinehurst, NC</t>
        </is>
      </c>
      <c r="J713" t="inlineStr">
        <is>
          <t>South</t>
        </is>
      </c>
      <c r="K713" t="n">
        <v>9</v>
      </c>
      <c r="L713" t="inlineStr">
        <is>
          <t>Front</t>
        </is>
      </c>
      <c r="M713" t="inlineStr">
        <is>
          <t>Pinehurst No. 2</t>
        </is>
      </c>
      <c r="N713" t="inlineStr">
        <is>
          <t>White</t>
        </is>
      </c>
      <c r="P713" t="n">
        <v>139</v>
      </c>
      <c r="Q713" t="n">
        <v>6307</v>
      </c>
      <c r="R713" t="inlineStr">
        <is>
          <t>Best Ball</t>
        </is>
      </c>
      <c r="S713" t="inlineStr">
        <is>
          <t>Doubles</t>
        </is>
      </c>
      <c r="U713" t="inlineStr">
        <is>
          <t>Delneky</t>
        </is>
      </c>
      <c r="V713" t="inlineStr">
        <is>
          <t>Gray</t>
        </is>
      </c>
      <c r="W713" t="inlineStr">
        <is>
          <t>Blue</t>
        </is>
      </c>
      <c r="Y713" t="inlineStr">
        <is>
          <t>Norat</t>
        </is>
      </c>
      <c r="AA713" t="n">
        <v>1</v>
      </c>
      <c r="AB713" t="inlineStr">
        <is>
          <t>W</t>
        </is>
      </c>
      <c r="AC713" t="inlineStr">
        <is>
          <t>2&amp;1</t>
        </is>
      </c>
      <c r="AE713">
        <f>$V713&amp;$Y713</f>
        <v/>
      </c>
      <c r="AF713" t="n">
        <v>1</v>
      </c>
      <c r="AG713" t="n">
        <v>1</v>
      </c>
      <c r="AH713" t="n">
        <v>0</v>
      </c>
      <c r="AI713" t="n">
        <v>0</v>
      </c>
      <c r="AJ713" t="n">
        <v>1</v>
      </c>
      <c r="AK713" t="inlineStr">
        <is>
          <t>Cole</t>
        </is>
      </c>
      <c r="AL713" t="n">
        <v>0.440677966101695</v>
      </c>
      <c r="AM713" t="inlineStr">
        <is>
          <t>Lynch</t>
        </is>
      </c>
      <c r="AN713" t="n">
        <v>0.5546875</v>
      </c>
    </row>
    <row r="714" ht="15" customHeight="1" s="2">
      <c r="B714" t="n">
        <v>2</v>
      </c>
      <c r="C714" t="n">
        <v>2</v>
      </c>
      <c r="D714" t="n">
        <v>11</v>
      </c>
      <c r="E714" t="inlineStr">
        <is>
          <t>FBC11-D2</t>
        </is>
      </c>
      <c r="F714" t="inlineStr">
        <is>
          <t>Friday</t>
        </is>
      </c>
      <c r="G714" s="27" t="n">
        <v>45583</v>
      </c>
      <c r="H714" t="inlineStr">
        <is>
          <t>AM</t>
        </is>
      </c>
      <c r="I714" t="inlineStr">
        <is>
          <t>Pinehurst, NC</t>
        </is>
      </c>
      <c r="J714" t="inlineStr">
        <is>
          <t>South</t>
        </is>
      </c>
      <c r="K714" t="n">
        <v>9</v>
      </c>
      <c r="L714" t="inlineStr">
        <is>
          <t>Front</t>
        </is>
      </c>
      <c r="M714" t="inlineStr">
        <is>
          <t>Pinehurst No. 2</t>
        </is>
      </c>
      <c r="N714" t="inlineStr">
        <is>
          <t>White</t>
        </is>
      </c>
      <c r="P714" t="n">
        <v>139</v>
      </c>
      <c r="Q714" t="n">
        <v>6307</v>
      </c>
      <c r="R714" t="inlineStr">
        <is>
          <t>Best Ball</t>
        </is>
      </c>
      <c r="S714" t="inlineStr">
        <is>
          <t>Doubles</t>
        </is>
      </c>
      <c r="U714" t="inlineStr">
        <is>
          <t>Connors</t>
        </is>
      </c>
      <c r="V714" t="inlineStr">
        <is>
          <t>Cole</t>
        </is>
      </c>
      <c r="W714" t="inlineStr">
        <is>
          <t>Blue</t>
        </is>
      </c>
      <c r="Y714" t="inlineStr">
        <is>
          <t>Lynch</t>
        </is>
      </c>
      <c r="AA714" t="n">
        <v>1</v>
      </c>
      <c r="AB714" t="inlineStr">
        <is>
          <t>L</t>
        </is>
      </c>
      <c r="AC714" t="inlineStr">
        <is>
          <t>2&amp;1</t>
        </is>
      </c>
      <c r="AE714">
        <f>$V714&amp;$Y714</f>
        <v/>
      </c>
      <c r="AF714" t="n">
        <v>0</v>
      </c>
      <c r="AG714" t="n">
        <v>0</v>
      </c>
      <c r="AH714" t="n">
        <v>1</v>
      </c>
      <c r="AI714" t="n">
        <v>0</v>
      </c>
      <c r="AJ714" t="n">
        <v>0</v>
      </c>
      <c r="AK714" t="inlineStr">
        <is>
          <t>Gray</t>
        </is>
      </c>
      <c r="AL714" t="n">
        <v>0.654761904761905</v>
      </c>
      <c r="AM714" t="inlineStr">
        <is>
          <t>Norat</t>
        </is>
      </c>
      <c r="AN714" t="n">
        <v>0.527777777777778</v>
      </c>
    </row>
    <row r="715" ht="15" customHeight="1" s="2">
      <c r="B715" t="n">
        <v>3</v>
      </c>
      <c r="C715" t="n">
        <v>3</v>
      </c>
      <c r="D715" t="n">
        <v>11</v>
      </c>
      <c r="E715" t="inlineStr">
        <is>
          <t>FBC11-D3</t>
        </is>
      </c>
      <c r="F715" t="inlineStr">
        <is>
          <t>Friday</t>
        </is>
      </c>
      <c r="G715" s="27" t="n">
        <v>45583</v>
      </c>
      <c r="H715" t="inlineStr">
        <is>
          <t>AM</t>
        </is>
      </c>
      <c r="I715" t="inlineStr">
        <is>
          <t>Pinehurst, NC</t>
        </is>
      </c>
      <c r="J715" t="inlineStr">
        <is>
          <t>South</t>
        </is>
      </c>
      <c r="K715" t="n">
        <v>9</v>
      </c>
      <c r="L715" t="inlineStr">
        <is>
          <t>Front</t>
        </is>
      </c>
      <c r="M715" t="inlineStr">
        <is>
          <t>Pinehurst No. 2</t>
        </is>
      </c>
      <c r="N715" t="inlineStr">
        <is>
          <t>White</t>
        </is>
      </c>
      <c r="P715" t="n">
        <v>139</v>
      </c>
      <c r="Q715" t="n">
        <v>6307</v>
      </c>
      <c r="R715" t="inlineStr">
        <is>
          <t>Best Ball</t>
        </is>
      </c>
      <c r="S715" t="inlineStr">
        <is>
          <t>Doubles</t>
        </is>
      </c>
      <c r="U715" t="inlineStr">
        <is>
          <t>Connors</t>
        </is>
      </c>
      <c r="V715" t="inlineStr">
        <is>
          <t>Connors</t>
        </is>
      </c>
      <c r="W715" t="inlineStr">
        <is>
          <t>Blue</t>
        </is>
      </c>
      <c r="Y715" t="inlineStr">
        <is>
          <t>Jackson</t>
        </is>
      </c>
      <c r="AA715" t="n">
        <v>1</v>
      </c>
      <c r="AB715" t="inlineStr">
        <is>
          <t>W</t>
        </is>
      </c>
      <c r="AC715" t="inlineStr">
        <is>
          <t>2&amp;1</t>
        </is>
      </c>
      <c r="AE715">
        <f>$V715&amp;$Y715</f>
        <v/>
      </c>
      <c r="AF715" t="n">
        <v>1</v>
      </c>
      <c r="AG715" t="n">
        <v>1</v>
      </c>
      <c r="AH715" t="n">
        <v>0</v>
      </c>
      <c r="AI715" t="n">
        <v>0</v>
      </c>
      <c r="AJ715" t="n">
        <v>1</v>
      </c>
      <c r="AK715" t="inlineStr">
        <is>
          <t>Connolly</t>
        </is>
      </c>
      <c r="AL715" t="n">
        <v>0.59375</v>
      </c>
      <c r="AM715" t="inlineStr">
        <is>
          <t>Delneky</t>
        </is>
      </c>
      <c r="AN715" t="n">
        <v>0.6590909090909089</v>
      </c>
    </row>
    <row r="716" ht="15" customHeight="1" s="2">
      <c r="B716" t="n">
        <v>3</v>
      </c>
      <c r="C716" t="n">
        <v>3</v>
      </c>
      <c r="D716" t="n">
        <v>11</v>
      </c>
      <c r="E716" t="inlineStr">
        <is>
          <t>FBC11-D3</t>
        </is>
      </c>
      <c r="F716" t="inlineStr">
        <is>
          <t>Friday</t>
        </is>
      </c>
      <c r="G716" s="27" t="n">
        <v>45583</v>
      </c>
      <c r="H716" t="inlineStr">
        <is>
          <t>AM</t>
        </is>
      </c>
      <c r="I716" t="inlineStr">
        <is>
          <t>Pinehurst, NC</t>
        </is>
      </c>
      <c r="J716" t="inlineStr">
        <is>
          <t>South</t>
        </is>
      </c>
      <c r="K716" t="n">
        <v>9</v>
      </c>
      <c r="L716" t="inlineStr">
        <is>
          <t>Front</t>
        </is>
      </c>
      <c r="M716" t="inlineStr">
        <is>
          <t>Pinehurst No. 2</t>
        </is>
      </c>
      <c r="N716" t="inlineStr">
        <is>
          <t>White</t>
        </is>
      </c>
      <c r="P716" t="n">
        <v>139</v>
      </c>
      <c r="Q716" t="n">
        <v>6307</v>
      </c>
      <c r="R716" t="inlineStr">
        <is>
          <t>Best Ball</t>
        </is>
      </c>
      <c r="S716" t="inlineStr">
        <is>
          <t>Doubles</t>
        </is>
      </c>
      <c r="U716" t="inlineStr">
        <is>
          <t>Delneky</t>
        </is>
      </c>
      <c r="V716" t="inlineStr">
        <is>
          <t>Connolly</t>
        </is>
      </c>
      <c r="W716" t="inlineStr">
        <is>
          <t>Blue</t>
        </is>
      </c>
      <c r="Y716" t="inlineStr">
        <is>
          <t>Delneky</t>
        </is>
      </c>
      <c r="AA716" t="n">
        <v>1</v>
      </c>
      <c r="AB716" t="inlineStr">
        <is>
          <t>L</t>
        </is>
      </c>
      <c r="AC716" t="inlineStr">
        <is>
          <t>2&amp;1</t>
        </is>
      </c>
      <c r="AE716">
        <f>$V716&amp;$Y716</f>
        <v/>
      </c>
      <c r="AF716" t="n">
        <v>0</v>
      </c>
      <c r="AG716" t="n">
        <v>0</v>
      </c>
      <c r="AH716" t="n">
        <v>1</v>
      </c>
      <c r="AI716" t="n">
        <v>0</v>
      </c>
      <c r="AJ716" t="n">
        <v>0</v>
      </c>
      <c r="AK716" t="inlineStr">
        <is>
          <t>Connors</t>
        </is>
      </c>
      <c r="AL716" t="n">
        <v>0.347457627118644</v>
      </c>
      <c r="AM716" t="inlineStr">
        <is>
          <t>Jackson</t>
        </is>
      </c>
      <c r="AN716" t="n">
        <v>0.6171875</v>
      </c>
    </row>
    <row r="717" ht="15" customHeight="1" s="2">
      <c r="B717" t="n">
        <v>4</v>
      </c>
      <c r="C717" t="n">
        <v>4</v>
      </c>
      <c r="D717" t="n">
        <v>11</v>
      </c>
      <c r="E717" t="inlineStr">
        <is>
          <t>FBC11-D4</t>
        </is>
      </c>
      <c r="F717" t="inlineStr">
        <is>
          <t>Friday</t>
        </is>
      </c>
      <c r="G717" s="27" t="n">
        <v>45583</v>
      </c>
      <c r="H717" t="inlineStr">
        <is>
          <t>AM</t>
        </is>
      </c>
      <c r="I717" t="inlineStr">
        <is>
          <t>Pinehurst, NC</t>
        </is>
      </c>
      <c r="J717" t="inlineStr">
        <is>
          <t>South</t>
        </is>
      </c>
      <c r="K717" t="n">
        <v>9</v>
      </c>
      <c r="L717" t="inlineStr">
        <is>
          <t>Front</t>
        </is>
      </c>
      <c r="M717" t="inlineStr">
        <is>
          <t>Pinehurst No. 2</t>
        </is>
      </c>
      <c r="N717" t="inlineStr">
        <is>
          <t>White</t>
        </is>
      </c>
      <c r="P717" t="n">
        <v>139</v>
      </c>
      <c r="Q717" t="n">
        <v>6307</v>
      </c>
      <c r="R717" t="inlineStr">
        <is>
          <t>Best Ball</t>
        </is>
      </c>
      <c r="S717" t="inlineStr">
        <is>
          <t>Doubles</t>
        </is>
      </c>
      <c r="U717" t="inlineStr">
        <is>
          <t>Delneky</t>
        </is>
      </c>
      <c r="V717" t="inlineStr">
        <is>
          <t>Shively</t>
        </is>
      </c>
      <c r="W717" t="inlineStr">
        <is>
          <t>Blue</t>
        </is>
      </c>
      <c r="Y717" t="inlineStr">
        <is>
          <t>Zimmer</t>
        </is>
      </c>
      <c r="AA717" t="n">
        <v>1</v>
      </c>
      <c r="AB717" t="inlineStr">
        <is>
          <t>L</t>
        </is>
      </c>
      <c r="AC717" t="inlineStr">
        <is>
          <t>1dn</t>
        </is>
      </c>
      <c r="AE717">
        <f>$V717&amp;$Y717</f>
        <v/>
      </c>
      <c r="AF717" t="n">
        <v>0</v>
      </c>
      <c r="AG717" t="n">
        <v>0</v>
      </c>
      <c r="AH717" t="n">
        <v>1</v>
      </c>
      <c r="AI717" t="n">
        <v>0</v>
      </c>
      <c r="AJ717" t="n">
        <v>0</v>
      </c>
      <c r="AK717" t="inlineStr">
        <is>
          <t>Delaney</t>
        </is>
      </c>
      <c r="AL717" t="n">
        <v>0.46551724137931</v>
      </c>
      <c r="AM717" t="inlineStr">
        <is>
          <t>Hilts</t>
        </is>
      </c>
      <c r="AN717" t="n">
        <v>0.473214285714286</v>
      </c>
    </row>
    <row r="718" ht="15" customHeight="1" s="2">
      <c r="B718" t="n">
        <v>4</v>
      </c>
      <c r="C718" t="n">
        <v>4</v>
      </c>
      <c r="D718" t="n">
        <v>11</v>
      </c>
      <c r="E718" t="inlineStr">
        <is>
          <t>FBC11-D4</t>
        </is>
      </c>
      <c r="F718" t="inlineStr">
        <is>
          <t>Friday</t>
        </is>
      </c>
      <c r="G718" s="27" t="n">
        <v>45583</v>
      </c>
      <c r="H718" t="inlineStr">
        <is>
          <t>AM</t>
        </is>
      </c>
      <c r="I718" t="inlineStr">
        <is>
          <t>Pinehurst, NC</t>
        </is>
      </c>
      <c r="J718" t="inlineStr">
        <is>
          <t>South</t>
        </is>
      </c>
      <c r="K718" t="n">
        <v>9</v>
      </c>
      <c r="L718" t="inlineStr">
        <is>
          <t>Front</t>
        </is>
      </c>
      <c r="M718" t="inlineStr">
        <is>
          <t>Pinehurst No. 2</t>
        </is>
      </c>
      <c r="N718" t="inlineStr">
        <is>
          <t>White</t>
        </is>
      </c>
      <c r="P718" t="n">
        <v>139</v>
      </c>
      <c r="Q718" t="n">
        <v>6307</v>
      </c>
      <c r="R718" t="inlineStr">
        <is>
          <t>Best Ball</t>
        </is>
      </c>
      <c r="S718" t="inlineStr">
        <is>
          <t>Doubles</t>
        </is>
      </c>
      <c r="U718" t="inlineStr">
        <is>
          <t>Connors</t>
        </is>
      </c>
      <c r="V718" t="inlineStr">
        <is>
          <t>Delaney</t>
        </is>
      </c>
      <c r="W718" t="inlineStr">
        <is>
          <t>Blue</t>
        </is>
      </c>
      <c r="Y718" t="inlineStr">
        <is>
          <t>Hilts</t>
        </is>
      </c>
      <c r="AA718" t="n">
        <v>1</v>
      </c>
      <c r="AB718" t="inlineStr">
        <is>
          <t>W</t>
        </is>
      </c>
      <c r="AC718" t="inlineStr">
        <is>
          <t>1up</t>
        </is>
      </c>
      <c r="AE718">
        <f>$V718&amp;$Y718</f>
        <v/>
      </c>
      <c r="AF718" t="n">
        <v>1</v>
      </c>
      <c r="AG718" t="n">
        <v>1</v>
      </c>
      <c r="AH718" t="n">
        <v>0</v>
      </c>
      <c r="AI718" t="n">
        <v>0</v>
      </c>
      <c r="AJ718" t="n">
        <v>1</v>
      </c>
      <c r="AK718" t="inlineStr">
        <is>
          <t>Shively</t>
        </is>
      </c>
      <c r="AM718" t="inlineStr">
        <is>
          <t>Zimmer</t>
        </is>
      </c>
      <c r="AN718" t="n">
        <v>0.5</v>
      </c>
    </row>
    <row r="719" ht="15" customHeight="1" s="2">
      <c r="B719" t="n">
        <v>5</v>
      </c>
      <c r="C719" t="n">
        <v>5</v>
      </c>
      <c r="D719" t="n">
        <v>11</v>
      </c>
      <c r="E719" t="inlineStr">
        <is>
          <t>FBC11-D5</t>
        </is>
      </c>
      <c r="F719" t="inlineStr">
        <is>
          <t>Friday</t>
        </is>
      </c>
      <c r="G719" s="27" t="n">
        <v>45583</v>
      </c>
      <c r="H719" t="inlineStr">
        <is>
          <t>AM</t>
        </is>
      </c>
      <c r="I719" t="inlineStr">
        <is>
          <t>Pinehurst, NC</t>
        </is>
      </c>
      <c r="J719" t="inlineStr">
        <is>
          <t>South</t>
        </is>
      </c>
      <c r="K719" t="n">
        <v>9</v>
      </c>
      <c r="L719" t="inlineStr">
        <is>
          <t>Front</t>
        </is>
      </c>
      <c r="M719" t="inlineStr">
        <is>
          <t>Pinehurst No. 2</t>
        </is>
      </c>
      <c r="N719" t="inlineStr">
        <is>
          <t>White</t>
        </is>
      </c>
      <c r="P719" t="n">
        <v>139</v>
      </c>
      <c r="Q719" t="n">
        <v>6307</v>
      </c>
      <c r="R719" t="inlineStr">
        <is>
          <t>Best Ball</t>
        </is>
      </c>
      <c r="S719" t="inlineStr">
        <is>
          <t>Doubles</t>
        </is>
      </c>
      <c r="U719" t="inlineStr">
        <is>
          <t>Connors</t>
        </is>
      </c>
      <c r="V719" t="inlineStr">
        <is>
          <t>Mangold</t>
        </is>
      </c>
      <c r="W719" t="inlineStr">
        <is>
          <t>Blue</t>
        </is>
      </c>
      <c r="Y719" t="inlineStr">
        <is>
          <t>Welker</t>
        </is>
      </c>
      <c r="AA719" t="n">
        <v>1</v>
      </c>
      <c r="AB719" t="inlineStr">
        <is>
          <t>T</t>
        </is>
      </c>
      <c r="AC719" t="inlineStr">
        <is>
          <t>Halved</t>
        </is>
      </c>
      <c r="AE719">
        <f>$V719&amp;$Y719</f>
        <v/>
      </c>
      <c r="AF719" t="n">
        <v>0.5</v>
      </c>
      <c r="AG719" t="n">
        <v>0</v>
      </c>
      <c r="AH719" t="n">
        <v>0</v>
      </c>
      <c r="AI719" t="n">
        <v>1</v>
      </c>
      <c r="AJ719" t="n">
        <v>0.5</v>
      </c>
      <c r="AK719" t="inlineStr">
        <is>
          <t>Ferrin</t>
        </is>
      </c>
      <c r="AL719" t="n">
        <v>0.595238095238095</v>
      </c>
      <c r="AM719" t="inlineStr">
        <is>
          <t>Forster</t>
        </is>
      </c>
      <c r="AN719" t="n">
        <v>0.596491228070175</v>
      </c>
    </row>
    <row r="720" ht="15" customHeight="1" s="2">
      <c r="B720" t="n">
        <v>5</v>
      </c>
      <c r="C720" t="n">
        <v>5</v>
      </c>
      <c r="D720" t="n">
        <v>11</v>
      </c>
      <c r="E720" t="inlineStr">
        <is>
          <t>FBC11-D5</t>
        </is>
      </c>
      <c r="F720" t="inlineStr">
        <is>
          <t>Friday</t>
        </is>
      </c>
      <c r="G720" s="27" t="n">
        <v>45583</v>
      </c>
      <c r="H720" t="inlineStr">
        <is>
          <t>AM</t>
        </is>
      </c>
      <c r="I720" t="inlineStr">
        <is>
          <t>Pinehurst, NC</t>
        </is>
      </c>
      <c r="J720" t="inlineStr">
        <is>
          <t>South</t>
        </is>
      </c>
      <c r="K720" t="n">
        <v>9</v>
      </c>
      <c r="L720" t="inlineStr">
        <is>
          <t>Front</t>
        </is>
      </c>
      <c r="M720" t="inlineStr">
        <is>
          <t>Pinehurst No. 2</t>
        </is>
      </c>
      <c r="N720" t="inlineStr">
        <is>
          <t>White</t>
        </is>
      </c>
      <c r="P720" t="n">
        <v>139</v>
      </c>
      <c r="Q720" t="n">
        <v>6307</v>
      </c>
      <c r="R720" t="inlineStr">
        <is>
          <t>Best Ball</t>
        </is>
      </c>
      <c r="S720" t="inlineStr">
        <is>
          <t>Doubles</t>
        </is>
      </c>
      <c r="U720" t="inlineStr">
        <is>
          <t>Delneky</t>
        </is>
      </c>
      <c r="V720" t="inlineStr">
        <is>
          <t>Ferrin</t>
        </is>
      </c>
      <c r="W720" t="inlineStr">
        <is>
          <t>Blue</t>
        </is>
      </c>
      <c r="Y720" t="inlineStr">
        <is>
          <t>Forster</t>
        </is>
      </c>
      <c r="AA720" t="n">
        <v>1</v>
      </c>
      <c r="AB720" t="inlineStr">
        <is>
          <t>T</t>
        </is>
      </c>
      <c r="AC720" t="inlineStr">
        <is>
          <t>Halved</t>
        </is>
      </c>
      <c r="AE720">
        <f>$V720&amp;$Y720</f>
        <v/>
      </c>
      <c r="AF720" t="n">
        <v>0.5</v>
      </c>
      <c r="AG720" t="n">
        <v>0</v>
      </c>
      <c r="AH720" t="n">
        <v>0</v>
      </c>
      <c r="AI720" t="n">
        <v>1</v>
      </c>
      <c r="AJ720" t="n">
        <v>0.5</v>
      </c>
      <c r="AK720" t="inlineStr">
        <is>
          <t>Mangold</t>
        </is>
      </c>
      <c r="AL720" t="n">
        <v>0.383928571428572</v>
      </c>
      <c r="AM720" t="inlineStr">
        <is>
          <t>Welker</t>
        </is>
      </c>
      <c r="AN720" t="n">
        <v>0.510416666666667</v>
      </c>
    </row>
    <row r="721" ht="15" customHeight="1" s="2">
      <c r="B721" t="n">
        <v>6</v>
      </c>
      <c r="C721" t="n">
        <v>1</v>
      </c>
      <c r="D721" t="n">
        <v>11</v>
      </c>
      <c r="E721" t="inlineStr">
        <is>
          <t>FBC11-D6</t>
        </is>
      </c>
      <c r="F721" t="inlineStr">
        <is>
          <t>Friday</t>
        </is>
      </c>
      <c r="G721" s="27" t="n">
        <v>45583</v>
      </c>
      <c r="H721" t="inlineStr">
        <is>
          <t>AM</t>
        </is>
      </c>
      <c r="I721" t="inlineStr">
        <is>
          <t>Pinehurst, NC</t>
        </is>
      </c>
      <c r="J721" t="inlineStr">
        <is>
          <t>South</t>
        </is>
      </c>
      <c r="K721" t="n">
        <v>9</v>
      </c>
      <c r="L721" t="inlineStr">
        <is>
          <t>Back</t>
        </is>
      </c>
      <c r="M721" t="inlineStr">
        <is>
          <t>Pinehurst No. 2</t>
        </is>
      </c>
      <c r="N721" t="inlineStr">
        <is>
          <t>White</t>
        </is>
      </c>
      <c r="P721" t="n">
        <v>139</v>
      </c>
      <c r="Q721" t="n">
        <v>6307</v>
      </c>
      <c r="R721" t="inlineStr">
        <is>
          <t>Vegas</t>
        </is>
      </c>
      <c r="S721" t="inlineStr">
        <is>
          <t>Doubles</t>
        </is>
      </c>
      <c r="U721" t="inlineStr">
        <is>
          <t>Connors</t>
        </is>
      </c>
      <c r="V721" t="inlineStr">
        <is>
          <t>Flanders</t>
        </is>
      </c>
      <c r="W721" t="inlineStr">
        <is>
          <t>Blue</t>
        </is>
      </c>
      <c r="Y721" t="inlineStr">
        <is>
          <t>Grise</t>
        </is>
      </c>
      <c r="AA721" t="n">
        <v>1</v>
      </c>
      <c r="AB721" t="inlineStr">
        <is>
          <t>L</t>
        </is>
      </c>
      <c r="AC721" t="inlineStr">
        <is>
          <t>1Dn</t>
        </is>
      </c>
      <c r="AE721">
        <f>$V721&amp;$Y721</f>
        <v/>
      </c>
      <c r="AF721" t="n">
        <v>0</v>
      </c>
      <c r="AG721" t="n">
        <v>0</v>
      </c>
      <c r="AH721" t="n">
        <v>1</v>
      </c>
      <c r="AI721" t="n">
        <v>0</v>
      </c>
      <c r="AJ721" t="n">
        <v>0</v>
      </c>
      <c r="AK721" t="inlineStr">
        <is>
          <t>Fogan</t>
        </is>
      </c>
      <c r="AL721" t="n">
        <v>0.372881355932203</v>
      </c>
      <c r="AM721" t="inlineStr">
        <is>
          <t>Poirier</t>
        </is>
      </c>
      <c r="AN721" t="n">
        <v>0.486111111111111</v>
      </c>
    </row>
    <row r="722" ht="15" customHeight="1" s="2">
      <c r="B722" t="n">
        <v>6</v>
      </c>
      <c r="C722" t="n">
        <v>1</v>
      </c>
      <c r="D722" t="n">
        <v>11</v>
      </c>
      <c r="E722" t="inlineStr">
        <is>
          <t>FBC11-D6</t>
        </is>
      </c>
      <c r="F722" t="inlineStr">
        <is>
          <t>Friday</t>
        </is>
      </c>
      <c r="G722" s="27" t="n">
        <v>45583</v>
      </c>
      <c r="H722" t="inlineStr">
        <is>
          <t>AM</t>
        </is>
      </c>
      <c r="I722" t="inlineStr">
        <is>
          <t>Pinehurst, NC</t>
        </is>
      </c>
      <c r="J722" t="inlineStr">
        <is>
          <t>South</t>
        </is>
      </c>
      <c r="K722" t="n">
        <v>9</v>
      </c>
      <c r="L722" t="inlineStr">
        <is>
          <t>Back</t>
        </is>
      </c>
      <c r="M722" t="inlineStr">
        <is>
          <t>Pinehurst No. 2</t>
        </is>
      </c>
      <c r="N722" t="inlineStr">
        <is>
          <t>White</t>
        </is>
      </c>
      <c r="P722" t="n">
        <v>139</v>
      </c>
      <c r="Q722" t="n">
        <v>6307</v>
      </c>
      <c r="R722" t="inlineStr">
        <is>
          <t>Vegas</t>
        </is>
      </c>
      <c r="S722" t="inlineStr">
        <is>
          <t>Doubles</t>
        </is>
      </c>
      <c r="U722" t="inlineStr">
        <is>
          <t>Delneky</t>
        </is>
      </c>
      <c r="V722" t="inlineStr">
        <is>
          <t>Fogan</t>
        </is>
      </c>
      <c r="W722" t="inlineStr">
        <is>
          <t>Blue</t>
        </is>
      </c>
      <c r="Y722" t="inlineStr">
        <is>
          <t>Poirier</t>
        </is>
      </c>
      <c r="AA722" t="n">
        <v>1</v>
      </c>
      <c r="AB722" t="inlineStr">
        <is>
          <t>W</t>
        </is>
      </c>
      <c r="AC722" t="inlineStr">
        <is>
          <t>1Up</t>
        </is>
      </c>
      <c r="AE722">
        <f>$V722&amp;$Y722</f>
        <v/>
      </c>
      <c r="AF722" t="n">
        <v>1</v>
      </c>
      <c r="AG722" t="n">
        <v>1</v>
      </c>
      <c r="AH722" t="n">
        <v>0</v>
      </c>
      <c r="AI722" t="n">
        <v>0</v>
      </c>
      <c r="AJ722" t="n">
        <v>1</v>
      </c>
      <c r="AK722" t="inlineStr">
        <is>
          <t>Flanders</t>
        </is>
      </c>
      <c r="AL722" t="n">
        <v>0.4296875</v>
      </c>
      <c r="AM722" t="inlineStr">
        <is>
          <t>Grise</t>
        </is>
      </c>
      <c r="AN722" t="n">
        <v>0.546875</v>
      </c>
    </row>
    <row r="723" ht="15" customHeight="1" s="2">
      <c r="B723" t="n">
        <v>7</v>
      </c>
      <c r="C723" t="n">
        <v>2</v>
      </c>
      <c r="D723" t="n">
        <v>11</v>
      </c>
      <c r="E723" t="inlineStr">
        <is>
          <t>FBC11-D7</t>
        </is>
      </c>
      <c r="F723" t="inlineStr">
        <is>
          <t>Friday</t>
        </is>
      </c>
      <c r="G723" s="27" t="n">
        <v>45583</v>
      </c>
      <c r="H723" t="inlineStr">
        <is>
          <t>AM</t>
        </is>
      </c>
      <c r="I723" t="inlineStr">
        <is>
          <t>Pinehurst, NC</t>
        </is>
      </c>
      <c r="J723" t="inlineStr">
        <is>
          <t>South</t>
        </is>
      </c>
      <c r="K723" t="n">
        <v>9</v>
      </c>
      <c r="L723" t="inlineStr">
        <is>
          <t>Back</t>
        </is>
      </c>
      <c r="M723" t="inlineStr">
        <is>
          <t>Pinehurst No. 2</t>
        </is>
      </c>
      <c r="N723" t="inlineStr">
        <is>
          <t>White</t>
        </is>
      </c>
      <c r="P723" t="n">
        <v>139</v>
      </c>
      <c r="Q723" t="n">
        <v>6307</v>
      </c>
      <c r="R723" t="inlineStr">
        <is>
          <t>Vegas</t>
        </is>
      </c>
      <c r="S723" t="inlineStr">
        <is>
          <t>Doubles</t>
        </is>
      </c>
      <c r="U723" t="inlineStr">
        <is>
          <t>Delneky</t>
        </is>
      </c>
      <c r="V723" t="inlineStr">
        <is>
          <t>Gray</t>
        </is>
      </c>
      <c r="W723" t="inlineStr">
        <is>
          <t>Blue</t>
        </is>
      </c>
      <c r="Y723" t="inlineStr">
        <is>
          <t>Norat</t>
        </is>
      </c>
      <c r="AA723" t="n">
        <v>1</v>
      </c>
      <c r="AB723" t="inlineStr">
        <is>
          <t>W</t>
        </is>
      </c>
      <c r="AC723" t="inlineStr">
        <is>
          <t>1Up</t>
        </is>
      </c>
      <c r="AE723">
        <f>$V723&amp;$Y723</f>
        <v/>
      </c>
      <c r="AF723" t="n">
        <v>1</v>
      </c>
      <c r="AG723" t="n">
        <v>1</v>
      </c>
      <c r="AH723" t="n">
        <v>0</v>
      </c>
      <c r="AI723" t="n">
        <v>0</v>
      </c>
      <c r="AJ723" t="n">
        <v>1</v>
      </c>
      <c r="AK723" t="inlineStr">
        <is>
          <t>Cole</t>
        </is>
      </c>
      <c r="AL723" t="n">
        <v>0.440677966101695</v>
      </c>
      <c r="AM723" t="inlineStr">
        <is>
          <t>Lynch</t>
        </is>
      </c>
      <c r="AN723" t="n">
        <v>0.5546875</v>
      </c>
    </row>
    <row r="724" ht="15" customHeight="1" s="2">
      <c r="B724" t="n">
        <v>7</v>
      </c>
      <c r="C724" t="n">
        <v>2</v>
      </c>
      <c r="D724" t="n">
        <v>11</v>
      </c>
      <c r="E724" t="inlineStr">
        <is>
          <t>FBC11-D7</t>
        </is>
      </c>
      <c r="F724" t="inlineStr">
        <is>
          <t>Friday</t>
        </is>
      </c>
      <c r="G724" s="27" t="n">
        <v>45583</v>
      </c>
      <c r="H724" t="inlineStr">
        <is>
          <t>AM</t>
        </is>
      </c>
      <c r="I724" t="inlineStr">
        <is>
          <t>Pinehurst, NC</t>
        </is>
      </c>
      <c r="J724" t="inlineStr">
        <is>
          <t>South</t>
        </is>
      </c>
      <c r="K724" t="n">
        <v>9</v>
      </c>
      <c r="L724" t="inlineStr">
        <is>
          <t>Back</t>
        </is>
      </c>
      <c r="M724" t="inlineStr">
        <is>
          <t>Pinehurst No. 2</t>
        </is>
      </c>
      <c r="N724" t="inlineStr">
        <is>
          <t>White</t>
        </is>
      </c>
      <c r="P724" t="n">
        <v>139</v>
      </c>
      <c r="Q724" t="n">
        <v>6307</v>
      </c>
      <c r="R724" t="inlineStr">
        <is>
          <t>Vegas</t>
        </is>
      </c>
      <c r="S724" t="inlineStr">
        <is>
          <t>Doubles</t>
        </is>
      </c>
      <c r="U724" t="inlineStr">
        <is>
          <t>Connors</t>
        </is>
      </c>
      <c r="V724" t="inlineStr">
        <is>
          <t>Cole</t>
        </is>
      </c>
      <c r="W724" t="inlineStr">
        <is>
          <t>Blue</t>
        </is>
      </c>
      <c r="Y724" t="inlineStr">
        <is>
          <t>Lynch</t>
        </is>
      </c>
      <c r="AA724" t="n">
        <v>1</v>
      </c>
      <c r="AB724" t="inlineStr">
        <is>
          <t>L</t>
        </is>
      </c>
      <c r="AC724" t="inlineStr">
        <is>
          <t>1Dn</t>
        </is>
      </c>
      <c r="AE724">
        <f>$V724&amp;$Y724</f>
        <v/>
      </c>
      <c r="AF724" t="n">
        <v>0</v>
      </c>
      <c r="AG724" t="n">
        <v>0</v>
      </c>
      <c r="AH724" t="n">
        <v>1</v>
      </c>
      <c r="AI724" t="n">
        <v>0</v>
      </c>
      <c r="AJ724" t="n">
        <v>0</v>
      </c>
      <c r="AK724" t="inlineStr">
        <is>
          <t>Gray</t>
        </is>
      </c>
      <c r="AL724" t="n">
        <v>0.654761904761905</v>
      </c>
      <c r="AM724" t="inlineStr">
        <is>
          <t>Norat</t>
        </is>
      </c>
      <c r="AN724" t="n">
        <v>0.527777777777778</v>
      </c>
    </row>
    <row r="725" ht="15" customHeight="1" s="2">
      <c r="B725" t="n">
        <v>8</v>
      </c>
      <c r="C725" t="n">
        <v>3</v>
      </c>
      <c r="D725" t="n">
        <v>11</v>
      </c>
      <c r="E725" t="inlineStr">
        <is>
          <t>FBC11-D8</t>
        </is>
      </c>
      <c r="F725" t="inlineStr">
        <is>
          <t>Friday</t>
        </is>
      </c>
      <c r="G725" s="27" t="n">
        <v>45583</v>
      </c>
      <c r="H725" t="inlineStr">
        <is>
          <t>AM</t>
        </is>
      </c>
      <c r="I725" t="inlineStr">
        <is>
          <t>Pinehurst, NC</t>
        </is>
      </c>
      <c r="J725" t="inlineStr">
        <is>
          <t>South</t>
        </is>
      </c>
      <c r="K725" t="n">
        <v>9</v>
      </c>
      <c r="L725" t="inlineStr">
        <is>
          <t>Back</t>
        </is>
      </c>
      <c r="M725" t="inlineStr">
        <is>
          <t>Pinehurst No. 2</t>
        </is>
      </c>
      <c r="N725" t="inlineStr">
        <is>
          <t>White</t>
        </is>
      </c>
      <c r="P725" t="n">
        <v>139</v>
      </c>
      <c r="Q725" t="n">
        <v>6307</v>
      </c>
      <c r="R725" t="inlineStr">
        <is>
          <t>Vegas</t>
        </is>
      </c>
      <c r="S725" t="inlineStr">
        <is>
          <t>Doubles</t>
        </is>
      </c>
      <c r="U725" t="inlineStr">
        <is>
          <t>Connors</t>
        </is>
      </c>
      <c r="V725" t="inlineStr">
        <is>
          <t>Connors</t>
        </is>
      </c>
      <c r="W725" t="inlineStr">
        <is>
          <t>Blue</t>
        </is>
      </c>
      <c r="Y725" t="inlineStr">
        <is>
          <t>Jackson</t>
        </is>
      </c>
      <c r="AA725" t="n">
        <v>1</v>
      </c>
      <c r="AB725" t="inlineStr">
        <is>
          <t>L</t>
        </is>
      </c>
      <c r="AC725" t="inlineStr">
        <is>
          <t>2&amp;1</t>
        </is>
      </c>
      <c r="AE725">
        <f>$V725&amp;$Y725</f>
        <v/>
      </c>
      <c r="AF725" t="n">
        <v>0</v>
      </c>
      <c r="AG725" t="n">
        <v>0</v>
      </c>
      <c r="AH725" t="n">
        <v>1</v>
      </c>
      <c r="AI725" t="n">
        <v>0</v>
      </c>
      <c r="AJ725" t="n">
        <v>0</v>
      </c>
      <c r="AK725" t="inlineStr">
        <is>
          <t>Connolly</t>
        </is>
      </c>
      <c r="AL725" t="n">
        <v>0.59375</v>
      </c>
      <c r="AM725" t="inlineStr">
        <is>
          <t>Delneky</t>
        </is>
      </c>
      <c r="AN725" t="n">
        <v>0.6590909090909089</v>
      </c>
    </row>
    <row r="726" ht="15" customHeight="1" s="2">
      <c r="B726" t="n">
        <v>8</v>
      </c>
      <c r="C726" t="n">
        <v>3</v>
      </c>
      <c r="D726" t="n">
        <v>11</v>
      </c>
      <c r="E726" t="inlineStr">
        <is>
          <t>FBC11-D8</t>
        </is>
      </c>
      <c r="F726" t="inlineStr">
        <is>
          <t>Friday</t>
        </is>
      </c>
      <c r="G726" s="27" t="n">
        <v>45583</v>
      </c>
      <c r="H726" t="inlineStr">
        <is>
          <t>AM</t>
        </is>
      </c>
      <c r="I726" t="inlineStr">
        <is>
          <t>Pinehurst, NC</t>
        </is>
      </c>
      <c r="J726" t="inlineStr">
        <is>
          <t>South</t>
        </is>
      </c>
      <c r="K726" t="n">
        <v>9</v>
      </c>
      <c r="L726" t="inlineStr">
        <is>
          <t>Back</t>
        </is>
      </c>
      <c r="M726" t="inlineStr">
        <is>
          <t>Pinehurst No. 2</t>
        </is>
      </c>
      <c r="N726" t="inlineStr">
        <is>
          <t>White</t>
        </is>
      </c>
      <c r="P726" t="n">
        <v>139</v>
      </c>
      <c r="Q726" t="n">
        <v>6307</v>
      </c>
      <c r="R726" t="inlineStr">
        <is>
          <t>Vegas</t>
        </is>
      </c>
      <c r="S726" t="inlineStr">
        <is>
          <t>Doubles</t>
        </is>
      </c>
      <c r="U726" t="inlineStr">
        <is>
          <t>Delneky</t>
        </is>
      </c>
      <c r="V726" t="inlineStr">
        <is>
          <t>Connolly</t>
        </is>
      </c>
      <c r="W726" t="inlineStr">
        <is>
          <t>Blue</t>
        </is>
      </c>
      <c r="Y726" t="inlineStr">
        <is>
          <t>Delneky</t>
        </is>
      </c>
      <c r="AA726" t="n">
        <v>1</v>
      </c>
      <c r="AB726" t="inlineStr">
        <is>
          <t>W</t>
        </is>
      </c>
      <c r="AC726" t="inlineStr">
        <is>
          <t>2&amp;1</t>
        </is>
      </c>
      <c r="AE726">
        <f>$V726&amp;$Y726</f>
        <v/>
      </c>
      <c r="AF726" t="n">
        <v>1</v>
      </c>
      <c r="AG726" t="n">
        <v>1</v>
      </c>
      <c r="AH726" t="n">
        <v>0</v>
      </c>
      <c r="AI726" t="n">
        <v>0</v>
      </c>
      <c r="AJ726" t="n">
        <v>1</v>
      </c>
      <c r="AK726" t="inlineStr">
        <is>
          <t>Connors</t>
        </is>
      </c>
      <c r="AL726" t="n">
        <v>0.347457627118644</v>
      </c>
      <c r="AM726" t="inlineStr">
        <is>
          <t>Jackson</t>
        </is>
      </c>
      <c r="AN726" t="n">
        <v>0.6171875</v>
      </c>
    </row>
    <row r="727" ht="15" customHeight="1" s="2">
      <c r="B727" t="n">
        <v>9</v>
      </c>
      <c r="C727" t="n">
        <v>4</v>
      </c>
      <c r="D727" t="n">
        <v>11</v>
      </c>
      <c r="E727" t="inlineStr">
        <is>
          <t>FBC11-D9</t>
        </is>
      </c>
      <c r="F727" t="inlineStr">
        <is>
          <t>Friday</t>
        </is>
      </c>
      <c r="G727" s="27" t="n">
        <v>45583</v>
      </c>
      <c r="H727" t="inlineStr">
        <is>
          <t>AM</t>
        </is>
      </c>
      <c r="I727" t="inlineStr">
        <is>
          <t>Pinehurst, NC</t>
        </is>
      </c>
      <c r="J727" t="inlineStr">
        <is>
          <t>South</t>
        </is>
      </c>
      <c r="K727" t="n">
        <v>9</v>
      </c>
      <c r="L727" t="inlineStr">
        <is>
          <t>Back</t>
        </is>
      </c>
      <c r="M727" t="inlineStr">
        <is>
          <t>Pinehurst No. 2</t>
        </is>
      </c>
      <c r="N727" t="inlineStr">
        <is>
          <t>White</t>
        </is>
      </c>
      <c r="P727" t="n">
        <v>139</v>
      </c>
      <c r="Q727" t="n">
        <v>6307</v>
      </c>
      <c r="R727" t="inlineStr">
        <is>
          <t>Vegas</t>
        </is>
      </c>
      <c r="S727" t="inlineStr">
        <is>
          <t>Doubles</t>
        </is>
      </c>
      <c r="U727" t="inlineStr">
        <is>
          <t>Delneky</t>
        </is>
      </c>
      <c r="V727" t="inlineStr">
        <is>
          <t>Shively</t>
        </is>
      </c>
      <c r="W727" t="inlineStr">
        <is>
          <t>Blue</t>
        </is>
      </c>
      <c r="Y727" t="inlineStr">
        <is>
          <t>Zimmer</t>
        </is>
      </c>
      <c r="AA727" t="n">
        <v>1</v>
      </c>
      <c r="AB727" t="inlineStr">
        <is>
          <t>T</t>
        </is>
      </c>
      <c r="AC727" t="inlineStr">
        <is>
          <t>Halved</t>
        </is>
      </c>
      <c r="AE727">
        <f>$V727&amp;$Y727</f>
        <v/>
      </c>
      <c r="AF727" t="n">
        <v>0.5</v>
      </c>
      <c r="AG727" t="n">
        <v>0</v>
      </c>
      <c r="AH727" t="n">
        <v>0</v>
      </c>
      <c r="AI727" t="n">
        <v>1</v>
      </c>
      <c r="AJ727" t="n">
        <v>0.5</v>
      </c>
      <c r="AK727" t="inlineStr">
        <is>
          <t>Delaney</t>
        </is>
      </c>
      <c r="AL727" t="n">
        <v>0.46551724137931</v>
      </c>
      <c r="AM727" t="inlineStr">
        <is>
          <t>Hilts</t>
        </is>
      </c>
      <c r="AN727" t="n">
        <v>0.473214285714286</v>
      </c>
    </row>
    <row r="728" ht="15" customHeight="1" s="2">
      <c r="B728" t="n">
        <v>9</v>
      </c>
      <c r="C728" t="n">
        <v>4</v>
      </c>
      <c r="D728" t="n">
        <v>11</v>
      </c>
      <c r="E728" t="inlineStr">
        <is>
          <t>FBC11-D9</t>
        </is>
      </c>
      <c r="F728" t="inlineStr">
        <is>
          <t>Friday</t>
        </is>
      </c>
      <c r="G728" s="27" t="n">
        <v>45583</v>
      </c>
      <c r="H728" t="inlineStr">
        <is>
          <t>AM</t>
        </is>
      </c>
      <c r="I728" t="inlineStr">
        <is>
          <t>Pinehurst, NC</t>
        </is>
      </c>
      <c r="J728" t="inlineStr">
        <is>
          <t>South</t>
        </is>
      </c>
      <c r="K728" t="n">
        <v>9</v>
      </c>
      <c r="L728" t="inlineStr">
        <is>
          <t>Back</t>
        </is>
      </c>
      <c r="M728" t="inlineStr">
        <is>
          <t>Pinehurst No. 2</t>
        </is>
      </c>
      <c r="N728" t="inlineStr">
        <is>
          <t>White</t>
        </is>
      </c>
      <c r="P728" t="n">
        <v>139</v>
      </c>
      <c r="Q728" t="n">
        <v>6307</v>
      </c>
      <c r="R728" t="inlineStr">
        <is>
          <t>Vegas</t>
        </is>
      </c>
      <c r="S728" t="inlineStr">
        <is>
          <t>Doubles</t>
        </is>
      </c>
      <c r="U728" t="inlineStr">
        <is>
          <t>Connors</t>
        </is>
      </c>
      <c r="V728" t="inlineStr">
        <is>
          <t>Delaney</t>
        </is>
      </c>
      <c r="W728" t="inlineStr">
        <is>
          <t>Blue</t>
        </is>
      </c>
      <c r="Y728" t="inlineStr">
        <is>
          <t>Hilts</t>
        </is>
      </c>
      <c r="AA728" t="n">
        <v>1</v>
      </c>
      <c r="AB728" t="inlineStr">
        <is>
          <t>T</t>
        </is>
      </c>
      <c r="AC728" t="inlineStr">
        <is>
          <t>Halved</t>
        </is>
      </c>
      <c r="AE728">
        <f>$V728&amp;$Y728</f>
        <v/>
      </c>
      <c r="AF728" t="n">
        <v>0.5</v>
      </c>
      <c r="AG728" t="n">
        <v>0</v>
      </c>
      <c r="AH728" t="n">
        <v>0</v>
      </c>
      <c r="AI728" t="n">
        <v>1</v>
      </c>
      <c r="AJ728" t="n">
        <v>0.5</v>
      </c>
      <c r="AK728" t="inlineStr">
        <is>
          <t>Shively</t>
        </is>
      </c>
      <c r="AM728" t="inlineStr">
        <is>
          <t>Zimmer</t>
        </is>
      </c>
      <c r="AN728" t="n">
        <v>0.5</v>
      </c>
    </row>
    <row r="729" ht="15" customHeight="1" s="2">
      <c r="B729" t="n">
        <v>10</v>
      </c>
      <c r="C729" t="n">
        <v>5</v>
      </c>
      <c r="D729" t="n">
        <v>11</v>
      </c>
      <c r="E729" t="inlineStr">
        <is>
          <t>FBC11-D10</t>
        </is>
      </c>
      <c r="F729" t="inlineStr">
        <is>
          <t>Friday</t>
        </is>
      </c>
      <c r="G729" s="27" t="n">
        <v>45583</v>
      </c>
      <c r="H729" t="inlineStr">
        <is>
          <t>AM</t>
        </is>
      </c>
      <c r="I729" t="inlineStr">
        <is>
          <t>Pinehurst, NC</t>
        </is>
      </c>
      <c r="J729" t="inlineStr">
        <is>
          <t>South</t>
        </is>
      </c>
      <c r="K729" t="n">
        <v>9</v>
      </c>
      <c r="L729" t="inlineStr">
        <is>
          <t>Back</t>
        </is>
      </c>
      <c r="M729" t="inlineStr">
        <is>
          <t>Pinehurst No. 2</t>
        </is>
      </c>
      <c r="N729" t="inlineStr">
        <is>
          <t>White</t>
        </is>
      </c>
      <c r="P729" t="n">
        <v>139</v>
      </c>
      <c r="Q729" t="n">
        <v>6307</v>
      </c>
      <c r="R729" t="inlineStr">
        <is>
          <t>Vegas</t>
        </is>
      </c>
      <c r="S729" t="inlineStr">
        <is>
          <t>Doubles</t>
        </is>
      </c>
      <c r="U729" t="inlineStr">
        <is>
          <t>Connors</t>
        </is>
      </c>
      <c r="V729" t="inlineStr">
        <is>
          <t>Mangold</t>
        </is>
      </c>
      <c r="W729" t="inlineStr">
        <is>
          <t>Blue</t>
        </is>
      </c>
      <c r="Y729" t="inlineStr">
        <is>
          <t>Welker</t>
        </is>
      </c>
      <c r="AA729" t="n">
        <v>1</v>
      </c>
      <c r="AB729" t="inlineStr">
        <is>
          <t>L</t>
        </is>
      </c>
      <c r="AC729" t="inlineStr">
        <is>
          <t>2&amp;1</t>
        </is>
      </c>
      <c r="AE729">
        <f>$V729&amp;$Y729</f>
        <v/>
      </c>
      <c r="AF729" t="n">
        <v>0</v>
      </c>
      <c r="AG729" t="n">
        <v>0</v>
      </c>
      <c r="AH729" t="n">
        <v>1</v>
      </c>
      <c r="AI729" t="n">
        <v>0</v>
      </c>
      <c r="AJ729" t="n">
        <v>0</v>
      </c>
      <c r="AK729" t="inlineStr">
        <is>
          <t>Ferrin</t>
        </is>
      </c>
      <c r="AL729" t="n">
        <v>0.595238095238095</v>
      </c>
      <c r="AM729" t="inlineStr">
        <is>
          <t>Forster</t>
        </is>
      </c>
      <c r="AN729" t="n">
        <v>0.596491228070175</v>
      </c>
    </row>
    <row r="730" ht="15" customHeight="1" s="2">
      <c r="B730" t="n">
        <v>10</v>
      </c>
      <c r="C730" t="n">
        <v>5</v>
      </c>
      <c r="D730" t="n">
        <v>11</v>
      </c>
      <c r="E730" t="inlineStr">
        <is>
          <t>FBC11-D10</t>
        </is>
      </c>
      <c r="F730" t="inlineStr">
        <is>
          <t>Friday</t>
        </is>
      </c>
      <c r="G730" s="27" t="n">
        <v>45583</v>
      </c>
      <c r="H730" t="inlineStr">
        <is>
          <t>AM</t>
        </is>
      </c>
      <c r="I730" t="inlineStr">
        <is>
          <t>Pinehurst, NC</t>
        </is>
      </c>
      <c r="J730" t="inlineStr">
        <is>
          <t>South</t>
        </is>
      </c>
      <c r="K730" t="n">
        <v>9</v>
      </c>
      <c r="L730" t="inlineStr">
        <is>
          <t>Back</t>
        </is>
      </c>
      <c r="M730" t="inlineStr">
        <is>
          <t>Pinehurst No. 2</t>
        </is>
      </c>
      <c r="N730" t="inlineStr">
        <is>
          <t>White</t>
        </is>
      </c>
      <c r="P730" t="n">
        <v>139</v>
      </c>
      <c r="Q730" t="n">
        <v>6307</v>
      </c>
      <c r="R730" t="inlineStr">
        <is>
          <t>Vegas</t>
        </is>
      </c>
      <c r="S730" t="inlineStr">
        <is>
          <t>Doubles</t>
        </is>
      </c>
      <c r="U730" t="inlineStr">
        <is>
          <t>Delneky</t>
        </is>
      </c>
      <c r="V730" t="inlineStr">
        <is>
          <t>Ferrin</t>
        </is>
      </c>
      <c r="W730" t="inlineStr">
        <is>
          <t>Blue</t>
        </is>
      </c>
      <c r="Y730" t="inlineStr">
        <is>
          <t>Forster</t>
        </is>
      </c>
      <c r="AA730" t="n">
        <v>1</v>
      </c>
      <c r="AB730" t="inlineStr">
        <is>
          <t>W</t>
        </is>
      </c>
      <c r="AC730" t="inlineStr">
        <is>
          <t>2&amp;1</t>
        </is>
      </c>
      <c r="AE730">
        <f>$V730&amp;$Y730</f>
        <v/>
      </c>
      <c r="AF730" t="n">
        <v>1</v>
      </c>
      <c r="AG730" t="n">
        <v>1</v>
      </c>
      <c r="AH730" t="n">
        <v>0</v>
      </c>
      <c r="AI730" t="n">
        <v>0</v>
      </c>
      <c r="AJ730" t="n">
        <v>1</v>
      </c>
      <c r="AK730" t="inlineStr">
        <is>
          <t>Mangold</t>
        </is>
      </c>
      <c r="AL730" t="n">
        <v>0.383928571428572</v>
      </c>
      <c r="AM730" t="inlineStr">
        <is>
          <t>Welker</t>
        </is>
      </c>
      <c r="AN730" t="n">
        <v>0.510416666666667</v>
      </c>
    </row>
    <row r="731" ht="15" customHeight="1" s="2">
      <c r="B731" t="n">
        <v>11</v>
      </c>
      <c r="C731" t="n">
        <v>1</v>
      </c>
      <c r="D731" t="n">
        <v>11</v>
      </c>
      <c r="E731" t="inlineStr">
        <is>
          <t>FBC11-D11</t>
        </is>
      </c>
      <c r="F731" t="inlineStr">
        <is>
          <t>Friday</t>
        </is>
      </c>
      <c r="G731" s="27" t="n">
        <v>45583</v>
      </c>
      <c r="H731" t="inlineStr">
        <is>
          <t>PM</t>
        </is>
      </c>
      <c r="I731" t="inlineStr">
        <is>
          <t>Pinehurst, NC</t>
        </is>
      </c>
      <c r="J731" t="inlineStr">
        <is>
          <t>South</t>
        </is>
      </c>
      <c r="K731" t="n">
        <v>9</v>
      </c>
      <c r="L731" t="inlineStr">
        <is>
          <t>Front</t>
        </is>
      </c>
      <c r="M731" t="inlineStr">
        <is>
          <t>Pinehurst No. 3</t>
        </is>
      </c>
      <c r="N731" t="inlineStr">
        <is>
          <t>White</t>
        </is>
      </c>
      <c r="P731" t="n">
        <v>123</v>
      </c>
      <c r="Q731" t="n">
        <v>5155</v>
      </c>
      <c r="R731" t="inlineStr">
        <is>
          <t>Pinehurst</t>
        </is>
      </c>
      <c r="S731" t="inlineStr">
        <is>
          <t>Doubles</t>
        </is>
      </c>
      <c r="U731" t="inlineStr">
        <is>
          <t>Connors</t>
        </is>
      </c>
      <c r="V731" t="inlineStr">
        <is>
          <t>Grise</t>
        </is>
      </c>
      <c r="Y731" t="inlineStr">
        <is>
          <t>Jackson</t>
        </is>
      </c>
      <c r="AA731" t="n">
        <v>1</v>
      </c>
      <c r="AB731" t="inlineStr">
        <is>
          <t>T</t>
        </is>
      </c>
      <c r="AC731" t="inlineStr">
        <is>
          <t>Halved</t>
        </is>
      </c>
      <c r="AE731">
        <f>$V731&amp;$Y731</f>
        <v/>
      </c>
      <c r="AF731" t="n">
        <v>0.5</v>
      </c>
      <c r="AG731" t="n">
        <v>0</v>
      </c>
      <c r="AH731" t="n">
        <v>0</v>
      </c>
      <c r="AI731" t="n">
        <v>1</v>
      </c>
      <c r="AJ731" t="n">
        <v>0.5</v>
      </c>
      <c r="AK731" t="inlineStr">
        <is>
          <t>Connolly</t>
        </is>
      </c>
      <c r="AL731" t="n">
        <v>0.59375</v>
      </c>
      <c r="AM731" t="inlineStr">
        <is>
          <t>Forster</t>
        </is>
      </c>
      <c r="AN731" t="n">
        <v>0.596491228070175</v>
      </c>
    </row>
    <row r="732" ht="15" customHeight="1" s="2">
      <c r="B732" t="n">
        <v>11</v>
      </c>
      <c r="C732" t="n">
        <v>1</v>
      </c>
      <c r="D732" t="n">
        <v>11</v>
      </c>
      <c r="E732" t="inlineStr">
        <is>
          <t>FBC11-D11</t>
        </is>
      </c>
      <c r="F732" t="inlineStr">
        <is>
          <t>Friday</t>
        </is>
      </c>
      <c r="G732" s="27" t="n">
        <v>45583</v>
      </c>
      <c r="H732" t="inlineStr">
        <is>
          <t>PM</t>
        </is>
      </c>
      <c r="I732" t="inlineStr">
        <is>
          <t>Pinehurst, NC</t>
        </is>
      </c>
      <c r="J732" t="inlineStr">
        <is>
          <t>South</t>
        </is>
      </c>
      <c r="K732" t="n">
        <v>9</v>
      </c>
      <c r="L732" t="inlineStr">
        <is>
          <t>Front</t>
        </is>
      </c>
      <c r="M732" t="inlineStr">
        <is>
          <t>Pinehurst No. 3</t>
        </is>
      </c>
      <c r="N732" t="inlineStr">
        <is>
          <t>White</t>
        </is>
      </c>
      <c r="P732" t="n">
        <v>123</v>
      </c>
      <c r="Q732" t="n">
        <v>5155</v>
      </c>
      <c r="R732" t="inlineStr">
        <is>
          <t>Pinehurst</t>
        </is>
      </c>
      <c r="S732" t="inlineStr">
        <is>
          <t>Doubles</t>
        </is>
      </c>
      <c r="U732" t="inlineStr">
        <is>
          <t>Delneky</t>
        </is>
      </c>
      <c r="V732" t="inlineStr">
        <is>
          <t>Connolly</t>
        </is>
      </c>
      <c r="Y732" t="inlineStr">
        <is>
          <t>Forster</t>
        </is>
      </c>
      <c r="AA732" t="n">
        <v>1</v>
      </c>
      <c r="AB732" t="inlineStr">
        <is>
          <t>T</t>
        </is>
      </c>
      <c r="AC732" t="inlineStr">
        <is>
          <t>Halved</t>
        </is>
      </c>
      <c r="AE732">
        <f>$V732&amp;$Y732</f>
        <v/>
      </c>
      <c r="AF732" t="n">
        <v>0.5</v>
      </c>
      <c r="AG732" t="n">
        <v>0</v>
      </c>
      <c r="AH732" t="n">
        <v>0</v>
      </c>
      <c r="AI732" t="n">
        <v>1</v>
      </c>
      <c r="AJ732" t="n">
        <v>0.5</v>
      </c>
      <c r="AK732" t="inlineStr">
        <is>
          <t>Grise</t>
        </is>
      </c>
      <c r="AL732" t="n">
        <v>0.546875</v>
      </c>
      <c r="AM732" t="inlineStr">
        <is>
          <t>Jackson</t>
        </is>
      </c>
      <c r="AN732" t="n">
        <v>0.6171875</v>
      </c>
    </row>
    <row r="733" ht="15" customHeight="1" s="2">
      <c r="B733" t="n">
        <v>12</v>
      </c>
      <c r="C733" t="n">
        <v>2</v>
      </c>
      <c r="D733" t="n">
        <v>11</v>
      </c>
      <c r="E733" t="inlineStr">
        <is>
          <t>FBC11-D12</t>
        </is>
      </c>
      <c r="F733" t="inlineStr">
        <is>
          <t>Friday</t>
        </is>
      </c>
      <c r="G733" s="27" t="n">
        <v>45583</v>
      </c>
      <c r="H733" t="inlineStr">
        <is>
          <t>PM</t>
        </is>
      </c>
      <c r="I733" t="inlineStr">
        <is>
          <t>Pinehurst, NC</t>
        </is>
      </c>
      <c r="J733" t="inlineStr">
        <is>
          <t>South</t>
        </is>
      </c>
      <c r="K733" t="n">
        <v>9</v>
      </c>
      <c r="L733" t="inlineStr">
        <is>
          <t>Front</t>
        </is>
      </c>
      <c r="M733" t="inlineStr">
        <is>
          <t>Pinehurst No. 3</t>
        </is>
      </c>
      <c r="N733" t="inlineStr">
        <is>
          <t>White</t>
        </is>
      </c>
      <c r="P733" t="n">
        <v>123</v>
      </c>
      <c r="Q733" t="n">
        <v>5155</v>
      </c>
      <c r="R733" t="inlineStr">
        <is>
          <t>Pinehurst</t>
        </is>
      </c>
      <c r="S733" t="inlineStr">
        <is>
          <t>Doubles</t>
        </is>
      </c>
      <c r="U733" t="inlineStr">
        <is>
          <t>Delneky</t>
        </is>
      </c>
      <c r="V733" t="inlineStr">
        <is>
          <t>Poirier</t>
        </is>
      </c>
      <c r="Y733" t="inlineStr">
        <is>
          <t>Shively</t>
        </is>
      </c>
      <c r="AA733" t="n">
        <v>1</v>
      </c>
      <c r="AB733" t="inlineStr">
        <is>
          <t>L</t>
        </is>
      </c>
      <c r="AC733" t="inlineStr">
        <is>
          <t>2&amp;1</t>
        </is>
      </c>
      <c r="AE733">
        <f>$V733&amp;$Y733</f>
        <v/>
      </c>
      <c r="AF733" t="n">
        <v>0</v>
      </c>
      <c r="AG733" t="n">
        <v>0</v>
      </c>
      <c r="AH733" t="n">
        <v>1</v>
      </c>
      <c r="AI733" t="n">
        <v>0</v>
      </c>
      <c r="AJ733" t="n">
        <v>0</v>
      </c>
      <c r="AK733" t="inlineStr">
        <is>
          <t>Connors</t>
        </is>
      </c>
      <c r="AL733" t="n">
        <v>0.347457627118644</v>
      </c>
      <c r="AM733" t="inlineStr">
        <is>
          <t>Flanders</t>
        </is>
      </c>
      <c r="AN733" t="n">
        <v>0.4296875</v>
      </c>
    </row>
    <row r="734" ht="15" customHeight="1" s="2">
      <c r="B734" t="n">
        <v>12</v>
      </c>
      <c r="C734" t="n">
        <v>2</v>
      </c>
      <c r="D734" t="n">
        <v>11</v>
      </c>
      <c r="E734" t="inlineStr">
        <is>
          <t>FBC11-D12</t>
        </is>
      </c>
      <c r="F734" t="inlineStr">
        <is>
          <t>Friday</t>
        </is>
      </c>
      <c r="G734" s="27" t="n">
        <v>45583</v>
      </c>
      <c r="H734" t="inlineStr">
        <is>
          <t>PM</t>
        </is>
      </c>
      <c r="I734" t="inlineStr">
        <is>
          <t>Pinehurst, NC</t>
        </is>
      </c>
      <c r="J734" t="inlineStr">
        <is>
          <t>South</t>
        </is>
      </c>
      <c r="K734" t="n">
        <v>9</v>
      </c>
      <c r="L734" t="inlineStr">
        <is>
          <t>Front</t>
        </is>
      </c>
      <c r="M734" t="inlineStr">
        <is>
          <t>Pinehurst No. 3</t>
        </is>
      </c>
      <c r="N734" t="inlineStr">
        <is>
          <t>White</t>
        </is>
      </c>
      <c r="P734" t="n">
        <v>123</v>
      </c>
      <c r="Q734" t="n">
        <v>5155</v>
      </c>
      <c r="R734" t="inlineStr">
        <is>
          <t>Pinehurst</t>
        </is>
      </c>
      <c r="S734" t="inlineStr">
        <is>
          <t>Doubles</t>
        </is>
      </c>
      <c r="U734" t="inlineStr">
        <is>
          <t>Connors</t>
        </is>
      </c>
      <c r="V734" t="inlineStr">
        <is>
          <t>Connors</t>
        </is>
      </c>
      <c r="Y734" t="inlineStr">
        <is>
          <t>Flanders</t>
        </is>
      </c>
      <c r="AA734" t="n">
        <v>1</v>
      </c>
      <c r="AB734" t="inlineStr">
        <is>
          <t>W</t>
        </is>
      </c>
      <c r="AC734" t="inlineStr">
        <is>
          <t>2&amp;1</t>
        </is>
      </c>
      <c r="AE734">
        <f>$V734&amp;$Y734</f>
        <v/>
      </c>
      <c r="AF734" t="n">
        <v>1</v>
      </c>
      <c r="AG734" t="n">
        <v>1</v>
      </c>
      <c r="AH734" t="n">
        <v>0</v>
      </c>
      <c r="AI734" t="n">
        <v>0</v>
      </c>
      <c r="AJ734" t="n">
        <v>1</v>
      </c>
      <c r="AK734" t="inlineStr">
        <is>
          <t>Poirier</t>
        </is>
      </c>
      <c r="AL734" t="n">
        <v>0.486111111111111</v>
      </c>
      <c r="AM734" t="inlineStr">
        <is>
          <t>Shively</t>
        </is>
      </c>
    </row>
    <row r="735" ht="15" customHeight="1" s="2">
      <c r="B735" t="n">
        <v>13</v>
      </c>
      <c r="C735" t="n">
        <v>3</v>
      </c>
      <c r="D735" t="n">
        <v>11</v>
      </c>
      <c r="E735" t="inlineStr">
        <is>
          <t>FBC11-D13</t>
        </is>
      </c>
      <c r="F735" t="inlineStr">
        <is>
          <t>Friday</t>
        </is>
      </c>
      <c r="G735" s="27" t="n">
        <v>45583</v>
      </c>
      <c r="H735" t="inlineStr">
        <is>
          <t>PM</t>
        </is>
      </c>
      <c r="I735" t="inlineStr">
        <is>
          <t>Pinehurst, NC</t>
        </is>
      </c>
      <c r="J735" t="inlineStr">
        <is>
          <t>South</t>
        </is>
      </c>
      <c r="K735" t="n">
        <v>9</v>
      </c>
      <c r="L735" t="inlineStr">
        <is>
          <t>Front</t>
        </is>
      </c>
      <c r="M735" t="inlineStr">
        <is>
          <t>Pinehurst No. 3</t>
        </is>
      </c>
      <c r="N735" t="inlineStr">
        <is>
          <t>White</t>
        </is>
      </c>
      <c r="P735" t="n">
        <v>123</v>
      </c>
      <c r="Q735" t="n">
        <v>5155</v>
      </c>
      <c r="R735" t="inlineStr">
        <is>
          <t>Pinehurst</t>
        </is>
      </c>
      <c r="S735" t="inlineStr">
        <is>
          <t>Doubles</t>
        </is>
      </c>
      <c r="U735" t="inlineStr">
        <is>
          <t>Connors</t>
        </is>
      </c>
      <c r="V735" t="inlineStr">
        <is>
          <t>Hilts</t>
        </is>
      </c>
      <c r="Y735" t="inlineStr">
        <is>
          <t>Lynch</t>
        </is>
      </c>
      <c r="AA735" t="n">
        <v>1</v>
      </c>
      <c r="AB735" t="inlineStr">
        <is>
          <t>W</t>
        </is>
      </c>
      <c r="AC735" t="inlineStr">
        <is>
          <t>2&amp;1</t>
        </is>
      </c>
      <c r="AE735">
        <f>$V735&amp;$Y735</f>
        <v/>
      </c>
      <c r="AF735" t="n">
        <v>1</v>
      </c>
      <c r="AG735" t="n">
        <v>1</v>
      </c>
      <c r="AH735" t="n">
        <v>0</v>
      </c>
      <c r="AI735" t="n">
        <v>0</v>
      </c>
      <c r="AJ735" t="n">
        <v>1</v>
      </c>
      <c r="AK735" t="inlineStr">
        <is>
          <t>Fogan</t>
        </is>
      </c>
      <c r="AL735" t="n">
        <v>0.372881355932203</v>
      </c>
      <c r="AM735" t="inlineStr">
        <is>
          <t>Gray</t>
        </is>
      </c>
      <c r="AN735" t="n">
        <v>0.654761904761905</v>
      </c>
    </row>
    <row r="736" ht="15" customHeight="1" s="2">
      <c r="B736" t="n">
        <v>13</v>
      </c>
      <c r="C736" t="n">
        <v>3</v>
      </c>
      <c r="D736" t="n">
        <v>11</v>
      </c>
      <c r="E736" t="inlineStr">
        <is>
          <t>FBC11-D13</t>
        </is>
      </c>
      <c r="F736" t="inlineStr">
        <is>
          <t>Friday</t>
        </is>
      </c>
      <c r="G736" s="27" t="n">
        <v>45583</v>
      </c>
      <c r="H736" t="inlineStr">
        <is>
          <t>PM</t>
        </is>
      </c>
      <c r="I736" t="inlineStr">
        <is>
          <t>Pinehurst, NC</t>
        </is>
      </c>
      <c r="J736" t="inlineStr">
        <is>
          <t>South</t>
        </is>
      </c>
      <c r="K736" t="n">
        <v>9</v>
      </c>
      <c r="L736" t="inlineStr">
        <is>
          <t>Front</t>
        </is>
      </c>
      <c r="M736" t="inlineStr">
        <is>
          <t>Pinehurst No. 3</t>
        </is>
      </c>
      <c r="N736" t="inlineStr">
        <is>
          <t>White</t>
        </is>
      </c>
      <c r="P736" t="n">
        <v>123</v>
      </c>
      <c r="Q736" t="n">
        <v>5155</v>
      </c>
      <c r="R736" t="inlineStr">
        <is>
          <t>Pinehurst</t>
        </is>
      </c>
      <c r="S736" t="inlineStr">
        <is>
          <t>Doubles</t>
        </is>
      </c>
      <c r="U736" t="inlineStr">
        <is>
          <t>Delneky</t>
        </is>
      </c>
      <c r="V736" t="inlineStr">
        <is>
          <t>Fogan</t>
        </is>
      </c>
      <c r="Y736" t="inlineStr">
        <is>
          <t>Gray</t>
        </is>
      </c>
      <c r="AA736" t="n">
        <v>1</v>
      </c>
      <c r="AB736" t="inlineStr">
        <is>
          <t>L</t>
        </is>
      </c>
      <c r="AC736" t="inlineStr">
        <is>
          <t>2&amp;1</t>
        </is>
      </c>
      <c r="AE736">
        <f>$V736&amp;$Y736</f>
        <v/>
      </c>
      <c r="AF736" t="n">
        <v>0</v>
      </c>
      <c r="AG736" t="n">
        <v>0</v>
      </c>
      <c r="AH736" t="n">
        <v>1</v>
      </c>
      <c r="AI736" t="n">
        <v>0</v>
      </c>
      <c r="AJ736" t="n">
        <v>0</v>
      </c>
      <c r="AK736" t="inlineStr">
        <is>
          <t>Hilts</t>
        </is>
      </c>
      <c r="AL736" t="n">
        <v>0.473214285714286</v>
      </c>
      <c r="AM736" t="inlineStr">
        <is>
          <t>Lynch</t>
        </is>
      </c>
      <c r="AN736" t="n">
        <v>0.5546875</v>
      </c>
    </row>
    <row r="737" ht="15" customHeight="1" s="2">
      <c r="B737" t="n">
        <v>14</v>
      </c>
      <c r="C737" t="n">
        <v>4</v>
      </c>
      <c r="D737" t="n">
        <v>11</v>
      </c>
      <c r="E737" t="inlineStr">
        <is>
          <t>FBC11-D14</t>
        </is>
      </c>
      <c r="F737" t="inlineStr">
        <is>
          <t>Friday</t>
        </is>
      </c>
      <c r="G737" s="27" t="n">
        <v>45583</v>
      </c>
      <c r="H737" t="inlineStr">
        <is>
          <t>PM</t>
        </is>
      </c>
      <c r="I737" t="inlineStr">
        <is>
          <t>Pinehurst, NC</t>
        </is>
      </c>
      <c r="J737" t="inlineStr">
        <is>
          <t>South</t>
        </is>
      </c>
      <c r="K737" t="n">
        <v>9</v>
      </c>
      <c r="L737" t="inlineStr">
        <is>
          <t>Front</t>
        </is>
      </c>
      <c r="M737" t="inlineStr">
        <is>
          <t>Pinehurst No. 3</t>
        </is>
      </c>
      <c r="N737" t="inlineStr">
        <is>
          <t>White</t>
        </is>
      </c>
      <c r="P737" t="n">
        <v>123</v>
      </c>
      <c r="Q737" t="n">
        <v>5155</v>
      </c>
      <c r="R737" t="inlineStr">
        <is>
          <t>Pinehurst</t>
        </is>
      </c>
      <c r="S737" t="inlineStr">
        <is>
          <t>Doubles</t>
        </is>
      </c>
      <c r="U737" t="inlineStr">
        <is>
          <t>Delneky</t>
        </is>
      </c>
      <c r="V737" t="inlineStr">
        <is>
          <t>Delneky</t>
        </is>
      </c>
      <c r="Y737" t="inlineStr">
        <is>
          <t>Ferrin</t>
        </is>
      </c>
      <c r="AA737" t="n">
        <v>1</v>
      </c>
      <c r="AB737" t="inlineStr">
        <is>
          <t>W</t>
        </is>
      </c>
      <c r="AC737" t="inlineStr">
        <is>
          <t>1up</t>
        </is>
      </c>
      <c r="AE737">
        <f>$V737&amp;$Y737</f>
        <v/>
      </c>
      <c r="AF737" t="n">
        <v>1</v>
      </c>
      <c r="AG737" t="n">
        <v>1</v>
      </c>
      <c r="AH737" t="n">
        <v>0</v>
      </c>
      <c r="AI737" t="n">
        <v>0</v>
      </c>
      <c r="AJ737" t="n">
        <v>1</v>
      </c>
      <c r="AK737" t="inlineStr">
        <is>
          <t>Delaney</t>
        </is>
      </c>
      <c r="AL737" t="n">
        <v>0.46551724137931</v>
      </c>
      <c r="AM737" t="inlineStr">
        <is>
          <t>Mangold</t>
        </is>
      </c>
      <c r="AN737" t="n">
        <v>0.383928571428572</v>
      </c>
    </row>
    <row r="738" ht="15" customHeight="1" s="2">
      <c r="B738" t="n">
        <v>14</v>
      </c>
      <c r="C738" t="n">
        <v>4</v>
      </c>
      <c r="D738" t="n">
        <v>11</v>
      </c>
      <c r="E738" t="inlineStr">
        <is>
          <t>FBC11-D14</t>
        </is>
      </c>
      <c r="F738" t="inlineStr">
        <is>
          <t>Friday</t>
        </is>
      </c>
      <c r="G738" s="27" t="n">
        <v>45583</v>
      </c>
      <c r="H738" t="inlineStr">
        <is>
          <t>PM</t>
        </is>
      </c>
      <c r="I738" t="inlineStr">
        <is>
          <t>Pinehurst, NC</t>
        </is>
      </c>
      <c r="J738" t="inlineStr">
        <is>
          <t>South</t>
        </is>
      </c>
      <c r="K738" t="n">
        <v>9</v>
      </c>
      <c r="L738" t="inlineStr">
        <is>
          <t>Front</t>
        </is>
      </c>
      <c r="M738" t="inlineStr">
        <is>
          <t>Pinehurst No. 3</t>
        </is>
      </c>
      <c r="N738" t="inlineStr">
        <is>
          <t>White</t>
        </is>
      </c>
      <c r="P738" t="n">
        <v>123</v>
      </c>
      <c r="Q738" t="n">
        <v>5155</v>
      </c>
      <c r="R738" t="inlineStr">
        <is>
          <t>Pinehurst</t>
        </is>
      </c>
      <c r="S738" t="inlineStr">
        <is>
          <t>Doubles</t>
        </is>
      </c>
      <c r="U738" t="inlineStr">
        <is>
          <t>Connors</t>
        </is>
      </c>
      <c r="V738" t="inlineStr">
        <is>
          <t>Delaney</t>
        </is>
      </c>
      <c r="Y738" t="inlineStr">
        <is>
          <t>Mangold</t>
        </is>
      </c>
      <c r="AA738" t="n">
        <v>1</v>
      </c>
      <c r="AB738" t="inlineStr">
        <is>
          <t>L</t>
        </is>
      </c>
      <c r="AC738" t="inlineStr">
        <is>
          <t>1Dn</t>
        </is>
      </c>
      <c r="AE738">
        <f>$V738&amp;$Y738</f>
        <v/>
      </c>
      <c r="AF738" t="n">
        <v>0</v>
      </c>
      <c r="AG738" t="n">
        <v>0</v>
      </c>
      <c r="AH738" t="n">
        <v>1</v>
      </c>
      <c r="AI738" t="n">
        <v>0</v>
      </c>
      <c r="AJ738" t="n">
        <v>0</v>
      </c>
      <c r="AK738" t="inlineStr">
        <is>
          <t>Delneky</t>
        </is>
      </c>
      <c r="AL738" t="n">
        <v>0.6590909090909089</v>
      </c>
      <c r="AM738" t="inlineStr">
        <is>
          <t>Ferrin</t>
        </is>
      </c>
      <c r="AN738" t="n">
        <v>0.595238095238095</v>
      </c>
    </row>
    <row r="739" ht="15" customHeight="1" s="2">
      <c r="B739" t="n">
        <v>15</v>
      </c>
      <c r="C739" t="n">
        <v>5</v>
      </c>
      <c r="D739" t="n">
        <v>11</v>
      </c>
      <c r="E739" t="inlineStr">
        <is>
          <t>FBC11-D15</t>
        </is>
      </c>
      <c r="F739" t="inlineStr">
        <is>
          <t>Friday</t>
        </is>
      </c>
      <c r="G739" s="27" t="n">
        <v>45583</v>
      </c>
      <c r="H739" t="inlineStr">
        <is>
          <t>PM</t>
        </is>
      </c>
      <c r="I739" t="inlineStr">
        <is>
          <t>Pinehurst, NC</t>
        </is>
      </c>
      <c r="J739" t="inlineStr">
        <is>
          <t>South</t>
        </is>
      </c>
      <c r="K739" t="n">
        <v>9</v>
      </c>
      <c r="L739" t="inlineStr">
        <is>
          <t>Front</t>
        </is>
      </c>
      <c r="M739" t="inlineStr">
        <is>
          <t>Pinehurst No. 3</t>
        </is>
      </c>
      <c r="N739" t="inlineStr">
        <is>
          <t>White</t>
        </is>
      </c>
      <c r="P739" t="n">
        <v>123</v>
      </c>
      <c r="Q739" t="n">
        <v>5155</v>
      </c>
      <c r="R739" t="inlineStr">
        <is>
          <t>Pinehurst</t>
        </is>
      </c>
      <c r="S739" t="inlineStr">
        <is>
          <t>Doubles</t>
        </is>
      </c>
      <c r="U739" t="inlineStr">
        <is>
          <t>Connors</t>
        </is>
      </c>
      <c r="V739" t="inlineStr">
        <is>
          <t>Cole</t>
        </is>
      </c>
      <c r="Y739" t="inlineStr">
        <is>
          <t>Welker</t>
        </is>
      </c>
      <c r="AA739" t="n">
        <v>1</v>
      </c>
      <c r="AB739" t="inlineStr">
        <is>
          <t>W</t>
        </is>
      </c>
      <c r="AC739" t="inlineStr">
        <is>
          <t>2&amp;1</t>
        </is>
      </c>
      <c r="AE739">
        <f>$V739&amp;$Y739</f>
        <v/>
      </c>
      <c r="AF739" t="n">
        <v>1</v>
      </c>
      <c r="AG739" t="n">
        <v>1</v>
      </c>
      <c r="AH739" t="n">
        <v>0</v>
      </c>
      <c r="AI739" t="n">
        <v>0</v>
      </c>
      <c r="AJ739" t="n">
        <v>1</v>
      </c>
      <c r="AK739" t="inlineStr">
        <is>
          <t>Norat</t>
        </is>
      </c>
      <c r="AL739" t="n">
        <v>0.527777777777778</v>
      </c>
      <c r="AM739" t="inlineStr">
        <is>
          <t>Zimmer</t>
        </is>
      </c>
      <c r="AN739" t="n">
        <v>0.5</v>
      </c>
    </row>
    <row r="740" ht="15" customHeight="1" s="2">
      <c r="B740" t="n">
        <v>15</v>
      </c>
      <c r="C740" t="n">
        <v>5</v>
      </c>
      <c r="D740" t="n">
        <v>11</v>
      </c>
      <c r="E740" t="inlineStr">
        <is>
          <t>FBC11-D15</t>
        </is>
      </c>
      <c r="F740" t="inlineStr">
        <is>
          <t>Friday</t>
        </is>
      </c>
      <c r="G740" s="27" t="n">
        <v>45583</v>
      </c>
      <c r="H740" t="inlineStr">
        <is>
          <t>PM</t>
        </is>
      </c>
      <c r="I740" t="inlineStr">
        <is>
          <t>Pinehurst, NC</t>
        </is>
      </c>
      <c r="J740" t="inlineStr">
        <is>
          <t>South</t>
        </is>
      </c>
      <c r="K740" t="n">
        <v>9</v>
      </c>
      <c r="L740" t="inlineStr">
        <is>
          <t>Front</t>
        </is>
      </c>
      <c r="M740" t="inlineStr">
        <is>
          <t>Pinehurst No. 3</t>
        </is>
      </c>
      <c r="N740" t="inlineStr">
        <is>
          <t>White</t>
        </is>
      </c>
      <c r="P740" t="n">
        <v>123</v>
      </c>
      <c r="Q740" t="n">
        <v>5155</v>
      </c>
      <c r="R740" t="inlineStr">
        <is>
          <t>Pinehurst</t>
        </is>
      </c>
      <c r="S740" t="inlineStr">
        <is>
          <t>Doubles</t>
        </is>
      </c>
      <c r="U740" t="inlineStr">
        <is>
          <t>Delneky</t>
        </is>
      </c>
      <c r="V740" t="inlineStr">
        <is>
          <t>Norat</t>
        </is>
      </c>
      <c r="Y740" t="inlineStr">
        <is>
          <t>Zimmer</t>
        </is>
      </c>
      <c r="AA740" t="n">
        <v>1</v>
      </c>
      <c r="AB740" t="inlineStr">
        <is>
          <t>L</t>
        </is>
      </c>
      <c r="AC740" t="inlineStr">
        <is>
          <t>2&amp;1</t>
        </is>
      </c>
      <c r="AE740">
        <f>$V740&amp;$Y740</f>
        <v/>
      </c>
      <c r="AF740" t="n">
        <v>0</v>
      </c>
      <c r="AG740" t="n">
        <v>0</v>
      </c>
      <c r="AH740" t="n">
        <v>1</v>
      </c>
      <c r="AI740" t="n">
        <v>0</v>
      </c>
      <c r="AJ740" t="n">
        <v>0</v>
      </c>
      <c r="AK740" t="inlineStr">
        <is>
          <t>Cole</t>
        </is>
      </c>
      <c r="AL740" t="n">
        <v>0.440677966101695</v>
      </c>
      <c r="AM740" t="inlineStr">
        <is>
          <t>Welker</t>
        </is>
      </c>
      <c r="AN740" t="n">
        <v>0.510416666666667</v>
      </c>
    </row>
    <row r="741" ht="15" customHeight="1" s="2">
      <c r="B741" t="n">
        <v>16</v>
      </c>
      <c r="C741" t="n">
        <v>1</v>
      </c>
      <c r="D741" t="n">
        <v>11</v>
      </c>
      <c r="E741" t="inlineStr">
        <is>
          <t>FBC11-D16</t>
        </is>
      </c>
      <c r="F741" t="inlineStr">
        <is>
          <t>Friday</t>
        </is>
      </c>
      <c r="G741" s="27" t="n">
        <v>45583</v>
      </c>
      <c r="H741" t="inlineStr">
        <is>
          <t>PM</t>
        </is>
      </c>
      <c r="I741" t="inlineStr">
        <is>
          <t>Pinehurst, NC</t>
        </is>
      </c>
      <c r="J741" t="inlineStr">
        <is>
          <t>South</t>
        </is>
      </c>
      <c r="K741" t="n">
        <v>9</v>
      </c>
      <c r="L741" t="inlineStr">
        <is>
          <t>Back</t>
        </is>
      </c>
      <c r="M741" t="inlineStr">
        <is>
          <t>Pinehurst No. 3</t>
        </is>
      </c>
      <c r="N741" t="inlineStr">
        <is>
          <t>White</t>
        </is>
      </c>
      <c r="P741" t="n">
        <v>123</v>
      </c>
      <c r="Q741" t="n">
        <v>5155</v>
      </c>
      <c r="R741" t="inlineStr">
        <is>
          <t>Scramble</t>
        </is>
      </c>
      <c r="S741" t="inlineStr">
        <is>
          <t>Doubles</t>
        </is>
      </c>
      <c r="U741" t="inlineStr">
        <is>
          <t>Connors</t>
        </is>
      </c>
      <c r="V741" t="inlineStr">
        <is>
          <t>Grise</t>
        </is>
      </c>
      <c r="Y741" t="inlineStr">
        <is>
          <t>Jackson</t>
        </is>
      </c>
      <c r="AA741" t="n">
        <v>1</v>
      </c>
      <c r="AB741" t="inlineStr">
        <is>
          <t>L</t>
        </is>
      </c>
      <c r="AC741" t="inlineStr">
        <is>
          <t>2&amp;1</t>
        </is>
      </c>
      <c r="AE741">
        <f>$V741&amp;$Y741</f>
        <v/>
      </c>
      <c r="AF741" t="n">
        <v>0</v>
      </c>
      <c r="AG741" t="n">
        <v>0</v>
      </c>
      <c r="AH741" t="n">
        <v>1</v>
      </c>
      <c r="AI741" t="n">
        <v>0</v>
      </c>
      <c r="AJ741" t="n">
        <v>0</v>
      </c>
      <c r="AK741" t="inlineStr">
        <is>
          <t>Connolly</t>
        </is>
      </c>
      <c r="AL741" t="n">
        <v>0.59375</v>
      </c>
      <c r="AM741" t="inlineStr">
        <is>
          <t>Forster</t>
        </is>
      </c>
      <c r="AN741" t="n">
        <v>0.596491228070175</v>
      </c>
    </row>
    <row r="742" ht="15" customHeight="1" s="2">
      <c r="B742" t="n">
        <v>16</v>
      </c>
      <c r="C742" t="n">
        <v>1</v>
      </c>
      <c r="D742" t="n">
        <v>11</v>
      </c>
      <c r="E742" t="inlineStr">
        <is>
          <t>FBC11-D16</t>
        </is>
      </c>
      <c r="F742" t="inlineStr">
        <is>
          <t>Friday</t>
        </is>
      </c>
      <c r="G742" s="27" t="n">
        <v>45583</v>
      </c>
      <c r="H742" t="inlineStr">
        <is>
          <t>PM</t>
        </is>
      </c>
      <c r="I742" t="inlineStr">
        <is>
          <t>Pinehurst, NC</t>
        </is>
      </c>
      <c r="J742" t="inlineStr">
        <is>
          <t>South</t>
        </is>
      </c>
      <c r="K742" t="n">
        <v>9</v>
      </c>
      <c r="L742" t="inlineStr">
        <is>
          <t>Back</t>
        </is>
      </c>
      <c r="M742" t="inlineStr">
        <is>
          <t>Pinehurst No. 3</t>
        </is>
      </c>
      <c r="N742" t="inlineStr">
        <is>
          <t>White</t>
        </is>
      </c>
      <c r="P742" t="n">
        <v>123</v>
      </c>
      <c r="Q742" t="n">
        <v>5155</v>
      </c>
      <c r="R742" t="inlineStr">
        <is>
          <t>Scramble</t>
        </is>
      </c>
      <c r="S742" t="inlineStr">
        <is>
          <t>Doubles</t>
        </is>
      </c>
      <c r="U742" t="inlineStr">
        <is>
          <t>Delneky</t>
        </is>
      </c>
      <c r="V742" t="inlineStr">
        <is>
          <t>Connolly</t>
        </is>
      </c>
      <c r="Y742" t="inlineStr">
        <is>
          <t>Forster</t>
        </is>
      </c>
      <c r="AA742" t="n">
        <v>1</v>
      </c>
      <c r="AB742" t="inlineStr">
        <is>
          <t>W</t>
        </is>
      </c>
      <c r="AC742" t="inlineStr">
        <is>
          <t>2&amp;1</t>
        </is>
      </c>
      <c r="AE742">
        <f>$V742&amp;$Y742</f>
        <v/>
      </c>
      <c r="AF742" t="n">
        <v>1</v>
      </c>
      <c r="AG742" t="n">
        <v>1</v>
      </c>
      <c r="AH742" t="n">
        <v>0</v>
      </c>
      <c r="AI742" t="n">
        <v>0</v>
      </c>
      <c r="AJ742" t="n">
        <v>1</v>
      </c>
      <c r="AK742" t="inlineStr">
        <is>
          <t>Grise</t>
        </is>
      </c>
      <c r="AL742" t="n">
        <v>0.546875</v>
      </c>
      <c r="AM742" t="inlineStr">
        <is>
          <t>Jackson</t>
        </is>
      </c>
      <c r="AN742" t="n">
        <v>0.6171875</v>
      </c>
    </row>
    <row r="743" ht="15" customHeight="1" s="2">
      <c r="B743" t="n">
        <v>17</v>
      </c>
      <c r="C743" t="n">
        <v>2</v>
      </c>
      <c r="D743" t="n">
        <v>11</v>
      </c>
      <c r="E743" t="inlineStr">
        <is>
          <t>FBC11-D17</t>
        </is>
      </c>
      <c r="F743" t="inlineStr">
        <is>
          <t>Friday</t>
        </is>
      </c>
      <c r="G743" s="27" t="n">
        <v>45583</v>
      </c>
      <c r="H743" t="inlineStr">
        <is>
          <t>PM</t>
        </is>
      </c>
      <c r="I743" t="inlineStr">
        <is>
          <t>Pinehurst, NC</t>
        </is>
      </c>
      <c r="J743" t="inlineStr">
        <is>
          <t>South</t>
        </is>
      </c>
      <c r="K743" t="n">
        <v>9</v>
      </c>
      <c r="L743" t="inlineStr">
        <is>
          <t>Back</t>
        </is>
      </c>
      <c r="M743" t="inlineStr">
        <is>
          <t>Pinehurst No. 3</t>
        </is>
      </c>
      <c r="N743" t="inlineStr">
        <is>
          <t>White</t>
        </is>
      </c>
      <c r="P743" t="n">
        <v>123</v>
      </c>
      <c r="Q743" t="n">
        <v>5155</v>
      </c>
      <c r="R743" t="inlineStr">
        <is>
          <t>Scramble</t>
        </is>
      </c>
      <c r="S743" t="inlineStr">
        <is>
          <t>Doubles</t>
        </is>
      </c>
      <c r="U743" t="inlineStr">
        <is>
          <t>Delneky</t>
        </is>
      </c>
      <c r="V743" t="inlineStr">
        <is>
          <t>Poirier</t>
        </is>
      </c>
      <c r="Y743" t="inlineStr">
        <is>
          <t>Shively</t>
        </is>
      </c>
      <c r="AA743" t="n">
        <v>1</v>
      </c>
      <c r="AB743" t="inlineStr">
        <is>
          <t>T</t>
        </is>
      </c>
      <c r="AC743" t="inlineStr">
        <is>
          <t>Halved</t>
        </is>
      </c>
      <c r="AE743">
        <f>$V743&amp;$Y743</f>
        <v/>
      </c>
      <c r="AF743" t="n">
        <v>0.5</v>
      </c>
      <c r="AG743" t="n">
        <v>0</v>
      </c>
      <c r="AH743" t="n">
        <v>0</v>
      </c>
      <c r="AI743" t="n">
        <v>1</v>
      </c>
      <c r="AJ743" t="n">
        <v>0.5</v>
      </c>
      <c r="AK743" t="inlineStr">
        <is>
          <t>Connors</t>
        </is>
      </c>
      <c r="AL743" t="n">
        <v>0.347457627118644</v>
      </c>
      <c r="AM743" t="inlineStr">
        <is>
          <t>Flanders</t>
        </is>
      </c>
      <c r="AN743" t="n">
        <v>0.4296875</v>
      </c>
    </row>
    <row r="744" ht="15" customHeight="1" s="2">
      <c r="B744" t="n">
        <v>17</v>
      </c>
      <c r="C744" t="n">
        <v>2</v>
      </c>
      <c r="D744" t="n">
        <v>11</v>
      </c>
      <c r="E744" t="inlineStr">
        <is>
          <t>FBC11-D17</t>
        </is>
      </c>
      <c r="F744" t="inlineStr">
        <is>
          <t>Friday</t>
        </is>
      </c>
      <c r="G744" s="27" t="n">
        <v>45583</v>
      </c>
      <c r="H744" t="inlineStr">
        <is>
          <t>PM</t>
        </is>
      </c>
      <c r="I744" t="inlineStr">
        <is>
          <t>Pinehurst, NC</t>
        </is>
      </c>
      <c r="J744" t="inlineStr">
        <is>
          <t>South</t>
        </is>
      </c>
      <c r="K744" t="n">
        <v>9</v>
      </c>
      <c r="L744" t="inlineStr">
        <is>
          <t>Back</t>
        </is>
      </c>
      <c r="M744" t="inlineStr">
        <is>
          <t>Pinehurst No. 3</t>
        </is>
      </c>
      <c r="N744" t="inlineStr">
        <is>
          <t>White</t>
        </is>
      </c>
      <c r="P744" t="n">
        <v>123</v>
      </c>
      <c r="Q744" t="n">
        <v>5155</v>
      </c>
      <c r="R744" t="inlineStr">
        <is>
          <t>Scramble</t>
        </is>
      </c>
      <c r="S744" t="inlineStr">
        <is>
          <t>Doubles</t>
        </is>
      </c>
      <c r="U744" t="inlineStr">
        <is>
          <t>Connors</t>
        </is>
      </c>
      <c r="V744" t="inlineStr">
        <is>
          <t>Connors</t>
        </is>
      </c>
      <c r="Y744" t="inlineStr">
        <is>
          <t>Flanders</t>
        </is>
      </c>
      <c r="AA744" t="n">
        <v>1</v>
      </c>
      <c r="AB744" t="inlineStr">
        <is>
          <t>T</t>
        </is>
      </c>
      <c r="AC744" t="inlineStr">
        <is>
          <t>Halved</t>
        </is>
      </c>
      <c r="AE744">
        <f>$V744&amp;$Y744</f>
        <v/>
      </c>
      <c r="AF744" t="n">
        <v>0.5</v>
      </c>
      <c r="AG744" t="n">
        <v>0</v>
      </c>
      <c r="AH744" t="n">
        <v>0</v>
      </c>
      <c r="AI744" t="n">
        <v>1</v>
      </c>
      <c r="AJ744" t="n">
        <v>0.5</v>
      </c>
      <c r="AK744" t="inlineStr">
        <is>
          <t>Poirier</t>
        </is>
      </c>
      <c r="AL744" t="n">
        <v>0.486111111111111</v>
      </c>
      <c r="AM744" t="inlineStr">
        <is>
          <t>Shively</t>
        </is>
      </c>
    </row>
    <row r="745" ht="15" customHeight="1" s="2">
      <c r="B745" t="n">
        <v>18</v>
      </c>
      <c r="C745" t="n">
        <v>3</v>
      </c>
      <c r="D745" t="n">
        <v>11</v>
      </c>
      <c r="E745" t="inlineStr">
        <is>
          <t>FBC11-D18</t>
        </is>
      </c>
      <c r="F745" t="inlineStr">
        <is>
          <t>Friday</t>
        </is>
      </c>
      <c r="G745" s="27" t="n">
        <v>45583</v>
      </c>
      <c r="H745" t="inlineStr">
        <is>
          <t>PM</t>
        </is>
      </c>
      <c r="I745" t="inlineStr">
        <is>
          <t>Pinehurst, NC</t>
        </is>
      </c>
      <c r="J745" t="inlineStr">
        <is>
          <t>South</t>
        </is>
      </c>
      <c r="K745" t="n">
        <v>9</v>
      </c>
      <c r="L745" t="inlineStr">
        <is>
          <t>Back</t>
        </is>
      </c>
      <c r="M745" t="inlineStr">
        <is>
          <t>Pinehurst No. 3</t>
        </is>
      </c>
      <c r="N745" t="inlineStr">
        <is>
          <t>White</t>
        </is>
      </c>
      <c r="P745" t="n">
        <v>123</v>
      </c>
      <c r="Q745" t="n">
        <v>5155</v>
      </c>
      <c r="R745" t="inlineStr">
        <is>
          <t>Scramble</t>
        </is>
      </c>
      <c r="S745" t="inlineStr">
        <is>
          <t>Doubles</t>
        </is>
      </c>
      <c r="U745" t="inlineStr">
        <is>
          <t>Connors</t>
        </is>
      </c>
      <c r="V745" t="inlineStr">
        <is>
          <t>Hilts</t>
        </is>
      </c>
      <c r="Y745" t="inlineStr">
        <is>
          <t>Lynch</t>
        </is>
      </c>
      <c r="AA745" t="n">
        <v>1</v>
      </c>
      <c r="AB745" t="inlineStr">
        <is>
          <t>W</t>
        </is>
      </c>
      <c r="AC745" t="inlineStr">
        <is>
          <t>2&amp;1</t>
        </is>
      </c>
      <c r="AE745">
        <f>$V745&amp;$Y745</f>
        <v/>
      </c>
      <c r="AF745" t="n">
        <v>1</v>
      </c>
      <c r="AG745" t="n">
        <v>1</v>
      </c>
      <c r="AH745" t="n">
        <v>0</v>
      </c>
      <c r="AI745" t="n">
        <v>0</v>
      </c>
      <c r="AJ745" t="n">
        <v>1</v>
      </c>
      <c r="AK745" t="inlineStr">
        <is>
          <t>Fogan</t>
        </is>
      </c>
      <c r="AL745" t="n">
        <v>0.372881355932203</v>
      </c>
      <c r="AM745" t="inlineStr">
        <is>
          <t>Gray</t>
        </is>
      </c>
      <c r="AN745" t="n">
        <v>0.654761904761905</v>
      </c>
    </row>
    <row r="746" ht="15" customHeight="1" s="2">
      <c r="B746" t="n">
        <v>18</v>
      </c>
      <c r="C746" t="n">
        <v>3</v>
      </c>
      <c r="D746" t="n">
        <v>11</v>
      </c>
      <c r="E746" t="inlineStr">
        <is>
          <t>FBC11-D18</t>
        </is>
      </c>
      <c r="F746" t="inlineStr">
        <is>
          <t>Friday</t>
        </is>
      </c>
      <c r="G746" s="27" t="n">
        <v>45583</v>
      </c>
      <c r="H746" t="inlineStr">
        <is>
          <t>PM</t>
        </is>
      </c>
      <c r="I746" t="inlineStr">
        <is>
          <t>Pinehurst, NC</t>
        </is>
      </c>
      <c r="J746" t="inlineStr">
        <is>
          <t>South</t>
        </is>
      </c>
      <c r="K746" t="n">
        <v>9</v>
      </c>
      <c r="L746" t="inlineStr">
        <is>
          <t>Back</t>
        </is>
      </c>
      <c r="M746" t="inlineStr">
        <is>
          <t>Pinehurst No. 3</t>
        </is>
      </c>
      <c r="N746" t="inlineStr">
        <is>
          <t>White</t>
        </is>
      </c>
      <c r="P746" t="n">
        <v>123</v>
      </c>
      <c r="Q746" t="n">
        <v>5155</v>
      </c>
      <c r="R746" t="inlineStr">
        <is>
          <t>Scramble</t>
        </is>
      </c>
      <c r="S746" t="inlineStr">
        <is>
          <t>Doubles</t>
        </is>
      </c>
      <c r="U746" t="inlineStr">
        <is>
          <t>Delneky</t>
        </is>
      </c>
      <c r="V746" t="inlineStr">
        <is>
          <t>Fogan</t>
        </is>
      </c>
      <c r="Y746" t="inlineStr">
        <is>
          <t>Gray</t>
        </is>
      </c>
      <c r="AA746" t="n">
        <v>1</v>
      </c>
      <c r="AB746" t="inlineStr">
        <is>
          <t>L</t>
        </is>
      </c>
      <c r="AC746" t="inlineStr">
        <is>
          <t>2&amp;1</t>
        </is>
      </c>
      <c r="AE746">
        <f>$V746&amp;$Y746</f>
        <v/>
      </c>
      <c r="AF746" t="n">
        <v>0</v>
      </c>
      <c r="AG746" t="n">
        <v>0</v>
      </c>
      <c r="AH746" t="n">
        <v>1</v>
      </c>
      <c r="AI746" t="n">
        <v>0</v>
      </c>
      <c r="AJ746" t="n">
        <v>0</v>
      </c>
      <c r="AK746" t="inlineStr">
        <is>
          <t>Hilts</t>
        </is>
      </c>
      <c r="AL746" t="n">
        <v>0.473214285714286</v>
      </c>
      <c r="AM746" t="inlineStr">
        <is>
          <t>Lynch</t>
        </is>
      </c>
      <c r="AN746" t="n">
        <v>0.5546875</v>
      </c>
    </row>
    <row r="747" ht="15" customHeight="1" s="2">
      <c r="B747" t="n">
        <v>19</v>
      </c>
      <c r="C747" t="n">
        <v>4</v>
      </c>
      <c r="D747" t="n">
        <v>11</v>
      </c>
      <c r="E747" t="inlineStr">
        <is>
          <t>FBC11-D19</t>
        </is>
      </c>
      <c r="F747" t="inlineStr">
        <is>
          <t>Friday</t>
        </is>
      </c>
      <c r="G747" s="27" t="n">
        <v>45583</v>
      </c>
      <c r="H747" t="inlineStr">
        <is>
          <t>PM</t>
        </is>
      </c>
      <c r="I747" t="inlineStr">
        <is>
          <t>Pinehurst, NC</t>
        </is>
      </c>
      <c r="J747" t="inlineStr">
        <is>
          <t>South</t>
        </is>
      </c>
      <c r="K747" t="n">
        <v>9</v>
      </c>
      <c r="L747" t="inlineStr">
        <is>
          <t>Back</t>
        </is>
      </c>
      <c r="M747" t="inlineStr">
        <is>
          <t>Pinehurst No. 3</t>
        </is>
      </c>
      <c r="N747" t="inlineStr">
        <is>
          <t>White</t>
        </is>
      </c>
      <c r="P747" t="n">
        <v>123</v>
      </c>
      <c r="Q747" t="n">
        <v>5155</v>
      </c>
      <c r="R747" t="inlineStr">
        <is>
          <t>Scramble</t>
        </is>
      </c>
      <c r="S747" t="inlineStr">
        <is>
          <t>Doubles</t>
        </is>
      </c>
      <c r="U747" t="inlineStr">
        <is>
          <t>Delneky</t>
        </is>
      </c>
      <c r="V747" t="inlineStr">
        <is>
          <t>Delneky</t>
        </is>
      </c>
      <c r="Y747" t="inlineStr">
        <is>
          <t>Ferrin</t>
        </is>
      </c>
      <c r="AA747" t="n">
        <v>1</v>
      </c>
      <c r="AB747" t="inlineStr">
        <is>
          <t>L</t>
        </is>
      </c>
      <c r="AC747" t="inlineStr">
        <is>
          <t>1dn</t>
        </is>
      </c>
      <c r="AE747">
        <f>$V747&amp;$Y747</f>
        <v/>
      </c>
      <c r="AF747" t="n">
        <v>0</v>
      </c>
      <c r="AG747" t="n">
        <v>0</v>
      </c>
      <c r="AH747" t="n">
        <v>1</v>
      </c>
      <c r="AI747" t="n">
        <v>0</v>
      </c>
      <c r="AJ747" t="n">
        <v>0</v>
      </c>
      <c r="AK747" t="inlineStr">
        <is>
          <t>Delaney</t>
        </is>
      </c>
      <c r="AL747" t="n">
        <v>0.46551724137931</v>
      </c>
      <c r="AM747" t="inlineStr">
        <is>
          <t>Mangold</t>
        </is>
      </c>
      <c r="AN747" t="n">
        <v>0.383928571428572</v>
      </c>
    </row>
    <row r="748" ht="15" customHeight="1" s="2">
      <c r="B748" t="n">
        <v>19</v>
      </c>
      <c r="C748" t="n">
        <v>4</v>
      </c>
      <c r="D748" t="n">
        <v>11</v>
      </c>
      <c r="E748" t="inlineStr">
        <is>
          <t>FBC11-D19</t>
        </is>
      </c>
      <c r="F748" t="inlineStr">
        <is>
          <t>Friday</t>
        </is>
      </c>
      <c r="G748" s="27" t="n">
        <v>45583</v>
      </c>
      <c r="H748" t="inlineStr">
        <is>
          <t>PM</t>
        </is>
      </c>
      <c r="I748" t="inlineStr">
        <is>
          <t>Pinehurst, NC</t>
        </is>
      </c>
      <c r="J748" t="inlineStr">
        <is>
          <t>South</t>
        </is>
      </c>
      <c r="K748" t="n">
        <v>9</v>
      </c>
      <c r="L748" t="inlineStr">
        <is>
          <t>Back</t>
        </is>
      </c>
      <c r="M748" t="inlineStr">
        <is>
          <t>Pinehurst No. 3</t>
        </is>
      </c>
      <c r="N748" t="inlineStr">
        <is>
          <t>White</t>
        </is>
      </c>
      <c r="P748" t="n">
        <v>123</v>
      </c>
      <c r="Q748" t="n">
        <v>5155</v>
      </c>
      <c r="R748" t="inlineStr">
        <is>
          <t>Scramble</t>
        </is>
      </c>
      <c r="S748" t="inlineStr">
        <is>
          <t>Doubles</t>
        </is>
      </c>
      <c r="U748" t="inlineStr">
        <is>
          <t>Connors</t>
        </is>
      </c>
      <c r="V748" t="inlineStr">
        <is>
          <t>Delaney</t>
        </is>
      </c>
      <c r="Y748" t="inlineStr">
        <is>
          <t>Mangold</t>
        </is>
      </c>
      <c r="AA748" t="n">
        <v>1</v>
      </c>
      <c r="AB748" t="inlineStr">
        <is>
          <t>W</t>
        </is>
      </c>
      <c r="AC748" t="inlineStr">
        <is>
          <t>1up</t>
        </is>
      </c>
      <c r="AE748">
        <f>$V748&amp;$Y748</f>
        <v/>
      </c>
      <c r="AF748" t="n">
        <v>1</v>
      </c>
      <c r="AG748" t="n">
        <v>1</v>
      </c>
      <c r="AH748" t="n">
        <v>0</v>
      </c>
      <c r="AI748" t="n">
        <v>0</v>
      </c>
      <c r="AJ748" t="n">
        <v>1</v>
      </c>
      <c r="AK748" t="inlineStr">
        <is>
          <t>Delneky</t>
        </is>
      </c>
      <c r="AL748" t="n">
        <v>0.6590909090909089</v>
      </c>
      <c r="AM748" t="inlineStr">
        <is>
          <t>Ferrin</t>
        </is>
      </c>
      <c r="AN748" t="n">
        <v>0.595238095238095</v>
      </c>
    </row>
    <row r="749" ht="15" customHeight="1" s="2">
      <c r="B749" t="n">
        <v>20</v>
      </c>
      <c r="C749" t="n">
        <v>5</v>
      </c>
      <c r="D749" t="n">
        <v>11</v>
      </c>
      <c r="E749" t="inlineStr">
        <is>
          <t>FBC11-D20</t>
        </is>
      </c>
      <c r="F749" t="inlineStr">
        <is>
          <t>Friday</t>
        </is>
      </c>
      <c r="G749" s="27" t="n">
        <v>45583</v>
      </c>
      <c r="H749" t="inlineStr">
        <is>
          <t>PM</t>
        </is>
      </c>
      <c r="I749" t="inlineStr">
        <is>
          <t>Pinehurst, NC</t>
        </is>
      </c>
      <c r="J749" t="inlineStr">
        <is>
          <t>South</t>
        </is>
      </c>
      <c r="K749" t="n">
        <v>9</v>
      </c>
      <c r="L749" t="inlineStr">
        <is>
          <t>Back</t>
        </is>
      </c>
      <c r="M749" t="inlineStr">
        <is>
          <t>Pinehurst No. 3</t>
        </is>
      </c>
      <c r="N749" t="inlineStr">
        <is>
          <t>White</t>
        </is>
      </c>
      <c r="P749" t="n">
        <v>123</v>
      </c>
      <c r="Q749" t="n">
        <v>5155</v>
      </c>
      <c r="R749" t="inlineStr">
        <is>
          <t>Scramble</t>
        </is>
      </c>
      <c r="S749" t="inlineStr">
        <is>
          <t>Doubles</t>
        </is>
      </c>
      <c r="U749" t="inlineStr">
        <is>
          <t>Connors</t>
        </is>
      </c>
      <c r="V749" t="inlineStr">
        <is>
          <t>Cole</t>
        </is>
      </c>
      <c r="Y749" t="inlineStr">
        <is>
          <t>Welker</t>
        </is>
      </c>
      <c r="AA749" t="n">
        <v>1</v>
      </c>
      <c r="AB749" t="inlineStr">
        <is>
          <t>T</t>
        </is>
      </c>
      <c r="AC749" t="inlineStr">
        <is>
          <t>Halved</t>
        </is>
      </c>
      <c r="AE749">
        <f>$V749&amp;$Y749</f>
        <v/>
      </c>
      <c r="AF749" t="n">
        <v>0.5</v>
      </c>
      <c r="AG749" t="n">
        <v>0</v>
      </c>
      <c r="AH749" t="n">
        <v>0</v>
      </c>
      <c r="AI749" t="n">
        <v>1</v>
      </c>
      <c r="AJ749" t="n">
        <v>0.5</v>
      </c>
      <c r="AK749" t="inlineStr">
        <is>
          <t>Norat</t>
        </is>
      </c>
      <c r="AL749" t="n">
        <v>0.527777777777778</v>
      </c>
      <c r="AM749" t="inlineStr">
        <is>
          <t>Zimmer</t>
        </is>
      </c>
      <c r="AN749" t="n">
        <v>0.5</v>
      </c>
    </row>
    <row r="750" ht="15" customHeight="1" s="2">
      <c r="B750" t="n">
        <v>20</v>
      </c>
      <c r="C750" t="n">
        <v>5</v>
      </c>
      <c r="D750" t="n">
        <v>11</v>
      </c>
      <c r="E750" t="inlineStr">
        <is>
          <t>FBC11-D20</t>
        </is>
      </c>
      <c r="F750" t="inlineStr">
        <is>
          <t>Friday</t>
        </is>
      </c>
      <c r="G750" s="27" t="n">
        <v>45583</v>
      </c>
      <c r="H750" t="inlineStr">
        <is>
          <t>PM</t>
        </is>
      </c>
      <c r="I750" t="inlineStr">
        <is>
          <t>Pinehurst, NC</t>
        </is>
      </c>
      <c r="J750" t="inlineStr">
        <is>
          <t>South</t>
        </is>
      </c>
      <c r="K750" t="n">
        <v>9</v>
      </c>
      <c r="L750" t="inlineStr">
        <is>
          <t>Back</t>
        </is>
      </c>
      <c r="M750" t="inlineStr">
        <is>
          <t>Pinehurst No. 3</t>
        </is>
      </c>
      <c r="N750" t="inlineStr">
        <is>
          <t>White</t>
        </is>
      </c>
      <c r="P750" t="n">
        <v>123</v>
      </c>
      <c r="Q750" t="n">
        <v>5155</v>
      </c>
      <c r="R750" t="inlineStr">
        <is>
          <t>Scramble</t>
        </is>
      </c>
      <c r="S750" t="inlineStr">
        <is>
          <t>Doubles</t>
        </is>
      </c>
      <c r="U750" t="inlineStr">
        <is>
          <t>Delneky</t>
        </is>
      </c>
      <c r="V750" t="inlineStr">
        <is>
          <t>Norat</t>
        </is>
      </c>
      <c r="Y750" t="inlineStr">
        <is>
          <t>Zimmer</t>
        </is>
      </c>
      <c r="AA750" t="n">
        <v>1</v>
      </c>
      <c r="AB750" t="inlineStr">
        <is>
          <t>T</t>
        </is>
      </c>
      <c r="AC750" t="inlineStr">
        <is>
          <t>Halved</t>
        </is>
      </c>
      <c r="AE750">
        <f>$V750&amp;$Y750</f>
        <v/>
      </c>
      <c r="AF750" t="n">
        <v>0.5</v>
      </c>
      <c r="AG750" t="n">
        <v>0</v>
      </c>
      <c r="AH750" t="n">
        <v>0</v>
      </c>
      <c r="AI750" t="n">
        <v>1</v>
      </c>
      <c r="AJ750" t="n">
        <v>0.5</v>
      </c>
      <c r="AK750" t="inlineStr">
        <is>
          <t>Cole</t>
        </is>
      </c>
      <c r="AL750" t="n">
        <v>0.440677966101695</v>
      </c>
      <c r="AM750" t="inlineStr">
        <is>
          <t>Welker</t>
        </is>
      </c>
      <c r="AN750" t="n">
        <v>0.510416666666667</v>
      </c>
    </row>
    <row r="751" ht="15" customHeight="1" s="2">
      <c r="B751" t="inlineStr">
        <is>
          <t>FT1</t>
        </is>
      </c>
      <c r="D751" t="n">
        <v>11</v>
      </c>
      <c r="E751" t="inlineStr">
        <is>
          <t>FBC11-FT</t>
        </is>
      </c>
      <c r="F751" t="inlineStr">
        <is>
          <t>Friday</t>
        </is>
      </c>
      <c r="G751" s="27" t="n">
        <v>45584</v>
      </c>
      <c r="H751" t="inlineStr">
        <is>
          <t>PM</t>
        </is>
      </c>
      <c r="I751" t="inlineStr">
        <is>
          <t>Pinehurst, NC</t>
        </is>
      </c>
      <c r="J751" t="inlineStr">
        <is>
          <t>South</t>
        </is>
      </c>
      <c r="K751" t="n">
        <v>9</v>
      </c>
      <c r="L751" t="inlineStr">
        <is>
          <t>Front</t>
        </is>
      </c>
      <c r="M751" t="inlineStr">
        <is>
          <t>Pinehurst Cradle</t>
        </is>
      </c>
      <c r="N751" t="inlineStr">
        <is>
          <t>White</t>
        </is>
      </c>
      <c r="R751" t="inlineStr">
        <is>
          <t>FTAS</t>
        </is>
      </c>
      <c r="S751" t="inlineStr">
        <is>
          <t>FTAS</t>
        </is>
      </c>
      <c r="U751" t="inlineStr">
        <is>
          <t>Connors</t>
        </is>
      </c>
      <c r="V751" t="inlineStr">
        <is>
          <t>Flanders</t>
        </is>
      </c>
      <c r="W751" t="inlineStr">
        <is>
          <t>White confetti</t>
        </is>
      </c>
      <c r="AA751" t="n">
        <v>0.5</v>
      </c>
      <c r="AB751" t="inlineStr">
        <is>
          <t>L</t>
        </is>
      </c>
      <c r="AE751">
        <f>$V751&amp;$Y751</f>
        <v/>
      </c>
      <c r="AF751" t="n">
        <v>0</v>
      </c>
      <c r="AG751" t="n">
        <v>0</v>
      </c>
      <c r="AH751" t="n">
        <v>1</v>
      </c>
      <c r="AI751" t="n">
        <v>0</v>
      </c>
      <c r="AJ751" t="n">
        <v>0</v>
      </c>
    </row>
    <row r="752" ht="15" customHeight="1" s="2">
      <c r="B752" t="inlineStr">
        <is>
          <t>FT1</t>
        </is>
      </c>
      <c r="D752" t="n">
        <v>11</v>
      </c>
      <c r="E752" t="inlineStr">
        <is>
          <t>FBC11-FT</t>
        </is>
      </c>
      <c r="F752" t="inlineStr">
        <is>
          <t>Friday</t>
        </is>
      </c>
      <c r="G752" s="27" t="n">
        <v>45584</v>
      </c>
      <c r="H752" t="inlineStr">
        <is>
          <t>PM</t>
        </is>
      </c>
      <c r="I752" t="inlineStr">
        <is>
          <t>Pinehurst, NC</t>
        </is>
      </c>
      <c r="J752" t="inlineStr">
        <is>
          <t>South</t>
        </is>
      </c>
      <c r="K752" t="n">
        <v>9</v>
      </c>
      <c r="L752" t="inlineStr">
        <is>
          <t>Front</t>
        </is>
      </c>
      <c r="M752" t="inlineStr">
        <is>
          <t>Pinehurst Cradle</t>
        </is>
      </c>
      <c r="N752" t="inlineStr">
        <is>
          <t>White</t>
        </is>
      </c>
      <c r="R752" t="inlineStr">
        <is>
          <t>FTAS</t>
        </is>
      </c>
      <c r="S752" t="inlineStr">
        <is>
          <t>FTAS</t>
        </is>
      </c>
      <c r="U752" t="inlineStr">
        <is>
          <t>Connors</t>
        </is>
      </c>
      <c r="V752" t="inlineStr">
        <is>
          <t>Grise</t>
        </is>
      </c>
      <c r="W752" t="inlineStr">
        <is>
          <t>White confetti</t>
        </is>
      </c>
      <c r="AA752" t="n">
        <v>0.5</v>
      </c>
      <c r="AB752" t="inlineStr">
        <is>
          <t>L</t>
        </is>
      </c>
      <c r="AE752">
        <f>$V752&amp;$Y752</f>
        <v/>
      </c>
      <c r="AF752" t="n">
        <v>0</v>
      </c>
      <c r="AG752" t="n">
        <v>0</v>
      </c>
      <c r="AH752" t="n">
        <v>1</v>
      </c>
      <c r="AI752" t="n">
        <v>0</v>
      </c>
      <c r="AJ752" t="n">
        <v>0</v>
      </c>
    </row>
    <row r="753" ht="15" customHeight="1" s="2">
      <c r="B753" t="inlineStr">
        <is>
          <t>FT1</t>
        </is>
      </c>
      <c r="D753" t="n">
        <v>11</v>
      </c>
      <c r="E753" t="inlineStr">
        <is>
          <t>FBC11-FT</t>
        </is>
      </c>
      <c r="F753" t="inlineStr">
        <is>
          <t>Friday</t>
        </is>
      </c>
      <c r="G753" s="27" t="n">
        <v>45584</v>
      </c>
      <c r="H753" t="inlineStr">
        <is>
          <t>PM</t>
        </is>
      </c>
      <c r="I753" t="inlineStr">
        <is>
          <t>Pinehurst, NC</t>
        </is>
      </c>
      <c r="J753" t="inlineStr">
        <is>
          <t>South</t>
        </is>
      </c>
      <c r="K753" t="n">
        <v>9</v>
      </c>
      <c r="L753" t="inlineStr">
        <is>
          <t>Front</t>
        </is>
      </c>
      <c r="M753" t="inlineStr">
        <is>
          <t>Pinehurst Cradle</t>
        </is>
      </c>
      <c r="N753" t="inlineStr">
        <is>
          <t>White</t>
        </is>
      </c>
      <c r="R753" t="inlineStr">
        <is>
          <t>FTAS</t>
        </is>
      </c>
      <c r="S753" t="inlineStr">
        <is>
          <t>FTAS</t>
        </is>
      </c>
      <c r="U753" t="inlineStr">
        <is>
          <t>Connors</t>
        </is>
      </c>
      <c r="V753" t="inlineStr">
        <is>
          <t>Cole</t>
        </is>
      </c>
      <c r="W753" t="inlineStr">
        <is>
          <t>White confetti</t>
        </is>
      </c>
      <c r="AA753" t="n">
        <v>0.5</v>
      </c>
      <c r="AB753" t="inlineStr">
        <is>
          <t>L</t>
        </is>
      </c>
      <c r="AE753">
        <f>$V753&amp;$Y753</f>
        <v/>
      </c>
      <c r="AF753" t="n">
        <v>0</v>
      </c>
      <c r="AG753" t="n">
        <v>0</v>
      </c>
      <c r="AH753" t="n">
        <v>1</v>
      </c>
      <c r="AI753" t="n">
        <v>0</v>
      </c>
      <c r="AJ753" t="n">
        <v>0</v>
      </c>
    </row>
    <row r="754" ht="15" customHeight="1" s="2">
      <c r="B754" t="inlineStr">
        <is>
          <t>FT1</t>
        </is>
      </c>
      <c r="D754" t="n">
        <v>11</v>
      </c>
      <c r="E754" t="inlineStr">
        <is>
          <t>FBC11-FT</t>
        </is>
      </c>
      <c r="F754" t="inlineStr">
        <is>
          <t>Friday</t>
        </is>
      </c>
      <c r="G754" s="27" t="n">
        <v>45584</v>
      </c>
      <c r="H754" t="inlineStr">
        <is>
          <t>PM</t>
        </is>
      </c>
      <c r="I754" t="inlineStr">
        <is>
          <t>Pinehurst, NC</t>
        </is>
      </c>
      <c r="J754" t="inlineStr">
        <is>
          <t>South</t>
        </is>
      </c>
      <c r="K754" t="n">
        <v>9</v>
      </c>
      <c r="L754" t="inlineStr">
        <is>
          <t>Front</t>
        </is>
      </c>
      <c r="M754" t="inlineStr">
        <is>
          <t>Pinehurst Cradle</t>
        </is>
      </c>
      <c r="N754" t="inlineStr">
        <is>
          <t>White</t>
        </is>
      </c>
      <c r="R754" t="inlineStr">
        <is>
          <t>FTAS</t>
        </is>
      </c>
      <c r="S754" t="inlineStr">
        <is>
          <t>FTAS</t>
        </is>
      </c>
      <c r="U754" t="inlineStr">
        <is>
          <t>Connors</t>
        </is>
      </c>
      <c r="V754" t="inlineStr">
        <is>
          <t>Lynch</t>
        </is>
      </c>
      <c r="W754" t="inlineStr">
        <is>
          <t>White confetti</t>
        </is>
      </c>
      <c r="AA754" t="n">
        <v>0.5</v>
      </c>
      <c r="AB754" t="inlineStr">
        <is>
          <t>L</t>
        </is>
      </c>
      <c r="AE754">
        <f>$V754&amp;$Y754</f>
        <v/>
      </c>
      <c r="AF754" t="n">
        <v>0</v>
      </c>
      <c r="AG754" t="n">
        <v>0</v>
      </c>
      <c r="AH754" t="n">
        <v>1</v>
      </c>
      <c r="AI754" t="n">
        <v>0</v>
      </c>
      <c r="AJ754" t="n">
        <v>0</v>
      </c>
    </row>
    <row r="755" ht="15" customHeight="1" s="2">
      <c r="B755" t="inlineStr">
        <is>
          <t>FT1</t>
        </is>
      </c>
      <c r="D755" t="n">
        <v>11</v>
      </c>
      <c r="E755" t="inlineStr">
        <is>
          <t>FBC11-FT</t>
        </is>
      </c>
      <c r="F755" t="inlineStr">
        <is>
          <t>Friday</t>
        </is>
      </c>
      <c r="G755" s="27" t="n">
        <v>45584</v>
      </c>
      <c r="H755" t="inlineStr">
        <is>
          <t>PM</t>
        </is>
      </c>
      <c r="I755" t="inlineStr">
        <is>
          <t>Pinehurst, NC</t>
        </is>
      </c>
      <c r="J755" t="inlineStr">
        <is>
          <t>South</t>
        </is>
      </c>
      <c r="K755" t="n">
        <v>9</v>
      </c>
      <c r="L755" t="inlineStr">
        <is>
          <t>Front</t>
        </is>
      </c>
      <c r="M755" t="inlineStr">
        <is>
          <t>Pinehurst Cradle</t>
        </is>
      </c>
      <c r="N755" t="inlineStr">
        <is>
          <t>White</t>
        </is>
      </c>
      <c r="R755" t="inlineStr">
        <is>
          <t>FTAS</t>
        </is>
      </c>
      <c r="S755" t="inlineStr">
        <is>
          <t>FTAS</t>
        </is>
      </c>
      <c r="U755" t="inlineStr">
        <is>
          <t>Connors</t>
        </is>
      </c>
      <c r="V755" t="inlineStr">
        <is>
          <t>Connors</t>
        </is>
      </c>
      <c r="W755" t="inlineStr">
        <is>
          <t>White confetti</t>
        </is>
      </c>
      <c r="AA755" t="n">
        <v>0.5</v>
      </c>
      <c r="AB755" t="inlineStr">
        <is>
          <t>L</t>
        </is>
      </c>
      <c r="AE755">
        <f>$V755&amp;$Y755</f>
        <v/>
      </c>
      <c r="AF755" t="n">
        <v>0</v>
      </c>
      <c r="AG755" t="n">
        <v>0</v>
      </c>
      <c r="AH755" t="n">
        <v>1</v>
      </c>
      <c r="AI755" t="n">
        <v>0</v>
      </c>
      <c r="AJ755" t="n">
        <v>0</v>
      </c>
    </row>
    <row r="756" ht="15" customHeight="1" s="2">
      <c r="B756" t="inlineStr">
        <is>
          <t>FT1</t>
        </is>
      </c>
      <c r="D756" t="n">
        <v>11</v>
      </c>
      <c r="E756" t="inlineStr">
        <is>
          <t>FBC11-FT</t>
        </is>
      </c>
      <c r="F756" t="inlineStr">
        <is>
          <t>Friday</t>
        </is>
      </c>
      <c r="G756" s="27" t="n">
        <v>45584</v>
      </c>
      <c r="H756" t="inlineStr">
        <is>
          <t>PM</t>
        </is>
      </c>
      <c r="I756" t="inlineStr">
        <is>
          <t>Pinehurst, NC</t>
        </is>
      </c>
      <c r="J756" t="inlineStr">
        <is>
          <t>South</t>
        </is>
      </c>
      <c r="K756" t="n">
        <v>9</v>
      </c>
      <c r="L756" t="inlineStr">
        <is>
          <t>Front</t>
        </is>
      </c>
      <c r="M756" t="inlineStr">
        <is>
          <t>Pinehurst Cradle</t>
        </is>
      </c>
      <c r="N756" t="inlineStr">
        <is>
          <t>White</t>
        </is>
      </c>
      <c r="R756" t="inlineStr">
        <is>
          <t>FTAS</t>
        </is>
      </c>
      <c r="S756" t="inlineStr">
        <is>
          <t>FTAS</t>
        </is>
      </c>
      <c r="U756" t="inlineStr">
        <is>
          <t>Connors</t>
        </is>
      </c>
      <c r="V756" t="inlineStr">
        <is>
          <t>Jackson</t>
        </is>
      </c>
      <c r="W756" t="inlineStr">
        <is>
          <t>White confetti</t>
        </is>
      </c>
      <c r="AA756" t="n">
        <v>0.5</v>
      </c>
      <c r="AB756" t="inlineStr">
        <is>
          <t>L</t>
        </is>
      </c>
      <c r="AE756">
        <f>$V756&amp;$Y756</f>
        <v/>
      </c>
      <c r="AF756" t="n">
        <v>0</v>
      </c>
      <c r="AG756" t="n">
        <v>0</v>
      </c>
      <c r="AH756" t="n">
        <v>1</v>
      </c>
      <c r="AI756" t="n">
        <v>0</v>
      </c>
      <c r="AJ756" t="n">
        <v>0</v>
      </c>
    </row>
    <row r="757" ht="15" customHeight="1" s="2">
      <c r="B757" t="inlineStr">
        <is>
          <t>FT1</t>
        </is>
      </c>
      <c r="D757" t="n">
        <v>11</v>
      </c>
      <c r="E757" t="inlineStr">
        <is>
          <t>FBC11-FT</t>
        </is>
      </c>
      <c r="F757" t="inlineStr">
        <is>
          <t>Friday</t>
        </is>
      </c>
      <c r="G757" s="27" t="n">
        <v>45584</v>
      </c>
      <c r="H757" t="inlineStr">
        <is>
          <t>PM</t>
        </is>
      </c>
      <c r="I757" t="inlineStr">
        <is>
          <t>Pinehurst, NC</t>
        </is>
      </c>
      <c r="J757" t="inlineStr">
        <is>
          <t>South</t>
        </is>
      </c>
      <c r="K757" t="n">
        <v>9</v>
      </c>
      <c r="L757" t="inlineStr">
        <is>
          <t>Front</t>
        </is>
      </c>
      <c r="M757" t="inlineStr">
        <is>
          <t>Pinehurst Cradle</t>
        </is>
      </c>
      <c r="N757" t="inlineStr">
        <is>
          <t>White</t>
        </is>
      </c>
      <c r="R757" t="inlineStr">
        <is>
          <t>FTAS</t>
        </is>
      </c>
      <c r="S757" t="inlineStr">
        <is>
          <t>FTAS</t>
        </is>
      </c>
      <c r="U757" t="inlineStr">
        <is>
          <t>Connors</t>
        </is>
      </c>
      <c r="V757" t="inlineStr">
        <is>
          <t>Delaney</t>
        </is>
      </c>
      <c r="W757" t="inlineStr">
        <is>
          <t>White confetti</t>
        </is>
      </c>
      <c r="AA757" t="n">
        <v>0.5</v>
      </c>
      <c r="AB757" t="inlineStr">
        <is>
          <t>L</t>
        </is>
      </c>
      <c r="AE757">
        <f>$V757&amp;$Y757</f>
        <v/>
      </c>
      <c r="AF757" t="n">
        <v>0</v>
      </c>
      <c r="AG757" t="n">
        <v>0</v>
      </c>
      <c r="AH757" t="n">
        <v>1</v>
      </c>
      <c r="AI757" t="n">
        <v>0</v>
      </c>
      <c r="AJ757" t="n">
        <v>0</v>
      </c>
    </row>
    <row r="758" ht="15" customHeight="1" s="2">
      <c r="B758" t="inlineStr">
        <is>
          <t>FT1</t>
        </is>
      </c>
      <c r="D758" t="n">
        <v>11</v>
      </c>
      <c r="E758" t="inlineStr">
        <is>
          <t>FBC11-FT</t>
        </is>
      </c>
      <c r="F758" t="inlineStr">
        <is>
          <t>Friday</t>
        </is>
      </c>
      <c r="G758" s="27" t="n">
        <v>45584</v>
      </c>
      <c r="H758" t="inlineStr">
        <is>
          <t>PM</t>
        </is>
      </c>
      <c r="I758" t="inlineStr">
        <is>
          <t>Pinehurst, NC</t>
        </is>
      </c>
      <c r="J758" t="inlineStr">
        <is>
          <t>South</t>
        </is>
      </c>
      <c r="K758" t="n">
        <v>9</v>
      </c>
      <c r="L758" t="inlineStr">
        <is>
          <t>Front</t>
        </is>
      </c>
      <c r="M758" t="inlineStr">
        <is>
          <t>Pinehurst Cradle</t>
        </is>
      </c>
      <c r="N758" t="inlineStr">
        <is>
          <t>White</t>
        </is>
      </c>
      <c r="R758" t="inlineStr">
        <is>
          <t>FTAS</t>
        </is>
      </c>
      <c r="S758" t="inlineStr">
        <is>
          <t>FTAS</t>
        </is>
      </c>
      <c r="U758" t="inlineStr">
        <is>
          <t>Connors</t>
        </is>
      </c>
      <c r="V758" t="inlineStr">
        <is>
          <t>Hilts</t>
        </is>
      </c>
      <c r="W758" t="inlineStr">
        <is>
          <t>White confetti</t>
        </is>
      </c>
      <c r="AA758" t="n">
        <v>0.5</v>
      </c>
      <c r="AB758" t="inlineStr">
        <is>
          <t>L</t>
        </is>
      </c>
      <c r="AE758">
        <f>$V758&amp;$Y758</f>
        <v/>
      </c>
      <c r="AF758" t="n">
        <v>0</v>
      </c>
      <c r="AG758" t="n">
        <v>0</v>
      </c>
      <c r="AH758" t="n">
        <v>1</v>
      </c>
      <c r="AI758" t="n">
        <v>0</v>
      </c>
      <c r="AJ758" t="n">
        <v>0</v>
      </c>
    </row>
    <row r="759" ht="15" customHeight="1" s="2">
      <c r="B759" t="inlineStr">
        <is>
          <t>FT1</t>
        </is>
      </c>
      <c r="D759" t="n">
        <v>11</v>
      </c>
      <c r="E759" t="inlineStr">
        <is>
          <t>FBC11-FT</t>
        </is>
      </c>
      <c r="F759" t="inlineStr">
        <is>
          <t>Friday</t>
        </is>
      </c>
      <c r="G759" s="27" t="n">
        <v>45584</v>
      </c>
      <c r="H759" t="inlineStr">
        <is>
          <t>PM</t>
        </is>
      </c>
      <c r="I759" t="inlineStr">
        <is>
          <t>Pinehurst, NC</t>
        </is>
      </c>
      <c r="J759" t="inlineStr">
        <is>
          <t>South</t>
        </is>
      </c>
      <c r="K759" t="n">
        <v>9</v>
      </c>
      <c r="L759" t="inlineStr">
        <is>
          <t>Front</t>
        </is>
      </c>
      <c r="M759" t="inlineStr">
        <is>
          <t>Pinehurst Cradle</t>
        </is>
      </c>
      <c r="N759" t="inlineStr">
        <is>
          <t>White</t>
        </is>
      </c>
      <c r="R759" t="inlineStr">
        <is>
          <t>FTAS</t>
        </is>
      </c>
      <c r="S759" t="inlineStr">
        <is>
          <t>FTAS</t>
        </is>
      </c>
      <c r="U759" t="inlineStr">
        <is>
          <t>Connors</t>
        </is>
      </c>
      <c r="V759" t="inlineStr">
        <is>
          <t>Mangold</t>
        </is>
      </c>
      <c r="W759" t="inlineStr">
        <is>
          <t>White confetti</t>
        </is>
      </c>
      <c r="AA759" t="n">
        <v>0.5</v>
      </c>
      <c r="AB759" t="inlineStr">
        <is>
          <t>L</t>
        </is>
      </c>
      <c r="AE759">
        <f>$V759&amp;$Y759</f>
        <v/>
      </c>
      <c r="AF759" t="n">
        <v>0</v>
      </c>
      <c r="AG759" t="n">
        <v>0</v>
      </c>
      <c r="AH759" t="n">
        <v>1</v>
      </c>
      <c r="AI759" t="n">
        <v>0</v>
      </c>
      <c r="AJ759" t="n">
        <v>0</v>
      </c>
    </row>
    <row r="760" ht="15" customHeight="1" s="2">
      <c r="B760" t="inlineStr">
        <is>
          <t>FT1</t>
        </is>
      </c>
      <c r="D760" t="n">
        <v>11</v>
      </c>
      <c r="E760" t="inlineStr">
        <is>
          <t>FBC11-FT</t>
        </is>
      </c>
      <c r="F760" t="inlineStr">
        <is>
          <t>Friday</t>
        </is>
      </c>
      <c r="G760" s="27" t="n">
        <v>45584</v>
      </c>
      <c r="H760" t="inlineStr">
        <is>
          <t>PM</t>
        </is>
      </c>
      <c r="I760" t="inlineStr">
        <is>
          <t>Pinehurst, NC</t>
        </is>
      </c>
      <c r="J760" t="inlineStr">
        <is>
          <t>South</t>
        </is>
      </c>
      <c r="K760" t="n">
        <v>9</v>
      </c>
      <c r="L760" t="inlineStr">
        <is>
          <t>Front</t>
        </is>
      </c>
      <c r="M760" t="inlineStr">
        <is>
          <t>Pinehurst Cradle</t>
        </is>
      </c>
      <c r="N760" t="inlineStr">
        <is>
          <t>White</t>
        </is>
      </c>
      <c r="R760" t="inlineStr">
        <is>
          <t>FTAS</t>
        </is>
      </c>
      <c r="S760" t="inlineStr">
        <is>
          <t>FTAS</t>
        </is>
      </c>
      <c r="U760" t="inlineStr">
        <is>
          <t>Connors</t>
        </is>
      </c>
      <c r="V760" t="inlineStr">
        <is>
          <t>Welker</t>
        </is>
      </c>
      <c r="W760" t="inlineStr">
        <is>
          <t>White confetti</t>
        </is>
      </c>
      <c r="AA760" t="n">
        <v>0.5</v>
      </c>
      <c r="AB760" t="inlineStr">
        <is>
          <t>L</t>
        </is>
      </c>
      <c r="AE760">
        <f>$V760&amp;$Y760</f>
        <v/>
      </c>
      <c r="AF760" t="n">
        <v>0</v>
      </c>
      <c r="AG760" t="n">
        <v>0</v>
      </c>
      <c r="AH760" t="n">
        <v>1</v>
      </c>
      <c r="AI760" t="n">
        <v>0</v>
      </c>
      <c r="AJ760" t="n">
        <v>0</v>
      </c>
    </row>
    <row r="761" ht="15" customHeight="1" s="2">
      <c r="B761" t="inlineStr">
        <is>
          <t>FT1</t>
        </is>
      </c>
      <c r="D761" t="n">
        <v>11</v>
      </c>
      <c r="E761" t="inlineStr">
        <is>
          <t>FBC11-FT</t>
        </is>
      </c>
      <c r="F761" t="inlineStr">
        <is>
          <t>Friday</t>
        </is>
      </c>
      <c r="G761" s="27" t="n">
        <v>45584</v>
      </c>
      <c r="H761" t="inlineStr">
        <is>
          <t>PM</t>
        </is>
      </c>
      <c r="I761" t="inlineStr">
        <is>
          <t>Pinehurst, NC</t>
        </is>
      </c>
      <c r="J761" t="inlineStr">
        <is>
          <t>South</t>
        </is>
      </c>
      <c r="K761" t="n">
        <v>9</v>
      </c>
      <c r="L761" t="inlineStr">
        <is>
          <t>Front</t>
        </is>
      </c>
      <c r="M761" t="inlineStr">
        <is>
          <t>Pinehurst Cradle</t>
        </is>
      </c>
      <c r="N761" t="inlineStr">
        <is>
          <t>White</t>
        </is>
      </c>
      <c r="R761" t="inlineStr">
        <is>
          <t>FTAS</t>
        </is>
      </c>
      <c r="S761" t="inlineStr">
        <is>
          <t>FTAS</t>
        </is>
      </c>
      <c r="U761" t="inlineStr">
        <is>
          <t>Delneky</t>
        </is>
      </c>
      <c r="V761" t="inlineStr">
        <is>
          <t>Fogan</t>
        </is>
      </c>
      <c r="W761" t="inlineStr">
        <is>
          <t>White ninja</t>
        </is>
      </c>
      <c r="AA761" t="n">
        <v>0.5</v>
      </c>
      <c r="AB761" t="inlineStr">
        <is>
          <t>W</t>
        </is>
      </c>
      <c r="AE761">
        <f>$V761&amp;$Y761</f>
        <v/>
      </c>
      <c r="AF761" t="n">
        <v>0.5</v>
      </c>
      <c r="AG761" t="n">
        <v>1</v>
      </c>
      <c r="AH761" t="n">
        <v>0</v>
      </c>
      <c r="AI761" t="n">
        <v>0</v>
      </c>
      <c r="AJ761" t="n">
        <v>1</v>
      </c>
    </row>
    <row r="762" ht="15" customHeight="1" s="2">
      <c r="B762" t="inlineStr">
        <is>
          <t>FT1</t>
        </is>
      </c>
      <c r="D762" t="n">
        <v>11</v>
      </c>
      <c r="E762" t="inlineStr">
        <is>
          <t>FBC11-FT</t>
        </is>
      </c>
      <c r="F762" t="inlineStr">
        <is>
          <t>Friday</t>
        </is>
      </c>
      <c r="G762" s="27" t="n">
        <v>45584</v>
      </c>
      <c r="H762" t="inlineStr">
        <is>
          <t>PM</t>
        </is>
      </c>
      <c r="I762" t="inlineStr">
        <is>
          <t>Pinehurst, NC</t>
        </is>
      </c>
      <c r="J762" t="inlineStr">
        <is>
          <t>South</t>
        </is>
      </c>
      <c r="K762" t="n">
        <v>9</v>
      </c>
      <c r="L762" t="inlineStr">
        <is>
          <t>Front</t>
        </is>
      </c>
      <c r="M762" t="inlineStr">
        <is>
          <t>Pinehurst Cradle</t>
        </is>
      </c>
      <c r="N762" t="inlineStr">
        <is>
          <t>White</t>
        </is>
      </c>
      <c r="R762" t="inlineStr">
        <is>
          <t>FTAS</t>
        </is>
      </c>
      <c r="S762" t="inlineStr">
        <is>
          <t>FTAS</t>
        </is>
      </c>
      <c r="U762" t="inlineStr">
        <is>
          <t>Delneky</t>
        </is>
      </c>
      <c r="V762" t="inlineStr">
        <is>
          <t>Poirier</t>
        </is>
      </c>
      <c r="W762" t="inlineStr">
        <is>
          <t>White ninja</t>
        </is>
      </c>
      <c r="AA762" t="n">
        <v>0.5</v>
      </c>
      <c r="AB762" t="inlineStr">
        <is>
          <t>W</t>
        </is>
      </c>
      <c r="AE762">
        <f>$V762&amp;$Y762</f>
        <v/>
      </c>
      <c r="AF762" t="n">
        <v>0.5</v>
      </c>
      <c r="AG762" t="n">
        <v>1</v>
      </c>
      <c r="AH762" t="n">
        <v>0</v>
      </c>
      <c r="AI762" t="n">
        <v>0</v>
      </c>
      <c r="AJ762" t="n">
        <v>1</v>
      </c>
    </row>
    <row r="763" ht="15" customHeight="1" s="2">
      <c r="B763" t="inlineStr">
        <is>
          <t>FT1</t>
        </is>
      </c>
      <c r="D763" t="n">
        <v>11</v>
      </c>
      <c r="E763" t="inlineStr">
        <is>
          <t>FBC11-FT</t>
        </is>
      </c>
      <c r="F763" t="inlineStr">
        <is>
          <t>Friday</t>
        </is>
      </c>
      <c r="G763" s="27" t="n">
        <v>45584</v>
      </c>
      <c r="H763" t="inlineStr">
        <is>
          <t>PM</t>
        </is>
      </c>
      <c r="I763" t="inlineStr">
        <is>
          <t>Pinehurst, NC</t>
        </is>
      </c>
      <c r="J763" t="inlineStr">
        <is>
          <t>South</t>
        </is>
      </c>
      <c r="K763" t="n">
        <v>9</v>
      </c>
      <c r="L763" t="inlineStr">
        <is>
          <t>Front</t>
        </is>
      </c>
      <c r="M763" t="inlineStr">
        <is>
          <t>Pinehurst Cradle</t>
        </is>
      </c>
      <c r="N763" t="inlineStr">
        <is>
          <t>White</t>
        </is>
      </c>
      <c r="R763" t="inlineStr">
        <is>
          <t>FTAS</t>
        </is>
      </c>
      <c r="S763" t="inlineStr">
        <is>
          <t>FTAS</t>
        </is>
      </c>
      <c r="U763" t="inlineStr">
        <is>
          <t>Delneky</t>
        </is>
      </c>
      <c r="V763" t="inlineStr">
        <is>
          <t>Gray</t>
        </is>
      </c>
      <c r="W763" t="inlineStr">
        <is>
          <t>White ninja</t>
        </is>
      </c>
      <c r="AA763" t="n">
        <v>0.5</v>
      </c>
      <c r="AB763" t="inlineStr">
        <is>
          <t>W</t>
        </is>
      </c>
      <c r="AE763">
        <f>$V763&amp;$Y763</f>
        <v/>
      </c>
      <c r="AF763" t="n">
        <v>0.5</v>
      </c>
      <c r="AG763" t="n">
        <v>1</v>
      </c>
      <c r="AH763" t="n">
        <v>0</v>
      </c>
      <c r="AI763" t="n">
        <v>0</v>
      </c>
      <c r="AJ763" t="n">
        <v>1</v>
      </c>
    </row>
    <row r="764" ht="15" customHeight="1" s="2">
      <c r="B764" t="inlineStr">
        <is>
          <t>FT1</t>
        </is>
      </c>
      <c r="D764" t="n">
        <v>11</v>
      </c>
      <c r="E764" t="inlineStr">
        <is>
          <t>FBC11-FT</t>
        </is>
      </c>
      <c r="F764" t="inlineStr">
        <is>
          <t>Friday</t>
        </is>
      </c>
      <c r="G764" s="27" t="n">
        <v>45584</v>
      </c>
      <c r="H764" t="inlineStr">
        <is>
          <t>PM</t>
        </is>
      </c>
      <c r="I764" t="inlineStr">
        <is>
          <t>Pinehurst, NC</t>
        </is>
      </c>
      <c r="J764" t="inlineStr">
        <is>
          <t>South</t>
        </is>
      </c>
      <c r="K764" t="n">
        <v>9</v>
      </c>
      <c r="L764" t="inlineStr">
        <is>
          <t>Front</t>
        </is>
      </c>
      <c r="M764" t="inlineStr">
        <is>
          <t>Pinehurst Cradle</t>
        </is>
      </c>
      <c r="N764" t="inlineStr">
        <is>
          <t>White</t>
        </is>
      </c>
      <c r="R764" t="inlineStr">
        <is>
          <t>FTAS</t>
        </is>
      </c>
      <c r="S764" t="inlineStr">
        <is>
          <t>FTAS</t>
        </is>
      </c>
      <c r="U764" t="inlineStr">
        <is>
          <t>Delneky</t>
        </is>
      </c>
      <c r="V764" t="inlineStr">
        <is>
          <t>Norat</t>
        </is>
      </c>
      <c r="W764" t="inlineStr">
        <is>
          <t>White ninja</t>
        </is>
      </c>
      <c r="AA764" t="n">
        <v>0.5</v>
      </c>
      <c r="AB764" t="inlineStr">
        <is>
          <t>W</t>
        </is>
      </c>
      <c r="AE764">
        <f>$V764&amp;$Y764</f>
        <v/>
      </c>
      <c r="AF764" t="n">
        <v>0.5</v>
      </c>
      <c r="AG764" t="n">
        <v>1</v>
      </c>
      <c r="AH764" t="n">
        <v>0</v>
      </c>
      <c r="AI764" t="n">
        <v>0</v>
      </c>
      <c r="AJ764" t="n">
        <v>1</v>
      </c>
    </row>
    <row r="765" ht="15" customHeight="1" s="2">
      <c r="B765" t="inlineStr">
        <is>
          <t>FT1</t>
        </is>
      </c>
      <c r="D765" t="n">
        <v>11</v>
      </c>
      <c r="E765" t="inlineStr">
        <is>
          <t>FBC11-FT</t>
        </is>
      </c>
      <c r="F765" t="inlineStr">
        <is>
          <t>Friday</t>
        </is>
      </c>
      <c r="G765" s="27" t="n">
        <v>45584</v>
      </c>
      <c r="H765" t="inlineStr">
        <is>
          <t>PM</t>
        </is>
      </c>
      <c r="I765" t="inlineStr">
        <is>
          <t>Pinehurst, NC</t>
        </is>
      </c>
      <c r="J765" t="inlineStr">
        <is>
          <t>South</t>
        </is>
      </c>
      <c r="K765" t="n">
        <v>9</v>
      </c>
      <c r="L765" t="inlineStr">
        <is>
          <t>Front</t>
        </is>
      </c>
      <c r="M765" t="inlineStr">
        <is>
          <t>Pinehurst Cradle</t>
        </is>
      </c>
      <c r="N765" t="inlineStr">
        <is>
          <t>White</t>
        </is>
      </c>
      <c r="R765" t="inlineStr">
        <is>
          <t>FTAS</t>
        </is>
      </c>
      <c r="S765" t="inlineStr">
        <is>
          <t>FTAS</t>
        </is>
      </c>
      <c r="U765" t="inlineStr">
        <is>
          <t>Delneky</t>
        </is>
      </c>
      <c r="V765" t="inlineStr">
        <is>
          <t>Connolly</t>
        </is>
      </c>
      <c r="W765" t="inlineStr">
        <is>
          <t>White ninja</t>
        </is>
      </c>
      <c r="AA765" t="n">
        <v>0.5</v>
      </c>
      <c r="AB765" t="inlineStr">
        <is>
          <t>W</t>
        </is>
      </c>
      <c r="AE765">
        <f>$V765&amp;$Y765</f>
        <v/>
      </c>
      <c r="AF765" t="n">
        <v>0.5</v>
      </c>
      <c r="AG765" t="n">
        <v>1</v>
      </c>
      <c r="AH765" t="n">
        <v>0</v>
      </c>
      <c r="AI765" t="n">
        <v>0</v>
      </c>
      <c r="AJ765" t="n">
        <v>1</v>
      </c>
    </row>
    <row r="766" ht="15" customHeight="1" s="2">
      <c r="B766" t="inlineStr">
        <is>
          <t>FT1</t>
        </is>
      </c>
      <c r="D766" t="n">
        <v>11</v>
      </c>
      <c r="E766" t="inlineStr">
        <is>
          <t>FBC11-FT</t>
        </is>
      </c>
      <c r="F766" t="inlineStr">
        <is>
          <t>Friday</t>
        </is>
      </c>
      <c r="G766" s="27" t="n">
        <v>45584</v>
      </c>
      <c r="H766" t="inlineStr">
        <is>
          <t>PM</t>
        </is>
      </c>
      <c r="I766" t="inlineStr">
        <is>
          <t>Pinehurst, NC</t>
        </is>
      </c>
      <c r="J766" t="inlineStr">
        <is>
          <t>South</t>
        </is>
      </c>
      <c r="K766" t="n">
        <v>9</v>
      </c>
      <c r="L766" t="inlineStr">
        <is>
          <t>Front</t>
        </is>
      </c>
      <c r="M766" t="inlineStr">
        <is>
          <t>Pinehurst Cradle</t>
        </is>
      </c>
      <c r="N766" t="inlineStr">
        <is>
          <t>White</t>
        </is>
      </c>
      <c r="R766" t="inlineStr">
        <is>
          <t>FTAS</t>
        </is>
      </c>
      <c r="S766" t="inlineStr">
        <is>
          <t>FTAS</t>
        </is>
      </c>
      <c r="U766" t="inlineStr">
        <is>
          <t>Delneky</t>
        </is>
      </c>
      <c r="V766" t="inlineStr">
        <is>
          <t>Delneky</t>
        </is>
      </c>
      <c r="W766" t="inlineStr">
        <is>
          <t>White ninja</t>
        </is>
      </c>
      <c r="AA766" t="n">
        <v>0.5</v>
      </c>
      <c r="AB766" t="inlineStr">
        <is>
          <t>W</t>
        </is>
      </c>
      <c r="AE766">
        <f>$V766&amp;$Y766</f>
        <v/>
      </c>
      <c r="AF766" t="n">
        <v>0.5</v>
      </c>
      <c r="AG766" t="n">
        <v>1</v>
      </c>
      <c r="AH766" t="n">
        <v>0</v>
      </c>
      <c r="AI766" t="n">
        <v>0</v>
      </c>
      <c r="AJ766" t="n">
        <v>1</v>
      </c>
    </row>
    <row r="767" ht="15" customHeight="1" s="2">
      <c r="B767" t="inlineStr">
        <is>
          <t>FT1</t>
        </is>
      </c>
      <c r="D767" t="n">
        <v>11</v>
      </c>
      <c r="E767" t="inlineStr">
        <is>
          <t>FBC11-FT</t>
        </is>
      </c>
      <c r="F767" t="inlineStr">
        <is>
          <t>Friday</t>
        </is>
      </c>
      <c r="G767" s="27" t="n">
        <v>45584</v>
      </c>
      <c r="H767" t="inlineStr">
        <is>
          <t>PM</t>
        </is>
      </c>
      <c r="I767" t="inlineStr">
        <is>
          <t>Pinehurst, NC</t>
        </is>
      </c>
      <c r="J767" t="inlineStr">
        <is>
          <t>South</t>
        </is>
      </c>
      <c r="K767" t="n">
        <v>9</v>
      </c>
      <c r="L767" t="inlineStr">
        <is>
          <t>Front</t>
        </is>
      </c>
      <c r="M767" t="inlineStr">
        <is>
          <t>Pinehurst Cradle</t>
        </is>
      </c>
      <c r="N767" t="inlineStr">
        <is>
          <t>White</t>
        </is>
      </c>
      <c r="R767" t="inlineStr">
        <is>
          <t>FTAS</t>
        </is>
      </c>
      <c r="S767" t="inlineStr">
        <is>
          <t>FTAS</t>
        </is>
      </c>
      <c r="U767" t="inlineStr">
        <is>
          <t>Delneky</t>
        </is>
      </c>
      <c r="V767" t="inlineStr">
        <is>
          <t>Shively</t>
        </is>
      </c>
      <c r="W767" t="inlineStr">
        <is>
          <t>White ninja</t>
        </is>
      </c>
      <c r="AA767" t="n">
        <v>0.5</v>
      </c>
      <c r="AB767" t="inlineStr">
        <is>
          <t>W</t>
        </is>
      </c>
      <c r="AE767">
        <f>$V767&amp;$Y767</f>
        <v/>
      </c>
      <c r="AF767" t="n">
        <v>0.5</v>
      </c>
      <c r="AG767" t="n">
        <v>1</v>
      </c>
      <c r="AH767" t="n">
        <v>0</v>
      </c>
      <c r="AI767" t="n">
        <v>0</v>
      </c>
      <c r="AJ767" t="n">
        <v>1</v>
      </c>
    </row>
    <row r="768" ht="15" customHeight="1" s="2">
      <c r="B768" t="inlineStr">
        <is>
          <t>FT1</t>
        </is>
      </c>
      <c r="D768" t="n">
        <v>11</v>
      </c>
      <c r="E768" t="inlineStr">
        <is>
          <t>FBC11-FT</t>
        </is>
      </c>
      <c r="F768" t="inlineStr">
        <is>
          <t>Friday</t>
        </is>
      </c>
      <c r="G768" s="27" t="n">
        <v>45584</v>
      </c>
      <c r="H768" t="inlineStr">
        <is>
          <t>PM</t>
        </is>
      </c>
      <c r="I768" t="inlineStr">
        <is>
          <t>Pinehurst, NC</t>
        </is>
      </c>
      <c r="J768" t="inlineStr">
        <is>
          <t>South</t>
        </is>
      </c>
      <c r="K768" t="n">
        <v>9</v>
      </c>
      <c r="L768" t="inlineStr">
        <is>
          <t>Front</t>
        </is>
      </c>
      <c r="M768" t="inlineStr">
        <is>
          <t>Pinehurst Cradle</t>
        </is>
      </c>
      <c r="N768" t="inlineStr">
        <is>
          <t>White</t>
        </is>
      </c>
      <c r="R768" t="inlineStr">
        <is>
          <t>FTAS</t>
        </is>
      </c>
      <c r="S768" t="inlineStr">
        <is>
          <t>FTAS</t>
        </is>
      </c>
      <c r="U768" t="inlineStr">
        <is>
          <t>Delneky</t>
        </is>
      </c>
      <c r="V768" t="inlineStr">
        <is>
          <t>Zimmer</t>
        </is>
      </c>
      <c r="W768" t="inlineStr">
        <is>
          <t>White ninja</t>
        </is>
      </c>
      <c r="AA768" t="n">
        <v>0.5</v>
      </c>
      <c r="AB768" t="inlineStr">
        <is>
          <t>W</t>
        </is>
      </c>
      <c r="AE768">
        <f>$V768&amp;$Y768</f>
        <v/>
      </c>
      <c r="AF768" t="n">
        <v>0.5</v>
      </c>
      <c r="AG768" t="n">
        <v>1</v>
      </c>
      <c r="AH768" t="n">
        <v>0</v>
      </c>
      <c r="AI768" t="n">
        <v>0</v>
      </c>
      <c r="AJ768" t="n">
        <v>1</v>
      </c>
    </row>
    <row r="769" ht="15" customHeight="1" s="2">
      <c r="B769" t="inlineStr">
        <is>
          <t>FT1</t>
        </is>
      </c>
      <c r="D769" t="n">
        <v>11</v>
      </c>
      <c r="E769" t="inlineStr">
        <is>
          <t>FBC11-FT</t>
        </is>
      </c>
      <c r="F769" t="inlineStr">
        <is>
          <t>Friday</t>
        </is>
      </c>
      <c r="G769" s="27" t="n">
        <v>45584</v>
      </c>
      <c r="H769" t="inlineStr">
        <is>
          <t>PM</t>
        </is>
      </c>
      <c r="I769" t="inlineStr">
        <is>
          <t>Pinehurst, NC</t>
        </is>
      </c>
      <c r="J769" t="inlineStr">
        <is>
          <t>South</t>
        </is>
      </c>
      <c r="K769" t="n">
        <v>9</v>
      </c>
      <c r="L769" t="inlineStr">
        <is>
          <t>Front</t>
        </is>
      </c>
      <c r="M769" t="inlineStr">
        <is>
          <t>Pinehurst Cradle</t>
        </is>
      </c>
      <c r="N769" t="inlineStr">
        <is>
          <t>White</t>
        </is>
      </c>
      <c r="R769" t="inlineStr">
        <is>
          <t>FTAS</t>
        </is>
      </c>
      <c r="S769" t="inlineStr">
        <is>
          <t>FTAS</t>
        </is>
      </c>
      <c r="U769" t="inlineStr">
        <is>
          <t>Delneky</t>
        </is>
      </c>
      <c r="V769" t="inlineStr">
        <is>
          <t>Ferrin</t>
        </is>
      </c>
      <c r="W769" t="inlineStr">
        <is>
          <t>White ninja</t>
        </is>
      </c>
      <c r="AA769" t="n">
        <v>0.5</v>
      </c>
      <c r="AB769" t="inlineStr">
        <is>
          <t>W</t>
        </is>
      </c>
      <c r="AE769">
        <f>$V769&amp;$Y769</f>
        <v/>
      </c>
      <c r="AF769" t="n">
        <v>0.5</v>
      </c>
      <c r="AG769" t="n">
        <v>1</v>
      </c>
      <c r="AH769" t="n">
        <v>0</v>
      </c>
      <c r="AI769" t="n">
        <v>0</v>
      </c>
      <c r="AJ769" t="n">
        <v>1</v>
      </c>
    </row>
    <row r="770" ht="15" customHeight="1" s="2">
      <c r="B770" t="inlineStr">
        <is>
          <t>FT1</t>
        </is>
      </c>
      <c r="D770" t="n">
        <v>11</v>
      </c>
      <c r="E770" t="inlineStr">
        <is>
          <t>FBC11-FT</t>
        </is>
      </c>
      <c r="F770" t="inlineStr">
        <is>
          <t>Friday</t>
        </is>
      </c>
      <c r="G770" s="27" t="n">
        <v>45584</v>
      </c>
      <c r="H770" t="inlineStr">
        <is>
          <t>PM</t>
        </is>
      </c>
      <c r="I770" t="inlineStr">
        <is>
          <t>Pinehurst, NC</t>
        </is>
      </c>
      <c r="J770" t="inlineStr">
        <is>
          <t>South</t>
        </is>
      </c>
      <c r="K770" t="n">
        <v>9</v>
      </c>
      <c r="L770" t="inlineStr">
        <is>
          <t>Front</t>
        </is>
      </c>
      <c r="M770" t="inlineStr">
        <is>
          <t>Pinehurst Cradle</t>
        </is>
      </c>
      <c r="N770" t="inlineStr">
        <is>
          <t>White</t>
        </is>
      </c>
      <c r="R770" t="inlineStr">
        <is>
          <t>FTAS</t>
        </is>
      </c>
      <c r="S770" t="inlineStr">
        <is>
          <t>FTAS</t>
        </is>
      </c>
      <c r="U770" t="inlineStr">
        <is>
          <t>Delneky</t>
        </is>
      </c>
      <c r="V770" t="inlineStr">
        <is>
          <t>Forster</t>
        </is>
      </c>
      <c r="W770" t="inlineStr">
        <is>
          <t>White ninja</t>
        </is>
      </c>
      <c r="AA770" t="n">
        <v>0.5</v>
      </c>
      <c r="AB770" t="inlineStr">
        <is>
          <t>W</t>
        </is>
      </c>
      <c r="AE770">
        <f>$V770&amp;$Y770</f>
        <v/>
      </c>
      <c r="AF770" t="n">
        <v>0.5</v>
      </c>
      <c r="AG770" t="n">
        <v>1</v>
      </c>
      <c r="AH770" t="n">
        <v>0</v>
      </c>
      <c r="AI770" t="n">
        <v>0</v>
      </c>
      <c r="AJ770" t="n">
        <v>1</v>
      </c>
    </row>
    <row r="771" ht="15" customHeight="1" s="2">
      <c r="B771" t="n">
        <v>21</v>
      </c>
      <c r="C771" t="n">
        <v>1</v>
      </c>
      <c r="D771" t="n">
        <v>11</v>
      </c>
      <c r="E771" t="inlineStr">
        <is>
          <t>FBC11-S-Lynch-Poirier</t>
        </is>
      </c>
      <c r="F771" t="inlineStr">
        <is>
          <t>Saturday</t>
        </is>
      </c>
      <c r="G771" s="27" t="n">
        <v>45584</v>
      </c>
      <c r="H771" t="inlineStr">
        <is>
          <t>AM</t>
        </is>
      </c>
      <c r="I771" t="inlineStr">
        <is>
          <t>Pinehurst, NC</t>
        </is>
      </c>
      <c r="J771" t="inlineStr">
        <is>
          <t>South</t>
        </is>
      </c>
      <c r="K771" t="n">
        <v>18</v>
      </c>
      <c r="L771" t="inlineStr">
        <is>
          <t>Full</t>
        </is>
      </c>
      <c r="M771" t="inlineStr">
        <is>
          <t>Pinehurst No. 10</t>
        </is>
      </c>
      <c r="N771" t="inlineStr">
        <is>
          <t>White</t>
        </is>
      </c>
      <c r="P771" t="n">
        <v>137</v>
      </c>
      <c r="Q771" t="n">
        <v>6439</v>
      </c>
      <c r="R771" t="inlineStr">
        <is>
          <t>Match Play</t>
        </is>
      </c>
      <c r="S771" t="inlineStr">
        <is>
          <t>Singles</t>
        </is>
      </c>
      <c r="U771" t="inlineStr">
        <is>
          <t>Connors</t>
        </is>
      </c>
      <c r="V771" t="inlineStr">
        <is>
          <t>Lynch</t>
        </is>
      </c>
      <c r="W771" t="inlineStr">
        <is>
          <t>White confetti</t>
        </is>
      </c>
      <c r="AA771" t="n">
        <v>2</v>
      </c>
      <c r="AB771" t="inlineStr">
        <is>
          <t>L</t>
        </is>
      </c>
      <c r="AD771" t="inlineStr">
        <is>
          <t>Poirier</t>
        </is>
      </c>
      <c r="AE771">
        <f>$V771&amp;$Y771</f>
        <v/>
      </c>
      <c r="AF771" t="n">
        <v>0</v>
      </c>
      <c r="AG771" t="n">
        <v>0</v>
      </c>
      <c r="AH771" t="n">
        <v>1</v>
      </c>
      <c r="AI771" t="n">
        <v>0</v>
      </c>
      <c r="AJ771" t="n">
        <v>0</v>
      </c>
      <c r="AK771" t="inlineStr">
        <is>
          <t>Poirier</t>
        </is>
      </c>
      <c r="AL771" t="n">
        <v>0.486111111111111</v>
      </c>
    </row>
    <row r="772" ht="15" customHeight="1" s="2">
      <c r="B772" t="n">
        <v>21</v>
      </c>
      <c r="C772" t="n">
        <v>2</v>
      </c>
      <c r="D772" t="n">
        <v>11</v>
      </c>
      <c r="E772" t="inlineStr">
        <is>
          <t>FBC11-S-Gray-Hilts</t>
        </is>
      </c>
      <c r="F772" t="inlineStr">
        <is>
          <t>Saturday</t>
        </is>
      </c>
      <c r="G772" s="27" t="n">
        <v>45584</v>
      </c>
      <c r="H772" t="inlineStr">
        <is>
          <t>AM</t>
        </is>
      </c>
      <c r="I772" t="inlineStr">
        <is>
          <t>Pinehurst, NC</t>
        </is>
      </c>
      <c r="J772" t="inlineStr">
        <is>
          <t>South</t>
        </is>
      </c>
      <c r="K772" t="n">
        <v>18</v>
      </c>
      <c r="L772" t="inlineStr">
        <is>
          <t>Full</t>
        </is>
      </c>
      <c r="M772" t="inlineStr">
        <is>
          <t>Pinehurst No. 10</t>
        </is>
      </c>
      <c r="N772" t="inlineStr">
        <is>
          <t>White</t>
        </is>
      </c>
      <c r="P772" t="n">
        <v>137</v>
      </c>
      <c r="Q772" t="n">
        <v>6439</v>
      </c>
      <c r="R772" t="inlineStr">
        <is>
          <t>Match Play</t>
        </is>
      </c>
      <c r="S772" t="inlineStr">
        <is>
          <t>Singles</t>
        </is>
      </c>
      <c r="U772" t="inlineStr">
        <is>
          <t>Connors</t>
        </is>
      </c>
      <c r="V772" t="inlineStr">
        <is>
          <t>Hilts</t>
        </is>
      </c>
      <c r="W772" t="inlineStr">
        <is>
          <t>White confetti</t>
        </is>
      </c>
      <c r="AA772" t="n">
        <v>2</v>
      </c>
      <c r="AB772" t="inlineStr">
        <is>
          <t>W</t>
        </is>
      </c>
      <c r="AD772" t="inlineStr">
        <is>
          <t>Gray</t>
        </is>
      </c>
      <c r="AE772">
        <f>$V772&amp;$Y772</f>
        <v/>
      </c>
      <c r="AF772" t="n">
        <v>2</v>
      </c>
      <c r="AG772" t="n">
        <v>1</v>
      </c>
      <c r="AH772" t="n">
        <v>0</v>
      </c>
      <c r="AI772" t="n">
        <v>0</v>
      </c>
      <c r="AJ772" t="n">
        <v>1</v>
      </c>
      <c r="AK772" t="inlineStr">
        <is>
          <t>Gray</t>
        </is>
      </c>
      <c r="AL772" t="n">
        <v>0.654761904761905</v>
      </c>
    </row>
    <row r="773" ht="15" customHeight="1" s="2">
      <c r="B773" t="n">
        <v>22</v>
      </c>
      <c r="C773" t="n">
        <v>3</v>
      </c>
      <c r="D773" t="n">
        <v>11</v>
      </c>
      <c r="E773" t="inlineStr">
        <is>
          <t>FBC11-S-Ferrin-Grise</t>
        </is>
      </c>
      <c r="F773" t="inlineStr">
        <is>
          <t>Saturday</t>
        </is>
      </c>
      <c r="G773" s="27" t="n">
        <v>45584</v>
      </c>
      <c r="H773" t="inlineStr">
        <is>
          <t>AM</t>
        </is>
      </c>
      <c r="I773" t="inlineStr">
        <is>
          <t>Pinehurst, NC</t>
        </is>
      </c>
      <c r="J773" t="inlineStr">
        <is>
          <t>South</t>
        </is>
      </c>
      <c r="K773" t="n">
        <v>18</v>
      </c>
      <c r="L773" t="inlineStr">
        <is>
          <t>Full</t>
        </is>
      </c>
      <c r="M773" t="inlineStr">
        <is>
          <t>Pinehurst No. 10</t>
        </is>
      </c>
      <c r="N773" t="inlineStr">
        <is>
          <t>White</t>
        </is>
      </c>
      <c r="P773" t="n">
        <v>137</v>
      </c>
      <c r="Q773" t="n">
        <v>6439</v>
      </c>
      <c r="R773" t="inlineStr">
        <is>
          <t>Match Play</t>
        </is>
      </c>
      <c r="S773" t="inlineStr">
        <is>
          <t>Singles</t>
        </is>
      </c>
      <c r="U773" t="inlineStr">
        <is>
          <t>Connors</t>
        </is>
      </c>
      <c r="V773" t="inlineStr">
        <is>
          <t>Grise</t>
        </is>
      </c>
      <c r="W773" t="inlineStr">
        <is>
          <t>White confetti</t>
        </is>
      </c>
      <c r="AA773" t="n">
        <v>2</v>
      </c>
      <c r="AB773" t="inlineStr">
        <is>
          <t>L</t>
        </is>
      </c>
      <c r="AD773" t="inlineStr">
        <is>
          <t>Ferrin</t>
        </is>
      </c>
      <c r="AE773">
        <f>$V773&amp;$Y773</f>
        <v/>
      </c>
      <c r="AF773" t="n">
        <v>0</v>
      </c>
      <c r="AG773" t="n">
        <v>0</v>
      </c>
      <c r="AH773" t="n">
        <v>1</v>
      </c>
      <c r="AI773" t="n">
        <v>0</v>
      </c>
      <c r="AJ773" t="n">
        <v>0</v>
      </c>
      <c r="AK773" t="inlineStr">
        <is>
          <t>Ferrin</t>
        </is>
      </c>
      <c r="AL773" t="n">
        <v>0.595238095238095</v>
      </c>
    </row>
    <row r="774" ht="15" customHeight="1" s="2">
      <c r="B774" t="n">
        <v>22</v>
      </c>
      <c r="C774" t="n">
        <v>4</v>
      </c>
      <c r="D774" t="n">
        <v>11</v>
      </c>
      <c r="E774" t="inlineStr">
        <is>
          <t>FBC11-S-Jackson-Zimmer</t>
        </is>
      </c>
      <c r="F774" t="inlineStr">
        <is>
          <t>Saturday</t>
        </is>
      </c>
      <c r="G774" s="27" t="n">
        <v>45584</v>
      </c>
      <c r="H774" t="inlineStr">
        <is>
          <t>AM</t>
        </is>
      </c>
      <c r="I774" t="inlineStr">
        <is>
          <t>Pinehurst, NC</t>
        </is>
      </c>
      <c r="J774" t="inlineStr">
        <is>
          <t>South</t>
        </is>
      </c>
      <c r="K774" t="n">
        <v>18</v>
      </c>
      <c r="L774" t="inlineStr">
        <is>
          <t>Full</t>
        </is>
      </c>
      <c r="M774" t="inlineStr">
        <is>
          <t>Pinehurst No. 10</t>
        </is>
      </c>
      <c r="N774" t="inlineStr">
        <is>
          <t>White</t>
        </is>
      </c>
      <c r="P774" t="n">
        <v>137</v>
      </c>
      <c r="Q774" t="n">
        <v>6439</v>
      </c>
      <c r="R774" t="inlineStr">
        <is>
          <t>Match Play</t>
        </is>
      </c>
      <c r="S774" t="inlineStr">
        <is>
          <t>Singles</t>
        </is>
      </c>
      <c r="U774" t="inlineStr">
        <is>
          <t>Connors</t>
        </is>
      </c>
      <c r="V774" t="inlineStr">
        <is>
          <t>Jackson</t>
        </is>
      </c>
      <c r="W774" t="inlineStr">
        <is>
          <t>White confetti</t>
        </is>
      </c>
      <c r="AA774" t="n">
        <v>2</v>
      </c>
      <c r="AB774" t="inlineStr">
        <is>
          <t>T</t>
        </is>
      </c>
      <c r="AD774" t="inlineStr">
        <is>
          <t>Zimmer</t>
        </is>
      </c>
      <c r="AE774">
        <f>$V774&amp;$Y774</f>
        <v/>
      </c>
      <c r="AF774" t="n">
        <v>1</v>
      </c>
      <c r="AG774" t="n">
        <v>0</v>
      </c>
      <c r="AH774" t="n">
        <v>0</v>
      </c>
      <c r="AI774" t="n">
        <v>1</v>
      </c>
      <c r="AJ774" t="n">
        <v>0.5</v>
      </c>
      <c r="AK774" t="inlineStr">
        <is>
          <t>Zimmer</t>
        </is>
      </c>
      <c r="AL774" t="n">
        <v>0.5</v>
      </c>
    </row>
    <row r="775" ht="15" customHeight="1" s="2">
      <c r="B775" t="n">
        <v>23</v>
      </c>
      <c r="C775" t="n">
        <v>5</v>
      </c>
      <c r="D775" t="n">
        <v>11</v>
      </c>
      <c r="E775" t="inlineStr">
        <is>
          <t>FBC11-S-Connors-Fogan</t>
        </is>
      </c>
      <c r="F775" t="inlineStr">
        <is>
          <t>Saturday</t>
        </is>
      </c>
      <c r="G775" s="27" t="n">
        <v>45584</v>
      </c>
      <c r="H775" t="inlineStr">
        <is>
          <t>AM</t>
        </is>
      </c>
      <c r="I775" t="inlineStr">
        <is>
          <t>Pinehurst, NC</t>
        </is>
      </c>
      <c r="J775" t="inlineStr">
        <is>
          <t>South</t>
        </is>
      </c>
      <c r="K775" t="n">
        <v>18</v>
      </c>
      <c r="L775" t="inlineStr">
        <is>
          <t>Full</t>
        </is>
      </c>
      <c r="M775" t="inlineStr">
        <is>
          <t>Pinehurst No. 10</t>
        </is>
      </c>
      <c r="N775" t="inlineStr">
        <is>
          <t>White</t>
        </is>
      </c>
      <c r="P775" t="n">
        <v>137</v>
      </c>
      <c r="Q775" t="n">
        <v>6439</v>
      </c>
      <c r="R775" t="inlineStr">
        <is>
          <t>Match Play</t>
        </is>
      </c>
      <c r="S775" t="inlineStr">
        <is>
          <t>Singles</t>
        </is>
      </c>
      <c r="U775" t="inlineStr">
        <is>
          <t>Connors</t>
        </is>
      </c>
      <c r="V775" t="inlineStr">
        <is>
          <t>Connors</t>
        </is>
      </c>
      <c r="W775" t="inlineStr">
        <is>
          <t>White confetti</t>
        </is>
      </c>
      <c r="AA775" t="n">
        <v>2</v>
      </c>
      <c r="AB775" t="inlineStr">
        <is>
          <t>L</t>
        </is>
      </c>
      <c r="AD775" t="inlineStr">
        <is>
          <t>Fogan</t>
        </is>
      </c>
      <c r="AE775">
        <f>$V775&amp;$Y775</f>
        <v/>
      </c>
      <c r="AF775" t="n">
        <v>0</v>
      </c>
      <c r="AG775" t="n">
        <v>0</v>
      </c>
      <c r="AH775" t="n">
        <v>1</v>
      </c>
      <c r="AI775" t="n">
        <v>0</v>
      </c>
      <c r="AJ775" t="n">
        <v>0</v>
      </c>
      <c r="AK775" t="inlineStr">
        <is>
          <t>Fogan</t>
        </is>
      </c>
      <c r="AL775" t="n">
        <v>0.372881355932203</v>
      </c>
    </row>
    <row r="776" ht="15" customHeight="1" s="2">
      <c r="B776" t="n">
        <v>23</v>
      </c>
      <c r="C776" t="n">
        <v>6</v>
      </c>
      <c r="D776" t="n">
        <v>11</v>
      </c>
      <c r="E776" t="inlineStr">
        <is>
          <t>FBC11-S-Forster-Welker</t>
        </is>
      </c>
      <c r="F776" t="inlineStr">
        <is>
          <t>Saturday</t>
        </is>
      </c>
      <c r="G776" s="27" t="n">
        <v>45584</v>
      </c>
      <c r="H776" t="inlineStr">
        <is>
          <t>AM</t>
        </is>
      </c>
      <c r="I776" t="inlineStr">
        <is>
          <t>Pinehurst, NC</t>
        </is>
      </c>
      <c r="J776" t="inlineStr">
        <is>
          <t>South</t>
        </is>
      </c>
      <c r="K776" t="n">
        <v>18</v>
      </c>
      <c r="L776" t="inlineStr">
        <is>
          <t>Full</t>
        </is>
      </c>
      <c r="M776" t="inlineStr">
        <is>
          <t>Pinehurst No. 10</t>
        </is>
      </c>
      <c r="N776" t="inlineStr">
        <is>
          <t>White</t>
        </is>
      </c>
      <c r="P776" t="n">
        <v>137</v>
      </c>
      <c r="Q776" t="n">
        <v>6439</v>
      </c>
      <c r="R776" t="inlineStr">
        <is>
          <t>Match Play</t>
        </is>
      </c>
      <c r="S776" t="inlineStr">
        <is>
          <t>Singles</t>
        </is>
      </c>
      <c r="U776" t="inlineStr">
        <is>
          <t>Connors</t>
        </is>
      </c>
      <c r="V776" t="inlineStr">
        <is>
          <t>Welker</t>
        </is>
      </c>
      <c r="W776" t="inlineStr">
        <is>
          <t>White confetti</t>
        </is>
      </c>
      <c r="AA776" t="n">
        <v>2</v>
      </c>
      <c r="AB776" t="inlineStr">
        <is>
          <t>W</t>
        </is>
      </c>
      <c r="AD776" t="inlineStr">
        <is>
          <t>Forster</t>
        </is>
      </c>
      <c r="AE776">
        <f>$V776&amp;$Y776</f>
        <v/>
      </c>
      <c r="AF776" t="n">
        <v>2</v>
      </c>
      <c r="AG776" t="n">
        <v>1</v>
      </c>
      <c r="AH776" t="n">
        <v>0</v>
      </c>
      <c r="AI776" t="n">
        <v>0</v>
      </c>
      <c r="AJ776" t="n">
        <v>1</v>
      </c>
      <c r="AK776" t="inlineStr">
        <is>
          <t>Forster</t>
        </is>
      </c>
      <c r="AL776" t="n">
        <v>0.596491228070175</v>
      </c>
    </row>
    <row r="777" ht="15" customHeight="1" s="2">
      <c r="B777" t="n">
        <v>24</v>
      </c>
      <c r="C777" t="n">
        <v>7</v>
      </c>
      <c r="D777" t="n">
        <v>11</v>
      </c>
      <c r="E777" t="inlineStr">
        <is>
          <t>FBC11-S-Cole-Shively</t>
        </is>
      </c>
      <c r="F777" t="inlineStr">
        <is>
          <t>Saturday</t>
        </is>
      </c>
      <c r="G777" s="27" t="n">
        <v>45584</v>
      </c>
      <c r="H777" t="inlineStr">
        <is>
          <t>AM</t>
        </is>
      </c>
      <c r="I777" t="inlineStr">
        <is>
          <t>Pinehurst, NC</t>
        </is>
      </c>
      <c r="J777" t="inlineStr">
        <is>
          <t>South</t>
        </is>
      </c>
      <c r="K777" t="n">
        <v>18</v>
      </c>
      <c r="L777" t="inlineStr">
        <is>
          <t>Full</t>
        </is>
      </c>
      <c r="M777" t="inlineStr">
        <is>
          <t>Pinehurst No. 10</t>
        </is>
      </c>
      <c r="N777" t="inlineStr">
        <is>
          <t>White</t>
        </is>
      </c>
      <c r="P777" t="n">
        <v>137</v>
      </c>
      <c r="Q777" t="n">
        <v>6439</v>
      </c>
      <c r="R777" t="inlineStr">
        <is>
          <t>Match Play</t>
        </is>
      </c>
      <c r="S777" t="inlineStr">
        <is>
          <t>Singles</t>
        </is>
      </c>
      <c r="U777" t="inlineStr">
        <is>
          <t>Connors</t>
        </is>
      </c>
      <c r="V777" t="inlineStr">
        <is>
          <t>Cole</t>
        </is>
      </c>
      <c r="W777" t="inlineStr">
        <is>
          <t>White confetti</t>
        </is>
      </c>
      <c r="AA777" t="n">
        <v>2</v>
      </c>
      <c r="AB777" t="inlineStr">
        <is>
          <t>W</t>
        </is>
      </c>
      <c r="AD777" t="inlineStr">
        <is>
          <t>Shively</t>
        </is>
      </c>
      <c r="AE777">
        <f>$V777&amp;$Y777</f>
        <v/>
      </c>
      <c r="AF777" t="n">
        <v>2</v>
      </c>
      <c r="AG777" t="n">
        <v>1</v>
      </c>
      <c r="AH777" t="n">
        <v>0</v>
      </c>
      <c r="AI777" t="n">
        <v>0</v>
      </c>
      <c r="AJ777" t="n">
        <v>1</v>
      </c>
      <c r="AK777" t="inlineStr">
        <is>
          <t>Shively</t>
        </is>
      </c>
    </row>
    <row r="778" ht="15" customHeight="1" s="2">
      <c r="B778" t="n">
        <v>24</v>
      </c>
      <c r="C778" t="n">
        <v>8</v>
      </c>
      <c r="D778" t="n">
        <v>11</v>
      </c>
      <c r="E778" t="inlineStr">
        <is>
          <t>FBC11-S-Delneky-Mangold</t>
        </is>
      </c>
      <c r="F778" t="inlineStr">
        <is>
          <t>Saturday</t>
        </is>
      </c>
      <c r="G778" s="27" t="n">
        <v>45584</v>
      </c>
      <c r="H778" t="inlineStr">
        <is>
          <t>AM</t>
        </is>
      </c>
      <c r="I778" t="inlineStr">
        <is>
          <t>Pinehurst, NC</t>
        </is>
      </c>
      <c r="J778" t="inlineStr">
        <is>
          <t>South</t>
        </is>
      </c>
      <c r="K778" t="n">
        <v>18</v>
      </c>
      <c r="L778" t="inlineStr">
        <is>
          <t>Full</t>
        </is>
      </c>
      <c r="M778" t="inlineStr">
        <is>
          <t>Pinehurst No. 10</t>
        </is>
      </c>
      <c r="N778" t="inlineStr">
        <is>
          <t>White</t>
        </is>
      </c>
      <c r="P778" t="n">
        <v>137</v>
      </c>
      <c r="Q778" t="n">
        <v>6439</v>
      </c>
      <c r="R778" t="inlineStr">
        <is>
          <t>Match Play</t>
        </is>
      </c>
      <c r="S778" t="inlineStr">
        <is>
          <t>Singles</t>
        </is>
      </c>
      <c r="U778" t="inlineStr">
        <is>
          <t>Connors</t>
        </is>
      </c>
      <c r="V778" t="inlineStr">
        <is>
          <t>Mangold</t>
        </is>
      </c>
      <c r="W778" t="inlineStr">
        <is>
          <t>White confetti</t>
        </is>
      </c>
      <c r="AA778" t="n">
        <v>2</v>
      </c>
      <c r="AB778" t="inlineStr">
        <is>
          <t>L</t>
        </is>
      </c>
      <c r="AD778" t="inlineStr">
        <is>
          <t>Delneky</t>
        </is>
      </c>
      <c r="AE778">
        <f>$V778&amp;$Y778</f>
        <v/>
      </c>
      <c r="AF778" t="n">
        <v>0</v>
      </c>
      <c r="AG778" t="n">
        <v>0</v>
      </c>
      <c r="AH778" t="n">
        <v>1</v>
      </c>
      <c r="AI778" t="n">
        <v>0</v>
      </c>
      <c r="AJ778" t="n">
        <v>0</v>
      </c>
      <c r="AK778" t="inlineStr">
        <is>
          <t>Delneky</t>
        </is>
      </c>
      <c r="AL778" t="n">
        <v>0.6590909090909089</v>
      </c>
    </row>
    <row r="779" ht="15" customHeight="1" s="2">
      <c r="B779" t="n">
        <v>25</v>
      </c>
      <c r="C779" t="n">
        <v>9</v>
      </c>
      <c r="D779" t="n">
        <v>11</v>
      </c>
      <c r="E779" t="inlineStr">
        <is>
          <t>FBC11-S-Flanders-Norat</t>
        </is>
      </c>
      <c r="F779" t="inlineStr">
        <is>
          <t>Saturday</t>
        </is>
      </c>
      <c r="G779" s="27" t="n">
        <v>45584</v>
      </c>
      <c r="H779" t="inlineStr">
        <is>
          <t>AM</t>
        </is>
      </c>
      <c r="I779" t="inlineStr">
        <is>
          <t>Pinehurst, NC</t>
        </is>
      </c>
      <c r="J779" t="inlineStr">
        <is>
          <t>South</t>
        </is>
      </c>
      <c r="K779" t="n">
        <v>18</v>
      </c>
      <c r="L779" t="inlineStr">
        <is>
          <t>Full</t>
        </is>
      </c>
      <c r="M779" t="inlineStr">
        <is>
          <t>Pinehurst No. 10</t>
        </is>
      </c>
      <c r="N779" t="inlineStr">
        <is>
          <t>White</t>
        </is>
      </c>
      <c r="P779" t="n">
        <v>137</v>
      </c>
      <c r="Q779" t="n">
        <v>6439</v>
      </c>
      <c r="R779" t="inlineStr">
        <is>
          <t>Match Play</t>
        </is>
      </c>
      <c r="S779" t="inlineStr">
        <is>
          <t>Singles</t>
        </is>
      </c>
      <c r="U779" t="inlineStr">
        <is>
          <t>Connors</t>
        </is>
      </c>
      <c r="V779" t="inlineStr">
        <is>
          <t>Flanders</t>
        </is>
      </c>
      <c r="W779" t="inlineStr">
        <is>
          <t>White confetti</t>
        </is>
      </c>
      <c r="AA779" t="n">
        <v>2</v>
      </c>
      <c r="AB779" t="inlineStr">
        <is>
          <t>L</t>
        </is>
      </c>
      <c r="AD779" t="inlineStr">
        <is>
          <t>Norat</t>
        </is>
      </c>
      <c r="AE779">
        <f>$V779&amp;$Y779</f>
        <v/>
      </c>
      <c r="AF779" t="n">
        <v>0</v>
      </c>
      <c r="AG779" t="n">
        <v>0</v>
      </c>
      <c r="AH779" t="n">
        <v>1</v>
      </c>
      <c r="AI779" t="n">
        <v>0</v>
      </c>
      <c r="AJ779" t="n">
        <v>0</v>
      </c>
      <c r="AK779" t="inlineStr">
        <is>
          <t>Norat</t>
        </is>
      </c>
      <c r="AL779" t="n">
        <v>0.527777777777778</v>
      </c>
    </row>
    <row r="780" ht="15" customHeight="1" s="2">
      <c r="B780" t="n">
        <v>25</v>
      </c>
      <c r="C780" t="n">
        <v>10</v>
      </c>
      <c r="D780" t="n">
        <v>11</v>
      </c>
      <c r="E780" t="inlineStr">
        <is>
          <t>FBC11-S-Connolly-Delaney</t>
        </is>
      </c>
      <c r="F780" t="inlineStr">
        <is>
          <t>Saturday</t>
        </is>
      </c>
      <c r="G780" s="27" t="n">
        <v>45584</v>
      </c>
      <c r="H780" t="inlineStr">
        <is>
          <t>AM</t>
        </is>
      </c>
      <c r="I780" t="inlineStr">
        <is>
          <t>Pinehurst, NC</t>
        </is>
      </c>
      <c r="J780" t="inlineStr">
        <is>
          <t>South</t>
        </is>
      </c>
      <c r="K780" t="n">
        <v>18</v>
      </c>
      <c r="L780" t="inlineStr">
        <is>
          <t>Full</t>
        </is>
      </c>
      <c r="M780" t="inlineStr">
        <is>
          <t>Pinehurst No. 10</t>
        </is>
      </c>
      <c r="N780" t="inlineStr">
        <is>
          <t>White</t>
        </is>
      </c>
      <c r="P780" t="n">
        <v>137</v>
      </c>
      <c r="Q780" t="n">
        <v>6439</v>
      </c>
      <c r="R780" t="inlineStr">
        <is>
          <t>Match Play</t>
        </is>
      </c>
      <c r="S780" t="inlineStr">
        <is>
          <t>Singles</t>
        </is>
      </c>
      <c r="U780" t="inlineStr">
        <is>
          <t>Connors</t>
        </is>
      </c>
      <c r="V780" t="inlineStr">
        <is>
          <t>Delaney</t>
        </is>
      </c>
      <c r="W780" t="inlineStr">
        <is>
          <t>White confetti</t>
        </is>
      </c>
      <c r="AA780" t="n">
        <v>2</v>
      </c>
      <c r="AB780" t="inlineStr">
        <is>
          <t>L</t>
        </is>
      </c>
      <c r="AD780" t="inlineStr">
        <is>
          <t>Connolly</t>
        </is>
      </c>
      <c r="AE780">
        <f>$V780&amp;$Y780</f>
        <v/>
      </c>
      <c r="AF780" t="n">
        <v>0</v>
      </c>
      <c r="AG780" t="n">
        <v>0</v>
      </c>
      <c r="AH780" t="n">
        <v>1</v>
      </c>
      <c r="AI780" t="n">
        <v>0</v>
      </c>
      <c r="AJ780" t="n">
        <v>0</v>
      </c>
      <c r="AK780" t="inlineStr">
        <is>
          <t>Connolly</t>
        </is>
      </c>
      <c r="AL780" t="n">
        <v>0.59375</v>
      </c>
    </row>
    <row r="781" ht="15" customHeight="1" s="2">
      <c r="B781" t="n">
        <v>26</v>
      </c>
      <c r="C781" t="n">
        <v>1</v>
      </c>
      <c r="D781" t="n">
        <v>11</v>
      </c>
      <c r="E781" t="inlineStr">
        <is>
          <t>FBC11-S-Lynch-Poirier</t>
        </is>
      </c>
      <c r="F781" t="inlineStr">
        <is>
          <t>Saturday</t>
        </is>
      </c>
      <c r="G781" s="27" t="n">
        <v>45584</v>
      </c>
      <c r="H781" t="inlineStr">
        <is>
          <t>AM</t>
        </is>
      </c>
      <c r="I781" t="inlineStr">
        <is>
          <t>Pinehurst, NC</t>
        </is>
      </c>
      <c r="J781" t="inlineStr">
        <is>
          <t>South</t>
        </is>
      </c>
      <c r="K781" t="n">
        <v>18</v>
      </c>
      <c r="L781" t="inlineStr">
        <is>
          <t>Full</t>
        </is>
      </c>
      <c r="M781" t="inlineStr">
        <is>
          <t>Pinehurst No. 10</t>
        </is>
      </c>
      <c r="N781" t="inlineStr">
        <is>
          <t>White</t>
        </is>
      </c>
      <c r="P781" t="n">
        <v>137</v>
      </c>
      <c r="Q781" t="n">
        <v>6439</v>
      </c>
      <c r="R781" t="inlineStr">
        <is>
          <t>Match Play</t>
        </is>
      </c>
      <c r="S781" t="inlineStr">
        <is>
          <t>Singles</t>
        </is>
      </c>
      <c r="U781" t="inlineStr">
        <is>
          <t>Delneky</t>
        </is>
      </c>
      <c r="V781" t="inlineStr">
        <is>
          <t>Poirier</t>
        </is>
      </c>
      <c r="W781" t="inlineStr">
        <is>
          <t>White ninja</t>
        </is>
      </c>
      <c r="AA781" t="n">
        <v>2</v>
      </c>
      <c r="AB781" t="inlineStr">
        <is>
          <t>W</t>
        </is>
      </c>
      <c r="AD781" t="inlineStr">
        <is>
          <t>Lynch</t>
        </is>
      </c>
      <c r="AE781">
        <f>$V781&amp;$Y781</f>
        <v/>
      </c>
      <c r="AF781" t="n">
        <v>2</v>
      </c>
      <c r="AG781" t="n">
        <v>1</v>
      </c>
      <c r="AH781" t="n">
        <v>0</v>
      </c>
      <c r="AI781" t="n">
        <v>0</v>
      </c>
      <c r="AJ781" t="n">
        <v>1</v>
      </c>
      <c r="AK781" t="inlineStr">
        <is>
          <t>Lynch</t>
        </is>
      </c>
      <c r="AL781" t="n">
        <v>0.5546875</v>
      </c>
    </row>
    <row r="782" ht="15" customHeight="1" s="2">
      <c r="B782" t="n">
        <v>26</v>
      </c>
      <c r="C782" t="n">
        <v>2</v>
      </c>
      <c r="D782" t="n">
        <v>11</v>
      </c>
      <c r="E782" t="inlineStr">
        <is>
          <t>FBC11-S-Gray-Hilts</t>
        </is>
      </c>
      <c r="F782" t="inlineStr">
        <is>
          <t>Saturday</t>
        </is>
      </c>
      <c r="G782" s="27" t="n">
        <v>45584</v>
      </c>
      <c r="H782" t="inlineStr">
        <is>
          <t>AM</t>
        </is>
      </c>
      <c r="I782" t="inlineStr">
        <is>
          <t>Pinehurst, NC</t>
        </is>
      </c>
      <c r="J782" t="inlineStr">
        <is>
          <t>South</t>
        </is>
      </c>
      <c r="K782" t="n">
        <v>18</v>
      </c>
      <c r="L782" t="inlineStr">
        <is>
          <t>Full</t>
        </is>
      </c>
      <c r="M782" t="inlineStr">
        <is>
          <t>Pinehurst No. 10</t>
        </is>
      </c>
      <c r="N782" t="inlineStr">
        <is>
          <t>White</t>
        </is>
      </c>
      <c r="P782" t="n">
        <v>137</v>
      </c>
      <c r="Q782" t="n">
        <v>6439</v>
      </c>
      <c r="R782" t="inlineStr">
        <is>
          <t>Match Play</t>
        </is>
      </c>
      <c r="S782" t="inlineStr">
        <is>
          <t>Singles</t>
        </is>
      </c>
      <c r="U782" t="inlineStr">
        <is>
          <t>Delneky</t>
        </is>
      </c>
      <c r="V782" t="inlineStr">
        <is>
          <t>Gray</t>
        </is>
      </c>
      <c r="W782" t="inlineStr">
        <is>
          <t>White ninja</t>
        </is>
      </c>
      <c r="AA782" t="n">
        <v>2</v>
      </c>
      <c r="AB782" t="inlineStr">
        <is>
          <t>L</t>
        </is>
      </c>
      <c r="AD782" t="inlineStr">
        <is>
          <t>Hilts</t>
        </is>
      </c>
      <c r="AE782">
        <f>$V782&amp;$Y782</f>
        <v/>
      </c>
      <c r="AF782" t="n">
        <v>0</v>
      </c>
      <c r="AG782" t="n">
        <v>0</v>
      </c>
      <c r="AH782" t="n">
        <v>1</v>
      </c>
      <c r="AI782" t="n">
        <v>0</v>
      </c>
      <c r="AJ782" t="n">
        <v>0</v>
      </c>
      <c r="AK782" t="inlineStr">
        <is>
          <t>Hilts</t>
        </is>
      </c>
      <c r="AL782" t="n">
        <v>0.473214285714286</v>
      </c>
    </row>
    <row r="783" ht="15" customHeight="1" s="2">
      <c r="B783" t="n">
        <v>27</v>
      </c>
      <c r="C783" t="n">
        <v>3</v>
      </c>
      <c r="D783" t="n">
        <v>11</v>
      </c>
      <c r="E783" t="inlineStr">
        <is>
          <t>FBC11-S-Ferrin-Grise</t>
        </is>
      </c>
      <c r="F783" t="inlineStr">
        <is>
          <t>Saturday</t>
        </is>
      </c>
      <c r="G783" s="27" t="n">
        <v>45584</v>
      </c>
      <c r="H783" t="inlineStr">
        <is>
          <t>AM</t>
        </is>
      </c>
      <c r="I783" t="inlineStr">
        <is>
          <t>Pinehurst, NC</t>
        </is>
      </c>
      <c r="J783" t="inlineStr">
        <is>
          <t>South</t>
        </is>
      </c>
      <c r="K783" t="n">
        <v>18</v>
      </c>
      <c r="L783" t="inlineStr">
        <is>
          <t>Full</t>
        </is>
      </c>
      <c r="M783" t="inlineStr">
        <is>
          <t>Pinehurst No. 10</t>
        </is>
      </c>
      <c r="N783" t="inlineStr">
        <is>
          <t>White</t>
        </is>
      </c>
      <c r="P783" t="n">
        <v>137</v>
      </c>
      <c r="Q783" t="n">
        <v>6439</v>
      </c>
      <c r="R783" t="inlineStr">
        <is>
          <t>Match Play</t>
        </is>
      </c>
      <c r="S783" t="inlineStr">
        <is>
          <t>Singles</t>
        </is>
      </c>
      <c r="U783" t="inlineStr">
        <is>
          <t>Delneky</t>
        </is>
      </c>
      <c r="V783" t="inlineStr">
        <is>
          <t>Ferrin</t>
        </is>
      </c>
      <c r="W783" t="inlineStr">
        <is>
          <t>White ninja</t>
        </is>
      </c>
      <c r="AA783" t="n">
        <v>2</v>
      </c>
      <c r="AB783" t="inlineStr">
        <is>
          <t>W</t>
        </is>
      </c>
      <c r="AD783" t="inlineStr">
        <is>
          <t>Grise</t>
        </is>
      </c>
      <c r="AE783">
        <f>$V783&amp;$Y783</f>
        <v/>
      </c>
      <c r="AF783" t="n">
        <v>2</v>
      </c>
      <c r="AG783" t="n">
        <v>1</v>
      </c>
      <c r="AH783" t="n">
        <v>0</v>
      </c>
      <c r="AI783" t="n">
        <v>0</v>
      </c>
      <c r="AJ783" t="n">
        <v>1</v>
      </c>
      <c r="AK783" t="inlineStr">
        <is>
          <t>Grise</t>
        </is>
      </c>
      <c r="AL783" t="n">
        <v>0.546875</v>
      </c>
    </row>
    <row r="784" ht="15" customHeight="1" s="2">
      <c r="B784" t="n">
        <v>27</v>
      </c>
      <c r="C784" t="n">
        <v>4</v>
      </c>
      <c r="D784" t="n">
        <v>11</v>
      </c>
      <c r="E784" t="inlineStr">
        <is>
          <t>FBC11-S-Jackson-Zimmer</t>
        </is>
      </c>
      <c r="F784" t="inlineStr">
        <is>
          <t>Saturday</t>
        </is>
      </c>
      <c r="G784" s="27" t="n">
        <v>45584</v>
      </c>
      <c r="H784" t="inlineStr">
        <is>
          <t>AM</t>
        </is>
      </c>
      <c r="I784" t="inlineStr">
        <is>
          <t>Pinehurst, NC</t>
        </is>
      </c>
      <c r="J784" t="inlineStr">
        <is>
          <t>South</t>
        </is>
      </c>
      <c r="K784" t="n">
        <v>18</v>
      </c>
      <c r="L784" t="inlineStr">
        <is>
          <t>Full</t>
        </is>
      </c>
      <c r="M784" t="inlineStr">
        <is>
          <t>Pinehurst No. 10</t>
        </is>
      </c>
      <c r="N784" t="inlineStr">
        <is>
          <t>White</t>
        </is>
      </c>
      <c r="P784" t="n">
        <v>137</v>
      </c>
      <c r="Q784" t="n">
        <v>6439</v>
      </c>
      <c r="R784" t="inlineStr">
        <is>
          <t>Match Play</t>
        </is>
      </c>
      <c r="S784" t="inlineStr">
        <is>
          <t>Singles</t>
        </is>
      </c>
      <c r="U784" t="inlineStr">
        <is>
          <t>Delneky</t>
        </is>
      </c>
      <c r="V784" t="inlineStr">
        <is>
          <t>Zimmer</t>
        </is>
      </c>
      <c r="W784" t="inlineStr">
        <is>
          <t>White ninja</t>
        </is>
      </c>
      <c r="AA784" t="n">
        <v>2</v>
      </c>
      <c r="AB784" t="inlineStr">
        <is>
          <t>T</t>
        </is>
      </c>
      <c r="AD784" t="inlineStr">
        <is>
          <t>Jackson</t>
        </is>
      </c>
      <c r="AE784">
        <f>$V784&amp;$Y784</f>
        <v/>
      </c>
      <c r="AF784" t="n">
        <v>1</v>
      </c>
      <c r="AG784" t="n">
        <v>0</v>
      </c>
      <c r="AH784" t="n">
        <v>0</v>
      </c>
      <c r="AI784" t="n">
        <v>1</v>
      </c>
      <c r="AJ784" t="n">
        <v>0.5</v>
      </c>
      <c r="AK784" t="inlineStr">
        <is>
          <t>Jackson</t>
        </is>
      </c>
      <c r="AL784" t="n">
        <v>0.6171875</v>
      </c>
    </row>
    <row r="785" ht="15" customHeight="1" s="2">
      <c r="B785" t="n">
        <v>28</v>
      </c>
      <c r="C785" t="n">
        <v>5</v>
      </c>
      <c r="D785" t="n">
        <v>11</v>
      </c>
      <c r="E785" t="inlineStr">
        <is>
          <t>FBC11-S-Connors-Fogan</t>
        </is>
      </c>
      <c r="F785" t="inlineStr">
        <is>
          <t>Saturday</t>
        </is>
      </c>
      <c r="G785" s="27" t="n">
        <v>45584</v>
      </c>
      <c r="H785" t="inlineStr">
        <is>
          <t>AM</t>
        </is>
      </c>
      <c r="I785" t="inlineStr">
        <is>
          <t>Pinehurst, NC</t>
        </is>
      </c>
      <c r="J785" t="inlineStr">
        <is>
          <t>South</t>
        </is>
      </c>
      <c r="K785" t="n">
        <v>18</v>
      </c>
      <c r="L785" t="inlineStr">
        <is>
          <t>Full</t>
        </is>
      </c>
      <c r="M785" t="inlineStr">
        <is>
          <t>Pinehurst No. 10</t>
        </is>
      </c>
      <c r="N785" t="inlineStr">
        <is>
          <t>White</t>
        </is>
      </c>
      <c r="P785" t="n">
        <v>137</v>
      </c>
      <c r="Q785" t="n">
        <v>6439</v>
      </c>
      <c r="R785" t="inlineStr">
        <is>
          <t>Match Play</t>
        </is>
      </c>
      <c r="S785" t="inlineStr">
        <is>
          <t>Singles</t>
        </is>
      </c>
      <c r="U785" t="inlineStr">
        <is>
          <t>Delneky</t>
        </is>
      </c>
      <c r="V785" t="inlineStr">
        <is>
          <t>Fogan</t>
        </is>
      </c>
      <c r="W785" t="inlineStr">
        <is>
          <t>White ninja</t>
        </is>
      </c>
      <c r="AA785" t="n">
        <v>2</v>
      </c>
      <c r="AB785" t="inlineStr">
        <is>
          <t>W</t>
        </is>
      </c>
      <c r="AD785" t="inlineStr">
        <is>
          <t>Connors</t>
        </is>
      </c>
      <c r="AE785">
        <f>$V785&amp;$Y785</f>
        <v/>
      </c>
      <c r="AF785" t="n">
        <v>2</v>
      </c>
      <c r="AG785" t="n">
        <v>1</v>
      </c>
      <c r="AH785" t="n">
        <v>0</v>
      </c>
      <c r="AI785" t="n">
        <v>0</v>
      </c>
      <c r="AJ785" t="n">
        <v>1</v>
      </c>
      <c r="AK785" t="inlineStr">
        <is>
          <t>Connors</t>
        </is>
      </c>
      <c r="AL785" t="n">
        <v>0.347457627118644</v>
      </c>
    </row>
    <row r="786" ht="15" customHeight="1" s="2">
      <c r="B786" t="n">
        <v>28</v>
      </c>
      <c r="C786" t="n">
        <v>6</v>
      </c>
      <c r="D786" t="n">
        <v>11</v>
      </c>
      <c r="E786" t="inlineStr">
        <is>
          <t>FBC11-S-Forster-Welker</t>
        </is>
      </c>
      <c r="F786" t="inlineStr">
        <is>
          <t>Saturday</t>
        </is>
      </c>
      <c r="G786" s="27" t="n">
        <v>45584</v>
      </c>
      <c r="H786" t="inlineStr">
        <is>
          <t>AM</t>
        </is>
      </c>
      <c r="I786" t="inlineStr">
        <is>
          <t>Pinehurst, NC</t>
        </is>
      </c>
      <c r="J786" t="inlineStr">
        <is>
          <t>South</t>
        </is>
      </c>
      <c r="K786" t="n">
        <v>18</v>
      </c>
      <c r="L786" t="inlineStr">
        <is>
          <t>Full</t>
        </is>
      </c>
      <c r="M786" t="inlineStr">
        <is>
          <t>Pinehurst No. 10</t>
        </is>
      </c>
      <c r="N786" t="inlineStr">
        <is>
          <t>White</t>
        </is>
      </c>
      <c r="P786" t="n">
        <v>137</v>
      </c>
      <c r="Q786" t="n">
        <v>6439</v>
      </c>
      <c r="R786" t="inlineStr">
        <is>
          <t>Match Play</t>
        </is>
      </c>
      <c r="S786" t="inlineStr">
        <is>
          <t>Singles</t>
        </is>
      </c>
      <c r="U786" t="inlineStr">
        <is>
          <t>Delneky</t>
        </is>
      </c>
      <c r="V786" t="inlineStr">
        <is>
          <t>Forster</t>
        </is>
      </c>
      <c r="W786" t="inlineStr">
        <is>
          <t>White ninja</t>
        </is>
      </c>
      <c r="AA786" t="n">
        <v>2</v>
      </c>
      <c r="AB786" t="inlineStr">
        <is>
          <t>L</t>
        </is>
      </c>
      <c r="AD786" t="inlineStr">
        <is>
          <t>Welker</t>
        </is>
      </c>
      <c r="AE786">
        <f>$V786&amp;$Y786</f>
        <v/>
      </c>
      <c r="AF786" t="n">
        <v>0</v>
      </c>
      <c r="AG786" t="n">
        <v>0</v>
      </c>
      <c r="AH786" t="n">
        <v>1</v>
      </c>
      <c r="AI786" t="n">
        <v>0</v>
      </c>
      <c r="AJ786" t="n">
        <v>0</v>
      </c>
      <c r="AK786" t="inlineStr">
        <is>
          <t>Welker</t>
        </is>
      </c>
      <c r="AL786" t="n">
        <v>0.510416666666667</v>
      </c>
    </row>
    <row r="787" ht="15" customHeight="1" s="2">
      <c r="B787" t="n">
        <v>29</v>
      </c>
      <c r="C787" t="n">
        <v>7</v>
      </c>
      <c r="D787" t="n">
        <v>11</v>
      </c>
      <c r="E787" t="inlineStr">
        <is>
          <t>FBC11-S-Cole-Shively</t>
        </is>
      </c>
      <c r="F787" t="inlineStr">
        <is>
          <t>Saturday</t>
        </is>
      </c>
      <c r="G787" s="27" t="n">
        <v>45584</v>
      </c>
      <c r="H787" t="inlineStr">
        <is>
          <t>AM</t>
        </is>
      </c>
      <c r="I787" t="inlineStr">
        <is>
          <t>Pinehurst, NC</t>
        </is>
      </c>
      <c r="J787" t="inlineStr">
        <is>
          <t>South</t>
        </is>
      </c>
      <c r="K787" t="n">
        <v>18</v>
      </c>
      <c r="L787" t="inlineStr">
        <is>
          <t>Full</t>
        </is>
      </c>
      <c r="M787" t="inlineStr">
        <is>
          <t>Pinehurst No. 10</t>
        </is>
      </c>
      <c r="N787" t="inlineStr">
        <is>
          <t>White</t>
        </is>
      </c>
      <c r="P787" t="n">
        <v>137</v>
      </c>
      <c r="Q787" t="n">
        <v>6439</v>
      </c>
      <c r="R787" t="inlineStr">
        <is>
          <t>Match Play</t>
        </is>
      </c>
      <c r="S787" t="inlineStr">
        <is>
          <t>Singles</t>
        </is>
      </c>
      <c r="U787" t="inlineStr">
        <is>
          <t>Delneky</t>
        </is>
      </c>
      <c r="V787" t="inlineStr">
        <is>
          <t>Shively</t>
        </is>
      </c>
      <c r="W787" t="inlineStr">
        <is>
          <t>White ninja</t>
        </is>
      </c>
      <c r="AA787" t="n">
        <v>2</v>
      </c>
      <c r="AB787" t="inlineStr">
        <is>
          <t>L</t>
        </is>
      </c>
      <c r="AD787" t="inlineStr">
        <is>
          <t>Cole</t>
        </is>
      </c>
      <c r="AE787">
        <f>$V787&amp;$Y787</f>
        <v/>
      </c>
      <c r="AF787" t="n">
        <v>0</v>
      </c>
      <c r="AG787" t="n">
        <v>0</v>
      </c>
      <c r="AH787" t="n">
        <v>1</v>
      </c>
      <c r="AI787" t="n">
        <v>0</v>
      </c>
      <c r="AJ787" t="n">
        <v>0</v>
      </c>
      <c r="AK787" t="inlineStr">
        <is>
          <t>Cole</t>
        </is>
      </c>
      <c r="AL787" t="n">
        <v>0.440677966101695</v>
      </c>
    </row>
    <row r="788" ht="15" customHeight="1" s="2">
      <c r="B788" t="n">
        <v>29</v>
      </c>
      <c r="C788" t="n">
        <v>8</v>
      </c>
      <c r="D788" t="n">
        <v>11</v>
      </c>
      <c r="E788" t="inlineStr">
        <is>
          <t>FBC11-S-Delneky-Mangold</t>
        </is>
      </c>
      <c r="F788" t="inlineStr">
        <is>
          <t>Saturday</t>
        </is>
      </c>
      <c r="G788" s="27" t="n">
        <v>45584</v>
      </c>
      <c r="H788" t="inlineStr">
        <is>
          <t>AM</t>
        </is>
      </c>
      <c r="I788" t="inlineStr">
        <is>
          <t>Pinehurst, NC</t>
        </is>
      </c>
      <c r="J788" t="inlineStr">
        <is>
          <t>South</t>
        </is>
      </c>
      <c r="K788" t="n">
        <v>18</v>
      </c>
      <c r="L788" t="inlineStr">
        <is>
          <t>Full</t>
        </is>
      </c>
      <c r="M788" t="inlineStr">
        <is>
          <t>Pinehurst No. 10</t>
        </is>
      </c>
      <c r="N788" t="inlineStr">
        <is>
          <t>White</t>
        </is>
      </c>
      <c r="P788" t="n">
        <v>137</v>
      </c>
      <c r="Q788" t="n">
        <v>6439</v>
      </c>
      <c r="R788" t="inlineStr">
        <is>
          <t>Match Play</t>
        </is>
      </c>
      <c r="S788" t="inlineStr">
        <is>
          <t>Singles</t>
        </is>
      </c>
      <c r="U788" t="inlineStr">
        <is>
          <t>Delneky</t>
        </is>
      </c>
      <c r="V788" t="inlineStr">
        <is>
          <t>Delneky</t>
        </is>
      </c>
      <c r="W788" t="inlineStr">
        <is>
          <t>White ninja</t>
        </is>
      </c>
      <c r="AA788" t="n">
        <v>2</v>
      </c>
      <c r="AB788" t="inlineStr">
        <is>
          <t>W</t>
        </is>
      </c>
      <c r="AD788" t="inlineStr">
        <is>
          <t>Mangold</t>
        </is>
      </c>
      <c r="AE788">
        <f>$V788&amp;$Y788</f>
        <v/>
      </c>
      <c r="AF788" t="n">
        <v>2</v>
      </c>
      <c r="AG788" t="n">
        <v>1</v>
      </c>
      <c r="AH788" t="n">
        <v>0</v>
      </c>
      <c r="AI788" t="n">
        <v>0</v>
      </c>
      <c r="AJ788" t="n">
        <v>1</v>
      </c>
      <c r="AK788" t="inlineStr">
        <is>
          <t>Mangold</t>
        </is>
      </c>
      <c r="AL788" t="n">
        <v>0.383928571428572</v>
      </c>
    </row>
    <row r="789" ht="15" customHeight="1" s="2">
      <c r="B789" t="n">
        <v>30</v>
      </c>
      <c r="C789" t="n">
        <v>9</v>
      </c>
      <c r="D789" t="n">
        <v>11</v>
      </c>
      <c r="E789" t="inlineStr">
        <is>
          <t>FBC11-S-Flanders-Norat</t>
        </is>
      </c>
      <c r="F789" t="inlineStr">
        <is>
          <t>Saturday</t>
        </is>
      </c>
      <c r="G789" s="27" t="n">
        <v>45584</v>
      </c>
      <c r="H789" t="inlineStr">
        <is>
          <t>AM</t>
        </is>
      </c>
      <c r="I789" t="inlineStr">
        <is>
          <t>Pinehurst, NC</t>
        </is>
      </c>
      <c r="J789" t="inlineStr">
        <is>
          <t>South</t>
        </is>
      </c>
      <c r="K789" t="n">
        <v>18</v>
      </c>
      <c r="L789" t="inlineStr">
        <is>
          <t>Full</t>
        </is>
      </c>
      <c r="M789" t="inlineStr">
        <is>
          <t>Pinehurst No. 10</t>
        </is>
      </c>
      <c r="N789" t="inlineStr">
        <is>
          <t>White</t>
        </is>
      </c>
      <c r="P789" t="n">
        <v>137</v>
      </c>
      <c r="Q789" t="n">
        <v>6439</v>
      </c>
      <c r="R789" t="inlineStr">
        <is>
          <t>Match Play</t>
        </is>
      </c>
      <c r="S789" t="inlineStr">
        <is>
          <t>Singles</t>
        </is>
      </c>
      <c r="U789" t="inlineStr">
        <is>
          <t>Delneky</t>
        </is>
      </c>
      <c r="V789" t="inlineStr">
        <is>
          <t>Norat</t>
        </is>
      </c>
      <c r="W789" t="inlineStr">
        <is>
          <t>White ninja</t>
        </is>
      </c>
      <c r="AA789" t="n">
        <v>2</v>
      </c>
      <c r="AB789" t="inlineStr">
        <is>
          <t>W</t>
        </is>
      </c>
      <c r="AD789" t="inlineStr">
        <is>
          <t>Flanders</t>
        </is>
      </c>
      <c r="AE789">
        <f>$V789&amp;$Y789</f>
        <v/>
      </c>
      <c r="AF789" t="n">
        <v>2</v>
      </c>
      <c r="AG789" t="n">
        <v>1</v>
      </c>
      <c r="AH789" t="n">
        <v>0</v>
      </c>
      <c r="AI789" t="n">
        <v>0</v>
      </c>
      <c r="AJ789" t="n">
        <v>1</v>
      </c>
      <c r="AK789" t="inlineStr">
        <is>
          <t>Flanders</t>
        </is>
      </c>
      <c r="AL789" t="n">
        <v>0.4296875</v>
      </c>
    </row>
    <row r="790" ht="15" customHeight="1" s="2">
      <c r="B790" t="n">
        <v>30</v>
      </c>
      <c r="C790" t="n">
        <v>10</v>
      </c>
      <c r="D790" t="n">
        <v>11</v>
      </c>
      <c r="E790" t="inlineStr">
        <is>
          <t>FBC11-S-Connolly-Delaney</t>
        </is>
      </c>
      <c r="F790" t="inlineStr">
        <is>
          <t>Saturday</t>
        </is>
      </c>
      <c r="G790" s="27" t="n">
        <v>45584</v>
      </c>
      <c r="H790" t="inlineStr">
        <is>
          <t>AM</t>
        </is>
      </c>
      <c r="I790" t="inlineStr">
        <is>
          <t>Pinehurst, NC</t>
        </is>
      </c>
      <c r="J790" t="inlineStr">
        <is>
          <t>South</t>
        </is>
      </c>
      <c r="K790" t="n">
        <v>18</v>
      </c>
      <c r="L790" t="inlineStr">
        <is>
          <t>Full</t>
        </is>
      </c>
      <c r="M790" t="inlineStr">
        <is>
          <t>Pinehurst No. 10</t>
        </is>
      </c>
      <c r="N790" t="inlineStr">
        <is>
          <t>White</t>
        </is>
      </c>
      <c r="P790" t="n">
        <v>137</v>
      </c>
      <c r="Q790" t="n">
        <v>6439</v>
      </c>
      <c r="R790" t="inlineStr">
        <is>
          <t>Match Play</t>
        </is>
      </c>
      <c r="S790" t="inlineStr">
        <is>
          <t>Singles</t>
        </is>
      </c>
      <c r="U790" t="inlineStr">
        <is>
          <t>Delneky</t>
        </is>
      </c>
      <c r="V790" t="inlineStr">
        <is>
          <t>Connolly</t>
        </is>
      </c>
      <c r="W790" t="inlineStr">
        <is>
          <t>White ninja</t>
        </is>
      </c>
      <c r="AA790" t="n">
        <v>2</v>
      </c>
      <c r="AB790" t="inlineStr">
        <is>
          <t>W</t>
        </is>
      </c>
      <c r="AD790" t="inlineStr">
        <is>
          <t>Delaney</t>
        </is>
      </c>
      <c r="AE790">
        <f>$V790&amp;$Y790</f>
        <v/>
      </c>
      <c r="AF790" t="n">
        <v>2</v>
      </c>
      <c r="AG790" t="n">
        <v>1</v>
      </c>
      <c r="AH790" t="n">
        <v>0</v>
      </c>
      <c r="AI790" t="n">
        <v>0</v>
      </c>
      <c r="AJ790" t="n">
        <v>1</v>
      </c>
      <c r="AK790" t="inlineStr">
        <is>
          <t>Delaney</t>
        </is>
      </c>
      <c r="AL790" t="n">
        <v>0.46551724137931</v>
      </c>
    </row>
    <row r="791" ht="15" customHeight="1" s="2">
      <c r="B791" t="n">
        <v>1</v>
      </c>
      <c r="D791" t="n">
        <v>12</v>
      </c>
      <c r="E791" t="inlineStr">
        <is>
          <t>FBC12-D1</t>
        </is>
      </c>
      <c r="F791" t="inlineStr">
        <is>
          <t>Thursday</t>
        </is>
      </c>
      <c r="G791" s="27" t="n">
        <v>45876</v>
      </c>
      <c r="H791" t="inlineStr">
        <is>
          <t>PM</t>
        </is>
      </c>
      <c r="I791" t="inlineStr">
        <is>
          <t>Killarney, IE</t>
        </is>
      </c>
      <c r="J791" t="inlineStr">
        <is>
          <t>Europe</t>
        </is>
      </c>
      <c r="K791" t="n">
        <v>9</v>
      </c>
      <c r="L791" t="inlineStr">
        <is>
          <t>Front</t>
        </is>
      </c>
      <c r="M791" t="inlineStr">
        <is>
          <t>Tralee</t>
        </is>
      </c>
      <c r="N791" t="inlineStr">
        <is>
          <t>White</t>
        </is>
      </c>
      <c r="P791" t="n">
        <v>128</v>
      </c>
      <c r="Q791" t="n">
        <v>6678</v>
      </c>
      <c r="R791" t="inlineStr">
        <is>
          <t>Best Ball</t>
        </is>
      </c>
      <c r="S791" t="inlineStr">
        <is>
          <t>Doubles</t>
        </is>
      </c>
      <c r="T791" t="inlineStr">
        <is>
          <t>over 6'</t>
        </is>
      </c>
      <c r="U791" t="inlineStr">
        <is>
          <t>Connolly</t>
        </is>
      </c>
      <c r="V791" t="inlineStr">
        <is>
          <t>Zimmer</t>
        </is>
      </c>
      <c r="Y791" t="inlineStr">
        <is>
          <t>Deoteris</t>
        </is>
      </c>
      <c r="AA791" t="n">
        <v>1</v>
      </c>
      <c r="AB791" t="inlineStr">
        <is>
          <t>L</t>
        </is>
      </c>
      <c r="AC791" t="inlineStr">
        <is>
          <t>1 up</t>
        </is>
      </c>
      <c r="AE791">
        <f>$V791&amp;$Y791</f>
        <v/>
      </c>
      <c r="AF791" t="n">
        <v>0</v>
      </c>
      <c r="AG791" t="n">
        <v>0</v>
      </c>
      <c r="AH791" t="n">
        <v>1</v>
      </c>
      <c r="AI791" t="n">
        <v>0</v>
      </c>
      <c r="AK791" t="inlineStr">
        <is>
          <t>Poirier</t>
        </is>
      </c>
      <c r="AM791" t="inlineStr">
        <is>
          <t>Grise</t>
        </is>
      </c>
    </row>
    <row r="792" ht="15" customHeight="1" s="2">
      <c r="B792" t="n">
        <v>2</v>
      </c>
      <c r="D792" t="n">
        <v>12</v>
      </c>
      <c r="E792" t="inlineStr">
        <is>
          <t>FBC12-D2</t>
        </is>
      </c>
      <c r="F792" t="inlineStr">
        <is>
          <t>Thursday</t>
        </is>
      </c>
      <c r="G792" s="27" t="n">
        <v>45876</v>
      </c>
      <c r="H792" t="inlineStr">
        <is>
          <t>PM</t>
        </is>
      </c>
      <c r="I792" t="inlineStr">
        <is>
          <t>Killarney, IE</t>
        </is>
      </c>
      <c r="J792" t="inlineStr">
        <is>
          <t>Europe</t>
        </is>
      </c>
      <c r="K792" t="n">
        <v>9</v>
      </c>
      <c r="L792" t="inlineStr">
        <is>
          <t>Front</t>
        </is>
      </c>
      <c r="M792" t="inlineStr">
        <is>
          <t>Tralee</t>
        </is>
      </c>
      <c r="N792" t="inlineStr">
        <is>
          <t>White</t>
        </is>
      </c>
      <c r="P792" t="n">
        <v>128</v>
      </c>
      <c r="Q792" t="n">
        <v>6678</v>
      </c>
      <c r="R792" t="inlineStr">
        <is>
          <t>Best Ball</t>
        </is>
      </c>
      <c r="S792" t="inlineStr">
        <is>
          <t>Doubles</t>
        </is>
      </c>
      <c r="T792" t="inlineStr">
        <is>
          <t>over 6'</t>
        </is>
      </c>
      <c r="U792" t="inlineStr">
        <is>
          <t>Connolly</t>
        </is>
      </c>
      <c r="V792" t="inlineStr">
        <is>
          <t>Delaney</t>
        </is>
      </c>
      <c r="Y792" t="inlineStr">
        <is>
          <t>Piegari</t>
        </is>
      </c>
      <c r="AA792" t="n">
        <v>1</v>
      </c>
      <c r="AB792" t="inlineStr">
        <is>
          <t>L</t>
        </is>
      </c>
      <c r="AE792">
        <f>$V792&amp;$Y792</f>
        <v/>
      </c>
      <c r="AF792" t="n">
        <v>0</v>
      </c>
      <c r="AG792" t="n">
        <v>0</v>
      </c>
      <c r="AH792" t="n">
        <v>1</v>
      </c>
      <c r="AI792" t="n">
        <v>0</v>
      </c>
      <c r="AK792" t="inlineStr">
        <is>
          <t>Mangold</t>
        </is>
      </c>
      <c r="AM792" t="inlineStr">
        <is>
          <t>Lynch</t>
        </is>
      </c>
    </row>
    <row r="793" ht="15" customHeight="1" s="2">
      <c r="B793" t="n">
        <v>3</v>
      </c>
      <c r="D793" t="n">
        <v>12</v>
      </c>
      <c r="E793" t="inlineStr">
        <is>
          <t>FBC12-D3</t>
        </is>
      </c>
      <c r="F793" t="inlineStr">
        <is>
          <t>Thursday</t>
        </is>
      </c>
      <c r="G793" s="27" t="n">
        <v>45876</v>
      </c>
      <c r="H793" t="inlineStr">
        <is>
          <t>PM</t>
        </is>
      </c>
      <c r="I793" t="inlineStr">
        <is>
          <t>Killarney, IE</t>
        </is>
      </c>
      <c r="J793" t="inlineStr">
        <is>
          <t>Europe</t>
        </is>
      </c>
      <c r="K793" t="n">
        <v>9</v>
      </c>
      <c r="L793" t="inlineStr">
        <is>
          <t>Front</t>
        </is>
      </c>
      <c r="M793" t="inlineStr">
        <is>
          <t>Tralee</t>
        </is>
      </c>
      <c r="N793" t="inlineStr">
        <is>
          <t>White</t>
        </is>
      </c>
      <c r="P793" t="n">
        <v>128</v>
      </c>
      <c r="Q793" t="n">
        <v>6678</v>
      </c>
      <c r="R793" t="inlineStr">
        <is>
          <t>Best Ball</t>
        </is>
      </c>
      <c r="S793" t="inlineStr">
        <is>
          <t>Doubles</t>
        </is>
      </c>
      <c r="T793" t="inlineStr">
        <is>
          <t>over 6'</t>
        </is>
      </c>
      <c r="U793" t="inlineStr">
        <is>
          <t>Connolly</t>
        </is>
      </c>
      <c r="V793" t="inlineStr">
        <is>
          <t>Connolly</t>
        </is>
      </c>
      <c r="Y793" t="inlineStr">
        <is>
          <t>R. Connolly</t>
        </is>
      </c>
      <c r="AA793" t="n">
        <v>1</v>
      </c>
      <c r="AB793" t="inlineStr">
        <is>
          <t>W</t>
        </is>
      </c>
      <c r="AC793" t="inlineStr">
        <is>
          <t>4&amp;3</t>
        </is>
      </c>
      <c r="AE793">
        <f>$V793&amp;$Y793</f>
        <v/>
      </c>
      <c r="AF793" t="n">
        <v>1</v>
      </c>
      <c r="AG793" t="n">
        <v>1</v>
      </c>
      <c r="AH793" t="n">
        <v>0</v>
      </c>
      <c r="AI793" t="n">
        <v>0</v>
      </c>
      <c r="AK793" t="inlineStr">
        <is>
          <t>Perkins</t>
        </is>
      </c>
      <c r="AM793" t="inlineStr">
        <is>
          <t>Shively</t>
        </is>
      </c>
    </row>
    <row r="794" ht="15" customHeight="1" s="2">
      <c r="B794" t="n">
        <v>4</v>
      </c>
      <c r="D794" t="n">
        <v>12</v>
      </c>
      <c r="E794" t="inlineStr">
        <is>
          <t>FBC12-D4</t>
        </is>
      </c>
      <c r="F794" t="inlineStr">
        <is>
          <t>Thursday</t>
        </is>
      </c>
      <c r="G794" s="27" t="n">
        <v>45876</v>
      </c>
      <c r="H794" t="inlineStr">
        <is>
          <t>PM</t>
        </is>
      </c>
      <c r="I794" t="inlineStr">
        <is>
          <t>Killarney, IE</t>
        </is>
      </c>
      <c r="J794" t="inlineStr">
        <is>
          <t>Europe</t>
        </is>
      </c>
      <c r="K794" t="n">
        <v>9</v>
      </c>
      <c r="L794" t="inlineStr">
        <is>
          <t>Front</t>
        </is>
      </c>
      <c r="M794" t="inlineStr">
        <is>
          <t>Tralee</t>
        </is>
      </c>
      <c r="N794" t="inlineStr">
        <is>
          <t>White</t>
        </is>
      </c>
      <c r="P794" t="n">
        <v>128</v>
      </c>
      <c r="Q794" t="n">
        <v>6678</v>
      </c>
      <c r="R794" t="inlineStr">
        <is>
          <t>Best Ball</t>
        </is>
      </c>
      <c r="S794" t="inlineStr">
        <is>
          <t>Doubles</t>
        </is>
      </c>
      <c r="T794" t="inlineStr">
        <is>
          <t>over 6'</t>
        </is>
      </c>
      <c r="U794" t="inlineStr">
        <is>
          <t>Connolly</t>
        </is>
      </c>
      <c r="V794" t="inlineStr">
        <is>
          <t>Ferrin</t>
        </is>
      </c>
      <c r="Y794" t="inlineStr">
        <is>
          <t>Fogan</t>
        </is>
      </c>
      <c r="AA794" t="n">
        <v>1</v>
      </c>
      <c r="AB794" t="inlineStr">
        <is>
          <t>W</t>
        </is>
      </c>
      <c r="AC794" t="inlineStr">
        <is>
          <t>2 up</t>
        </is>
      </c>
      <c r="AE794">
        <f>$V794&amp;$Y794</f>
        <v/>
      </c>
      <c r="AF794" t="n">
        <v>1</v>
      </c>
      <c r="AG794" t="n">
        <v>1</v>
      </c>
      <c r="AH794" t="n">
        <v>0</v>
      </c>
      <c r="AI794" t="n">
        <v>0</v>
      </c>
      <c r="AK794" t="inlineStr">
        <is>
          <t>Forster</t>
        </is>
      </c>
      <c r="AM794" t="inlineStr">
        <is>
          <t>Snyder</t>
        </is>
      </c>
    </row>
    <row r="795" ht="15" customHeight="1" s="2">
      <c r="B795" t="n">
        <v>5</v>
      </c>
      <c r="D795" t="n">
        <v>12</v>
      </c>
      <c r="E795" t="inlineStr">
        <is>
          <t>FBC12-D5</t>
        </is>
      </c>
      <c r="F795" t="inlineStr">
        <is>
          <t>Thursday</t>
        </is>
      </c>
      <c r="G795" s="27" t="n">
        <v>45876</v>
      </c>
      <c r="H795" t="inlineStr">
        <is>
          <t>PM</t>
        </is>
      </c>
      <c r="I795" t="inlineStr">
        <is>
          <t>Killarney, IE</t>
        </is>
      </c>
      <c r="J795" t="inlineStr">
        <is>
          <t>Europe</t>
        </is>
      </c>
      <c r="K795" t="n">
        <v>9</v>
      </c>
      <c r="L795" t="inlineStr">
        <is>
          <t>Front</t>
        </is>
      </c>
      <c r="M795" t="inlineStr">
        <is>
          <t>Tralee</t>
        </is>
      </c>
      <c r="N795" t="inlineStr">
        <is>
          <t>White</t>
        </is>
      </c>
      <c r="P795" t="n">
        <v>128</v>
      </c>
      <c r="Q795" t="n">
        <v>6678</v>
      </c>
      <c r="R795" t="inlineStr">
        <is>
          <t>Best Ball</t>
        </is>
      </c>
      <c r="S795" t="inlineStr">
        <is>
          <t>Doubles</t>
        </is>
      </c>
      <c r="T795" t="inlineStr">
        <is>
          <t>over 6'</t>
        </is>
      </c>
      <c r="U795" t="inlineStr">
        <is>
          <t>Connolly</t>
        </is>
      </c>
      <c r="V795" t="inlineStr">
        <is>
          <t>Jackson</t>
        </is>
      </c>
      <c r="Y795" t="inlineStr">
        <is>
          <t>Delneky</t>
        </is>
      </c>
      <c r="AA795" t="n">
        <v>1</v>
      </c>
      <c r="AB795" t="inlineStr">
        <is>
          <t>L</t>
        </is>
      </c>
      <c r="AC795" t="inlineStr">
        <is>
          <t>2&amp;1</t>
        </is>
      </c>
      <c r="AE795">
        <f>$V795&amp;$Y795</f>
        <v/>
      </c>
      <c r="AF795" t="n">
        <v>0</v>
      </c>
      <c r="AG795" t="n">
        <v>0</v>
      </c>
      <c r="AH795" t="n">
        <v>1</v>
      </c>
      <c r="AI795" t="n">
        <v>0</v>
      </c>
      <c r="AK795" t="inlineStr">
        <is>
          <t>Hilts</t>
        </is>
      </c>
      <c r="AM795" t="inlineStr">
        <is>
          <t>Flanders</t>
        </is>
      </c>
    </row>
    <row r="796" ht="15" customHeight="1" s="2">
      <c r="B796" t="n">
        <v>6</v>
      </c>
      <c r="D796" t="n">
        <v>12</v>
      </c>
      <c r="E796" t="inlineStr">
        <is>
          <t>FBC12-D6</t>
        </is>
      </c>
      <c r="F796" t="inlineStr">
        <is>
          <t>Thursday</t>
        </is>
      </c>
      <c r="G796" s="27" t="n">
        <v>45876</v>
      </c>
      <c r="H796" t="inlineStr">
        <is>
          <t>PM</t>
        </is>
      </c>
      <c r="I796" t="inlineStr">
        <is>
          <t>Killarney, IE</t>
        </is>
      </c>
      <c r="J796" t="inlineStr">
        <is>
          <t>Europe</t>
        </is>
      </c>
      <c r="K796" t="n">
        <v>9</v>
      </c>
      <c r="L796" t="inlineStr">
        <is>
          <t>Back</t>
        </is>
      </c>
      <c r="M796" t="inlineStr">
        <is>
          <t>Tralee</t>
        </is>
      </c>
      <c r="N796" t="inlineStr">
        <is>
          <t>White</t>
        </is>
      </c>
      <c r="P796" t="n">
        <v>128</v>
      </c>
      <c r="Q796" t="n">
        <v>6678</v>
      </c>
      <c r="R796" t="inlineStr">
        <is>
          <t>Vegas</t>
        </is>
      </c>
      <c r="S796" t="inlineStr">
        <is>
          <t>Doubles</t>
        </is>
      </c>
      <c r="T796" t="inlineStr">
        <is>
          <t>over 6'</t>
        </is>
      </c>
      <c r="U796" t="inlineStr">
        <is>
          <t>Connolly</t>
        </is>
      </c>
      <c r="V796" t="inlineStr">
        <is>
          <t>Zimmer</t>
        </is>
      </c>
      <c r="Y796" t="inlineStr">
        <is>
          <t>Deoteris</t>
        </is>
      </c>
      <c r="AA796" t="n">
        <v>1</v>
      </c>
      <c r="AB796" t="inlineStr">
        <is>
          <t>T</t>
        </is>
      </c>
      <c r="AC796" t="inlineStr">
        <is>
          <t>Halved</t>
        </is>
      </c>
      <c r="AE796">
        <f>$V796&amp;$Y796</f>
        <v/>
      </c>
      <c r="AF796" t="n">
        <v>0.5</v>
      </c>
      <c r="AG796" t="n">
        <v>0</v>
      </c>
      <c r="AH796" t="n">
        <v>0</v>
      </c>
      <c r="AI796" t="n">
        <v>1</v>
      </c>
      <c r="AK796" t="inlineStr">
        <is>
          <t>Poirier</t>
        </is>
      </c>
      <c r="AM796" t="inlineStr">
        <is>
          <t>Grise</t>
        </is>
      </c>
    </row>
    <row r="797" ht="15" customHeight="1" s="2">
      <c r="B797" t="n">
        <v>7</v>
      </c>
      <c r="D797" t="n">
        <v>12</v>
      </c>
      <c r="E797" t="inlineStr">
        <is>
          <t>FBC12-D7</t>
        </is>
      </c>
      <c r="F797" t="inlineStr">
        <is>
          <t>Thursday</t>
        </is>
      </c>
      <c r="G797" s="27" t="n">
        <v>45876</v>
      </c>
      <c r="H797" t="inlineStr">
        <is>
          <t>PM</t>
        </is>
      </c>
      <c r="I797" t="inlineStr">
        <is>
          <t>Killarney, IE</t>
        </is>
      </c>
      <c r="J797" t="inlineStr">
        <is>
          <t>Europe</t>
        </is>
      </c>
      <c r="K797" t="n">
        <v>9</v>
      </c>
      <c r="L797" t="inlineStr">
        <is>
          <t>Back</t>
        </is>
      </c>
      <c r="M797" t="inlineStr">
        <is>
          <t>Tralee</t>
        </is>
      </c>
      <c r="N797" t="inlineStr">
        <is>
          <t>White</t>
        </is>
      </c>
      <c r="P797" t="n">
        <v>128</v>
      </c>
      <c r="Q797" t="n">
        <v>6678</v>
      </c>
      <c r="R797" t="inlineStr">
        <is>
          <t>Vegas</t>
        </is>
      </c>
      <c r="S797" t="inlineStr">
        <is>
          <t>Doubles</t>
        </is>
      </c>
      <c r="T797" t="inlineStr">
        <is>
          <t>over 6'</t>
        </is>
      </c>
      <c r="U797" t="inlineStr">
        <is>
          <t>Connolly</t>
        </is>
      </c>
      <c r="V797" t="inlineStr">
        <is>
          <t>Delaney</t>
        </is>
      </c>
      <c r="Y797" t="inlineStr">
        <is>
          <t>Piegari</t>
        </is>
      </c>
      <c r="AA797" t="n">
        <v>1</v>
      </c>
      <c r="AB797" t="inlineStr">
        <is>
          <t>T</t>
        </is>
      </c>
      <c r="AC797" t="inlineStr">
        <is>
          <t>Halved</t>
        </is>
      </c>
      <c r="AE797">
        <f>$V797&amp;$Y797</f>
        <v/>
      </c>
      <c r="AF797" t="n">
        <v>0.5</v>
      </c>
      <c r="AG797" t="n">
        <v>0</v>
      </c>
      <c r="AH797" t="n">
        <v>0</v>
      </c>
      <c r="AI797" t="n">
        <v>1</v>
      </c>
      <c r="AK797" t="inlineStr">
        <is>
          <t>Mangold</t>
        </is>
      </c>
      <c r="AM797" t="inlineStr">
        <is>
          <t>Lynch</t>
        </is>
      </c>
    </row>
    <row r="798" ht="15" customHeight="1" s="2">
      <c r="B798" t="n">
        <v>8</v>
      </c>
      <c r="D798" t="n">
        <v>12</v>
      </c>
      <c r="E798" t="inlineStr">
        <is>
          <t>FBC12-D8</t>
        </is>
      </c>
      <c r="F798" t="inlineStr">
        <is>
          <t>Thursday</t>
        </is>
      </c>
      <c r="G798" s="27" t="n">
        <v>45876</v>
      </c>
      <c r="H798" t="inlineStr">
        <is>
          <t>PM</t>
        </is>
      </c>
      <c r="I798" t="inlineStr">
        <is>
          <t>Killarney, IE</t>
        </is>
      </c>
      <c r="J798" t="inlineStr">
        <is>
          <t>Europe</t>
        </is>
      </c>
      <c r="K798" t="n">
        <v>9</v>
      </c>
      <c r="L798" t="inlineStr">
        <is>
          <t>Back</t>
        </is>
      </c>
      <c r="M798" t="inlineStr">
        <is>
          <t>Tralee</t>
        </is>
      </c>
      <c r="N798" t="inlineStr">
        <is>
          <t>White</t>
        </is>
      </c>
      <c r="P798" t="n">
        <v>128</v>
      </c>
      <c r="Q798" t="n">
        <v>6678</v>
      </c>
      <c r="R798" t="inlineStr">
        <is>
          <t>Vegas</t>
        </is>
      </c>
      <c r="S798" t="inlineStr">
        <is>
          <t>Doubles</t>
        </is>
      </c>
      <c r="T798" t="inlineStr">
        <is>
          <t>over 6'</t>
        </is>
      </c>
      <c r="U798" t="inlineStr">
        <is>
          <t>Connolly</t>
        </is>
      </c>
      <c r="V798" t="inlineStr">
        <is>
          <t>Connolly</t>
        </is>
      </c>
      <c r="Y798" t="inlineStr">
        <is>
          <t>R. Connolly</t>
        </is>
      </c>
      <c r="AA798" t="n">
        <v>1</v>
      </c>
      <c r="AB798" t="inlineStr">
        <is>
          <t>W</t>
        </is>
      </c>
      <c r="AC798" t="inlineStr">
        <is>
          <t>4&amp;3</t>
        </is>
      </c>
      <c r="AE798">
        <f>$V798&amp;$Y798</f>
        <v/>
      </c>
      <c r="AF798" t="n">
        <v>1</v>
      </c>
      <c r="AG798" t="n">
        <v>1</v>
      </c>
      <c r="AH798" t="n">
        <v>0</v>
      </c>
      <c r="AI798" t="n">
        <v>0</v>
      </c>
      <c r="AK798" t="inlineStr">
        <is>
          <t>Perkins</t>
        </is>
      </c>
      <c r="AM798" t="inlineStr">
        <is>
          <t>Shively</t>
        </is>
      </c>
    </row>
    <row r="799" ht="15" customHeight="1" s="2">
      <c r="B799" t="n">
        <v>9</v>
      </c>
      <c r="D799" t="n">
        <v>12</v>
      </c>
      <c r="E799" t="inlineStr">
        <is>
          <t>FBC12-D9</t>
        </is>
      </c>
      <c r="F799" t="inlineStr">
        <is>
          <t>Thursday</t>
        </is>
      </c>
      <c r="G799" s="27" t="n">
        <v>45876</v>
      </c>
      <c r="H799" t="inlineStr">
        <is>
          <t>PM</t>
        </is>
      </c>
      <c r="I799" t="inlineStr">
        <is>
          <t>Killarney, IE</t>
        </is>
      </c>
      <c r="J799" t="inlineStr">
        <is>
          <t>Europe</t>
        </is>
      </c>
      <c r="K799" t="n">
        <v>9</v>
      </c>
      <c r="L799" t="inlineStr">
        <is>
          <t>Back</t>
        </is>
      </c>
      <c r="M799" t="inlineStr">
        <is>
          <t>Tralee</t>
        </is>
      </c>
      <c r="N799" t="inlineStr">
        <is>
          <t>White</t>
        </is>
      </c>
      <c r="P799" t="n">
        <v>128</v>
      </c>
      <c r="Q799" t="n">
        <v>6678</v>
      </c>
      <c r="R799" t="inlineStr">
        <is>
          <t>Vegas</t>
        </is>
      </c>
      <c r="S799" t="inlineStr">
        <is>
          <t>Doubles</t>
        </is>
      </c>
      <c r="T799" t="inlineStr">
        <is>
          <t>over 6'</t>
        </is>
      </c>
      <c r="U799" t="inlineStr">
        <is>
          <t>Connolly</t>
        </is>
      </c>
      <c r="V799" t="inlineStr">
        <is>
          <t>Ferrin</t>
        </is>
      </c>
      <c r="Y799" t="inlineStr">
        <is>
          <t>Fogan</t>
        </is>
      </c>
      <c r="AA799" t="n">
        <v>1</v>
      </c>
      <c r="AB799" t="inlineStr">
        <is>
          <t>W</t>
        </is>
      </c>
      <c r="AC799" t="inlineStr">
        <is>
          <t>2 up</t>
        </is>
      </c>
      <c r="AE799">
        <f>$V799&amp;$Y799</f>
        <v/>
      </c>
      <c r="AF799" t="n">
        <v>1</v>
      </c>
      <c r="AG799" t="n">
        <v>1</v>
      </c>
      <c r="AH799" t="n">
        <v>0</v>
      </c>
      <c r="AI799" t="n">
        <v>0</v>
      </c>
      <c r="AK799" t="inlineStr">
        <is>
          <t>Forster</t>
        </is>
      </c>
      <c r="AM799" t="inlineStr">
        <is>
          <t>Snyder</t>
        </is>
      </c>
    </row>
    <row r="800" ht="15" customHeight="1" s="2">
      <c r="B800" t="n">
        <v>10</v>
      </c>
      <c r="D800" t="n">
        <v>12</v>
      </c>
      <c r="E800" t="inlineStr">
        <is>
          <t>FBC12-D10</t>
        </is>
      </c>
      <c r="F800" t="inlineStr">
        <is>
          <t>Thursday</t>
        </is>
      </c>
      <c r="G800" s="27" t="n">
        <v>45876</v>
      </c>
      <c r="H800" t="inlineStr">
        <is>
          <t>PM</t>
        </is>
      </c>
      <c r="I800" t="inlineStr">
        <is>
          <t>Killarney, IE</t>
        </is>
      </c>
      <c r="J800" t="inlineStr">
        <is>
          <t>Europe</t>
        </is>
      </c>
      <c r="K800" t="n">
        <v>9</v>
      </c>
      <c r="L800" t="inlineStr">
        <is>
          <t>Back</t>
        </is>
      </c>
      <c r="M800" t="inlineStr">
        <is>
          <t>Tralee</t>
        </is>
      </c>
      <c r="N800" t="inlineStr">
        <is>
          <t>White</t>
        </is>
      </c>
      <c r="P800" t="n">
        <v>128</v>
      </c>
      <c r="Q800" t="n">
        <v>6678</v>
      </c>
      <c r="R800" t="inlineStr">
        <is>
          <t>Vegas</t>
        </is>
      </c>
      <c r="S800" t="inlineStr">
        <is>
          <t>Doubles</t>
        </is>
      </c>
      <c r="T800" t="inlineStr">
        <is>
          <t>over 6'</t>
        </is>
      </c>
      <c r="U800" t="inlineStr">
        <is>
          <t>Connolly</t>
        </is>
      </c>
      <c r="V800" t="inlineStr">
        <is>
          <t>Jackson</t>
        </is>
      </c>
      <c r="Y800" t="inlineStr">
        <is>
          <t>Delneky</t>
        </is>
      </c>
      <c r="AA800" t="n">
        <v>1</v>
      </c>
      <c r="AB800" t="inlineStr">
        <is>
          <t>W</t>
        </is>
      </c>
      <c r="AC800" t="inlineStr">
        <is>
          <t>4&amp;2</t>
        </is>
      </c>
      <c r="AE800">
        <f>$V800&amp;$Y800</f>
        <v/>
      </c>
      <c r="AF800" t="n">
        <v>1</v>
      </c>
      <c r="AG800" t="n">
        <v>1</v>
      </c>
      <c r="AH800" t="n">
        <v>0</v>
      </c>
      <c r="AI800" t="n">
        <v>0</v>
      </c>
      <c r="AK800" t="inlineStr">
        <is>
          <t>Hilts</t>
        </is>
      </c>
      <c r="AM800" t="inlineStr">
        <is>
          <t>Flanders</t>
        </is>
      </c>
    </row>
    <row r="801" ht="15" customHeight="1" s="2">
      <c r="B801" t="n">
        <v>11</v>
      </c>
      <c r="D801" t="n">
        <v>12</v>
      </c>
      <c r="E801" t="inlineStr">
        <is>
          <t>FBC12-D11</t>
        </is>
      </c>
      <c r="F801" t="inlineStr">
        <is>
          <t>Friday</t>
        </is>
      </c>
      <c r="G801" s="27" t="n">
        <v>45877</v>
      </c>
      <c r="H801" t="inlineStr">
        <is>
          <t>AM</t>
        </is>
      </c>
      <c r="I801" t="inlineStr">
        <is>
          <t>Killarney, IE</t>
        </is>
      </c>
      <c r="J801" t="inlineStr">
        <is>
          <t>Europe</t>
        </is>
      </c>
      <c r="K801" t="n">
        <v>9</v>
      </c>
      <c r="L801" t="inlineStr">
        <is>
          <t>Front</t>
        </is>
      </c>
      <c r="M801" t="inlineStr">
        <is>
          <t>Ballybunion Cashen</t>
        </is>
      </c>
      <c r="N801" t="inlineStr">
        <is>
          <t>Blue</t>
        </is>
      </c>
      <c r="P801" t="n">
        <v>130</v>
      </c>
      <c r="Q801" t="n">
        <v>6290</v>
      </c>
      <c r="R801" t="inlineStr">
        <is>
          <t>Pinehurst</t>
        </is>
      </c>
      <c r="S801" t="inlineStr">
        <is>
          <t>Doubles</t>
        </is>
      </c>
      <c r="T801" t="inlineStr">
        <is>
          <t>over 6'</t>
        </is>
      </c>
      <c r="U801" t="inlineStr">
        <is>
          <t>Connolly</t>
        </is>
      </c>
      <c r="V801" t="inlineStr">
        <is>
          <t>Piegari</t>
        </is>
      </c>
      <c r="Y801" t="inlineStr">
        <is>
          <t>Zimmer</t>
        </is>
      </c>
      <c r="AA801" t="n">
        <v>1</v>
      </c>
      <c r="AB801" t="inlineStr">
        <is>
          <t>L</t>
        </is>
      </c>
      <c r="AE801">
        <f>$V801&amp;$Y801</f>
        <v/>
      </c>
      <c r="AF801" t="n">
        <v>0</v>
      </c>
      <c r="AG801" t="n">
        <v>0</v>
      </c>
      <c r="AH801" t="n">
        <v>1</v>
      </c>
      <c r="AI801" t="n">
        <v>0</v>
      </c>
      <c r="AK801" t="inlineStr">
        <is>
          <t>Perkins</t>
        </is>
      </c>
      <c r="AM801" t="inlineStr">
        <is>
          <t>Mangold</t>
        </is>
      </c>
    </row>
    <row r="802" ht="15" customHeight="1" s="2">
      <c r="B802" t="n">
        <v>12</v>
      </c>
      <c r="D802" t="n">
        <v>12</v>
      </c>
      <c r="E802" t="inlineStr">
        <is>
          <t>FBC12-D12</t>
        </is>
      </c>
      <c r="F802" t="inlineStr">
        <is>
          <t>Friday</t>
        </is>
      </c>
      <c r="G802" s="27" t="n">
        <v>45877</v>
      </c>
      <c r="H802" t="inlineStr">
        <is>
          <t>AM</t>
        </is>
      </c>
      <c r="I802" t="inlineStr">
        <is>
          <t>Killarney, IE</t>
        </is>
      </c>
      <c r="J802" t="inlineStr">
        <is>
          <t>Europe</t>
        </is>
      </c>
      <c r="K802" t="n">
        <v>9</v>
      </c>
      <c r="L802" t="inlineStr">
        <is>
          <t>Front</t>
        </is>
      </c>
      <c r="M802" t="inlineStr">
        <is>
          <t>Ballybunion Cashen</t>
        </is>
      </c>
      <c r="N802" t="inlineStr">
        <is>
          <t>Blue</t>
        </is>
      </c>
      <c r="P802" t="n">
        <v>130</v>
      </c>
      <c r="Q802" t="n">
        <v>6290</v>
      </c>
      <c r="R802" t="inlineStr">
        <is>
          <t>Pinehurst</t>
        </is>
      </c>
      <c r="S802" t="inlineStr">
        <is>
          <t>Doubles</t>
        </is>
      </c>
      <c r="T802" t="inlineStr">
        <is>
          <t>over 6'</t>
        </is>
      </c>
      <c r="U802" t="inlineStr">
        <is>
          <t>Connolly</t>
        </is>
      </c>
      <c r="V802" t="inlineStr">
        <is>
          <t>Deoteris</t>
        </is>
      </c>
      <c r="Y802" t="inlineStr">
        <is>
          <t>Ferrin</t>
        </is>
      </c>
      <c r="AA802" t="n">
        <v>1</v>
      </c>
      <c r="AB802" t="inlineStr">
        <is>
          <t>L</t>
        </is>
      </c>
      <c r="AE802">
        <f>$V802&amp;$Y802</f>
        <v/>
      </c>
      <c r="AF802" t="n">
        <v>0</v>
      </c>
      <c r="AG802" t="n">
        <v>0</v>
      </c>
      <c r="AH802" t="n">
        <v>1</v>
      </c>
      <c r="AI802" t="n">
        <v>0</v>
      </c>
      <c r="AK802" t="inlineStr">
        <is>
          <t>Flanders</t>
        </is>
      </c>
      <c r="AM802" t="inlineStr">
        <is>
          <t>Poirier</t>
        </is>
      </c>
    </row>
    <row r="803" ht="15" customHeight="1" s="2">
      <c r="B803" t="n">
        <v>13</v>
      </c>
      <c r="D803" t="n">
        <v>12</v>
      </c>
      <c r="E803" t="inlineStr">
        <is>
          <t>FBC12-D13</t>
        </is>
      </c>
      <c r="F803" t="inlineStr">
        <is>
          <t>Friday</t>
        </is>
      </c>
      <c r="G803" s="27" t="n">
        <v>45877</v>
      </c>
      <c r="H803" t="inlineStr">
        <is>
          <t>AM</t>
        </is>
      </c>
      <c r="I803" t="inlineStr">
        <is>
          <t>Killarney, IE</t>
        </is>
      </c>
      <c r="J803" t="inlineStr">
        <is>
          <t>Europe</t>
        </is>
      </c>
      <c r="K803" t="n">
        <v>9</v>
      </c>
      <c r="L803" t="inlineStr">
        <is>
          <t>Front</t>
        </is>
      </c>
      <c r="M803" t="inlineStr">
        <is>
          <t>Ballybunion Cashen</t>
        </is>
      </c>
      <c r="N803" t="inlineStr">
        <is>
          <t>Blue</t>
        </is>
      </c>
      <c r="P803" t="n">
        <v>130</v>
      </c>
      <c r="Q803" t="n">
        <v>6290</v>
      </c>
      <c r="R803" t="inlineStr">
        <is>
          <t>Pinehurst</t>
        </is>
      </c>
      <c r="S803" t="inlineStr">
        <is>
          <t>Doubles</t>
        </is>
      </c>
      <c r="T803" t="inlineStr">
        <is>
          <t>over 6'</t>
        </is>
      </c>
      <c r="U803" t="inlineStr">
        <is>
          <t>Connolly</t>
        </is>
      </c>
      <c r="V803" t="inlineStr">
        <is>
          <t>R. Connolly</t>
        </is>
      </c>
      <c r="Y803" t="inlineStr">
        <is>
          <t>Delneky</t>
        </is>
      </c>
      <c r="AA803" t="n">
        <v>1</v>
      </c>
      <c r="AB803" t="inlineStr">
        <is>
          <t>W</t>
        </is>
      </c>
      <c r="AE803">
        <f>$V803&amp;$Y803</f>
        <v/>
      </c>
      <c r="AF803" t="n">
        <v>1</v>
      </c>
      <c r="AG803" t="n">
        <v>1</v>
      </c>
      <c r="AH803" t="n">
        <v>0</v>
      </c>
      <c r="AI803" t="n">
        <v>0</v>
      </c>
      <c r="AK803" t="inlineStr">
        <is>
          <t>Grise</t>
        </is>
      </c>
      <c r="AM803" t="inlineStr">
        <is>
          <t>Forster</t>
        </is>
      </c>
    </row>
    <row r="804" ht="15" customHeight="1" s="2">
      <c r="B804" t="n">
        <v>14</v>
      </c>
      <c r="D804" t="n">
        <v>12</v>
      </c>
      <c r="E804" t="inlineStr">
        <is>
          <t>FBC12-D14</t>
        </is>
      </c>
      <c r="F804" t="inlineStr">
        <is>
          <t>Friday</t>
        </is>
      </c>
      <c r="G804" s="27" t="n">
        <v>45877</v>
      </c>
      <c r="H804" t="inlineStr">
        <is>
          <t>AM</t>
        </is>
      </c>
      <c r="I804" t="inlineStr">
        <is>
          <t>Killarney, IE</t>
        </is>
      </c>
      <c r="J804" t="inlineStr">
        <is>
          <t>Europe</t>
        </is>
      </c>
      <c r="K804" t="n">
        <v>9</v>
      </c>
      <c r="L804" t="inlineStr">
        <is>
          <t>Front</t>
        </is>
      </c>
      <c r="M804" t="inlineStr">
        <is>
          <t>Ballybunion Cashen</t>
        </is>
      </c>
      <c r="N804" t="inlineStr">
        <is>
          <t>Blue</t>
        </is>
      </c>
      <c r="P804" t="n">
        <v>130</v>
      </c>
      <c r="Q804" t="n">
        <v>6290</v>
      </c>
      <c r="R804" t="inlineStr">
        <is>
          <t>Pinehurst</t>
        </is>
      </c>
      <c r="S804" t="inlineStr">
        <is>
          <t>Doubles</t>
        </is>
      </c>
      <c r="T804" t="inlineStr">
        <is>
          <t>over 6'</t>
        </is>
      </c>
      <c r="U804" t="inlineStr">
        <is>
          <t>Connolly</t>
        </is>
      </c>
      <c r="V804" t="inlineStr">
        <is>
          <t>Fogan</t>
        </is>
      </c>
      <c r="Y804" t="inlineStr">
        <is>
          <t>Delaney</t>
        </is>
      </c>
      <c r="AA804" t="n">
        <v>1</v>
      </c>
      <c r="AB804" t="inlineStr">
        <is>
          <t>W</t>
        </is>
      </c>
      <c r="AE804">
        <f>$V804&amp;$Y804</f>
        <v/>
      </c>
      <c r="AF804" t="n">
        <v>1</v>
      </c>
      <c r="AG804" t="n">
        <v>1</v>
      </c>
      <c r="AH804" t="n">
        <v>0</v>
      </c>
      <c r="AI804" t="n">
        <v>0</v>
      </c>
      <c r="AK804" t="inlineStr">
        <is>
          <t>Hilts</t>
        </is>
      </c>
      <c r="AM804" t="inlineStr">
        <is>
          <t>Shively</t>
        </is>
      </c>
    </row>
    <row r="805" ht="15" customHeight="1" s="2">
      <c r="B805" t="n">
        <v>15</v>
      </c>
      <c r="D805" t="n">
        <v>12</v>
      </c>
      <c r="E805" t="inlineStr">
        <is>
          <t>FBC12-D15</t>
        </is>
      </c>
      <c r="F805" t="inlineStr">
        <is>
          <t>Friday</t>
        </is>
      </c>
      <c r="G805" s="27" t="n">
        <v>45877</v>
      </c>
      <c r="H805" t="inlineStr">
        <is>
          <t>AM</t>
        </is>
      </c>
      <c r="I805" t="inlineStr">
        <is>
          <t>Killarney, IE</t>
        </is>
      </c>
      <c r="J805" t="inlineStr">
        <is>
          <t>Europe</t>
        </is>
      </c>
      <c r="K805" t="n">
        <v>9</v>
      </c>
      <c r="L805" t="inlineStr">
        <is>
          <t>Front</t>
        </is>
      </c>
      <c r="M805" t="inlineStr">
        <is>
          <t>Ballybunion Cashen</t>
        </is>
      </c>
      <c r="N805" t="inlineStr">
        <is>
          <t>Blue</t>
        </is>
      </c>
      <c r="P805" t="n">
        <v>130</v>
      </c>
      <c r="Q805" t="n">
        <v>6290</v>
      </c>
      <c r="R805" t="inlineStr">
        <is>
          <t>Pinehurst</t>
        </is>
      </c>
      <c r="S805" t="inlineStr">
        <is>
          <t>Doubles</t>
        </is>
      </c>
      <c r="T805" t="inlineStr">
        <is>
          <t>over 6'</t>
        </is>
      </c>
      <c r="U805" t="inlineStr">
        <is>
          <t>Connolly</t>
        </is>
      </c>
      <c r="V805" t="inlineStr">
        <is>
          <t>Jackson</t>
        </is>
      </c>
      <c r="Y805" t="inlineStr">
        <is>
          <t>Connolly</t>
        </is>
      </c>
      <c r="AA805" t="n">
        <v>1</v>
      </c>
      <c r="AB805" t="inlineStr">
        <is>
          <t>W</t>
        </is>
      </c>
      <c r="AE805">
        <f>$V805&amp;$Y805</f>
        <v/>
      </c>
      <c r="AF805" t="n">
        <v>1</v>
      </c>
      <c r="AG805" t="n">
        <v>1</v>
      </c>
      <c r="AH805" t="n">
        <v>0</v>
      </c>
      <c r="AI805" t="n">
        <v>0</v>
      </c>
      <c r="AK805" t="inlineStr">
        <is>
          <t>Lynch</t>
        </is>
      </c>
      <c r="AM805" t="inlineStr">
        <is>
          <t>Snyder</t>
        </is>
      </c>
    </row>
    <row r="806" ht="15" customHeight="1" s="2">
      <c r="B806" t="n">
        <v>16</v>
      </c>
      <c r="D806" t="n">
        <v>12</v>
      </c>
      <c r="E806" t="inlineStr">
        <is>
          <t>FBC12-D16</t>
        </is>
      </c>
      <c r="F806" t="inlineStr">
        <is>
          <t>Friday</t>
        </is>
      </c>
      <c r="G806" s="27" t="n">
        <v>45877</v>
      </c>
      <c r="H806" t="inlineStr">
        <is>
          <t>AM</t>
        </is>
      </c>
      <c r="I806" t="inlineStr">
        <is>
          <t>Killarney, IE</t>
        </is>
      </c>
      <c r="J806" t="inlineStr">
        <is>
          <t>Europe</t>
        </is>
      </c>
      <c r="K806" t="n">
        <v>9</v>
      </c>
      <c r="L806" t="inlineStr">
        <is>
          <t>Back</t>
        </is>
      </c>
      <c r="M806" t="inlineStr">
        <is>
          <t>Ballybunion Cashen</t>
        </is>
      </c>
      <c r="N806" t="inlineStr">
        <is>
          <t>Blue</t>
        </is>
      </c>
      <c r="P806" t="n">
        <v>130</v>
      </c>
      <c r="Q806" t="n">
        <v>6290</v>
      </c>
      <c r="R806" t="inlineStr">
        <is>
          <t>Scramble</t>
        </is>
      </c>
      <c r="S806" t="inlineStr">
        <is>
          <t>Doubles</t>
        </is>
      </c>
      <c r="T806" t="inlineStr">
        <is>
          <t>over 6'</t>
        </is>
      </c>
      <c r="U806" t="inlineStr">
        <is>
          <t>Connolly</t>
        </is>
      </c>
      <c r="V806" t="inlineStr">
        <is>
          <t>Piegari</t>
        </is>
      </c>
      <c r="Y806" t="inlineStr">
        <is>
          <t>Zimmer</t>
        </is>
      </c>
      <c r="AA806" t="n">
        <v>1</v>
      </c>
      <c r="AB806" t="inlineStr">
        <is>
          <t>L</t>
        </is>
      </c>
      <c r="AE806">
        <f>$V806&amp;$Y806</f>
        <v/>
      </c>
      <c r="AF806" t="n">
        <v>0</v>
      </c>
      <c r="AG806" t="n">
        <v>0</v>
      </c>
      <c r="AH806" t="n">
        <v>1</v>
      </c>
      <c r="AI806" t="n">
        <v>0</v>
      </c>
      <c r="AK806" t="inlineStr">
        <is>
          <t>Perkins</t>
        </is>
      </c>
      <c r="AM806" t="inlineStr">
        <is>
          <t>Mangold</t>
        </is>
      </c>
    </row>
    <row r="807" ht="15" customHeight="1" s="2">
      <c r="B807" t="n">
        <v>17</v>
      </c>
      <c r="D807" t="n">
        <v>12</v>
      </c>
      <c r="E807" t="inlineStr">
        <is>
          <t>FBC12-D17</t>
        </is>
      </c>
      <c r="F807" t="inlineStr">
        <is>
          <t>Friday</t>
        </is>
      </c>
      <c r="G807" s="27" t="n">
        <v>45877</v>
      </c>
      <c r="H807" t="inlineStr">
        <is>
          <t>AM</t>
        </is>
      </c>
      <c r="I807" t="inlineStr">
        <is>
          <t>Killarney, IE</t>
        </is>
      </c>
      <c r="J807" t="inlineStr">
        <is>
          <t>Europe</t>
        </is>
      </c>
      <c r="K807" t="n">
        <v>9</v>
      </c>
      <c r="L807" t="inlineStr">
        <is>
          <t>Back</t>
        </is>
      </c>
      <c r="M807" t="inlineStr">
        <is>
          <t>Ballybunion Cashen</t>
        </is>
      </c>
      <c r="N807" t="inlineStr">
        <is>
          <t>Blue</t>
        </is>
      </c>
      <c r="P807" t="n">
        <v>130</v>
      </c>
      <c r="Q807" t="n">
        <v>6290</v>
      </c>
      <c r="R807" t="inlineStr">
        <is>
          <t>Scramble</t>
        </is>
      </c>
      <c r="S807" t="inlineStr">
        <is>
          <t>Doubles</t>
        </is>
      </c>
      <c r="T807" t="inlineStr">
        <is>
          <t>over 6'</t>
        </is>
      </c>
      <c r="U807" t="inlineStr">
        <is>
          <t>Connolly</t>
        </is>
      </c>
      <c r="V807" t="inlineStr">
        <is>
          <t>Deoteris</t>
        </is>
      </c>
      <c r="Y807" t="inlineStr">
        <is>
          <t>Ferrin</t>
        </is>
      </c>
      <c r="AA807" t="n">
        <v>1</v>
      </c>
      <c r="AB807" t="inlineStr">
        <is>
          <t>T</t>
        </is>
      </c>
      <c r="AC807" t="inlineStr">
        <is>
          <t>Halved</t>
        </is>
      </c>
      <c r="AE807">
        <f>$V807&amp;$Y807</f>
        <v/>
      </c>
      <c r="AF807" t="n">
        <v>0.5</v>
      </c>
      <c r="AG807" t="n">
        <v>0</v>
      </c>
      <c r="AH807" t="n">
        <v>0</v>
      </c>
      <c r="AI807" t="n">
        <v>1</v>
      </c>
      <c r="AK807" t="inlineStr">
        <is>
          <t>Flanders</t>
        </is>
      </c>
      <c r="AM807" t="inlineStr">
        <is>
          <t>Poirier</t>
        </is>
      </c>
    </row>
    <row r="808" ht="15" customHeight="1" s="2">
      <c r="B808" t="n">
        <v>18</v>
      </c>
      <c r="D808" t="n">
        <v>12</v>
      </c>
      <c r="E808" t="inlineStr">
        <is>
          <t>FBC12-D18</t>
        </is>
      </c>
      <c r="F808" t="inlineStr">
        <is>
          <t>Friday</t>
        </is>
      </c>
      <c r="G808" s="27" t="n">
        <v>45877</v>
      </c>
      <c r="H808" t="inlineStr">
        <is>
          <t>AM</t>
        </is>
      </c>
      <c r="I808" t="inlineStr">
        <is>
          <t>Killarney, IE</t>
        </is>
      </c>
      <c r="J808" t="inlineStr">
        <is>
          <t>Europe</t>
        </is>
      </c>
      <c r="K808" t="n">
        <v>9</v>
      </c>
      <c r="L808" t="inlineStr">
        <is>
          <t>Back</t>
        </is>
      </c>
      <c r="M808" t="inlineStr">
        <is>
          <t>Ballybunion Cashen</t>
        </is>
      </c>
      <c r="N808" t="inlineStr">
        <is>
          <t>Blue</t>
        </is>
      </c>
      <c r="P808" t="n">
        <v>130</v>
      </c>
      <c r="Q808" t="n">
        <v>6290</v>
      </c>
      <c r="R808" t="inlineStr">
        <is>
          <t>Scramble</t>
        </is>
      </c>
      <c r="S808" t="inlineStr">
        <is>
          <t>Doubles</t>
        </is>
      </c>
      <c r="T808" t="inlineStr">
        <is>
          <t>over 6'</t>
        </is>
      </c>
      <c r="U808" t="inlineStr">
        <is>
          <t>Connolly</t>
        </is>
      </c>
      <c r="V808" t="inlineStr">
        <is>
          <t>R. Connolly</t>
        </is>
      </c>
      <c r="Y808" t="inlineStr">
        <is>
          <t>Delneky</t>
        </is>
      </c>
      <c r="AA808" t="n">
        <v>1</v>
      </c>
      <c r="AB808" t="inlineStr">
        <is>
          <t>L</t>
        </is>
      </c>
      <c r="AE808">
        <f>$V808&amp;$Y808</f>
        <v/>
      </c>
      <c r="AF808" t="n">
        <v>0</v>
      </c>
      <c r="AG808" t="n">
        <v>0</v>
      </c>
      <c r="AH808" t="n">
        <v>1</v>
      </c>
      <c r="AI808" t="n">
        <v>0</v>
      </c>
      <c r="AK808" t="inlineStr">
        <is>
          <t>Grise</t>
        </is>
      </c>
      <c r="AM808" t="inlineStr">
        <is>
          <t>Forster</t>
        </is>
      </c>
    </row>
    <row r="809" ht="15" customHeight="1" s="2">
      <c r="B809" t="n">
        <v>19</v>
      </c>
      <c r="D809" t="n">
        <v>12</v>
      </c>
      <c r="E809" t="inlineStr">
        <is>
          <t>FBC12-D19</t>
        </is>
      </c>
      <c r="F809" t="inlineStr">
        <is>
          <t>Friday</t>
        </is>
      </c>
      <c r="G809" s="27" t="n">
        <v>45877</v>
      </c>
      <c r="H809" t="inlineStr">
        <is>
          <t>AM</t>
        </is>
      </c>
      <c r="I809" t="inlineStr">
        <is>
          <t>Killarney, IE</t>
        </is>
      </c>
      <c r="J809" t="inlineStr">
        <is>
          <t>Europe</t>
        </is>
      </c>
      <c r="K809" t="n">
        <v>9</v>
      </c>
      <c r="L809" t="inlineStr">
        <is>
          <t>Back</t>
        </is>
      </c>
      <c r="M809" t="inlineStr">
        <is>
          <t>Ballybunion Cashen</t>
        </is>
      </c>
      <c r="N809" t="inlineStr">
        <is>
          <t>Blue</t>
        </is>
      </c>
      <c r="P809" t="n">
        <v>130</v>
      </c>
      <c r="Q809" t="n">
        <v>6290</v>
      </c>
      <c r="R809" t="inlineStr">
        <is>
          <t>Scramble</t>
        </is>
      </c>
      <c r="S809" t="inlineStr">
        <is>
          <t>Doubles</t>
        </is>
      </c>
      <c r="T809" t="inlineStr">
        <is>
          <t>over 6'</t>
        </is>
      </c>
      <c r="U809" t="inlineStr">
        <is>
          <t>Connolly</t>
        </is>
      </c>
      <c r="V809" t="inlineStr">
        <is>
          <t>Fogan</t>
        </is>
      </c>
      <c r="Y809" t="inlineStr">
        <is>
          <t>Delaney</t>
        </is>
      </c>
      <c r="AA809" t="n">
        <v>1</v>
      </c>
      <c r="AB809" t="inlineStr">
        <is>
          <t>T</t>
        </is>
      </c>
      <c r="AC809" t="inlineStr">
        <is>
          <t>Halved</t>
        </is>
      </c>
      <c r="AE809">
        <f>$V809&amp;$Y809</f>
        <v/>
      </c>
      <c r="AF809" t="n">
        <v>0.5</v>
      </c>
      <c r="AG809" t="n">
        <v>0</v>
      </c>
      <c r="AH809" t="n">
        <v>0</v>
      </c>
      <c r="AI809" t="n">
        <v>1</v>
      </c>
      <c r="AK809" t="inlineStr">
        <is>
          <t>Hilts</t>
        </is>
      </c>
      <c r="AM809" t="inlineStr">
        <is>
          <t>Shively</t>
        </is>
      </c>
    </row>
    <row r="810" ht="15" customHeight="1" s="2">
      <c r="B810" t="n">
        <v>20</v>
      </c>
      <c r="D810" t="n">
        <v>12</v>
      </c>
      <c r="E810" t="inlineStr">
        <is>
          <t>FBC12-D20</t>
        </is>
      </c>
      <c r="F810" t="inlineStr">
        <is>
          <t>Friday</t>
        </is>
      </c>
      <c r="G810" s="27" t="n">
        <v>45877</v>
      </c>
      <c r="H810" t="inlineStr">
        <is>
          <t>AM</t>
        </is>
      </c>
      <c r="I810" t="inlineStr">
        <is>
          <t>Killarney, IE</t>
        </is>
      </c>
      <c r="J810" t="inlineStr">
        <is>
          <t>Europe</t>
        </is>
      </c>
      <c r="K810" t="n">
        <v>9</v>
      </c>
      <c r="L810" t="inlineStr">
        <is>
          <t>Back</t>
        </is>
      </c>
      <c r="M810" t="inlineStr">
        <is>
          <t>Ballybunion Cashen</t>
        </is>
      </c>
      <c r="N810" t="inlineStr">
        <is>
          <t>Blue</t>
        </is>
      </c>
      <c r="P810" t="n">
        <v>130</v>
      </c>
      <c r="Q810" t="n">
        <v>6290</v>
      </c>
      <c r="R810" t="inlineStr">
        <is>
          <t>Scramble</t>
        </is>
      </c>
      <c r="S810" t="inlineStr">
        <is>
          <t>Doubles</t>
        </is>
      </c>
      <c r="T810" t="inlineStr">
        <is>
          <t>over 6'</t>
        </is>
      </c>
      <c r="U810" t="inlineStr">
        <is>
          <t>Connolly</t>
        </is>
      </c>
      <c r="V810" t="inlineStr">
        <is>
          <t>Jackson</t>
        </is>
      </c>
      <c r="Y810" t="inlineStr">
        <is>
          <t>Connolly</t>
        </is>
      </c>
      <c r="AA810" t="n">
        <v>1</v>
      </c>
      <c r="AB810" t="inlineStr">
        <is>
          <t>T</t>
        </is>
      </c>
      <c r="AC810" t="inlineStr">
        <is>
          <t>Halved</t>
        </is>
      </c>
      <c r="AE810">
        <f>$V810&amp;$Y810</f>
        <v/>
      </c>
      <c r="AF810" t="n">
        <v>0.5</v>
      </c>
      <c r="AG810" t="n">
        <v>0</v>
      </c>
      <c r="AH810" t="n">
        <v>0</v>
      </c>
      <c r="AI810" t="n">
        <v>1</v>
      </c>
      <c r="AK810" t="inlineStr">
        <is>
          <t>Lynch</t>
        </is>
      </c>
      <c r="AM810" t="inlineStr">
        <is>
          <t>Snyder</t>
        </is>
      </c>
    </row>
    <row r="811" ht="15" customHeight="1" s="2">
      <c r="B811" t="n">
        <v>26</v>
      </c>
      <c r="D811" t="n">
        <v>12</v>
      </c>
      <c r="E811" t="inlineStr">
        <is>
          <t>FBC12-D26</t>
        </is>
      </c>
      <c r="F811" t="inlineStr">
        <is>
          <t>Friday</t>
        </is>
      </c>
      <c r="G811" s="27" t="n">
        <v>45877</v>
      </c>
      <c r="H811" t="inlineStr">
        <is>
          <t>PM</t>
        </is>
      </c>
      <c r="I811" t="inlineStr">
        <is>
          <t>Killarney, IE</t>
        </is>
      </c>
      <c r="J811" t="inlineStr">
        <is>
          <t>Europe</t>
        </is>
      </c>
      <c r="K811" t="n">
        <v>9</v>
      </c>
      <c r="L811" t="inlineStr">
        <is>
          <t>Back</t>
        </is>
      </c>
      <c r="M811" t="inlineStr">
        <is>
          <t>Ballybunion Old</t>
        </is>
      </c>
      <c r="N811" t="inlineStr">
        <is>
          <t>White</t>
        </is>
      </c>
      <c r="P811" t="n">
        <v>131</v>
      </c>
      <c r="Q811" t="n">
        <v>6383</v>
      </c>
      <c r="R811" t="inlineStr">
        <is>
          <t>Vegas</t>
        </is>
      </c>
      <c r="S811" t="inlineStr">
        <is>
          <t>Doubles</t>
        </is>
      </c>
      <c r="T811" t="inlineStr">
        <is>
          <t>over 6'</t>
        </is>
      </c>
      <c r="U811" t="inlineStr">
        <is>
          <t>Connolly</t>
        </is>
      </c>
      <c r="V811" t="inlineStr">
        <is>
          <t>Delneky</t>
        </is>
      </c>
      <c r="Y811" t="inlineStr">
        <is>
          <t>Zimmer</t>
        </is>
      </c>
      <c r="AA811" t="n">
        <v>1</v>
      </c>
      <c r="AB811" t="inlineStr">
        <is>
          <t>W</t>
        </is>
      </c>
      <c r="AE811">
        <f>$V811&amp;$Y811</f>
        <v/>
      </c>
      <c r="AF811" t="n">
        <v>1</v>
      </c>
      <c r="AG811" t="n">
        <v>1</v>
      </c>
      <c r="AH811" t="n">
        <v>0</v>
      </c>
      <c r="AI811" t="n">
        <v>0</v>
      </c>
      <c r="AK811" t="inlineStr">
        <is>
          <t>Hilts</t>
        </is>
      </c>
      <c r="AM811" t="inlineStr">
        <is>
          <t>Poirier</t>
        </is>
      </c>
    </row>
    <row r="812" ht="15" customHeight="1" s="2">
      <c r="B812" t="n">
        <v>27</v>
      </c>
      <c r="D812" t="n">
        <v>12</v>
      </c>
      <c r="E812" t="inlineStr">
        <is>
          <t>FBC12-D27</t>
        </is>
      </c>
      <c r="F812" t="inlineStr">
        <is>
          <t>Friday</t>
        </is>
      </c>
      <c r="G812" s="27" t="n">
        <v>45877</v>
      </c>
      <c r="H812" t="inlineStr">
        <is>
          <t>PM</t>
        </is>
      </c>
      <c r="I812" t="inlineStr">
        <is>
          <t>Killarney, IE</t>
        </is>
      </c>
      <c r="J812" t="inlineStr">
        <is>
          <t>Europe</t>
        </is>
      </c>
      <c r="K812" t="n">
        <v>9</v>
      </c>
      <c r="L812" t="inlineStr">
        <is>
          <t>Back</t>
        </is>
      </c>
      <c r="M812" t="inlineStr">
        <is>
          <t>Ballybunion Old</t>
        </is>
      </c>
      <c r="N812" t="inlineStr">
        <is>
          <t>White</t>
        </is>
      </c>
      <c r="P812" t="n">
        <v>131</v>
      </c>
      <c r="Q812" t="n">
        <v>6383</v>
      </c>
      <c r="R812" t="inlineStr">
        <is>
          <t>Vegas</t>
        </is>
      </c>
      <c r="S812" t="inlineStr">
        <is>
          <t>Doubles</t>
        </is>
      </c>
      <c r="T812" t="inlineStr">
        <is>
          <t>over 6'</t>
        </is>
      </c>
      <c r="U812" t="inlineStr">
        <is>
          <t>Connolly</t>
        </is>
      </c>
      <c r="V812" t="inlineStr">
        <is>
          <t>Fogan</t>
        </is>
      </c>
      <c r="Y812" t="inlineStr">
        <is>
          <t>Piegari</t>
        </is>
      </c>
      <c r="AA812" t="n">
        <v>1</v>
      </c>
      <c r="AB812" t="inlineStr">
        <is>
          <t>T</t>
        </is>
      </c>
      <c r="AC812" t="inlineStr">
        <is>
          <t>Halved</t>
        </is>
      </c>
      <c r="AE812">
        <f>$V812&amp;$Y812</f>
        <v/>
      </c>
      <c r="AF812" t="n">
        <v>0.5</v>
      </c>
      <c r="AG812" t="n">
        <v>0</v>
      </c>
      <c r="AH812" t="n">
        <v>0</v>
      </c>
      <c r="AI812" t="n">
        <v>1</v>
      </c>
      <c r="AK812" t="inlineStr">
        <is>
          <t>Grise</t>
        </is>
      </c>
      <c r="AM812" t="inlineStr">
        <is>
          <t>Snyder</t>
        </is>
      </c>
    </row>
    <row r="813" ht="15" customHeight="1" s="2">
      <c r="B813" t="n">
        <v>28</v>
      </c>
      <c r="D813" t="n">
        <v>12</v>
      </c>
      <c r="E813" t="inlineStr">
        <is>
          <t>FBC12-D28</t>
        </is>
      </c>
      <c r="F813" t="inlineStr">
        <is>
          <t>Friday</t>
        </is>
      </c>
      <c r="G813" s="27" t="n">
        <v>45877</v>
      </c>
      <c r="H813" t="inlineStr">
        <is>
          <t>PM</t>
        </is>
      </c>
      <c r="I813" t="inlineStr">
        <is>
          <t>Killarney, IE</t>
        </is>
      </c>
      <c r="J813" t="inlineStr">
        <is>
          <t>Europe</t>
        </is>
      </c>
      <c r="K813" t="n">
        <v>9</v>
      </c>
      <c r="L813" t="inlineStr">
        <is>
          <t>Back</t>
        </is>
      </c>
      <c r="M813" t="inlineStr">
        <is>
          <t>Ballybunion Old</t>
        </is>
      </c>
      <c r="N813" t="inlineStr">
        <is>
          <t>White</t>
        </is>
      </c>
      <c r="P813" t="n">
        <v>131</v>
      </c>
      <c r="Q813" t="n">
        <v>6383</v>
      </c>
      <c r="R813" t="inlineStr">
        <is>
          <t>Vegas</t>
        </is>
      </c>
      <c r="S813" t="inlineStr">
        <is>
          <t>Doubles</t>
        </is>
      </c>
      <c r="T813" t="inlineStr">
        <is>
          <t>over 6'</t>
        </is>
      </c>
      <c r="U813" t="inlineStr">
        <is>
          <t>Connolly</t>
        </is>
      </c>
      <c r="V813" t="inlineStr">
        <is>
          <t>Connolly</t>
        </is>
      </c>
      <c r="Y813" t="inlineStr">
        <is>
          <t>Ferrin</t>
        </is>
      </c>
      <c r="AA813" t="n">
        <v>1</v>
      </c>
      <c r="AB813" t="inlineStr">
        <is>
          <t>W</t>
        </is>
      </c>
      <c r="AC813" t="inlineStr">
        <is>
          <t>3&amp;2</t>
        </is>
      </c>
      <c r="AE813">
        <f>$V813&amp;$Y813</f>
        <v/>
      </c>
      <c r="AF813" t="n">
        <v>1</v>
      </c>
      <c r="AG813" t="n">
        <v>1</v>
      </c>
      <c r="AH813" t="n">
        <v>0</v>
      </c>
      <c r="AI813" t="n">
        <v>0</v>
      </c>
      <c r="AK813" t="inlineStr">
        <is>
          <t>Shively</t>
        </is>
      </c>
      <c r="AM813" t="inlineStr">
        <is>
          <t>Forster</t>
        </is>
      </c>
    </row>
    <row r="814" ht="15" customHeight="1" s="2">
      <c r="B814" t="n">
        <v>29</v>
      </c>
      <c r="D814" t="n">
        <v>12</v>
      </c>
      <c r="E814" t="inlineStr">
        <is>
          <t>FBC12-D29</t>
        </is>
      </c>
      <c r="F814" t="inlineStr">
        <is>
          <t>Friday</t>
        </is>
      </c>
      <c r="G814" s="27" t="n">
        <v>45877</v>
      </c>
      <c r="H814" t="inlineStr">
        <is>
          <t>PM</t>
        </is>
      </c>
      <c r="I814" t="inlineStr">
        <is>
          <t>Killarney, IE</t>
        </is>
      </c>
      <c r="J814" t="inlineStr">
        <is>
          <t>Europe</t>
        </is>
      </c>
      <c r="K814" t="n">
        <v>9</v>
      </c>
      <c r="L814" t="inlineStr">
        <is>
          <t>Back</t>
        </is>
      </c>
      <c r="M814" t="inlineStr">
        <is>
          <t>Ballybunion Old</t>
        </is>
      </c>
      <c r="N814" t="inlineStr">
        <is>
          <t>White</t>
        </is>
      </c>
      <c r="P814" t="n">
        <v>131</v>
      </c>
      <c r="Q814" t="n">
        <v>6383</v>
      </c>
      <c r="R814" t="inlineStr">
        <is>
          <t>Vegas</t>
        </is>
      </c>
      <c r="S814" t="inlineStr">
        <is>
          <t>Doubles</t>
        </is>
      </c>
      <c r="T814" t="inlineStr">
        <is>
          <t>over 6'</t>
        </is>
      </c>
      <c r="U814" t="inlineStr">
        <is>
          <t>Connolly</t>
        </is>
      </c>
      <c r="V814" t="inlineStr">
        <is>
          <t>Deoteris</t>
        </is>
      </c>
      <c r="Y814" t="inlineStr">
        <is>
          <t>Delaney</t>
        </is>
      </c>
      <c r="AA814" t="n">
        <v>1</v>
      </c>
      <c r="AB814" t="inlineStr">
        <is>
          <t>L</t>
        </is>
      </c>
      <c r="AE814">
        <f>$V814&amp;$Y814</f>
        <v/>
      </c>
      <c r="AF814" t="n">
        <v>0</v>
      </c>
      <c r="AG814" t="n">
        <v>0</v>
      </c>
      <c r="AH814" t="n">
        <v>1</v>
      </c>
      <c r="AI814" t="n">
        <v>0</v>
      </c>
      <c r="AK814" t="inlineStr">
        <is>
          <t>Flanders</t>
        </is>
      </c>
      <c r="AM814" t="inlineStr">
        <is>
          <t>Mangold</t>
        </is>
      </c>
    </row>
    <row r="815" ht="15" customHeight="1" s="2">
      <c r="B815" t="n">
        <v>30</v>
      </c>
      <c r="D815" t="n">
        <v>12</v>
      </c>
      <c r="E815" t="inlineStr">
        <is>
          <t>FBC12-D30</t>
        </is>
      </c>
      <c r="F815" t="inlineStr">
        <is>
          <t>Friday</t>
        </is>
      </c>
      <c r="G815" s="27" t="n">
        <v>45877</v>
      </c>
      <c r="H815" t="inlineStr">
        <is>
          <t>PM</t>
        </is>
      </c>
      <c r="I815" t="inlineStr">
        <is>
          <t>Killarney, IE</t>
        </is>
      </c>
      <c r="J815" t="inlineStr">
        <is>
          <t>Europe</t>
        </is>
      </c>
      <c r="K815" t="n">
        <v>9</v>
      </c>
      <c r="L815" t="inlineStr">
        <is>
          <t>Back</t>
        </is>
      </c>
      <c r="M815" t="inlineStr">
        <is>
          <t>Ballybunion Old</t>
        </is>
      </c>
      <c r="N815" t="inlineStr">
        <is>
          <t>White</t>
        </is>
      </c>
      <c r="P815" t="n">
        <v>131</v>
      </c>
      <c r="Q815" t="n">
        <v>6383</v>
      </c>
      <c r="R815" t="inlineStr">
        <is>
          <t>Vegas</t>
        </is>
      </c>
      <c r="S815" t="inlineStr">
        <is>
          <t>Doubles</t>
        </is>
      </c>
      <c r="T815" t="inlineStr">
        <is>
          <t>over 6'</t>
        </is>
      </c>
      <c r="U815" t="inlineStr">
        <is>
          <t>Connolly</t>
        </is>
      </c>
      <c r="V815" t="inlineStr">
        <is>
          <t>R. Connolly</t>
        </is>
      </c>
      <c r="Y815" t="inlineStr">
        <is>
          <t>Jackson</t>
        </is>
      </c>
      <c r="AA815" t="n">
        <v>1</v>
      </c>
      <c r="AB815" t="inlineStr">
        <is>
          <t>L</t>
        </is>
      </c>
      <c r="AC815" t="inlineStr">
        <is>
          <t>2&amp;1</t>
        </is>
      </c>
      <c r="AE815">
        <f>$V815&amp;$Y815</f>
        <v/>
      </c>
      <c r="AF815" t="n">
        <v>0</v>
      </c>
      <c r="AG815" t="n">
        <v>0</v>
      </c>
      <c r="AH815" t="n">
        <v>1</v>
      </c>
      <c r="AI815" t="n">
        <v>0</v>
      </c>
      <c r="AK815" t="inlineStr">
        <is>
          <t>Perkins</t>
        </is>
      </c>
      <c r="AM815" t="inlineStr">
        <is>
          <t>Lynch</t>
        </is>
      </c>
    </row>
    <row r="816" ht="15" customHeight="1" s="2">
      <c r="B816" t="n">
        <v>21</v>
      </c>
      <c r="D816" t="n">
        <v>12</v>
      </c>
      <c r="E816" t="inlineStr">
        <is>
          <t>FBC12-D21</t>
        </is>
      </c>
      <c r="F816" t="inlineStr">
        <is>
          <t>Friday</t>
        </is>
      </c>
      <c r="G816" s="27" t="n">
        <v>45877</v>
      </c>
      <c r="H816" t="inlineStr">
        <is>
          <t>PM</t>
        </is>
      </c>
      <c r="I816" t="inlineStr">
        <is>
          <t>Killarney, IE</t>
        </is>
      </c>
      <c r="J816" t="inlineStr">
        <is>
          <t>Europe</t>
        </is>
      </c>
      <c r="K816" t="n">
        <v>9</v>
      </c>
      <c r="L816" t="inlineStr">
        <is>
          <t>Front</t>
        </is>
      </c>
      <c r="M816" t="inlineStr">
        <is>
          <t>Ballybunion Old</t>
        </is>
      </c>
      <c r="N816" t="inlineStr">
        <is>
          <t>White</t>
        </is>
      </c>
      <c r="P816" t="n">
        <v>131</v>
      </c>
      <c r="Q816" t="n">
        <v>6383</v>
      </c>
      <c r="R816" t="inlineStr">
        <is>
          <t>Best Ball</t>
        </is>
      </c>
      <c r="S816" t="inlineStr">
        <is>
          <t>Doubles</t>
        </is>
      </c>
      <c r="T816" t="inlineStr">
        <is>
          <t>over 6'</t>
        </is>
      </c>
      <c r="U816" t="inlineStr">
        <is>
          <t>Connolly</t>
        </is>
      </c>
      <c r="V816" t="inlineStr">
        <is>
          <t>Delneky</t>
        </is>
      </c>
      <c r="Y816" t="inlineStr">
        <is>
          <t>Zimmer</t>
        </is>
      </c>
      <c r="AA816" t="n">
        <v>1</v>
      </c>
      <c r="AB816" t="inlineStr">
        <is>
          <t>L</t>
        </is>
      </c>
      <c r="AE816">
        <f>$V816&amp;$Y816</f>
        <v/>
      </c>
      <c r="AF816" t="n">
        <v>0</v>
      </c>
      <c r="AG816" t="n">
        <v>0</v>
      </c>
      <c r="AH816" t="n">
        <v>1</v>
      </c>
      <c r="AI816" t="n">
        <v>0</v>
      </c>
      <c r="AK816" t="inlineStr">
        <is>
          <t>Hilts</t>
        </is>
      </c>
      <c r="AM816" t="inlineStr">
        <is>
          <t>Poirier</t>
        </is>
      </c>
    </row>
    <row r="817" ht="15" customHeight="1" s="2">
      <c r="B817" t="n">
        <v>22</v>
      </c>
      <c r="D817" t="n">
        <v>12</v>
      </c>
      <c r="E817" t="inlineStr">
        <is>
          <t>FBC12-D22</t>
        </is>
      </c>
      <c r="F817" t="inlineStr">
        <is>
          <t>Friday</t>
        </is>
      </c>
      <c r="G817" s="27" t="n">
        <v>45877</v>
      </c>
      <c r="H817" t="inlineStr">
        <is>
          <t>PM</t>
        </is>
      </c>
      <c r="I817" t="inlineStr">
        <is>
          <t>Killarney, IE</t>
        </is>
      </c>
      <c r="J817" t="inlineStr">
        <is>
          <t>Europe</t>
        </is>
      </c>
      <c r="K817" t="n">
        <v>9</v>
      </c>
      <c r="L817" t="inlineStr">
        <is>
          <t>Front</t>
        </is>
      </c>
      <c r="M817" t="inlineStr">
        <is>
          <t>Ballybunion Old</t>
        </is>
      </c>
      <c r="N817" t="inlineStr">
        <is>
          <t>White</t>
        </is>
      </c>
      <c r="P817" t="n">
        <v>131</v>
      </c>
      <c r="Q817" t="n">
        <v>6383</v>
      </c>
      <c r="R817" t="inlineStr">
        <is>
          <t>Best Ball</t>
        </is>
      </c>
      <c r="S817" t="inlineStr">
        <is>
          <t>Doubles</t>
        </is>
      </c>
      <c r="T817" t="inlineStr">
        <is>
          <t>over 6'</t>
        </is>
      </c>
      <c r="U817" t="inlineStr">
        <is>
          <t>Connolly</t>
        </is>
      </c>
      <c r="V817" t="inlineStr">
        <is>
          <t>Fogan</t>
        </is>
      </c>
      <c r="Y817" t="inlineStr">
        <is>
          <t>Piegari</t>
        </is>
      </c>
      <c r="AA817" t="n">
        <v>1</v>
      </c>
      <c r="AB817" t="inlineStr">
        <is>
          <t>L</t>
        </is>
      </c>
      <c r="AE817">
        <f>$V817&amp;$Y817</f>
        <v/>
      </c>
      <c r="AF817" t="n">
        <v>0</v>
      </c>
      <c r="AG817" t="n">
        <v>0</v>
      </c>
      <c r="AH817" t="n">
        <v>1</v>
      </c>
      <c r="AI817" t="n">
        <v>0</v>
      </c>
      <c r="AK817" t="inlineStr">
        <is>
          <t>Grise</t>
        </is>
      </c>
      <c r="AM817" t="inlineStr">
        <is>
          <t>Snyder</t>
        </is>
      </c>
    </row>
    <row r="818" ht="15" customHeight="1" s="2">
      <c r="B818" t="n">
        <v>23</v>
      </c>
      <c r="D818" t="n">
        <v>12</v>
      </c>
      <c r="E818" t="inlineStr">
        <is>
          <t>FBC12-D23</t>
        </is>
      </c>
      <c r="F818" t="inlineStr">
        <is>
          <t>Friday</t>
        </is>
      </c>
      <c r="G818" s="27" t="n">
        <v>45877</v>
      </c>
      <c r="H818" t="inlineStr">
        <is>
          <t>PM</t>
        </is>
      </c>
      <c r="I818" t="inlineStr">
        <is>
          <t>Killarney, IE</t>
        </is>
      </c>
      <c r="J818" t="inlineStr">
        <is>
          <t>Europe</t>
        </is>
      </c>
      <c r="K818" t="n">
        <v>9</v>
      </c>
      <c r="L818" t="inlineStr">
        <is>
          <t>Front</t>
        </is>
      </c>
      <c r="M818" t="inlineStr">
        <is>
          <t>Ballybunion Old</t>
        </is>
      </c>
      <c r="N818" t="inlineStr">
        <is>
          <t>White</t>
        </is>
      </c>
      <c r="P818" t="n">
        <v>131</v>
      </c>
      <c r="Q818" t="n">
        <v>6383</v>
      </c>
      <c r="R818" t="inlineStr">
        <is>
          <t>Best Ball</t>
        </is>
      </c>
      <c r="S818" t="inlineStr">
        <is>
          <t>Doubles</t>
        </is>
      </c>
      <c r="T818" t="inlineStr">
        <is>
          <t>over 6'</t>
        </is>
      </c>
      <c r="U818" t="inlineStr">
        <is>
          <t>Connolly</t>
        </is>
      </c>
      <c r="V818" t="inlineStr">
        <is>
          <t>Connolly</t>
        </is>
      </c>
      <c r="Y818" t="inlineStr">
        <is>
          <t>Ferrin</t>
        </is>
      </c>
      <c r="AA818" t="n">
        <v>1</v>
      </c>
      <c r="AB818" t="inlineStr">
        <is>
          <t>L</t>
        </is>
      </c>
      <c r="AC818" t="inlineStr">
        <is>
          <t>1 up</t>
        </is>
      </c>
      <c r="AE818">
        <f>$V818&amp;$Y818</f>
        <v/>
      </c>
      <c r="AF818" t="n">
        <v>0</v>
      </c>
      <c r="AG818" t="n">
        <v>0</v>
      </c>
      <c r="AH818" t="n">
        <v>1</v>
      </c>
      <c r="AI818" t="n">
        <v>0</v>
      </c>
      <c r="AK818" t="inlineStr">
        <is>
          <t>Shively</t>
        </is>
      </c>
      <c r="AM818" t="inlineStr">
        <is>
          <t>Forster</t>
        </is>
      </c>
    </row>
    <row r="819" ht="15" customHeight="1" s="2">
      <c r="B819" t="n">
        <v>24</v>
      </c>
      <c r="D819" t="n">
        <v>12</v>
      </c>
      <c r="E819" t="inlineStr">
        <is>
          <t>FBC12-D24</t>
        </is>
      </c>
      <c r="F819" t="inlineStr">
        <is>
          <t>Friday</t>
        </is>
      </c>
      <c r="G819" s="27" t="n">
        <v>45877</v>
      </c>
      <c r="H819" t="inlineStr">
        <is>
          <t>PM</t>
        </is>
      </c>
      <c r="I819" t="inlineStr">
        <is>
          <t>Killarney, IE</t>
        </is>
      </c>
      <c r="J819" t="inlineStr">
        <is>
          <t>Europe</t>
        </is>
      </c>
      <c r="K819" t="n">
        <v>9</v>
      </c>
      <c r="L819" t="inlineStr">
        <is>
          <t>Front</t>
        </is>
      </c>
      <c r="M819" t="inlineStr">
        <is>
          <t>Ballybunion Old</t>
        </is>
      </c>
      <c r="N819" t="inlineStr">
        <is>
          <t>White</t>
        </is>
      </c>
      <c r="P819" t="n">
        <v>131</v>
      </c>
      <c r="Q819" t="n">
        <v>6383</v>
      </c>
      <c r="R819" t="inlineStr">
        <is>
          <t>Best Ball</t>
        </is>
      </c>
      <c r="S819" t="inlineStr">
        <is>
          <t>Doubles</t>
        </is>
      </c>
      <c r="T819" t="inlineStr">
        <is>
          <t>over 6'</t>
        </is>
      </c>
      <c r="U819" t="inlineStr">
        <is>
          <t>Connolly</t>
        </is>
      </c>
      <c r="V819" t="inlineStr">
        <is>
          <t>Deoteris</t>
        </is>
      </c>
      <c r="Y819" t="inlineStr">
        <is>
          <t>Delaney</t>
        </is>
      </c>
      <c r="AA819" t="n">
        <v>1</v>
      </c>
      <c r="AB819" t="inlineStr">
        <is>
          <t>L</t>
        </is>
      </c>
      <c r="AE819">
        <f>$V819&amp;$Y819</f>
        <v/>
      </c>
      <c r="AF819" t="n">
        <v>0</v>
      </c>
      <c r="AG819" t="n">
        <v>0</v>
      </c>
      <c r="AH819" t="n">
        <v>1</v>
      </c>
      <c r="AI819" t="n">
        <v>0</v>
      </c>
      <c r="AK819" t="inlineStr">
        <is>
          <t>Flanders</t>
        </is>
      </c>
      <c r="AM819" t="inlineStr">
        <is>
          <t>Mangold</t>
        </is>
      </c>
    </row>
    <row r="820" ht="15" customHeight="1" s="2">
      <c r="B820" t="n">
        <v>25</v>
      </c>
      <c r="D820" t="n">
        <v>12</v>
      </c>
      <c r="E820" t="inlineStr">
        <is>
          <t>FBC12-D25</t>
        </is>
      </c>
      <c r="F820" t="inlineStr">
        <is>
          <t>Friday</t>
        </is>
      </c>
      <c r="G820" s="27" t="n">
        <v>45877</v>
      </c>
      <c r="H820" t="inlineStr">
        <is>
          <t>PM</t>
        </is>
      </c>
      <c r="I820" t="inlineStr">
        <is>
          <t>Killarney, IE</t>
        </is>
      </c>
      <c r="J820" t="inlineStr">
        <is>
          <t>Europe</t>
        </is>
      </c>
      <c r="K820" t="n">
        <v>9</v>
      </c>
      <c r="L820" t="inlineStr">
        <is>
          <t>Front</t>
        </is>
      </c>
      <c r="M820" t="inlineStr">
        <is>
          <t>Ballybunion Old</t>
        </is>
      </c>
      <c r="N820" t="inlineStr">
        <is>
          <t>White</t>
        </is>
      </c>
      <c r="P820" t="n">
        <v>131</v>
      </c>
      <c r="Q820" t="n">
        <v>6383</v>
      </c>
      <c r="R820" t="inlineStr">
        <is>
          <t>Best Ball</t>
        </is>
      </c>
      <c r="S820" t="inlineStr">
        <is>
          <t>Doubles</t>
        </is>
      </c>
      <c r="T820" t="inlineStr">
        <is>
          <t>over 6'</t>
        </is>
      </c>
      <c r="U820" t="inlineStr">
        <is>
          <t>Connolly</t>
        </is>
      </c>
      <c r="V820" t="inlineStr">
        <is>
          <t>R. Connolly</t>
        </is>
      </c>
      <c r="Y820" t="inlineStr">
        <is>
          <t>Jackson</t>
        </is>
      </c>
      <c r="AA820" t="n">
        <v>1</v>
      </c>
      <c r="AB820" t="inlineStr">
        <is>
          <t>W</t>
        </is>
      </c>
      <c r="AC820" t="inlineStr">
        <is>
          <t>2&amp;1</t>
        </is>
      </c>
      <c r="AE820">
        <f>$V820&amp;$Y820</f>
        <v/>
      </c>
      <c r="AF820" t="n">
        <v>1</v>
      </c>
      <c r="AG820" t="n">
        <v>1</v>
      </c>
      <c r="AH820" t="n">
        <v>0</v>
      </c>
      <c r="AI820" t="n">
        <v>0</v>
      </c>
      <c r="AK820" t="inlineStr">
        <is>
          <t>Perkins</t>
        </is>
      </c>
      <c r="AM820" t="inlineStr">
        <is>
          <t>Lynch</t>
        </is>
      </c>
    </row>
    <row r="821" ht="15" customHeight="1" s="2">
      <c r="B821" t="n">
        <v>31</v>
      </c>
      <c r="D821" t="n">
        <v>12</v>
      </c>
      <c r="E821" t="inlineStr">
        <is>
          <t>FBC12-S-Connolly-Grise</t>
        </is>
      </c>
      <c r="F821" t="inlineStr">
        <is>
          <t>Saturday</t>
        </is>
      </c>
      <c r="G821" s="27" t="n">
        <v>45878</v>
      </c>
      <c r="H821" t="inlineStr">
        <is>
          <t>PM</t>
        </is>
      </c>
      <c r="I821" t="inlineStr">
        <is>
          <t>Killarney, IE</t>
        </is>
      </c>
      <c r="J821" t="inlineStr">
        <is>
          <t>Europe</t>
        </is>
      </c>
      <c r="K821" t="n">
        <v>18</v>
      </c>
      <c r="L821" t="inlineStr">
        <is>
          <t>Full</t>
        </is>
      </c>
      <c r="M821" t="inlineStr">
        <is>
          <t>Dooks</t>
        </is>
      </c>
      <c r="N821" t="inlineStr">
        <is>
          <t>White</t>
        </is>
      </c>
      <c r="P821" t="n">
        <v>132</v>
      </c>
      <c r="Q821" t="n">
        <v>6272</v>
      </c>
      <c r="R821" t="inlineStr">
        <is>
          <t>Match Play</t>
        </is>
      </c>
      <c r="S821" t="inlineStr">
        <is>
          <t>Singles</t>
        </is>
      </c>
      <c r="T821" t="inlineStr">
        <is>
          <t>over 6'</t>
        </is>
      </c>
      <c r="U821" t="inlineStr">
        <is>
          <t>Connolly</t>
        </is>
      </c>
      <c r="V821" t="inlineStr">
        <is>
          <t>Connolly</t>
        </is>
      </c>
      <c r="AA821" t="n">
        <v>2</v>
      </c>
      <c r="AB821" t="inlineStr">
        <is>
          <t>W</t>
        </is>
      </c>
      <c r="AD821" t="inlineStr">
        <is>
          <t>Grise</t>
        </is>
      </c>
      <c r="AE821">
        <f>$V821&amp;$Y821</f>
        <v/>
      </c>
      <c r="AF821" t="n">
        <v>2</v>
      </c>
      <c r="AG821" t="n">
        <v>1</v>
      </c>
      <c r="AH821" t="n">
        <v>0</v>
      </c>
      <c r="AI821" t="n">
        <v>0</v>
      </c>
    </row>
    <row r="822" ht="15" customHeight="1" s="2">
      <c r="B822" t="n">
        <v>32</v>
      </c>
      <c r="D822" t="n">
        <v>12</v>
      </c>
      <c r="E822" t="inlineStr">
        <is>
          <t>FBC12-S-Delneky-Lynch</t>
        </is>
      </c>
      <c r="F822" t="inlineStr">
        <is>
          <t>Saturday</t>
        </is>
      </c>
      <c r="G822" s="27" t="n">
        <v>45878</v>
      </c>
      <c r="H822" t="inlineStr">
        <is>
          <t>PM</t>
        </is>
      </c>
      <c r="I822" t="inlineStr">
        <is>
          <t>Killarney, IE</t>
        </is>
      </c>
      <c r="J822" t="inlineStr">
        <is>
          <t>Europe</t>
        </is>
      </c>
      <c r="K822" t="n">
        <v>18</v>
      </c>
      <c r="L822" t="inlineStr">
        <is>
          <t>Full</t>
        </is>
      </c>
      <c r="M822" t="inlineStr">
        <is>
          <t>Dooks</t>
        </is>
      </c>
      <c r="N822" t="inlineStr">
        <is>
          <t>White</t>
        </is>
      </c>
      <c r="P822" t="n">
        <v>132</v>
      </c>
      <c r="Q822" t="n">
        <v>6272</v>
      </c>
      <c r="R822" t="inlineStr">
        <is>
          <t>Match Play</t>
        </is>
      </c>
      <c r="S822" t="inlineStr">
        <is>
          <t>Singles</t>
        </is>
      </c>
      <c r="T822" t="inlineStr">
        <is>
          <t>over 6'</t>
        </is>
      </c>
      <c r="U822" t="inlineStr">
        <is>
          <t>Connolly</t>
        </is>
      </c>
      <c r="V822" t="inlineStr">
        <is>
          <t>Delneky</t>
        </is>
      </c>
      <c r="AA822" t="n">
        <v>2</v>
      </c>
      <c r="AB822" t="inlineStr">
        <is>
          <t>W</t>
        </is>
      </c>
      <c r="AD822" t="inlineStr">
        <is>
          <t>Lynch</t>
        </is>
      </c>
      <c r="AE822">
        <f>$V822&amp;$Y822</f>
        <v/>
      </c>
      <c r="AF822" t="n">
        <v>2</v>
      </c>
      <c r="AG822" t="n">
        <v>1</v>
      </c>
      <c r="AH822" t="n">
        <v>0</v>
      </c>
      <c r="AI822" t="n">
        <v>0</v>
      </c>
    </row>
    <row r="823" ht="15" customHeight="1" s="2">
      <c r="B823" t="n">
        <v>33</v>
      </c>
      <c r="D823" t="n">
        <v>12</v>
      </c>
      <c r="E823" t="inlineStr">
        <is>
          <t>FBC12-S-R. Connolly-Shively</t>
        </is>
      </c>
      <c r="F823" t="inlineStr">
        <is>
          <t>Saturday</t>
        </is>
      </c>
      <c r="G823" s="27" t="n">
        <v>45878</v>
      </c>
      <c r="H823" t="inlineStr">
        <is>
          <t>PM</t>
        </is>
      </c>
      <c r="I823" t="inlineStr">
        <is>
          <t>Killarney, IE</t>
        </is>
      </c>
      <c r="J823" t="inlineStr">
        <is>
          <t>Europe</t>
        </is>
      </c>
      <c r="K823" t="n">
        <v>18</v>
      </c>
      <c r="L823" t="inlineStr">
        <is>
          <t>Full</t>
        </is>
      </c>
      <c r="M823" t="inlineStr">
        <is>
          <t>Dooks</t>
        </is>
      </c>
      <c r="N823" t="inlineStr">
        <is>
          <t>White</t>
        </is>
      </c>
      <c r="P823" t="n">
        <v>132</v>
      </c>
      <c r="Q823" t="n">
        <v>6272</v>
      </c>
      <c r="R823" t="inlineStr">
        <is>
          <t>Match Play</t>
        </is>
      </c>
      <c r="S823" t="inlineStr">
        <is>
          <t>Singles</t>
        </is>
      </c>
      <c r="T823" t="inlineStr">
        <is>
          <t>over 6'</t>
        </is>
      </c>
      <c r="U823" t="inlineStr">
        <is>
          <t>Connolly</t>
        </is>
      </c>
      <c r="V823" t="inlineStr">
        <is>
          <t>R. Connolly</t>
        </is>
      </c>
      <c r="AA823" t="n">
        <v>2</v>
      </c>
      <c r="AB823" t="inlineStr">
        <is>
          <t>W</t>
        </is>
      </c>
      <c r="AD823" t="inlineStr">
        <is>
          <t>Shively</t>
        </is>
      </c>
      <c r="AE823">
        <f>$V823&amp;$Y823</f>
        <v/>
      </c>
      <c r="AF823" t="n">
        <v>2</v>
      </c>
      <c r="AG823" t="n">
        <v>1</v>
      </c>
      <c r="AH823" t="n">
        <v>0</v>
      </c>
      <c r="AI823" t="n">
        <v>0</v>
      </c>
    </row>
    <row r="824" ht="15" customHeight="1" s="2">
      <c r="B824" t="n">
        <v>34</v>
      </c>
      <c r="D824" t="n">
        <v>12</v>
      </c>
      <c r="E824" t="inlineStr">
        <is>
          <t>FBC12-S-Flanders-Piegari</t>
        </is>
      </c>
      <c r="F824" t="inlineStr">
        <is>
          <t>Saturday</t>
        </is>
      </c>
      <c r="G824" s="27" t="n">
        <v>45878</v>
      </c>
      <c r="H824" t="inlineStr">
        <is>
          <t>PM</t>
        </is>
      </c>
      <c r="I824" t="inlineStr">
        <is>
          <t>Killarney, IE</t>
        </is>
      </c>
      <c r="J824" t="inlineStr">
        <is>
          <t>Europe</t>
        </is>
      </c>
      <c r="K824" t="n">
        <v>18</v>
      </c>
      <c r="L824" t="inlineStr">
        <is>
          <t>Full</t>
        </is>
      </c>
      <c r="M824" t="inlineStr">
        <is>
          <t>Dooks</t>
        </is>
      </c>
      <c r="N824" t="inlineStr">
        <is>
          <t>White</t>
        </is>
      </c>
      <c r="P824" t="n">
        <v>132</v>
      </c>
      <c r="Q824" t="n">
        <v>6272</v>
      </c>
      <c r="R824" t="inlineStr">
        <is>
          <t>Match Play</t>
        </is>
      </c>
      <c r="S824" t="inlineStr">
        <is>
          <t>Singles</t>
        </is>
      </c>
      <c r="T824" t="inlineStr">
        <is>
          <t>over 6'</t>
        </is>
      </c>
      <c r="U824" t="inlineStr">
        <is>
          <t>Connolly</t>
        </is>
      </c>
      <c r="V824" t="inlineStr">
        <is>
          <t>Piegari</t>
        </is>
      </c>
      <c r="AA824" t="n">
        <v>2</v>
      </c>
      <c r="AB824" t="inlineStr">
        <is>
          <t>L</t>
        </is>
      </c>
      <c r="AD824" t="inlineStr">
        <is>
          <t>Flanders</t>
        </is>
      </c>
      <c r="AE824">
        <f>$V824&amp;$Y824</f>
        <v/>
      </c>
      <c r="AF824" t="n">
        <v>0</v>
      </c>
      <c r="AG824" t="n">
        <v>0</v>
      </c>
      <c r="AH824" t="n">
        <v>1</v>
      </c>
      <c r="AI824" t="n">
        <v>0</v>
      </c>
    </row>
    <row r="825" ht="15" customHeight="1" s="2">
      <c r="B825" t="n">
        <v>35</v>
      </c>
      <c r="D825" t="n">
        <v>12</v>
      </c>
      <c r="E825" t="inlineStr">
        <is>
          <t>FBC12-S-Jackson-Poirier</t>
        </is>
      </c>
      <c r="F825" t="inlineStr">
        <is>
          <t>Saturday</t>
        </is>
      </c>
      <c r="G825" s="27" t="n">
        <v>45878</v>
      </c>
      <c r="H825" t="inlineStr">
        <is>
          <t>PM</t>
        </is>
      </c>
      <c r="I825" t="inlineStr">
        <is>
          <t>Killarney, IE</t>
        </is>
      </c>
      <c r="J825" t="inlineStr">
        <is>
          <t>Europe</t>
        </is>
      </c>
      <c r="K825" t="n">
        <v>18</v>
      </c>
      <c r="L825" t="inlineStr">
        <is>
          <t>Full</t>
        </is>
      </c>
      <c r="M825" t="inlineStr">
        <is>
          <t>Dooks</t>
        </is>
      </c>
      <c r="N825" t="inlineStr">
        <is>
          <t>White</t>
        </is>
      </c>
      <c r="P825" t="n">
        <v>132</v>
      </c>
      <c r="Q825" t="n">
        <v>6272</v>
      </c>
      <c r="R825" t="inlineStr">
        <is>
          <t>Match Play</t>
        </is>
      </c>
      <c r="S825" t="inlineStr">
        <is>
          <t>Singles</t>
        </is>
      </c>
      <c r="T825" t="inlineStr">
        <is>
          <t>over 6'</t>
        </is>
      </c>
      <c r="U825" t="inlineStr">
        <is>
          <t>Connolly</t>
        </is>
      </c>
      <c r="V825" t="inlineStr">
        <is>
          <t>Jackson</t>
        </is>
      </c>
      <c r="AA825" t="n">
        <v>2</v>
      </c>
      <c r="AB825" t="inlineStr">
        <is>
          <t>L</t>
        </is>
      </c>
      <c r="AD825" t="inlineStr">
        <is>
          <t>Poirier</t>
        </is>
      </c>
      <c r="AE825">
        <f>$V825&amp;$Y825</f>
        <v/>
      </c>
      <c r="AF825" t="n">
        <v>0</v>
      </c>
      <c r="AG825" t="n">
        <v>0</v>
      </c>
      <c r="AH825" t="n">
        <v>1</v>
      </c>
      <c r="AI825" t="n">
        <v>0</v>
      </c>
    </row>
    <row r="826" ht="15" customHeight="1" s="2">
      <c r="B826" t="n">
        <v>36</v>
      </c>
      <c r="D826" t="n">
        <v>12</v>
      </c>
      <c r="E826" t="inlineStr">
        <is>
          <t>FBC12-S-Deoteris-Snyder</t>
        </is>
      </c>
      <c r="F826" t="inlineStr">
        <is>
          <t>Saturday</t>
        </is>
      </c>
      <c r="G826" s="27" t="n">
        <v>45878</v>
      </c>
      <c r="H826" t="inlineStr">
        <is>
          <t>PM</t>
        </is>
      </c>
      <c r="I826" t="inlineStr">
        <is>
          <t>Killarney, IE</t>
        </is>
      </c>
      <c r="J826" t="inlineStr">
        <is>
          <t>Europe</t>
        </is>
      </c>
      <c r="K826" t="n">
        <v>18</v>
      </c>
      <c r="L826" t="inlineStr">
        <is>
          <t>Full</t>
        </is>
      </c>
      <c r="M826" t="inlineStr">
        <is>
          <t>Dooks</t>
        </is>
      </c>
      <c r="N826" t="inlineStr">
        <is>
          <t>White</t>
        </is>
      </c>
      <c r="P826" t="n">
        <v>132</v>
      </c>
      <c r="Q826" t="n">
        <v>6272</v>
      </c>
      <c r="R826" t="inlineStr">
        <is>
          <t>Match Play</t>
        </is>
      </c>
      <c r="S826" t="inlineStr">
        <is>
          <t>Singles</t>
        </is>
      </c>
      <c r="T826" t="inlineStr">
        <is>
          <t>over 6'</t>
        </is>
      </c>
      <c r="U826" t="inlineStr">
        <is>
          <t>Connolly</t>
        </is>
      </c>
      <c r="V826" t="inlineStr">
        <is>
          <t>Deoteris</t>
        </is>
      </c>
      <c r="AA826" t="n">
        <v>2</v>
      </c>
      <c r="AB826" t="inlineStr">
        <is>
          <t>L</t>
        </is>
      </c>
      <c r="AD826" t="inlineStr">
        <is>
          <t>Snyder</t>
        </is>
      </c>
      <c r="AE826">
        <f>$V826&amp;$Y826</f>
        <v/>
      </c>
      <c r="AF826" t="n">
        <v>0</v>
      </c>
      <c r="AG826" t="n">
        <v>0</v>
      </c>
      <c r="AH826" t="n">
        <v>1</v>
      </c>
      <c r="AI826" t="n">
        <v>0</v>
      </c>
    </row>
    <row r="827" ht="15" customHeight="1" s="2">
      <c r="B827" t="n">
        <v>37</v>
      </c>
      <c r="D827" t="n">
        <v>12</v>
      </c>
      <c r="E827" t="inlineStr">
        <is>
          <t>FBC12-S-Fogan-Forster</t>
        </is>
      </c>
      <c r="F827" t="inlineStr">
        <is>
          <t>Saturday</t>
        </is>
      </c>
      <c r="G827" s="27" t="n">
        <v>45878</v>
      </c>
      <c r="H827" t="inlineStr">
        <is>
          <t>PM</t>
        </is>
      </c>
      <c r="I827" t="inlineStr">
        <is>
          <t>Killarney, IE</t>
        </is>
      </c>
      <c r="J827" t="inlineStr">
        <is>
          <t>Europe</t>
        </is>
      </c>
      <c r="K827" t="n">
        <v>18</v>
      </c>
      <c r="L827" t="inlineStr">
        <is>
          <t>Full</t>
        </is>
      </c>
      <c r="M827" t="inlineStr">
        <is>
          <t>Dooks</t>
        </is>
      </c>
      <c r="N827" t="inlineStr">
        <is>
          <t>White</t>
        </is>
      </c>
      <c r="P827" t="n">
        <v>132</v>
      </c>
      <c r="Q827" t="n">
        <v>6272</v>
      </c>
      <c r="R827" t="inlineStr">
        <is>
          <t>Match Play</t>
        </is>
      </c>
      <c r="S827" t="inlineStr">
        <is>
          <t>Singles</t>
        </is>
      </c>
      <c r="T827" t="inlineStr">
        <is>
          <t>over 6'</t>
        </is>
      </c>
      <c r="U827" t="inlineStr">
        <is>
          <t>Connolly</t>
        </is>
      </c>
      <c r="V827" t="inlineStr">
        <is>
          <t>Fogan</t>
        </is>
      </c>
      <c r="AA827" t="n">
        <v>2</v>
      </c>
      <c r="AB827" t="inlineStr">
        <is>
          <t>L</t>
        </is>
      </c>
      <c r="AD827" t="inlineStr">
        <is>
          <t>Forster</t>
        </is>
      </c>
      <c r="AE827">
        <f>$V827&amp;$Y827</f>
        <v/>
      </c>
      <c r="AF827" t="n">
        <v>0</v>
      </c>
      <c r="AG827" t="n">
        <v>0</v>
      </c>
      <c r="AH827" t="n">
        <v>1</v>
      </c>
      <c r="AI827" t="n">
        <v>0</v>
      </c>
    </row>
    <row r="828" ht="15" customHeight="1" s="2">
      <c r="B828" t="n">
        <v>38</v>
      </c>
      <c r="D828" t="n">
        <v>12</v>
      </c>
      <c r="E828" t="inlineStr">
        <is>
          <t>FBC12-S-Perkins-Zimmer</t>
        </is>
      </c>
      <c r="F828" t="inlineStr">
        <is>
          <t>Saturday</t>
        </is>
      </c>
      <c r="G828" s="27" t="n">
        <v>45878</v>
      </c>
      <c r="H828" t="inlineStr">
        <is>
          <t>PM</t>
        </is>
      </c>
      <c r="I828" t="inlineStr">
        <is>
          <t>Killarney, IE</t>
        </is>
      </c>
      <c r="J828" t="inlineStr">
        <is>
          <t>Europe</t>
        </is>
      </c>
      <c r="K828" t="n">
        <v>18</v>
      </c>
      <c r="L828" t="inlineStr">
        <is>
          <t>Full</t>
        </is>
      </c>
      <c r="M828" t="inlineStr">
        <is>
          <t>Dooks</t>
        </is>
      </c>
      <c r="N828" t="inlineStr">
        <is>
          <t>White</t>
        </is>
      </c>
      <c r="P828" t="n">
        <v>132</v>
      </c>
      <c r="Q828" t="n">
        <v>6272</v>
      </c>
      <c r="R828" t="inlineStr">
        <is>
          <t>Match Play</t>
        </is>
      </c>
      <c r="S828" t="inlineStr">
        <is>
          <t>Singles</t>
        </is>
      </c>
      <c r="T828" t="inlineStr">
        <is>
          <t>over 6'</t>
        </is>
      </c>
      <c r="U828" t="inlineStr">
        <is>
          <t>Connolly</t>
        </is>
      </c>
      <c r="V828" t="inlineStr">
        <is>
          <t>Zimmer</t>
        </is>
      </c>
      <c r="AA828" t="n">
        <v>2</v>
      </c>
      <c r="AB828" t="inlineStr">
        <is>
          <t>L</t>
        </is>
      </c>
      <c r="AD828" t="inlineStr">
        <is>
          <t>Perkins</t>
        </is>
      </c>
      <c r="AE828">
        <f>$V828&amp;$Y828</f>
        <v/>
      </c>
      <c r="AF828" t="n">
        <v>0</v>
      </c>
      <c r="AG828" t="n">
        <v>0</v>
      </c>
      <c r="AH828" t="n">
        <v>1</v>
      </c>
      <c r="AI828" t="n">
        <v>0</v>
      </c>
    </row>
    <row r="829" ht="15" customHeight="1" s="2">
      <c r="B829" t="n">
        <v>39</v>
      </c>
      <c r="D829" t="n">
        <v>12</v>
      </c>
      <c r="E829" t="inlineStr">
        <is>
          <t>FBC12-S-Ferrin-Hilts</t>
        </is>
      </c>
      <c r="F829" t="inlineStr">
        <is>
          <t>Saturday</t>
        </is>
      </c>
      <c r="G829" s="27" t="n">
        <v>45878</v>
      </c>
      <c r="H829" t="inlineStr">
        <is>
          <t>PM</t>
        </is>
      </c>
      <c r="I829" t="inlineStr">
        <is>
          <t>Killarney, IE</t>
        </is>
      </c>
      <c r="J829" t="inlineStr">
        <is>
          <t>Europe</t>
        </is>
      </c>
      <c r="K829" t="n">
        <v>18</v>
      </c>
      <c r="L829" t="inlineStr">
        <is>
          <t>Full</t>
        </is>
      </c>
      <c r="M829" t="inlineStr">
        <is>
          <t>Dooks</t>
        </is>
      </c>
      <c r="N829" t="inlineStr">
        <is>
          <t>White</t>
        </is>
      </c>
      <c r="P829" t="n">
        <v>132</v>
      </c>
      <c r="Q829" t="n">
        <v>6272</v>
      </c>
      <c r="R829" t="inlineStr">
        <is>
          <t>Match Play</t>
        </is>
      </c>
      <c r="S829" t="inlineStr">
        <is>
          <t>Singles</t>
        </is>
      </c>
      <c r="T829" t="inlineStr">
        <is>
          <t>over 6'</t>
        </is>
      </c>
      <c r="U829" t="inlineStr">
        <is>
          <t>Connolly</t>
        </is>
      </c>
      <c r="V829" t="inlineStr">
        <is>
          <t>Ferrin</t>
        </is>
      </c>
      <c r="AA829" t="n">
        <v>2</v>
      </c>
      <c r="AB829" t="inlineStr">
        <is>
          <t>L</t>
        </is>
      </c>
      <c r="AD829" t="inlineStr">
        <is>
          <t>Hilts</t>
        </is>
      </c>
      <c r="AE829">
        <f>$V829&amp;$Y829</f>
        <v/>
      </c>
      <c r="AF829" t="n">
        <v>0</v>
      </c>
      <c r="AG829" t="n">
        <v>0</v>
      </c>
      <c r="AH829" t="n">
        <v>1</v>
      </c>
      <c r="AI829" t="n">
        <v>0</v>
      </c>
    </row>
    <row r="830" ht="15" customHeight="1" s="2">
      <c r="B830" t="n">
        <v>40</v>
      </c>
      <c r="D830" t="n">
        <v>12</v>
      </c>
      <c r="E830" t="inlineStr">
        <is>
          <t>FBC12-S-Delaney-Mangold</t>
        </is>
      </c>
      <c r="F830" t="inlineStr">
        <is>
          <t>Saturday</t>
        </is>
      </c>
      <c r="G830" s="27" t="n">
        <v>45878</v>
      </c>
      <c r="H830" t="inlineStr">
        <is>
          <t>PM</t>
        </is>
      </c>
      <c r="I830" t="inlineStr">
        <is>
          <t>Killarney, IE</t>
        </is>
      </c>
      <c r="J830" t="inlineStr">
        <is>
          <t>Europe</t>
        </is>
      </c>
      <c r="K830" t="n">
        <v>18</v>
      </c>
      <c r="L830" t="inlineStr">
        <is>
          <t>Full</t>
        </is>
      </c>
      <c r="M830" t="inlineStr">
        <is>
          <t>Dooks</t>
        </is>
      </c>
      <c r="N830" t="inlineStr">
        <is>
          <t>White</t>
        </is>
      </c>
      <c r="P830" t="n">
        <v>132</v>
      </c>
      <c r="Q830" t="n">
        <v>6272</v>
      </c>
      <c r="R830" t="inlineStr">
        <is>
          <t>Match Play</t>
        </is>
      </c>
      <c r="S830" t="inlineStr">
        <is>
          <t>Singles</t>
        </is>
      </c>
      <c r="T830" t="inlineStr">
        <is>
          <t>over 6'</t>
        </is>
      </c>
      <c r="U830" t="inlineStr">
        <is>
          <t>Connolly</t>
        </is>
      </c>
      <c r="V830" t="inlineStr">
        <is>
          <t>Delaney</t>
        </is>
      </c>
      <c r="AA830" t="n">
        <v>2</v>
      </c>
      <c r="AB830" t="inlineStr">
        <is>
          <t>W</t>
        </is>
      </c>
      <c r="AD830" t="inlineStr">
        <is>
          <t>Mangold</t>
        </is>
      </c>
      <c r="AE830">
        <f>$V830&amp;$Y830</f>
        <v/>
      </c>
      <c r="AF830" t="n">
        <v>2</v>
      </c>
      <c r="AG830" t="n">
        <v>1</v>
      </c>
      <c r="AH830" t="n">
        <v>0</v>
      </c>
      <c r="AI830" t="n">
        <v>0</v>
      </c>
    </row>
    <row r="831" ht="15" customHeight="1" s="2">
      <c r="B831" t="n">
        <v>1</v>
      </c>
      <c r="D831" t="n">
        <v>12</v>
      </c>
      <c r="E831" t="inlineStr">
        <is>
          <t>FBC12-D1</t>
        </is>
      </c>
      <c r="F831" t="inlineStr">
        <is>
          <t>Thursday</t>
        </is>
      </c>
      <c r="G831" s="27" t="n">
        <v>45876</v>
      </c>
      <c r="H831" t="inlineStr">
        <is>
          <t>PM</t>
        </is>
      </c>
      <c r="I831" t="inlineStr">
        <is>
          <t>Killarney, IE</t>
        </is>
      </c>
      <c r="J831" t="inlineStr">
        <is>
          <t>Europe</t>
        </is>
      </c>
      <c r="K831" t="n">
        <v>9</v>
      </c>
      <c r="L831" t="inlineStr">
        <is>
          <t>Front</t>
        </is>
      </c>
      <c r="M831" t="inlineStr">
        <is>
          <t>Tralee</t>
        </is>
      </c>
      <c r="N831" t="inlineStr">
        <is>
          <t>White</t>
        </is>
      </c>
      <c r="P831" t="n">
        <v>128</v>
      </c>
      <c r="Q831" t="n">
        <v>6678</v>
      </c>
      <c r="R831" t="inlineStr">
        <is>
          <t>Best Ball</t>
        </is>
      </c>
      <c r="S831" t="inlineStr">
        <is>
          <t>Doubles</t>
        </is>
      </c>
      <c r="T831" t="inlineStr">
        <is>
          <t>over 6'</t>
        </is>
      </c>
      <c r="U831" t="inlineStr">
        <is>
          <t>Grise</t>
        </is>
      </c>
      <c r="V831" t="inlineStr">
        <is>
          <t>Poirier</t>
        </is>
      </c>
      <c r="Y831" t="inlineStr">
        <is>
          <t>Grise</t>
        </is>
      </c>
      <c r="AA831" t="n">
        <v>1</v>
      </c>
      <c r="AB831" t="inlineStr">
        <is>
          <t>W</t>
        </is>
      </c>
      <c r="AC831" t="inlineStr">
        <is>
          <t>1 up</t>
        </is>
      </c>
      <c r="AE831">
        <f>$V831&amp;$Y831</f>
        <v/>
      </c>
      <c r="AF831" t="n">
        <v>1</v>
      </c>
      <c r="AG831" t="n">
        <v>1</v>
      </c>
      <c r="AH831" t="n">
        <v>0</v>
      </c>
      <c r="AI831" t="n">
        <v>0</v>
      </c>
      <c r="AK831" t="inlineStr">
        <is>
          <t>Zimmer</t>
        </is>
      </c>
      <c r="AM831" t="inlineStr">
        <is>
          <t>Deoteris</t>
        </is>
      </c>
    </row>
    <row r="832" ht="15" customHeight="1" s="2">
      <c r="B832" t="n">
        <v>2</v>
      </c>
      <c r="D832" t="n">
        <v>12</v>
      </c>
      <c r="E832" t="inlineStr">
        <is>
          <t>FBC12-D2</t>
        </is>
      </c>
      <c r="F832" t="inlineStr">
        <is>
          <t>Thursday</t>
        </is>
      </c>
      <c r="G832" s="27" t="n">
        <v>45876</v>
      </c>
      <c r="H832" t="inlineStr">
        <is>
          <t>PM</t>
        </is>
      </c>
      <c r="I832" t="inlineStr">
        <is>
          <t>Killarney, IE</t>
        </is>
      </c>
      <c r="J832" t="inlineStr">
        <is>
          <t>Europe</t>
        </is>
      </c>
      <c r="K832" t="n">
        <v>9</v>
      </c>
      <c r="L832" t="inlineStr">
        <is>
          <t>Front</t>
        </is>
      </c>
      <c r="M832" t="inlineStr">
        <is>
          <t>Tralee</t>
        </is>
      </c>
      <c r="N832" t="inlineStr">
        <is>
          <t>White</t>
        </is>
      </c>
      <c r="P832" t="n">
        <v>128</v>
      </c>
      <c r="Q832" t="n">
        <v>6678</v>
      </c>
      <c r="R832" t="inlineStr">
        <is>
          <t>Best Ball</t>
        </is>
      </c>
      <c r="S832" t="inlineStr">
        <is>
          <t>Doubles</t>
        </is>
      </c>
      <c r="T832" t="inlineStr">
        <is>
          <t>over 6'</t>
        </is>
      </c>
      <c r="U832" t="inlineStr">
        <is>
          <t>Grise</t>
        </is>
      </c>
      <c r="V832" t="inlineStr">
        <is>
          <t>Mangold</t>
        </is>
      </c>
      <c r="Y832" t="inlineStr">
        <is>
          <t>Lynch</t>
        </is>
      </c>
      <c r="AA832" t="n">
        <v>1</v>
      </c>
      <c r="AB832" t="inlineStr">
        <is>
          <t>W</t>
        </is>
      </c>
      <c r="AE832">
        <f>$V832&amp;$Y832</f>
        <v/>
      </c>
      <c r="AF832" t="n">
        <v>1</v>
      </c>
      <c r="AG832" t="n">
        <v>1</v>
      </c>
      <c r="AH832" t="n">
        <v>0</v>
      </c>
      <c r="AI832" t="n">
        <v>0</v>
      </c>
      <c r="AK832" t="inlineStr">
        <is>
          <t>Delaney</t>
        </is>
      </c>
      <c r="AM832" t="inlineStr">
        <is>
          <t>Piegari</t>
        </is>
      </c>
    </row>
    <row r="833" ht="15" customHeight="1" s="2">
      <c r="B833" t="n">
        <v>3</v>
      </c>
      <c r="D833" t="n">
        <v>12</v>
      </c>
      <c r="E833" t="inlineStr">
        <is>
          <t>FBC12-D3</t>
        </is>
      </c>
      <c r="F833" t="inlineStr">
        <is>
          <t>Thursday</t>
        </is>
      </c>
      <c r="G833" s="27" t="n">
        <v>45876</v>
      </c>
      <c r="H833" t="inlineStr">
        <is>
          <t>PM</t>
        </is>
      </c>
      <c r="I833" t="inlineStr">
        <is>
          <t>Killarney, IE</t>
        </is>
      </c>
      <c r="J833" t="inlineStr">
        <is>
          <t>Europe</t>
        </is>
      </c>
      <c r="K833" t="n">
        <v>9</v>
      </c>
      <c r="L833" t="inlineStr">
        <is>
          <t>Front</t>
        </is>
      </c>
      <c r="M833" t="inlineStr">
        <is>
          <t>Tralee</t>
        </is>
      </c>
      <c r="N833" t="inlineStr">
        <is>
          <t>White</t>
        </is>
      </c>
      <c r="P833" t="n">
        <v>128</v>
      </c>
      <c r="Q833" t="n">
        <v>6678</v>
      </c>
      <c r="R833" t="inlineStr">
        <is>
          <t>Best Ball</t>
        </is>
      </c>
      <c r="S833" t="inlineStr">
        <is>
          <t>Doubles</t>
        </is>
      </c>
      <c r="T833" t="inlineStr">
        <is>
          <t>over 6'</t>
        </is>
      </c>
      <c r="U833" t="inlineStr">
        <is>
          <t>Grise</t>
        </is>
      </c>
      <c r="V833" t="inlineStr">
        <is>
          <t>Perkins</t>
        </is>
      </c>
      <c r="Y833" t="inlineStr">
        <is>
          <t>Shively</t>
        </is>
      </c>
      <c r="AA833" t="n">
        <v>1</v>
      </c>
      <c r="AB833" t="inlineStr">
        <is>
          <t>L</t>
        </is>
      </c>
      <c r="AC833" t="inlineStr">
        <is>
          <t>4&amp;3</t>
        </is>
      </c>
      <c r="AE833">
        <f>$V833&amp;$Y833</f>
        <v/>
      </c>
      <c r="AF833" t="n">
        <v>0</v>
      </c>
      <c r="AG833" t="n">
        <v>0</v>
      </c>
      <c r="AH833" t="n">
        <v>1</v>
      </c>
      <c r="AI833" t="n">
        <v>0</v>
      </c>
      <c r="AK833" t="inlineStr">
        <is>
          <t>Connolly</t>
        </is>
      </c>
      <c r="AM833" t="inlineStr">
        <is>
          <t>R. Connolly</t>
        </is>
      </c>
    </row>
    <row r="834" ht="15" customHeight="1" s="2">
      <c r="B834" t="n">
        <v>4</v>
      </c>
      <c r="D834" t="n">
        <v>12</v>
      </c>
      <c r="E834" t="inlineStr">
        <is>
          <t>FBC12-D4</t>
        </is>
      </c>
      <c r="F834" t="inlineStr">
        <is>
          <t>Thursday</t>
        </is>
      </c>
      <c r="G834" s="27" t="n">
        <v>45876</v>
      </c>
      <c r="H834" t="inlineStr">
        <is>
          <t>PM</t>
        </is>
      </c>
      <c r="I834" t="inlineStr">
        <is>
          <t>Killarney, IE</t>
        </is>
      </c>
      <c r="J834" t="inlineStr">
        <is>
          <t>Europe</t>
        </is>
      </c>
      <c r="K834" t="n">
        <v>9</v>
      </c>
      <c r="L834" t="inlineStr">
        <is>
          <t>Front</t>
        </is>
      </c>
      <c r="M834" t="inlineStr">
        <is>
          <t>Tralee</t>
        </is>
      </c>
      <c r="N834" t="inlineStr">
        <is>
          <t>White</t>
        </is>
      </c>
      <c r="P834" t="n">
        <v>128</v>
      </c>
      <c r="Q834" t="n">
        <v>6678</v>
      </c>
      <c r="R834" t="inlineStr">
        <is>
          <t>Best Ball</t>
        </is>
      </c>
      <c r="S834" t="inlineStr">
        <is>
          <t>Doubles</t>
        </is>
      </c>
      <c r="T834" t="inlineStr">
        <is>
          <t>over 6'</t>
        </is>
      </c>
      <c r="U834" t="inlineStr">
        <is>
          <t>Grise</t>
        </is>
      </c>
      <c r="V834" t="inlineStr">
        <is>
          <t>Forster</t>
        </is>
      </c>
      <c r="Y834" t="inlineStr">
        <is>
          <t>Snyder</t>
        </is>
      </c>
      <c r="AA834" t="n">
        <v>1</v>
      </c>
      <c r="AB834" t="inlineStr">
        <is>
          <t>L</t>
        </is>
      </c>
      <c r="AC834" t="inlineStr">
        <is>
          <t>2 up</t>
        </is>
      </c>
      <c r="AE834">
        <f>$V834&amp;$Y834</f>
        <v/>
      </c>
      <c r="AF834" t="n">
        <v>0</v>
      </c>
      <c r="AG834" t="n">
        <v>0</v>
      </c>
      <c r="AH834" t="n">
        <v>1</v>
      </c>
      <c r="AI834" t="n">
        <v>0</v>
      </c>
      <c r="AK834" t="inlineStr">
        <is>
          <t>Ferrin</t>
        </is>
      </c>
      <c r="AM834" t="inlineStr">
        <is>
          <t>Fogan</t>
        </is>
      </c>
    </row>
    <row r="835" ht="15" customHeight="1" s="2">
      <c r="B835" t="n">
        <v>5</v>
      </c>
      <c r="D835" t="n">
        <v>12</v>
      </c>
      <c r="E835" t="inlineStr">
        <is>
          <t>FBC12-D5</t>
        </is>
      </c>
      <c r="F835" t="inlineStr">
        <is>
          <t>Thursday</t>
        </is>
      </c>
      <c r="G835" s="27" t="n">
        <v>45876</v>
      </c>
      <c r="H835" t="inlineStr">
        <is>
          <t>PM</t>
        </is>
      </c>
      <c r="I835" t="inlineStr">
        <is>
          <t>Killarney, IE</t>
        </is>
      </c>
      <c r="J835" t="inlineStr">
        <is>
          <t>Europe</t>
        </is>
      </c>
      <c r="K835" t="n">
        <v>9</v>
      </c>
      <c r="L835" t="inlineStr">
        <is>
          <t>Front</t>
        </is>
      </c>
      <c r="M835" t="inlineStr">
        <is>
          <t>Tralee</t>
        </is>
      </c>
      <c r="N835" t="inlineStr">
        <is>
          <t>White</t>
        </is>
      </c>
      <c r="P835" t="n">
        <v>128</v>
      </c>
      <c r="Q835" t="n">
        <v>6678</v>
      </c>
      <c r="R835" t="inlineStr">
        <is>
          <t>Best Ball</t>
        </is>
      </c>
      <c r="S835" t="inlineStr">
        <is>
          <t>Doubles</t>
        </is>
      </c>
      <c r="T835" t="inlineStr">
        <is>
          <t>over 6'</t>
        </is>
      </c>
      <c r="U835" t="inlineStr">
        <is>
          <t>Grise</t>
        </is>
      </c>
      <c r="V835" t="inlineStr">
        <is>
          <t>Hilts</t>
        </is>
      </c>
      <c r="Y835" t="inlineStr">
        <is>
          <t>Flanders</t>
        </is>
      </c>
      <c r="AA835" t="n">
        <v>1</v>
      </c>
      <c r="AB835" t="inlineStr">
        <is>
          <t>W</t>
        </is>
      </c>
      <c r="AC835" t="inlineStr">
        <is>
          <t>2&amp;1</t>
        </is>
      </c>
      <c r="AE835">
        <f>$V835&amp;$Y835</f>
        <v/>
      </c>
      <c r="AF835" t="n">
        <v>1</v>
      </c>
      <c r="AG835" t="n">
        <v>1</v>
      </c>
      <c r="AH835" t="n">
        <v>0</v>
      </c>
      <c r="AI835" t="n">
        <v>0</v>
      </c>
      <c r="AK835" t="inlineStr">
        <is>
          <t>Jackson</t>
        </is>
      </c>
      <c r="AM835" t="inlineStr">
        <is>
          <t>Delneky</t>
        </is>
      </c>
    </row>
    <row r="836" ht="15" customHeight="1" s="2">
      <c r="B836" t="n">
        <v>6</v>
      </c>
      <c r="D836" t="n">
        <v>12</v>
      </c>
      <c r="E836" t="inlineStr">
        <is>
          <t>FBC12-D6</t>
        </is>
      </c>
      <c r="F836" t="inlineStr">
        <is>
          <t>Thursday</t>
        </is>
      </c>
      <c r="G836" s="27" t="n">
        <v>45876</v>
      </c>
      <c r="H836" t="inlineStr">
        <is>
          <t>PM</t>
        </is>
      </c>
      <c r="I836" t="inlineStr">
        <is>
          <t>Killarney, IE</t>
        </is>
      </c>
      <c r="J836" t="inlineStr">
        <is>
          <t>Europe</t>
        </is>
      </c>
      <c r="K836" t="n">
        <v>9</v>
      </c>
      <c r="L836" t="inlineStr">
        <is>
          <t>Back</t>
        </is>
      </c>
      <c r="M836" t="inlineStr">
        <is>
          <t>Tralee</t>
        </is>
      </c>
      <c r="N836" t="inlineStr">
        <is>
          <t>White</t>
        </is>
      </c>
      <c r="P836" t="n">
        <v>128</v>
      </c>
      <c r="Q836" t="n">
        <v>6678</v>
      </c>
      <c r="R836" t="inlineStr">
        <is>
          <t>Vegas</t>
        </is>
      </c>
      <c r="S836" t="inlineStr">
        <is>
          <t>Doubles</t>
        </is>
      </c>
      <c r="T836" t="inlineStr">
        <is>
          <t>over 6'</t>
        </is>
      </c>
      <c r="U836" t="inlineStr">
        <is>
          <t>Grise</t>
        </is>
      </c>
      <c r="V836" t="inlineStr">
        <is>
          <t>Poirier</t>
        </is>
      </c>
      <c r="Y836" t="inlineStr">
        <is>
          <t>Grise</t>
        </is>
      </c>
      <c r="AA836" t="n">
        <v>1</v>
      </c>
      <c r="AB836" t="inlineStr">
        <is>
          <t>T</t>
        </is>
      </c>
      <c r="AC836" t="inlineStr">
        <is>
          <t>Halved</t>
        </is>
      </c>
      <c r="AE836">
        <f>$V836&amp;$Y836</f>
        <v/>
      </c>
      <c r="AF836" t="n">
        <v>0.5</v>
      </c>
      <c r="AG836" t="n">
        <v>0</v>
      </c>
      <c r="AH836" t="n">
        <v>0</v>
      </c>
      <c r="AI836" t="n">
        <v>1</v>
      </c>
      <c r="AK836" t="inlineStr">
        <is>
          <t>Zimmer</t>
        </is>
      </c>
      <c r="AM836" t="inlineStr">
        <is>
          <t>Deoteris</t>
        </is>
      </c>
    </row>
    <row r="837" ht="15" customHeight="1" s="2">
      <c r="B837" t="n">
        <v>7</v>
      </c>
      <c r="D837" t="n">
        <v>12</v>
      </c>
      <c r="E837" t="inlineStr">
        <is>
          <t>FBC12-D7</t>
        </is>
      </c>
      <c r="F837" t="inlineStr">
        <is>
          <t>Thursday</t>
        </is>
      </c>
      <c r="G837" s="27" t="n">
        <v>45876</v>
      </c>
      <c r="H837" t="inlineStr">
        <is>
          <t>PM</t>
        </is>
      </c>
      <c r="I837" t="inlineStr">
        <is>
          <t>Killarney, IE</t>
        </is>
      </c>
      <c r="J837" t="inlineStr">
        <is>
          <t>Europe</t>
        </is>
      </c>
      <c r="K837" t="n">
        <v>9</v>
      </c>
      <c r="L837" t="inlineStr">
        <is>
          <t>Back</t>
        </is>
      </c>
      <c r="M837" t="inlineStr">
        <is>
          <t>Tralee</t>
        </is>
      </c>
      <c r="N837" t="inlineStr">
        <is>
          <t>White</t>
        </is>
      </c>
      <c r="P837" t="n">
        <v>128</v>
      </c>
      <c r="Q837" t="n">
        <v>6678</v>
      </c>
      <c r="R837" t="inlineStr">
        <is>
          <t>Vegas</t>
        </is>
      </c>
      <c r="S837" t="inlineStr">
        <is>
          <t>Doubles</t>
        </is>
      </c>
      <c r="T837" t="inlineStr">
        <is>
          <t>over 6'</t>
        </is>
      </c>
      <c r="U837" t="inlineStr">
        <is>
          <t>Grise</t>
        </is>
      </c>
      <c r="V837" t="inlineStr">
        <is>
          <t>Mangold</t>
        </is>
      </c>
      <c r="Y837" t="inlineStr">
        <is>
          <t>Lynch</t>
        </is>
      </c>
      <c r="AA837" t="n">
        <v>1</v>
      </c>
      <c r="AB837" t="inlineStr">
        <is>
          <t>T</t>
        </is>
      </c>
      <c r="AC837" t="inlineStr">
        <is>
          <t>Halved</t>
        </is>
      </c>
      <c r="AE837">
        <f>$V837&amp;$Y837</f>
        <v/>
      </c>
      <c r="AF837" t="n">
        <v>0.5</v>
      </c>
      <c r="AG837" t="n">
        <v>0</v>
      </c>
      <c r="AH837" t="n">
        <v>0</v>
      </c>
      <c r="AI837" t="n">
        <v>1</v>
      </c>
      <c r="AK837" t="inlineStr">
        <is>
          <t>Delaney</t>
        </is>
      </c>
      <c r="AM837" t="inlineStr">
        <is>
          <t>Piegari</t>
        </is>
      </c>
    </row>
    <row r="838" ht="15" customHeight="1" s="2">
      <c r="B838" t="n">
        <v>8</v>
      </c>
      <c r="D838" t="n">
        <v>12</v>
      </c>
      <c r="E838" t="inlineStr">
        <is>
          <t>FBC12-D8</t>
        </is>
      </c>
      <c r="F838" t="inlineStr">
        <is>
          <t>Thursday</t>
        </is>
      </c>
      <c r="G838" s="27" t="n">
        <v>45876</v>
      </c>
      <c r="H838" t="inlineStr">
        <is>
          <t>PM</t>
        </is>
      </c>
      <c r="I838" t="inlineStr">
        <is>
          <t>Killarney, IE</t>
        </is>
      </c>
      <c r="J838" t="inlineStr">
        <is>
          <t>Europe</t>
        </is>
      </c>
      <c r="K838" t="n">
        <v>9</v>
      </c>
      <c r="L838" t="inlineStr">
        <is>
          <t>Back</t>
        </is>
      </c>
      <c r="M838" t="inlineStr">
        <is>
          <t>Tralee</t>
        </is>
      </c>
      <c r="N838" t="inlineStr">
        <is>
          <t>White</t>
        </is>
      </c>
      <c r="P838" t="n">
        <v>128</v>
      </c>
      <c r="Q838" t="n">
        <v>6678</v>
      </c>
      <c r="R838" t="inlineStr">
        <is>
          <t>Vegas</t>
        </is>
      </c>
      <c r="S838" t="inlineStr">
        <is>
          <t>Doubles</t>
        </is>
      </c>
      <c r="T838" t="inlineStr">
        <is>
          <t>over 6'</t>
        </is>
      </c>
      <c r="U838" t="inlineStr">
        <is>
          <t>Grise</t>
        </is>
      </c>
      <c r="V838" t="inlineStr">
        <is>
          <t>Perkins</t>
        </is>
      </c>
      <c r="Y838" t="inlineStr">
        <is>
          <t>Shively</t>
        </is>
      </c>
      <c r="AA838" t="n">
        <v>1</v>
      </c>
      <c r="AB838" t="inlineStr">
        <is>
          <t>L</t>
        </is>
      </c>
      <c r="AC838" t="inlineStr">
        <is>
          <t>4&amp;3</t>
        </is>
      </c>
      <c r="AE838">
        <f>$V838&amp;$Y838</f>
        <v/>
      </c>
      <c r="AF838" t="n">
        <v>0</v>
      </c>
      <c r="AG838" t="n">
        <v>0</v>
      </c>
      <c r="AH838" t="n">
        <v>1</v>
      </c>
      <c r="AI838" t="n">
        <v>0</v>
      </c>
      <c r="AK838" t="inlineStr">
        <is>
          <t>Connolly</t>
        </is>
      </c>
      <c r="AM838" t="inlineStr">
        <is>
          <t>R. Connolly</t>
        </is>
      </c>
    </row>
    <row r="839" ht="15" customHeight="1" s="2">
      <c r="B839" t="n">
        <v>9</v>
      </c>
      <c r="D839" t="n">
        <v>12</v>
      </c>
      <c r="E839" t="inlineStr">
        <is>
          <t>FBC12-D9</t>
        </is>
      </c>
      <c r="F839" t="inlineStr">
        <is>
          <t>Thursday</t>
        </is>
      </c>
      <c r="G839" s="27" t="n">
        <v>45876</v>
      </c>
      <c r="H839" t="inlineStr">
        <is>
          <t>PM</t>
        </is>
      </c>
      <c r="I839" t="inlineStr">
        <is>
          <t>Killarney, IE</t>
        </is>
      </c>
      <c r="J839" t="inlineStr">
        <is>
          <t>Europe</t>
        </is>
      </c>
      <c r="K839" t="n">
        <v>9</v>
      </c>
      <c r="L839" t="inlineStr">
        <is>
          <t>Back</t>
        </is>
      </c>
      <c r="M839" t="inlineStr">
        <is>
          <t>Tralee</t>
        </is>
      </c>
      <c r="N839" t="inlineStr">
        <is>
          <t>White</t>
        </is>
      </c>
      <c r="P839" t="n">
        <v>128</v>
      </c>
      <c r="Q839" t="n">
        <v>6678</v>
      </c>
      <c r="R839" t="inlineStr">
        <is>
          <t>Vegas</t>
        </is>
      </c>
      <c r="S839" t="inlineStr">
        <is>
          <t>Doubles</t>
        </is>
      </c>
      <c r="T839" t="inlineStr">
        <is>
          <t>over 6'</t>
        </is>
      </c>
      <c r="U839" t="inlineStr">
        <is>
          <t>Grise</t>
        </is>
      </c>
      <c r="V839" t="inlineStr">
        <is>
          <t>Forster</t>
        </is>
      </c>
      <c r="Y839" t="inlineStr">
        <is>
          <t>Snyder</t>
        </is>
      </c>
      <c r="AA839" t="n">
        <v>1</v>
      </c>
      <c r="AB839" t="inlineStr">
        <is>
          <t>L</t>
        </is>
      </c>
      <c r="AC839" t="inlineStr">
        <is>
          <t>2 up</t>
        </is>
      </c>
      <c r="AE839">
        <f>$V839&amp;$Y839</f>
        <v/>
      </c>
      <c r="AF839" t="n">
        <v>0</v>
      </c>
      <c r="AG839" t="n">
        <v>0</v>
      </c>
      <c r="AH839" t="n">
        <v>1</v>
      </c>
      <c r="AI839" t="n">
        <v>0</v>
      </c>
      <c r="AK839" t="inlineStr">
        <is>
          <t>Ferrin</t>
        </is>
      </c>
      <c r="AM839" t="inlineStr">
        <is>
          <t>Fogan</t>
        </is>
      </c>
    </row>
    <row r="840" ht="15" customHeight="1" s="2">
      <c r="B840" t="n">
        <v>10</v>
      </c>
      <c r="D840" t="n">
        <v>12</v>
      </c>
      <c r="E840" t="inlineStr">
        <is>
          <t>FBC12-D10</t>
        </is>
      </c>
      <c r="F840" t="inlineStr">
        <is>
          <t>Thursday</t>
        </is>
      </c>
      <c r="G840" s="27" t="n">
        <v>45876</v>
      </c>
      <c r="H840" t="inlineStr">
        <is>
          <t>PM</t>
        </is>
      </c>
      <c r="I840" t="inlineStr">
        <is>
          <t>Killarney, IE</t>
        </is>
      </c>
      <c r="J840" t="inlineStr">
        <is>
          <t>Europe</t>
        </is>
      </c>
      <c r="K840" t="n">
        <v>9</v>
      </c>
      <c r="L840" t="inlineStr">
        <is>
          <t>Back</t>
        </is>
      </c>
      <c r="M840" t="inlineStr">
        <is>
          <t>Tralee</t>
        </is>
      </c>
      <c r="N840" t="inlineStr">
        <is>
          <t>White</t>
        </is>
      </c>
      <c r="P840" t="n">
        <v>128</v>
      </c>
      <c r="Q840" t="n">
        <v>6678</v>
      </c>
      <c r="R840" t="inlineStr">
        <is>
          <t>Vegas</t>
        </is>
      </c>
      <c r="S840" t="inlineStr">
        <is>
          <t>Doubles</t>
        </is>
      </c>
      <c r="T840" t="inlineStr">
        <is>
          <t>over 6'</t>
        </is>
      </c>
      <c r="U840" t="inlineStr">
        <is>
          <t>Grise</t>
        </is>
      </c>
      <c r="V840" t="inlineStr">
        <is>
          <t>Hilts</t>
        </is>
      </c>
      <c r="Y840" t="inlineStr">
        <is>
          <t>Flanders</t>
        </is>
      </c>
      <c r="AA840" t="n">
        <v>1</v>
      </c>
      <c r="AB840" t="inlineStr">
        <is>
          <t>L</t>
        </is>
      </c>
      <c r="AC840" t="inlineStr">
        <is>
          <t>4&amp;2</t>
        </is>
      </c>
      <c r="AE840">
        <f>$V840&amp;$Y840</f>
        <v/>
      </c>
      <c r="AF840" t="n">
        <v>0</v>
      </c>
      <c r="AG840" t="n">
        <v>0</v>
      </c>
      <c r="AH840" t="n">
        <v>1</v>
      </c>
      <c r="AI840" t="n">
        <v>0</v>
      </c>
      <c r="AK840" t="inlineStr">
        <is>
          <t>Jackson</t>
        </is>
      </c>
      <c r="AM840" t="inlineStr">
        <is>
          <t>Delneky</t>
        </is>
      </c>
    </row>
    <row r="841" ht="15" customHeight="1" s="2">
      <c r="B841" t="n">
        <v>11</v>
      </c>
      <c r="D841" t="n">
        <v>12</v>
      </c>
      <c r="E841" t="inlineStr">
        <is>
          <t>FBC12-D11</t>
        </is>
      </c>
      <c r="F841" t="inlineStr">
        <is>
          <t>Friday</t>
        </is>
      </c>
      <c r="G841" s="27" t="n">
        <v>45877</v>
      </c>
      <c r="H841" t="inlineStr">
        <is>
          <t>AM</t>
        </is>
      </c>
      <c r="I841" t="inlineStr">
        <is>
          <t>Killarney, IE</t>
        </is>
      </c>
      <c r="J841" t="inlineStr">
        <is>
          <t>Europe</t>
        </is>
      </c>
      <c r="K841" t="n">
        <v>9</v>
      </c>
      <c r="L841" t="inlineStr">
        <is>
          <t>Front</t>
        </is>
      </c>
      <c r="M841" t="inlineStr">
        <is>
          <t>Ballybunion Cashen</t>
        </is>
      </c>
      <c r="N841" t="inlineStr">
        <is>
          <t>Blue</t>
        </is>
      </c>
      <c r="P841" t="n">
        <v>130</v>
      </c>
      <c r="Q841" t="n">
        <v>6290</v>
      </c>
      <c r="R841" t="inlineStr">
        <is>
          <t>Pinehurst</t>
        </is>
      </c>
      <c r="S841" t="inlineStr">
        <is>
          <t>Doubles</t>
        </is>
      </c>
      <c r="T841" t="inlineStr">
        <is>
          <t>over 6'</t>
        </is>
      </c>
      <c r="U841" t="inlineStr">
        <is>
          <t>Grise</t>
        </is>
      </c>
      <c r="V841" t="inlineStr">
        <is>
          <t>Perkins</t>
        </is>
      </c>
      <c r="Y841" t="inlineStr">
        <is>
          <t>Mangold</t>
        </is>
      </c>
      <c r="AA841" t="n">
        <v>1</v>
      </c>
      <c r="AB841" t="inlineStr">
        <is>
          <t>W</t>
        </is>
      </c>
      <c r="AE841">
        <f>$V841&amp;$Y841</f>
        <v/>
      </c>
      <c r="AF841" t="n">
        <v>1</v>
      </c>
      <c r="AG841" t="n">
        <v>1</v>
      </c>
      <c r="AH841" t="n">
        <v>0</v>
      </c>
      <c r="AI841" t="n">
        <v>0</v>
      </c>
      <c r="AK841" t="inlineStr">
        <is>
          <t>Piegari</t>
        </is>
      </c>
      <c r="AM841" t="inlineStr">
        <is>
          <t>Zimmer</t>
        </is>
      </c>
    </row>
    <row r="842" ht="15" customHeight="1" s="2">
      <c r="B842" t="n">
        <v>12</v>
      </c>
      <c r="D842" t="n">
        <v>12</v>
      </c>
      <c r="E842" t="inlineStr">
        <is>
          <t>FBC12-D12</t>
        </is>
      </c>
      <c r="F842" t="inlineStr">
        <is>
          <t>Friday</t>
        </is>
      </c>
      <c r="G842" s="27" t="n">
        <v>45877</v>
      </c>
      <c r="H842" t="inlineStr">
        <is>
          <t>AM</t>
        </is>
      </c>
      <c r="I842" t="inlineStr">
        <is>
          <t>Killarney, IE</t>
        </is>
      </c>
      <c r="J842" t="inlineStr">
        <is>
          <t>Europe</t>
        </is>
      </c>
      <c r="K842" t="n">
        <v>9</v>
      </c>
      <c r="L842" t="inlineStr">
        <is>
          <t>Front</t>
        </is>
      </c>
      <c r="M842" t="inlineStr">
        <is>
          <t>Ballybunion Cashen</t>
        </is>
      </c>
      <c r="N842" t="inlineStr">
        <is>
          <t>Blue</t>
        </is>
      </c>
      <c r="P842" t="n">
        <v>130</v>
      </c>
      <c r="Q842" t="n">
        <v>6290</v>
      </c>
      <c r="R842" t="inlineStr">
        <is>
          <t>Pinehurst</t>
        </is>
      </c>
      <c r="S842" t="inlineStr">
        <is>
          <t>Doubles</t>
        </is>
      </c>
      <c r="T842" t="inlineStr">
        <is>
          <t>over 6'</t>
        </is>
      </c>
      <c r="U842" t="inlineStr">
        <is>
          <t>Grise</t>
        </is>
      </c>
      <c r="V842" t="inlineStr">
        <is>
          <t>Flanders</t>
        </is>
      </c>
      <c r="Y842" t="inlineStr">
        <is>
          <t>Poirier</t>
        </is>
      </c>
      <c r="AA842" t="n">
        <v>1</v>
      </c>
      <c r="AB842" t="inlineStr">
        <is>
          <t>W</t>
        </is>
      </c>
      <c r="AE842">
        <f>$V842&amp;$Y842</f>
        <v/>
      </c>
      <c r="AF842" t="n">
        <v>1</v>
      </c>
      <c r="AG842" t="n">
        <v>1</v>
      </c>
      <c r="AH842" t="n">
        <v>0</v>
      </c>
      <c r="AI842" t="n">
        <v>0</v>
      </c>
      <c r="AK842" t="inlineStr">
        <is>
          <t>Deoteris</t>
        </is>
      </c>
      <c r="AM842" t="inlineStr">
        <is>
          <t>Ferrin</t>
        </is>
      </c>
    </row>
    <row r="843" ht="15" customHeight="1" s="2">
      <c r="B843" t="n">
        <v>13</v>
      </c>
      <c r="D843" t="n">
        <v>12</v>
      </c>
      <c r="E843" t="inlineStr">
        <is>
          <t>FBC12-D13</t>
        </is>
      </c>
      <c r="F843" t="inlineStr">
        <is>
          <t>Friday</t>
        </is>
      </c>
      <c r="G843" s="27" t="n">
        <v>45877</v>
      </c>
      <c r="H843" t="inlineStr">
        <is>
          <t>AM</t>
        </is>
      </c>
      <c r="I843" t="inlineStr">
        <is>
          <t>Killarney, IE</t>
        </is>
      </c>
      <c r="J843" t="inlineStr">
        <is>
          <t>Europe</t>
        </is>
      </c>
      <c r="K843" t="n">
        <v>9</v>
      </c>
      <c r="L843" t="inlineStr">
        <is>
          <t>Front</t>
        </is>
      </c>
      <c r="M843" t="inlineStr">
        <is>
          <t>Ballybunion Cashen</t>
        </is>
      </c>
      <c r="N843" t="inlineStr">
        <is>
          <t>Blue</t>
        </is>
      </c>
      <c r="P843" t="n">
        <v>130</v>
      </c>
      <c r="Q843" t="n">
        <v>6290</v>
      </c>
      <c r="R843" t="inlineStr">
        <is>
          <t>Pinehurst</t>
        </is>
      </c>
      <c r="S843" t="inlineStr">
        <is>
          <t>Doubles</t>
        </is>
      </c>
      <c r="T843" t="inlineStr">
        <is>
          <t>over 6'</t>
        </is>
      </c>
      <c r="U843" t="inlineStr">
        <is>
          <t>Grise</t>
        </is>
      </c>
      <c r="V843" t="inlineStr">
        <is>
          <t>Grise</t>
        </is>
      </c>
      <c r="Y843" t="inlineStr">
        <is>
          <t>Forster</t>
        </is>
      </c>
      <c r="AA843" t="n">
        <v>1</v>
      </c>
      <c r="AB843" t="inlineStr">
        <is>
          <t>L</t>
        </is>
      </c>
      <c r="AE843">
        <f>$V843&amp;$Y843</f>
        <v/>
      </c>
      <c r="AF843" t="n">
        <v>0</v>
      </c>
      <c r="AG843" t="n">
        <v>0</v>
      </c>
      <c r="AH843" t="n">
        <v>1</v>
      </c>
      <c r="AI843" t="n">
        <v>0</v>
      </c>
      <c r="AK843" t="inlineStr">
        <is>
          <t>R. Connolly</t>
        </is>
      </c>
      <c r="AM843" t="inlineStr">
        <is>
          <t>Delneky</t>
        </is>
      </c>
    </row>
    <row r="844" ht="15" customHeight="1" s="2">
      <c r="B844" t="n">
        <v>14</v>
      </c>
      <c r="D844" t="n">
        <v>12</v>
      </c>
      <c r="E844" t="inlineStr">
        <is>
          <t>FBC12-D14</t>
        </is>
      </c>
      <c r="F844" t="inlineStr">
        <is>
          <t>Friday</t>
        </is>
      </c>
      <c r="G844" s="27" t="n">
        <v>45877</v>
      </c>
      <c r="H844" t="inlineStr">
        <is>
          <t>AM</t>
        </is>
      </c>
      <c r="I844" t="inlineStr">
        <is>
          <t>Killarney, IE</t>
        </is>
      </c>
      <c r="J844" t="inlineStr">
        <is>
          <t>Europe</t>
        </is>
      </c>
      <c r="K844" t="n">
        <v>9</v>
      </c>
      <c r="L844" t="inlineStr">
        <is>
          <t>Front</t>
        </is>
      </c>
      <c r="M844" t="inlineStr">
        <is>
          <t>Ballybunion Cashen</t>
        </is>
      </c>
      <c r="N844" t="inlineStr">
        <is>
          <t>Blue</t>
        </is>
      </c>
      <c r="P844" t="n">
        <v>130</v>
      </c>
      <c r="Q844" t="n">
        <v>6290</v>
      </c>
      <c r="R844" t="inlineStr">
        <is>
          <t>Pinehurst</t>
        </is>
      </c>
      <c r="S844" t="inlineStr">
        <is>
          <t>Doubles</t>
        </is>
      </c>
      <c r="T844" t="inlineStr">
        <is>
          <t>over 6'</t>
        </is>
      </c>
      <c r="U844" t="inlineStr">
        <is>
          <t>Grise</t>
        </is>
      </c>
      <c r="V844" t="inlineStr">
        <is>
          <t>Hilts</t>
        </is>
      </c>
      <c r="Y844" t="inlineStr">
        <is>
          <t>Shively</t>
        </is>
      </c>
      <c r="AA844" t="n">
        <v>1</v>
      </c>
      <c r="AB844" t="inlineStr">
        <is>
          <t>L</t>
        </is>
      </c>
      <c r="AE844">
        <f>$V844&amp;$Y844</f>
        <v/>
      </c>
      <c r="AF844" t="n">
        <v>0</v>
      </c>
      <c r="AG844" t="n">
        <v>0</v>
      </c>
      <c r="AH844" t="n">
        <v>1</v>
      </c>
      <c r="AI844" t="n">
        <v>0</v>
      </c>
      <c r="AK844" t="inlineStr">
        <is>
          <t>Fogan</t>
        </is>
      </c>
      <c r="AM844" t="inlineStr">
        <is>
          <t>Delaney</t>
        </is>
      </c>
    </row>
    <row r="845" ht="15" customHeight="1" s="2">
      <c r="B845" t="n">
        <v>15</v>
      </c>
      <c r="D845" t="n">
        <v>12</v>
      </c>
      <c r="E845" t="inlineStr">
        <is>
          <t>FBC12-D15</t>
        </is>
      </c>
      <c r="F845" t="inlineStr">
        <is>
          <t>Friday</t>
        </is>
      </c>
      <c r="G845" s="27" t="n">
        <v>45877</v>
      </c>
      <c r="H845" t="inlineStr">
        <is>
          <t>AM</t>
        </is>
      </c>
      <c r="I845" t="inlineStr">
        <is>
          <t>Killarney, IE</t>
        </is>
      </c>
      <c r="J845" t="inlineStr">
        <is>
          <t>Europe</t>
        </is>
      </c>
      <c r="K845" t="n">
        <v>9</v>
      </c>
      <c r="L845" t="inlineStr">
        <is>
          <t>Front</t>
        </is>
      </c>
      <c r="M845" t="inlineStr">
        <is>
          <t>Ballybunion Cashen</t>
        </is>
      </c>
      <c r="N845" t="inlineStr">
        <is>
          <t>Blue</t>
        </is>
      </c>
      <c r="P845" t="n">
        <v>130</v>
      </c>
      <c r="Q845" t="n">
        <v>6290</v>
      </c>
      <c r="R845" t="inlineStr">
        <is>
          <t>Pinehurst</t>
        </is>
      </c>
      <c r="S845" t="inlineStr">
        <is>
          <t>Doubles</t>
        </is>
      </c>
      <c r="T845" t="inlineStr">
        <is>
          <t>over 6'</t>
        </is>
      </c>
      <c r="U845" t="inlineStr">
        <is>
          <t>Grise</t>
        </is>
      </c>
      <c r="V845" t="inlineStr">
        <is>
          <t>Lynch</t>
        </is>
      </c>
      <c r="Y845" t="inlineStr">
        <is>
          <t>Snyder</t>
        </is>
      </c>
      <c r="AA845" t="n">
        <v>1</v>
      </c>
      <c r="AB845" t="inlineStr">
        <is>
          <t>L</t>
        </is>
      </c>
      <c r="AE845">
        <f>$V845&amp;$Y845</f>
        <v/>
      </c>
      <c r="AF845" t="n">
        <v>0</v>
      </c>
      <c r="AG845" t="n">
        <v>0</v>
      </c>
      <c r="AH845" t="n">
        <v>1</v>
      </c>
      <c r="AI845" t="n">
        <v>0</v>
      </c>
      <c r="AK845" t="inlineStr">
        <is>
          <t>Jackson</t>
        </is>
      </c>
      <c r="AM845" t="inlineStr">
        <is>
          <t>Connolly</t>
        </is>
      </c>
    </row>
    <row r="846" ht="15" customHeight="1" s="2">
      <c r="B846" t="n">
        <v>16</v>
      </c>
      <c r="D846" t="n">
        <v>12</v>
      </c>
      <c r="E846" t="inlineStr">
        <is>
          <t>FBC12-D16</t>
        </is>
      </c>
      <c r="F846" t="inlineStr">
        <is>
          <t>Friday</t>
        </is>
      </c>
      <c r="G846" s="27" t="n">
        <v>45877</v>
      </c>
      <c r="H846" t="inlineStr">
        <is>
          <t>AM</t>
        </is>
      </c>
      <c r="I846" t="inlineStr">
        <is>
          <t>Killarney, IE</t>
        </is>
      </c>
      <c r="J846" t="inlineStr">
        <is>
          <t>Europe</t>
        </is>
      </c>
      <c r="K846" t="n">
        <v>9</v>
      </c>
      <c r="L846" t="inlineStr">
        <is>
          <t>Back</t>
        </is>
      </c>
      <c r="M846" t="inlineStr">
        <is>
          <t>Ballybunion Cashen</t>
        </is>
      </c>
      <c r="N846" t="inlineStr">
        <is>
          <t>Blue</t>
        </is>
      </c>
      <c r="P846" t="n">
        <v>130</v>
      </c>
      <c r="Q846" t="n">
        <v>6290</v>
      </c>
      <c r="R846" t="inlineStr">
        <is>
          <t>Scramble</t>
        </is>
      </c>
      <c r="S846" t="inlineStr">
        <is>
          <t>Doubles</t>
        </is>
      </c>
      <c r="T846" t="inlineStr">
        <is>
          <t>over 6'</t>
        </is>
      </c>
      <c r="U846" t="inlineStr">
        <is>
          <t>Grise</t>
        </is>
      </c>
      <c r="V846" t="inlineStr">
        <is>
          <t>Perkins</t>
        </is>
      </c>
      <c r="Y846" t="inlineStr">
        <is>
          <t>Mangold</t>
        </is>
      </c>
      <c r="AA846" t="n">
        <v>1</v>
      </c>
      <c r="AB846" t="inlineStr">
        <is>
          <t>W</t>
        </is>
      </c>
      <c r="AE846">
        <f>$V846&amp;$Y846</f>
        <v/>
      </c>
      <c r="AF846" t="n">
        <v>1</v>
      </c>
      <c r="AG846" t="n">
        <v>1</v>
      </c>
      <c r="AH846" t="n">
        <v>0</v>
      </c>
      <c r="AI846" t="n">
        <v>0</v>
      </c>
      <c r="AK846" t="inlineStr">
        <is>
          <t>Piegari</t>
        </is>
      </c>
      <c r="AM846" t="inlineStr">
        <is>
          <t>Zimmer</t>
        </is>
      </c>
    </row>
    <row r="847" ht="15" customHeight="1" s="2">
      <c r="B847" t="n">
        <v>17</v>
      </c>
      <c r="D847" t="n">
        <v>12</v>
      </c>
      <c r="E847" t="inlineStr">
        <is>
          <t>FBC12-D17</t>
        </is>
      </c>
      <c r="F847" t="inlineStr">
        <is>
          <t>Friday</t>
        </is>
      </c>
      <c r="G847" s="27" t="n">
        <v>45877</v>
      </c>
      <c r="H847" t="inlineStr">
        <is>
          <t>AM</t>
        </is>
      </c>
      <c r="I847" t="inlineStr">
        <is>
          <t>Killarney, IE</t>
        </is>
      </c>
      <c r="J847" t="inlineStr">
        <is>
          <t>Europe</t>
        </is>
      </c>
      <c r="K847" t="n">
        <v>9</v>
      </c>
      <c r="L847" t="inlineStr">
        <is>
          <t>Back</t>
        </is>
      </c>
      <c r="M847" t="inlineStr">
        <is>
          <t>Ballybunion Cashen</t>
        </is>
      </c>
      <c r="N847" t="inlineStr">
        <is>
          <t>Blue</t>
        </is>
      </c>
      <c r="P847" t="n">
        <v>130</v>
      </c>
      <c r="Q847" t="n">
        <v>6290</v>
      </c>
      <c r="R847" t="inlineStr">
        <is>
          <t>Scramble</t>
        </is>
      </c>
      <c r="S847" t="inlineStr">
        <is>
          <t>Doubles</t>
        </is>
      </c>
      <c r="T847" t="inlineStr">
        <is>
          <t>over 6'</t>
        </is>
      </c>
      <c r="U847" t="inlineStr">
        <is>
          <t>Grise</t>
        </is>
      </c>
      <c r="V847" t="inlineStr">
        <is>
          <t>Flanders</t>
        </is>
      </c>
      <c r="Y847" t="inlineStr">
        <is>
          <t>Poirier</t>
        </is>
      </c>
      <c r="AA847" t="n">
        <v>1</v>
      </c>
      <c r="AB847" t="inlineStr">
        <is>
          <t>T</t>
        </is>
      </c>
      <c r="AC847" t="inlineStr">
        <is>
          <t>Halved</t>
        </is>
      </c>
      <c r="AE847">
        <f>$V847&amp;$Y847</f>
        <v/>
      </c>
      <c r="AF847" t="n">
        <v>0.5</v>
      </c>
      <c r="AG847" t="n">
        <v>0</v>
      </c>
      <c r="AH847" t="n">
        <v>0</v>
      </c>
      <c r="AI847" t="n">
        <v>1</v>
      </c>
      <c r="AK847" t="inlineStr">
        <is>
          <t>Deoteris</t>
        </is>
      </c>
      <c r="AM847" t="inlineStr">
        <is>
          <t>Ferrin</t>
        </is>
      </c>
    </row>
    <row r="848" ht="15" customHeight="1" s="2">
      <c r="B848" t="n">
        <v>18</v>
      </c>
      <c r="D848" t="n">
        <v>12</v>
      </c>
      <c r="E848" t="inlineStr">
        <is>
          <t>FBC12-D18</t>
        </is>
      </c>
      <c r="F848" t="inlineStr">
        <is>
          <t>Friday</t>
        </is>
      </c>
      <c r="G848" s="27" t="n">
        <v>45877</v>
      </c>
      <c r="H848" t="inlineStr">
        <is>
          <t>AM</t>
        </is>
      </c>
      <c r="I848" t="inlineStr">
        <is>
          <t>Killarney, IE</t>
        </is>
      </c>
      <c r="J848" t="inlineStr">
        <is>
          <t>Europe</t>
        </is>
      </c>
      <c r="K848" t="n">
        <v>9</v>
      </c>
      <c r="L848" t="inlineStr">
        <is>
          <t>Back</t>
        </is>
      </c>
      <c r="M848" t="inlineStr">
        <is>
          <t>Ballybunion Cashen</t>
        </is>
      </c>
      <c r="N848" t="inlineStr">
        <is>
          <t>Blue</t>
        </is>
      </c>
      <c r="P848" t="n">
        <v>130</v>
      </c>
      <c r="Q848" t="n">
        <v>6290</v>
      </c>
      <c r="R848" t="inlineStr">
        <is>
          <t>Scramble</t>
        </is>
      </c>
      <c r="S848" t="inlineStr">
        <is>
          <t>Doubles</t>
        </is>
      </c>
      <c r="T848" t="inlineStr">
        <is>
          <t>over 6'</t>
        </is>
      </c>
      <c r="U848" t="inlineStr">
        <is>
          <t>Grise</t>
        </is>
      </c>
      <c r="V848" t="inlineStr">
        <is>
          <t>Grise</t>
        </is>
      </c>
      <c r="Y848" t="inlineStr">
        <is>
          <t>Forster</t>
        </is>
      </c>
      <c r="AA848" t="n">
        <v>1</v>
      </c>
      <c r="AB848" t="inlineStr">
        <is>
          <t>W</t>
        </is>
      </c>
      <c r="AE848">
        <f>$V848&amp;$Y848</f>
        <v/>
      </c>
      <c r="AF848" t="n">
        <v>1</v>
      </c>
      <c r="AG848" t="n">
        <v>1</v>
      </c>
      <c r="AH848" t="n">
        <v>0</v>
      </c>
      <c r="AI848" t="n">
        <v>0</v>
      </c>
      <c r="AK848" t="inlineStr">
        <is>
          <t>R. Connolly</t>
        </is>
      </c>
      <c r="AM848" t="inlineStr">
        <is>
          <t>Delneky</t>
        </is>
      </c>
    </row>
    <row r="849" ht="15" customHeight="1" s="2">
      <c r="B849" t="n">
        <v>19</v>
      </c>
      <c r="D849" t="n">
        <v>12</v>
      </c>
      <c r="E849" t="inlineStr">
        <is>
          <t>FBC12-D19</t>
        </is>
      </c>
      <c r="F849" t="inlineStr">
        <is>
          <t>Friday</t>
        </is>
      </c>
      <c r="G849" s="27" t="n">
        <v>45877</v>
      </c>
      <c r="H849" t="inlineStr">
        <is>
          <t>AM</t>
        </is>
      </c>
      <c r="I849" t="inlineStr">
        <is>
          <t>Killarney, IE</t>
        </is>
      </c>
      <c r="J849" t="inlineStr">
        <is>
          <t>Europe</t>
        </is>
      </c>
      <c r="K849" t="n">
        <v>9</v>
      </c>
      <c r="L849" t="inlineStr">
        <is>
          <t>Back</t>
        </is>
      </c>
      <c r="M849" t="inlineStr">
        <is>
          <t>Ballybunion Cashen</t>
        </is>
      </c>
      <c r="N849" t="inlineStr">
        <is>
          <t>Blue</t>
        </is>
      </c>
      <c r="P849" t="n">
        <v>130</v>
      </c>
      <c r="Q849" t="n">
        <v>6290</v>
      </c>
      <c r="R849" t="inlineStr">
        <is>
          <t>Scramble</t>
        </is>
      </c>
      <c r="S849" t="inlineStr">
        <is>
          <t>Doubles</t>
        </is>
      </c>
      <c r="T849" t="inlineStr">
        <is>
          <t>over 6'</t>
        </is>
      </c>
      <c r="U849" t="inlineStr">
        <is>
          <t>Grise</t>
        </is>
      </c>
      <c r="V849" t="inlineStr">
        <is>
          <t>Hilts</t>
        </is>
      </c>
      <c r="Y849" t="inlineStr">
        <is>
          <t>Shively</t>
        </is>
      </c>
      <c r="AA849" t="n">
        <v>1</v>
      </c>
      <c r="AB849" t="inlineStr">
        <is>
          <t>T</t>
        </is>
      </c>
      <c r="AC849" t="inlineStr">
        <is>
          <t>Halved</t>
        </is>
      </c>
      <c r="AE849">
        <f>$V849&amp;$Y849</f>
        <v/>
      </c>
      <c r="AF849" t="n">
        <v>0.5</v>
      </c>
      <c r="AG849" t="n">
        <v>0</v>
      </c>
      <c r="AH849" t="n">
        <v>0</v>
      </c>
      <c r="AI849" t="n">
        <v>1</v>
      </c>
      <c r="AK849" t="inlineStr">
        <is>
          <t>Fogan</t>
        </is>
      </c>
      <c r="AM849" t="inlineStr">
        <is>
          <t>Delaney</t>
        </is>
      </c>
    </row>
    <row r="850" ht="15" customHeight="1" s="2">
      <c r="B850" t="n">
        <v>20</v>
      </c>
      <c r="D850" t="n">
        <v>12</v>
      </c>
      <c r="E850" t="inlineStr">
        <is>
          <t>FBC12-D20</t>
        </is>
      </c>
      <c r="F850" t="inlineStr">
        <is>
          <t>Friday</t>
        </is>
      </c>
      <c r="G850" s="27" t="n">
        <v>45877</v>
      </c>
      <c r="H850" t="inlineStr">
        <is>
          <t>AM</t>
        </is>
      </c>
      <c r="I850" t="inlineStr">
        <is>
          <t>Killarney, IE</t>
        </is>
      </c>
      <c r="J850" t="inlineStr">
        <is>
          <t>Europe</t>
        </is>
      </c>
      <c r="K850" t="n">
        <v>9</v>
      </c>
      <c r="L850" t="inlineStr">
        <is>
          <t>Back</t>
        </is>
      </c>
      <c r="M850" t="inlineStr">
        <is>
          <t>Ballybunion Cashen</t>
        </is>
      </c>
      <c r="N850" t="inlineStr">
        <is>
          <t>Blue</t>
        </is>
      </c>
      <c r="P850" t="n">
        <v>130</v>
      </c>
      <c r="Q850" t="n">
        <v>6290</v>
      </c>
      <c r="R850" t="inlineStr">
        <is>
          <t>Scramble</t>
        </is>
      </c>
      <c r="S850" t="inlineStr">
        <is>
          <t>Doubles</t>
        </is>
      </c>
      <c r="T850" t="inlineStr">
        <is>
          <t>over 6'</t>
        </is>
      </c>
      <c r="U850" t="inlineStr">
        <is>
          <t>Grise</t>
        </is>
      </c>
      <c r="V850" t="inlineStr">
        <is>
          <t>Lynch</t>
        </is>
      </c>
      <c r="Y850" t="inlineStr">
        <is>
          <t>Snyder</t>
        </is>
      </c>
      <c r="AA850" t="n">
        <v>1</v>
      </c>
      <c r="AB850" t="inlineStr">
        <is>
          <t>T</t>
        </is>
      </c>
      <c r="AC850" t="inlineStr">
        <is>
          <t>Halved</t>
        </is>
      </c>
      <c r="AE850">
        <f>$V850&amp;$Y850</f>
        <v/>
      </c>
      <c r="AF850" t="n">
        <v>0.5</v>
      </c>
      <c r="AG850" t="n">
        <v>0</v>
      </c>
      <c r="AH850" t="n">
        <v>0</v>
      </c>
      <c r="AI850" t="n">
        <v>1</v>
      </c>
      <c r="AK850" t="inlineStr">
        <is>
          <t>Jackson</t>
        </is>
      </c>
      <c r="AM850" t="inlineStr">
        <is>
          <t>Connolly</t>
        </is>
      </c>
    </row>
    <row r="851" ht="15" customHeight="1" s="2">
      <c r="B851" t="n">
        <v>26</v>
      </c>
      <c r="D851" t="n">
        <v>12</v>
      </c>
      <c r="E851" t="inlineStr">
        <is>
          <t>FBC12-D26</t>
        </is>
      </c>
      <c r="F851" t="inlineStr">
        <is>
          <t>Friday</t>
        </is>
      </c>
      <c r="G851" s="27" t="n">
        <v>45877</v>
      </c>
      <c r="H851" t="inlineStr">
        <is>
          <t>PM</t>
        </is>
      </c>
      <c r="I851" t="inlineStr">
        <is>
          <t>Killarney, IE</t>
        </is>
      </c>
      <c r="J851" t="inlineStr">
        <is>
          <t>Europe</t>
        </is>
      </c>
      <c r="K851" t="n">
        <v>9</v>
      </c>
      <c r="L851" t="inlineStr">
        <is>
          <t>Back</t>
        </is>
      </c>
      <c r="M851" t="inlineStr">
        <is>
          <t>Ballybunion Old</t>
        </is>
      </c>
      <c r="N851" t="inlineStr">
        <is>
          <t>White</t>
        </is>
      </c>
      <c r="P851" t="n">
        <v>131</v>
      </c>
      <c r="Q851" t="n">
        <v>6383</v>
      </c>
      <c r="R851" t="inlineStr">
        <is>
          <t>Vegas</t>
        </is>
      </c>
      <c r="S851" t="inlineStr">
        <is>
          <t>Doubles</t>
        </is>
      </c>
      <c r="T851" t="inlineStr">
        <is>
          <t>over 6'</t>
        </is>
      </c>
      <c r="U851" t="inlineStr">
        <is>
          <t>Grise</t>
        </is>
      </c>
      <c r="V851" t="inlineStr">
        <is>
          <t>Hilts</t>
        </is>
      </c>
      <c r="Y851" t="inlineStr">
        <is>
          <t>Poirier</t>
        </is>
      </c>
      <c r="AA851" t="n">
        <v>1</v>
      </c>
      <c r="AB851" t="inlineStr">
        <is>
          <t>L</t>
        </is>
      </c>
      <c r="AE851">
        <f>$V851&amp;$Y851</f>
        <v/>
      </c>
      <c r="AF851" t="n">
        <v>0</v>
      </c>
      <c r="AG851" t="n">
        <v>0</v>
      </c>
      <c r="AH851" t="n">
        <v>1</v>
      </c>
      <c r="AI851" t="n">
        <v>0</v>
      </c>
      <c r="AK851" t="inlineStr">
        <is>
          <t>Delneky</t>
        </is>
      </c>
      <c r="AM851" t="inlineStr">
        <is>
          <t>Zimmer</t>
        </is>
      </c>
    </row>
    <row r="852" ht="15" customHeight="1" s="2">
      <c r="B852" t="n">
        <v>27</v>
      </c>
      <c r="D852" t="n">
        <v>12</v>
      </c>
      <c r="E852" t="inlineStr">
        <is>
          <t>FBC12-D27</t>
        </is>
      </c>
      <c r="F852" t="inlineStr">
        <is>
          <t>Friday</t>
        </is>
      </c>
      <c r="G852" s="27" t="n">
        <v>45877</v>
      </c>
      <c r="H852" t="inlineStr">
        <is>
          <t>PM</t>
        </is>
      </c>
      <c r="I852" t="inlineStr">
        <is>
          <t>Killarney, IE</t>
        </is>
      </c>
      <c r="J852" t="inlineStr">
        <is>
          <t>Europe</t>
        </is>
      </c>
      <c r="K852" t="n">
        <v>9</v>
      </c>
      <c r="L852" t="inlineStr">
        <is>
          <t>Back</t>
        </is>
      </c>
      <c r="M852" t="inlineStr">
        <is>
          <t>Ballybunion Old</t>
        </is>
      </c>
      <c r="N852" t="inlineStr">
        <is>
          <t>White</t>
        </is>
      </c>
      <c r="P852" t="n">
        <v>131</v>
      </c>
      <c r="Q852" t="n">
        <v>6383</v>
      </c>
      <c r="R852" t="inlineStr">
        <is>
          <t>Vegas</t>
        </is>
      </c>
      <c r="S852" t="inlineStr">
        <is>
          <t>Doubles</t>
        </is>
      </c>
      <c r="T852" t="inlineStr">
        <is>
          <t>over 6'</t>
        </is>
      </c>
      <c r="U852" t="inlineStr">
        <is>
          <t>Grise</t>
        </is>
      </c>
      <c r="V852" t="inlineStr">
        <is>
          <t>Grise</t>
        </is>
      </c>
      <c r="Y852" t="inlineStr">
        <is>
          <t>Snyder</t>
        </is>
      </c>
      <c r="AA852" t="n">
        <v>1</v>
      </c>
      <c r="AB852" t="inlineStr">
        <is>
          <t>T</t>
        </is>
      </c>
      <c r="AC852" t="inlineStr">
        <is>
          <t>Halved</t>
        </is>
      </c>
      <c r="AE852">
        <f>$V852&amp;$Y852</f>
        <v/>
      </c>
      <c r="AF852" t="n">
        <v>0.5</v>
      </c>
      <c r="AG852" t="n">
        <v>0</v>
      </c>
      <c r="AH852" t="n">
        <v>0</v>
      </c>
      <c r="AI852" t="n">
        <v>1</v>
      </c>
      <c r="AK852" t="inlineStr">
        <is>
          <t>Fogan</t>
        </is>
      </c>
      <c r="AM852" t="inlineStr">
        <is>
          <t>Piegari</t>
        </is>
      </c>
    </row>
    <row r="853" ht="15" customHeight="1" s="2">
      <c r="B853" t="n">
        <v>28</v>
      </c>
      <c r="D853" t="n">
        <v>12</v>
      </c>
      <c r="E853" t="inlineStr">
        <is>
          <t>FBC12-D28</t>
        </is>
      </c>
      <c r="F853" t="inlineStr">
        <is>
          <t>Friday</t>
        </is>
      </c>
      <c r="G853" s="27" t="n">
        <v>45877</v>
      </c>
      <c r="H853" t="inlineStr">
        <is>
          <t>PM</t>
        </is>
      </c>
      <c r="I853" t="inlineStr">
        <is>
          <t>Killarney, IE</t>
        </is>
      </c>
      <c r="J853" t="inlineStr">
        <is>
          <t>Europe</t>
        </is>
      </c>
      <c r="K853" t="n">
        <v>9</v>
      </c>
      <c r="L853" t="inlineStr">
        <is>
          <t>Back</t>
        </is>
      </c>
      <c r="M853" t="inlineStr">
        <is>
          <t>Ballybunion Old</t>
        </is>
      </c>
      <c r="N853" t="inlineStr">
        <is>
          <t>White</t>
        </is>
      </c>
      <c r="P853" t="n">
        <v>131</v>
      </c>
      <c r="Q853" t="n">
        <v>6383</v>
      </c>
      <c r="R853" t="inlineStr">
        <is>
          <t>Vegas</t>
        </is>
      </c>
      <c r="S853" t="inlineStr">
        <is>
          <t>Doubles</t>
        </is>
      </c>
      <c r="T853" t="inlineStr">
        <is>
          <t>over 6'</t>
        </is>
      </c>
      <c r="U853" t="inlineStr">
        <is>
          <t>Grise</t>
        </is>
      </c>
      <c r="V853" t="inlineStr">
        <is>
          <t>Shively</t>
        </is>
      </c>
      <c r="Y853" t="inlineStr">
        <is>
          <t>Forster</t>
        </is>
      </c>
      <c r="AA853" t="n">
        <v>1</v>
      </c>
      <c r="AB853" t="inlineStr">
        <is>
          <t>L</t>
        </is>
      </c>
      <c r="AC853" t="inlineStr">
        <is>
          <t>3&amp;2</t>
        </is>
      </c>
      <c r="AE853">
        <f>$V853&amp;$Y853</f>
        <v/>
      </c>
      <c r="AF853" t="n">
        <v>0</v>
      </c>
      <c r="AG853" t="n">
        <v>0</v>
      </c>
      <c r="AH853" t="n">
        <v>1</v>
      </c>
      <c r="AI853" t="n">
        <v>0</v>
      </c>
      <c r="AK853" t="inlineStr">
        <is>
          <t>Connolly</t>
        </is>
      </c>
      <c r="AM853" t="inlineStr">
        <is>
          <t>Ferrin</t>
        </is>
      </c>
    </row>
    <row r="854" ht="15" customHeight="1" s="2">
      <c r="B854" t="n">
        <v>29</v>
      </c>
      <c r="D854" t="n">
        <v>12</v>
      </c>
      <c r="E854" t="inlineStr">
        <is>
          <t>FBC12-D29</t>
        </is>
      </c>
      <c r="F854" t="inlineStr">
        <is>
          <t>Friday</t>
        </is>
      </c>
      <c r="G854" s="27" t="n">
        <v>45877</v>
      </c>
      <c r="H854" t="inlineStr">
        <is>
          <t>PM</t>
        </is>
      </c>
      <c r="I854" t="inlineStr">
        <is>
          <t>Killarney, IE</t>
        </is>
      </c>
      <c r="J854" t="inlineStr">
        <is>
          <t>Europe</t>
        </is>
      </c>
      <c r="K854" t="n">
        <v>9</v>
      </c>
      <c r="L854" t="inlineStr">
        <is>
          <t>Back</t>
        </is>
      </c>
      <c r="M854" t="inlineStr">
        <is>
          <t>Ballybunion Old</t>
        </is>
      </c>
      <c r="N854" t="inlineStr">
        <is>
          <t>White</t>
        </is>
      </c>
      <c r="P854" t="n">
        <v>131</v>
      </c>
      <c r="Q854" t="n">
        <v>6383</v>
      </c>
      <c r="R854" t="inlineStr">
        <is>
          <t>Vegas</t>
        </is>
      </c>
      <c r="S854" t="inlineStr">
        <is>
          <t>Doubles</t>
        </is>
      </c>
      <c r="T854" t="inlineStr">
        <is>
          <t>over 6'</t>
        </is>
      </c>
      <c r="U854" t="inlineStr">
        <is>
          <t>Grise</t>
        </is>
      </c>
      <c r="V854" t="inlineStr">
        <is>
          <t>Flanders</t>
        </is>
      </c>
      <c r="Y854" t="inlineStr">
        <is>
          <t>Mangold</t>
        </is>
      </c>
      <c r="AA854" t="n">
        <v>1</v>
      </c>
      <c r="AB854" t="inlineStr">
        <is>
          <t>W</t>
        </is>
      </c>
      <c r="AE854">
        <f>$V854&amp;$Y854</f>
        <v/>
      </c>
      <c r="AF854" t="n">
        <v>1</v>
      </c>
      <c r="AG854" t="n">
        <v>1</v>
      </c>
      <c r="AH854" t="n">
        <v>0</v>
      </c>
      <c r="AI854" t="n">
        <v>0</v>
      </c>
      <c r="AK854" t="inlineStr">
        <is>
          <t>Deoteris</t>
        </is>
      </c>
      <c r="AM854" t="inlineStr">
        <is>
          <t>Delaney</t>
        </is>
      </c>
    </row>
    <row r="855" ht="15" customHeight="1" s="2">
      <c r="B855" t="n">
        <v>30</v>
      </c>
      <c r="D855" t="n">
        <v>12</v>
      </c>
      <c r="E855" t="inlineStr">
        <is>
          <t>FBC12-D30</t>
        </is>
      </c>
      <c r="F855" t="inlineStr">
        <is>
          <t>Friday</t>
        </is>
      </c>
      <c r="G855" s="27" t="n">
        <v>45877</v>
      </c>
      <c r="H855" t="inlineStr">
        <is>
          <t>PM</t>
        </is>
      </c>
      <c r="I855" t="inlineStr">
        <is>
          <t>Killarney, IE</t>
        </is>
      </c>
      <c r="J855" t="inlineStr">
        <is>
          <t>Europe</t>
        </is>
      </c>
      <c r="K855" t="n">
        <v>9</v>
      </c>
      <c r="L855" t="inlineStr">
        <is>
          <t>Back</t>
        </is>
      </c>
      <c r="M855" t="inlineStr">
        <is>
          <t>Ballybunion Old</t>
        </is>
      </c>
      <c r="N855" t="inlineStr">
        <is>
          <t>White</t>
        </is>
      </c>
      <c r="P855" t="n">
        <v>131</v>
      </c>
      <c r="Q855" t="n">
        <v>6383</v>
      </c>
      <c r="R855" t="inlineStr">
        <is>
          <t>Vegas</t>
        </is>
      </c>
      <c r="S855" t="inlineStr">
        <is>
          <t>Doubles</t>
        </is>
      </c>
      <c r="T855" t="inlineStr">
        <is>
          <t>over 6'</t>
        </is>
      </c>
      <c r="U855" t="inlineStr">
        <is>
          <t>Grise</t>
        </is>
      </c>
      <c r="V855" t="inlineStr">
        <is>
          <t>Perkins</t>
        </is>
      </c>
      <c r="Y855" t="inlineStr">
        <is>
          <t>Lynch</t>
        </is>
      </c>
      <c r="AA855" t="n">
        <v>1</v>
      </c>
      <c r="AB855" t="inlineStr">
        <is>
          <t>W</t>
        </is>
      </c>
      <c r="AC855" t="inlineStr">
        <is>
          <t>2&amp;1</t>
        </is>
      </c>
      <c r="AE855">
        <f>$V855&amp;$Y855</f>
        <v/>
      </c>
      <c r="AF855" t="n">
        <v>1</v>
      </c>
      <c r="AG855" t="n">
        <v>1</v>
      </c>
      <c r="AH855" t="n">
        <v>0</v>
      </c>
      <c r="AI855" t="n">
        <v>0</v>
      </c>
      <c r="AK855" t="inlineStr">
        <is>
          <t>R. Connolly</t>
        </is>
      </c>
      <c r="AM855" t="inlineStr">
        <is>
          <t>Jackson</t>
        </is>
      </c>
    </row>
    <row r="856" ht="15" customHeight="1" s="2">
      <c r="B856" t="n">
        <v>21</v>
      </c>
      <c r="D856" t="n">
        <v>12</v>
      </c>
      <c r="E856" t="inlineStr">
        <is>
          <t>FBC12-D21</t>
        </is>
      </c>
      <c r="F856" t="inlineStr">
        <is>
          <t>Friday</t>
        </is>
      </c>
      <c r="G856" s="27" t="n">
        <v>45877</v>
      </c>
      <c r="H856" t="inlineStr">
        <is>
          <t>PM</t>
        </is>
      </c>
      <c r="I856" t="inlineStr">
        <is>
          <t>Killarney, IE</t>
        </is>
      </c>
      <c r="J856" t="inlineStr">
        <is>
          <t>Europe</t>
        </is>
      </c>
      <c r="K856" t="n">
        <v>9</v>
      </c>
      <c r="L856" t="inlineStr">
        <is>
          <t>Front</t>
        </is>
      </c>
      <c r="M856" t="inlineStr">
        <is>
          <t>Ballybunion Old</t>
        </is>
      </c>
      <c r="N856" t="inlineStr">
        <is>
          <t>White</t>
        </is>
      </c>
      <c r="P856" t="n">
        <v>131</v>
      </c>
      <c r="Q856" t="n">
        <v>6383</v>
      </c>
      <c r="R856" t="inlineStr">
        <is>
          <t>Best Ball</t>
        </is>
      </c>
      <c r="S856" t="inlineStr">
        <is>
          <t>Doubles</t>
        </is>
      </c>
      <c r="T856" t="inlineStr">
        <is>
          <t>over 6'</t>
        </is>
      </c>
      <c r="U856" t="inlineStr">
        <is>
          <t>Grise</t>
        </is>
      </c>
      <c r="V856" t="inlineStr">
        <is>
          <t>Hilts</t>
        </is>
      </c>
      <c r="Y856" t="inlineStr">
        <is>
          <t>Poirier</t>
        </is>
      </c>
      <c r="AA856" t="n">
        <v>1</v>
      </c>
      <c r="AB856" t="inlineStr">
        <is>
          <t>W</t>
        </is>
      </c>
      <c r="AE856">
        <f>$V856&amp;$Y856</f>
        <v/>
      </c>
      <c r="AF856" t="n">
        <v>1</v>
      </c>
      <c r="AG856" t="n">
        <v>1</v>
      </c>
      <c r="AH856" t="n">
        <v>0</v>
      </c>
      <c r="AI856" t="n">
        <v>0</v>
      </c>
      <c r="AK856" t="inlineStr">
        <is>
          <t>Delneky</t>
        </is>
      </c>
      <c r="AM856" t="inlineStr">
        <is>
          <t>Zimmer</t>
        </is>
      </c>
    </row>
    <row r="857" ht="15" customHeight="1" s="2">
      <c r="B857" t="n">
        <v>22</v>
      </c>
      <c r="D857" t="n">
        <v>12</v>
      </c>
      <c r="E857" t="inlineStr">
        <is>
          <t>FBC12-D22</t>
        </is>
      </c>
      <c r="F857" t="inlineStr">
        <is>
          <t>Friday</t>
        </is>
      </c>
      <c r="G857" s="27" t="n">
        <v>45877</v>
      </c>
      <c r="H857" t="inlineStr">
        <is>
          <t>PM</t>
        </is>
      </c>
      <c r="I857" t="inlineStr">
        <is>
          <t>Killarney, IE</t>
        </is>
      </c>
      <c r="J857" t="inlineStr">
        <is>
          <t>Europe</t>
        </is>
      </c>
      <c r="K857" t="n">
        <v>9</v>
      </c>
      <c r="L857" t="inlineStr">
        <is>
          <t>Front</t>
        </is>
      </c>
      <c r="M857" t="inlineStr">
        <is>
          <t>Ballybunion Old</t>
        </is>
      </c>
      <c r="N857" t="inlineStr">
        <is>
          <t>White</t>
        </is>
      </c>
      <c r="P857" t="n">
        <v>131</v>
      </c>
      <c r="Q857" t="n">
        <v>6383</v>
      </c>
      <c r="R857" t="inlineStr">
        <is>
          <t>Best Ball</t>
        </is>
      </c>
      <c r="S857" t="inlineStr">
        <is>
          <t>Doubles</t>
        </is>
      </c>
      <c r="T857" t="inlineStr">
        <is>
          <t>over 6'</t>
        </is>
      </c>
      <c r="U857" t="inlineStr">
        <is>
          <t>Grise</t>
        </is>
      </c>
      <c r="V857" t="inlineStr">
        <is>
          <t>Grise</t>
        </is>
      </c>
      <c r="Y857" t="inlineStr">
        <is>
          <t>Snyder</t>
        </is>
      </c>
      <c r="AA857" t="n">
        <v>1</v>
      </c>
      <c r="AB857" t="inlineStr">
        <is>
          <t>W</t>
        </is>
      </c>
      <c r="AE857">
        <f>$V857&amp;$Y857</f>
        <v/>
      </c>
      <c r="AF857" t="n">
        <v>1</v>
      </c>
      <c r="AG857" t="n">
        <v>1</v>
      </c>
      <c r="AH857" t="n">
        <v>0</v>
      </c>
      <c r="AI857" t="n">
        <v>0</v>
      </c>
      <c r="AK857" t="inlineStr">
        <is>
          <t>Fogan</t>
        </is>
      </c>
      <c r="AM857" t="inlineStr">
        <is>
          <t>Piegari</t>
        </is>
      </c>
    </row>
    <row r="858" ht="15" customHeight="1" s="2">
      <c r="B858" t="n">
        <v>23</v>
      </c>
      <c r="D858" t="n">
        <v>12</v>
      </c>
      <c r="E858" t="inlineStr">
        <is>
          <t>FBC12-D23</t>
        </is>
      </c>
      <c r="F858" t="inlineStr">
        <is>
          <t>Friday</t>
        </is>
      </c>
      <c r="G858" s="27" t="n">
        <v>45877</v>
      </c>
      <c r="H858" t="inlineStr">
        <is>
          <t>PM</t>
        </is>
      </c>
      <c r="I858" t="inlineStr">
        <is>
          <t>Killarney, IE</t>
        </is>
      </c>
      <c r="J858" t="inlineStr">
        <is>
          <t>Europe</t>
        </is>
      </c>
      <c r="K858" t="n">
        <v>9</v>
      </c>
      <c r="L858" t="inlineStr">
        <is>
          <t>Front</t>
        </is>
      </c>
      <c r="M858" t="inlineStr">
        <is>
          <t>Ballybunion Old</t>
        </is>
      </c>
      <c r="N858" t="inlineStr">
        <is>
          <t>White</t>
        </is>
      </c>
      <c r="P858" t="n">
        <v>131</v>
      </c>
      <c r="Q858" t="n">
        <v>6383</v>
      </c>
      <c r="R858" t="inlineStr">
        <is>
          <t>Best Ball</t>
        </is>
      </c>
      <c r="S858" t="inlineStr">
        <is>
          <t>Doubles</t>
        </is>
      </c>
      <c r="T858" t="inlineStr">
        <is>
          <t>over 6'</t>
        </is>
      </c>
      <c r="U858" t="inlineStr">
        <is>
          <t>Grise</t>
        </is>
      </c>
      <c r="V858" t="inlineStr">
        <is>
          <t>Shively</t>
        </is>
      </c>
      <c r="Y858" t="inlineStr">
        <is>
          <t>Forster</t>
        </is>
      </c>
      <c r="AA858" t="n">
        <v>1</v>
      </c>
      <c r="AB858" t="inlineStr">
        <is>
          <t>W</t>
        </is>
      </c>
      <c r="AC858" t="inlineStr">
        <is>
          <t>1 up</t>
        </is>
      </c>
      <c r="AE858">
        <f>$V858&amp;$Y858</f>
        <v/>
      </c>
      <c r="AF858" t="n">
        <v>1</v>
      </c>
      <c r="AG858" t="n">
        <v>1</v>
      </c>
      <c r="AH858" t="n">
        <v>0</v>
      </c>
      <c r="AI858" t="n">
        <v>0</v>
      </c>
      <c r="AK858" t="inlineStr">
        <is>
          <t>Connolly</t>
        </is>
      </c>
      <c r="AM858" t="inlineStr">
        <is>
          <t>Ferrin</t>
        </is>
      </c>
    </row>
    <row r="859" ht="15" customHeight="1" s="2">
      <c r="B859" t="n">
        <v>24</v>
      </c>
      <c r="D859" t="n">
        <v>12</v>
      </c>
      <c r="E859" t="inlineStr">
        <is>
          <t>FBC12-D24</t>
        </is>
      </c>
      <c r="F859" t="inlineStr">
        <is>
          <t>Friday</t>
        </is>
      </c>
      <c r="G859" s="27" t="n">
        <v>45877</v>
      </c>
      <c r="H859" t="inlineStr">
        <is>
          <t>PM</t>
        </is>
      </c>
      <c r="I859" t="inlineStr">
        <is>
          <t>Killarney, IE</t>
        </is>
      </c>
      <c r="J859" t="inlineStr">
        <is>
          <t>Europe</t>
        </is>
      </c>
      <c r="K859" t="n">
        <v>9</v>
      </c>
      <c r="L859" t="inlineStr">
        <is>
          <t>Front</t>
        </is>
      </c>
      <c r="M859" t="inlineStr">
        <is>
          <t>Ballybunion Old</t>
        </is>
      </c>
      <c r="N859" t="inlineStr">
        <is>
          <t>White</t>
        </is>
      </c>
      <c r="P859" t="n">
        <v>131</v>
      </c>
      <c r="Q859" t="n">
        <v>6383</v>
      </c>
      <c r="R859" t="inlineStr">
        <is>
          <t>Best Ball</t>
        </is>
      </c>
      <c r="S859" t="inlineStr">
        <is>
          <t>Doubles</t>
        </is>
      </c>
      <c r="T859" t="inlineStr">
        <is>
          <t>over 6'</t>
        </is>
      </c>
      <c r="U859" t="inlineStr">
        <is>
          <t>Grise</t>
        </is>
      </c>
      <c r="V859" t="inlineStr">
        <is>
          <t>Flanders</t>
        </is>
      </c>
      <c r="Y859" t="inlineStr">
        <is>
          <t>Mangold</t>
        </is>
      </c>
      <c r="AA859" t="n">
        <v>1</v>
      </c>
      <c r="AB859" t="inlineStr">
        <is>
          <t>W</t>
        </is>
      </c>
      <c r="AE859">
        <f>$V859&amp;$Y859</f>
        <v/>
      </c>
      <c r="AF859" t="n">
        <v>1</v>
      </c>
      <c r="AG859" t="n">
        <v>1</v>
      </c>
      <c r="AH859" t="n">
        <v>0</v>
      </c>
      <c r="AI859" t="n">
        <v>0</v>
      </c>
      <c r="AK859" t="inlineStr">
        <is>
          <t>Deoteris</t>
        </is>
      </c>
      <c r="AM859" t="inlineStr">
        <is>
          <t>Delaney</t>
        </is>
      </c>
    </row>
    <row r="860" ht="15" customHeight="1" s="2">
      <c r="B860" t="n">
        <v>25</v>
      </c>
      <c r="D860" t="n">
        <v>12</v>
      </c>
      <c r="E860" t="inlineStr">
        <is>
          <t>FBC12-D25</t>
        </is>
      </c>
      <c r="F860" t="inlineStr">
        <is>
          <t>Friday</t>
        </is>
      </c>
      <c r="G860" s="27" t="n">
        <v>45877</v>
      </c>
      <c r="H860" t="inlineStr">
        <is>
          <t>PM</t>
        </is>
      </c>
      <c r="I860" t="inlineStr">
        <is>
          <t>Killarney, IE</t>
        </is>
      </c>
      <c r="J860" t="inlineStr">
        <is>
          <t>Europe</t>
        </is>
      </c>
      <c r="K860" t="n">
        <v>9</v>
      </c>
      <c r="L860" t="inlineStr">
        <is>
          <t>Front</t>
        </is>
      </c>
      <c r="M860" t="inlineStr">
        <is>
          <t>Ballybunion Old</t>
        </is>
      </c>
      <c r="N860" t="inlineStr">
        <is>
          <t>White</t>
        </is>
      </c>
      <c r="P860" t="n">
        <v>131</v>
      </c>
      <c r="Q860" t="n">
        <v>6383</v>
      </c>
      <c r="R860" t="inlineStr">
        <is>
          <t>Best Ball</t>
        </is>
      </c>
      <c r="S860" t="inlineStr">
        <is>
          <t>Doubles</t>
        </is>
      </c>
      <c r="T860" t="inlineStr">
        <is>
          <t>over 6'</t>
        </is>
      </c>
      <c r="U860" t="inlineStr">
        <is>
          <t>Grise</t>
        </is>
      </c>
      <c r="V860" t="inlineStr">
        <is>
          <t>Perkins</t>
        </is>
      </c>
      <c r="Y860" t="inlineStr">
        <is>
          <t>Lynch</t>
        </is>
      </c>
      <c r="AA860" t="n">
        <v>1</v>
      </c>
      <c r="AB860" t="inlineStr">
        <is>
          <t>L</t>
        </is>
      </c>
      <c r="AC860" t="inlineStr">
        <is>
          <t>2&amp;1</t>
        </is>
      </c>
      <c r="AE860">
        <f>$V860&amp;$Y860</f>
        <v/>
      </c>
      <c r="AF860" t="n">
        <v>0</v>
      </c>
      <c r="AG860" t="n">
        <v>0</v>
      </c>
      <c r="AH860" t="n">
        <v>1</v>
      </c>
      <c r="AI860" t="n">
        <v>0</v>
      </c>
      <c r="AK860" t="inlineStr">
        <is>
          <t>R. Connolly</t>
        </is>
      </c>
      <c r="AM860" t="inlineStr">
        <is>
          <t>Jackson</t>
        </is>
      </c>
    </row>
    <row r="861" ht="15" customHeight="1" s="2">
      <c r="B861" t="n">
        <v>31</v>
      </c>
      <c r="D861" t="n">
        <v>12</v>
      </c>
      <c r="E861" t="inlineStr">
        <is>
          <t>FBC12-S-Connolly-Grise</t>
        </is>
      </c>
      <c r="F861" t="inlineStr">
        <is>
          <t>Saturday</t>
        </is>
      </c>
      <c r="G861" s="27" t="n">
        <v>45878</v>
      </c>
      <c r="H861" t="inlineStr">
        <is>
          <t>PM</t>
        </is>
      </c>
      <c r="I861" t="inlineStr">
        <is>
          <t>Killarney, IE</t>
        </is>
      </c>
      <c r="J861" t="inlineStr">
        <is>
          <t>Europe</t>
        </is>
      </c>
      <c r="K861" t="n">
        <v>18</v>
      </c>
      <c r="L861" t="inlineStr">
        <is>
          <t>Full</t>
        </is>
      </c>
      <c r="M861" t="inlineStr">
        <is>
          <t>Dooks</t>
        </is>
      </c>
      <c r="N861" t="inlineStr">
        <is>
          <t>White</t>
        </is>
      </c>
      <c r="P861" t="n">
        <v>132</v>
      </c>
      <c r="Q861" t="n">
        <v>6272</v>
      </c>
      <c r="R861" t="inlineStr">
        <is>
          <t>Match Play</t>
        </is>
      </c>
      <c r="S861" t="inlineStr">
        <is>
          <t>Singles</t>
        </is>
      </c>
      <c r="T861" t="inlineStr">
        <is>
          <t>over 6'</t>
        </is>
      </c>
      <c r="U861" t="inlineStr">
        <is>
          <t>Grise</t>
        </is>
      </c>
      <c r="V861" t="inlineStr">
        <is>
          <t>Grise</t>
        </is>
      </c>
      <c r="AA861" t="n">
        <v>2</v>
      </c>
      <c r="AB861" t="inlineStr">
        <is>
          <t>L</t>
        </is>
      </c>
      <c r="AD861" t="inlineStr">
        <is>
          <t>Connolly</t>
        </is>
      </c>
      <c r="AE861">
        <f>$V861&amp;$Y861</f>
        <v/>
      </c>
      <c r="AF861" t="n">
        <v>0</v>
      </c>
      <c r="AG861" t="n">
        <v>0</v>
      </c>
      <c r="AH861" t="n">
        <v>1</v>
      </c>
      <c r="AI861" t="n">
        <v>0</v>
      </c>
    </row>
    <row r="862" ht="15" customHeight="1" s="2">
      <c r="B862" t="n">
        <v>32</v>
      </c>
      <c r="D862" t="n">
        <v>12</v>
      </c>
      <c r="E862" t="inlineStr">
        <is>
          <t>FBC12-S-Delneky-Lynch</t>
        </is>
      </c>
      <c r="F862" t="inlineStr">
        <is>
          <t>Saturday</t>
        </is>
      </c>
      <c r="G862" s="27" t="n">
        <v>45878</v>
      </c>
      <c r="H862" t="inlineStr">
        <is>
          <t>PM</t>
        </is>
      </c>
      <c r="I862" t="inlineStr">
        <is>
          <t>Killarney, IE</t>
        </is>
      </c>
      <c r="J862" t="inlineStr">
        <is>
          <t>Europe</t>
        </is>
      </c>
      <c r="K862" t="n">
        <v>18</v>
      </c>
      <c r="L862" t="inlineStr">
        <is>
          <t>Full</t>
        </is>
      </c>
      <c r="M862" t="inlineStr">
        <is>
          <t>Dooks</t>
        </is>
      </c>
      <c r="N862" t="inlineStr">
        <is>
          <t>White</t>
        </is>
      </c>
      <c r="P862" t="n">
        <v>132</v>
      </c>
      <c r="Q862" t="n">
        <v>6272</v>
      </c>
      <c r="R862" t="inlineStr">
        <is>
          <t>Match Play</t>
        </is>
      </c>
      <c r="S862" t="inlineStr">
        <is>
          <t>Singles</t>
        </is>
      </c>
      <c r="T862" t="inlineStr">
        <is>
          <t>over 6'</t>
        </is>
      </c>
      <c r="U862" t="inlineStr">
        <is>
          <t>Grise</t>
        </is>
      </c>
      <c r="V862" t="inlineStr">
        <is>
          <t>Lynch</t>
        </is>
      </c>
      <c r="AA862" t="n">
        <v>2</v>
      </c>
      <c r="AB862" t="inlineStr">
        <is>
          <t>L</t>
        </is>
      </c>
      <c r="AD862" t="inlineStr">
        <is>
          <t>Delneky</t>
        </is>
      </c>
      <c r="AE862">
        <f>$V862&amp;$Y862</f>
        <v/>
      </c>
      <c r="AF862" t="n">
        <v>0</v>
      </c>
      <c r="AG862" t="n">
        <v>0</v>
      </c>
      <c r="AH862" t="n">
        <v>1</v>
      </c>
      <c r="AI862" t="n">
        <v>0</v>
      </c>
    </row>
    <row r="863" ht="15" customHeight="1" s="2">
      <c r="B863" t="n">
        <v>33</v>
      </c>
      <c r="D863" t="n">
        <v>12</v>
      </c>
      <c r="E863" t="inlineStr">
        <is>
          <t>FBC12-S-R. Connolly-Shively</t>
        </is>
      </c>
      <c r="F863" t="inlineStr">
        <is>
          <t>Saturday</t>
        </is>
      </c>
      <c r="G863" s="27" t="n">
        <v>45878</v>
      </c>
      <c r="H863" t="inlineStr">
        <is>
          <t>PM</t>
        </is>
      </c>
      <c r="I863" t="inlineStr">
        <is>
          <t>Killarney, IE</t>
        </is>
      </c>
      <c r="J863" t="inlineStr">
        <is>
          <t>Europe</t>
        </is>
      </c>
      <c r="K863" t="n">
        <v>18</v>
      </c>
      <c r="L863" t="inlineStr">
        <is>
          <t>Full</t>
        </is>
      </c>
      <c r="M863" t="inlineStr">
        <is>
          <t>Dooks</t>
        </is>
      </c>
      <c r="N863" t="inlineStr">
        <is>
          <t>White</t>
        </is>
      </c>
      <c r="P863" t="n">
        <v>132</v>
      </c>
      <c r="Q863" t="n">
        <v>6272</v>
      </c>
      <c r="R863" t="inlineStr">
        <is>
          <t>Match Play</t>
        </is>
      </c>
      <c r="S863" t="inlineStr">
        <is>
          <t>Singles</t>
        </is>
      </c>
      <c r="T863" t="inlineStr">
        <is>
          <t>over 6'</t>
        </is>
      </c>
      <c r="U863" t="inlineStr">
        <is>
          <t>Grise</t>
        </is>
      </c>
      <c r="V863" t="inlineStr">
        <is>
          <t>Shively</t>
        </is>
      </c>
      <c r="AA863" t="n">
        <v>2</v>
      </c>
      <c r="AB863" t="inlineStr">
        <is>
          <t>L</t>
        </is>
      </c>
      <c r="AD863" t="inlineStr">
        <is>
          <t>R. Connolly</t>
        </is>
      </c>
      <c r="AE863">
        <f>$V863&amp;$Y863</f>
        <v/>
      </c>
      <c r="AF863" t="n">
        <v>0</v>
      </c>
      <c r="AG863" t="n">
        <v>0</v>
      </c>
      <c r="AH863" t="n">
        <v>1</v>
      </c>
      <c r="AI863" t="n">
        <v>0</v>
      </c>
    </row>
    <row r="864" ht="15" customHeight="1" s="2">
      <c r="B864" t="n">
        <v>34</v>
      </c>
      <c r="D864" t="n">
        <v>12</v>
      </c>
      <c r="E864" t="inlineStr">
        <is>
          <t>FBC12-S-Flanders-Piegari</t>
        </is>
      </c>
      <c r="F864" t="inlineStr">
        <is>
          <t>Saturday</t>
        </is>
      </c>
      <c r="G864" s="27" t="n">
        <v>45878</v>
      </c>
      <c r="H864" t="inlineStr">
        <is>
          <t>PM</t>
        </is>
      </c>
      <c r="I864" t="inlineStr">
        <is>
          <t>Killarney, IE</t>
        </is>
      </c>
      <c r="J864" t="inlineStr">
        <is>
          <t>Europe</t>
        </is>
      </c>
      <c r="K864" t="n">
        <v>18</v>
      </c>
      <c r="L864" t="inlineStr">
        <is>
          <t>Full</t>
        </is>
      </c>
      <c r="M864" t="inlineStr">
        <is>
          <t>Dooks</t>
        </is>
      </c>
      <c r="N864" t="inlineStr">
        <is>
          <t>White</t>
        </is>
      </c>
      <c r="P864" t="n">
        <v>132</v>
      </c>
      <c r="Q864" t="n">
        <v>6272</v>
      </c>
      <c r="R864" t="inlineStr">
        <is>
          <t>Match Play</t>
        </is>
      </c>
      <c r="S864" t="inlineStr">
        <is>
          <t>Singles</t>
        </is>
      </c>
      <c r="T864" t="inlineStr">
        <is>
          <t>over 6'</t>
        </is>
      </c>
      <c r="U864" t="inlineStr">
        <is>
          <t>Grise</t>
        </is>
      </c>
      <c r="V864" t="inlineStr">
        <is>
          <t>Flanders</t>
        </is>
      </c>
      <c r="AA864" t="n">
        <v>2</v>
      </c>
      <c r="AB864" t="inlineStr">
        <is>
          <t>W</t>
        </is>
      </c>
      <c r="AD864" t="inlineStr">
        <is>
          <t>Piegari</t>
        </is>
      </c>
      <c r="AE864">
        <f>$V864&amp;$Y864</f>
        <v/>
      </c>
      <c r="AF864" t="n">
        <v>2</v>
      </c>
      <c r="AG864" t="n">
        <v>1</v>
      </c>
      <c r="AH864" t="n">
        <v>0</v>
      </c>
      <c r="AI864" t="n">
        <v>0</v>
      </c>
    </row>
    <row r="865" ht="15" customHeight="1" s="2">
      <c r="B865" t="n">
        <v>35</v>
      </c>
      <c r="D865" t="n">
        <v>12</v>
      </c>
      <c r="E865" t="inlineStr">
        <is>
          <t>FBC12-S-Jackson-Poirier</t>
        </is>
      </c>
      <c r="F865" t="inlineStr">
        <is>
          <t>Saturday</t>
        </is>
      </c>
      <c r="G865" s="27" t="n">
        <v>45878</v>
      </c>
      <c r="H865" t="inlineStr">
        <is>
          <t>PM</t>
        </is>
      </c>
      <c r="I865" t="inlineStr">
        <is>
          <t>Killarney, IE</t>
        </is>
      </c>
      <c r="J865" t="inlineStr">
        <is>
          <t>Europe</t>
        </is>
      </c>
      <c r="K865" t="n">
        <v>18</v>
      </c>
      <c r="L865" t="inlineStr">
        <is>
          <t>Full</t>
        </is>
      </c>
      <c r="M865" t="inlineStr">
        <is>
          <t>Dooks</t>
        </is>
      </c>
      <c r="N865" t="inlineStr">
        <is>
          <t>White</t>
        </is>
      </c>
      <c r="P865" t="n">
        <v>132</v>
      </c>
      <c r="Q865" t="n">
        <v>6272</v>
      </c>
      <c r="R865" t="inlineStr">
        <is>
          <t>Match Play</t>
        </is>
      </c>
      <c r="S865" t="inlineStr">
        <is>
          <t>Singles</t>
        </is>
      </c>
      <c r="T865" t="inlineStr">
        <is>
          <t>over 6'</t>
        </is>
      </c>
      <c r="U865" t="inlineStr">
        <is>
          <t>Grise</t>
        </is>
      </c>
      <c r="V865" t="inlineStr">
        <is>
          <t>Poirier</t>
        </is>
      </c>
      <c r="AA865" t="n">
        <v>2</v>
      </c>
      <c r="AB865" t="inlineStr">
        <is>
          <t>W</t>
        </is>
      </c>
      <c r="AD865" t="inlineStr">
        <is>
          <t>Jackson</t>
        </is>
      </c>
      <c r="AE865">
        <f>$V865&amp;$Y865</f>
        <v/>
      </c>
      <c r="AF865" t="n">
        <v>2</v>
      </c>
      <c r="AG865" t="n">
        <v>1</v>
      </c>
      <c r="AH865" t="n">
        <v>0</v>
      </c>
      <c r="AI865" t="n">
        <v>0</v>
      </c>
    </row>
    <row r="866" ht="15" customHeight="1" s="2">
      <c r="B866" t="n">
        <v>36</v>
      </c>
      <c r="D866" t="n">
        <v>12</v>
      </c>
      <c r="E866" t="inlineStr">
        <is>
          <t>FBC12-S-Deoteris-Snyder</t>
        </is>
      </c>
      <c r="F866" t="inlineStr">
        <is>
          <t>Saturday</t>
        </is>
      </c>
      <c r="G866" s="27" t="n">
        <v>45878</v>
      </c>
      <c r="H866" t="inlineStr">
        <is>
          <t>PM</t>
        </is>
      </c>
      <c r="I866" t="inlineStr">
        <is>
          <t>Killarney, IE</t>
        </is>
      </c>
      <c r="J866" t="inlineStr">
        <is>
          <t>Europe</t>
        </is>
      </c>
      <c r="K866" t="n">
        <v>18</v>
      </c>
      <c r="L866" t="inlineStr">
        <is>
          <t>Full</t>
        </is>
      </c>
      <c r="M866" t="inlineStr">
        <is>
          <t>Dooks</t>
        </is>
      </c>
      <c r="N866" t="inlineStr">
        <is>
          <t>White</t>
        </is>
      </c>
      <c r="P866" t="n">
        <v>132</v>
      </c>
      <c r="Q866" t="n">
        <v>6272</v>
      </c>
      <c r="R866" t="inlineStr">
        <is>
          <t>Match Play</t>
        </is>
      </c>
      <c r="S866" t="inlineStr">
        <is>
          <t>Singles</t>
        </is>
      </c>
      <c r="T866" t="inlineStr">
        <is>
          <t>over 6'</t>
        </is>
      </c>
      <c r="U866" t="inlineStr">
        <is>
          <t>Grise</t>
        </is>
      </c>
      <c r="V866" t="inlineStr">
        <is>
          <t>Snyder</t>
        </is>
      </c>
      <c r="AA866" t="n">
        <v>2</v>
      </c>
      <c r="AB866" t="inlineStr">
        <is>
          <t>W</t>
        </is>
      </c>
      <c r="AD866" t="inlineStr">
        <is>
          <t>Deoteris</t>
        </is>
      </c>
      <c r="AE866">
        <f>$V866&amp;$Y866</f>
        <v/>
      </c>
      <c r="AF866" t="n">
        <v>2</v>
      </c>
      <c r="AG866" t="n">
        <v>1</v>
      </c>
      <c r="AH866" t="n">
        <v>0</v>
      </c>
      <c r="AI866" t="n">
        <v>0</v>
      </c>
    </row>
    <row r="867" ht="15" customHeight="1" s="2">
      <c r="B867" t="n">
        <v>37</v>
      </c>
      <c r="D867" t="n">
        <v>12</v>
      </c>
      <c r="E867" t="inlineStr">
        <is>
          <t>FBC12-S-Fogan-Forster</t>
        </is>
      </c>
      <c r="F867" t="inlineStr">
        <is>
          <t>Saturday</t>
        </is>
      </c>
      <c r="G867" s="27" t="n">
        <v>45878</v>
      </c>
      <c r="H867" t="inlineStr">
        <is>
          <t>PM</t>
        </is>
      </c>
      <c r="I867" t="inlineStr">
        <is>
          <t>Killarney, IE</t>
        </is>
      </c>
      <c r="J867" t="inlineStr">
        <is>
          <t>Europe</t>
        </is>
      </c>
      <c r="K867" t="n">
        <v>18</v>
      </c>
      <c r="L867" t="inlineStr">
        <is>
          <t>Full</t>
        </is>
      </c>
      <c r="M867" t="inlineStr">
        <is>
          <t>Dooks</t>
        </is>
      </c>
      <c r="N867" t="inlineStr">
        <is>
          <t>White</t>
        </is>
      </c>
      <c r="P867" t="n">
        <v>132</v>
      </c>
      <c r="Q867" t="n">
        <v>6272</v>
      </c>
      <c r="R867" t="inlineStr">
        <is>
          <t>Match Play</t>
        </is>
      </c>
      <c r="S867" t="inlineStr">
        <is>
          <t>Singles</t>
        </is>
      </c>
      <c r="T867" t="inlineStr">
        <is>
          <t>over 6'</t>
        </is>
      </c>
      <c r="U867" t="inlineStr">
        <is>
          <t>Grise</t>
        </is>
      </c>
      <c r="V867" t="inlineStr">
        <is>
          <t>Forster</t>
        </is>
      </c>
      <c r="AA867" t="n">
        <v>2</v>
      </c>
      <c r="AB867" t="inlineStr">
        <is>
          <t>W</t>
        </is>
      </c>
      <c r="AD867" t="inlineStr">
        <is>
          <t>Fogan</t>
        </is>
      </c>
      <c r="AE867">
        <f>$V867&amp;$Y867</f>
        <v/>
      </c>
      <c r="AF867" t="n">
        <v>2</v>
      </c>
      <c r="AG867" t="n">
        <v>1</v>
      </c>
      <c r="AH867" t="n">
        <v>0</v>
      </c>
      <c r="AI867" t="n">
        <v>0</v>
      </c>
    </row>
    <row r="868" ht="15" customHeight="1" s="2">
      <c r="B868" t="n">
        <v>38</v>
      </c>
      <c r="D868" t="n">
        <v>12</v>
      </c>
      <c r="E868" t="inlineStr">
        <is>
          <t>FBC12-S-Perkins-Zimmer</t>
        </is>
      </c>
      <c r="F868" t="inlineStr">
        <is>
          <t>Saturday</t>
        </is>
      </c>
      <c r="G868" s="27" t="n">
        <v>45878</v>
      </c>
      <c r="H868" t="inlineStr">
        <is>
          <t>PM</t>
        </is>
      </c>
      <c r="I868" t="inlineStr">
        <is>
          <t>Killarney, IE</t>
        </is>
      </c>
      <c r="J868" t="inlineStr">
        <is>
          <t>Europe</t>
        </is>
      </c>
      <c r="K868" t="n">
        <v>18</v>
      </c>
      <c r="L868" t="inlineStr">
        <is>
          <t>Full</t>
        </is>
      </c>
      <c r="M868" t="inlineStr">
        <is>
          <t>Dooks</t>
        </is>
      </c>
      <c r="N868" t="inlineStr">
        <is>
          <t>White</t>
        </is>
      </c>
      <c r="P868" t="n">
        <v>132</v>
      </c>
      <c r="Q868" t="n">
        <v>6272</v>
      </c>
      <c r="R868" t="inlineStr">
        <is>
          <t>Match Play</t>
        </is>
      </c>
      <c r="S868" t="inlineStr">
        <is>
          <t>Singles</t>
        </is>
      </c>
      <c r="T868" t="inlineStr">
        <is>
          <t>over 6'</t>
        </is>
      </c>
      <c r="U868" t="inlineStr">
        <is>
          <t>Grise</t>
        </is>
      </c>
      <c r="V868" t="inlineStr">
        <is>
          <t>Perkins</t>
        </is>
      </c>
      <c r="AA868" t="n">
        <v>2</v>
      </c>
      <c r="AB868" t="inlineStr">
        <is>
          <t>W</t>
        </is>
      </c>
      <c r="AD868" t="inlineStr">
        <is>
          <t>Zimmer</t>
        </is>
      </c>
      <c r="AE868">
        <f>$V868&amp;$Y868</f>
        <v/>
      </c>
      <c r="AF868" t="n">
        <v>2</v>
      </c>
      <c r="AG868" t="n">
        <v>1</v>
      </c>
      <c r="AH868" t="n">
        <v>0</v>
      </c>
      <c r="AI868" t="n">
        <v>0</v>
      </c>
    </row>
    <row r="869" ht="15" customHeight="1" s="2">
      <c r="B869" t="n">
        <v>39</v>
      </c>
      <c r="D869" t="n">
        <v>12</v>
      </c>
      <c r="E869" t="inlineStr">
        <is>
          <t>FBC12-S-Ferrin-Hilts</t>
        </is>
      </c>
      <c r="F869" t="inlineStr">
        <is>
          <t>Saturday</t>
        </is>
      </c>
      <c r="G869" s="27" t="n">
        <v>45878</v>
      </c>
      <c r="H869" t="inlineStr">
        <is>
          <t>PM</t>
        </is>
      </c>
      <c r="I869" t="inlineStr">
        <is>
          <t>Killarney, IE</t>
        </is>
      </c>
      <c r="J869" t="inlineStr">
        <is>
          <t>Europe</t>
        </is>
      </c>
      <c r="K869" t="n">
        <v>18</v>
      </c>
      <c r="L869" t="inlineStr">
        <is>
          <t>Full</t>
        </is>
      </c>
      <c r="M869" t="inlineStr">
        <is>
          <t>Dooks</t>
        </is>
      </c>
      <c r="N869" t="inlineStr">
        <is>
          <t>White</t>
        </is>
      </c>
      <c r="P869" t="n">
        <v>132</v>
      </c>
      <c r="Q869" t="n">
        <v>6272</v>
      </c>
      <c r="R869" t="inlineStr">
        <is>
          <t>Match Play</t>
        </is>
      </c>
      <c r="S869" t="inlineStr">
        <is>
          <t>Singles</t>
        </is>
      </c>
      <c r="T869" t="inlineStr">
        <is>
          <t>over 6'</t>
        </is>
      </c>
      <c r="U869" t="inlineStr">
        <is>
          <t>Grise</t>
        </is>
      </c>
      <c r="V869" t="inlineStr">
        <is>
          <t>Hilts</t>
        </is>
      </c>
      <c r="AA869" t="n">
        <v>2</v>
      </c>
      <c r="AB869" t="inlineStr">
        <is>
          <t>W</t>
        </is>
      </c>
      <c r="AD869" t="inlineStr">
        <is>
          <t>Ferrin</t>
        </is>
      </c>
      <c r="AE869">
        <f>$V869&amp;$Y869</f>
        <v/>
      </c>
      <c r="AF869" t="n">
        <v>2</v>
      </c>
      <c r="AG869" t="n">
        <v>1</v>
      </c>
      <c r="AH869" t="n">
        <v>0</v>
      </c>
      <c r="AI869" t="n">
        <v>0</v>
      </c>
    </row>
    <row r="870" ht="15" customHeight="1" s="2">
      <c r="B870" t="n">
        <v>40</v>
      </c>
      <c r="D870" t="n">
        <v>12</v>
      </c>
      <c r="E870" t="inlineStr">
        <is>
          <t>FBC12-S-Delaney-Mangold</t>
        </is>
      </c>
      <c r="F870" t="inlineStr">
        <is>
          <t>Saturday</t>
        </is>
      </c>
      <c r="G870" s="27" t="n">
        <v>45878</v>
      </c>
      <c r="H870" t="inlineStr">
        <is>
          <t>PM</t>
        </is>
      </c>
      <c r="I870" t="inlineStr">
        <is>
          <t>Killarney, IE</t>
        </is>
      </c>
      <c r="J870" t="inlineStr">
        <is>
          <t>Europe</t>
        </is>
      </c>
      <c r="K870" t="n">
        <v>18</v>
      </c>
      <c r="L870" t="inlineStr">
        <is>
          <t>Full</t>
        </is>
      </c>
      <c r="M870" t="inlineStr">
        <is>
          <t>Dooks</t>
        </is>
      </c>
      <c r="N870" t="inlineStr">
        <is>
          <t>White</t>
        </is>
      </c>
      <c r="P870" t="n">
        <v>132</v>
      </c>
      <c r="Q870" t="n">
        <v>6272</v>
      </c>
      <c r="R870" t="inlineStr">
        <is>
          <t>Match Play</t>
        </is>
      </c>
      <c r="S870" t="inlineStr">
        <is>
          <t>Singles</t>
        </is>
      </c>
      <c r="T870" t="inlineStr">
        <is>
          <t>over 6'</t>
        </is>
      </c>
      <c r="U870" t="inlineStr">
        <is>
          <t>Grise</t>
        </is>
      </c>
      <c r="V870" t="inlineStr">
        <is>
          <t>Mangold</t>
        </is>
      </c>
      <c r="AA870" t="n">
        <v>2</v>
      </c>
      <c r="AB870" t="inlineStr">
        <is>
          <t>L</t>
        </is>
      </c>
      <c r="AD870" t="inlineStr">
        <is>
          <t>Delaney</t>
        </is>
      </c>
      <c r="AE870">
        <f>$V870&amp;$Y870</f>
        <v/>
      </c>
      <c r="AF870" t="n">
        <v>0</v>
      </c>
      <c r="AG870" t="n">
        <v>0</v>
      </c>
      <c r="AH870" t="n">
        <v>1</v>
      </c>
      <c r="AI870" t="n">
        <v>0</v>
      </c>
    </row>
    <row r="871" ht="15" customHeight="1" s="2">
      <c r="B871" t="n">
        <v>32</v>
      </c>
      <c r="C871" t="n">
        <v>8</v>
      </c>
      <c r="D871" t="n">
        <v>8</v>
      </c>
      <c r="E871" t="inlineStr">
        <is>
          <t>FBC8-S-Perkins-Piegari</t>
        </is>
      </c>
      <c r="F871" t="inlineStr">
        <is>
          <t>Sunday</t>
        </is>
      </c>
      <c r="G871" s="27" t="n">
        <v>44821</v>
      </c>
      <c r="H871" t="inlineStr">
        <is>
          <t>AM</t>
        </is>
      </c>
      <c r="I871" t="inlineStr">
        <is>
          <t>San Diego, CA</t>
        </is>
      </c>
      <c r="J871" t="inlineStr">
        <is>
          <t>West</t>
        </is>
      </c>
      <c r="K871" t="n">
        <v>18</v>
      </c>
      <c r="L871" t="inlineStr">
        <is>
          <t>Full</t>
        </is>
      </c>
      <c r="M871" t="inlineStr">
        <is>
          <t>Torrey Pines South</t>
        </is>
      </c>
      <c r="R871" t="inlineStr">
        <is>
          <t>Match Play</t>
        </is>
      </c>
      <c r="S871" t="inlineStr">
        <is>
          <t>Singles</t>
        </is>
      </c>
      <c r="T871" t="inlineStr">
        <is>
          <t>Over 6'</t>
        </is>
      </c>
      <c r="U871" t="inlineStr">
        <is>
          <t>Welker</t>
        </is>
      </c>
      <c r="V871" t="inlineStr">
        <is>
          <t>Perkins</t>
        </is>
      </c>
      <c r="AA871" t="n">
        <v>2</v>
      </c>
      <c r="AB871" t="inlineStr">
        <is>
          <t>W</t>
        </is>
      </c>
      <c r="AC871" t="inlineStr">
        <is>
          <t>1up</t>
        </is>
      </c>
      <c r="AD871" t="inlineStr">
        <is>
          <t>Piegari</t>
        </is>
      </c>
      <c r="AE871">
        <f>$V871&amp;$Y871</f>
        <v/>
      </c>
      <c r="AF871" t="n">
        <v>2</v>
      </c>
      <c r="AG871" t="n">
        <v>1</v>
      </c>
      <c r="AH871" t="n">
        <v>0</v>
      </c>
      <c r="AI871" t="n">
        <v>0</v>
      </c>
      <c r="AJ871" t="n">
        <v>0</v>
      </c>
      <c r="AK871" t="inlineStr">
        <is>
          <t>Piegari</t>
        </is>
      </c>
      <c r="AL871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zoomScaleNormal="100" workbookViewId="0">
      <selection activeCell="Q27" sqref="Q27"/>
    </sheetView>
  </sheetViews>
  <sheetFormatPr baseColWidth="10" defaultColWidth="8.83203125" defaultRowHeight="16"/>
  <cols>
    <col width="8.83203125" customWidth="1" style="28" min="1" max="1"/>
    <col width="10.33203125" customWidth="1" style="28" min="2" max="2"/>
    <col width="7.6640625" customWidth="1" style="28" min="3" max="4"/>
    <col width="8" customWidth="1" style="28" min="5" max="5"/>
    <col width="7.6640625" customWidth="1" style="28" min="6" max="6"/>
    <col width="7.83203125" customWidth="1" style="28" min="7" max="7"/>
    <col width="7.5" customWidth="1" style="28" min="8" max="8"/>
    <col width="7.1640625" customWidth="1" style="28" min="9" max="9"/>
    <col width="7.5" customWidth="1" style="28" min="10" max="11"/>
    <col width="7.33203125" customWidth="1" style="28" min="12" max="13"/>
    <col width="8" customWidth="1" style="28" min="14" max="14"/>
    <col width="8.83203125" customWidth="1" style="28" min="15" max="16"/>
    <col width="10" customWidth="1" style="28" min="17" max="18"/>
    <col width="8.83203125" customWidth="1" style="28" min="19" max="16384"/>
  </cols>
  <sheetData>
    <row r="1" ht="15.75" customHeight="1" s="2">
      <c r="A1" s="29" t="n"/>
      <c r="B1" s="29" t="n"/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</row>
    <row r="2" ht="15.75" customHeight="1" s="2">
      <c r="A2" s="29" t="n"/>
      <c r="B2" s="30" t="inlineStr">
        <is>
          <t>Player</t>
        </is>
      </c>
      <c r="C2" s="31" t="inlineStr">
        <is>
          <t>FBC 1</t>
        </is>
      </c>
      <c r="D2" s="31" t="inlineStr">
        <is>
          <t>FBC 2</t>
        </is>
      </c>
      <c r="E2" s="31" t="inlineStr">
        <is>
          <t>FBC 3</t>
        </is>
      </c>
      <c r="F2" s="31" t="inlineStr">
        <is>
          <t>FBC 4</t>
        </is>
      </c>
      <c r="G2" s="31" t="inlineStr">
        <is>
          <t>FBC 5</t>
        </is>
      </c>
      <c r="H2" s="31" t="inlineStr">
        <is>
          <t>FBC 6</t>
        </is>
      </c>
      <c r="I2" s="31" t="inlineStr">
        <is>
          <t>FBC 7</t>
        </is>
      </c>
      <c r="J2" s="31" t="inlineStr">
        <is>
          <t>FBC 8</t>
        </is>
      </c>
      <c r="K2" s="31" t="inlineStr">
        <is>
          <t>FBC 9</t>
        </is>
      </c>
      <c r="L2" s="31" t="inlineStr">
        <is>
          <t>FBC 10</t>
        </is>
      </c>
      <c r="M2" s="31" t="inlineStr">
        <is>
          <t>FBC 11</t>
        </is>
      </c>
      <c r="N2" s="31" t="inlineStr">
        <is>
          <t>FBC 12</t>
        </is>
      </c>
      <c r="O2" s="32" t="inlineStr">
        <is>
          <t>Total</t>
        </is>
      </c>
      <c r="P2" s="31" t="inlineStr">
        <is>
          <t>Played</t>
        </is>
      </c>
      <c r="Q2" s="31" t="inlineStr">
        <is>
          <t>%</t>
        </is>
      </c>
      <c r="R2" s="31" t="inlineStr">
        <is>
          <t>Lost</t>
        </is>
      </c>
      <c r="S2" s="29" t="n"/>
      <c r="T2" s="29" t="n"/>
      <c r="U2" s="29" t="n"/>
    </row>
    <row r="3" ht="15.75" customHeight="1" s="2">
      <c r="A3" s="29" t="n"/>
      <c r="B3" s="29" t="inlineStr">
        <is>
          <t>Lynch</t>
        </is>
      </c>
      <c r="C3" s="33" t="n">
        <v>1</v>
      </c>
      <c r="D3" s="33" t="n">
        <v>1</v>
      </c>
      <c r="E3" s="33" t="n">
        <v>1</v>
      </c>
      <c r="F3" s="33" t="n">
        <v>1</v>
      </c>
      <c r="G3" s="33" t="n">
        <v>1</v>
      </c>
      <c r="H3" s="33" t="n">
        <v>1</v>
      </c>
      <c r="I3" s="33" t="n">
        <v>1</v>
      </c>
      <c r="J3" s="33" t="n">
        <v>0</v>
      </c>
      <c r="K3" s="33" t="n">
        <v>1</v>
      </c>
      <c r="L3" s="33" t="n">
        <v>1</v>
      </c>
      <c r="M3" s="33" t="n">
        <v>0</v>
      </c>
      <c r="N3" s="33" t="n">
        <v>1</v>
      </c>
      <c r="O3" s="33">
        <f>SUM(C3:N3)</f>
        <v/>
      </c>
      <c r="P3" s="33" t="n">
        <v>12</v>
      </c>
      <c r="Q3" s="34">
        <f>O3/P3</f>
        <v/>
      </c>
      <c r="R3" s="33">
        <f>P3-O3</f>
        <v/>
      </c>
      <c r="S3" s="29" t="n"/>
      <c r="T3" s="29" t="n"/>
      <c r="U3" s="29" t="n"/>
    </row>
    <row r="4" ht="15.75" customHeight="1" s="2">
      <c r="A4" s="29" t="n"/>
      <c r="B4" s="29" t="inlineStr">
        <is>
          <t>Connolly, B</t>
        </is>
      </c>
      <c r="C4" s="33" t="n">
        <v>1</v>
      </c>
      <c r="D4" s="33" t="n">
        <v>1</v>
      </c>
      <c r="E4" s="33" t="n">
        <v>1</v>
      </c>
      <c r="F4" s="33" t="n">
        <v>1</v>
      </c>
      <c r="G4" s="33" t="n">
        <v>1</v>
      </c>
      <c r="H4" s="33" t="n">
        <v>0</v>
      </c>
      <c r="I4" s="33" t="n">
        <v>0</v>
      </c>
      <c r="J4" s="33" t="n">
        <v>1</v>
      </c>
      <c r="K4" s="33" t="n">
        <v>1</v>
      </c>
      <c r="L4" s="33" t="n">
        <v>1</v>
      </c>
      <c r="M4" s="33" t="n">
        <v>1</v>
      </c>
      <c r="N4" s="33" t="n">
        <v>0</v>
      </c>
      <c r="O4" s="33">
        <f>SUM(C4:N4)</f>
        <v/>
      </c>
      <c r="P4" s="33" t="n">
        <v>12</v>
      </c>
      <c r="Q4" s="34">
        <f>O4/P4</f>
        <v/>
      </c>
      <c r="R4" s="33">
        <f>P4-O4</f>
        <v/>
      </c>
      <c r="S4" s="29" t="n"/>
      <c r="T4" s="29" t="n"/>
      <c r="U4" s="29" t="n"/>
    </row>
    <row r="5" ht="15.75" customHeight="1" s="2">
      <c r="A5" s="29" t="n"/>
      <c r="B5" s="29" t="inlineStr">
        <is>
          <t>Grise</t>
        </is>
      </c>
      <c r="C5" s="33" t="n">
        <v>0</v>
      </c>
      <c r="D5" s="33" t="n">
        <v>1</v>
      </c>
      <c r="E5" s="33" t="n">
        <v>0</v>
      </c>
      <c r="F5" s="33" t="n">
        <v>1</v>
      </c>
      <c r="G5" s="33" t="n">
        <v>1</v>
      </c>
      <c r="H5" s="33" t="n">
        <v>1</v>
      </c>
      <c r="I5" s="33" t="n">
        <v>1</v>
      </c>
      <c r="J5" s="33" t="n">
        <v>1</v>
      </c>
      <c r="K5" s="33" t="n">
        <v>0</v>
      </c>
      <c r="L5" s="33" t="n">
        <v>1</v>
      </c>
      <c r="M5" s="33" t="n">
        <v>0</v>
      </c>
      <c r="N5" s="33" t="n">
        <v>1</v>
      </c>
      <c r="O5" s="33">
        <f>SUM(C5:N5)</f>
        <v/>
      </c>
      <c r="P5" s="33" t="n">
        <v>12</v>
      </c>
      <c r="Q5" s="34">
        <f>O5/P5</f>
        <v/>
      </c>
      <c r="R5" s="33">
        <f>P5-O5</f>
        <v/>
      </c>
      <c r="S5" s="29" t="n"/>
      <c r="T5" s="29" t="n"/>
      <c r="U5" s="29" t="n"/>
    </row>
    <row r="6" ht="15.75" customHeight="1" s="2">
      <c r="A6" s="29" t="n"/>
      <c r="B6" s="29" t="inlineStr">
        <is>
          <t>Hilts</t>
        </is>
      </c>
      <c r="C6" s="33" t="n">
        <v>1</v>
      </c>
      <c r="D6" s="33" t="n">
        <v>1</v>
      </c>
      <c r="E6" s="33" t="n">
        <v>1</v>
      </c>
      <c r="F6" s="33" t="inlineStr">
        <is>
          <t>X</t>
        </is>
      </c>
      <c r="G6" s="33" t="n">
        <v>0</v>
      </c>
      <c r="H6" s="33" t="n">
        <v>1</v>
      </c>
      <c r="I6" s="33" t="n">
        <v>0</v>
      </c>
      <c r="J6" s="33" t="n">
        <v>1</v>
      </c>
      <c r="K6" s="33" t="n">
        <v>1</v>
      </c>
      <c r="L6" s="33" t="n">
        <v>1</v>
      </c>
      <c r="M6" s="33" t="n">
        <v>0</v>
      </c>
      <c r="N6" s="33" t="n">
        <v>1</v>
      </c>
      <c r="O6" s="33">
        <f>SUM(C6:N6)</f>
        <v/>
      </c>
      <c r="P6" s="33" t="n">
        <v>11</v>
      </c>
      <c r="Q6" s="34">
        <f>O6/P6</f>
        <v/>
      </c>
      <c r="R6" s="33">
        <f>P6-O6</f>
        <v/>
      </c>
      <c r="S6" s="29" t="n"/>
      <c r="T6" s="29" t="n"/>
      <c r="U6" s="29" t="n"/>
    </row>
    <row r="7" ht="15.75" customHeight="1" s="2">
      <c r="A7" s="29" t="n"/>
      <c r="B7" s="29" t="inlineStr">
        <is>
          <t>Shively</t>
        </is>
      </c>
      <c r="C7" s="33" t="n">
        <v>1</v>
      </c>
      <c r="D7" s="33" t="n">
        <v>0</v>
      </c>
      <c r="E7" s="33" t="n">
        <v>0</v>
      </c>
      <c r="F7" s="33" t="n">
        <v>1</v>
      </c>
      <c r="G7" s="33" t="n">
        <v>1</v>
      </c>
      <c r="H7" s="33" t="n">
        <v>1</v>
      </c>
      <c r="I7" s="33" t="n">
        <v>0</v>
      </c>
      <c r="J7" s="33" t="n">
        <v>0</v>
      </c>
      <c r="K7" s="33" t="n">
        <v>1</v>
      </c>
      <c r="L7" s="33" t="inlineStr">
        <is>
          <t>X</t>
        </is>
      </c>
      <c r="M7" s="33" t="n">
        <v>1</v>
      </c>
      <c r="N7" s="33" t="n">
        <v>1</v>
      </c>
      <c r="O7" s="33">
        <f>SUM(C7:N7)</f>
        <v/>
      </c>
      <c r="P7" s="33" t="n">
        <v>11</v>
      </c>
      <c r="Q7" s="34">
        <f>O7/P7</f>
        <v/>
      </c>
      <c r="R7" s="33">
        <f>P7-O7</f>
        <v/>
      </c>
      <c r="S7" s="29" t="n"/>
      <c r="T7" s="29" t="n"/>
      <c r="U7" s="29" t="n"/>
    </row>
    <row r="8" ht="15.75" customHeight="1" s="2">
      <c r="A8" s="29" t="n"/>
      <c r="B8" s="29" t="inlineStr">
        <is>
          <t>Zimmer</t>
        </is>
      </c>
      <c r="C8" s="33" t="inlineStr">
        <is>
          <t>X</t>
        </is>
      </c>
      <c r="D8" s="33" t="inlineStr">
        <is>
          <t>X</t>
        </is>
      </c>
      <c r="E8" s="33" t="n">
        <v>1</v>
      </c>
      <c r="F8" s="33" t="n">
        <v>1</v>
      </c>
      <c r="G8" s="33" t="n">
        <v>1</v>
      </c>
      <c r="H8" s="33" t="n">
        <v>0</v>
      </c>
      <c r="I8" s="33" t="n">
        <v>1</v>
      </c>
      <c r="J8" s="33" t="n">
        <v>1</v>
      </c>
      <c r="K8" s="33" t="n">
        <v>0</v>
      </c>
      <c r="L8" s="33" t="n">
        <v>0</v>
      </c>
      <c r="M8" s="33" t="n">
        <v>1</v>
      </c>
      <c r="N8" s="33" t="n">
        <v>0</v>
      </c>
      <c r="O8" s="33">
        <f>SUM(C8:N8)</f>
        <v/>
      </c>
      <c r="P8" s="33" t="n">
        <v>10</v>
      </c>
      <c r="Q8" s="34">
        <f>O8/P8</f>
        <v/>
      </c>
      <c r="R8" s="33">
        <f>P8-O8</f>
        <v/>
      </c>
      <c r="S8" s="29" t="n"/>
      <c r="T8" s="29" t="n"/>
      <c r="U8" s="29" t="n"/>
    </row>
    <row r="9" ht="15.75" customHeight="1" s="2">
      <c r="A9" s="29" t="n"/>
      <c r="B9" s="29" t="inlineStr">
        <is>
          <t>McInerney</t>
        </is>
      </c>
      <c r="C9" s="33" t="inlineStr">
        <is>
          <t>X</t>
        </is>
      </c>
      <c r="D9" s="33" t="inlineStr">
        <is>
          <t>X</t>
        </is>
      </c>
      <c r="E9" s="33" t="n">
        <v>1</v>
      </c>
      <c r="F9" s="33" t="n">
        <v>1</v>
      </c>
      <c r="G9" s="33" t="n">
        <v>1</v>
      </c>
      <c r="H9" s="33" t="n">
        <v>1</v>
      </c>
      <c r="I9" s="33" t="n">
        <v>0</v>
      </c>
      <c r="J9" s="33" t="n">
        <v>0</v>
      </c>
      <c r="K9" s="33" t="n">
        <v>1</v>
      </c>
      <c r="L9" s="33" t="n">
        <v>0</v>
      </c>
      <c r="M9" s="33" t="inlineStr">
        <is>
          <t>X</t>
        </is>
      </c>
      <c r="N9" s="33" t="inlineStr">
        <is>
          <t>X</t>
        </is>
      </c>
      <c r="O9" s="33">
        <f>SUM(C9:N9)</f>
        <v/>
      </c>
      <c r="P9" s="33" t="n">
        <v>8</v>
      </c>
      <c r="Q9" s="34">
        <f>O9/P9</f>
        <v/>
      </c>
      <c r="R9" s="33">
        <f>P9-O9</f>
        <v/>
      </c>
      <c r="S9" s="29" t="n"/>
      <c r="T9" s="29" t="n"/>
      <c r="U9" s="29" t="n"/>
    </row>
    <row r="10" ht="15.75" customHeight="1" s="2">
      <c r="A10" s="29" t="n"/>
      <c r="B10" s="29" t="inlineStr">
        <is>
          <t>Flanders</t>
        </is>
      </c>
      <c r="C10" s="33" t="n">
        <v>0</v>
      </c>
      <c r="D10" s="33" t="n">
        <v>1</v>
      </c>
      <c r="E10" s="33" t="n">
        <v>0</v>
      </c>
      <c r="F10" s="33" t="n">
        <v>0</v>
      </c>
      <c r="G10" s="33" t="n">
        <v>0</v>
      </c>
      <c r="H10" s="33" t="n">
        <v>0</v>
      </c>
      <c r="I10" s="33" t="n">
        <v>1</v>
      </c>
      <c r="J10" s="33" t="n">
        <v>0</v>
      </c>
      <c r="K10" s="33" t="n">
        <v>1</v>
      </c>
      <c r="L10" s="33" t="n">
        <v>1</v>
      </c>
      <c r="M10" s="33" t="n">
        <v>0</v>
      </c>
      <c r="N10" s="33" t="n">
        <v>1</v>
      </c>
      <c r="O10" s="33">
        <f>SUM(C10:N10)</f>
        <v/>
      </c>
      <c r="P10" s="33" t="n">
        <v>12</v>
      </c>
      <c r="Q10" s="34">
        <f>O10/P10</f>
        <v/>
      </c>
      <c r="R10" s="33">
        <f>P10-O10</f>
        <v/>
      </c>
      <c r="S10" s="29" t="n"/>
      <c r="T10" s="29" t="n"/>
      <c r="U10" s="29" t="n"/>
    </row>
    <row r="11" ht="15.75" customHeight="1" s="2">
      <c r="A11" s="29" t="n"/>
      <c r="B11" s="29" t="inlineStr">
        <is>
          <t>Fogan</t>
        </is>
      </c>
      <c r="C11" s="33" t="inlineStr">
        <is>
          <t>X</t>
        </is>
      </c>
      <c r="D11" s="33" t="n">
        <v>0</v>
      </c>
      <c r="E11" s="33" t="n">
        <v>1</v>
      </c>
      <c r="F11" s="33" t="n">
        <v>1</v>
      </c>
      <c r="G11" s="33" t="n">
        <v>0</v>
      </c>
      <c r="H11" s="33" t="n">
        <v>1</v>
      </c>
      <c r="I11" s="33" t="n">
        <v>0</v>
      </c>
      <c r="J11" s="33" t="n">
        <v>0</v>
      </c>
      <c r="K11" s="33" t="n">
        <v>0</v>
      </c>
      <c r="L11" s="33" t="n">
        <v>0</v>
      </c>
      <c r="M11" s="33" t="n">
        <v>1</v>
      </c>
      <c r="N11" s="33" t="n">
        <v>0</v>
      </c>
      <c r="O11" s="33">
        <f>SUM(C11:N11)</f>
        <v/>
      </c>
      <c r="P11" s="33" t="n">
        <v>11</v>
      </c>
      <c r="Q11" s="34">
        <f>O11/P11</f>
        <v/>
      </c>
      <c r="R11" s="33">
        <f>P11-O11</f>
        <v/>
      </c>
      <c r="S11" s="29" t="n"/>
      <c r="T11" s="29" t="n"/>
      <c r="U11" s="29" t="n"/>
    </row>
    <row r="12" ht="15.75" customHeight="1" s="2">
      <c r="A12" s="29" t="n"/>
      <c r="B12" s="29" t="inlineStr">
        <is>
          <t>Connors</t>
        </is>
      </c>
      <c r="C12" s="33" t="inlineStr">
        <is>
          <t>X</t>
        </is>
      </c>
      <c r="D12" s="33" t="n">
        <v>1</v>
      </c>
      <c r="E12" s="33" t="n">
        <v>0</v>
      </c>
      <c r="F12" s="33" t="n">
        <v>0</v>
      </c>
      <c r="G12" s="33" t="n">
        <v>0</v>
      </c>
      <c r="H12" s="33" t="n">
        <v>0</v>
      </c>
      <c r="I12" s="33" t="n">
        <v>1</v>
      </c>
      <c r="J12" s="33" t="n">
        <v>1</v>
      </c>
      <c r="K12" s="33" t="n">
        <v>1</v>
      </c>
      <c r="L12" s="33" t="n">
        <v>0</v>
      </c>
      <c r="M12" s="33" t="n">
        <v>0</v>
      </c>
      <c r="N12" s="33" t="inlineStr">
        <is>
          <t>X</t>
        </is>
      </c>
      <c r="O12" s="33">
        <f>SUM(C12:N12)</f>
        <v/>
      </c>
      <c r="P12" s="33" t="n">
        <v>10</v>
      </c>
      <c r="Q12" s="34">
        <f>O12/P12</f>
        <v/>
      </c>
      <c r="R12" s="33">
        <f>P12-O12</f>
        <v/>
      </c>
      <c r="S12" s="29" t="n"/>
      <c r="T12" s="29" t="n"/>
      <c r="U12" s="29" t="n"/>
    </row>
    <row r="13" ht="15.75" customHeight="1" s="2">
      <c r="A13" s="29" t="n"/>
      <c r="B13" s="29" t="inlineStr">
        <is>
          <t>Cole</t>
        </is>
      </c>
      <c r="C13" s="33" t="inlineStr">
        <is>
          <t>X</t>
        </is>
      </c>
      <c r="D13" s="33" t="n">
        <v>0</v>
      </c>
      <c r="E13" s="33" t="n">
        <v>1</v>
      </c>
      <c r="F13" s="33" t="n">
        <v>0</v>
      </c>
      <c r="G13" s="33" t="n">
        <v>0</v>
      </c>
      <c r="H13" s="33" t="n">
        <v>0</v>
      </c>
      <c r="I13" s="33" t="n">
        <v>1</v>
      </c>
      <c r="J13" s="33" t="n">
        <v>0</v>
      </c>
      <c r="K13" s="33" t="n">
        <v>1</v>
      </c>
      <c r="L13" s="33" t="n">
        <v>1</v>
      </c>
      <c r="M13" s="33" t="n">
        <v>0</v>
      </c>
      <c r="N13" s="33" t="inlineStr">
        <is>
          <t>X</t>
        </is>
      </c>
      <c r="O13" s="33">
        <f>SUM(C13:N13)</f>
        <v/>
      </c>
      <c r="P13" s="33" t="n">
        <v>10</v>
      </c>
      <c r="Q13" s="34">
        <f>O13/P13</f>
        <v/>
      </c>
      <c r="R13" s="33">
        <f>P13-O13</f>
        <v/>
      </c>
      <c r="S13" s="29" t="n"/>
      <c r="T13" s="29" t="n"/>
      <c r="U13" s="29" t="n"/>
    </row>
    <row r="14" ht="15.75" customHeight="1" s="2">
      <c r="A14" s="29" t="n"/>
      <c r="B14" s="29" t="inlineStr">
        <is>
          <t>Delaney</t>
        </is>
      </c>
      <c r="C14" s="33" t="inlineStr">
        <is>
          <t>X</t>
        </is>
      </c>
      <c r="D14" s="33" t="inlineStr">
        <is>
          <t>X</t>
        </is>
      </c>
      <c r="E14" s="33" t="inlineStr">
        <is>
          <t>X</t>
        </is>
      </c>
      <c r="F14" s="33" t="inlineStr">
        <is>
          <t>X</t>
        </is>
      </c>
      <c r="G14" s="33" t="n">
        <v>1</v>
      </c>
      <c r="H14" s="33" t="inlineStr">
        <is>
          <t>X</t>
        </is>
      </c>
      <c r="I14" s="33" t="inlineStr">
        <is>
          <t>X</t>
        </is>
      </c>
      <c r="J14" s="33" t="n">
        <v>1</v>
      </c>
      <c r="K14" s="33" t="n">
        <v>1</v>
      </c>
      <c r="L14" s="33" t="n">
        <v>1</v>
      </c>
      <c r="M14" s="33" t="n">
        <v>0</v>
      </c>
      <c r="N14" s="33" t="n">
        <v>0</v>
      </c>
      <c r="O14" s="33">
        <f>SUM(C14:N14)</f>
        <v/>
      </c>
      <c r="P14" s="33" t="n">
        <v>6</v>
      </c>
      <c r="Q14" s="34">
        <f>O14/P14</f>
        <v/>
      </c>
      <c r="R14" s="33">
        <f>P14-O14</f>
        <v/>
      </c>
      <c r="S14" s="29" t="n"/>
      <c r="T14" s="29" t="n"/>
      <c r="U14" s="29" t="n"/>
    </row>
    <row r="15" ht="15.75" customHeight="1" s="2">
      <c r="A15" s="29" t="n"/>
      <c r="B15" s="29" t="inlineStr">
        <is>
          <t>Gray</t>
        </is>
      </c>
      <c r="C15" s="33" t="inlineStr">
        <is>
          <t>X</t>
        </is>
      </c>
      <c r="D15" s="33" t="inlineStr">
        <is>
          <t>X</t>
        </is>
      </c>
      <c r="E15" s="33" t="n">
        <v>1</v>
      </c>
      <c r="F15" s="33" t="n">
        <v>0</v>
      </c>
      <c r="G15" s="33" t="n">
        <v>0</v>
      </c>
      <c r="H15" s="33" t="n">
        <v>1</v>
      </c>
      <c r="I15" s="33" t="n">
        <v>1</v>
      </c>
      <c r="J15" s="33" t="inlineStr">
        <is>
          <t>X</t>
        </is>
      </c>
      <c r="K15" s="33" t="inlineStr">
        <is>
          <t>X</t>
        </is>
      </c>
      <c r="L15" s="33" t="n">
        <v>0</v>
      </c>
      <c r="M15" s="33" t="n">
        <v>1</v>
      </c>
      <c r="N15" s="33" t="inlineStr">
        <is>
          <t>X</t>
        </is>
      </c>
      <c r="O15" s="33">
        <f>SUM(C15:N15)</f>
        <v/>
      </c>
      <c r="P15" s="33" t="n">
        <v>7</v>
      </c>
      <c r="Q15" s="34">
        <f>O15/P15</f>
        <v/>
      </c>
      <c r="R15" s="33">
        <f>P15-O15</f>
        <v/>
      </c>
      <c r="S15" s="29" t="n"/>
      <c r="T15" s="29" t="n"/>
      <c r="U15" s="29" t="n"/>
    </row>
    <row r="16" ht="15.75" customHeight="1" s="2">
      <c r="A16" s="29" t="n"/>
      <c r="B16" s="29" t="inlineStr">
        <is>
          <t>Ferrin</t>
        </is>
      </c>
      <c r="C16" s="33" t="n">
        <v>0</v>
      </c>
      <c r="D16" s="33" t="n">
        <v>0</v>
      </c>
      <c r="E16" s="33" t="n">
        <v>0</v>
      </c>
      <c r="F16" s="33" t="n">
        <v>0</v>
      </c>
      <c r="G16" s="33" t="n">
        <v>0</v>
      </c>
      <c r="H16" s="33" t="n">
        <v>0</v>
      </c>
      <c r="I16" s="33" t="n">
        <v>1</v>
      </c>
      <c r="J16" s="33" t="n">
        <v>1</v>
      </c>
      <c r="K16" s="33" t="n">
        <v>0</v>
      </c>
      <c r="L16" s="33" t="n">
        <v>1</v>
      </c>
      <c r="M16" s="33" t="n">
        <v>1</v>
      </c>
      <c r="N16" s="33" t="n">
        <v>0</v>
      </c>
      <c r="O16" s="33">
        <f>SUM(C16:N16)</f>
        <v/>
      </c>
      <c r="P16" s="33" t="n">
        <v>12</v>
      </c>
      <c r="Q16" s="34">
        <f>O16/P16</f>
        <v/>
      </c>
      <c r="R16" s="33">
        <f>P16-O16</f>
        <v/>
      </c>
      <c r="S16" s="29" t="n"/>
      <c r="T16" s="29" t="n"/>
      <c r="U16" s="29" t="n"/>
    </row>
    <row r="17" ht="15.75" customHeight="1" s="2">
      <c r="A17" s="29" t="n"/>
      <c r="B17" s="29" t="inlineStr">
        <is>
          <t>Perkins</t>
        </is>
      </c>
      <c r="C17" s="33" t="inlineStr">
        <is>
          <t>X</t>
        </is>
      </c>
      <c r="D17" s="33" t="inlineStr">
        <is>
          <t>X</t>
        </is>
      </c>
      <c r="E17" s="33" t="inlineStr">
        <is>
          <t>X</t>
        </is>
      </c>
      <c r="F17" s="33" t="inlineStr">
        <is>
          <t>X</t>
        </is>
      </c>
      <c r="G17" s="33" t="inlineStr">
        <is>
          <t>X</t>
        </is>
      </c>
      <c r="H17" s="33" t="inlineStr">
        <is>
          <t>X</t>
        </is>
      </c>
      <c r="I17" s="33" t="inlineStr">
        <is>
          <t>X</t>
        </is>
      </c>
      <c r="J17" s="33" t="n">
        <v>1</v>
      </c>
      <c r="K17" s="33" t="n">
        <v>1</v>
      </c>
      <c r="L17" s="33" t="n">
        <v>1</v>
      </c>
      <c r="M17" s="33" t="inlineStr">
        <is>
          <t>X</t>
        </is>
      </c>
      <c r="N17" s="33" t="n">
        <v>1</v>
      </c>
      <c r="O17" s="33">
        <f>SUM(C17:N17)</f>
        <v/>
      </c>
      <c r="P17" s="33" t="n">
        <v>4</v>
      </c>
      <c r="Q17" s="34">
        <f>O17/P17</f>
        <v/>
      </c>
      <c r="R17" s="33">
        <f>P17-O17</f>
        <v/>
      </c>
      <c r="S17" s="29" t="n"/>
      <c r="T17" s="29" t="n"/>
      <c r="U17" s="29" t="n"/>
    </row>
    <row r="18" ht="15.75" customHeight="1" s="2">
      <c r="A18" s="29" t="n"/>
      <c r="B18" s="29" t="inlineStr">
        <is>
          <t>Forster</t>
        </is>
      </c>
      <c r="C18" s="33" t="inlineStr">
        <is>
          <t>X</t>
        </is>
      </c>
      <c r="D18" s="33" t="n">
        <v>1</v>
      </c>
      <c r="E18" s="33" t="n">
        <v>0</v>
      </c>
      <c r="F18" s="33" t="n">
        <v>0</v>
      </c>
      <c r="G18" s="33" t="n">
        <v>1</v>
      </c>
      <c r="H18" s="33" t="n">
        <v>0</v>
      </c>
      <c r="I18" s="33" t="n">
        <v>0</v>
      </c>
      <c r="J18" s="33" t="n">
        <v>0</v>
      </c>
      <c r="K18" s="33" t="n">
        <v>0</v>
      </c>
      <c r="L18" s="33" t="n">
        <v>0</v>
      </c>
      <c r="M18" s="33" t="n">
        <v>1</v>
      </c>
      <c r="N18" s="33" t="n">
        <v>1</v>
      </c>
      <c r="O18" s="33">
        <f>SUM(C18:N18)</f>
        <v/>
      </c>
      <c r="P18" s="33" t="n">
        <v>11</v>
      </c>
      <c r="Q18" s="34">
        <f>O18/P18</f>
        <v/>
      </c>
      <c r="R18" s="33">
        <f>P18-O18</f>
        <v/>
      </c>
      <c r="S18" s="29" t="n"/>
      <c r="T18" s="29" t="n"/>
      <c r="U18" s="29" t="n"/>
    </row>
    <row r="19" ht="15.75" customHeight="1" s="2">
      <c r="A19" s="29" t="n"/>
      <c r="B19" s="29" t="inlineStr">
        <is>
          <t>Bussiculo</t>
        </is>
      </c>
      <c r="C19" s="33" t="inlineStr">
        <is>
          <t>X</t>
        </is>
      </c>
      <c r="D19" s="33" t="n">
        <v>0</v>
      </c>
      <c r="E19" s="33" t="n">
        <v>0</v>
      </c>
      <c r="F19" s="33" t="n">
        <v>1</v>
      </c>
      <c r="G19" s="33" t="n">
        <v>0</v>
      </c>
      <c r="H19" s="33" t="n">
        <v>1</v>
      </c>
      <c r="I19" s="33" t="n">
        <v>1</v>
      </c>
      <c r="J19" s="33" t="inlineStr">
        <is>
          <t>X</t>
        </is>
      </c>
      <c r="K19" s="33" t="inlineStr">
        <is>
          <t>X</t>
        </is>
      </c>
      <c r="L19" s="33" t="inlineStr">
        <is>
          <t>X</t>
        </is>
      </c>
      <c r="M19" s="33" t="inlineStr">
        <is>
          <t>X</t>
        </is>
      </c>
      <c r="N19" s="33" t="inlineStr">
        <is>
          <t>X</t>
        </is>
      </c>
      <c r="O19" s="33">
        <f>SUM(C19:N19)</f>
        <v/>
      </c>
      <c r="P19" s="33" t="n">
        <v>6</v>
      </c>
      <c r="Q19" s="34">
        <f>O19/P19</f>
        <v/>
      </c>
      <c r="R19" s="33">
        <f>P19-O19</f>
        <v/>
      </c>
      <c r="S19" s="29" t="n"/>
      <c r="T19" s="29" t="n"/>
      <c r="U19" s="29" t="n"/>
    </row>
    <row r="20" ht="15.75" customHeight="1" s="2">
      <c r="A20" s="29" t="n"/>
      <c r="B20" s="29" t="inlineStr">
        <is>
          <t>Jackson</t>
        </is>
      </c>
      <c r="C20" s="33" t="n">
        <v>0</v>
      </c>
      <c r="D20" s="33" t="n">
        <v>1</v>
      </c>
      <c r="E20" s="33" t="n">
        <v>0</v>
      </c>
      <c r="F20" s="33" t="n">
        <v>0</v>
      </c>
      <c r="G20" s="33" t="n">
        <v>0</v>
      </c>
      <c r="H20" s="33" t="n">
        <v>1</v>
      </c>
      <c r="I20" s="33" t="n">
        <v>1</v>
      </c>
      <c r="J20" s="33" t="n">
        <v>0</v>
      </c>
      <c r="K20" s="33" t="n">
        <v>0</v>
      </c>
      <c r="L20" s="33" t="n">
        <v>0</v>
      </c>
      <c r="M20" s="33" t="n">
        <v>0</v>
      </c>
      <c r="N20" s="33" t="n">
        <v>0</v>
      </c>
      <c r="O20" s="33">
        <f>SUM(C20:N20)</f>
        <v/>
      </c>
      <c r="P20" s="33" t="n">
        <v>12</v>
      </c>
      <c r="Q20" s="34">
        <f>O20/P20</f>
        <v/>
      </c>
      <c r="R20" s="33">
        <f>P20-O20</f>
        <v/>
      </c>
      <c r="S20" s="29" t="n"/>
      <c r="T20" s="29" t="n"/>
      <c r="U20" s="29" t="n"/>
    </row>
    <row r="21" ht="15.75" customHeight="1" s="2">
      <c r="A21" s="29" t="n"/>
      <c r="B21" s="29" t="inlineStr">
        <is>
          <t>Mangold</t>
        </is>
      </c>
      <c r="C21" s="33" t="n">
        <v>0</v>
      </c>
      <c r="D21" s="33" t="n">
        <v>0</v>
      </c>
      <c r="E21" s="33" t="n">
        <v>0</v>
      </c>
      <c r="F21" s="33" t="n">
        <v>0</v>
      </c>
      <c r="G21" s="33" t="n">
        <v>1</v>
      </c>
      <c r="H21" s="33" t="n">
        <v>1</v>
      </c>
      <c r="I21" s="33" t="n">
        <v>0</v>
      </c>
      <c r="J21" s="33" t="n">
        <v>0</v>
      </c>
      <c r="K21" s="33" t="inlineStr">
        <is>
          <t>X</t>
        </is>
      </c>
      <c r="L21" s="33" t="n">
        <v>0</v>
      </c>
      <c r="M21" s="33" t="n">
        <v>0</v>
      </c>
      <c r="N21" s="33" t="n">
        <v>1</v>
      </c>
      <c r="O21" s="33">
        <f>SUM(C21:N21)</f>
        <v/>
      </c>
      <c r="P21" s="33" t="n">
        <v>11</v>
      </c>
      <c r="Q21" s="34">
        <f>O21/P21</f>
        <v/>
      </c>
      <c r="R21" s="33">
        <f>P21-O21</f>
        <v/>
      </c>
      <c r="S21" s="29" t="n"/>
      <c r="T21" s="29" t="n"/>
      <c r="U21" s="29" t="n"/>
    </row>
    <row r="22" ht="15.75" customHeight="1" s="2">
      <c r="A22" s="29" t="n"/>
      <c r="B22" s="29" t="inlineStr">
        <is>
          <t>Poirier</t>
        </is>
      </c>
      <c r="C22" s="33" t="n">
        <v>1</v>
      </c>
      <c r="D22" s="33" t="inlineStr">
        <is>
          <t>X</t>
        </is>
      </c>
      <c r="E22" s="33" t="inlineStr">
        <is>
          <t>X</t>
        </is>
      </c>
      <c r="F22" s="33" t="inlineStr">
        <is>
          <t>X</t>
        </is>
      </c>
      <c r="G22" s="33" t="n">
        <v>0</v>
      </c>
      <c r="H22" s="33" t="n">
        <v>0</v>
      </c>
      <c r="I22" s="33" t="n">
        <v>0</v>
      </c>
      <c r="J22" s="33" t="inlineStr">
        <is>
          <t>X</t>
        </is>
      </c>
      <c r="K22" s="33" t="n">
        <v>0</v>
      </c>
      <c r="L22" s="33" t="inlineStr">
        <is>
          <t>X</t>
        </is>
      </c>
      <c r="M22" s="33" t="n">
        <v>1</v>
      </c>
      <c r="N22" s="33" t="n">
        <v>1</v>
      </c>
      <c r="O22" s="33">
        <f>SUM(C22:N22)</f>
        <v/>
      </c>
      <c r="P22" s="33" t="n">
        <v>7</v>
      </c>
      <c r="Q22" s="34">
        <f>O22/P22</f>
        <v/>
      </c>
      <c r="R22" s="33">
        <f>P22-O22</f>
        <v/>
      </c>
      <c r="S22" s="29" t="n"/>
      <c r="T22" s="29" t="n"/>
      <c r="U22" s="29" t="n"/>
    </row>
    <row r="23" ht="15.75" customHeight="1" s="2">
      <c r="A23" s="29" t="n"/>
      <c r="B23" s="29" t="inlineStr">
        <is>
          <t>Hickerson</t>
        </is>
      </c>
      <c r="C23" s="33" t="n">
        <v>0</v>
      </c>
      <c r="D23" s="33" t="n">
        <v>0</v>
      </c>
      <c r="E23" s="33" t="n">
        <v>1</v>
      </c>
      <c r="F23" s="33" t="n">
        <v>1</v>
      </c>
      <c r="G23" s="33" t="inlineStr">
        <is>
          <t>X</t>
        </is>
      </c>
      <c r="H23" s="33" t="inlineStr">
        <is>
          <t>X</t>
        </is>
      </c>
      <c r="I23" s="33" t="inlineStr">
        <is>
          <t>X</t>
        </is>
      </c>
      <c r="J23" s="33" t="inlineStr">
        <is>
          <t>X</t>
        </is>
      </c>
      <c r="K23" s="33" t="inlineStr">
        <is>
          <t>X</t>
        </is>
      </c>
      <c r="L23" s="33" t="inlineStr">
        <is>
          <t>X</t>
        </is>
      </c>
      <c r="M23" s="33" t="inlineStr">
        <is>
          <t>X</t>
        </is>
      </c>
      <c r="N23" s="33" t="inlineStr">
        <is>
          <t>X</t>
        </is>
      </c>
      <c r="O23" s="33">
        <f>SUM(C23:N23)</f>
        <v/>
      </c>
      <c r="P23" s="33" t="n">
        <v>4</v>
      </c>
      <c r="Q23" s="34">
        <f>O23/P23</f>
        <v/>
      </c>
      <c r="R23" s="33">
        <f>P23-O23</f>
        <v/>
      </c>
      <c r="S23" s="29" t="n"/>
      <c r="T23" s="29" t="n"/>
      <c r="U23" s="29" t="n"/>
    </row>
    <row r="24" ht="15.75" customHeight="1" s="2">
      <c r="A24" s="29" t="n"/>
      <c r="B24" s="29" t="inlineStr">
        <is>
          <t>Welker</t>
        </is>
      </c>
      <c r="C24" s="33" t="inlineStr">
        <is>
          <t>X</t>
        </is>
      </c>
      <c r="D24" s="33" t="inlineStr">
        <is>
          <t>X</t>
        </is>
      </c>
      <c r="E24" s="33" t="inlineStr">
        <is>
          <t>X</t>
        </is>
      </c>
      <c r="F24" s="33" t="n">
        <v>1</v>
      </c>
      <c r="G24" s="33" t="n">
        <v>0</v>
      </c>
      <c r="H24" s="33" t="n">
        <v>0</v>
      </c>
      <c r="I24" s="33" t="n">
        <v>0</v>
      </c>
      <c r="J24" s="33" t="n">
        <v>1</v>
      </c>
      <c r="K24" s="33" t="n">
        <v>0</v>
      </c>
      <c r="L24" s="33" t="n">
        <v>0</v>
      </c>
      <c r="M24" s="33" t="n">
        <v>0</v>
      </c>
      <c r="N24" s="33" t="inlineStr">
        <is>
          <t>X</t>
        </is>
      </c>
      <c r="O24" s="33">
        <f>SUM(C24:N24)</f>
        <v/>
      </c>
      <c r="P24" s="33" t="n">
        <v>8</v>
      </c>
      <c r="Q24" s="34">
        <f>O24/P24</f>
        <v/>
      </c>
      <c r="R24" s="33">
        <f>P24-O24</f>
        <v/>
      </c>
      <c r="S24" s="29" t="n"/>
      <c r="T24" s="29" t="n"/>
      <c r="U24" s="29" t="n"/>
    </row>
    <row r="25" ht="15.75" customHeight="1" s="2">
      <c r="A25" s="29" t="n"/>
      <c r="B25" s="29" t="inlineStr">
        <is>
          <t>Delneky</t>
        </is>
      </c>
      <c r="C25" s="33" t="inlineStr">
        <is>
          <t>X</t>
        </is>
      </c>
      <c r="D25" s="33" t="inlineStr">
        <is>
          <t>X</t>
        </is>
      </c>
      <c r="E25" s="33" t="inlineStr">
        <is>
          <t>X</t>
        </is>
      </c>
      <c r="F25" s="33" t="inlineStr">
        <is>
          <t>X</t>
        </is>
      </c>
      <c r="G25" s="33" t="inlineStr">
        <is>
          <t>X</t>
        </is>
      </c>
      <c r="H25" s="33" t="inlineStr">
        <is>
          <t>X</t>
        </is>
      </c>
      <c r="I25" s="33" t="inlineStr">
        <is>
          <t>X</t>
        </is>
      </c>
      <c r="J25" s="33" t="n">
        <v>1</v>
      </c>
      <c r="K25" s="33" t="n">
        <v>0</v>
      </c>
      <c r="L25" s="33" t="n">
        <v>0</v>
      </c>
      <c r="M25" s="33" t="n">
        <v>1</v>
      </c>
      <c r="N25" s="33" t="n">
        <v>0</v>
      </c>
      <c r="O25" s="33">
        <f>SUM(C25:N25)</f>
        <v/>
      </c>
      <c r="P25" s="33" t="n">
        <v>5</v>
      </c>
      <c r="Q25" s="34">
        <f>O25/P25</f>
        <v/>
      </c>
      <c r="R25" s="33">
        <f>P25-O25</f>
        <v/>
      </c>
      <c r="S25" s="29" t="n"/>
      <c r="T25" s="29" t="n"/>
      <c r="U25" s="29" t="n"/>
    </row>
    <row r="26" ht="15.75" customHeight="1" s="2">
      <c r="A26" s="29" t="n"/>
      <c r="B26" s="29" t="inlineStr">
        <is>
          <t>Norat</t>
        </is>
      </c>
      <c r="C26" s="33" t="inlineStr">
        <is>
          <t>X</t>
        </is>
      </c>
      <c r="D26" s="33" t="n">
        <v>0</v>
      </c>
      <c r="E26" s="33" t="n">
        <v>0</v>
      </c>
      <c r="F26" s="33" t="n">
        <v>0</v>
      </c>
      <c r="G26" s="33" t="n">
        <v>1</v>
      </c>
      <c r="H26" s="33" t="n">
        <v>0</v>
      </c>
      <c r="I26" s="33" t="n">
        <v>0</v>
      </c>
      <c r="J26" s="33" t="inlineStr">
        <is>
          <t>X</t>
        </is>
      </c>
      <c r="K26" s="33" t="inlineStr">
        <is>
          <t>X</t>
        </is>
      </c>
      <c r="L26" s="33" t="inlineStr">
        <is>
          <t>X</t>
        </is>
      </c>
      <c r="M26" s="33" t="n">
        <v>1</v>
      </c>
      <c r="N26" s="33" t="inlineStr">
        <is>
          <t>X</t>
        </is>
      </c>
      <c r="O26" s="33">
        <f>SUM(C26:N26)</f>
        <v/>
      </c>
      <c r="P26" s="33" t="n">
        <v>7</v>
      </c>
      <c r="Q26" s="34">
        <f>O26/P26</f>
        <v/>
      </c>
      <c r="R26" s="33">
        <f>P26-O26</f>
        <v/>
      </c>
      <c r="S26" s="29" t="n"/>
      <c r="T26" s="29" t="n"/>
      <c r="U26" s="29" t="n"/>
    </row>
    <row r="27" ht="15.75" customHeight="1" s="2">
      <c r="A27" s="29" t="n"/>
      <c r="B27" s="29" t="inlineStr">
        <is>
          <t>Deoteris</t>
        </is>
      </c>
      <c r="C27" s="33" t="inlineStr">
        <is>
          <t>X</t>
        </is>
      </c>
      <c r="D27" s="33" t="inlineStr">
        <is>
          <t>X</t>
        </is>
      </c>
      <c r="E27" s="33" t="inlineStr">
        <is>
          <t>X</t>
        </is>
      </c>
      <c r="F27" s="33" t="inlineStr">
        <is>
          <t>X</t>
        </is>
      </c>
      <c r="G27" s="33" t="inlineStr">
        <is>
          <t>X</t>
        </is>
      </c>
      <c r="H27" s="33" t="inlineStr">
        <is>
          <t>X</t>
        </is>
      </c>
      <c r="I27" s="33" t="inlineStr">
        <is>
          <t>X</t>
        </is>
      </c>
      <c r="J27" s="33" t="n">
        <v>1</v>
      </c>
      <c r="K27" s="33" t="n">
        <v>0</v>
      </c>
      <c r="L27" s="33" t="inlineStr">
        <is>
          <t>X</t>
        </is>
      </c>
      <c r="M27" s="33" t="inlineStr">
        <is>
          <t>X</t>
        </is>
      </c>
      <c r="N27" s="33" t="n">
        <v>0</v>
      </c>
      <c r="O27" s="33">
        <f>SUM(C27:N27)</f>
        <v/>
      </c>
      <c r="P27" s="33" t="n">
        <v>3</v>
      </c>
      <c r="Q27" s="34">
        <f>O27/P27</f>
        <v/>
      </c>
      <c r="R27" s="33">
        <f>P27-O27</f>
        <v/>
      </c>
      <c r="S27" s="29" t="n"/>
      <c r="T27" s="29" t="n"/>
      <c r="U27" s="29" t="n"/>
    </row>
    <row r="28" ht="15.75" customHeight="1" s="2">
      <c r="A28" s="29" t="n"/>
      <c r="B28" s="29" t="inlineStr">
        <is>
          <t>Macklin</t>
        </is>
      </c>
      <c r="C28" s="33" t="n">
        <v>1</v>
      </c>
      <c r="D28" s="33" t="inlineStr">
        <is>
          <t>X</t>
        </is>
      </c>
      <c r="E28" s="33" t="inlineStr">
        <is>
          <t>X</t>
        </is>
      </c>
      <c r="F28" s="33" t="inlineStr">
        <is>
          <t>X</t>
        </is>
      </c>
      <c r="G28" s="33" t="inlineStr">
        <is>
          <t>X</t>
        </is>
      </c>
      <c r="H28" s="33" t="inlineStr">
        <is>
          <t>X</t>
        </is>
      </c>
      <c r="I28" s="33" t="inlineStr">
        <is>
          <t>X</t>
        </is>
      </c>
      <c r="J28" s="33" t="inlineStr">
        <is>
          <t>X</t>
        </is>
      </c>
      <c r="K28" s="33" t="inlineStr">
        <is>
          <t>X</t>
        </is>
      </c>
      <c r="L28" s="33" t="inlineStr">
        <is>
          <t>X</t>
        </is>
      </c>
      <c r="M28" s="33" t="inlineStr">
        <is>
          <t>X</t>
        </is>
      </c>
      <c r="N28" s="33" t="inlineStr">
        <is>
          <t>X</t>
        </is>
      </c>
      <c r="O28" s="33">
        <f>SUM(C28:N28)</f>
        <v/>
      </c>
      <c r="P28" s="33" t="n">
        <v>1</v>
      </c>
      <c r="Q28" s="34">
        <f>O28/P28</f>
        <v/>
      </c>
      <c r="R28" s="33">
        <f>P28-O28</f>
        <v/>
      </c>
      <c r="S28" s="29" t="n"/>
      <c r="T28" s="29" t="n"/>
      <c r="U28" s="29" t="n"/>
    </row>
    <row r="29" ht="15.75" customHeight="1" s="2">
      <c r="A29" s="29" t="n"/>
      <c r="B29" s="29" t="inlineStr">
        <is>
          <t>Weisberger</t>
        </is>
      </c>
      <c r="C29" s="33" t="inlineStr">
        <is>
          <t>X</t>
        </is>
      </c>
      <c r="D29" s="33" t="n">
        <v>0</v>
      </c>
      <c r="E29" s="33" t="n">
        <v>1</v>
      </c>
      <c r="F29" s="33" t="inlineStr">
        <is>
          <t>X</t>
        </is>
      </c>
      <c r="G29" s="33" t="inlineStr">
        <is>
          <t>X</t>
        </is>
      </c>
      <c r="H29" s="33" t="inlineStr">
        <is>
          <t>X</t>
        </is>
      </c>
      <c r="I29" s="33" t="inlineStr">
        <is>
          <t>X</t>
        </is>
      </c>
      <c r="J29" s="33" t="inlineStr">
        <is>
          <t>X</t>
        </is>
      </c>
      <c r="K29" s="33" t="inlineStr">
        <is>
          <t>X</t>
        </is>
      </c>
      <c r="L29" s="33" t="inlineStr">
        <is>
          <t>X</t>
        </is>
      </c>
      <c r="M29" s="33" t="inlineStr">
        <is>
          <t>X</t>
        </is>
      </c>
      <c r="N29" s="33" t="inlineStr">
        <is>
          <t>X</t>
        </is>
      </c>
      <c r="O29" s="33">
        <f>SUM(C29:N29)</f>
        <v/>
      </c>
      <c r="P29" s="33" t="n">
        <v>2</v>
      </c>
      <c r="Q29" s="34">
        <f>O29/P29</f>
        <v/>
      </c>
      <c r="R29" s="33">
        <f>P29-O29</f>
        <v/>
      </c>
      <c r="S29" s="29" t="n"/>
      <c r="T29" s="29" t="n"/>
      <c r="U29" s="29" t="n"/>
    </row>
    <row r="30" ht="15.75" customHeight="1" s="2">
      <c r="A30" s="29" t="n"/>
      <c r="B30" s="29" t="inlineStr">
        <is>
          <t>R. Connolly</t>
        </is>
      </c>
      <c r="C30" s="33" t="inlineStr">
        <is>
          <t>X</t>
        </is>
      </c>
      <c r="D30" s="33" t="inlineStr">
        <is>
          <t>X</t>
        </is>
      </c>
      <c r="E30" s="33" t="inlineStr">
        <is>
          <t>X</t>
        </is>
      </c>
      <c r="F30" s="33" t="inlineStr">
        <is>
          <t>X</t>
        </is>
      </c>
      <c r="G30" s="33" t="inlineStr">
        <is>
          <t>X</t>
        </is>
      </c>
      <c r="H30" s="33" t="inlineStr">
        <is>
          <t>X</t>
        </is>
      </c>
      <c r="I30" s="33" t="inlineStr">
        <is>
          <t>X</t>
        </is>
      </c>
      <c r="J30" s="33" t="inlineStr">
        <is>
          <t>X</t>
        </is>
      </c>
      <c r="K30" s="33" t="inlineStr">
        <is>
          <t>X</t>
        </is>
      </c>
      <c r="L30" s="33" t="n">
        <v>1</v>
      </c>
      <c r="M30" s="33" t="inlineStr">
        <is>
          <t>X</t>
        </is>
      </c>
      <c r="N30" s="33" t="n">
        <v>0</v>
      </c>
      <c r="O30" s="33">
        <f>SUM(C30:N30)</f>
        <v/>
      </c>
      <c r="P30" s="33" t="n">
        <v>2</v>
      </c>
      <c r="Q30" s="34">
        <f>O30/P30</f>
        <v/>
      </c>
      <c r="R30" s="33">
        <f>P30-O30</f>
        <v/>
      </c>
      <c r="S30" s="29" t="n"/>
      <c r="T30" s="29" t="n"/>
      <c r="U30" s="29" t="n"/>
    </row>
    <row r="31" ht="15.75" customHeight="1" s="2">
      <c r="A31" s="29" t="n"/>
      <c r="B31" s="29" t="inlineStr">
        <is>
          <t>Snyder</t>
        </is>
      </c>
      <c r="C31" s="33" t="inlineStr">
        <is>
          <t>X</t>
        </is>
      </c>
      <c r="D31" s="33" t="inlineStr">
        <is>
          <t>X</t>
        </is>
      </c>
      <c r="E31" s="33" t="inlineStr">
        <is>
          <t>X</t>
        </is>
      </c>
      <c r="F31" s="33" t="inlineStr">
        <is>
          <t>X</t>
        </is>
      </c>
      <c r="G31" s="33" t="inlineStr">
        <is>
          <t>X</t>
        </is>
      </c>
      <c r="H31" s="33" t="inlineStr">
        <is>
          <t>X</t>
        </is>
      </c>
      <c r="I31" s="33" t="inlineStr">
        <is>
          <t>X</t>
        </is>
      </c>
      <c r="J31" s="33" t="inlineStr">
        <is>
          <t>X</t>
        </is>
      </c>
      <c r="K31" s="33" t="inlineStr">
        <is>
          <t>X</t>
        </is>
      </c>
      <c r="L31" s="33" t="inlineStr">
        <is>
          <t>X</t>
        </is>
      </c>
      <c r="M31" s="33" t="inlineStr">
        <is>
          <t>X</t>
        </is>
      </c>
      <c r="N31" s="33" t="n">
        <v>1</v>
      </c>
      <c r="O31" s="33">
        <f>SUM(C31:N31)</f>
        <v/>
      </c>
      <c r="P31" s="33" t="n">
        <v>1</v>
      </c>
      <c r="Q31" s="34">
        <f>O31/P31</f>
        <v/>
      </c>
      <c r="R31" s="33">
        <f>P31-O31</f>
        <v/>
      </c>
      <c r="S31" s="29" t="n"/>
      <c r="T31" s="29" t="n"/>
      <c r="U31" s="29" t="n"/>
    </row>
    <row r="32" ht="15.75" customHeight="1" s="2">
      <c r="A32" s="29" t="n"/>
      <c r="B32" s="29" t="inlineStr">
        <is>
          <t>Piegari</t>
        </is>
      </c>
      <c r="C32" s="33" t="inlineStr">
        <is>
          <t>X</t>
        </is>
      </c>
      <c r="D32" s="33" t="inlineStr">
        <is>
          <t>X</t>
        </is>
      </c>
      <c r="E32" s="33" t="inlineStr">
        <is>
          <t>X</t>
        </is>
      </c>
      <c r="F32" s="33" t="inlineStr">
        <is>
          <t>X</t>
        </is>
      </c>
      <c r="G32" s="33" t="inlineStr">
        <is>
          <t>X</t>
        </is>
      </c>
      <c r="H32" s="33" t="inlineStr">
        <is>
          <t>X</t>
        </is>
      </c>
      <c r="I32" s="33" t="inlineStr">
        <is>
          <t>X</t>
        </is>
      </c>
      <c r="J32" s="33" t="n">
        <v>0</v>
      </c>
      <c r="K32" s="33" t="inlineStr">
        <is>
          <t>X</t>
        </is>
      </c>
      <c r="L32" s="33" t="inlineStr">
        <is>
          <t>X</t>
        </is>
      </c>
      <c r="M32" s="33" t="inlineStr">
        <is>
          <t>X</t>
        </is>
      </c>
      <c r="N32" s="33" t="n">
        <v>0</v>
      </c>
      <c r="O32" s="33">
        <f>SUM(C32:N32)</f>
        <v/>
      </c>
      <c r="P32" s="33" t="n">
        <v>2</v>
      </c>
      <c r="Q32" s="34">
        <f>O32/P32</f>
        <v/>
      </c>
      <c r="R32" s="33">
        <f>P32-O32</f>
        <v/>
      </c>
      <c r="S32" s="29" t="n"/>
      <c r="T32" s="29" t="n"/>
      <c r="U32" s="29" t="n"/>
    </row>
    <row r="33" ht="15.75" customHeight="1" s="2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</row>
    <row r="34" ht="15.75" customHeight="1" s="2">
      <c r="A34" s="29" t="n"/>
      <c r="B34" s="29" t="inlineStr">
        <is>
          <t>Total</t>
        </is>
      </c>
      <c r="C34" s="33">
        <f>SUM(C3:C32)</f>
        <v/>
      </c>
      <c r="D34" s="33">
        <f>SUM(D3:D32)</f>
        <v/>
      </c>
      <c r="E34" s="33">
        <f>SUM(E3:E32)</f>
        <v/>
      </c>
      <c r="F34" s="33">
        <f>SUM(F3:F32)</f>
        <v/>
      </c>
      <c r="G34" s="33">
        <f>SUM(G3:G32)</f>
        <v/>
      </c>
      <c r="H34" s="33">
        <f>SUM(H3:H32)</f>
        <v/>
      </c>
      <c r="I34" s="33">
        <f>SUM(I3:I32)</f>
        <v/>
      </c>
      <c r="J34" s="33">
        <f>SUM(J3:J32)</f>
        <v/>
      </c>
      <c r="K34" s="33">
        <f>SUM(K3:K32)</f>
        <v/>
      </c>
      <c r="L34" s="33">
        <f>SUM(L3:L32)</f>
        <v/>
      </c>
      <c r="M34" s="33">
        <f>SUM(M3:M32)</f>
        <v/>
      </c>
      <c r="N34" s="33">
        <f>SUM(N3:N32)</f>
        <v/>
      </c>
      <c r="O34" s="33">
        <f>SUM(O3:O32)</f>
        <v/>
      </c>
      <c r="P34" s="33">
        <f>SUM(P3:P32)</f>
        <v/>
      </c>
      <c r="Q34" s="29" t="n"/>
      <c r="R34" s="33">
        <f>SUM(R3:R32)</f>
        <v/>
      </c>
      <c r="S34" s="29" t="n"/>
      <c r="T34" s="29" t="n"/>
      <c r="U34" s="29" t="n"/>
    </row>
    <row r="35" ht="15.75" customHeight="1" s="2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</row>
    <row r="36" ht="15.75" customHeight="1" s="2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</row>
    <row r="37" ht="15.75" customHeight="1" s="2">
      <c r="A37" s="29" t="n"/>
      <c r="B37" s="29" t="inlineStr">
        <is>
          <t>Tab shows whether the players was on the winning team with a "1" meaning they were on the winning team, a "0" meaning they were on the losing team, and "X" meaning they did not participate</t>
        </is>
      </c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</row>
    <row r="38" ht="15.75" customHeight="1" s="2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</row>
    <row r="39" ht="15.75" customHeight="1" s="2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</row>
    <row r="40" ht="15.75" customHeight="1" s="2"/>
  </sheetData>
  <autoFilter ref="B3:R31">
    <sortState ref="B4:R31">
      <sortCondition descending="1" ref="C4:C31"/>
    </sortState>
  </autoFilter>
  <conditionalFormatting sqref="C3:N32">
    <cfRule type="cellIs" priority="2" operator="equal" dxfId="1">
      <formula>0</formula>
    </cfRule>
    <cfRule type="cellIs" priority="3" operator="equal" dxfId="0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O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" sqref="A1"/>
    </sheetView>
  </sheetViews>
  <sheetFormatPr baseColWidth="10" defaultColWidth="8.6640625" defaultRowHeight="15"/>
  <cols>
    <col width="2" customWidth="1" style="2" min="1" max="1"/>
    <col width="14" customWidth="1" style="2" min="2" max="2"/>
    <col width="7" customWidth="1" style="2" min="3" max="15"/>
  </cols>
  <sheetData>
    <row r="1" ht="15.75" customHeight="1" s="2">
      <c r="B1" s="35" t="inlineStr">
        <is>
          <t>FBC Handicap Index by Cup (master)</t>
        </is>
      </c>
    </row>
    <row r="2" ht="15" customHeight="1" s="2">
      <c r="B2" s="36" t="inlineStr">
        <is>
          <t>Source: Handicaps &amp; Points (Historical) FBC2–12; FBC1 from Archives. 'X' = did not play. Blank = no record.</t>
        </is>
      </c>
    </row>
    <row r="3" ht="15" customHeight="1" s="2">
      <c r="B3" s="37" t="inlineStr">
        <is>
          <t>Player</t>
        </is>
      </c>
      <c r="C3" s="37" t="inlineStr">
        <is>
          <t>FBC1</t>
        </is>
      </c>
      <c r="D3" s="37" t="inlineStr">
        <is>
          <t>FBC2</t>
        </is>
      </c>
      <c r="E3" s="37" t="inlineStr">
        <is>
          <t>FBC3</t>
        </is>
      </c>
      <c r="F3" s="37" t="inlineStr">
        <is>
          <t>FBC4</t>
        </is>
      </c>
      <c r="G3" s="37" t="inlineStr">
        <is>
          <t>FBC5</t>
        </is>
      </c>
      <c r="H3" s="37" t="inlineStr">
        <is>
          <t>FBC6</t>
        </is>
      </c>
      <c r="I3" s="37" t="inlineStr">
        <is>
          <t>FBC7</t>
        </is>
      </c>
      <c r="J3" s="37" t="inlineStr">
        <is>
          <t>FBC8</t>
        </is>
      </c>
      <c r="K3" s="37" t="inlineStr">
        <is>
          <t>FBC9</t>
        </is>
      </c>
      <c r="L3" s="37" t="inlineStr">
        <is>
          <t>FBC10</t>
        </is>
      </c>
      <c r="M3" s="37" t="inlineStr">
        <is>
          <t>FBC11</t>
        </is>
      </c>
      <c r="N3" s="37" t="inlineStr">
        <is>
          <t>FBC12</t>
        </is>
      </c>
      <c r="O3" s="37" t="inlineStr">
        <is>
          <t>Average</t>
        </is>
      </c>
    </row>
    <row r="4" ht="15" customHeight="1" s="2">
      <c r="B4" s="38" t="inlineStr">
        <is>
          <t>Buss</t>
        </is>
      </c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</row>
    <row r="5" ht="15" customHeight="1" s="2">
      <c r="B5" s="38" t="inlineStr">
        <is>
          <t>Cole</t>
        </is>
      </c>
      <c r="C5" s="39" t="n"/>
      <c r="D5" s="40" t="n">
        <v>32.4</v>
      </c>
      <c r="E5" s="40" t="n">
        <v>24.8</v>
      </c>
      <c r="F5" s="40" t="n">
        <v>22</v>
      </c>
      <c r="G5" s="40" t="n">
        <v>18.9</v>
      </c>
      <c r="H5" s="40" t="n">
        <v>20.2</v>
      </c>
      <c r="I5" s="40" t="n">
        <v>17.8</v>
      </c>
      <c r="J5" s="40" t="n">
        <v>15.5</v>
      </c>
      <c r="K5" s="40" t="n">
        <v>15.2</v>
      </c>
      <c r="L5" s="40" t="n">
        <v>16</v>
      </c>
      <c r="M5" s="40" t="n">
        <v>16.5</v>
      </c>
      <c r="N5" s="39" t="inlineStr">
        <is>
          <t>X</t>
        </is>
      </c>
      <c r="O5" s="40">
        <f>IFERROR(AVERAGE(C5:N5),"")</f>
        <v/>
      </c>
    </row>
    <row r="6" ht="15" customHeight="1" s="2">
      <c r="B6" s="38" t="inlineStr">
        <is>
          <t>Connolly</t>
        </is>
      </c>
      <c r="C6" s="40" t="n">
        <v>15</v>
      </c>
      <c r="D6" s="40" t="n">
        <v>12.4</v>
      </c>
      <c r="E6" s="40" t="n">
        <v>9.1</v>
      </c>
      <c r="F6" s="40" t="n">
        <v>10.1</v>
      </c>
      <c r="G6" s="40" t="n">
        <v>11.1</v>
      </c>
      <c r="H6" s="40" t="n">
        <v>10.5</v>
      </c>
      <c r="I6" s="40" t="n">
        <v>10.5</v>
      </c>
      <c r="J6" s="40" t="n">
        <v>10.8</v>
      </c>
      <c r="K6" s="40" t="n">
        <v>8.300000000000001</v>
      </c>
      <c r="L6" s="40" t="n">
        <v>10.1</v>
      </c>
      <c r="M6" s="40" t="n">
        <v>9.5</v>
      </c>
      <c r="N6" s="40" t="n">
        <v>9.4</v>
      </c>
      <c r="O6" s="40">
        <f>IFERROR(AVERAGE(C6:N6),"")</f>
        <v/>
      </c>
    </row>
    <row r="7" ht="15" customHeight="1" s="2">
      <c r="B7" s="38" t="inlineStr">
        <is>
          <t>Connors</t>
        </is>
      </c>
      <c r="C7" s="39" t="n"/>
      <c r="D7" s="40" t="n">
        <v>18.8</v>
      </c>
      <c r="E7" s="40" t="n">
        <v>16.7</v>
      </c>
      <c r="F7" s="40" t="n">
        <v>16.2</v>
      </c>
      <c r="G7" s="40" t="n">
        <v>15.5</v>
      </c>
      <c r="H7" s="40" t="n">
        <v>15.4</v>
      </c>
      <c r="I7" s="40" t="n">
        <v>16.4</v>
      </c>
      <c r="J7" s="40" t="n">
        <v>17.1</v>
      </c>
      <c r="K7" s="40" t="n">
        <v>18.3</v>
      </c>
      <c r="L7" s="40" t="n">
        <v>17.6</v>
      </c>
      <c r="M7" s="40" t="n">
        <v>17.6</v>
      </c>
      <c r="N7" s="39" t="inlineStr">
        <is>
          <t>X</t>
        </is>
      </c>
      <c r="O7" s="40">
        <f>IFERROR(AVERAGE(C7:N7),"")</f>
        <v/>
      </c>
    </row>
    <row r="8" ht="15" customHeight="1" s="2">
      <c r="B8" s="38" t="inlineStr">
        <is>
          <t>Delaney</t>
        </is>
      </c>
      <c r="C8" s="39" t="n"/>
      <c r="D8" s="39" t="inlineStr">
        <is>
          <t>X</t>
        </is>
      </c>
      <c r="E8" s="39" t="inlineStr">
        <is>
          <t>X</t>
        </is>
      </c>
      <c r="F8" s="39" t="inlineStr">
        <is>
          <t>X</t>
        </is>
      </c>
      <c r="G8" s="40" t="n">
        <v>14.2</v>
      </c>
      <c r="H8" s="39" t="inlineStr">
        <is>
          <t>X</t>
        </is>
      </c>
      <c r="I8" s="39" t="inlineStr">
        <is>
          <t>X</t>
        </is>
      </c>
      <c r="J8" s="40" t="n">
        <v>11.7</v>
      </c>
      <c r="K8" s="40" t="n">
        <v>10.7</v>
      </c>
      <c r="L8" s="40" t="n">
        <v>11.7</v>
      </c>
      <c r="M8" s="40" t="n">
        <v>9.5</v>
      </c>
      <c r="N8" s="40" t="n">
        <v>11.8</v>
      </c>
      <c r="O8" s="40">
        <f>IFERROR(AVERAGE(C8:N8),"")</f>
        <v/>
      </c>
    </row>
    <row r="9" ht="15" customHeight="1" s="2">
      <c r="B9" s="38" t="inlineStr">
        <is>
          <t>Delneky</t>
        </is>
      </c>
      <c r="C9" s="39" t="n"/>
      <c r="D9" s="39" t="inlineStr">
        <is>
          <t>X</t>
        </is>
      </c>
      <c r="E9" s="39" t="inlineStr">
        <is>
          <t>X</t>
        </is>
      </c>
      <c r="F9" s="39" t="inlineStr">
        <is>
          <t>X</t>
        </is>
      </c>
      <c r="G9" s="39" t="inlineStr">
        <is>
          <t>X</t>
        </is>
      </c>
      <c r="H9" s="39" t="inlineStr">
        <is>
          <t>X</t>
        </is>
      </c>
      <c r="I9" s="39" t="inlineStr">
        <is>
          <t>X</t>
        </is>
      </c>
      <c r="J9" s="40" t="n">
        <v>17.2</v>
      </c>
      <c r="K9" s="40" t="n">
        <v>18.5</v>
      </c>
      <c r="L9" s="40" t="n">
        <v>18.4</v>
      </c>
      <c r="M9" s="40" t="n">
        <v>17.2</v>
      </c>
      <c r="N9" s="40" t="n">
        <v>17.8</v>
      </c>
      <c r="O9" s="40">
        <f>IFERROR(AVERAGE(C9:N9),"")</f>
        <v/>
      </c>
    </row>
    <row r="10" ht="15" customHeight="1" s="2">
      <c r="B10" s="38" t="inlineStr">
        <is>
          <t>Deoteris</t>
        </is>
      </c>
      <c r="C10" s="39" t="n"/>
      <c r="D10" s="39" t="inlineStr">
        <is>
          <t>X</t>
        </is>
      </c>
      <c r="E10" s="39" t="inlineStr">
        <is>
          <t>X</t>
        </is>
      </c>
      <c r="F10" s="39" t="inlineStr">
        <is>
          <t>X</t>
        </is>
      </c>
      <c r="G10" s="39" t="inlineStr">
        <is>
          <t>X</t>
        </is>
      </c>
      <c r="H10" s="39" t="inlineStr">
        <is>
          <t>X</t>
        </is>
      </c>
      <c r="I10" s="39" t="inlineStr">
        <is>
          <t>X</t>
        </is>
      </c>
      <c r="J10" s="39" t="n"/>
      <c r="K10" s="39" t="n"/>
      <c r="L10" s="39" t="n"/>
      <c r="M10" s="39" t="inlineStr">
        <is>
          <t>X</t>
        </is>
      </c>
      <c r="N10" s="40" t="n">
        <v>12.4</v>
      </c>
      <c r="O10" s="40">
        <f>IFERROR(AVERAGE(C10:N10),"")</f>
        <v/>
      </c>
    </row>
    <row r="11" ht="15" customHeight="1" s="2">
      <c r="B11" s="38" t="inlineStr">
        <is>
          <t>Ferrin</t>
        </is>
      </c>
      <c r="C11" s="40" t="n">
        <v>28</v>
      </c>
      <c r="D11" s="40" t="n">
        <v>22.3</v>
      </c>
      <c r="E11" s="40" t="n">
        <v>19.9</v>
      </c>
      <c r="F11" s="40" t="n">
        <v>17.3</v>
      </c>
      <c r="G11" s="40" t="n">
        <v>15.2</v>
      </c>
      <c r="H11" s="40" t="n">
        <v>14.6</v>
      </c>
      <c r="I11" s="40" t="n">
        <v>14.8</v>
      </c>
      <c r="J11" s="40" t="n">
        <v>12.4</v>
      </c>
      <c r="K11" s="40" t="n">
        <v>13.5</v>
      </c>
      <c r="L11" s="40" t="n">
        <v>12.7</v>
      </c>
      <c r="M11" s="40" t="n">
        <v>10</v>
      </c>
      <c r="N11" s="40" t="n">
        <v>10.1</v>
      </c>
      <c r="O11" s="40">
        <f>IFERROR(AVERAGE(C11:N11),"")</f>
        <v/>
      </c>
    </row>
    <row r="12" ht="15" customHeight="1" s="2">
      <c r="B12" s="38" t="inlineStr">
        <is>
          <t>Flanders</t>
        </is>
      </c>
      <c r="C12" s="40" t="n">
        <v>15</v>
      </c>
      <c r="D12" s="40" t="n">
        <v>16.8</v>
      </c>
      <c r="E12" s="40" t="n">
        <v>13.4</v>
      </c>
      <c r="F12" s="40" t="n">
        <v>7.8</v>
      </c>
      <c r="G12" s="40" t="n">
        <v>4.6</v>
      </c>
      <c r="H12" s="40" t="n">
        <v>3.9</v>
      </c>
      <c r="I12" s="40" t="n">
        <v>4</v>
      </c>
      <c r="J12" s="40" t="n">
        <v>3.3</v>
      </c>
      <c r="K12" s="40" t="n">
        <v>6.3</v>
      </c>
      <c r="L12" s="40" t="n">
        <v>6.7</v>
      </c>
      <c r="M12" s="40" t="n">
        <v>6.8</v>
      </c>
      <c r="N12" s="40" t="n">
        <v>6.7</v>
      </c>
      <c r="O12" s="40">
        <f>IFERROR(AVERAGE(C12:N12),"")</f>
        <v/>
      </c>
    </row>
    <row r="13" ht="15" customHeight="1" s="2">
      <c r="B13" s="38" t="inlineStr">
        <is>
          <t>Fogan</t>
        </is>
      </c>
      <c r="C13" s="39" t="n"/>
      <c r="D13" s="40" t="n">
        <v>31.4</v>
      </c>
      <c r="E13" s="40" t="n">
        <v>25</v>
      </c>
      <c r="F13" s="40" t="n">
        <v>27.2</v>
      </c>
      <c r="G13" s="40" t="n">
        <v>26.2</v>
      </c>
      <c r="H13" s="40" t="n">
        <v>25.2</v>
      </c>
      <c r="I13" s="40" t="n">
        <v>23.5</v>
      </c>
      <c r="J13" s="40" t="n">
        <v>18.9</v>
      </c>
      <c r="K13" s="40" t="n">
        <v>19.2</v>
      </c>
      <c r="L13" s="40" t="n">
        <v>19.9</v>
      </c>
      <c r="M13" s="40" t="n">
        <v>18</v>
      </c>
      <c r="N13" s="40" t="n">
        <v>17.4</v>
      </c>
      <c r="O13" s="40">
        <f>IFERROR(AVERAGE(C13:N13),"")</f>
        <v/>
      </c>
    </row>
    <row r="14" ht="15" customHeight="1" s="2">
      <c r="B14" s="38" t="inlineStr">
        <is>
          <t>Forster</t>
        </is>
      </c>
      <c r="C14" s="39" t="n"/>
      <c r="D14" s="40" t="n">
        <v>30</v>
      </c>
      <c r="E14" s="40" t="n">
        <v>25</v>
      </c>
      <c r="F14" s="40" t="n">
        <v>22.4</v>
      </c>
      <c r="G14" s="40" t="n">
        <v>19.2</v>
      </c>
      <c r="H14" s="40" t="n">
        <v>15.8</v>
      </c>
      <c r="I14" s="40" t="n">
        <v>16.9</v>
      </c>
      <c r="J14" s="40" t="n">
        <v>15.1</v>
      </c>
      <c r="K14" s="40" t="n">
        <v>12</v>
      </c>
      <c r="L14" s="40" t="n">
        <v>12.7</v>
      </c>
      <c r="M14" s="40" t="n">
        <v>13.1</v>
      </c>
      <c r="N14" s="40" t="n">
        <v>10.9</v>
      </c>
      <c r="O14" s="40">
        <f>IFERROR(AVERAGE(C14:N14),"")</f>
        <v/>
      </c>
    </row>
    <row r="15" ht="15" customHeight="1" s="2">
      <c r="B15" s="38" t="inlineStr">
        <is>
          <t>Gray</t>
        </is>
      </c>
      <c r="C15" s="39" t="n"/>
      <c r="D15" s="39" t="inlineStr">
        <is>
          <t>X</t>
        </is>
      </c>
      <c r="E15" s="40" t="n">
        <v>11</v>
      </c>
      <c r="F15" s="40" t="n">
        <v>9.4</v>
      </c>
      <c r="G15" s="40" t="n">
        <v>6.8</v>
      </c>
      <c r="H15" s="40" t="n">
        <v>7.5</v>
      </c>
      <c r="I15" s="40" t="n">
        <v>7.3</v>
      </c>
      <c r="J15" s="39" t="inlineStr">
        <is>
          <t>X</t>
        </is>
      </c>
      <c r="K15" s="39" t="inlineStr">
        <is>
          <t>X</t>
        </is>
      </c>
      <c r="L15" s="40" t="n">
        <v>9</v>
      </c>
      <c r="M15" s="40" t="n">
        <v>8</v>
      </c>
      <c r="N15" s="39" t="inlineStr">
        <is>
          <t>X</t>
        </is>
      </c>
      <c r="O15" s="40">
        <f>IFERROR(AVERAGE(C15:N15),"")</f>
        <v/>
      </c>
    </row>
    <row r="16" ht="15" customHeight="1" s="2">
      <c r="B16" s="38" t="inlineStr">
        <is>
          <t>Grise</t>
        </is>
      </c>
      <c r="C16" s="40" t="n">
        <v>15</v>
      </c>
      <c r="D16" s="40" t="n">
        <v>14.1</v>
      </c>
      <c r="E16" s="40" t="n">
        <v>14.7</v>
      </c>
      <c r="F16" s="40" t="n">
        <v>13.1</v>
      </c>
      <c r="G16" s="40" t="n">
        <v>11.8</v>
      </c>
      <c r="H16" s="40" t="n">
        <v>12.5</v>
      </c>
      <c r="I16" s="40" t="n">
        <v>11.9</v>
      </c>
      <c r="J16" s="40" t="n">
        <v>12</v>
      </c>
      <c r="K16" s="40" t="n">
        <v>11.7</v>
      </c>
      <c r="L16" s="40" t="n">
        <v>11.7</v>
      </c>
      <c r="M16" s="40" t="n">
        <v>10.9</v>
      </c>
      <c r="N16" s="40" t="n">
        <v>11.6</v>
      </c>
      <c r="O16" s="40">
        <f>IFERROR(AVERAGE(C16:N16),"")</f>
        <v/>
      </c>
    </row>
    <row r="17" ht="15" customHeight="1" s="2">
      <c r="B17" s="38" t="inlineStr">
        <is>
          <t>Hickerson</t>
        </is>
      </c>
      <c r="C17" s="40" t="n">
        <v>20</v>
      </c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40">
        <f>IFERROR(AVERAGE(C17:N17),"")</f>
        <v/>
      </c>
    </row>
    <row r="18" ht="15" customHeight="1" s="2">
      <c r="B18" s="38" t="inlineStr">
        <is>
          <t>Hilts</t>
        </is>
      </c>
      <c r="C18" s="40" t="n">
        <v>18</v>
      </c>
      <c r="D18" s="40" t="n">
        <v>18.4</v>
      </c>
      <c r="E18" s="40" t="n">
        <v>17.9</v>
      </c>
      <c r="F18" s="39" t="inlineStr">
        <is>
          <t>X</t>
        </is>
      </c>
      <c r="G18" s="40" t="n">
        <v>18.5</v>
      </c>
      <c r="H18" s="40" t="n">
        <v>18.4</v>
      </c>
      <c r="I18" s="40" t="n">
        <v>19.6</v>
      </c>
      <c r="J18" s="40" t="n">
        <v>19.6</v>
      </c>
      <c r="K18" s="40" t="n">
        <v>19.1</v>
      </c>
      <c r="L18" s="40" t="n">
        <v>17.1</v>
      </c>
      <c r="M18" s="40" t="n">
        <v>16.4</v>
      </c>
      <c r="N18" s="40" t="n">
        <v>16</v>
      </c>
      <c r="O18" s="40">
        <f>IFERROR(AVERAGE(C18:N18),"")</f>
        <v/>
      </c>
    </row>
    <row r="19" ht="15" customHeight="1" s="2">
      <c r="B19" s="38" t="inlineStr">
        <is>
          <t>Jackson</t>
        </is>
      </c>
      <c r="C19" s="40" t="n">
        <v>15</v>
      </c>
      <c r="D19" s="40" t="n">
        <v>12.8</v>
      </c>
      <c r="E19" s="40" t="n">
        <v>12.3</v>
      </c>
      <c r="F19" s="40" t="n">
        <v>12.5</v>
      </c>
      <c r="G19" s="40" t="n">
        <v>12.7</v>
      </c>
      <c r="H19" s="40" t="n">
        <v>12.5</v>
      </c>
      <c r="I19" s="40" t="n">
        <v>11.3</v>
      </c>
      <c r="J19" s="40" t="n">
        <v>9.1</v>
      </c>
      <c r="K19" s="40" t="n">
        <v>8.800000000000001</v>
      </c>
      <c r="L19" s="40" t="n">
        <v>8.699999999999999</v>
      </c>
      <c r="M19" s="40" t="n">
        <v>9.4</v>
      </c>
      <c r="N19" s="40" t="n">
        <v>7.4</v>
      </c>
      <c r="O19" s="40">
        <f>IFERROR(AVERAGE(C19:N19),"")</f>
        <v/>
      </c>
    </row>
    <row r="20" ht="15" customHeight="1" s="2">
      <c r="B20" s="38" t="inlineStr">
        <is>
          <t>Lynch</t>
        </is>
      </c>
      <c r="C20" s="40" t="n">
        <v>20</v>
      </c>
      <c r="D20" s="40" t="n">
        <v>18.8</v>
      </c>
      <c r="E20" s="40" t="n">
        <v>16</v>
      </c>
      <c r="F20" s="40" t="n">
        <v>13.9</v>
      </c>
      <c r="G20" s="40" t="n">
        <v>11.8</v>
      </c>
      <c r="H20" s="40" t="n">
        <v>14.4</v>
      </c>
      <c r="I20" s="40" t="n">
        <v>13.4</v>
      </c>
      <c r="J20" s="40" t="n">
        <v>8.9</v>
      </c>
      <c r="K20" s="40" t="n">
        <v>9.300000000000001</v>
      </c>
      <c r="L20" s="40" t="n">
        <v>8.699999999999999</v>
      </c>
      <c r="M20" s="40" t="n">
        <v>7.9</v>
      </c>
      <c r="N20" s="40" t="n">
        <v>8.9</v>
      </c>
      <c r="O20" s="40">
        <f>IFERROR(AVERAGE(C20:N20),"")</f>
        <v/>
      </c>
    </row>
    <row r="21" ht="15" customHeight="1" s="2">
      <c r="B21" s="38" t="inlineStr">
        <is>
          <t>Macklin</t>
        </is>
      </c>
      <c r="C21" s="40" t="n">
        <v>15</v>
      </c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40">
        <f>IFERROR(AVERAGE(C21:N21),"")</f>
        <v/>
      </c>
    </row>
    <row r="22" ht="15" customHeight="1" s="2">
      <c r="B22" s="38" t="inlineStr">
        <is>
          <t>Mangold</t>
        </is>
      </c>
      <c r="C22" s="40" t="n">
        <v>15</v>
      </c>
      <c r="D22" s="40" t="n">
        <v>15.7</v>
      </c>
      <c r="E22" s="40" t="n">
        <v>16.4</v>
      </c>
      <c r="F22" s="40" t="n">
        <v>15.9</v>
      </c>
      <c r="G22" s="40" t="n">
        <v>14.3</v>
      </c>
      <c r="H22" s="40" t="n">
        <v>14</v>
      </c>
      <c r="I22" s="40" t="n">
        <v>15.4</v>
      </c>
      <c r="J22" s="40" t="n">
        <v>14.5</v>
      </c>
      <c r="K22" s="39" t="inlineStr">
        <is>
          <t>X</t>
        </is>
      </c>
      <c r="L22" s="40" t="n">
        <v>15.9</v>
      </c>
      <c r="M22" s="40" t="n">
        <v>16.2</v>
      </c>
      <c r="N22" s="40" t="n">
        <v>14.7</v>
      </c>
      <c r="O22" s="40">
        <f>IFERROR(AVERAGE(C22:N22),"")</f>
        <v/>
      </c>
    </row>
    <row r="23" ht="15" customHeight="1" s="2">
      <c r="B23" s="38" t="inlineStr">
        <is>
          <t>McInerney</t>
        </is>
      </c>
      <c r="C23" s="39" t="n"/>
      <c r="D23" s="39" t="inlineStr">
        <is>
          <t>X</t>
        </is>
      </c>
      <c r="E23" s="40" t="n">
        <v>9.5</v>
      </c>
      <c r="F23" s="40" t="n">
        <v>8.699999999999999</v>
      </c>
      <c r="G23" s="40" t="n">
        <v>7.5</v>
      </c>
      <c r="H23" s="40" t="n">
        <v>8.6</v>
      </c>
      <c r="I23" s="40" t="n">
        <v>8.300000000000001</v>
      </c>
      <c r="J23" s="40" t="n">
        <v>4.2</v>
      </c>
      <c r="K23" s="40" t="n">
        <v>5.3</v>
      </c>
      <c r="L23" s="40" t="n">
        <v>5.7</v>
      </c>
      <c r="M23" s="39" t="inlineStr">
        <is>
          <t>X</t>
        </is>
      </c>
      <c r="N23" s="39" t="inlineStr">
        <is>
          <t>X</t>
        </is>
      </c>
      <c r="O23" s="40">
        <f>IFERROR(AVERAGE(C23:N23),"")</f>
        <v/>
      </c>
    </row>
    <row r="24" ht="15" customHeight="1" s="2">
      <c r="B24" s="38" t="inlineStr">
        <is>
          <t>Norat</t>
        </is>
      </c>
      <c r="C24" s="39" t="n"/>
      <c r="D24" s="39" t="inlineStr">
        <is>
          <t>X</t>
        </is>
      </c>
      <c r="E24" s="40" t="n">
        <v>18.7</v>
      </c>
      <c r="F24" s="40" t="n">
        <v>18.2</v>
      </c>
      <c r="G24" s="40" t="n">
        <v>18.6</v>
      </c>
      <c r="H24" s="40" t="n">
        <v>18.9</v>
      </c>
      <c r="I24" s="40" t="n">
        <v>15</v>
      </c>
      <c r="J24" s="39" t="inlineStr">
        <is>
          <t>X</t>
        </is>
      </c>
      <c r="K24" s="39" t="inlineStr">
        <is>
          <t>X</t>
        </is>
      </c>
      <c r="L24" s="39" t="inlineStr">
        <is>
          <t>X</t>
        </is>
      </c>
      <c r="M24" s="40" t="n">
        <v>18</v>
      </c>
      <c r="N24" s="39" t="inlineStr">
        <is>
          <t>X</t>
        </is>
      </c>
      <c r="O24" s="40">
        <f>IFERROR(AVERAGE(C24:N24),"")</f>
        <v/>
      </c>
    </row>
    <row r="25" ht="15" customHeight="1" s="2">
      <c r="B25" s="38" t="inlineStr">
        <is>
          <t>Perkins</t>
        </is>
      </c>
      <c r="C25" s="39" t="n"/>
      <c r="D25" s="39" t="inlineStr">
        <is>
          <t>X</t>
        </is>
      </c>
      <c r="E25" s="39" t="inlineStr">
        <is>
          <t>X</t>
        </is>
      </c>
      <c r="F25" s="39" t="inlineStr">
        <is>
          <t>X</t>
        </is>
      </c>
      <c r="G25" s="39" t="inlineStr">
        <is>
          <t>X</t>
        </is>
      </c>
      <c r="H25" s="39" t="inlineStr">
        <is>
          <t>X</t>
        </is>
      </c>
      <c r="I25" s="39" t="inlineStr">
        <is>
          <t>X</t>
        </is>
      </c>
      <c r="J25" s="40" t="n">
        <v>5.7</v>
      </c>
      <c r="K25" s="40" t="n">
        <v>8.800000000000001</v>
      </c>
      <c r="L25" s="40" t="n">
        <v>6.8</v>
      </c>
      <c r="M25" s="39" t="inlineStr">
        <is>
          <t>X</t>
        </is>
      </c>
      <c r="N25" s="40" t="n">
        <v>10.5</v>
      </c>
      <c r="O25" s="40">
        <f>IFERROR(AVERAGE(C25:N25),"")</f>
        <v/>
      </c>
    </row>
    <row r="26" ht="15" customHeight="1" s="2">
      <c r="B26" s="38" t="inlineStr">
        <is>
          <t>Piegari</t>
        </is>
      </c>
      <c r="C26" s="39" t="n"/>
      <c r="D26" s="39" t="inlineStr">
        <is>
          <t>X</t>
        </is>
      </c>
      <c r="E26" s="39" t="inlineStr">
        <is>
          <t>X</t>
        </is>
      </c>
      <c r="F26" s="39" t="inlineStr">
        <is>
          <t>X</t>
        </is>
      </c>
      <c r="G26" s="39" t="inlineStr">
        <is>
          <t>X</t>
        </is>
      </c>
      <c r="H26" s="39" t="inlineStr">
        <is>
          <t>X</t>
        </is>
      </c>
      <c r="I26" s="39" t="inlineStr">
        <is>
          <t>X</t>
        </is>
      </c>
      <c r="J26" s="40" t="n">
        <v>10.1</v>
      </c>
      <c r="K26" s="39" t="inlineStr">
        <is>
          <t>X</t>
        </is>
      </c>
      <c r="L26" s="39" t="inlineStr">
        <is>
          <t>X</t>
        </is>
      </c>
      <c r="M26" s="39" t="inlineStr">
        <is>
          <t>X</t>
        </is>
      </c>
      <c r="N26" s="40" t="n">
        <v>9</v>
      </c>
      <c r="O26" s="40">
        <f>IFERROR(AVERAGE(C26:N26),"")</f>
        <v/>
      </c>
    </row>
    <row r="27" ht="15" customHeight="1" s="2">
      <c r="B27" s="38" t="inlineStr">
        <is>
          <t>Poirier</t>
        </is>
      </c>
      <c r="C27" s="40" t="n">
        <v>10</v>
      </c>
      <c r="D27" s="39" t="inlineStr">
        <is>
          <t>X</t>
        </is>
      </c>
      <c r="E27" s="39" t="inlineStr">
        <is>
          <t>X</t>
        </is>
      </c>
      <c r="F27" s="39" t="inlineStr">
        <is>
          <t>X</t>
        </is>
      </c>
      <c r="G27" s="40" t="n">
        <v>9.5</v>
      </c>
      <c r="H27" s="40" t="n">
        <v>7.5</v>
      </c>
      <c r="I27" s="40" t="n">
        <v>7.7</v>
      </c>
      <c r="J27" s="39" t="inlineStr">
        <is>
          <t>X</t>
        </is>
      </c>
      <c r="K27" s="40" t="n">
        <v>4.5</v>
      </c>
      <c r="L27" s="39" t="inlineStr">
        <is>
          <t>X</t>
        </is>
      </c>
      <c r="M27" s="40" t="n">
        <v>5.7</v>
      </c>
      <c r="N27" s="40" t="n">
        <v>4.3</v>
      </c>
      <c r="O27" s="40">
        <f>IFERROR(AVERAGE(C27:N27),"")</f>
        <v/>
      </c>
    </row>
    <row r="28" ht="15" customHeight="1" s="2">
      <c r="B28" s="38" t="inlineStr">
        <is>
          <t>R. Connolly</t>
        </is>
      </c>
      <c r="C28" s="39" t="n"/>
      <c r="D28" s="39" t="inlineStr">
        <is>
          <t>X</t>
        </is>
      </c>
      <c r="E28" s="39" t="inlineStr">
        <is>
          <t>X</t>
        </is>
      </c>
      <c r="F28" s="39" t="inlineStr">
        <is>
          <t>X</t>
        </is>
      </c>
      <c r="G28" s="39" t="inlineStr">
        <is>
          <t>X</t>
        </is>
      </c>
      <c r="H28" s="39" t="inlineStr">
        <is>
          <t>X</t>
        </is>
      </c>
      <c r="I28" s="39" t="inlineStr">
        <is>
          <t>X</t>
        </is>
      </c>
      <c r="J28" s="39" t="inlineStr">
        <is>
          <t>X</t>
        </is>
      </c>
      <c r="K28" s="39" t="inlineStr">
        <is>
          <t>X</t>
        </is>
      </c>
      <c r="L28" s="40" t="n">
        <v>14.6</v>
      </c>
      <c r="M28" s="39" t="inlineStr">
        <is>
          <t>X</t>
        </is>
      </c>
      <c r="N28" s="40" t="n">
        <v>12.1</v>
      </c>
      <c r="O28" s="40">
        <f>IFERROR(AVERAGE(C28:N28),"")</f>
        <v/>
      </c>
    </row>
    <row r="29" ht="15" customHeight="1" s="2">
      <c r="B29" s="38" t="inlineStr">
        <is>
          <t>Ramsay</t>
        </is>
      </c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</row>
    <row r="30" ht="15" customHeight="1" s="2">
      <c r="B30" s="38" t="inlineStr">
        <is>
          <t>Shively</t>
        </is>
      </c>
      <c r="C30" s="40" t="n">
        <v>30</v>
      </c>
      <c r="D30" s="40" t="n">
        <v>21.8</v>
      </c>
      <c r="E30" s="40" t="n">
        <v>17.7</v>
      </c>
      <c r="F30" s="40" t="n">
        <v>17.3</v>
      </c>
      <c r="G30" s="40" t="n">
        <v>16.5</v>
      </c>
      <c r="H30" s="40" t="n">
        <v>16.2</v>
      </c>
      <c r="I30" s="40" t="n">
        <v>14.6</v>
      </c>
      <c r="J30" s="40" t="n">
        <v>14.6</v>
      </c>
      <c r="K30" s="40" t="n">
        <v>14.4</v>
      </c>
      <c r="L30" s="39" t="inlineStr">
        <is>
          <t>X</t>
        </is>
      </c>
      <c r="M30" s="40" t="n">
        <v>12.9</v>
      </c>
      <c r="N30" s="40" t="n">
        <v>12.9</v>
      </c>
      <c r="O30" s="40">
        <f>IFERROR(AVERAGE(C30:N30),"")</f>
        <v/>
      </c>
    </row>
    <row r="31" ht="15" customHeight="1" s="2">
      <c r="B31" s="38" t="inlineStr">
        <is>
          <t>Snyder</t>
        </is>
      </c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</row>
    <row r="32" ht="15" customHeight="1" s="2">
      <c r="B32" s="38" t="inlineStr">
        <is>
          <t>Weisberger</t>
        </is>
      </c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</row>
    <row r="33" ht="15" customHeight="1" s="2">
      <c r="B33" s="38" t="inlineStr">
        <is>
          <t>Welker</t>
        </is>
      </c>
      <c r="C33" s="39" t="n"/>
      <c r="D33" s="39" t="inlineStr">
        <is>
          <t>X</t>
        </is>
      </c>
      <c r="E33" s="39" t="inlineStr">
        <is>
          <t>X</t>
        </is>
      </c>
      <c r="F33" s="40" t="n">
        <v>12.7</v>
      </c>
      <c r="G33" s="40" t="n">
        <v>13.6</v>
      </c>
      <c r="H33" s="40" t="n">
        <v>15</v>
      </c>
      <c r="I33" s="40" t="n">
        <v>13.6</v>
      </c>
      <c r="J33" s="40" t="n">
        <v>9</v>
      </c>
      <c r="K33" s="40" t="n">
        <v>9.300000000000001</v>
      </c>
      <c r="L33" s="40" t="n">
        <v>10</v>
      </c>
      <c r="M33" s="40" t="n">
        <v>9.5</v>
      </c>
      <c r="N33" s="39" t="inlineStr">
        <is>
          <t>X</t>
        </is>
      </c>
      <c r="O33" s="40">
        <f>IFERROR(AVERAGE(C33:N33),"")</f>
        <v/>
      </c>
    </row>
    <row r="34" ht="15" customHeight="1" s="2">
      <c r="B34" s="38" t="inlineStr">
        <is>
          <t>Zimmer</t>
        </is>
      </c>
      <c r="C34" s="39" t="n"/>
      <c r="D34" s="39" t="inlineStr">
        <is>
          <t>X</t>
        </is>
      </c>
      <c r="E34" s="40" t="n">
        <v>14.3</v>
      </c>
      <c r="F34" s="40" t="n">
        <v>13</v>
      </c>
      <c r="G34" s="40" t="n">
        <v>11.9</v>
      </c>
      <c r="H34" s="40" t="n">
        <v>11.1</v>
      </c>
      <c r="I34" s="40" t="n">
        <v>9.9</v>
      </c>
      <c r="J34" s="40" t="n">
        <v>10.2</v>
      </c>
      <c r="K34" s="40" t="n">
        <v>10.4</v>
      </c>
      <c r="L34" s="40" t="n">
        <v>8.9</v>
      </c>
      <c r="M34" s="40" t="n">
        <v>10.2</v>
      </c>
      <c r="N34" s="40" t="n">
        <v>8.6</v>
      </c>
      <c r="O34" s="40">
        <f>IFERROR(AVERAGE(C34:N34),"")</f>
        <v/>
      </c>
    </row>
  </sheetData>
  <conditionalFormatting sqref="C4:N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R3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H24" sqref="AH24"/>
    </sheetView>
  </sheetViews>
  <sheetFormatPr baseColWidth="10" defaultColWidth="8.83203125" defaultRowHeight="15"/>
  <cols>
    <col width="13" customWidth="1" style="2" min="2" max="2"/>
    <col width="6" customWidth="1" style="2" min="3" max="17"/>
    <col width="7" customWidth="1" style="2" min="18" max="18"/>
  </cols>
  <sheetData>
    <row r="1" ht="15" customHeight="1" s="2">
      <c r="B1" s="13" t="inlineStr">
        <is>
          <t>Points by Cup</t>
        </is>
      </c>
    </row>
    <row r="2" ht="15" customHeight="1" s="2">
      <c r="B2" s="41" t="inlineStr">
        <is>
          <t>Live from Archives. FBC 13–15 columns are pre-built — they auto-populate when those cups are added to Archives.</t>
        </is>
      </c>
    </row>
    <row r="3" ht="15" customHeight="1" s="2"/>
    <row r="4" ht="15" customHeight="1" s="2">
      <c r="B4" s="42" t="inlineStr">
        <is>
          <t>Player</t>
        </is>
      </c>
      <c r="C4" s="42" t="inlineStr">
        <is>
          <t>FBC 1</t>
        </is>
      </c>
      <c r="D4" s="42" t="inlineStr">
        <is>
          <t>FBC 2</t>
        </is>
      </c>
      <c r="E4" s="42" t="inlineStr">
        <is>
          <t>FBC 3</t>
        </is>
      </c>
      <c r="F4" s="42" t="inlineStr">
        <is>
          <t>FBC 4</t>
        </is>
      </c>
      <c r="G4" s="42" t="inlineStr">
        <is>
          <t>FBC 5</t>
        </is>
      </c>
      <c r="H4" s="42" t="inlineStr">
        <is>
          <t>FBC 6</t>
        </is>
      </c>
      <c r="I4" s="42" t="inlineStr">
        <is>
          <t>FBC 7</t>
        </is>
      </c>
      <c r="J4" s="42" t="inlineStr">
        <is>
          <t>FBC 8</t>
        </is>
      </c>
      <c r="K4" s="42" t="inlineStr">
        <is>
          <t>FBC 9</t>
        </is>
      </c>
      <c r="L4" s="42" t="inlineStr">
        <is>
          <t>FBC 10</t>
        </is>
      </c>
      <c r="M4" s="42" t="inlineStr">
        <is>
          <t>FBC 11</t>
        </is>
      </c>
      <c r="N4" s="42" t="inlineStr">
        <is>
          <t>FBC 12</t>
        </is>
      </c>
      <c r="O4" s="42" t="inlineStr">
        <is>
          <t>FBC 13</t>
        </is>
      </c>
      <c r="P4" s="42" t="inlineStr">
        <is>
          <t>FBC 14</t>
        </is>
      </c>
      <c r="Q4" s="42" t="inlineStr">
        <is>
          <t>FBC 15</t>
        </is>
      </c>
      <c r="R4" s="42" t="inlineStr">
        <is>
          <t>Total</t>
        </is>
      </c>
    </row>
    <row r="5" ht="15" customHeight="1" s="2">
      <c r="B5" s="43" t="inlineStr">
        <is>
          <t>Connolly</t>
        </is>
      </c>
      <c r="C5" s="44">
        <f>SUMIFS(Archives!$AF$2:$AF$1048576,Archives!$D$2:$D$1048576,1,Archives!$V$2:$V$1048576,$B5)+SUMIFS(Archives!$AF$2:$AF$1048576,Archives!$D$2:$D$1048576,1,Archives!$Y$2:$Y$1048576,$B5)</f>
        <v/>
      </c>
      <c r="D5" s="44">
        <f>SUMIFS(Archives!$AF$2:$AF$1048576,Archives!$D$2:$D$1048576,2,Archives!$V$2:$V$1048576,$B5)+SUMIFS(Archives!$AF$2:$AF$1048576,Archives!$D$2:$D$1048576,2,Archives!$Y$2:$Y$1048576,$B5)</f>
        <v/>
      </c>
      <c r="E5" s="44">
        <f>SUMIFS(Archives!$AF$2:$AF$1048576,Archives!$D$2:$D$1048576,3,Archives!$V$2:$V$1048576,$B5)+SUMIFS(Archives!$AF$2:$AF$1048576,Archives!$D$2:$D$1048576,3,Archives!$Y$2:$Y$1048576,$B5)</f>
        <v/>
      </c>
      <c r="F5" s="44">
        <f>SUMIFS(Archives!$AF$2:$AF$1048576,Archives!$D$2:$D$1048576,4,Archives!$V$2:$V$1048576,$B5)+SUMIFS(Archives!$AF$2:$AF$1048576,Archives!$D$2:$D$1048576,4,Archives!$Y$2:$Y$1048576,$B5)</f>
        <v/>
      </c>
      <c r="G5" s="44">
        <f>SUMIFS(Archives!$AF$2:$AF$1048576,Archives!$D$2:$D$1048576,5,Archives!$V$2:$V$1048576,$B5)+SUMIFS(Archives!$AF$2:$AF$1048576,Archives!$D$2:$D$1048576,5,Archives!$Y$2:$Y$1048576,$B5)</f>
        <v/>
      </c>
      <c r="H5" s="44">
        <f>SUMIFS(Archives!$AF$2:$AF$1048576,Archives!$D$2:$D$1048576,6,Archives!$V$2:$V$1048576,$B5)+SUMIFS(Archives!$AF$2:$AF$1048576,Archives!$D$2:$D$1048576,6,Archives!$Y$2:$Y$1048576,$B5)</f>
        <v/>
      </c>
      <c r="I5" s="44">
        <f>SUMIFS(Archives!$AF$2:$AF$1048576,Archives!$D$2:$D$1048576,7,Archives!$V$2:$V$1048576,$B5)+SUMIFS(Archives!$AF$2:$AF$1048576,Archives!$D$2:$D$1048576,7,Archives!$Y$2:$Y$1048576,$B5)</f>
        <v/>
      </c>
      <c r="J5" s="44">
        <f>SUMIFS(Archives!$AF$2:$AF$1048576,Archives!$D$2:$D$1048576,8,Archives!$V$2:$V$1048576,$B5)+SUMIFS(Archives!$AF$2:$AF$1048576,Archives!$D$2:$D$1048576,8,Archives!$Y$2:$Y$1048576,$B5)</f>
        <v/>
      </c>
      <c r="K5" s="44">
        <f>SUMIFS(Archives!$AF$2:$AF$1048576,Archives!$D$2:$D$1048576,9,Archives!$V$2:$V$1048576,$B5)+SUMIFS(Archives!$AF$2:$AF$1048576,Archives!$D$2:$D$1048576,9,Archives!$Y$2:$Y$1048576,$B5)</f>
        <v/>
      </c>
      <c r="L5" s="44">
        <f>SUMIFS(Archives!$AF$2:$AF$1048576,Archives!$D$2:$D$1048576,10,Archives!$V$2:$V$1048576,$B5)+SUMIFS(Archives!$AF$2:$AF$1048576,Archives!$D$2:$D$1048576,10,Archives!$Y$2:$Y$1048576,$B5)</f>
        <v/>
      </c>
      <c r="M5" s="44">
        <f>SUMIFS(Archives!$AF$2:$AF$1048576,Archives!$D$2:$D$1048576,11,Archives!$V$2:$V$1048576,$B5)+SUMIFS(Archives!$AF$2:$AF$1048576,Archives!$D$2:$D$1048576,11,Archives!$Y$2:$Y$1048576,$B5)</f>
        <v/>
      </c>
      <c r="N5" s="44">
        <f>SUMIFS(Archives!$AF$2:$AF$1048576,Archives!$D$2:$D$1048576,12,Archives!$V$2:$V$1048576,$B5)+SUMIFS(Archives!$AF$2:$AF$1048576,Archives!$D$2:$D$1048576,12,Archives!$Y$2:$Y$1048576,$B5)</f>
        <v/>
      </c>
      <c r="O5" s="44">
        <f>SUMIFS(Archives!$AF$2:$AF$1048576,Archives!$D$2:$D$1048576,13,Archives!$V$2:$V$1048576,$B5)+SUMIFS(Archives!$AF$2:$AF$1048576,Archives!$D$2:$D$1048576,13,Archives!$Y$2:$Y$1048576,$B5)</f>
        <v/>
      </c>
      <c r="P5" s="44">
        <f>SUMIFS(Archives!$AF$2:$AF$1048576,Archives!$D$2:$D$1048576,14,Archives!$V$2:$V$1048576,$B5)+SUMIFS(Archives!$AF$2:$AF$1048576,Archives!$D$2:$D$1048576,14,Archives!$Y$2:$Y$1048576,$B5)</f>
        <v/>
      </c>
      <c r="Q5" s="44">
        <f>SUMIFS(Archives!$AF$2:$AF$1048576,Archives!$D$2:$D$1048576,15,Archives!$V$2:$V$1048576,$B5)+SUMIFS(Archives!$AF$2:$AF$1048576,Archives!$D$2:$D$1048576,15,Archives!$Y$2:$Y$1048576,$B5)</f>
        <v/>
      </c>
      <c r="R5" s="45">
        <f>SUM(C5:Q5)</f>
        <v/>
      </c>
    </row>
    <row r="6" ht="15" customHeight="1" s="2">
      <c r="B6" s="46" t="inlineStr">
        <is>
          <t>Ferrin</t>
        </is>
      </c>
      <c r="C6" s="47">
        <f>SUMIFS(Archives!$AF$2:$AF$1048576,Archives!$D$2:$D$1048576,1,Archives!$V$2:$V$1048576,$B6)+SUMIFS(Archives!$AF$2:$AF$1048576,Archives!$D$2:$D$1048576,1,Archives!$Y$2:$Y$1048576,$B6)</f>
        <v/>
      </c>
      <c r="D6" s="47">
        <f>SUMIFS(Archives!$AF$2:$AF$1048576,Archives!$D$2:$D$1048576,2,Archives!$V$2:$V$1048576,$B6)+SUMIFS(Archives!$AF$2:$AF$1048576,Archives!$D$2:$D$1048576,2,Archives!$Y$2:$Y$1048576,$B6)</f>
        <v/>
      </c>
      <c r="E6" s="47">
        <f>SUMIFS(Archives!$AF$2:$AF$1048576,Archives!$D$2:$D$1048576,3,Archives!$V$2:$V$1048576,$B6)+SUMIFS(Archives!$AF$2:$AF$1048576,Archives!$D$2:$D$1048576,3,Archives!$Y$2:$Y$1048576,$B6)</f>
        <v/>
      </c>
      <c r="F6" s="47">
        <f>SUMIFS(Archives!$AF$2:$AF$1048576,Archives!$D$2:$D$1048576,4,Archives!$V$2:$V$1048576,$B6)+SUMIFS(Archives!$AF$2:$AF$1048576,Archives!$D$2:$D$1048576,4,Archives!$Y$2:$Y$1048576,$B6)</f>
        <v/>
      </c>
      <c r="G6" s="47">
        <f>SUMIFS(Archives!$AF$2:$AF$1048576,Archives!$D$2:$D$1048576,5,Archives!$V$2:$V$1048576,$B6)+SUMIFS(Archives!$AF$2:$AF$1048576,Archives!$D$2:$D$1048576,5,Archives!$Y$2:$Y$1048576,$B6)</f>
        <v/>
      </c>
      <c r="H6" s="47">
        <f>SUMIFS(Archives!$AF$2:$AF$1048576,Archives!$D$2:$D$1048576,6,Archives!$V$2:$V$1048576,$B6)+SUMIFS(Archives!$AF$2:$AF$1048576,Archives!$D$2:$D$1048576,6,Archives!$Y$2:$Y$1048576,$B6)</f>
        <v/>
      </c>
      <c r="I6" s="47">
        <f>SUMIFS(Archives!$AF$2:$AF$1048576,Archives!$D$2:$D$1048576,7,Archives!$V$2:$V$1048576,$B6)+SUMIFS(Archives!$AF$2:$AF$1048576,Archives!$D$2:$D$1048576,7,Archives!$Y$2:$Y$1048576,$B6)</f>
        <v/>
      </c>
      <c r="J6" s="47">
        <f>SUMIFS(Archives!$AF$2:$AF$1048576,Archives!$D$2:$D$1048576,8,Archives!$V$2:$V$1048576,$B6)+SUMIFS(Archives!$AF$2:$AF$1048576,Archives!$D$2:$D$1048576,8,Archives!$Y$2:$Y$1048576,$B6)</f>
        <v/>
      </c>
      <c r="K6" s="47">
        <f>SUMIFS(Archives!$AF$2:$AF$1048576,Archives!$D$2:$D$1048576,9,Archives!$V$2:$V$1048576,$B6)+SUMIFS(Archives!$AF$2:$AF$1048576,Archives!$D$2:$D$1048576,9,Archives!$Y$2:$Y$1048576,$B6)</f>
        <v/>
      </c>
      <c r="L6" s="47">
        <f>SUMIFS(Archives!$AF$2:$AF$1048576,Archives!$D$2:$D$1048576,10,Archives!$V$2:$V$1048576,$B6)+SUMIFS(Archives!$AF$2:$AF$1048576,Archives!$D$2:$D$1048576,10,Archives!$Y$2:$Y$1048576,$B6)</f>
        <v/>
      </c>
      <c r="M6" s="47">
        <f>SUMIFS(Archives!$AF$2:$AF$1048576,Archives!$D$2:$D$1048576,11,Archives!$V$2:$V$1048576,$B6)+SUMIFS(Archives!$AF$2:$AF$1048576,Archives!$D$2:$D$1048576,11,Archives!$Y$2:$Y$1048576,$B6)</f>
        <v/>
      </c>
      <c r="N6" s="47">
        <f>SUMIFS(Archives!$AF$2:$AF$1048576,Archives!$D$2:$D$1048576,12,Archives!$V$2:$V$1048576,$B6)+SUMIFS(Archives!$AF$2:$AF$1048576,Archives!$D$2:$D$1048576,12,Archives!$Y$2:$Y$1048576,$B6)</f>
        <v/>
      </c>
      <c r="O6" s="47">
        <f>SUMIFS(Archives!$AF$2:$AF$1048576,Archives!$D$2:$D$1048576,13,Archives!$V$2:$V$1048576,$B6)+SUMIFS(Archives!$AF$2:$AF$1048576,Archives!$D$2:$D$1048576,13,Archives!$Y$2:$Y$1048576,$B6)</f>
        <v/>
      </c>
      <c r="P6" s="47">
        <f>SUMIFS(Archives!$AF$2:$AF$1048576,Archives!$D$2:$D$1048576,14,Archives!$V$2:$V$1048576,$B6)+SUMIFS(Archives!$AF$2:$AF$1048576,Archives!$D$2:$D$1048576,14,Archives!$Y$2:$Y$1048576,$B6)</f>
        <v/>
      </c>
      <c r="Q6" s="47">
        <f>SUMIFS(Archives!$AF$2:$AF$1048576,Archives!$D$2:$D$1048576,15,Archives!$V$2:$V$1048576,$B6)+SUMIFS(Archives!$AF$2:$AF$1048576,Archives!$D$2:$D$1048576,15,Archives!$Y$2:$Y$1048576,$B6)</f>
        <v/>
      </c>
      <c r="R6" s="48">
        <f>SUM(C6:Q6)</f>
        <v/>
      </c>
    </row>
    <row r="7" ht="15" customHeight="1" s="2">
      <c r="B7" s="43" t="inlineStr">
        <is>
          <t>Jackson</t>
        </is>
      </c>
      <c r="C7" s="44">
        <f>SUMIFS(Archives!$AF$2:$AF$1048576,Archives!$D$2:$D$1048576,1,Archives!$V$2:$V$1048576,$B7)+SUMIFS(Archives!$AF$2:$AF$1048576,Archives!$D$2:$D$1048576,1,Archives!$Y$2:$Y$1048576,$B7)</f>
        <v/>
      </c>
      <c r="D7" s="44">
        <f>SUMIFS(Archives!$AF$2:$AF$1048576,Archives!$D$2:$D$1048576,2,Archives!$V$2:$V$1048576,$B7)+SUMIFS(Archives!$AF$2:$AF$1048576,Archives!$D$2:$D$1048576,2,Archives!$Y$2:$Y$1048576,$B7)</f>
        <v/>
      </c>
      <c r="E7" s="44">
        <f>SUMIFS(Archives!$AF$2:$AF$1048576,Archives!$D$2:$D$1048576,3,Archives!$V$2:$V$1048576,$B7)+SUMIFS(Archives!$AF$2:$AF$1048576,Archives!$D$2:$D$1048576,3,Archives!$Y$2:$Y$1048576,$B7)</f>
        <v/>
      </c>
      <c r="F7" s="44">
        <f>SUMIFS(Archives!$AF$2:$AF$1048576,Archives!$D$2:$D$1048576,4,Archives!$V$2:$V$1048576,$B7)+SUMIFS(Archives!$AF$2:$AF$1048576,Archives!$D$2:$D$1048576,4,Archives!$Y$2:$Y$1048576,$B7)</f>
        <v/>
      </c>
      <c r="G7" s="44">
        <f>SUMIFS(Archives!$AF$2:$AF$1048576,Archives!$D$2:$D$1048576,5,Archives!$V$2:$V$1048576,$B7)+SUMIFS(Archives!$AF$2:$AF$1048576,Archives!$D$2:$D$1048576,5,Archives!$Y$2:$Y$1048576,$B7)</f>
        <v/>
      </c>
      <c r="H7" s="44">
        <f>SUMIFS(Archives!$AF$2:$AF$1048576,Archives!$D$2:$D$1048576,6,Archives!$V$2:$V$1048576,$B7)+SUMIFS(Archives!$AF$2:$AF$1048576,Archives!$D$2:$D$1048576,6,Archives!$Y$2:$Y$1048576,$B7)</f>
        <v/>
      </c>
      <c r="I7" s="44">
        <f>SUMIFS(Archives!$AF$2:$AF$1048576,Archives!$D$2:$D$1048576,7,Archives!$V$2:$V$1048576,$B7)+SUMIFS(Archives!$AF$2:$AF$1048576,Archives!$D$2:$D$1048576,7,Archives!$Y$2:$Y$1048576,$B7)</f>
        <v/>
      </c>
      <c r="J7" s="44">
        <f>SUMIFS(Archives!$AF$2:$AF$1048576,Archives!$D$2:$D$1048576,8,Archives!$V$2:$V$1048576,$B7)+SUMIFS(Archives!$AF$2:$AF$1048576,Archives!$D$2:$D$1048576,8,Archives!$Y$2:$Y$1048576,$B7)</f>
        <v/>
      </c>
      <c r="K7" s="44">
        <f>SUMIFS(Archives!$AF$2:$AF$1048576,Archives!$D$2:$D$1048576,9,Archives!$V$2:$V$1048576,$B7)+SUMIFS(Archives!$AF$2:$AF$1048576,Archives!$D$2:$D$1048576,9,Archives!$Y$2:$Y$1048576,$B7)</f>
        <v/>
      </c>
      <c r="L7" s="44">
        <f>SUMIFS(Archives!$AF$2:$AF$1048576,Archives!$D$2:$D$1048576,10,Archives!$V$2:$V$1048576,$B7)+SUMIFS(Archives!$AF$2:$AF$1048576,Archives!$D$2:$D$1048576,10,Archives!$Y$2:$Y$1048576,$B7)</f>
        <v/>
      </c>
      <c r="M7" s="44">
        <f>SUMIFS(Archives!$AF$2:$AF$1048576,Archives!$D$2:$D$1048576,11,Archives!$V$2:$V$1048576,$B7)+SUMIFS(Archives!$AF$2:$AF$1048576,Archives!$D$2:$D$1048576,11,Archives!$Y$2:$Y$1048576,$B7)</f>
        <v/>
      </c>
      <c r="N7" s="44">
        <f>SUMIFS(Archives!$AF$2:$AF$1048576,Archives!$D$2:$D$1048576,12,Archives!$V$2:$V$1048576,$B7)+SUMIFS(Archives!$AF$2:$AF$1048576,Archives!$D$2:$D$1048576,12,Archives!$Y$2:$Y$1048576,$B7)</f>
        <v/>
      </c>
      <c r="O7" s="44">
        <f>SUMIFS(Archives!$AF$2:$AF$1048576,Archives!$D$2:$D$1048576,13,Archives!$V$2:$V$1048576,$B7)+SUMIFS(Archives!$AF$2:$AF$1048576,Archives!$D$2:$D$1048576,13,Archives!$Y$2:$Y$1048576,$B7)</f>
        <v/>
      </c>
      <c r="P7" s="44">
        <f>SUMIFS(Archives!$AF$2:$AF$1048576,Archives!$D$2:$D$1048576,14,Archives!$V$2:$V$1048576,$B7)+SUMIFS(Archives!$AF$2:$AF$1048576,Archives!$D$2:$D$1048576,14,Archives!$Y$2:$Y$1048576,$B7)</f>
        <v/>
      </c>
      <c r="Q7" s="44">
        <f>SUMIFS(Archives!$AF$2:$AF$1048576,Archives!$D$2:$D$1048576,15,Archives!$V$2:$V$1048576,$B7)+SUMIFS(Archives!$AF$2:$AF$1048576,Archives!$D$2:$D$1048576,15,Archives!$Y$2:$Y$1048576,$B7)</f>
        <v/>
      </c>
      <c r="R7" s="45">
        <f>SUM(C7:Q7)</f>
        <v/>
      </c>
    </row>
    <row r="8" ht="15" customHeight="1" s="2">
      <c r="B8" s="46" t="inlineStr">
        <is>
          <t>Grise</t>
        </is>
      </c>
      <c r="C8" s="47">
        <f>SUMIFS(Archives!$AF$2:$AF$1048576,Archives!$D$2:$D$1048576,1,Archives!$V$2:$V$1048576,$B8)+SUMIFS(Archives!$AF$2:$AF$1048576,Archives!$D$2:$D$1048576,1,Archives!$Y$2:$Y$1048576,$B8)</f>
        <v/>
      </c>
      <c r="D8" s="47">
        <f>SUMIFS(Archives!$AF$2:$AF$1048576,Archives!$D$2:$D$1048576,2,Archives!$V$2:$V$1048576,$B8)+SUMIFS(Archives!$AF$2:$AF$1048576,Archives!$D$2:$D$1048576,2,Archives!$Y$2:$Y$1048576,$B8)</f>
        <v/>
      </c>
      <c r="E8" s="47">
        <f>SUMIFS(Archives!$AF$2:$AF$1048576,Archives!$D$2:$D$1048576,3,Archives!$V$2:$V$1048576,$B8)+SUMIFS(Archives!$AF$2:$AF$1048576,Archives!$D$2:$D$1048576,3,Archives!$Y$2:$Y$1048576,$B8)</f>
        <v/>
      </c>
      <c r="F8" s="47">
        <f>SUMIFS(Archives!$AF$2:$AF$1048576,Archives!$D$2:$D$1048576,4,Archives!$V$2:$V$1048576,$B8)+SUMIFS(Archives!$AF$2:$AF$1048576,Archives!$D$2:$D$1048576,4,Archives!$Y$2:$Y$1048576,$B8)</f>
        <v/>
      </c>
      <c r="G8" s="47">
        <f>SUMIFS(Archives!$AF$2:$AF$1048576,Archives!$D$2:$D$1048576,5,Archives!$V$2:$V$1048576,$B8)+SUMIFS(Archives!$AF$2:$AF$1048576,Archives!$D$2:$D$1048576,5,Archives!$Y$2:$Y$1048576,$B8)</f>
        <v/>
      </c>
      <c r="H8" s="47">
        <f>SUMIFS(Archives!$AF$2:$AF$1048576,Archives!$D$2:$D$1048576,6,Archives!$V$2:$V$1048576,$B8)+SUMIFS(Archives!$AF$2:$AF$1048576,Archives!$D$2:$D$1048576,6,Archives!$Y$2:$Y$1048576,$B8)</f>
        <v/>
      </c>
      <c r="I8" s="47">
        <f>SUMIFS(Archives!$AF$2:$AF$1048576,Archives!$D$2:$D$1048576,7,Archives!$V$2:$V$1048576,$B8)+SUMIFS(Archives!$AF$2:$AF$1048576,Archives!$D$2:$D$1048576,7,Archives!$Y$2:$Y$1048576,$B8)</f>
        <v/>
      </c>
      <c r="J8" s="47">
        <f>SUMIFS(Archives!$AF$2:$AF$1048576,Archives!$D$2:$D$1048576,8,Archives!$V$2:$V$1048576,$B8)+SUMIFS(Archives!$AF$2:$AF$1048576,Archives!$D$2:$D$1048576,8,Archives!$Y$2:$Y$1048576,$B8)</f>
        <v/>
      </c>
      <c r="K8" s="47">
        <f>SUMIFS(Archives!$AF$2:$AF$1048576,Archives!$D$2:$D$1048576,9,Archives!$V$2:$V$1048576,$B8)+SUMIFS(Archives!$AF$2:$AF$1048576,Archives!$D$2:$D$1048576,9,Archives!$Y$2:$Y$1048576,$B8)</f>
        <v/>
      </c>
      <c r="L8" s="47">
        <f>SUMIFS(Archives!$AF$2:$AF$1048576,Archives!$D$2:$D$1048576,10,Archives!$V$2:$V$1048576,$B8)+SUMIFS(Archives!$AF$2:$AF$1048576,Archives!$D$2:$D$1048576,10,Archives!$Y$2:$Y$1048576,$B8)</f>
        <v/>
      </c>
      <c r="M8" s="47">
        <f>SUMIFS(Archives!$AF$2:$AF$1048576,Archives!$D$2:$D$1048576,11,Archives!$V$2:$V$1048576,$B8)+SUMIFS(Archives!$AF$2:$AF$1048576,Archives!$D$2:$D$1048576,11,Archives!$Y$2:$Y$1048576,$B8)</f>
        <v/>
      </c>
      <c r="N8" s="47">
        <f>SUMIFS(Archives!$AF$2:$AF$1048576,Archives!$D$2:$D$1048576,12,Archives!$V$2:$V$1048576,$B8)+SUMIFS(Archives!$AF$2:$AF$1048576,Archives!$D$2:$D$1048576,12,Archives!$Y$2:$Y$1048576,$B8)</f>
        <v/>
      </c>
      <c r="O8" s="47">
        <f>SUMIFS(Archives!$AF$2:$AF$1048576,Archives!$D$2:$D$1048576,13,Archives!$V$2:$V$1048576,$B8)+SUMIFS(Archives!$AF$2:$AF$1048576,Archives!$D$2:$D$1048576,13,Archives!$Y$2:$Y$1048576,$B8)</f>
        <v/>
      </c>
      <c r="P8" s="47">
        <f>SUMIFS(Archives!$AF$2:$AF$1048576,Archives!$D$2:$D$1048576,14,Archives!$V$2:$V$1048576,$B8)+SUMIFS(Archives!$AF$2:$AF$1048576,Archives!$D$2:$D$1048576,14,Archives!$Y$2:$Y$1048576,$B8)</f>
        <v/>
      </c>
      <c r="Q8" s="47">
        <f>SUMIFS(Archives!$AF$2:$AF$1048576,Archives!$D$2:$D$1048576,15,Archives!$V$2:$V$1048576,$B8)+SUMIFS(Archives!$AF$2:$AF$1048576,Archives!$D$2:$D$1048576,15,Archives!$Y$2:$Y$1048576,$B8)</f>
        <v/>
      </c>
      <c r="R8" s="48">
        <f>SUM(C8:Q8)</f>
        <v/>
      </c>
    </row>
    <row r="9" ht="15" customHeight="1" s="2">
      <c r="B9" s="43" t="inlineStr">
        <is>
          <t>Forster</t>
        </is>
      </c>
      <c r="C9" s="44">
        <f>SUMIFS(Archives!$AF$2:$AF$1048576,Archives!$D$2:$D$1048576,1,Archives!$V$2:$V$1048576,$B9)+SUMIFS(Archives!$AF$2:$AF$1048576,Archives!$D$2:$D$1048576,1,Archives!$Y$2:$Y$1048576,$B9)</f>
        <v/>
      </c>
      <c r="D9" s="44">
        <f>SUMIFS(Archives!$AF$2:$AF$1048576,Archives!$D$2:$D$1048576,2,Archives!$V$2:$V$1048576,$B9)+SUMIFS(Archives!$AF$2:$AF$1048576,Archives!$D$2:$D$1048576,2,Archives!$Y$2:$Y$1048576,$B9)</f>
        <v/>
      </c>
      <c r="E9" s="44">
        <f>SUMIFS(Archives!$AF$2:$AF$1048576,Archives!$D$2:$D$1048576,3,Archives!$V$2:$V$1048576,$B9)+SUMIFS(Archives!$AF$2:$AF$1048576,Archives!$D$2:$D$1048576,3,Archives!$Y$2:$Y$1048576,$B9)</f>
        <v/>
      </c>
      <c r="F9" s="44">
        <f>SUMIFS(Archives!$AF$2:$AF$1048576,Archives!$D$2:$D$1048576,4,Archives!$V$2:$V$1048576,$B9)+SUMIFS(Archives!$AF$2:$AF$1048576,Archives!$D$2:$D$1048576,4,Archives!$Y$2:$Y$1048576,$B9)</f>
        <v/>
      </c>
      <c r="G9" s="44">
        <f>SUMIFS(Archives!$AF$2:$AF$1048576,Archives!$D$2:$D$1048576,5,Archives!$V$2:$V$1048576,$B9)+SUMIFS(Archives!$AF$2:$AF$1048576,Archives!$D$2:$D$1048576,5,Archives!$Y$2:$Y$1048576,$B9)</f>
        <v/>
      </c>
      <c r="H9" s="44">
        <f>SUMIFS(Archives!$AF$2:$AF$1048576,Archives!$D$2:$D$1048576,6,Archives!$V$2:$V$1048576,$B9)+SUMIFS(Archives!$AF$2:$AF$1048576,Archives!$D$2:$D$1048576,6,Archives!$Y$2:$Y$1048576,$B9)</f>
        <v/>
      </c>
      <c r="I9" s="44">
        <f>SUMIFS(Archives!$AF$2:$AF$1048576,Archives!$D$2:$D$1048576,7,Archives!$V$2:$V$1048576,$B9)+SUMIFS(Archives!$AF$2:$AF$1048576,Archives!$D$2:$D$1048576,7,Archives!$Y$2:$Y$1048576,$B9)</f>
        <v/>
      </c>
      <c r="J9" s="44">
        <f>SUMIFS(Archives!$AF$2:$AF$1048576,Archives!$D$2:$D$1048576,8,Archives!$V$2:$V$1048576,$B9)+SUMIFS(Archives!$AF$2:$AF$1048576,Archives!$D$2:$D$1048576,8,Archives!$Y$2:$Y$1048576,$B9)</f>
        <v/>
      </c>
      <c r="K9" s="44">
        <f>SUMIFS(Archives!$AF$2:$AF$1048576,Archives!$D$2:$D$1048576,9,Archives!$V$2:$V$1048576,$B9)+SUMIFS(Archives!$AF$2:$AF$1048576,Archives!$D$2:$D$1048576,9,Archives!$Y$2:$Y$1048576,$B9)</f>
        <v/>
      </c>
      <c r="L9" s="44">
        <f>SUMIFS(Archives!$AF$2:$AF$1048576,Archives!$D$2:$D$1048576,10,Archives!$V$2:$V$1048576,$B9)+SUMIFS(Archives!$AF$2:$AF$1048576,Archives!$D$2:$D$1048576,10,Archives!$Y$2:$Y$1048576,$B9)</f>
        <v/>
      </c>
      <c r="M9" s="44">
        <f>SUMIFS(Archives!$AF$2:$AF$1048576,Archives!$D$2:$D$1048576,11,Archives!$V$2:$V$1048576,$B9)+SUMIFS(Archives!$AF$2:$AF$1048576,Archives!$D$2:$D$1048576,11,Archives!$Y$2:$Y$1048576,$B9)</f>
        <v/>
      </c>
      <c r="N9" s="44">
        <f>SUMIFS(Archives!$AF$2:$AF$1048576,Archives!$D$2:$D$1048576,12,Archives!$V$2:$V$1048576,$B9)+SUMIFS(Archives!$AF$2:$AF$1048576,Archives!$D$2:$D$1048576,12,Archives!$Y$2:$Y$1048576,$B9)</f>
        <v/>
      </c>
      <c r="O9" s="44">
        <f>SUMIFS(Archives!$AF$2:$AF$1048576,Archives!$D$2:$D$1048576,13,Archives!$V$2:$V$1048576,$B9)+SUMIFS(Archives!$AF$2:$AF$1048576,Archives!$D$2:$D$1048576,13,Archives!$Y$2:$Y$1048576,$B9)</f>
        <v/>
      </c>
      <c r="P9" s="44">
        <f>SUMIFS(Archives!$AF$2:$AF$1048576,Archives!$D$2:$D$1048576,14,Archives!$V$2:$V$1048576,$B9)+SUMIFS(Archives!$AF$2:$AF$1048576,Archives!$D$2:$D$1048576,14,Archives!$Y$2:$Y$1048576,$B9)</f>
        <v/>
      </c>
      <c r="Q9" s="44">
        <f>SUMIFS(Archives!$AF$2:$AF$1048576,Archives!$D$2:$D$1048576,15,Archives!$V$2:$V$1048576,$B9)+SUMIFS(Archives!$AF$2:$AF$1048576,Archives!$D$2:$D$1048576,15,Archives!$Y$2:$Y$1048576,$B9)</f>
        <v/>
      </c>
      <c r="R9" s="45">
        <f>SUM(C9:Q9)</f>
        <v/>
      </c>
    </row>
    <row r="10" ht="15" customHeight="1" s="2">
      <c r="B10" s="46" t="inlineStr">
        <is>
          <t>Lynch</t>
        </is>
      </c>
      <c r="C10" s="47">
        <f>SUMIFS(Archives!$AF$2:$AF$1048576,Archives!$D$2:$D$1048576,1,Archives!$V$2:$V$1048576,$B10)+SUMIFS(Archives!$AF$2:$AF$1048576,Archives!$D$2:$D$1048576,1,Archives!$Y$2:$Y$1048576,$B10)</f>
        <v/>
      </c>
      <c r="D10" s="47">
        <f>SUMIFS(Archives!$AF$2:$AF$1048576,Archives!$D$2:$D$1048576,2,Archives!$V$2:$V$1048576,$B10)+SUMIFS(Archives!$AF$2:$AF$1048576,Archives!$D$2:$D$1048576,2,Archives!$Y$2:$Y$1048576,$B10)</f>
        <v/>
      </c>
      <c r="E10" s="47">
        <f>SUMIFS(Archives!$AF$2:$AF$1048576,Archives!$D$2:$D$1048576,3,Archives!$V$2:$V$1048576,$B10)+SUMIFS(Archives!$AF$2:$AF$1048576,Archives!$D$2:$D$1048576,3,Archives!$Y$2:$Y$1048576,$B10)</f>
        <v/>
      </c>
      <c r="F10" s="47">
        <f>SUMIFS(Archives!$AF$2:$AF$1048576,Archives!$D$2:$D$1048576,4,Archives!$V$2:$V$1048576,$B10)+SUMIFS(Archives!$AF$2:$AF$1048576,Archives!$D$2:$D$1048576,4,Archives!$Y$2:$Y$1048576,$B10)</f>
        <v/>
      </c>
      <c r="G10" s="47">
        <f>SUMIFS(Archives!$AF$2:$AF$1048576,Archives!$D$2:$D$1048576,5,Archives!$V$2:$V$1048576,$B10)+SUMIFS(Archives!$AF$2:$AF$1048576,Archives!$D$2:$D$1048576,5,Archives!$Y$2:$Y$1048576,$B10)</f>
        <v/>
      </c>
      <c r="H10" s="47">
        <f>SUMIFS(Archives!$AF$2:$AF$1048576,Archives!$D$2:$D$1048576,6,Archives!$V$2:$V$1048576,$B10)+SUMIFS(Archives!$AF$2:$AF$1048576,Archives!$D$2:$D$1048576,6,Archives!$Y$2:$Y$1048576,$B10)</f>
        <v/>
      </c>
      <c r="I10" s="47">
        <f>SUMIFS(Archives!$AF$2:$AF$1048576,Archives!$D$2:$D$1048576,7,Archives!$V$2:$V$1048576,$B10)+SUMIFS(Archives!$AF$2:$AF$1048576,Archives!$D$2:$D$1048576,7,Archives!$Y$2:$Y$1048576,$B10)</f>
        <v/>
      </c>
      <c r="J10" s="47">
        <f>SUMIFS(Archives!$AF$2:$AF$1048576,Archives!$D$2:$D$1048576,8,Archives!$V$2:$V$1048576,$B10)+SUMIFS(Archives!$AF$2:$AF$1048576,Archives!$D$2:$D$1048576,8,Archives!$Y$2:$Y$1048576,$B10)</f>
        <v/>
      </c>
      <c r="K10" s="47">
        <f>SUMIFS(Archives!$AF$2:$AF$1048576,Archives!$D$2:$D$1048576,9,Archives!$V$2:$V$1048576,$B10)+SUMIFS(Archives!$AF$2:$AF$1048576,Archives!$D$2:$D$1048576,9,Archives!$Y$2:$Y$1048576,$B10)</f>
        <v/>
      </c>
      <c r="L10" s="47">
        <f>SUMIFS(Archives!$AF$2:$AF$1048576,Archives!$D$2:$D$1048576,10,Archives!$V$2:$V$1048576,$B10)+SUMIFS(Archives!$AF$2:$AF$1048576,Archives!$D$2:$D$1048576,10,Archives!$Y$2:$Y$1048576,$B10)</f>
        <v/>
      </c>
      <c r="M10" s="47">
        <f>SUMIFS(Archives!$AF$2:$AF$1048576,Archives!$D$2:$D$1048576,11,Archives!$V$2:$V$1048576,$B10)+SUMIFS(Archives!$AF$2:$AF$1048576,Archives!$D$2:$D$1048576,11,Archives!$Y$2:$Y$1048576,$B10)</f>
        <v/>
      </c>
      <c r="N10" s="47">
        <f>SUMIFS(Archives!$AF$2:$AF$1048576,Archives!$D$2:$D$1048576,12,Archives!$V$2:$V$1048576,$B10)+SUMIFS(Archives!$AF$2:$AF$1048576,Archives!$D$2:$D$1048576,12,Archives!$Y$2:$Y$1048576,$B10)</f>
        <v/>
      </c>
      <c r="O10" s="47">
        <f>SUMIFS(Archives!$AF$2:$AF$1048576,Archives!$D$2:$D$1048576,13,Archives!$V$2:$V$1048576,$B10)+SUMIFS(Archives!$AF$2:$AF$1048576,Archives!$D$2:$D$1048576,13,Archives!$Y$2:$Y$1048576,$B10)</f>
        <v/>
      </c>
      <c r="P10" s="47">
        <f>SUMIFS(Archives!$AF$2:$AF$1048576,Archives!$D$2:$D$1048576,14,Archives!$V$2:$V$1048576,$B10)+SUMIFS(Archives!$AF$2:$AF$1048576,Archives!$D$2:$D$1048576,14,Archives!$Y$2:$Y$1048576,$B10)</f>
        <v/>
      </c>
      <c r="Q10" s="47">
        <f>SUMIFS(Archives!$AF$2:$AF$1048576,Archives!$D$2:$D$1048576,15,Archives!$V$2:$V$1048576,$B10)+SUMIFS(Archives!$AF$2:$AF$1048576,Archives!$D$2:$D$1048576,15,Archives!$Y$2:$Y$1048576,$B10)</f>
        <v/>
      </c>
      <c r="R10" s="48">
        <f>SUM(C10:Q10)</f>
        <v/>
      </c>
    </row>
    <row r="11" ht="15" customHeight="1" s="2">
      <c r="B11" s="43" t="inlineStr">
        <is>
          <t>Flanders</t>
        </is>
      </c>
      <c r="C11" s="44">
        <f>SUMIFS(Archives!$AF$2:$AF$1048576,Archives!$D$2:$D$1048576,1,Archives!$V$2:$V$1048576,$B11)+SUMIFS(Archives!$AF$2:$AF$1048576,Archives!$D$2:$D$1048576,1,Archives!$Y$2:$Y$1048576,$B11)</f>
        <v/>
      </c>
      <c r="D11" s="44">
        <f>SUMIFS(Archives!$AF$2:$AF$1048576,Archives!$D$2:$D$1048576,2,Archives!$V$2:$V$1048576,$B11)+SUMIFS(Archives!$AF$2:$AF$1048576,Archives!$D$2:$D$1048576,2,Archives!$Y$2:$Y$1048576,$B11)</f>
        <v/>
      </c>
      <c r="E11" s="44">
        <f>SUMIFS(Archives!$AF$2:$AF$1048576,Archives!$D$2:$D$1048576,3,Archives!$V$2:$V$1048576,$B11)+SUMIFS(Archives!$AF$2:$AF$1048576,Archives!$D$2:$D$1048576,3,Archives!$Y$2:$Y$1048576,$B11)</f>
        <v/>
      </c>
      <c r="F11" s="44">
        <f>SUMIFS(Archives!$AF$2:$AF$1048576,Archives!$D$2:$D$1048576,4,Archives!$V$2:$V$1048576,$B11)+SUMIFS(Archives!$AF$2:$AF$1048576,Archives!$D$2:$D$1048576,4,Archives!$Y$2:$Y$1048576,$B11)</f>
        <v/>
      </c>
      <c r="G11" s="44">
        <f>SUMIFS(Archives!$AF$2:$AF$1048576,Archives!$D$2:$D$1048576,5,Archives!$V$2:$V$1048576,$B11)+SUMIFS(Archives!$AF$2:$AF$1048576,Archives!$D$2:$D$1048576,5,Archives!$Y$2:$Y$1048576,$B11)</f>
        <v/>
      </c>
      <c r="H11" s="44">
        <f>SUMIFS(Archives!$AF$2:$AF$1048576,Archives!$D$2:$D$1048576,6,Archives!$V$2:$V$1048576,$B11)+SUMIFS(Archives!$AF$2:$AF$1048576,Archives!$D$2:$D$1048576,6,Archives!$Y$2:$Y$1048576,$B11)</f>
        <v/>
      </c>
      <c r="I11" s="44">
        <f>SUMIFS(Archives!$AF$2:$AF$1048576,Archives!$D$2:$D$1048576,7,Archives!$V$2:$V$1048576,$B11)+SUMIFS(Archives!$AF$2:$AF$1048576,Archives!$D$2:$D$1048576,7,Archives!$Y$2:$Y$1048576,$B11)</f>
        <v/>
      </c>
      <c r="J11" s="44">
        <f>SUMIFS(Archives!$AF$2:$AF$1048576,Archives!$D$2:$D$1048576,8,Archives!$V$2:$V$1048576,$B11)+SUMIFS(Archives!$AF$2:$AF$1048576,Archives!$D$2:$D$1048576,8,Archives!$Y$2:$Y$1048576,$B11)</f>
        <v/>
      </c>
      <c r="K11" s="44">
        <f>SUMIFS(Archives!$AF$2:$AF$1048576,Archives!$D$2:$D$1048576,9,Archives!$V$2:$V$1048576,$B11)+SUMIFS(Archives!$AF$2:$AF$1048576,Archives!$D$2:$D$1048576,9,Archives!$Y$2:$Y$1048576,$B11)</f>
        <v/>
      </c>
      <c r="L11" s="44">
        <f>SUMIFS(Archives!$AF$2:$AF$1048576,Archives!$D$2:$D$1048576,10,Archives!$V$2:$V$1048576,$B11)+SUMIFS(Archives!$AF$2:$AF$1048576,Archives!$D$2:$D$1048576,10,Archives!$Y$2:$Y$1048576,$B11)</f>
        <v/>
      </c>
      <c r="M11" s="44">
        <f>SUMIFS(Archives!$AF$2:$AF$1048576,Archives!$D$2:$D$1048576,11,Archives!$V$2:$V$1048576,$B11)+SUMIFS(Archives!$AF$2:$AF$1048576,Archives!$D$2:$D$1048576,11,Archives!$Y$2:$Y$1048576,$B11)</f>
        <v/>
      </c>
      <c r="N11" s="44">
        <f>SUMIFS(Archives!$AF$2:$AF$1048576,Archives!$D$2:$D$1048576,12,Archives!$V$2:$V$1048576,$B11)+SUMIFS(Archives!$AF$2:$AF$1048576,Archives!$D$2:$D$1048576,12,Archives!$Y$2:$Y$1048576,$B11)</f>
        <v/>
      </c>
      <c r="O11" s="44">
        <f>SUMIFS(Archives!$AF$2:$AF$1048576,Archives!$D$2:$D$1048576,13,Archives!$V$2:$V$1048576,$B11)+SUMIFS(Archives!$AF$2:$AF$1048576,Archives!$D$2:$D$1048576,13,Archives!$Y$2:$Y$1048576,$B11)</f>
        <v/>
      </c>
      <c r="P11" s="44">
        <f>SUMIFS(Archives!$AF$2:$AF$1048576,Archives!$D$2:$D$1048576,14,Archives!$V$2:$V$1048576,$B11)+SUMIFS(Archives!$AF$2:$AF$1048576,Archives!$D$2:$D$1048576,14,Archives!$Y$2:$Y$1048576,$B11)</f>
        <v/>
      </c>
      <c r="Q11" s="44">
        <f>SUMIFS(Archives!$AF$2:$AF$1048576,Archives!$D$2:$D$1048576,15,Archives!$V$2:$V$1048576,$B11)+SUMIFS(Archives!$AF$2:$AF$1048576,Archives!$D$2:$D$1048576,15,Archives!$Y$2:$Y$1048576,$B11)</f>
        <v/>
      </c>
      <c r="R11" s="45">
        <f>SUM(C11:Q11)</f>
        <v/>
      </c>
    </row>
    <row r="12" ht="15" customHeight="1" s="2">
      <c r="B12" s="46" t="inlineStr">
        <is>
          <t>Hilts</t>
        </is>
      </c>
      <c r="C12" s="47">
        <f>SUMIFS(Archives!$AF$2:$AF$1048576,Archives!$D$2:$D$1048576,1,Archives!$V$2:$V$1048576,$B12)+SUMIFS(Archives!$AF$2:$AF$1048576,Archives!$D$2:$D$1048576,1,Archives!$Y$2:$Y$1048576,$B12)</f>
        <v/>
      </c>
      <c r="D12" s="47">
        <f>SUMIFS(Archives!$AF$2:$AF$1048576,Archives!$D$2:$D$1048576,2,Archives!$V$2:$V$1048576,$B12)+SUMIFS(Archives!$AF$2:$AF$1048576,Archives!$D$2:$D$1048576,2,Archives!$Y$2:$Y$1048576,$B12)</f>
        <v/>
      </c>
      <c r="E12" s="47">
        <f>SUMIFS(Archives!$AF$2:$AF$1048576,Archives!$D$2:$D$1048576,3,Archives!$V$2:$V$1048576,$B12)+SUMIFS(Archives!$AF$2:$AF$1048576,Archives!$D$2:$D$1048576,3,Archives!$Y$2:$Y$1048576,$B12)</f>
        <v/>
      </c>
      <c r="F12" s="47">
        <f>SUMIFS(Archives!$AF$2:$AF$1048576,Archives!$D$2:$D$1048576,4,Archives!$V$2:$V$1048576,$B12)+SUMIFS(Archives!$AF$2:$AF$1048576,Archives!$D$2:$D$1048576,4,Archives!$Y$2:$Y$1048576,$B12)</f>
        <v/>
      </c>
      <c r="G12" s="47">
        <f>SUMIFS(Archives!$AF$2:$AF$1048576,Archives!$D$2:$D$1048576,5,Archives!$V$2:$V$1048576,$B12)+SUMIFS(Archives!$AF$2:$AF$1048576,Archives!$D$2:$D$1048576,5,Archives!$Y$2:$Y$1048576,$B12)</f>
        <v/>
      </c>
      <c r="H12" s="47">
        <f>SUMIFS(Archives!$AF$2:$AF$1048576,Archives!$D$2:$D$1048576,6,Archives!$V$2:$V$1048576,$B12)+SUMIFS(Archives!$AF$2:$AF$1048576,Archives!$D$2:$D$1048576,6,Archives!$Y$2:$Y$1048576,$B12)</f>
        <v/>
      </c>
      <c r="I12" s="47">
        <f>SUMIFS(Archives!$AF$2:$AF$1048576,Archives!$D$2:$D$1048576,7,Archives!$V$2:$V$1048576,$B12)+SUMIFS(Archives!$AF$2:$AF$1048576,Archives!$D$2:$D$1048576,7,Archives!$Y$2:$Y$1048576,$B12)</f>
        <v/>
      </c>
      <c r="J12" s="47">
        <f>SUMIFS(Archives!$AF$2:$AF$1048576,Archives!$D$2:$D$1048576,8,Archives!$V$2:$V$1048576,$B12)+SUMIFS(Archives!$AF$2:$AF$1048576,Archives!$D$2:$D$1048576,8,Archives!$Y$2:$Y$1048576,$B12)</f>
        <v/>
      </c>
      <c r="K12" s="47">
        <f>SUMIFS(Archives!$AF$2:$AF$1048576,Archives!$D$2:$D$1048576,9,Archives!$V$2:$V$1048576,$B12)+SUMIFS(Archives!$AF$2:$AF$1048576,Archives!$D$2:$D$1048576,9,Archives!$Y$2:$Y$1048576,$B12)</f>
        <v/>
      </c>
      <c r="L12" s="47">
        <f>SUMIFS(Archives!$AF$2:$AF$1048576,Archives!$D$2:$D$1048576,10,Archives!$V$2:$V$1048576,$B12)+SUMIFS(Archives!$AF$2:$AF$1048576,Archives!$D$2:$D$1048576,10,Archives!$Y$2:$Y$1048576,$B12)</f>
        <v/>
      </c>
      <c r="M12" s="47">
        <f>SUMIFS(Archives!$AF$2:$AF$1048576,Archives!$D$2:$D$1048576,11,Archives!$V$2:$V$1048576,$B12)+SUMIFS(Archives!$AF$2:$AF$1048576,Archives!$D$2:$D$1048576,11,Archives!$Y$2:$Y$1048576,$B12)</f>
        <v/>
      </c>
      <c r="N12" s="47">
        <f>SUMIFS(Archives!$AF$2:$AF$1048576,Archives!$D$2:$D$1048576,12,Archives!$V$2:$V$1048576,$B12)+SUMIFS(Archives!$AF$2:$AF$1048576,Archives!$D$2:$D$1048576,12,Archives!$Y$2:$Y$1048576,$B12)</f>
        <v/>
      </c>
      <c r="O12" s="47">
        <f>SUMIFS(Archives!$AF$2:$AF$1048576,Archives!$D$2:$D$1048576,13,Archives!$V$2:$V$1048576,$B12)+SUMIFS(Archives!$AF$2:$AF$1048576,Archives!$D$2:$D$1048576,13,Archives!$Y$2:$Y$1048576,$B12)</f>
        <v/>
      </c>
      <c r="P12" s="47">
        <f>SUMIFS(Archives!$AF$2:$AF$1048576,Archives!$D$2:$D$1048576,14,Archives!$V$2:$V$1048576,$B12)+SUMIFS(Archives!$AF$2:$AF$1048576,Archives!$D$2:$D$1048576,14,Archives!$Y$2:$Y$1048576,$B12)</f>
        <v/>
      </c>
      <c r="Q12" s="47">
        <f>SUMIFS(Archives!$AF$2:$AF$1048576,Archives!$D$2:$D$1048576,15,Archives!$V$2:$V$1048576,$B12)+SUMIFS(Archives!$AF$2:$AF$1048576,Archives!$D$2:$D$1048576,15,Archives!$Y$2:$Y$1048576,$B12)</f>
        <v/>
      </c>
      <c r="R12" s="48">
        <f>SUM(C12:Q12)</f>
        <v/>
      </c>
    </row>
    <row r="13" ht="15" customHeight="1" s="2">
      <c r="B13" s="43" t="inlineStr">
        <is>
          <t>Zimmer</t>
        </is>
      </c>
      <c r="C13" s="44">
        <f>SUMIFS(Archives!$AF$2:$AF$1048576,Archives!$D$2:$D$1048576,1,Archives!$V$2:$V$1048576,$B13)+SUMIFS(Archives!$AF$2:$AF$1048576,Archives!$D$2:$D$1048576,1,Archives!$Y$2:$Y$1048576,$B13)</f>
        <v/>
      </c>
      <c r="D13" s="44">
        <f>SUMIFS(Archives!$AF$2:$AF$1048576,Archives!$D$2:$D$1048576,2,Archives!$V$2:$V$1048576,$B13)+SUMIFS(Archives!$AF$2:$AF$1048576,Archives!$D$2:$D$1048576,2,Archives!$Y$2:$Y$1048576,$B13)</f>
        <v/>
      </c>
      <c r="E13" s="44">
        <f>SUMIFS(Archives!$AF$2:$AF$1048576,Archives!$D$2:$D$1048576,3,Archives!$V$2:$V$1048576,$B13)+SUMIFS(Archives!$AF$2:$AF$1048576,Archives!$D$2:$D$1048576,3,Archives!$Y$2:$Y$1048576,$B13)</f>
        <v/>
      </c>
      <c r="F13" s="44">
        <f>SUMIFS(Archives!$AF$2:$AF$1048576,Archives!$D$2:$D$1048576,4,Archives!$V$2:$V$1048576,$B13)+SUMIFS(Archives!$AF$2:$AF$1048576,Archives!$D$2:$D$1048576,4,Archives!$Y$2:$Y$1048576,$B13)</f>
        <v/>
      </c>
      <c r="G13" s="44">
        <f>SUMIFS(Archives!$AF$2:$AF$1048576,Archives!$D$2:$D$1048576,5,Archives!$V$2:$V$1048576,$B13)+SUMIFS(Archives!$AF$2:$AF$1048576,Archives!$D$2:$D$1048576,5,Archives!$Y$2:$Y$1048576,$B13)</f>
        <v/>
      </c>
      <c r="H13" s="44">
        <f>SUMIFS(Archives!$AF$2:$AF$1048576,Archives!$D$2:$D$1048576,6,Archives!$V$2:$V$1048576,$B13)+SUMIFS(Archives!$AF$2:$AF$1048576,Archives!$D$2:$D$1048576,6,Archives!$Y$2:$Y$1048576,$B13)</f>
        <v/>
      </c>
      <c r="I13" s="44">
        <f>SUMIFS(Archives!$AF$2:$AF$1048576,Archives!$D$2:$D$1048576,7,Archives!$V$2:$V$1048576,$B13)+SUMIFS(Archives!$AF$2:$AF$1048576,Archives!$D$2:$D$1048576,7,Archives!$Y$2:$Y$1048576,$B13)</f>
        <v/>
      </c>
      <c r="J13" s="44">
        <f>SUMIFS(Archives!$AF$2:$AF$1048576,Archives!$D$2:$D$1048576,8,Archives!$V$2:$V$1048576,$B13)+SUMIFS(Archives!$AF$2:$AF$1048576,Archives!$D$2:$D$1048576,8,Archives!$Y$2:$Y$1048576,$B13)</f>
        <v/>
      </c>
      <c r="K13" s="44">
        <f>SUMIFS(Archives!$AF$2:$AF$1048576,Archives!$D$2:$D$1048576,9,Archives!$V$2:$V$1048576,$B13)+SUMIFS(Archives!$AF$2:$AF$1048576,Archives!$D$2:$D$1048576,9,Archives!$Y$2:$Y$1048576,$B13)</f>
        <v/>
      </c>
      <c r="L13" s="44">
        <f>SUMIFS(Archives!$AF$2:$AF$1048576,Archives!$D$2:$D$1048576,10,Archives!$V$2:$V$1048576,$B13)+SUMIFS(Archives!$AF$2:$AF$1048576,Archives!$D$2:$D$1048576,10,Archives!$Y$2:$Y$1048576,$B13)</f>
        <v/>
      </c>
      <c r="M13" s="44">
        <f>SUMIFS(Archives!$AF$2:$AF$1048576,Archives!$D$2:$D$1048576,11,Archives!$V$2:$V$1048576,$B13)+SUMIFS(Archives!$AF$2:$AF$1048576,Archives!$D$2:$D$1048576,11,Archives!$Y$2:$Y$1048576,$B13)</f>
        <v/>
      </c>
      <c r="N13" s="44">
        <f>SUMIFS(Archives!$AF$2:$AF$1048576,Archives!$D$2:$D$1048576,12,Archives!$V$2:$V$1048576,$B13)+SUMIFS(Archives!$AF$2:$AF$1048576,Archives!$D$2:$D$1048576,12,Archives!$Y$2:$Y$1048576,$B13)</f>
        <v/>
      </c>
      <c r="O13" s="44">
        <f>SUMIFS(Archives!$AF$2:$AF$1048576,Archives!$D$2:$D$1048576,13,Archives!$V$2:$V$1048576,$B13)+SUMIFS(Archives!$AF$2:$AF$1048576,Archives!$D$2:$D$1048576,13,Archives!$Y$2:$Y$1048576,$B13)</f>
        <v/>
      </c>
      <c r="P13" s="44">
        <f>SUMIFS(Archives!$AF$2:$AF$1048576,Archives!$D$2:$D$1048576,14,Archives!$V$2:$V$1048576,$B13)+SUMIFS(Archives!$AF$2:$AF$1048576,Archives!$D$2:$D$1048576,14,Archives!$Y$2:$Y$1048576,$B13)</f>
        <v/>
      </c>
      <c r="Q13" s="44">
        <f>SUMIFS(Archives!$AF$2:$AF$1048576,Archives!$D$2:$D$1048576,15,Archives!$V$2:$V$1048576,$B13)+SUMIFS(Archives!$AF$2:$AF$1048576,Archives!$D$2:$D$1048576,15,Archives!$Y$2:$Y$1048576,$B13)</f>
        <v/>
      </c>
      <c r="R13" s="45">
        <f>SUM(C13:Q13)</f>
        <v/>
      </c>
    </row>
    <row r="14" ht="15" customHeight="1" s="2">
      <c r="B14" s="46" t="inlineStr">
        <is>
          <t>Gray</t>
        </is>
      </c>
      <c r="C14" s="47">
        <f>SUMIFS(Archives!$AF$2:$AF$1048576,Archives!$D$2:$D$1048576,1,Archives!$V$2:$V$1048576,$B14)+SUMIFS(Archives!$AF$2:$AF$1048576,Archives!$D$2:$D$1048576,1,Archives!$Y$2:$Y$1048576,$B14)</f>
        <v/>
      </c>
      <c r="D14" s="47">
        <f>SUMIFS(Archives!$AF$2:$AF$1048576,Archives!$D$2:$D$1048576,2,Archives!$V$2:$V$1048576,$B14)+SUMIFS(Archives!$AF$2:$AF$1048576,Archives!$D$2:$D$1048576,2,Archives!$Y$2:$Y$1048576,$B14)</f>
        <v/>
      </c>
      <c r="E14" s="47">
        <f>SUMIFS(Archives!$AF$2:$AF$1048576,Archives!$D$2:$D$1048576,3,Archives!$V$2:$V$1048576,$B14)+SUMIFS(Archives!$AF$2:$AF$1048576,Archives!$D$2:$D$1048576,3,Archives!$Y$2:$Y$1048576,$B14)</f>
        <v/>
      </c>
      <c r="F14" s="47">
        <f>SUMIFS(Archives!$AF$2:$AF$1048576,Archives!$D$2:$D$1048576,4,Archives!$V$2:$V$1048576,$B14)+SUMIFS(Archives!$AF$2:$AF$1048576,Archives!$D$2:$D$1048576,4,Archives!$Y$2:$Y$1048576,$B14)</f>
        <v/>
      </c>
      <c r="G14" s="47">
        <f>SUMIFS(Archives!$AF$2:$AF$1048576,Archives!$D$2:$D$1048576,5,Archives!$V$2:$V$1048576,$B14)+SUMIFS(Archives!$AF$2:$AF$1048576,Archives!$D$2:$D$1048576,5,Archives!$Y$2:$Y$1048576,$B14)</f>
        <v/>
      </c>
      <c r="H14" s="47">
        <f>SUMIFS(Archives!$AF$2:$AF$1048576,Archives!$D$2:$D$1048576,6,Archives!$V$2:$V$1048576,$B14)+SUMIFS(Archives!$AF$2:$AF$1048576,Archives!$D$2:$D$1048576,6,Archives!$Y$2:$Y$1048576,$B14)</f>
        <v/>
      </c>
      <c r="I14" s="47">
        <f>SUMIFS(Archives!$AF$2:$AF$1048576,Archives!$D$2:$D$1048576,7,Archives!$V$2:$V$1048576,$B14)+SUMIFS(Archives!$AF$2:$AF$1048576,Archives!$D$2:$D$1048576,7,Archives!$Y$2:$Y$1048576,$B14)</f>
        <v/>
      </c>
      <c r="J14" s="47">
        <f>SUMIFS(Archives!$AF$2:$AF$1048576,Archives!$D$2:$D$1048576,8,Archives!$V$2:$V$1048576,$B14)+SUMIFS(Archives!$AF$2:$AF$1048576,Archives!$D$2:$D$1048576,8,Archives!$Y$2:$Y$1048576,$B14)</f>
        <v/>
      </c>
      <c r="K14" s="47">
        <f>SUMIFS(Archives!$AF$2:$AF$1048576,Archives!$D$2:$D$1048576,9,Archives!$V$2:$V$1048576,$B14)+SUMIFS(Archives!$AF$2:$AF$1048576,Archives!$D$2:$D$1048576,9,Archives!$Y$2:$Y$1048576,$B14)</f>
        <v/>
      </c>
      <c r="L14" s="47">
        <f>SUMIFS(Archives!$AF$2:$AF$1048576,Archives!$D$2:$D$1048576,10,Archives!$V$2:$V$1048576,$B14)+SUMIFS(Archives!$AF$2:$AF$1048576,Archives!$D$2:$D$1048576,10,Archives!$Y$2:$Y$1048576,$B14)</f>
        <v/>
      </c>
      <c r="M14" s="47">
        <f>SUMIFS(Archives!$AF$2:$AF$1048576,Archives!$D$2:$D$1048576,11,Archives!$V$2:$V$1048576,$B14)+SUMIFS(Archives!$AF$2:$AF$1048576,Archives!$D$2:$D$1048576,11,Archives!$Y$2:$Y$1048576,$B14)</f>
        <v/>
      </c>
      <c r="N14" s="47">
        <f>SUMIFS(Archives!$AF$2:$AF$1048576,Archives!$D$2:$D$1048576,12,Archives!$V$2:$V$1048576,$B14)+SUMIFS(Archives!$AF$2:$AF$1048576,Archives!$D$2:$D$1048576,12,Archives!$Y$2:$Y$1048576,$B14)</f>
        <v/>
      </c>
      <c r="O14" s="47">
        <f>SUMIFS(Archives!$AF$2:$AF$1048576,Archives!$D$2:$D$1048576,13,Archives!$V$2:$V$1048576,$B14)+SUMIFS(Archives!$AF$2:$AF$1048576,Archives!$D$2:$D$1048576,13,Archives!$Y$2:$Y$1048576,$B14)</f>
        <v/>
      </c>
      <c r="P14" s="47">
        <f>SUMIFS(Archives!$AF$2:$AF$1048576,Archives!$D$2:$D$1048576,14,Archives!$V$2:$V$1048576,$B14)+SUMIFS(Archives!$AF$2:$AF$1048576,Archives!$D$2:$D$1048576,14,Archives!$Y$2:$Y$1048576,$B14)</f>
        <v/>
      </c>
      <c r="Q14" s="47">
        <f>SUMIFS(Archives!$AF$2:$AF$1048576,Archives!$D$2:$D$1048576,15,Archives!$V$2:$V$1048576,$B14)+SUMIFS(Archives!$AF$2:$AF$1048576,Archives!$D$2:$D$1048576,15,Archives!$Y$2:$Y$1048576,$B14)</f>
        <v/>
      </c>
      <c r="R14" s="48">
        <f>SUM(C14:Q14)</f>
        <v/>
      </c>
    </row>
    <row r="15" ht="15" customHeight="1" s="2">
      <c r="B15" s="43" t="inlineStr">
        <is>
          <t>Fogan</t>
        </is>
      </c>
      <c r="C15" s="44">
        <f>SUMIFS(Archives!$AF$2:$AF$1048576,Archives!$D$2:$D$1048576,1,Archives!$V$2:$V$1048576,$B15)+SUMIFS(Archives!$AF$2:$AF$1048576,Archives!$D$2:$D$1048576,1,Archives!$Y$2:$Y$1048576,$B15)</f>
        <v/>
      </c>
      <c r="D15" s="44">
        <f>SUMIFS(Archives!$AF$2:$AF$1048576,Archives!$D$2:$D$1048576,2,Archives!$V$2:$V$1048576,$B15)+SUMIFS(Archives!$AF$2:$AF$1048576,Archives!$D$2:$D$1048576,2,Archives!$Y$2:$Y$1048576,$B15)</f>
        <v/>
      </c>
      <c r="E15" s="44">
        <f>SUMIFS(Archives!$AF$2:$AF$1048576,Archives!$D$2:$D$1048576,3,Archives!$V$2:$V$1048576,$B15)+SUMIFS(Archives!$AF$2:$AF$1048576,Archives!$D$2:$D$1048576,3,Archives!$Y$2:$Y$1048576,$B15)</f>
        <v/>
      </c>
      <c r="F15" s="44">
        <f>SUMIFS(Archives!$AF$2:$AF$1048576,Archives!$D$2:$D$1048576,4,Archives!$V$2:$V$1048576,$B15)+SUMIFS(Archives!$AF$2:$AF$1048576,Archives!$D$2:$D$1048576,4,Archives!$Y$2:$Y$1048576,$B15)</f>
        <v/>
      </c>
      <c r="G15" s="44">
        <f>SUMIFS(Archives!$AF$2:$AF$1048576,Archives!$D$2:$D$1048576,5,Archives!$V$2:$V$1048576,$B15)+SUMIFS(Archives!$AF$2:$AF$1048576,Archives!$D$2:$D$1048576,5,Archives!$Y$2:$Y$1048576,$B15)</f>
        <v/>
      </c>
      <c r="H15" s="44">
        <f>SUMIFS(Archives!$AF$2:$AF$1048576,Archives!$D$2:$D$1048576,6,Archives!$V$2:$V$1048576,$B15)+SUMIFS(Archives!$AF$2:$AF$1048576,Archives!$D$2:$D$1048576,6,Archives!$Y$2:$Y$1048576,$B15)</f>
        <v/>
      </c>
      <c r="I15" s="44">
        <f>SUMIFS(Archives!$AF$2:$AF$1048576,Archives!$D$2:$D$1048576,7,Archives!$V$2:$V$1048576,$B15)+SUMIFS(Archives!$AF$2:$AF$1048576,Archives!$D$2:$D$1048576,7,Archives!$Y$2:$Y$1048576,$B15)</f>
        <v/>
      </c>
      <c r="J15" s="44">
        <f>SUMIFS(Archives!$AF$2:$AF$1048576,Archives!$D$2:$D$1048576,8,Archives!$V$2:$V$1048576,$B15)+SUMIFS(Archives!$AF$2:$AF$1048576,Archives!$D$2:$D$1048576,8,Archives!$Y$2:$Y$1048576,$B15)</f>
        <v/>
      </c>
      <c r="K15" s="44">
        <f>SUMIFS(Archives!$AF$2:$AF$1048576,Archives!$D$2:$D$1048576,9,Archives!$V$2:$V$1048576,$B15)+SUMIFS(Archives!$AF$2:$AF$1048576,Archives!$D$2:$D$1048576,9,Archives!$Y$2:$Y$1048576,$B15)</f>
        <v/>
      </c>
      <c r="L15" s="44">
        <f>SUMIFS(Archives!$AF$2:$AF$1048576,Archives!$D$2:$D$1048576,10,Archives!$V$2:$V$1048576,$B15)+SUMIFS(Archives!$AF$2:$AF$1048576,Archives!$D$2:$D$1048576,10,Archives!$Y$2:$Y$1048576,$B15)</f>
        <v/>
      </c>
      <c r="M15" s="44">
        <f>SUMIFS(Archives!$AF$2:$AF$1048576,Archives!$D$2:$D$1048576,11,Archives!$V$2:$V$1048576,$B15)+SUMIFS(Archives!$AF$2:$AF$1048576,Archives!$D$2:$D$1048576,11,Archives!$Y$2:$Y$1048576,$B15)</f>
        <v/>
      </c>
      <c r="N15" s="44">
        <f>SUMIFS(Archives!$AF$2:$AF$1048576,Archives!$D$2:$D$1048576,12,Archives!$V$2:$V$1048576,$B15)+SUMIFS(Archives!$AF$2:$AF$1048576,Archives!$D$2:$D$1048576,12,Archives!$Y$2:$Y$1048576,$B15)</f>
        <v/>
      </c>
      <c r="O15" s="44">
        <f>SUMIFS(Archives!$AF$2:$AF$1048576,Archives!$D$2:$D$1048576,13,Archives!$V$2:$V$1048576,$B15)+SUMIFS(Archives!$AF$2:$AF$1048576,Archives!$D$2:$D$1048576,13,Archives!$Y$2:$Y$1048576,$B15)</f>
        <v/>
      </c>
      <c r="P15" s="44">
        <f>SUMIFS(Archives!$AF$2:$AF$1048576,Archives!$D$2:$D$1048576,14,Archives!$V$2:$V$1048576,$B15)+SUMIFS(Archives!$AF$2:$AF$1048576,Archives!$D$2:$D$1048576,14,Archives!$Y$2:$Y$1048576,$B15)</f>
        <v/>
      </c>
      <c r="Q15" s="44">
        <f>SUMIFS(Archives!$AF$2:$AF$1048576,Archives!$D$2:$D$1048576,15,Archives!$V$2:$V$1048576,$B15)+SUMIFS(Archives!$AF$2:$AF$1048576,Archives!$D$2:$D$1048576,15,Archives!$Y$2:$Y$1048576,$B15)</f>
        <v/>
      </c>
      <c r="R15" s="45">
        <f>SUM(C15:Q15)</f>
        <v/>
      </c>
    </row>
    <row r="16" ht="15" customHeight="1" s="2">
      <c r="B16" s="46" t="inlineStr">
        <is>
          <t>Cole</t>
        </is>
      </c>
      <c r="C16" s="47">
        <f>SUMIFS(Archives!$AF$2:$AF$1048576,Archives!$D$2:$D$1048576,1,Archives!$V$2:$V$1048576,$B16)+SUMIFS(Archives!$AF$2:$AF$1048576,Archives!$D$2:$D$1048576,1,Archives!$Y$2:$Y$1048576,$B16)</f>
        <v/>
      </c>
      <c r="D16" s="47">
        <f>SUMIFS(Archives!$AF$2:$AF$1048576,Archives!$D$2:$D$1048576,2,Archives!$V$2:$V$1048576,$B16)+SUMIFS(Archives!$AF$2:$AF$1048576,Archives!$D$2:$D$1048576,2,Archives!$Y$2:$Y$1048576,$B16)</f>
        <v/>
      </c>
      <c r="E16" s="47">
        <f>SUMIFS(Archives!$AF$2:$AF$1048576,Archives!$D$2:$D$1048576,3,Archives!$V$2:$V$1048576,$B16)+SUMIFS(Archives!$AF$2:$AF$1048576,Archives!$D$2:$D$1048576,3,Archives!$Y$2:$Y$1048576,$B16)</f>
        <v/>
      </c>
      <c r="F16" s="47">
        <f>SUMIFS(Archives!$AF$2:$AF$1048576,Archives!$D$2:$D$1048576,4,Archives!$V$2:$V$1048576,$B16)+SUMIFS(Archives!$AF$2:$AF$1048576,Archives!$D$2:$D$1048576,4,Archives!$Y$2:$Y$1048576,$B16)</f>
        <v/>
      </c>
      <c r="G16" s="47">
        <f>SUMIFS(Archives!$AF$2:$AF$1048576,Archives!$D$2:$D$1048576,5,Archives!$V$2:$V$1048576,$B16)+SUMIFS(Archives!$AF$2:$AF$1048576,Archives!$D$2:$D$1048576,5,Archives!$Y$2:$Y$1048576,$B16)</f>
        <v/>
      </c>
      <c r="H16" s="47">
        <f>SUMIFS(Archives!$AF$2:$AF$1048576,Archives!$D$2:$D$1048576,6,Archives!$V$2:$V$1048576,$B16)+SUMIFS(Archives!$AF$2:$AF$1048576,Archives!$D$2:$D$1048576,6,Archives!$Y$2:$Y$1048576,$B16)</f>
        <v/>
      </c>
      <c r="I16" s="47">
        <f>SUMIFS(Archives!$AF$2:$AF$1048576,Archives!$D$2:$D$1048576,7,Archives!$V$2:$V$1048576,$B16)+SUMIFS(Archives!$AF$2:$AF$1048576,Archives!$D$2:$D$1048576,7,Archives!$Y$2:$Y$1048576,$B16)</f>
        <v/>
      </c>
      <c r="J16" s="47">
        <f>SUMIFS(Archives!$AF$2:$AF$1048576,Archives!$D$2:$D$1048576,8,Archives!$V$2:$V$1048576,$B16)+SUMIFS(Archives!$AF$2:$AF$1048576,Archives!$D$2:$D$1048576,8,Archives!$Y$2:$Y$1048576,$B16)</f>
        <v/>
      </c>
      <c r="K16" s="47">
        <f>SUMIFS(Archives!$AF$2:$AF$1048576,Archives!$D$2:$D$1048576,9,Archives!$V$2:$V$1048576,$B16)+SUMIFS(Archives!$AF$2:$AF$1048576,Archives!$D$2:$D$1048576,9,Archives!$Y$2:$Y$1048576,$B16)</f>
        <v/>
      </c>
      <c r="L16" s="47">
        <f>SUMIFS(Archives!$AF$2:$AF$1048576,Archives!$D$2:$D$1048576,10,Archives!$V$2:$V$1048576,$B16)+SUMIFS(Archives!$AF$2:$AF$1048576,Archives!$D$2:$D$1048576,10,Archives!$Y$2:$Y$1048576,$B16)</f>
        <v/>
      </c>
      <c r="M16" s="47">
        <f>SUMIFS(Archives!$AF$2:$AF$1048576,Archives!$D$2:$D$1048576,11,Archives!$V$2:$V$1048576,$B16)+SUMIFS(Archives!$AF$2:$AF$1048576,Archives!$D$2:$D$1048576,11,Archives!$Y$2:$Y$1048576,$B16)</f>
        <v/>
      </c>
      <c r="N16" s="47">
        <f>SUMIFS(Archives!$AF$2:$AF$1048576,Archives!$D$2:$D$1048576,12,Archives!$V$2:$V$1048576,$B16)+SUMIFS(Archives!$AF$2:$AF$1048576,Archives!$D$2:$D$1048576,12,Archives!$Y$2:$Y$1048576,$B16)</f>
        <v/>
      </c>
      <c r="O16" s="47">
        <f>SUMIFS(Archives!$AF$2:$AF$1048576,Archives!$D$2:$D$1048576,13,Archives!$V$2:$V$1048576,$B16)+SUMIFS(Archives!$AF$2:$AF$1048576,Archives!$D$2:$D$1048576,13,Archives!$Y$2:$Y$1048576,$B16)</f>
        <v/>
      </c>
      <c r="P16" s="47">
        <f>SUMIFS(Archives!$AF$2:$AF$1048576,Archives!$D$2:$D$1048576,14,Archives!$V$2:$V$1048576,$B16)+SUMIFS(Archives!$AF$2:$AF$1048576,Archives!$D$2:$D$1048576,14,Archives!$Y$2:$Y$1048576,$B16)</f>
        <v/>
      </c>
      <c r="Q16" s="47">
        <f>SUMIFS(Archives!$AF$2:$AF$1048576,Archives!$D$2:$D$1048576,15,Archives!$V$2:$V$1048576,$B16)+SUMIFS(Archives!$AF$2:$AF$1048576,Archives!$D$2:$D$1048576,15,Archives!$Y$2:$Y$1048576,$B16)</f>
        <v/>
      </c>
      <c r="R16" s="48">
        <f>SUM(C16:Q16)</f>
        <v/>
      </c>
    </row>
    <row r="17" ht="15" customHeight="1" s="2">
      <c r="B17" s="43" t="inlineStr">
        <is>
          <t>Mangold</t>
        </is>
      </c>
      <c r="C17" s="44">
        <f>SUMIFS(Archives!$AF$2:$AF$1048576,Archives!$D$2:$D$1048576,1,Archives!$V$2:$V$1048576,$B17)+SUMIFS(Archives!$AF$2:$AF$1048576,Archives!$D$2:$D$1048576,1,Archives!$Y$2:$Y$1048576,$B17)</f>
        <v/>
      </c>
      <c r="D17" s="44">
        <f>SUMIFS(Archives!$AF$2:$AF$1048576,Archives!$D$2:$D$1048576,2,Archives!$V$2:$V$1048576,$B17)+SUMIFS(Archives!$AF$2:$AF$1048576,Archives!$D$2:$D$1048576,2,Archives!$Y$2:$Y$1048576,$B17)</f>
        <v/>
      </c>
      <c r="E17" s="44">
        <f>SUMIFS(Archives!$AF$2:$AF$1048576,Archives!$D$2:$D$1048576,3,Archives!$V$2:$V$1048576,$B17)+SUMIFS(Archives!$AF$2:$AF$1048576,Archives!$D$2:$D$1048576,3,Archives!$Y$2:$Y$1048576,$B17)</f>
        <v/>
      </c>
      <c r="F17" s="44">
        <f>SUMIFS(Archives!$AF$2:$AF$1048576,Archives!$D$2:$D$1048576,4,Archives!$V$2:$V$1048576,$B17)+SUMIFS(Archives!$AF$2:$AF$1048576,Archives!$D$2:$D$1048576,4,Archives!$Y$2:$Y$1048576,$B17)</f>
        <v/>
      </c>
      <c r="G17" s="44">
        <f>SUMIFS(Archives!$AF$2:$AF$1048576,Archives!$D$2:$D$1048576,5,Archives!$V$2:$V$1048576,$B17)+SUMIFS(Archives!$AF$2:$AF$1048576,Archives!$D$2:$D$1048576,5,Archives!$Y$2:$Y$1048576,$B17)</f>
        <v/>
      </c>
      <c r="H17" s="44">
        <f>SUMIFS(Archives!$AF$2:$AF$1048576,Archives!$D$2:$D$1048576,6,Archives!$V$2:$V$1048576,$B17)+SUMIFS(Archives!$AF$2:$AF$1048576,Archives!$D$2:$D$1048576,6,Archives!$Y$2:$Y$1048576,$B17)</f>
        <v/>
      </c>
      <c r="I17" s="44">
        <f>SUMIFS(Archives!$AF$2:$AF$1048576,Archives!$D$2:$D$1048576,7,Archives!$V$2:$V$1048576,$B17)+SUMIFS(Archives!$AF$2:$AF$1048576,Archives!$D$2:$D$1048576,7,Archives!$Y$2:$Y$1048576,$B17)</f>
        <v/>
      </c>
      <c r="J17" s="44">
        <f>SUMIFS(Archives!$AF$2:$AF$1048576,Archives!$D$2:$D$1048576,8,Archives!$V$2:$V$1048576,$B17)+SUMIFS(Archives!$AF$2:$AF$1048576,Archives!$D$2:$D$1048576,8,Archives!$Y$2:$Y$1048576,$B17)</f>
        <v/>
      </c>
      <c r="K17" s="44">
        <f>SUMIFS(Archives!$AF$2:$AF$1048576,Archives!$D$2:$D$1048576,9,Archives!$V$2:$V$1048576,$B17)+SUMIFS(Archives!$AF$2:$AF$1048576,Archives!$D$2:$D$1048576,9,Archives!$Y$2:$Y$1048576,$B17)</f>
        <v/>
      </c>
      <c r="L17" s="44">
        <f>SUMIFS(Archives!$AF$2:$AF$1048576,Archives!$D$2:$D$1048576,10,Archives!$V$2:$V$1048576,$B17)+SUMIFS(Archives!$AF$2:$AF$1048576,Archives!$D$2:$D$1048576,10,Archives!$Y$2:$Y$1048576,$B17)</f>
        <v/>
      </c>
      <c r="M17" s="44">
        <f>SUMIFS(Archives!$AF$2:$AF$1048576,Archives!$D$2:$D$1048576,11,Archives!$V$2:$V$1048576,$B17)+SUMIFS(Archives!$AF$2:$AF$1048576,Archives!$D$2:$D$1048576,11,Archives!$Y$2:$Y$1048576,$B17)</f>
        <v/>
      </c>
      <c r="N17" s="44">
        <f>SUMIFS(Archives!$AF$2:$AF$1048576,Archives!$D$2:$D$1048576,12,Archives!$V$2:$V$1048576,$B17)+SUMIFS(Archives!$AF$2:$AF$1048576,Archives!$D$2:$D$1048576,12,Archives!$Y$2:$Y$1048576,$B17)</f>
        <v/>
      </c>
      <c r="O17" s="44">
        <f>SUMIFS(Archives!$AF$2:$AF$1048576,Archives!$D$2:$D$1048576,13,Archives!$V$2:$V$1048576,$B17)+SUMIFS(Archives!$AF$2:$AF$1048576,Archives!$D$2:$D$1048576,13,Archives!$Y$2:$Y$1048576,$B17)</f>
        <v/>
      </c>
      <c r="P17" s="44">
        <f>SUMIFS(Archives!$AF$2:$AF$1048576,Archives!$D$2:$D$1048576,14,Archives!$V$2:$V$1048576,$B17)+SUMIFS(Archives!$AF$2:$AF$1048576,Archives!$D$2:$D$1048576,14,Archives!$Y$2:$Y$1048576,$B17)</f>
        <v/>
      </c>
      <c r="Q17" s="44">
        <f>SUMIFS(Archives!$AF$2:$AF$1048576,Archives!$D$2:$D$1048576,15,Archives!$V$2:$V$1048576,$B17)+SUMIFS(Archives!$AF$2:$AF$1048576,Archives!$D$2:$D$1048576,15,Archives!$Y$2:$Y$1048576,$B17)</f>
        <v/>
      </c>
      <c r="R17" s="45">
        <f>SUM(C17:Q17)</f>
        <v/>
      </c>
    </row>
    <row r="18" ht="15" customHeight="1" s="2">
      <c r="B18" s="46" t="inlineStr">
        <is>
          <t>Welker</t>
        </is>
      </c>
      <c r="C18" s="47">
        <f>SUMIFS(Archives!$AF$2:$AF$1048576,Archives!$D$2:$D$1048576,1,Archives!$V$2:$V$1048576,$B18)+SUMIFS(Archives!$AF$2:$AF$1048576,Archives!$D$2:$D$1048576,1,Archives!$Y$2:$Y$1048576,$B18)</f>
        <v/>
      </c>
      <c r="D18" s="47">
        <f>SUMIFS(Archives!$AF$2:$AF$1048576,Archives!$D$2:$D$1048576,2,Archives!$V$2:$V$1048576,$B18)+SUMIFS(Archives!$AF$2:$AF$1048576,Archives!$D$2:$D$1048576,2,Archives!$Y$2:$Y$1048576,$B18)</f>
        <v/>
      </c>
      <c r="E18" s="47">
        <f>SUMIFS(Archives!$AF$2:$AF$1048576,Archives!$D$2:$D$1048576,3,Archives!$V$2:$V$1048576,$B18)+SUMIFS(Archives!$AF$2:$AF$1048576,Archives!$D$2:$D$1048576,3,Archives!$Y$2:$Y$1048576,$B18)</f>
        <v/>
      </c>
      <c r="F18" s="47">
        <f>SUMIFS(Archives!$AF$2:$AF$1048576,Archives!$D$2:$D$1048576,4,Archives!$V$2:$V$1048576,$B18)+SUMIFS(Archives!$AF$2:$AF$1048576,Archives!$D$2:$D$1048576,4,Archives!$Y$2:$Y$1048576,$B18)</f>
        <v/>
      </c>
      <c r="G18" s="47">
        <f>SUMIFS(Archives!$AF$2:$AF$1048576,Archives!$D$2:$D$1048576,5,Archives!$V$2:$V$1048576,$B18)+SUMIFS(Archives!$AF$2:$AF$1048576,Archives!$D$2:$D$1048576,5,Archives!$Y$2:$Y$1048576,$B18)</f>
        <v/>
      </c>
      <c r="H18" s="47">
        <f>SUMIFS(Archives!$AF$2:$AF$1048576,Archives!$D$2:$D$1048576,6,Archives!$V$2:$V$1048576,$B18)+SUMIFS(Archives!$AF$2:$AF$1048576,Archives!$D$2:$D$1048576,6,Archives!$Y$2:$Y$1048576,$B18)</f>
        <v/>
      </c>
      <c r="I18" s="47">
        <f>SUMIFS(Archives!$AF$2:$AF$1048576,Archives!$D$2:$D$1048576,7,Archives!$V$2:$V$1048576,$B18)+SUMIFS(Archives!$AF$2:$AF$1048576,Archives!$D$2:$D$1048576,7,Archives!$Y$2:$Y$1048576,$B18)</f>
        <v/>
      </c>
      <c r="J18" s="47">
        <f>SUMIFS(Archives!$AF$2:$AF$1048576,Archives!$D$2:$D$1048576,8,Archives!$V$2:$V$1048576,$B18)+SUMIFS(Archives!$AF$2:$AF$1048576,Archives!$D$2:$D$1048576,8,Archives!$Y$2:$Y$1048576,$B18)</f>
        <v/>
      </c>
      <c r="K18" s="47">
        <f>SUMIFS(Archives!$AF$2:$AF$1048576,Archives!$D$2:$D$1048576,9,Archives!$V$2:$V$1048576,$B18)+SUMIFS(Archives!$AF$2:$AF$1048576,Archives!$D$2:$D$1048576,9,Archives!$Y$2:$Y$1048576,$B18)</f>
        <v/>
      </c>
      <c r="L18" s="47">
        <f>SUMIFS(Archives!$AF$2:$AF$1048576,Archives!$D$2:$D$1048576,10,Archives!$V$2:$V$1048576,$B18)+SUMIFS(Archives!$AF$2:$AF$1048576,Archives!$D$2:$D$1048576,10,Archives!$Y$2:$Y$1048576,$B18)</f>
        <v/>
      </c>
      <c r="M18" s="47">
        <f>SUMIFS(Archives!$AF$2:$AF$1048576,Archives!$D$2:$D$1048576,11,Archives!$V$2:$V$1048576,$B18)+SUMIFS(Archives!$AF$2:$AF$1048576,Archives!$D$2:$D$1048576,11,Archives!$Y$2:$Y$1048576,$B18)</f>
        <v/>
      </c>
      <c r="N18" s="47">
        <f>SUMIFS(Archives!$AF$2:$AF$1048576,Archives!$D$2:$D$1048576,12,Archives!$V$2:$V$1048576,$B18)+SUMIFS(Archives!$AF$2:$AF$1048576,Archives!$D$2:$D$1048576,12,Archives!$Y$2:$Y$1048576,$B18)</f>
        <v/>
      </c>
      <c r="O18" s="47">
        <f>SUMIFS(Archives!$AF$2:$AF$1048576,Archives!$D$2:$D$1048576,13,Archives!$V$2:$V$1048576,$B18)+SUMIFS(Archives!$AF$2:$AF$1048576,Archives!$D$2:$D$1048576,13,Archives!$Y$2:$Y$1048576,$B18)</f>
        <v/>
      </c>
      <c r="P18" s="47">
        <f>SUMIFS(Archives!$AF$2:$AF$1048576,Archives!$D$2:$D$1048576,14,Archives!$V$2:$V$1048576,$B18)+SUMIFS(Archives!$AF$2:$AF$1048576,Archives!$D$2:$D$1048576,14,Archives!$Y$2:$Y$1048576,$B18)</f>
        <v/>
      </c>
      <c r="Q18" s="47">
        <f>SUMIFS(Archives!$AF$2:$AF$1048576,Archives!$D$2:$D$1048576,15,Archives!$V$2:$V$1048576,$B18)+SUMIFS(Archives!$AF$2:$AF$1048576,Archives!$D$2:$D$1048576,15,Archives!$Y$2:$Y$1048576,$B18)</f>
        <v/>
      </c>
      <c r="R18" s="48">
        <f>SUM(C18:Q18)</f>
        <v/>
      </c>
    </row>
    <row r="19" ht="15" customHeight="1" s="2">
      <c r="B19" s="43" t="inlineStr">
        <is>
          <t>McInerney</t>
        </is>
      </c>
      <c r="C19" s="44">
        <f>SUMIFS(Archives!$AF$2:$AF$1048576,Archives!$D$2:$D$1048576,1,Archives!$V$2:$V$1048576,$B19)+SUMIFS(Archives!$AF$2:$AF$1048576,Archives!$D$2:$D$1048576,1,Archives!$Y$2:$Y$1048576,$B19)</f>
        <v/>
      </c>
      <c r="D19" s="44">
        <f>SUMIFS(Archives!$AF$2:$AF$1048576,Archives!$D$2:$D$1048576,2,Archives!$V$2:$V$1048576,$B19)+SUMIFS(Archives!$AF$2:$AF$1048576,Archives!$D$2:$D$1048576,2,Archives!$Y$2:$Y$1048576,$B19)</f>
        <v/>
      </c>
      <c r="E19" s="44">
        <f>SUMIFS(Archives!$AF$2:$AF$1048576,Archives!$D$2:$D$1048576,3,Archives!$V$2:$V$1048576,$B19)+SUMIFS(Archives!$AF$2:$AF$1048576,Archives!$D$2:$D$1048576,3,Archives!$Y$2:$Y$1048576,$B19)</f>
        <v/>
      </c>
      <c r="F19" s="44">
        <f>SUMIFS(Archives!$AF$2:$AF$1048576,Archives!$D$2:$D$1048576,4,Archives!$V$2:$V$1048576,$B19)+SUMIFS(Archives!$AF$2:$AF$1048576,Archives!$D$2:$D$1048576,4,Archives!$Y$2:$Y$1048576,$B19)</f>
        <v/>
      </c>
      <c r="G19" s="44">
        <f>SUMIFS(Archives!$AF$2:$AF$1048576,Archives!$D$2:$D$1048576,5,Archives!$V$2:$V$1048576,$B19)+SUMIFS(Archives!$AF$2:$AF$1048576,Archives!$D$2:$D$1048576,5,Archives!$Y$2:$Y$1048576,$B19)</f>
        <v/>
      </c>
      <c r="H19" s="44">
        <f>SUMIFS(Archives!$AF$2:$AF$1048576,Archives!$D$2:$D$1048576,6,Archives!$V$2:$V$1048576,$B19)+SUMIFS(Archives!$AF$2:$AF$1048576,Archives!$D$2:$D$1048576,6,Archives!$Y$2:$Y$1048576,$B19)</f>
        <v/>
      </c>
      <c r="I19" s="44">
        <f>SUMIFS(Archives!$AF$2:$AF$1048576,Archives!$D$2:$D$1048576,7,Archives!$V$2:$V$1048576,$B19)+SUMIFS(Archives!$AF$2:$AF$1048576,Archives!$D$2:$D$1048576,7,Archives!$Y$2:$Y$1048576,$B19)</f>
        <v/>
      </c>
      <c r="J19" s="44">
        <f>SUMIFS(Archives!$AF$2:$AF$1048576,Archives!$D$2:$D$1048576,8,Archives!$V$2:$V$1048576,$B19)+SUMIFS(Archives!$AF$2:$AF$1048576,Archives!$D$2:$D$1048576,8,Archives!$Y$2:$Y$1048576,$B19)</f>
        <v/>
      </c>
      <c r="K19" s="44">
        <f>SUMIFS(Archives!$AF$2:$AF$1048576,Archives!$D$2:$D$1048576,9,Archives!$V$2:$V$1048576,$B19)+SUMIFS(Archives!$AF$2:$AF$1048576,Archives!$D$2:$D$1048576,9,Archives!$Y$2:$Y$1048576,$B19)</f>
        <v/>
      </c>
      <c r="L19" s="44">
        <f>SUMIFS(Archives!$AF$2:$AF$1048576,Archives!$D$2:$D$1048576,10,Archives!$V$2:$V$1048576,$B19)+SUMIFS(Archives!$AF$2:$AF$1048576,Archives!$D$2:$D$1048576,10,Archives!$Y$2:$Y$1048576,$B19)</f>
        <v/>
      </c>
      <c r="M19" s="44">
        <f>SUMIFS(Archives!$AF$2:$AF$1048576,Archives!$D$2:$D$1048576,11,Archives!$V$2:$V$1048576,$B19)+SUMIFS(Archives!$AF$2:$AF$1048576,Archives!$D$2:$D$1048576,11,Archives!$Y$2:$Y$1048576,$B19)</f>
        <v/>
      </c>
      <c r="N19" s="44">
        <f>SUMIFS(Archives!$AF$2:$AF$1048576,Archives!$D$2:$D$1048576,12,Archives!$V$2:$V$1048576,$B19)+SUMIFS(Archives!$AF$2:$AF$1048576,Archives!$D$2:$D$1048576,12,Archives!$Y$2:$Y$1048576,$B19)</f>
        <v/>
      </c>
      <c r="O19" s="44">
        <f>SUMIFS(Archives!$AF$2:$AF$1048576,Archives!$D$2:$D$1048576,13,Archives!$V$2:$V$1048576,$B19)+SUMIFS(Archives!$AF$2:$AF$1048576,Archives!$D$2:$D$1048576,13,Archives!$Y$2:$Y$1048576,$B19)</f>
        <v/>
      </c>
      <c r="P19" s="44">
        <f>SUMIFS(Archives!$AF$2:$AF$1048576,Archives!$D$2:$D$1048576,14,Archives!$V$2:$V$1048576,$B19)+SUMIFS(Archives!$AF$2:$AF$1048576,Archives!$D$2:$D$1048576,14,Archives!$Y$2:$Y$1048576,$B19)</f>
        <v/>
      </c>
      <c r="Q19" s="44">
        <f>SUMIFS(Archives!$AF$2:$AF$1048576,Archives!$D$2:$D$1048576,15,Archives!$V$2:$V$1048576,$B19)+SUMIFS(Archives!$AF$2:$AF$1048576,Archives!$D$2:$D$1048576,15,Archives!$Y$2:$Y$1048576,$B19)</f>
        <v/>
      </c>
      <c r="R19" s="45">
        <f>SUM(C19:Q19)</f>
        <v/>
      </c>
    </row>
    <row r="20" ht="15" customHeight="1" s="2">
      <c r="B20" s="46" t="inlineStr">
        <is>
          <t>Poirier</t>
        </is>
      </c>
      <c r="C20" s="47">
        <f>SUMIFS(Archives!$AF$2:$AF$1048576,Archives!$D$2:$D$1048576,1,Archives!$V$2:$V$1048576,$B20)+SUMIFS(Archives!$AF$2:$AF$1048576,Archives!$D$2:$D$1048576,1,Archives!$Y$2:$Y$1048576,$B20)</f>
        <v/>
      </c>
      <c r="D20" s="47">
        <f>SUMIFS(Archives!$AF$2:$AF$1048576,Archives!$D$2:$D$1048576,2,Archives!$V$2:$V$1048576,$B20)+SUMIFS(Archives!$AF$2:$AF$1048576,Archives!$D$2:$D$1048576,2,Archives!$Y$2:$Y$1048576,$B20)</f>
        <v/>
      </c>
      <c r="E20" s="47">
        <f>SUMIFS(Archives!$AF$2:$AF$1048576,Archives!$D$2:$D$1048576,3,Archives!$V$2:$V$1048576,$B20)+SUMIFS(Archives!$AF$2:$AF$1048576,Archives!$D$2:$D$1048576,3,Archives!$Y$2:$Y$1048576,$B20)</f>
        <v/>
      </c>
      <c r="F20" s="47">
        <f>SUMIFS(Archives!$AF$2:$AF$1048576,Archives!$D$2:$D$1048576,4,Archives!$V$2:$V$1048576,$B20)+SUMIFS(Archives!$AF$2:$AF$1048576,Archives!$D$2:$D$1048576,4,Archives!$Y$2:$Y$1048576,$B20)</f>
        <v/>
      </c>
      <c r="G20" s="47">
        <f>SUMIFS(Archives!$AF$2:$AF$1048576,Archives!$D$2:$D$1048576,5,Archives!$V$2:$V$1048576,$B20)+SUMIFS(Archives!$AF$2:$AF$1048576,Archives!$D$2:$D$1048576,5,Archives!$Y$2:$Y$1048576,$B20)</f>
        <v/>
      </c>
      <c r="H20" s="47">
        <f>SUMIFS(Archives!$AF$2:$AF$1048576,Archives!$D$2:$D$1048576,6,Archives!$V$2:$V$1048576,$B20)+SUMIFS(Archives!$AF$2:$AF$1048576,Archives!$D$2:$D$1048576,6,Archives!$Y$2:$Y$1048576,$B20)</f>
        <v/>
      </c>
      <c r="I20" s="47">
        <f>SUMIFS(Archives!$AF$2:$AF$1048576,Archives!$D$2:$D$1048576,7,Archives!$V$2:$V$1048576,$B20)+SUMIFS(Archives!$AF$2:$AF$1048576,Archives!$D$2:$D$1048576,7,Archives!$Y$2:$Y$1048576,$B20)</f>
        <v/>
      </c>
      <c r="J20" s="47">
        <f>SUMIFS(Archives!$AF$2:$AF$1048576,Archives!$D$2:$D$1048576,8,Archives!$V$2:$V$1048576,$B20)+SUMIFS(Archives!$AF$2:$AF$1048576,Archives!$D$2:$D$1048576,8,Archives!$Y$2:$Y$1048576,$B20)</f>
        <v/>
      </c>
      <c r="K20" s="47">
        <f>SUMIFS(Archives!$AF$2:$AF$1048576,Archives!$D$2:$D$1048576,9,Archives!$V$2:$V$1048576,$B20)+SUMIFS(Archives!$AF$2:$AF$1048576,Archives!$D$2:$D$1048576,9,Archives!$Y$2:$Y$1048576,$B20)</f>
        <v/>
      </c>
      <c r="L20" s="47">
        <f>SUMIFS(Archives!$AF$2:$AF$1048576,Archives!$D$2:$D$1048576,10,Archives!$V$2:$V$1048576,$B20)+SUMIFS(Archives!$AF$2:$AF$1048576,Archives!$D$2:$D$1048576,10,Archives!$Y$2:$Y$1048576,$B20)</f>
        <v/>
      </c>
      <c r="M20" s="47">
        <f>SUMIFS(Archives!$AF$2:$AF$1048576,Archives!$D$2:$D$1048576,11,Archives!$V$2:$V$1048576,$B20)+SUMIFS(Archives!$AF$2:$AF$1048576,Archives!$D$2:$D$1048576,11,Archives!$Y$2:$Y$1048576,$B20)</f>
        <v/>
      </c>
      <c r="N20" s="47">
        <f>SUMIFS(Archives!$AF$2:$AF$1048576,Archives!$D$2:$D$1048576,12,Archives!$V$2:$V$1048576,$B20)+SUMIFS(Archives!$AF$2:$AF$1048576,Archives!$D$2:$D$1048576,12,Archives!$Y$2:$Y$1048576,$B20)</f>
        <v/>
      </c>
      <c r="O20" s="47">
        <f>SUMIFS(Archives!$AF$2:$AF$1048576,Archives!$D$2:$D$1048576,13,Archives!$V$2:$V$1048576,$B20)+SUMIFS(Archives!$AF$2:$AF$1048576,Archives!$D$2:$D$1048576,13,Archives!$Y$2:$Y$1048576,$B20)</f>
        <v/>
      </c>
      <c r="P20" s="47">
        <f>SUMIFS(Archives!$AF$2:$AF$1048576,Archives!$D$2:$D$1048576,14,Archives!$V$2:$V$1048576,$B20)+SUMIFS(Archives!$AF$2:$AF$1048576,Archives!$D$2:$D$1048576,14,Archives!$Y$2:$Y$1048576,$B20)</f>
        <v/>
      </c>
      <c r="Q20" s="47">
        <f>SUMIFS(Archives!$AF$2:$AF$1048576,Archives!$D$2:$D$1048576,15,Archives!$V$2:$V$1048576,$B20)+SUMIFS(Archives!$AF$2:$AF$1048576,Archives!$D$2:$D$1048576,15,Archives!$Y$2:$Y$1048576,$B20)</f>
        <v/>
      </c>
      <c r="R20" s="48">
        <f>SUM(C20:Q20)</f>
        <v/>
      </c>
    </row>
    <row r="21" ht="15" customHeight="1" s="2">
      <c r="B21" s="43" t="inlineStr">
        <is>
          <t>Shively</t>
        </is>
      </c>
      <c r="C21" s="44">
        <f>SUMIFS(Archives!$AF$2:$AF$1048576,Archives!$D$2:$D$1048576,1,Archives!$V$2:$V$1048576,$B21)+SUMIFS(Archives!$AF$2:$AF$1048576,Archives!$D$2:$D$1048576,1,Archives!$Y$2:$Y$1048576,$B21)</f>
        <v/>
      </c>
      <c r="D21" s="44">
        <f>SUMIFS(Archives!$AF$2:$AF$1048576,Archives!$D$2:$D$1048576,2,Archives!$V$2:$V$1048576,$B21)+SUMIFS(Archives!$AF$2:$AF$1048576,Archives!$D$2:$D$1048576,2,Archives!$Y$2:$Y$1048576,$B21)</f>
        <v/>
      </c>
      <c r="E21" s="44">
        <f>SUMIFS(Archives!$AF$2:$AF$1048576,Archives!$D$2:$D$1048576,3,Archives!$V$2:$V$1048576,$B21)+SUMIFS(Archives!$AF$2:$AF$1048576,Archives!$D$2:$D$1048576,3,Archives!$Y$2:$Y$1048576,$B21)</f>
        <v/>
      </c>
      <c r="F21" s="44">
        <f>SUMIFS(Archives!$AF$2:$AF$1048576,Archives!$D$2:$D$1048576,4,Archives!$V$2:$V$1048576,$B21)+SUMIFS(Archives!$AF$2:$AF$1048576,Archives!$D$2:$D$1048576,4,Archives!$Y$2:$Y$1048576,$B21)</f>
        <v/>
      </c>
      <c r="G21" s="44">
        <f>SUMIFS(Archives!$AF$2:$AF$1048576,Archives!$D$2:$D$1048576,5,Archives!$V$2:$V$1048576,$B21)+SUMIFS(Archives!$AF$2:$AF$1048576,Archives!$D$2:$D$1048576,5,Archives!$Y$2:$Y$1048576,$B21)</f>
        <v/>
      </c>
      <c r="H21" s="44">
        <f>SUMIFS(Archives!$AF$2:$AF$1048576,Archives!$D$2:$D$1048576,6,Archives!$V$2:$V$1048576,$B21)+SUMIFS(Archives!$AF$2:$AF$1048576,Archives!$D$2:$D$1048576,6,Archives!$Y$2:$Y$1048576,$B21)</f>
        <v/>
      </c>
      <c r="I21" s="44">
        <f>SUMIFS(Archives!$AF$2:$AF$1048576,Archives!$D$2:$D$1048576,7,Archives!$V$2:$V$1048576,$B21)+SUMIFS(Archives!$AF$2:$AF$1048576,Archives!$D$2:$D$1048576,7,Archives!$Y$2:$Y$1048576,$B21)</f>
        <v/>
      </c>
      <c r="J21" s="44">
        <f>SUMIFS(Archives!$AF$2:$AF$1048576,Archives!$D$2:$D$1048576,8,Archives!$V$2:$V$1048576,$B21)+SUMIFS(Archives!$AF$2:$AF$1048576,Archives!$D$2:$D$1048576,8,Archives!$Y$2:$Y$1048576,$B21)</f>
        <v/>
      </c>
      <c r="K21" s="44">
        <f>SUMIFS(Archives!$AF$2:$AF$1048576,Archives!$D$2:$D$1048576,9,Archives!$V$2:$V$1048576,$B21)+SUMIFS(Archives!$AF$2:$AF$1048576,Archives!$D$2:$D$1048576,9,Archives!$Y$2:$Y$1048576,$B21)</f>
        <v/>
      </c>
      <c r="L21" s="44">
        <f>SUMIFS(Archives!$AF$2:$AF$1048576,Archives!$D$2:$D$1048576,10,Archives!$V$2:$V$1048576,$B21)+SUMIFS(Archives!$AF$2:$AF$1048576,Archives!$D$2:$D$1048576,10,Archives!$Y$2:$Y$1048576,$B21)</f>
        <v/>
      </c>
      <c r="M21" s="44">
        <f>SUMIFS(Archives!$AF$2:$AF$1048576,Archives!$D$2:$D$1048576,11,Archives!$V$2:$V$1048576,$B21)+SUMIFS(Archives!$AF$2:$AF$1048576,Archives!$D$2:$D$1048576,11,Archives!$Y$2:$Y$1048576,$B21)</f>
        <v/>
      </c>
      <c r="N21" s="44">
        <f>SUMIFS(Archives!$AF$2:$AF$1048576,Archives!$D$2:$D$1048576,12,Archives!$V$2:$V$1048576,$B21)+SUMIFS(Archives!$AF$2:$AF$1048576,Archives!$D$2:$D$1048576,12,Archives!$Y$2:$Y$1048576,$B21)</f>
        <v/>
      </c>
      <c r="O21" s="44">
        <f>SUMIFS(Archives!$AF$2:$AF$1048576,Archives!$D$2:$D$1048576,13,Archives!$V$2:$V$1048576,$B21)+SUMIFS(Archives!$AF$2:$AF$1048576,Archives!$D$2:$D$1048576,13,Archives!$Y$2:$Y$1048576,$B21)</f>
        <v/>
      </c>
      <c r="P21" s="44">
        <f>SUMIFS(Archives!$AF$2:$AF$1048576,Archives!$D$2:$D$1048576,14,Archives!$V$2:$V$1048576,$B21)+SUMIFS(Archives!$AF$2:$AF$1048576,Archives!$D$2:$D$1048576,14,Archives!$Y$2:$Y$1048576,$B21)</f>
        <v/>
      </c>
      <c r="Q21" s="44">
        <f>SUMIFS(Archives!$AF$2:$AF$1048576,Archives!$D$2:$D$1048576,15,Archives!$V$2:$V$1048576,$B21)+SUMIFS(Archives!$AF$2:$AF$1048576,Archives!$D$2:$D$1048576,15,Archives!$Y$2:$Y$1048576,$B21)</f>
        <v/>
      </c>
      <c r="R21" s="45">
        <f>SUM(C21:Q21)</f>
        <v/>
      </c>
    </row>
    <row r="22" ht="15" customHeight="1" s="2">
      <c r="B22" s="46" t="inlineStr">
        <is>
          <t>Connors</t>
        </is>
      </c>
      <c r="C22" s="47">
        <f>SUMIFS(Archives!$AF$2:$AF$1048576,Archives!$D$2:$D$1048576,1,Archives!$V$2:$V$1048576,$B22)+SUMIFS(Archives!$AF$2:$AF$1048576,Archives!$D$2:$D$1048576,1,Archives!$Y$2:$Y$1048576,$B22)</f>
        <v/>
      </c>
      <c r="D22" s="47">
        <f>SUMIFS(Archives!$AF$2:$AF$1048576,Archives!$D$2:$D$1048576,2,Archives!$V$2:$V$1048576,$B22)+SUMIFS(Archives!$AF$2:$AF$1048576,Archives!$D$2:$D$1048576,2,Archives!$Y$2:$Y$1048576,$B22)</f>
        <v/>
      </c>
      <c r="E22" s="47">
        <f>SUMIFS(Archives!$AF$2:$AF$1048576,Archives!$D$2:$D$1048576,3,Archives!$V$2:$V$1048576,$B22)+SUMIFS(Archives!$AF$2:$AF$1048576,Archives!$D$2:$D$1048576,3,Archives!$Y$2:$Y$1048576,$B22)</f>
        <v/>
      </c>
      <c r="F22" s="47">
        <f>SUMIFS(Archives!$AF$2:$AF$1048576,Archives!$D$2:$D$1048576,4,Archives!$V$2:$V$1048576,$B22)+SUMIFS(Archives!$AF$2:$AF$1048576,Archives!$D$2:$D$1048576,4,Archives!$Y$2:$Y$1048576,$B22)</f>
        <v/>
      </c>
      <c r="G22" s="47">
        <f>SUMIFS(Archives!$AF$2:$AF$1048576,Archives!$D$2:$D$1048576,5,Archives!$V$2:$V$1048576,$B22)+SUMIFS(Archives!$AF$2:$AF$1048576,Archives!$D$2:$D$1048576,5,Archives!$Y$2:$Y$1048576,$B22)</f>
        <v/>
      </c>
      <c r="H22" s="47">
        <f>SUMIFS(Archives!$AF$2:$AF$1048576,Archives!$D$2:$D$1048576,6,Archives!$V$2:$V$1048576,$B22)+SUMIFS(Archives!$AF$2:$AF$1048576,Archives!$D$2:$D$1048576,6,Archives!$Y$2:$Y$1048576,$B22)</f>
        <v/>
      </c>
      <c r="I22" s="47">
        <f>SUMIFS(Archives!$AF$2:$AF$1048576,Archives!$D$2:$D$1048576,7,Archives!$V$2:$V$1048576,$B22)+SUMIFS(Archives!$AF$2:$AF$1048576,Archives!$D$2:$D$1048576,7,Archives!$Y$2:$Y$1048576,$B22)</f>
        <v/>
      </c>
      <c r="J22" s="47">
        <f>SUMIFS(Archives!$AF$2:$AF$1048576,Archives!$D$2:$D$1048576,8,Archives!$V$2:$V$1048576,$B22)+SUMIFS(Archives!$AF$2:$AF$1048576,Archives!$D$2:$D$1048576,8,Archives!$Y$2:$Y$1048576,$B22)</f>
        <v/>
      </c>
      <c r="K22" s="47">
        <f>SUMIFS(Archives!$AF$2:$AF$1048576,Archives!$D$2:$D$1048576,9,Archives!$V$2:$V$1048576,$B22)+SUMIFS(Archives!$AF$2:$AF$1048576,Archives!$D$2:$D$1048576,9,Archives!$Y$2:$Y$1048576,$B22)</f>
        <v/>
      </c>
      <c r="L22" s="47">
        <f>SUMIFS(Archives!$AF$2:$AF$1048576,Archives!$D$2:$D$1048576,10,Archives!$V$2:$V$1048576,$B22)+SUMIFS(Archives!$AF$2:$AF$1048576,Archives!$D$2:$D$1048576,10,Archives!$Y$2:$Y$1048576,$B22)</f>
        <v/>
      </c>
      <c r="M22" s="47">
        <f>SUMIFS(Archives!$AF$2:$AF$1048576,Archives!$D$2:$D$1048576,11,Archives!$V$2:$V$1048576,$B22)+SUMIFS(Archives!$AF$2:$AF$1048576,Archives!$D$2:$D$1048576,11,Archives!$Y$2:$Y$1048576,$B22)</f>
        <v/>
      </c>
      <c r="N22" s="47">
        <f>SUMIFS(Archives!$AF$2:$AF$1048576,Archives!$D$2:$D$1048576,12,Archives!$V$2:$V$1048576,$B22)+SUMIFS(Archives!$AF$2:$AF$1048576,Archives!$D$2:$D$1048576,12,Archives!$Y$2:$Y$1048576,$B22)</f>
        <v/>
      </c>
      <c r="O22" s="47">
        <f>SUMIFS(Archives!$AF$2:$AF$1048576,Archives!$D$2:$D$1048576,13,Archives!$V$2:$V$1048576,$B22)+SUMIFS(Archives!$AF$2:$AF$1048576,Archives!$D$2:$D$1048576,13,Archives!$Y$2:$Y$1048576,$B22)</f>
        <v/>
      </c>
      <c r="P22" s="47">
        <f>SUMIFS(Archives!$AF$2:$AF$1048576,Archives!$D$2:$D$1048576,14,Archives!$V$2:$V$1048576,$B22)+SUMIFS(Archives!$AF$2:$AF$1048576,Archives!$D$2:$D$1048576,14,Archives!$Y$2:$Y$1048576,$B22)</f>
        <v/>
      </c>
      <c r="Q22" s="47">
        <f>SUMIFS(Archives!$AF$2:$AF$1048576,Archives!$D$2:$D$1048576,15,Archives!$V$2:$V$1048576,$B22)+SUMIFS(Archives!$AF$2:$AF$1048576,Archives!$D$2:$D$1048576,15,Archives!$Y$2:$Y$1048576,$B22)</f>
        <v/>
      </c>
      <c r="R22" s="48">
        <f>SUM(C22:Q22)</f>
        <v/>
      </c>
    </row>
    <row r="23" ht="15" customHeight="1" s="2">
      <c r="B23" s="43" t="inlineStr">
        <is>
          <t>Norat</t>
        </is>
      </c>
      <c r="C23" s="44">
        <f>SUMIFS(Archives!$AF$2:$AF$1048576,Archives!$D$2:$D$1048576,1,Archives!$V$2:$V$1048576,$B23)+SUMIFS(Archives!$AF$2:$AF$1048576,Archives!$D$2:$D$1048576,1,Archives!$Y$2:$Y$1048576,$B23)</f>
        <v/>
      </c>
      <c r="D23" s="44">
        <f>SUMIFS(Archives!$AF$2:$AF$1048576,Archives!$D$2:$D$1048576,2,Archives!$V$2:$V$1048576,$B23)+SUMIFS(Archives!$AF$2:$AF$1048576,Archives!$D$2:$D$1048576,2,Archives!$Y$2:$Y$1048576,$B23)</f>
        <v/>
      </c>
      <c r="E23" s="44">
        <f>SUMIFS(Archives!$AF$2:$AF$1048576,Archives!$D$2:$D$1048576,3,Archives!$V$2:$V$1048576,$B23)+SUMIFS(Archives!$AF$2:$AF$1048576,Archives!$D$2:$D$1048576,3,Archives!$Y$2:$Y$1048576,$B23)</f>
        <v/>
      </c>
      <c r="F23" s="44">
        <f>SUMIFS(Archives!$AF$2:$AF$1048576,Archives!$D$2:$D$1048576,4,Archives!$V$2:$V$1048576,$B23)+SUMIFS(Archives!$AF$2:$AF$1048576,Archives!$D$2:$D$1048576,4,Archives!$Y$2:$Y$1048576,$B23)</f>
        <v/>
      </c>
      <c r="G23" s="44">
        <f>SUMIFS(Archives!$AF$2:$AF$1048576,Archives!$D$2:$D$1048576,5,Archives!$V$2:$V$1048576,$B23)+SUMIFS(Archives!$AF$2:$AF$1048576,Archives!$D$2:$D$1048576,5,Archives!$Y$2:$Y$1048576,$B23)</f>
        <v/>
      </c>
      <c r="H23" s="44">
        <f>SUMIFS(Archives!$AF$2:$AF$1048576,Archives!$D$2:$D$1048576,6,Archives!$V$2:$V$1048576,$B23)+SUMIFS(Archives!$AF$2:$AF$1048576,Archives!$D$2:$D$1048576,6,Archives!$Y$2:$Y$1048576,$B23)</f>
        <v/>
      </c>
      <c r="I23" s="44">
        <f>SUMIFS(Archives!$AF$2:$AF$1048576,Archives!$D$2:$D$1048576,7,Archives!$V$2:$V$1048576,$B23)+SUMIFS(Archives!$AF$2:$AF$1048576,Archives!$D$2:$D$1048576,7,Archives!$Y$2:$Y$1048576,$B23)</f>
        <v/>
      </c>
      <c r="J23" s="44">
        <f>SUMIFS(Archives!$AF$2:$AF$1048576,Archives!$D$2:$D$1048576,8,Archives!$V$2:$V$1048576,$B23)+SUMIFS(Archives!$AF$2:$AF$1048576,Archives!$D$2:$D$1048576,8,Archives!$Y$2:$Y$1048576,$B23)</f>
        <v/>
      </c>
      <c r="K23" s="44">
        <f>SUMIFS(Archives!$AF$2:$AF$1048576,Archives!$D$2:$D$1048576,9,Archives!$V$2:$V$1048576,$B23)+SUMIFS(Archives!$AF$2:$AF$1048576,Archives!$D$2:$D$1048576,9,Archives!$Y$2:$Y$1048576,$B23)</f>
        <v/>
      </c>
      <c r="L23" s="44">
        <f>SUMIFS(Archives!$AF$2:$AF$1048576,Archives!$D$2:$D$1048576,10,Archives!$V$2:$V$1048576,$B23)+SUMIFS(Archives!$AF$2:$AF$1048576,Archives!$D$2:$D$1048576,10,Archives!$Y$2:$Y$1048576,$B23)</f>
        <v/>
      </c>
      <c r="M23" s="44">
        <f>SUMIFS(Archives!$AF$2:$AF$1048576,Archives!$D$2:$D$1048576,11,Archives!$V$2:$V$1048576,$B23)+SUMIFS(Archives!$AF$2:$AF$1048576,Archives!$D$2:$D$1048576,11,Archives!$Y$2:$Y$1048576,$B23)</f>
        <v/>
      </c>
      <c r="N23" s="44">
        <f>SUMIFS(Archives!$AF$2:$AF$1048576,Archives!$D$2:$D$1048576,12,Archives!$V$2:$V$1048576,$B23)+SUMIFS(Archives!$AF$2:$AF$1048576,Archives!$D$2:$D$1048576,12,Archives!$Y$2:$Y$1048576,$B23)</f>
        <v/>
      </c>
      <c r="O23" s="44">
        <f>SUMIFS(Archives!$AF$2:$AF$1048576,Archives!$D$2:$D$1048576,13,Archives!$V$2:$V$1048576,$B23)+SUMIFS(Archives!$AF$2:$AF$1048576,Archives!$D$2:$D$1048576,13,Archives!$Y$2:$Y$1048576,$B23)</f>
        <v/>
      </c>
      <c r="P23" s="44">
        <f>SUMIFS(Archives!$AF$2:$AF$1048576,Archives!$D$2:$D$1048576,14,Archives!$V$2:$V$1048576,$B23)+SUMIFS(Archives!$AF$2:$AF$1048576,Archives!$D$2:$D$1048576,14,Archives!$Y$2:$Y$1048576,$B23)</f>
        <v/>
      </c>
      <c r="Q23" s="44">
        <f>SUMIFS(Archives!$AF$2:$AF$1048576,Archives!$D$2:$D$1048576,15,Archives!$V$2:$V$1048576,$B23)+SUMIFS(Archives!$AF$2:$AF$1048576,Archives!$D$2:$D$1048576,15,Archives!$Y$2:$Y$1048576,$B23)</f>
        <v/>
      </c>
      <c r="R23" s="45">
        <f>SUM(C23:Q23)</f>
        <v/>
      </c>
    </row>
    <row r="24" ht="15" customHeight="1" s="2">
      <c r="B24" s="46" t="inlineStr">
        <is>
          <t>Delneky</t>
        </is>
      </c>
      <c r="C24" s="47">
        <f>SUMIFS(Archives!$AF$2:$AF$1048576,Archives!$D$2:$D$1048576,1,Archives!$V$2:$V$1048576,$B24)+SUMIFS(Archives!$AF$2:$AF$1048576,Archives!$D$2:$D$1048576,1,Archives!$Y$2:$Y$1048576,$B24)</f>
        <v/>
      </c>
      <c r="D24" s="47">
        <f>SUMIFS(Archives!$AF$2:$AF$1048576,Archives!$D$2:$D$1048576,2,Archives!$V$2:$V$1048576,$B24)+SUMIFS(Archives!$AF$2:$AF$1048576,Archives!$D$2:$D$1048576,2,Archives!$Y$2:$Y$1048576,$B24)</f>
        <v/>
      </c>
      <c r="E24" s="47">
        <f>SUMIFS(Archives!$AF$2:$AF$1048576,Archives!$D$2:$D$1048576,3,Archives!$V$2:$V$1048576,$B24)+SUMIFS(Archives!$AF$2:$AF$1048576,Archives!$D$2:$D$1048576,3,Archives!$Y$2:$Y$1048576,$B24)</f>
        <v/>
      </c>
      <c r="F24" s="47">
        <f>SUMIFS(Archives!$AF$2:$AF$1048576,Archives!$D$2:$D$1048576,4,Archives!$V$2:$V$1048576,$B24)+SUMIFS(Archives!$AF$2:$AF$1048576,Archives!$D$2:$D$1048576,4,Archives!$Y$2:$Y$1048576,$B24)</f>
        <v/>
      </c>
      <c r="G24" s="47">
        <f>SUMIFS(Archives!$AF$2:$AF$1048576,Archives!$D$2:$D$1048576,5,Archives!$V$2:$V$1048576,$B24)+SUMIFS(Archives!$AF$2:$AF$1048576,Archives!$D$2:$D$1048576,5,Archives!$Y$2:$Y$1048576,$B24)</f>
        <v/>
      </c>
      <c r="H24" s="47">
        <f>SUMIFS(Archives!$AF$2:$AF$1048576,Archives!$D$2:$D$1048576,6,Archives!$V$2:$V$1048576,$B24)+SUMIFS(Archives!$AF$2:$AF$1048576,Archives!$D$2:$D$1048576,6,Archives!$Y$2:$Y$1048576,$B24)</f>
        <v/>
      </c>
      <c r="I24" s="47">
        <f>SUMIFS(Archives!$AF$2:$AF$1048576,Archives!$D$2:$D$1048576,7,Archives!$V$2:$V$1048576,$B24)+SUMIFS(Archives!$AF$2:$AF$1048576,Archives!$D$2:$D$1048576,7,Archives!$Y$2:$Y$1048576,$B24)</f>
        <v/>
      </c>
      <c r="J24" s="47">
        <f>SUMIFS(Archives!$AF$2:$AF$1048576,Archives!$D$2:$D$1048576,8,Archives!$V$2:$V$1048576,$B24)+SUMIFS(Archives!$AF$2:$AF$1048576,Archives!$D$2:$D$1048576,8,Archives!$Y$2:$Y$1048576,$B24)</f>
        <v/>
      </c>
      <c r="K24" s="47">
        <f>SUMIFS(Archives!$AF$2:$AF$1048576,Archives!$D$2:$D$1048576,9,Archives!$V$2:$V$1048576,$B24)+SUMIFS(Archives!$AF$2:$AF$1048576,Archives!$D$2:$D$1048576,9,Archives!$Y$2:$Y$1048576,$B24)</f>
        <v/>
      </c>
      <c r="L24" s="47">
        <f>SUMIFS(Archives!$AF$2:$AF$1048576,Archives!$D$2:$D$1048576,10,Archives!$V$2:$V$1048576,$B24)+SUMIFS(Archives!$AF$2:$AF$1048576,Archives!$D$2:$D$1048576,10,Archives!$Y$2:$Y$1048576,$B24)</f>
        <v/>
      </c>
      <c r="M24" s="47">
        <f>SUMIFS(Archives!$AF$2:$AF$1048576,Archives!$D$2:$D$1048576,11,Archives!$V$2:$V$1048576,$B24)+SUMIFS(Archives!$AF$2:$AF$1048576,Archives!$D$2:$D$1048576,11,Archives!$Y$2:$Y$1048576,$B24)</f>
        <v/>
      </c>
      <c r="N24" s="47">
        <f>SUMIFS(Archives!$AF$2:$AF$1048576,Archives!$D$2:$D$1048576,12,Archives!$V$2:$V$1048576,$B24)+SUMIFS(Archives!$AF$2:$AF$1048576,Archives!$D$2:$D$1048576,12,Archives!$Y$2:$Y$1048576,$B24)</f>
        <v/>
      </c>
      <c r="O24" s="47">
        <f>SUMIFS(Archives!$AF$2:$AF$1048576,Archives!$D$2:$D$1048576,13,Archives!$V$2:$V$1048576,$B24)+SUMIFS(Archives!$AF$2:$AF$1048576,Archives!$D$2:$D$1048576,13,Archives!$Y$2:$Y$1048576,$B24)</f>
        <v/>
      </c>
      <c r="P24" s="47">
        <f>SUMIFS(Archives!$AF$2:$AF$1048576,Archives!$D$2:$D$1048576,14,Archives!$V$2:$V$1048576,$B24)+SUMIFS(Archives!$AF$2:$AF$1048576,Archives!$D$2:$D$1048576,14,Archives!$Y$2:$Y$1048576,$B24)</f>
        <v/>
      </c>
      <c r="Q24" s="47">
        <f>SUMIFS(Archives!$AF$2:$AF$1048576,Archives!$D$2:$D$1048576,15,Archives!$V$2:$V$1048576,$B24)+SUMIFS(Archives!$AF$2:$AF$1048576,Archives!$D$2:$D$1048576,15,Archives!$Y$2:$Y$1048576,$B24)</f>
        <v/>
      </c>
      <c r="R24" s="48">
        <f>SUM(C24:Q24)</f>
        <v/>
      </c>
    </row>
    <row r="25" ht="15" customHeight="1" s="2">
      <c r="B25" s="43" t="inlineStr">
        <is>
          <t>Delaney</t>
        </is>
      </c>
      <c r="C25" s="44">
        <f>SUMIFS(Archives!$AF$2:$AF$1048576,Archives!$D$2:$D$1048576,1,Archives!$V$2:$V$1048576,$B25)+SUMIFS(Archives!$AF$2:$AF$1048576,Archives!$D$2:$D$1048576,1,Archives!$Y$2:$Y$1048576,$B25)</f>
        <v/>
      </c>
      <c r="D25" s="44">
        <f>SUMIFS(Archives!$AF$2:$AF$1048576,Archives!$D$2:$D$1048576,2,Archives!$V$2:$V$1048576,$B25)+SUMIFS(Archives!$AF$2:$AF$1048576,Archives!$D$2:$D$1048576,2,Archives!$Y$2:$Y$1048576,$B25)</f>
        <v/>
      </c>
      <c r="E25" s="44">
        <f>SUMIFS(Archives!$AF$2:$AF$1048576,Archives!$D$2:$D$1048576,3,Archives!$V$2:$V$1048576,$B25)+SUMIFS(Archives!$AF$2:$AF$1048576,Archives!$D$2:$D$1048576,3,Archives!$Y$2:$Y$1048576,$B25)</f>
        <v/>
      </c>
      <c r="F25" s="44">
        <f>SUMIFS(Archives!$AF$2:$AF$1048576,Archives!$D$2:$D$1048576,4,Archives!$V$2:$V$1048576,$B25)+SUMIFS(Archives!$AF$2:$AF$1048576,Archives!$D$2:$D$1048576,4,Archives!$Y$2:$Y$1048576,$B25)</f>
        <v/>
      </c>
      <c r="G25" s="44">
        <f>SUMIFS(Archives!$AF$2:$AF$1048576,Archives!$D$2:$D$1048576,5,Archives!$V$2:$V$1048576,$B25)+SUMIFS(Archives!$AF$2:$AF$1048576,Archives!$D$2:$D$1048576,5,Archives!$Y$2:$Y$1048576,$B25)</f>
        <v/>
      </c>
      <c r="H25" s="44">
        <f>SUMIFS(Archives!$AF$2:$AF$1048576,Archives!$D$2:$D$1048576,6,Archives!$V$2:$V$1048576,$B25)+SUMIFS(Archives!$AF$2:$AF$1048576,Archives!$D$2:$D$1048576,6,Archives!$Y$2:$Y$1048576,$B25)</f>
        <v/>
      </c>
      <c r="I25" s="44">
        <f>SUMIFS(Archives!$AF$2:$AF$1048576,Archives!$D$2:$D$1048576,7,Archives!$V$2:$V$1048576,$B25)+SUMIFS(Archives!$AF$2:$AF$1048576,Archives!$D$2:$D$1048576,7,Archives!$Y$2:$Y$1048576,$B25)</f>
        <v/>
      </c>
      <c r="J25" s="44">
        <f>SUMIFS(Archives!$AF$2:$AF$1048576,Archives!$D$2:$D$1048576,8,Archives!$V$2:$V$1048576,$B25)+SUMIFS(Archives!$AF$2:$AF$1048576,Archives!$D$2:$D$1048576,8,Archives!$Y$2:$Y$1048576,$B25)</f>
        <v/>
      </c>
      <c r="K25" s="44">
        <f>SUMIFS(Archives!$AF$2:$AF$1048576,Archives!$D$2:$D$1048576,9,Archives!$V$2:$V$1048576,$B25)+SUMIFS(Archives!$AF$2:$AF$1048576,Archives!$D$2:$D$1048576,9,Archives!$Y$2:$Y$1048576,$B25)</f>
        <v/>
      </c>
      <c r="L25" s="44">
        <f>SUMIFS(Archives!$AF$2:$AF$1048576,Archives!$D$2:$D$1048576,10,Archives!$V$2:$V$1048576,$B25)+SUMIFS(Archives!$AF$2:$AF$1048576,Archives!$D$2:$D$1048576,10,Archives!$Y$2:$Y$1048576,$B25)</f>
        <v/>
      </c>
      <c r="M25" s="44">
        <f>SUMIFS(Archives!$AF$2:$AF$1048576,Archives!$D$2:$D$1048576,11,Archives!$V$2:$V$1048576,$B25)+SUMIFS(Archives!$AF$2:$AF$1048576,Archives!$D$2:$D$1048576,11,Archives!$Y$2:$Y$1048576,$B25)</f>
        <v/>
      </c>
      <c r="N25" s="44">
        <f>SUMIFS(Archives!$AF$2:$AF$1048576,Archives!$D$2:$D$1048576,12,Archives!$V$2:$V$1048576,$B25)+SUMIFS(Archives!$AF$2:$AF$1048576,Archives!$D$2:$D$1048576,12,Archives!$Y$2:$Y$1048576,$B25)</f>
        <v/>
      </c>
      <c r="O25" s="44">
        <f>SUMIFS(Archives!$AF$2:$AF$1048576,Archives!$D$2:$D$1048576,13,Archives!$V$2:$V$1048576,$B25)+SUMIFS(Archives!$AF$2:$AF$1048576,Archives!$D$2:$D$1048576,13,Archives!$Y$2:$Y$1048576,$B25)</f>
        <v/>
      </c>
      <c r="P25" s="44">
        <f>SUMIFS(Archives!$AF$2:$AF$1048576,Archives!$D$2:$D$1048576,14,Archives!$V$2:$V$1048576,$B25)+SUMIFS(Archives!$AF$2:$AF$1048576,Archives!$D$2:$D$1048576,14,Archives!$Y$2:$Y$1048576,$B25)</f>
        <v/>
      </c>
      <c r="Q25" s="44">
        <f>SUMIFS(Archives!$AF$2:$AF$1048576,Archives!$D$2:$D$1048576,15,Archives!$V$2:$V$1048576,$B25)+SUMIFS(Archives!$AF$2:$AF$1048576,Archives!$D$2:$D$1048576,15,Archives!$Y$2:$Y$1048576,$B25)</f>
        <v/>
      </c>
      <c r="R25" s="45">
        <f>SUM(C25:Q25)</f>
        <v/>
      </c>
    </row>
    <row r="26" ht="15" customHeight="1" s="2">
      <c r="B26" s="46" t="inlineStr">
        <is>
          <t>Perkins</t>
        </is>
      </c>
      <c r="C26" s="47">
        <f>SUMIFS(Archives!$AF$2:$AF$1048576,Archives!$D$2:$D$1048576,1,Archives!$V$2:$V$1048576,$B26)+SUMIFS(Archives!$AF$2:$AF$1048576,Archives!$D$2:$D$1048576,1,Archives!$Y$2:$Y$1048576,$B26)</f>
        <v/>
      </c>
      <c r="D26" s="47">
        <f>SUMIFS(Archives!$AF$2:$AF$1048576,Archives!$D$2:$D$1048576,2,Archives!$V$2:$V$1048576,$B26)+SUMIFS(Archives!$AF$2:$AF$1048576,Archives!$D$2:$D$1048576,2,Archives!$Y$2:$Y$1048576,$B26)</f>
        <v/>
      </c>
      <c r="E26" s="47">
        <f>SUMIFS(Archives!$AF$2:$AF$1048576,Archives!$D$2:$D$1048576,3,Archives!$V$2:$V$1048576,$B26)+SUMIFS(Archives!$AF$2:$AF$1048576,Archives!$D$2:$D$1048576,3,Archives!$Y$2:$Y$1048576,$B26)</f>
        <v/>
      </c>
      <c r="F26" s="47">
        <f>SUMIFS(Archives!$AF$2:$AF$1048576,Archives!$D$2:$D$1048576,4,Archives!$V$2:$V$1048576,$B26)+SUMIFS(Archives!$AF$2:$AF$1048576,Archives!$D$2:$D$1048576,4,Archives!$Y$2:$Y$1048576,$B26)</f>
        <v/>
      </c>
      <c r="G26" s="47">
        <f>SUMIFS(Archives!$AF$2:$AF$1048576,Archives!$D$2:$D$1048576,5,Archives!$V$2:$V$1048576,$B26)+SUMIFS(Archives!$AF$2:$AF$1048576,Archives!$D$2:$D$1048576,5,Archives!$Y$2:$Y$1048576,$B26)</f>
        <v/>
      </c>
      <c r="H26" s="47">
        <f>SUMIFS(Archives!$AF$2:$AF$1048576,Archives!$D$2:$D$1048576,6,Archives!$V$2:$V$1048576,$B26)+SUMIFS(Archives!$AF$2:$AF$1048576,Archives!$D$2:$D$1048576,6,Archives!$Y$2:$Y$1048576,$B26)</f>
        <v/>
      </c>
      <c r="I26" s="47">
        <f>SUMIFS(Archives!$AF$2:$AF$1048576,Archives!$D$2:$D$1048576,7,Archives!$V$2:$V$1048576,$B26)+SUMIFS(Archives!$AF$2:$AF$1048576,Archives!$D$2:$D$1048576,7,Archives!$Y$2:$Y$1048576,$B26)</f>
        <v/>
      </c>
      <c r="J26" s="47">
        <f>SUMIFS(Archives!$AF$2:$AF$1048576,Archives!$D$2:$D$1048576,8,Archives!$V$2:$V$1048576,$B26)+SUMIFS(Archives!$AF$2:$AF$1048576,Archives!$D$2:$D$1048576,8,Archives!$Y$2:$Y$1048576,$B26)</f>
        <v/>
      </c>
      <c r="K26" s="47">
        <f>SUMIFS(Archives!$AF$2:$AF$1048576,Archives!$D$2:$D$1048576,9,Archives!$V$2:$V$1048576,$B26)+SUMIFS(Archives!$AF$2:$AF$1048576,Archives!$D$2:$D$1048576,9,Archives!$Y$2:$Y$1048576,$B26)</f>
        <v/>
      </c>
      <c r="L26" s="47">
        <f>SUMIFS(Archives!$AF$2:$AF$1048576,Archives!$D$2:$D$1048576,10,Archives!$V$2:$V$1048576,$B26)+SUMIFS(Archives!$AF$2:$AF$1048576,Archives!$D$2:$D$1048576,10,Archives!$Y$2:$Y$1048576,$B26)</f>
        <v/>
      </c>
      <c r="M26" s="47">
        <f>SUMIFS(Archives!$AF$2:$AF$1048576,Archives!$D$2:$D$1048576,11,Archives!$V$2:$V$1048576,$B26)+SUMIFS(Archives!$AF$2:$AF$1048576,Archives!$D$2:$D$1048576,11,Archives!$Y$2:$Y$1048576,$B26)</f>
        <v/>
      </c>
      <c r="N26" s="47">
        <f>SUMIFS(Archives!$AF$2:$AF$1048576,Archives!$D$2:$D$1048576,12,Archives!$V$2:$V$1048576,$B26)+SUMIFS(Archives!$AF$2:$AF$1048576,Archives!$D$2:$D$1048576,12,Archives!$Y$2:$Y$1048576,$B26)</f>
        <v/>
      </c>
      <c r="O26" s="47">
        <f>SUMIFS(Archives!$AF$2:$AF$1048576,Archives!$D$2:$D$1048576,13,Archives!$V$2:$V$1048576,$B26)+SUMIFS(Archives!$AF$2:$AF$1048576,Archives!$D$2:$D$1048576,13,Archives!$Y$2:$Y$1048576,$B26)</f>
        <v/>
      </c>
      <c r="P26" s="47">
        <f>SUMIFS(Archives!$AF$2:$AF$1048576,Archives!$D$2:$D$1048576,14,Archives!$V$2:$V$1048576,$B26)+SUMIFS(Archives!$AF$2:$AF$1048576,Archives!$D$2:$D$1048576,14,Archives!$Y$2:$Y$1048576,$B26)</f>
        <v/>
      </c>
      <c r="Q26" s="47">
        <f>SUMIFS(Archives!$AF$2:$AF$1048576,Archives!$D$2:$D$1048576,15,Archives!$V$2:$V$1048576,$B26)+SUMIFS(Archives!$AF$2:$AF$1048576,Archives!$D$2:$D$1048576,15,Archives!$Y$2:$Y$1048576,$B26)</f>
        <v/>
      </c>
      <c r="R26" s="48">
        <f>SUM(C26:Q26)</f>
        <v/>
      </c>
    </row>
    <row r="27" ht="15" customHeight="1" s="2">
      <c r="B27" s="43" t="inlineStr">
        <is>
          <t>Buss</t>
        </is>
      </c>
      <c r="C27" s="44">
        <f>SUMIFS(Archives!$AF$2:$AF$1048576,Archives!$D$2:$D$1048576,1,Archives!$V$2:$V$1048576,$B27)+SUMIFS(Archives!$AF$2:$AF$1048576,Archives!$D$2:$D$1048576,1,Archives!$Y$2:$Y$1048576,$B27)</f>
        <v/>
      </c>
      <c r="D27" s="44">
        <f>SUMIFS(Archives!$AF$2:$AF$1048576,Archives!$D$2:$D$1048576,2,Archives!$V$2:$V$1048576,$B27)+SUMIFS(Archives!$AF$2:$AF$1048576,Archives!$D$2:$D$1048576,2,Archives!$Y$2:$Y$1048576,$B27)</f>
        <v/>
      </c>
      <c r="E27" s="44">
        <f>SUMIFS(Archives!$AF$2:$AF$1048576,Archives!$D$2:$D$1048576,3,Archives!$V$2:$V$1048576,$B27)+SUMIFS(Archives!$AF$2:$AF$1048576,Archives!$D$2:$D$1048576,3,Archives!$Y$2:$Y$1048576,$B27)</f>
        <v/>
      </c>
      <c r="F27" s="44">
        <f>SUMIFS(Archives!$AF$2:$AF$1048576,Archives!$D$2:$D$1048576,4,Archives!$V$2:$V$1048576,$B27)+SUMIFS(Archives!$AF$2:$AF$1048576,Archives!$D$2:$D$1048576,4,Archives!$Y$2:$Y$1048576,$B27)</f>
        <v/>
      </c>
      <c r="G27" s="44">
        <f>SUMIFS(Archives!$AF$2:$AF$1048576,Archives!$D$2:$D$1048576,5,Archives!$V$2:$V$1048576,$B27)+SUMIFS(Archives!$AF$2:$AF$1048576,Archives!$D$2:$D$1048576,5,Archives!$Y$2:$Y$1048576,$B27)</f>
        <v/>
      </c>
      <c r="H27" s="44">
        <f>SUMIFS(Archives!$AF$2:$AF$1048576,Archives!$D$2:$D$1048576,6,Archives!$V$2:$V$1048576,$B27)+SUMIFS(Archives!$AF$2:$AF$1048576,Archives!$D$2:$D$1048576,6,Archives!$Y$2:$Y$1048576,$B27)</f>
        <v/>
      </c>
      <c r="I27" s="44">
        <f>SUMIFS(Archives!$AF$2:$AF$1048576,Archives!$D$2:$D$1048576,7,Archives!$V$2:$V$1048576,$B27)+SUMIFS(Archives!$AF$2:$AF$1048576,Archives!$D$2:$D$1048576,7,Archives!$Y$2:$Y$1048576,$B27)</f>
        <v/>
      </c>
      <c r="J27" s="44">
        <f>SUMIFS(Archives!$AF$2:$AF$1048576,Archives!$D$2:$D$1048576,8,Archives!$V$2:$V$1048576,$B27)+SUMIFS(Archives!$AF$2:$AF$1048576,Archives!$D$2:$D$1048576,8,Archives!$Y$2:$Y$1048576,$B27)</f>
        <v/>
      </c>
      <c r="K27" s="44">
        <f>SUMIFS(Archives!$AF$2:$AF$1048576,Archives!$D$2:$D$1048576,9,Archives!$V$2:$V$1048576,$B27)+SUMIFS(Archives!$AF$2:$AF$1048576,Archives!$D$2:$D$1048576,9,Archives!$Y$2:$Y$1048576,$B27)</f>
        <v/>
      </c>
      <c r="L27" s="44">
        <f>SUMIFS(Archives!$AF$2:$AF$1048576,Archives!$D$2:$D$1048576,10,Archives!$V$2:$V$1048576,$B27)+SUMIFS(Archives!$AF$2:$AF$1048576,Archives!$D$2:$D$1048576,10,Archives!$Y$2:$Y$1048576,$B27)</f>
        <v/>
      </c>
      <c r="M27" s="44">
        <f>SUMIFS(Archives!$AF$2:$AF$1048576,Archives!$D$2:$D$1048576,11,Archives!$V$2:$V$1048576,$B27)+SUMIFS(Archives!$AF$2:$AF$1048576,Archives!$D$2:$D$1048576,11,Archives!$Y$2:$Y$1048576,$B27)</f>
        <v/>
      </c>
      <c r="N27" s="44">
        <f>SUMIFS(Archives!$AF$2:$AF$1048576,Archives!$D$2:$D$1048576,12,Archives!$V$2:$V$1048576,$B27)+SUMIFS(Archives!$AF$2:$AF$1048576,Archives!$D$2:$D$1048576,12,Archives!$Y$2:$Y$1048576,$B27)</f>
        <v/>
      </c>
      <c r="O27" s="44">
        <f>SUMIFS(Archives!$AF$2:$AF$1048576,Archives!$D$2:$D$1048576,13,Archives!$V$2:$V$1048576,$B27)+SUMIFS(Archives!$AF$2:$AF$1048576,Archives!$D$2:$D$1048576,13,Archives!$Y$2:$Y$1048576,$B27)</f>
        <v/>
      </c>
      <c r="P27" s="44">
        <f>SUMIFS(Archives!$AF$2:$AF$1048576,Archives!$D$2:$D$1048576,14,Archives!$V$2:$V$1048576,$B27)+SUMIFS(Archives!$AF$2:$AF$1048576,Archives!$D$2:$D$1048576,14,Archives!$Y$2:$Y$1048576,$B27)</f>
        <v/>
      </c>
      <c r="Q27" s="44">
        <f>SUMIFS(Archives!$AF$2:$AF$1048576,Archives!$D$2:$D$1048576,15,Archives!$V$2:$V$1048576,$B27)+SUMIFS(Archives!$AF$2:$AF$1048576,Archives!$D$2:$D$1048576,15,Archives!$Y$2:$Y$1048576,$B27)</f>
        <v/>
      </c>
      <c r="R27" s="45">
        <f>SUM(C27:Q27)</f>
        <v/>
      </c>
    </row>
    <row r="28" ht="15" customHeight="1" s="2">
      <c r="B28" s="46" t="inlineStr">
        <is>
          <t>R. Connolly</t>
        </is>
      </c>
      <c r="C28" s="47">
        <f>SUMIFS(Archives!$AF$2:$AF$1048576,Archives!$D$2:$D$1048576,1,Archives!$V$2:$V$1048576,$B28)+SUMIFS(Archives!$AF$2:$AF$1048576,Archives!$D$2:$D$1048576,1,Archives!$Y$2:$Y$1048576,$B28)</f>
        <v/>
      </c>
      <c r="D28" s="47">
        <f>SUMIFS(Archives!$AF$2:$AF$1048576,Archives!$D$2:$D$1048576,2,Archives!$V$2:$V$1048576,$B28)+SUMIFS(Archives!$AF$2:$AF$1048576,Archives!$D$2:$D$1048576,2,Archives!$Y$2:$Y$1048576,$B28)</f>
        <v/>
      </c>
      <c r="E28" s="47">
        <f>SUMIFS(Archives!$AF$2:$AF$1048576,Archives!$D$2:$D$1048576,3,Archives!$V$2:$V$1048576,$B28)+SUMIFS(Archives!$AF$2:$AF$1048576,Archives!$D$2:$D$1048576,3,Archives!$Y$2:$Y$1048576,$B28)</f>
        <v/>
      </c>
      <c r="F28" s="47">
        <f>SUMIFS(Archives!$AF$2:$AF$1048576,Archives!$D$2:$D$1048576,4,Archives!$V$2:$V$1048576,$B28)+SUMIFS(Archives!$AF$2:$AF$1048576,Archives!$D$2:$D$1048576,4,Archives!$Y$2:$Y$1048576,$B28)</f>
        <v/>
      </c>
      <c r="G28" s="47">
        <f>SUMIFS(Archives!$AF$2:$AF$1048576,Archives!$D$2:$D$1048576,5,Archives!$V$2:$V$1048576,$B28)+SUMIFS(Archives!$AF$2:$AF$1048576,Archives!$D$2:$D$1048576,5,Archives!$Y$2:$Y$1048576,$B28)</f>
        <v/>
      </c>
      <c r="H28" s="47">
        <f>SUMIFS(Archives!$AF$2:$AF$1048576,Archives!$D$2:$D$1048576,6,Archives!$V$2:$V$1048576,$B28)+SUMIFS(Archives!$AF$2:$AF$1048576,Archives!$D$2:$D$1048576,6,Archives!$Y$2:$Y$1048576,$B28)</f>
        <v/>
      </c>
      <c r="I28" s="47">
        <f>SUMIFS(Archives!$AF$2:$AF$1048576,Archives!$D$2:$D$1048576,7,Archives!$V$2:$V$1048576,$B28)+SUMIFS(Archives!$AF$2:$AF$1048576,Archives!$D$2:$D$1048576,7,Archives!$Y$2:$Y$1048576,$B28)</f>
        <v/>
      </c>
      <c r="J28" s="47">
        <f>SUMIFS(Archives!$AF$2:$AF$1048576,Archives!$D$2:$D$1048576,8,Archives!$V$2:$V$1048576,$B28)+SUMIFS(Archives!$AF$2:$AF$1048576,Archives!$D$2:$D$1048576,8,Archives!$Y$2:$Y$1048576,$B28)</f>
        <v/>
      </c>
      <c r="K28" s="47">
        <f>SUMIFS(Archives!$AF$2:$AF$1048576,Archives!$D$2:$D$1048576,9,Archives!$V$2:$V$1048576,$B28)+SUMIFS(Archives!$AF$2:$AF$1048576,Archives!$D$2:$D$1048576,9,Archives!$Y$2:$Y$1048576,$B28)</f>
        <v/>
      </c>
      <c r="L28" s="47">
        <f>SUMIFS(Archives!$AF$2:$AF$1048576,Archives!$D$2:$D$1048576,10,Archives!$V$2:$V$1048576,$B28)+SUMIFS(Archives!$AF$2:$AF$1048576,Archives!$D$2:$D$1048576,10,Archives!$Y$2:$Y$1048576,$B28)</f>
        <v/>
      </c>
      <c r="M28" s="47">
        <f>SUMIFS(Archives!$AF$2:$AF$1048576,Archives!$D$2:$D$1048576,11,Archives!$V$2:$V$1048576,$B28)+SUMIFS(Archives!$AF$2:$AF$1048576,Archives!$D$2:$D$1048576,11,Archives!$Y$2:$Y$1048576,$B28)</f>
        <v/>
      </c>
      <c r="N28" s="47">
        <f>SUMIFS(Archives!$AF$2:$AF$1048576,Archives!$D$2:$D$1048576,12,Archives!$V$2:$V$1048576,$B28)+SUMIFS(Archives!$AF$2:$AF$1048576,Archives!$D$2:$D$1048576,12,Archives!$Y$2:$Y$1048576,$B28)</f>
        <v/>
      </c>
      <c r="O28" s="47">
        <f>SUMIFS(Archives!$AF$2:$AF$1048576,Archives!$D$2:$D$1048576,13,Archives!$V$2:$V$1048576,$B28)+SUMIFS(Archives!$AF$2:$AF$1048576,Archives!$D$2:$D$1048576,13,Archives!$Y$2:$Y$1048576,$B28)</f>
        <v/>
      </c>
      <c r="P28" s="47">
        <f>SUMIFS(Archives!$AF$2:$AF$1048576,Archives!$D$2:$D$1048576,14,Archives!$V$2:$V$1048576,$B28)+SUMIFS(Archives!$AF$2:$AF$1048576,Archives!$D$2:$D$1048576,14,Archives!$Y$2:$Y$1048576,$B28)</f>
        <v/>
      </c>
      <c r="Q28" s="47">
        <f>SUMIFS(Archives!$AF$2:$AF$1048576,Archives!$D$2:$D$1048576,15,Archives!$V$2:$V$1048576,$B28)+SUMIFS(Archives!$AF$2:$AF$1048576,Archives!$D$2:$D$1048576,15,Archives!$Y$2:$Y$1048576,$B28)</f>
        <v/>
      </c>
      <c r="R28" s="48">
        <f>SUM(C28:Q28)</f>
        <v/>
      </c>
    </row>
    <row r="29" ht="15" customHeight="1" s="2">
      <c r="B29" s="43" t="inlineStr">
        <is>
          <t>Hickerson</t>
        </is>
      </c>
      <c r="C29" s="44">
        <f>SUMIFS(Archives!$AF$2:$AF$1048576,Archives!$D$2:$D$1048576,1,Archives!$V$2:$V$1048576,$B29)+SUMIFS(Archives!$AF$2:$AF$1048576,Archives!$D$2:$D$1048576,1,Archives!$Y$2:$Y$1048576,$B29)</f>
        <v/>
      </c>
      <c r="D29" s="44">
        <f>SUMIFS(Archives!$AF$2:$AF$1048576,Archives!$D$2:$D$1048576,2,Archives!$V$2:$V$1048576,$B29)+SUMIFS(Archives!$AF$2:$AF$1048576,Archives!$D$2:$D$1048576,2,Archives!$Y$2:$Y$1048576,$B29)</f>
        <v/>
      </c>
      <c r="E29" s="44">
        <f>SUMIFS(Archives!$AF$2:$AF$1048576,Archives!$D$2:$D$1048576,3,Archives!$V$2:$V$1048576,$B29)+SUMIFS(Archives!$AF$2:$AF$1048576,Archives!$D$2:$D$1048576,3,Archives!$Y$2:$Y$1048576,$B29)</f>
        <v/>
      </c>
      <c r="F29" s="44">
        <f>SUMIFS(Archives!$AF$2:$AF$1048576,Archives!$D$2:$D$1048576,4,Archives!$V$2:$V$1048576,$B29)+SUMIFS(Archives!$AF$2:$AF$1048576,Archives!$D$2:$D$1048576,4,Archives!$Y$2:$Y$1048576,$B29)</f>
        <v/>
      </c>
      <c r="G29" s="44">
        <f>SUMIFS(Archives!$AF$2:$AF$1048576,Archives!$D$2:$D$1048576,5,Archives!$V$2:$V$1048576,$B29)+SUMIFS(Archives!$AF$2:$AF$1048576,Archives!$D$2:$D$1048576,5,Archives!$Y$2:$Y$1048576,$B29)</f>
        <v/>
      </c>
      <c r="H29" s="44">
        <f>SUMIFS(Archives!$AF$2:$AF$1048576,Archives!$D$2:$D$1048576,6,Archives!$V$2:$V$1048576,$B29)+SUMIFS(Archives!$AF$2:$AF$1048576,Archives!$D$2:$D$1048576,6,Archives!$Y$2:$Y$1048576,$B29)</f>
        <v/>
      </c>
      <c r="I29" s="44">
        <f>SUMIFS(Archives!$AF$2:$AF$1048576,Archives!$D$2:$D$1048576,7,Archives!$V$2:$V$1048576,$B29)+SUMIFS(Archives!$AF$2:$AF$1048576,Archives!$D$2:$D$1048576,7,Archives!$Y$2:$Y$1048576,$B29)</f>
        <v/>
      </c>
      <c r="J29" s="44">
        <f>SUMIFS(Archives!$AF$2:$AF$1048576,Archives!$D$2:$D$1048576,8,Archives!$V$2:$V$1048576,$B29)+SUMIFS(Archives!$AF$2:$AF$1048576,Archives!$D$2:$D$1048576,8,Archives!$Y$2:$Y$1048576,$B29)</f>
        <v/>
      </c>
      <c r="K29" s="44">
        <f>SUMIFS(Archives!$AF$2:$AF$1048576,Archives!$D$2:$D$1048576,9,Archives!$V$2:$V$1048576,$B29)+SUMIFS(Archives!$AF$2:$AF$1048576,Archives!$D$2:$D$1048576,9,Archives!$Y$2:$Y$1048576,$B29)</f>
        <v/>
      </c>
      <c r="L29" s="44">
        <f>SUMIFS(Archives!$AF$2:$AF$1048576,Archives!$D$2:$D$1048576,10,Archives!$V$2:$V$1048576,$B29)+SUMIFS(Archives!$AF$2:$AF$1048576,Archives!$D$2:$D$1048576,10,Archives!$Y$2:$Y$1048576,$B29)</f>
        <v/>
      </c>
      <c r="M29" s="44">
        <f>SUMIFS(Archives!$AF$2:$AF$1048576,Archives!$D$2:$D$1048576,11,Archives!$V$2:$V$1048576,$B29)+SUMIFS(Archives!$AF$2:$AF$1048576,Archives!$D$2:$D$1048576,11,Archives!$Y$2:$Y$1048576,$B29)</f>
        <v/>
      </c>
      <c r="N29" s="44">
        <f>SUMIFS(Archives!$AF$2:$AF$1048576,Archives!$D$2:$D$1048576,12,Archives!$V$2:$V$1048576,$B29)+SUMIFS(Archives!$AF$2:$AF$1048576,Archives!$D$2:$D$1048576,12,Archives!$Y$2:$Y$1048576,$B29)</f>
        <v/>
      </c>
      <c r="O29" s="44">
        <f>SUMIFS(Archives!$AF$2:$AF$1048576,Archives!$D$2:$D$1048576,13,Archives!$V$2:$V$1048576,$B29)+SUMIFS(Archives!$AF$2:$AF$1048576,Archives!$D$2:$D$1048576,13,Archives!$Y$2:$Y$1048576,$B29)</f>
        <v/>
      </c>
      <c r="P29" s="44">
        <f>SUMIFS(Archives!$AF$2:$AF$1048576,Archives!$D$2:$D$1048576,14,Archives!$V$2:$V$1048576,$B29)+SUMIFS(Archives!$AF$2:$AF$1048576,Archives!$D$2:$D$1048576,14,Archives!$Y$2:$Y$1048576,$B29)</f>
        <v/>
      </c>
      <c r="Q29" s="44">
        <f>SUMIFS(Archives!$AF$2:$AF$1048576,Archives!$D$2:$D$1048576,15,Archives!$V$2:$V$1048576,$B29)+SUMIFS(Archives!$AF$2:$AF$1048576,Archives!$D$2:$D$1048576,15,Archives!$Y$2:$Y$1048576,$B29)</f>
        <v/>
      </c>
      <c r="R29" s="45">
        <f>SUM(C29:Q29)</f>
        <v/>
      </c>
    </row>
    <row r="30" ht="15" customHeight="1" s="2">
      <c r="B30" s="46" t="inlineStr">
        <is>
          <t>Weisberger</t>
        </is>
      </c>
      <c r="C30" s="47">
        <f>SUMIFS(Archives!$AF$2:$AF$1048576,Archives!$D$2:$D$1048576,1,Archives!$V$2:$V$1048576,$B30)+SUMIFS(Archives!$AF$2:$AF$1048576,Archives!$D$2:$D$1048576,1,Archives!$Y$2:$Y$1048576,$B30)</f>
        <v/>
      </c>
      <c r="D30" s="47">
        <f>SUMIFS(Archives!$AF$2:$AF$1048576,Archives!$D$2:$D$1048576,2,Archives!$V$2:$V$1048576,$B30)+SUMIFS(Archives!$AF$2:$AF$1048576,Archives!$D$2:$D$1048576,2,Archives!$Y$2:$Y$1048576,$B30)</f>
        <v/>
      </c>
      <c r="E30" s="47">
        <f>SUMIFS(Archives!$AF$2:$AF$1048576,Archives!$D$2:$D$1048576,3,Archives!$V$2:$V$1048576,$B30)+SUMIFS(Archives!$AF$2:$AF$1048576,Archives!$D$2:$D$1048576,3,Archives!$Y$2:$Y$1048576,$B30)</f>
        <v/>
      </c>
      <c r="F30" s="47">
        <f>SUMIFS(Archives!$AF$2:$AF$1048576,Archives!$D$2:$D$1048576,4,Archives!$V$2:$V$1048576,$B30)+SUMIFS(Archives!$AF$2:$AF$1048576,Archives!$D$2:$D$1048576,4,Archives!$Y$2:$Y$1048576,$B30)</f>
        <v/>
      </c>
      <c r="G30" s="47">
        <f>SUMIFS(Archives!$AF$2:$AF$1048576,Archives!$D$2:$D$1048576,5,Archives!$V$2:$V$1048576,$B30)+SUMIFS(Archives!$AF$2:$AF$1048576,Archives!$D$2:$D$1048576,5,Archives!$Y$2:$Y$1048576,$B30)</f>
        <v/>
      </c>
      <c r="H30" s="47">
        <f>SUMIFS(Archives!$AF$2:$AF$1048576,Archives!$D$2:$D$1048576,6,Archives!$V$2:$V$1048576,$B30)+SUMIFS(Archives!$AF$2:$AF$1048576,Archives!$D$2:$D$1048576,6,Archives!$Y$2:$Y$1048576,$B30)</f>
        <v/>
      </c>
      <c r="I30" s="47">
        <f>SUMIFS(Archives!$AF$2:$AF$1048576,Archives!$D$2:$D$1048576,7,Archives!$V$2:$V$1048576,$B30)+SUMIFS(Archives!$AF$2:$AF$1048576,Archives!$D$2:$D$1048576,7,Archives!$Y$2:$Y$1048576,$B30)</f>
        <v/>
      </c>
      <c r="J30" s="47">
        <f>SUMIFS(Archives!$AF$2:$AF$1048576,Archives!$D$2:$D$1048576,8,Archives!$V$2:$V$1048576,$B30)+SUMIFS(Archives!$AF$2:$AF$1048576,Archives!$D$2:$D$1048576,8,Archives!$Y$2:$Y$1048576,$B30)</f>
        <v/>
      </c>
      <c r="K30" s="47">
        <f>SUMIFS(Archives!$AF$2:$AF$1048576,Archives!$D$2:$D$1048576,9,Archives!$V$2:$V$1048576,$B30)+SUMIFS(Archives!$AF$2:$AF$1048576,Archives!$D$2:$D$1048576,9,Archives!$Y$2:$Y$1048576,$B30)</f>
        <v/>
      </c>
      <c r="L30" s="47">
        <f>SUMIFS(Archives!$AF$2:$AF$1048576,Archives!$D$2:$D$1048576,10,Archives!$V$2:$V$1048576,$B30)+SUMIFS(Archives!$AF$2:$AF$1048576,Archives!$D$2:$D$1048576,10,Archives!$Y$2:$Y$1048576,$B30)</f>
        <v/>
      </c>
      <c r="M30" s="47">
        <f>SUMIFS(Archives!$AF$2:$AF$1048576,Archives!$D$2:$D$1048576,11,Archives!$V$2:$V$1048576,$B30)+SUMIFS(Archives!$AF$2:$AF$1048576,Archives!$D$2:$D$1048576,11,Archives!$Y$2:$Y$1048576,$B30)</f>
        <v/>
      </c>
      <c r="N30" s="47">
        <f>SUMIFS(Archives!$AF$2:$AF$1048576,Archives!$D$2:$D$1048576,12,Archives!$V$2:$V$1048576,$B30)+SUMIFS(Archives!$AF$2:$AF$1048576,Archives!$D$2:$D$1048576,12,Archives!$Y$2:$Y$1048576,$B30)</f>
        <v/>
      </c>
      <c r="O30" s="47">
        <f>SUMIFS(Archives!$AF$2:$AF$1048576,Archives!$D$2:$D$1048576,13,Archives!$V$2:$V$1048576,$B30)+SUMIFS(Archives!$AF$2:$AF$1048576,Archives!$D$2:$D$1048576,13,Archives!$Y$2:$Y$1048576,$B30)</f>
        <v/>
      </c>
      <c r="P30" s="47">
        <f>SUMIFS(Archives!$AF$2:$AF$1048576,Archives!$D$2:$D$1048576,14,Archives!$V$2:$V$1048576,$B30)+SUMIFS(Archives!$AF$2:$AF$1048576,Archives!$D$2:$D$1048576,14,Archives!$Y$2:$Y$1048576,$B30)</f>
        <v/>
      </c>
      <c r="Q30" s="47">
        <f>SUMIFS(Archives!$AF$2:$AF$1048576,Archives!$D$2:$D$1048576,15,Archives!$V$2:$V$1048576,$B30)+SUMIFS(Archives!$AF$2:$AF$1048576,Archives!$D$2:$D$1048576,15,Archives!$Y$2:$Y$1048576,$B30)</f>
        <v/>
      </c>
      <c r="R30" s="48">
        <f>SUM(C30:Q30)</f>
        <v/>
      </c>
    </row>
    <row r="31" ht="15" customHeight="1" s="2">
      <c r="B31" s="43" t="inlineStr">
        <is>
          <t>Deoteris</t>
        </is>
      </c>
      <c r="C31" s="44">
        <f>SUMIFS(Archives!$AF$2:$AF$1048576,Archives!$D$2:$D$1048576,1,Archives!$V$2:$V$1048576,$B31)+SUMIFS(Archives!$AF$2:$AF$1048576,Archives!$D$2:$D$1048576,1,Archives!$Y$2:$Y$1048576,$B31)</f>
        <v/>
      </c>
      <c r="D31" s="44">
        <f>SUMIFS(Archives!$AF$2:$AF$1048576,Archives!$D$2:$D$1048576,2,Archives!$V$2:$V$1048576,$B31)+SUMIFS(Archives!$AF$2:$AF$1048576,Archives!$D$2:$D$1048576,2,Archives!$Y$2:$Y$1048576,$B31)</f>
        <v/>
      </c>
      <c r="E31" s="44">
        <f>SUMIFS(Archives!$AF$2:$AF$1048576,Archives!$D$2:$D$1048576,3,Archives!$V$2:$V$1048576,$B31)+SUMIFS(Archives!$AF$2:$AF$1048576,Archives!$D$2:$D$1048576,3,Archives!$Y$2:$Y$1048576,$B31)</f>
        <v/>
      </c>
      <c r="F31" s="44">
        <f>SUMIFS(Archives!$AF$2:$AF$1048576,Archives!$D$2:$D$1048576,4,Archives!$V$2:$V$1048576,$B31)+SUMIFS(Archives!$AF$2:$AF$1048576,Archives!$D$2:$D$1048576,4,Archives!$Y$2:$Y$1048576,$B31)</f>
        <v/>
      </c>
      <c r="G31" s="44">
        <f>SUMIFS(Archives!$AF$2:$AF$1048576,Archives!$D$2:$D$1048576,5,Archives!$V$2:$V$1048576,$B31)+SUMIFS(Archives!$AF$2:$AF$1048576,Archives!$D$2:$D$1048576,5,Archives!$Y$2:$Y$1048576,$B31)</f>
        <v/>
      </c>
      <c r="H31" s="44">
        <f>SUMIFS(Archives!$AF$2:$AF$1048576,Archives!$D$2:$D$1048576,6,Archives!$V$2:$V$1048576,$B31)+SUMIFS(Archives!$AF$2:$AF$1048576,Archives!$D$2:$D$1048576,6,Archives!$Y$2:$Y$1048576,$B31)</f>
        <v/>
      </c>
      <c r="I31" s="44">
        <f>SUMIFS(Archives!$AF$2:$AF$1048576,Archives!$D$2:$D$1048576,7,Archives!$V$2:$V$1048576,$B31)+SUMIFS(Archives!$AF$2:$AF$1048576,Archives!$D$2:$D$1048576,7,Archives!$Y$2:$Y$1048576,$B31)</f>
        <v/>
      </c>
      <c r="J31" s="44">
        <f>SUMIFS(Archives!$AF$2:$AF$1048576,Archives!$D$2:$D$1048576,8,Archives!$V$2:$V$1048576,$B31)+SUMIFS(Archives!$AF$2:$AF$1048576,Archives!$D$2:$D$1048576,8,Archives!$Y$2:$Y$1048576,$B31)</f>
        <v/>
      </c>
      <c r="K31" s="44">
        <f>SUMIFS(Archives!$AF$2:$AF$1048576,Archives!$D$2:$D$1048576,9,Archives!$V$2:$V$1048576,$B31)+SUMIFS(Archives!$AF$2:$AF$1048576,Archives!$D$2:$D$1048576,9,Archives!$Y$2:$Y$1048576,$B31)</f>
        <v/>
      </c>
      <c r="L31" s="44">
        <f>SUMIFS(Archives!$AF$2:$AF$1048576,Archives!$D$2:$D$1048576,10,Archives!$V$2:$V$1048576,$B31)+SUMIFS(Archives!$AF$2:$AF$1048576,Archives!$D$2:$D$1048576,10,Archives!$Y$2:$Y$1048576,$B31)</f>
        <v/>
      </c>
      <c r="M31" s="44">
        <f>SUMIFS(Archives!$AF$2:$AF$1048576,Archives!$D$2:$D$1048576,11,Archives!$V$2:$V$1048576,$B31)+SUMIFS(Archives!$AF$2:$AF$1048576,Archives!$D$2:$D$1048576,11,Archives!$Y$2:$Y$1048576,$B31)</f>
        <v/>
      </c>
      <c r="N31" s="44">
        <f>SUMIFS(Archives!$AF$2:$AF$1048576,Archives!$D$2:$D$1048576,12,Archives!$V$2:$V$1048576,$B31)+SUMIFS(Archives!$AF$2:$AF$1048576,Archives!$D$2:$D$1048576,12,Archives!$Y$2:$Y$1048576,$B31)</f>
        <v/>
      </c>
      <c r="O31" s="44">
        <f>SUMIFS(Archives!$AF$2:$AF$1048576,Archives!$D$2:$D$1048576,13,Archives!$V$2:$V$1048576,$B31)+SUMIFS(Archives!$AF$2:$AF$1048576,Archives!$D$2:$D$1048576,13,Archives!$Y$2:$Y$1048576,$B31)</f>
        <v/>
      </c>
      <c r="P31" s="44">
        <f>SUMIFS(Archives!$AF$2:$AF$1048576,Archives!$D$2:$D$1048576,14,Archives!$V$2:$V$1048576,$B31)+SUMIFS(Archives!$AF$2:$AF$1048576,Archives!$D$2:$D$1048576,14,Archives!$Y$2:$Y$1048576,$B31)</f>
        <v/>
      </c>
      <c r="Q31" s="44">
        <f>SUMIFS(Archives!$AF$2:$AF$1048576,Archives!$D$2:$D$1048576,15,Archives!$V$2:$V$1048576,$B31)+SUMIFS(Archives!$AF$2:$AF$1048576,Archives!$D$2:$D$1048576,15,Archives!$Y$2:$Y$1048576,$B31)</f>
        <v/>
      </c>
      <c r="R31" s="45">
        <f>SUM(C31:Q31)</f>
        <v/>
      </c>
    </row>
    <row r="32" ht="15" customHeight="1" s="2">
      <c r="B32" s="46" t="inlineStr">
        <is>
          <t>Snyder</t>
        </is>
      </c>
      <c r="C32" s="47">
        <f>SUMIFS(Archives!$AF$2:$AF$1048576,Archives!$D$2:$D$1048576,1,Archives!$V$2:$V$1048576,$B32)+SUMIFS(Archives!$AF$2:$AF$1048576,Archives!$D$2:$D$1048576,1,Archives!$Y$2:$Y$1048576,$B32)</f>
        <v/>
      </c>
      <c r="D32" s="47">
        <f>SUMIFS(Archives!$AF$2:$AF$1048576,Archives!$D$2:$D$1048576,2,Archives!$V$2:$V$1048576,$B32)+SUMIFS(Archives!$AF$2:$AF$1048576,Archives!$D$2:$D$1048576,2,Archives!$Y$2:$Y$1048576,$B32)</f>
        <v/>
      </c>
      <c r="E32" s="47">
        <f>SUMIFS(Archives!$AF$2:$AF$1048576,Archives!$D$2:$D$1048576,3,Archives!$V$2:$V$1048576,$B32)+SUMIFS(Archives!$AF$2:$AF$1048576,Archives!$D$2:$D$1048576,3,Archives!$Y$2:$Y$1048576,$B32)</f>
        <v/>
      </c>
      <c r="F32" s="47">
        <f>SUMIFS(Archives!$AF$2:$AF$1048576,Archives!$D$2:$D$1048576,4,Archives!$V$2:$V$1048576,$B32)+SUMIFS(Archives!$AF$2:$AF$1048576,Archives!$D$2:$D$1048576,4,Archives!$Y$2:$Y$1048576,$B32)</f>
        <v/>
      </c>
      <c r="G32" s="47">
        <f>SUMIFS(Archives!$AF$2:$AF$1048576,Archives!$D$2:$D$1048576,5,Archives!$V$2:$V$1048576,$B32)+SUMIFS(Archives!$AF$2:$AF$1048576,Archives!$D$2:$D$1048576,5,Archives!$Y$2:$Y$1048576,$B32)</f>
        <v/>
      </c>
      <c r="H32" s="47">
        <f>SUMIFS(Archives!$AF$2:$AF$1048576,Archives!$D$2:$D$1048576,6,Archives!$V$2:$V$1048576,$B32)+SUMIFS(Archives!$AF$2:$AF$1048576,Archives!$D$2:$D$1048576,6,Archives!$Y$2:$Y$1048576,$B32)</f>
        <v/>
      </c>
      <c r="I32" s="47">
        <f>SUMIFS(Archives!$AF$2:$AF$1048576,Archives!$D$2:$D$1048576,7,Archives!$V$2:$V$1048576,$B32)+SUMIFS(Archives!$AF$2:$AF$1048576,Archives!$D$2:$D$1048576,7,Archives!$Y$2:$Y$1048576,$B32)</f>
        <v/>
      </c>
      <c r="J32" s="47">
        <f>SUMIFS(Archives!$AF$2:$AF$1048576,Archives!$D$2:$D$1048576,8,Archives!$V$2:$V$1048576,$B32)+SUMIFS(Archives!$AF$2:$AF$1048576,Archives!$D$2:$D$1048576,8,Archives!$Y$2:$Y$1048576,$B32)</f>
        <v/>
      </c>
      <c r="K32" s="47">
        <f>SUMIFS(Archives!$AF$2:$AF$1048576,Archives!$D$2:$D$1048576,9,Archives!$V$2:$V$1048576,$B32)+SUMIFS(Archives!$AF$2:$AF$1048576,Archives!$D$2:$D$1048576,9,Archives!$Y$2:$Y$1048576,$B32)</f>
        <v/>
      </c>
      <c r="L32" s="47">
        <f>SUMIFS(Archives!$AF$2:$AF$1048576,Archives!$D$2:$D$1048576,10,Archives!$V$2:$V$1048576,$B32)+SUMIFS(Archives!$AF$2:$AF$1048576,Archives!$D$2:$D$1048576,10,Archives!$Y$2:$Y$1048576,$B32)</f>
        <v/>
      </c>
      <c r="M32" s="47">
        <f>SUMIFS(Archives!$AF$2:$AF$1048576,Archives!$D$2:$D$1048576,11,Archives!$V$2:$V$1048576,$B32)+SUMIFS(Archives!$AF$2:$AF$1048576,Archives!$D$2:$D$1048576,11,Archives!$Y$2:$Y$1048576,$B32)</f>
        <v/>
      </c>
      <c r="N32" s="47">
        <f>SUMIFS(Archives!$AF$2:$AF$1048576,Archives!$D$2:$D$1048576,12,Archives!$V$2:$V$1048576,$B32)+SUMIFS(Archives!$AF$2:$AF$1048576,Archives!$D$2:$D$1048576,12,Archives!$Y$2:$Y$1048576,$B32)</f>
        <v/>
      </c>
      <c r="O32" s="47">
        <f>SUMIFS(Archives!$AF$2:$AF$1048576,Archives!$D$2:$D$1048576,13,Archives!$V$2:$V$1048576,$B32)+SUMIFS(Archives!$AF$2:$AF$1048576,Archives!$D$2:$D$1048576,13,Archives!$Y$2:$Y$1048576,$B32)</f>
        <v/>
      </c>
      <c r="P32" s="47">
        <f>SUMIFS(Archives!$AF$2:$AF$1048576,Archives!$D$2:$D$1048576,14,Archives!$V$2:$V$1048576,$B32)+SUMIFS(Archives!$AF$2:$AF$1048576,Archives!$D$2:$D$1048576,14,Archives!$Y$2:$Y$1048576,$B32)</f>
        <v/>
      </c>
      <c r="Q32" s="47">
        <f>SUMIFS(Archives!$AF$2:$AF$1048576,Archives!$D$2:$D$1048576,15,Archives!$V$2:$V$1048576,$B32)+SUMIFS(Archives!$AF$2:$AF$1048576,Archives!$D$2:$D$1048576,15,Archives!$Y$2:$Y$1048576,$B32)</f>
        <v/>
      </c>
      <c r="R32" s="48">
        <f>SUM(C32:Q32)</f>
        <v/>
      </c>
    </row>
    <row r="33" ht="15" customHeight="1" s="2">
      <c r="B33" s="43" t="inlineStr">
        <is>
          <t>Piegari</t>
        </is>
      </c>
      <c r="C33" s="44">
        <f>SUMIFS(Archives!$AF$2:$AF$1048576,Archives!$D$2:$D$1048576,1,Archives!$V$2:$V$1048576,$B33)+SUMIFS(Archives!$AF$2:$AF$1048576,Archives!$D$2:$D$1048576,1,Archives!$Y$2:$Y$1048576,$B33)</f>
        <v/>
      </c>
      <c r="D33" s="44">
        <f>SUMIFS(Archives!$AF$2:$AF$1048576,Archives!$D$2:$D$1048576,2,Archives!$V$2:$V$1048576,$B33)+SUMIFS(Archives!$AF$2:$AF$1048576,Archives!$D$2:$D$1048576,2,Archives!$Y$2:$Y$1048576,$B33)</f>
        <v/>
      </c>
      <c r="E33" s="44">
        <f>SUMIFS(Archives!$AF$2:$AF$1048576,Archives!$D$2:$D$1048576,3,Archives!$V$2:$V$1048576,$B33)+SUMIFS(Archives!$AF$2:$AF$1048576,Archives!$D$2:$D$1048576,3,Archives!$Y$2:$Y$1048576,$B33)</f>
        <v/>
      </c>
      <c r="F33" s="44">
        <f>SUMIFS(Archives!$AF$2:$AF$1048576,Archives!$D$2:$D$1048576,4,Archives!$V$2:$V$1048576,$B33)+SUMIFS(Archives!$AF$2:$AF$1048576,Archives!$D$2:$D$1048576,4,Archives!$Y$2:$Y$1048576,$B33)</f>
        <v/>
      </c>
      <c r="G33" s="44">
        <f>SUMIFS(Archives!$AF$2:$AF$1048576,Archives!$D$2:$D$1048576,5,Archives!$V$2:$V$1048576,$B33)+SUMIFS(Archives!$AF$2:$AF$1048576,Archives!$D$2:$D$1048576,5,Archives!$Y$2:$Y$1048576,$B33)</f>
        <v/>
      </c>
      <c r="H33" s="44">
        <f>SUMIFS(Archives!$AF$2:$AF$1048576,Archives!$D$2:$D$1048576,6,Archives!$V$2:$V$1048576,$B33)+SUMIFS(Archives!$AF$2:$AF$1048576,Archives!$D$2:$D$1048576,6,Archives!$Y$2:$Y$1048576,$B33)</f>
        <v/>
      </c>
      <c r="I33" s="44">
        <f>SUMIFS(Archives!$AF$2:$AF$1048576,Archives!$D$2:$D$1048576,7,Archives!$V$2:$V$1048576,$B33)+SUMIFS(Archives!$AF$2:$AF$1048576,Archives!$D$2:$D$1048576,7,Archives!$Y$2:$Y$1048576,$B33)</f>
        <v/>
      </c>
      <c r="J33" s="44">
        <f>SUMIFS(Archives!$AF$2:$AF$1048576,Archives!$D$2:$D$1048576,8,Archives!$V$2:$V$1048576,$B33)+SUMIFS(Archives!$AF$2:$AF$1048576,Archives!$D$2:$D$1048576,8,Archives!$Y$2:$Y$1048576,$B33)</f>
        <v/>
      </c>
      <c r="K33" s="44">
        <f>SUMIFS(Archives!$AF$2:$AF$1048576,Archives!$D$2:$D$1048576,9,Archives!$V$2:$V$1048576,$B33)+SUMIFS(Archives!$AF$2:$AF$1048576,Archives!$D$2:$D$1048576,9,Archives!$Y$2:$Y$1048576,$B33)</f>
        <v/>
      </c>
      <c r="L33" s="44">
        <f>SUMIFS(Archives!$AF$2:$AF$1048576,Archives!$D$2:$D$1048576,10,Archives!$V$2:$V$1048576,$B33)+SUMIFS(Archives!$AF$2:$AF$1048576,Archives!$D$2:$D$1048576,10,Archives!$Y$2:$Y$1048576,$B33)</f>
        <v/>
      </c>
      <c r="M33" s="44">
        <f>SUMIFS(Archives!$AF$2:$AF$1048576,Archives!$D$2:$D$1048576,11,Archives!$V$2:$V$1048576,$B33)+SUMIFS(Archives!$AF$2:$AF$1048576,Archives!$D$2:$D$1048576,11,Archives!$Y$2:$Y$1048576,$B33)</f>
        <v/>
      </c>
      <c r="N33" s="44">
        <f>SUMIFS(Archives!$AF$2:$AF$1048576,Archives!$D$2:$D$1048576,12,Archives!$V$2:$V$1048576,$B33)+SUMIFS(Archives!$AF$2:$AF$1048576,Archives!$D$2:$D$1048576,12,Archives!$Y$2:$Y$1048576,$B33)</f>
        <v/>
      </c>
      <c r="O33" s="44">
        <f>SUMIFS(Archives!$AF$2:$AF$1048576,Archives!$D$2:$D$1048576,13,Archives!$V$2:$V$1048576,$B33)+SUMIFS(Archives!$AF$2:$AF$1048576,Archives!$D$2:$D$1048576,13,Archives!$Y$2:$Y$1048576,$B33)</f>
        <v/>
      </c>
      <c r="P33" s="44">
        <f>SUMIFS(Archives!$AF$2:$AF$1048576,Archives!$D$2:$D$1048576,14,Archives!$V$2:$V$1048576,$B33)+SUMIFS(Archives!$AF$2:$AF$1048576,Archives!$D$2:$D$1048576,14,Archives!$Y$2:$Y$1048576,$B33)</f>
        <v/>
      </c>
      <c r="Q33" s="44">
        <f>SUMIFS(Archives!$AF$2:$AF$1048576,Archives!$D$2:$D$1048576,15,Archives!$V$2:$V$1048576,$B33)+SUMIFS(Archives!$AF$2:$AF$1048576,Archives!$D$2:$D$1048576,15,Archives!$Y$2:$Y$1048576,$B33)</f>
        <v/>
      </c>
      <c r="R33" s="45">
        <f>SUM(C33:Q33)</f>
        <v/>
      </c>
    </row>
    <row r="34" ht="15" customHeight="1" s="2">
      <c r="B34" s="46" t="inlineStr">
        <is>
          <t>Ramsay</t>
        </is>
      </c>
      <c r="C34" s="47">
        <f>SUMIFS(Archives!$AF$2:$AF$1048576,Archives!$D$2:$D$1048576,1,Archives!$V$2:$V$1048576,$B34)+SUMIFS(Archives!$AF$2:$AF$1048576,Archives!$D$2:$D$1048576,1,Archives!$Y$2:$Y$1048576,$B34)</f>
        <v/>
      </c>
      <c r="D34" s="47">
        <f>SUMIFS(Archives!$AF$2:$AF$1048576,Archives!$D$2:$D$1048576,2,Archives!$V$2:$V$1048576,$B34)+SUMIFS(Archives!$AF$2:$AF$1048576,Archives!$D$2:$D$1048576,2,Archives!$Y$2:$Y$1048576,$B34)</f>
        <v/>
      </c>
      <c r="E34" s="47">
        <f>SUMIFS(Archives!$AF$2:$AF$1048576,Archives!$D$2:$D$1048576,3,Archives!$V$2:$V$1048576,$B34)+SUMIFS(Archives!$AF$2:$AF$1048576,Archives!$D$2:$D$1048576,3,Archives!$Y$2:$Y$1048576,$B34)</f>
        <v/>
      </c>
      <c r="F34" s="47">
        <f>SUMIFS(Archives!$AF$2:$AF$1048576,Archives!$D$2:$D$1048576,4,Archives!$V$2:$V$1048576,$B34)+SUMIFS(Archives!$AF$2:$AF$1048576,Archives!$D$2:$D$1048576,4,Archives!$Y$2:$Y$1048576,$B34)</f>
        <v/>
      </c>
      <c r="G34" s="47">
        <f>SUMIFS(Archives!$AF$2:$AF$1048576,Archives!$D$2:$D$1048576,5,Archives!$V$2:$V$1048576,$B34)+SUMIFS(Archives!$AF$2:$AF$1048576,Archives!$D$2:$D$1048576,5,Archives!$Y$2:$Y$1048576,$B34)</f>
        <v/>
      </c>
      <c r="H34" s="47">
        <f>SUMIFS(Archives!$AF$2:$AF$1048576,Archives!$D$2:$D$1048576,6,Archives!$V$2:$V$1048576,$B34)+SUMIFS(Archives!$AF$2:$AF$1048576,Archives!$D$2:$D$1048576,6,Archives!$Y$2:$Y$1048576,$B34)</f>
        <v/>
      </c>
      <c r="I34" s="47">
        <f>SUMIFS(Archives!$AF$2:$AF$1048576,Archives!$D$2:$D$1048576,7,Archives!$V$2:$V$1048576,$B34)+SUMIFS(Archives!$AF$2:$AF$1048576,Archives!$D$2:$D$1048576,7,Archives!$Y$2:$Y$1048576,$B34)</f>
        <v/>
      </c>
      <c r="J34" s="47">
        <f>SUMIFS(Archives!$AF$2:$AF$1048576,Archives!$D$2:$D$1048576,8,Archives!$V$2:$V$1048576,$B34)+SUMIFS(Archives!$AF$2:$AF$1048576,Archives!$D$2:$D$1048576,8,Archives!$Y$2:$Y$1048576,$B34)</f>
        <v/>
      </c>
      <c r="K34" s="47">
        <f>SUMIFS(Archives!$AF$2:$AF$1048576,Archives!$D$2:$D$1048576,9,Archives!$V$2:$V$1048576,$B34)+SUMIFS(Archives!$AF$2:$AF$1048576,Archives!$D$2:$D$1048576,9,Archives!$Y$2:$Y$1048576,$B34)</f>
        <v/>
      </c>
      <c r="L34" s="47">
        <f>SUMIFS(Archives!$AF$2:$AF$1048576,Archives!$D$2:$D$1048576,10,Archives!$V$2:$V$1048576,$B34)+SUMIFS(Archives!$AF$2:$AF$1048576,Archives!$D$2:$D$1048576,10,Archives!$Y$2:$Y$1048576,$B34)</f>
        <v/>
      </c>
      <c r="M34" s="47">
        <f>SUMIFS(Archives!$AF$2:$AF$1048576,Archives!$D$2:$D$1048576,11,Archives!$V$2:$V$1048576,$B34)+SUMIFS(Archives!$AF$2:$AF$1048576,Archives!$D$2:$D$1048576,11,Archives!$Y$2:$Y$1048576,$B34)</f>
        <v/>
      </c>
      <c r="N34" s="47">
        <f>SUMIFS(Archives!$AF$2:$AF$1048576,Archives!$D$2:$D$1048576,12,Archives!$V$2:$V$1048576,$B34)+SUMIFS(Archives!$AF$2:$AF$1048576,Archives!$D$2:$D$1048576,12,Archives!$Y$2:$Y$1048576,$B34)</f>
        <v/>
      </c>
      <c r="O34" s="47">
        <f>SUMIFS(Archives!$AF$2:$AF$1048576,Archives!$D$2:$D$1048576,13,Archives!$V$2:$V$1048576,$B34)+SUMIFS(Archives!$AF$2:$AF$1048576,Archives!$D$2:$D$1048576,13,Archives!$Y$2:$Y$1048576,$B34)</f>
        <v/>
      </c>
      <c r="P34" s="47">
        <f>SUMIFS(Archives!$AF$2:$AF$1048576,Archives!$D$2:$D$1048576,14,Archives!$V$2:$V$1048576,$B34)+SUMIFS(Archives!$AF$2:$AF$1048576,Archives!$D$2:$D$1048576,14,Archives!$Y$2:$Y$1048576,$B34)</f>
        <v/>
      </c>
      <c r="Q34" s="47">
        <f>SUMIFS(Archives!$AF$2:$AF$1048576,Archives!$D$2:$D$1048576,15,Archives!$V$2:$V$1048576,$B34)+SUMIFS(Archives!$AF$2:$AF$1048576,Archives!$D$2:$D$1048576,15,Archives!$Y$2:$Y$1048576,$B34)</f>
        <v/>
      </c>
      <c r="R34" s="48">
        <f>SUM(C34:Q34)</f>
        <v/>
      </c>
    </row>
    <row r="35" ht="15" customHeight="1" s="2">
      <c r="B35" s="43" t="inlineStr">
        <is>
          <t>Macklin</t>
        </is>
      </c>
      <c r="C35" s="44">
        <f>SUMIFS(Archives!$AF$2:$AF$1048576,Archives!$D$2:$D$1048576,1,Archives!$V$2:$V$1048576,$B35)+SUMIFS(Archives!$AF$2:$AF$1048576,Archives!$D$2:$D$1048576,1,Archives!$Y$2:$Y$1048576,$B35)</f>
        <v/>
      </c>
      <c r="D35" s="44">
        <f>SUMIFS(Archives!$AF$2:$AF$1048576,Archives!$D$2:$D$1048576,2,Archives!$V$2:$V$1048576,$B35)+SUMIFS(Archives!$AF$2:$AF$1048576,Archives!$D$2:$D$1048576,2,Archives!$Y$2:$Y$1048576,$B35)</f>
        <v/>
      </c>
      <c r="E35" s="44">
        <f>SUMIFS(Archives!$AF$2:$AF$1048576,Archives!$D$2:$D$1048576,3,Archives!$V$2:$V$1048576,$B35)+SUMIFS(Archives!$AF$2:$AF$1048576,Archives!$D$2:$D$1048576,3,Archives!$Y$2:$Y$1048576,$B35)</f>
        <v/>
      </c>
      <c r="F35" s="44">
        <f>SUMIFS(Archives!$AF$2:$AF$1048576,Archives!$D$2:$D$1048576,4,Archives!$V$2:$V$1048576,$B35)+SUMIFS(Archives!$AF$2:$AF$1048576,Archives!$D$2:$D$1048576,4,Archives!$Y$2:$Y$1048576,$B35)</f>
        <v/>
      </c>
      <c r="G35" s="44">
        <f>SUMIFS(Archives!$AF$2:$AF$1048576,Archives!$D$2:$D$1048576,5,Archives!$V$2:$V$1048576,$B35)+SUMIFS(Archives!$AF$2:$AF$1048576,Archives!$D$2:$D$1048576,5,Archives!$Y$2:$Y$1048576,$B35)</f>
        <v/>
      </c>
      <c r="H35" s="44">
        <f>SUMIFS(Archives!$AF$2:$AF$1048576,Archives!$D$2:$D$1048576,6,Archives!$V$2:$V$1048576,$B35)+SUMIFS(Archives!$AF$2:$AF$1048576,Archives!$D$2:$D$1048576,6,Archives!$Y$2:$Y$1048576,$B35)</f>
        <v/>
      </c>
      <c r="I35" s="44">
        <f>SUMIFS(Archives!$AF$2:$AF$1048576,Archives!$D$2:$D$1048576,7,Archives!$V$2:$V$1048576,$B35)+SUMIFS(Archives!$AF$2:$AF$1048576,Archives!$D$2:$D$1048576,7,Archives!$Y$2:$Y$1048576,$B35)</f>
        <v/>
      </c>
      <c r="J35" s="44">
        <f>SUMIFS(Archives!$AF$2:$AF$1048576,Archives!$D$2:$D$1048576,8,Archives!$V$2:$V$1048576,$B35)+SUMIFS(Archives!$AF$2:$AF$1048576,Archives!$D$2:$D$1048576,8,Archives!$Y$2:$Y$1048576,$B35)</f>
        <v/>
      </c>
      <c r="K35" s="44">
        <f>SUMIFS(Archives!$AF$2:$AF$1048576,Archives!$D$2:$D$1048576,9,Archives!$V$2:$V$1048576,$B35)+SUMIFS(Archives!$AF$2:$AF$1048576,Archives!$D$2:$D$1048576,9,Archives!$Y$2:$Y$1048576,$B35)</f>
        <v/>
      </c>
      <c r="L35" s="44">
        <f>SUMIFS(Archives!$AF$2:$AF$1048576,Archives!$D$2:$D$1048576,10,Archives!$V$2:$V$1048576,$B35)+SUMIFS(Archives!$AF$2:$AF$1048576,Archives!$D$2:$D$1048576,10,Archives!$Y$2:$Y$1048576,$B35)</f>
        <v/>
      </c>
      <c r="M35" s="44">
        <f>SUMIFS(Archives!$AF$2:$AF$1048576,Archives!$D$2:$D$1048576,11,Archives!$V$2:$V$1048576,$B35)+SUMIFS(Archives!$AF$2:$AF$1048576,Archives!$D$2:$D$1048576,11,Archives!$Y$2:$Y$1048576,$B35)</f>
        <v/>
      </c>
      <c r="N35" s="44">
        <f>SUMIFS(Archives!$AF$2:$AF$1048576,Archives!$D$2:$D$1048576,12,Archives!$V$2:$V$1048576,$B35)+SUMIFS(Archives!$AF$2:$AF$1048576,Archives!$D$2:$D$1048576,12,Archives!$Y$2:$Y$1048576,$B35)</f>
        <v/>
      </c>
      <c r="O35" s="44">
        <f>SUMIFS(Archives!$AF$2:$AF$1048576,Archives!$D$2:$D$1048576,13,Archives!$V$2:$V$1048576,$B35)+SUMIFS(Archives!$AF$2:$AF$1048576,Archives!$D$2:$D$1048576,13,Archives!$Y$2:$Y$1048576,$B35)</f>
        <v/>
      </c>
      <c r="P35" s="44">
        <f>SUMIFS(Archives!$AF$2:$AF$1048576,Archives!$D$2:$D$1048576,14,Archives!$V$2:$V$1048576,$B35)+SUMIFS(Archives!$AF$2:$AF$1048576,Archives!$D$2:$D$1048576,14,Archives!$Y$2:$Y$1048576,$B35)</f>
        <v/>
      </c>
      <c r="Q35" s="44">
        <f>SUMIFS(Archives!$AF$2:$AF$1048576,Archives!$D$2:$D$1048576,15,Archives!$V$2:$V$1048576,$B35)+SUMIFS(Archives!$AF$2:$AF$1048576,Archives!$D$2:$D$1048576,15,Archives!$Y$2:$Y$1048576,$B35)</f>
        <v/>
      </c>
      <c r="R35" s="45">
        <f>SUM(C35:Q35)</f>
        <v/>
      </c>
    </row>
    <row r="36" ht="15" customHeight="1" s="2">
      <c r="B36" s="49" t="inlineStr">
        <is>
          <t>Total</t>
        </is>
      </c>
      <c r="C36" s="50">
        <f>SUM(C5:C35)</f>
        <v/>
      </c>
      <c r="D36" s="50">
        <f>SUM(D5:D35)</f>
        <v/>
      </c>
      <c r="E36" s="50">
        <f>SUM(E5:E35)</f>
        <v/>
      </c>
      <c r="F36" s="50">
        <f>SUM(F5:F35)</f>
        <v/>
      </c>
      <c r="G36" s="50">
        <f>SUM(G5:G35)</f>
        <v/>
      </c>
      <c r="H36" s="50">
        <f>SUM(H5:H35)</f>
        <v/>
      </c>
      <c r="I36" s="50">
        <f>SUM(I5:I35)</f>
        <v/>
      </c>
      <c r="J36" s="50">
        <f>SUM(J5:J35)</f>
        <v/>
      </c>
      <c r="K36" s="50">
        <f>SUM(K5:K35)</f>
        <v/>
      </c>
      <c r="L36" s="50">
        <f>SUM(L5:L35)</f>
        <v/>
      </c>
      <c r="M36" s="50">
        <f>SUM(M5:M35)</f>
        <v/>
      </c>
      <c r="N36" s="50">
        <f>SUM(N5:N35)</f>
        <v/>
      </c>
      <c r="O36" s="50">
        <f>SUM(O5:O35)</f>
        <v/>
      </c>
      <c r="P36" s="50">
        <f>SUM(P5:P35)</f>
        <v/>
      </c>
      <c r="Q36" s="50">
        <f>SUM(Q5:Q35)</f>
        <v/>
      </c>
      <c r="R36" s="51">
        <f>SUM(R5:R35)</f>
        <v/>
      </c>
    </row>
    <row r="37" ht="15" customHeight="1" s="2"/>
    <row r="39" ht="15" customHeight="1" s="2"/>
    <row r="41" ht="15" customHeight="1" s="2"/>
    <row r="42" ht="15" customHeight="1" s="2"/>
    <row r="43" ht="15" customHeight="1" s="2"/>
    <row r="45" ht="15" customHeight="1" s="2"/>
    <row r="47" ht="15" customHeight="1" s="2"/>
    <row r="48" ht="15" customHeight="1" s="2"/>
    <row r="49" ht="15" customHeight="1" s="2"/>
    <row r="51" ht="15" customHeight="1" s="2"/>
    <row r="53" ht="15" customHeight="1" s="2"/>
    <row r="54" ht="15" customHeight="1" s="2"/>
    <row r="55" ht="15" customHeight="1" s="2"/>
    <row r="57" ht="15" customHeight="1" s="2"/>
    <row r="59" ht="15" customHeight="1" s="2"/>
    <row r="60" ht="15" customHeight="1" s="2"/>
    <row r="61" ht="15" customHeight="1" s="2"/>
    <row r="63" ht="15" customHeight="1" s="2"/>
    <row r="65" ht="15" customHeight="1" s="2"/>
    <row r="66" ht="15" customHeight="1" s="2"/>
    <row r="67" ht="15" customHeight="1" s="2"/>
    <row r="69" ht="15" customHeight="1" s="2"/>
    <row r="71" ht="15" customHeight="1" s="2"/>
    <row r="72" ht="15" customHeight="1" s="2"/>
    <row r="73" ht="15" customHeight="1" s="2"/>
    <row r="75" ht="15" customHeight="1" s="2"/>
    <row r="77" ht="15" customHeight="1" s="2"/>
    <row r="78" ht="15" customHeight="1" s="2"/>
    <row r="79" ht="15" customHeight="1" s="2"/>
    <row r="81" ht="15" customHeight="1" s="2"/>
    <row r="83" ht="15" customHeight="1" s="2"/>
    <row r="84" ht="15" customHeight="1" s="2"/>
    <row r="85" ht="15" customHeight="1" s="2"/>
    <row r="87" ht="15" customHeight="1" s="2"/>
    <row r="89" ht="15" customHeight="1" s="2"/>
    <row r="90" ht="15" customHeight="1" s="2"/>
    <row r="91" ht="15" customHeight="1" s="2"/>
    <row r="93" ht="15" customHeight="1" s="2"/>
    <row r="95" ht="15" customHeight="1" s="2"/>
    <row r="96" ht="15" customHeight="1" s="2"/>
    <row r="97" ht="15" customHeight="1" s="2"/>
    <row r="99" ht="15" customHeight="1" s="2"/>
    <row r="101" ht="15" customHeight="1" s="2"/>
    <row r="102" ht="15" customHeight="1" s="2"/>
    <row r="103" ht="15" customHeight="1" s="2"/>
    <row r="105" ht="15" customHeight="1" s="2"/>
    <row r="107" ht="15" customHeight="1" s="2"/>
    <row r="108" ht="15" customHeight="1" s="2"/>
    <row r="109" ht="15" customHeight="1" s="2"/>
    <row r="111" ht="15" customHeight="1" s="2"/>
    <row r="113" ht="15" customHeight="1" s="2"/>
    <row r="114" ht="15" customHeight="1" s="2"/>
    <row r="115" ht="15" customHeight="1" s="2"/>
    <row r="117" ht="15" customHeight="1" s="2"/>
    <row r="119" ht="15" customHeight="1" s="2"/>
    <row r="120" ht="15" customHeight="1" s="2"/>
    <row r="121" ht="15" customHeight="1" s="2"/>
    <row r="123" ht="15" customHeight="1" s="2"/>
    <row r="125" ht="15" customHeight="1" s="2"/>
    <row r="126" ht="15" customHeight="1" s="2"/>
    <row r="127" ht="15" customHeight="1" s="2"/>
    <row r="129" ht="15" customHeight="1" s="2"/>
    <row r="131" ht="15" customHeight="1" s="2"/>
    <row r="132" ht="15" customHeight="1" s="2"/>
    <row r="133" ht="15" customHeight="1" s="2"/>
    <row r="135" ht="15" customHeight="1" s="2"/>
    <row r="137" ht="15" customHeight="1" s="2"/>
    <row r="138" ht="15" customHeight="1" s="2"/>
    <row r="139" ht="15" customHeight="1" s="2"/>
    <row r="141" ht="15" customHeight="1" s="2"/>
    <row r="143" ht="15" customHeight="1" s="2"/>
    <row r="144" ht="15" customHeight="1" s="2"/>
    <row r="145" ht="15" customHeight="1" s="2"/>
    <row r="147" ht="15" customHeight="1" s="2"/>
    <row r="149" ht="15" customHeight="1" s="2"/>
    <row r="150" ht="15" customHeight="1" s="2"/>
    <row r="151" ht="15" customHeight="1" s="2"/>
    <row r="153" ht="15" customHeight="1" s="2"/>
    <row r="155" ht="15" customHeight="1" s="2"/>
    <row r="156" ht="15" customHeight="1" s="2"/>
    <row r="157" ht="15" customHeight="1" s="2"/>
    <row r="159" ht="15" customHeight="1" s="2"/>
    <row r="161" ht="15" customHeight="1" s="2"/>
    <row r="162" ht="15" customHeight="1" s="2"/>
    <row r="163" ht="15" customHeight="1" s="2"/>
    <row r="165" ht="15" customHeight="1" s="2"/>
    <row r="167" ht="15" customHeight="1" s="2"/>
    <row r="168" ht="15" customHeight="1" s="2"/>
    <row r="169" ht="15" customHeight="1" s="2"/>
    <row r="171" ht="15" customHeight="1" s="2"/>
    <row r="173" ht="15" customHeight="1" s="2"/>
    <row r="174" ht="15" customHeight="1" s="2"/>
    <row r="175" ht="15" customHeight="1" s="2"/>
    <row r="177" ht="15" customHeight="1" s="2"/>
    <row r="179" ht="15" customHeight="1" s="2"/>
    <row r="180" ht="15" customHeight="1" s="2"/>
    <row r="181" ht="15" customHeight="1" s="2"/>
    <row r="183" ht="15" customHeight="1" s="2"/>
    <row r="185" ht="15" customHeight="1" s="2"/>
    <row r="186" ht="15" customHeight="1" s="2"/>
    <row r="187" ht="15" customHeight="1" s="2"/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J36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10" defaultColWidth="8.83203125" defaultRowHeight="15"/>
  <cols>
    <col width="13" customWidth="1" style="2" min="2" max="2"/>
    <col width="7" customWidth="1" style="2" min="3" max="3"/>
    <col width="5" customWidth="1" style="2" min="4" max="6"/>
    <col width="7" customWidth="1" style="2" min="7" max="7"/>
    <col width="8" customWidth="1" style="2" min="8" max="8"/>
    <col width="6" customWidth="1" style="2" min="9" max="9"/>
    <col width="8" customWidth="1" style="2" min="10" max="10"/>
  </cols>
  <sheetData>
    <row r="1" ht="15" customHeight="1" s="2">
      <c r="B1" s="13" t="inlineStr">
        <is>
          <t>Lifetime Leaderboard</t>
        </is>
      </c>
    </row>
    <row r="2" ht="15" customHeight="1" s="2">
      <c r="B2" s="41" t="inlineStr">
        <is>
          <t>Live from Archives — points, record, and per-cup rate across all FBCs. Win % = (W + ½T) ÷ matches.</t>
        </is>
      </c>
    </row>
    <row r="3" ht="15" customHeight="1" s="2"/>
    <row r="4" ht="15" customHeight="1" s="2">
      <c r="B4" s="42" t="inlineStr">
        <is>
          <t>Player</t>
        </is>
      </c>
      <c r="C4" s="42" t="inlineStr">
        <is>
          <t>Points</t>
        </is>
      </c>
      <c r="D4" s="42" t="inlineStr">
        <is>
          <t>W</t>
        </is>
      </c>
      <c r="E4" s="42" t="inlineStr">
        <is>
          <t>L</t>
        </is>
      </c>
      <c r="F4" s="42" t="inlineStr">
        <is>
          <t>T</t>
        </is>
      </c>
      <c r="G4" s="42" t="inlineStr">
        <is>
          <t>Win %</t>
        </is>
      </c>
      <c r="H4" s="42" t="inlineStr">
        <is>
          <t>Matches</t>
        </is>
      </c>
      <c r="I4" s="42" t="inlineStr">
        <is>
          <t>Cups</t>
        </is>
      </c>
      <c r="J4" s="42" t="inlineStr">
        <is>
          <t>Pts/Cup</t>
        </is>
      </c>
    </row>
    <row r="5" ht="15" customHeight="1" s="2">
      <c r="B5" s="43" t="inlineStr">
        <is>
          <t>Connolly</t>
        </is>
      </c>
      <c r="C5" s="52">
        <f>SUMIFS(Archives!$AF$2:$AF$1048576,Archives!$V$2:$V$1048576,$B5)+SUMIFS(Archives!$AF$2:$AF$1048576,Archives!$Y$2:$Y$1048576,$B5)</f>
        <v/>
      </c>
      <c r="D5" s="52">
        <f>COUNTIFS(Archives!$AB$2:$AB$1048576,"W",Archives!$V$2:$V$1048576,$B5)+COUNTIFS(Archives!$AB$2:$AB$1048576,"W",Archives!$Y$2:$Y$1048576,$B5)</f>
        <v/>
      </c>
      <c r="E5" s="52">
        <f>COUNTIFS(Archives!$AB$2:$AB$1048576,"L",Archives!$V$2:$V$1048576,$B5)+COUNTIFS(Archives!$AB$2:$AB$1048576,"L",Archives!$Y$2:$Y$1048576,$B5)</f>
        <v/>
      </c>
      <c r="F5" s="52">
        <f>COUNTIFS(Archives!$AB$2:$AB$1048576,"T",Archives!$V$2:$V$1048576,$B5)+COUNTIFS(Archives!$AB$2:$AB$1048576,"T",Archives!$Y$2:$Y$1048576,$B5)</f>
        <v/>
      </c>
      <c r="G5" s="53">
        <f>IF(H5=0,0,(D5+0.5*F5)/H5)</f>
        <v/>
      </c>
      <c r="H5" s="52">
        <f>D5+E5+F5</f>
        <v/>
      </c>
      <c r="I5" s="52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/>
      </c>
      <c r="J5" s="54">
        <f>IF(I5=0,0,C5/I5)</f>
        <v/>
      </c>
    </row>
    <row r="6" ht="15" customHeight="1" s="2">
      <c r="B6" s="46" t="inlineStr">
        <is>
          <t>Ferrin</t>
        </is>
      </c>
      <c r="C6" s="55">
        <f>SUMIFS(Archives!$AF$2:$AF$1048576,Archives!$V$2:$V$1048576,$B6)+SUMIFS(Archives!$AF$2:$AF$1048576,Archives!$Y$2:$Y$1048576,$B6)</f>
        <v/>
      </c>
      <c r="D6" s="55">
        <f>COUNTIFS(Archives!$AB$2:$AB$1048576,"W",Archives!$V$2:$V$1048576,$B6)+COUNTIFS(Archives!$AB$2:$AB$1048576,"W",Archives!$Y$2:$Y$1048576,$B6)</f>
        <v/>
      </c>
      <c r="E6" s="55">
        <f>COUNTIFS(Archives!$AB$2:$AB$1048576,"L",Archives!$V$2:$V$1048576,$B6)+COUNTIFS(Archives!$AB$2:$AB$1048576,"L",Archives!$Y$2:$Y$1048576,$B6)</f>
        <v/>
      </c>
      <c r="F6" s="55">
        <f>COUNTIFS(Archives!$AB$2:$AB$1048576,"T",Archives!$V$2:$V$1048576,$B6)+COUNTIFS(Archives!$AB$2:$AB$1048576,"T",Archives!$Y$2:$Y$1048576,$B6)</f>
        <v/>
      </c>
      <c r="G6" s="56">
        <f>IF(H6=0,0,(D6+0.5*F6)/H6)</f>
        <v/>
      </c>
      <c r="H6" s="55">
        <f>D6+E6+F6</f>
        <v/>
      </c>
      <c r="I6" s="55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/>
      </c>
      <c r="J6" s="57">
        <f>IF(I6=0,0,C6/I6)</f>
        <v/>
      </c>
    </row>
    <row r="7" ht="15" customHeight="1" s="2">
      <c r="B7" s="43" t="inlineStr">
        <is>
          <t>Jackson</t>
        </is>
      </c>
      <c r="C7" s="52">
        <f>SUMIFS(Archives!$AF$2:$AF$1048576,Archives!$V$2:$V$1048576,$B7)+SUMIFS(Archives!$AF$2:$AF$1048576,Archives!$Y$2:$Y$1048576,$B7)</f>
        <v/>
      </c>
      <c r="D7" s="52">
        <f>COUNTIFS(Archives!$AB$2:$AB$1048576,"W",Archives!$V$2:$V$1048576,$B7)+COUNTIFS(Archives!$AB$2:$AB$1048576,"W",Archives!$Y$2:$Y$1048576,$B7)</f>
        <v/>
      </c>
      <c r="E7" s="52">
        <f>COUNTIFS(Archives!$AB$2:$AB$1048576,"L",Archives!$V$2:$V$1048576,$B7)+COUNTIFS(Archives!$AB$2:$AB$1048576,"L",Archives!$Y$2:$Y$1048576,$B7)</f>
        <v/>
      </c>
      <c r="F7" s="52">
        <f>COUNTIFS(Archives!$AB$2:$AB$1048576,"T",Archives!$V$2:$V$1048576,$B7)+COUNTIFS(Archives!$AB$2:$AB$1048576,"T",Archives!$Y$2:$Y$1048576,$B7)</f>
        <v/>
      </c>
      <c r="G7" s="53">
        <f>IF(H7=0,0,(D7+0.5*F7)/H7)</f>
        <v/>
      </c>
      <c r="H7" s="52">
        <f>D7+E7+F7</f>
        <v/>
      </c>
      <c r="I7" s="52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/>
      </c>
      <c r="J7" s="54">
        <f>IF(I7=0,0,C7/I7)</f>
        <v/>
      </c>
    </row>
    <row r="8" ht="15" customHeight="1" s="2">
      <c r="B8" s="46" t="inlineStr">
        <is>
          <t>Grise</t>
        </is>
      </c>
      <c r="C8" s="55">
        <f>SUMIFS(Archives!$AF$2:$AF$1048576,Archives!$V$2:$V$1048576,$B8)+SUMIFS(Archives!$AF$2:$AF$1048576,Archives!$Y$2:$Y$1048576,$B8)</f>
        <v/>
      </c>
      <c r="D8" s="55">
        <f>COUNTIFS(Archives!$AB$2:$AB$1048576,"W",Archives!$V$2:$V$1048576,$B8)+COUNTIFS(Archives!$AB$2:$AB$1048576,"W",Archives!$Y$2:$Y$1048576,$B8)</f>
        <v/>
      </c>
      <c r="E8" s="55">
        <f>COUNTIFS(Archives!$AB$2:$AB$1048576,"L",Archives!$V$2:$V$1048576,$B8)+COUNTIFS(Archives!$AB$2:$AB$1048576,"L",Archives!$Y$2:$Y$1048576,$B8)</f>
        <v/>
      </c>
      <c r="F8" s="55">
        <f>COUNTIFS(Archives!$AB$2:$AB$1048576,"T",Archives!$V$2:$V$1048576,$B8)+COUNTIFS(Archives!$AB$2:$AB$1048576,"T",Archives!$Y$2:$Y$1048576,$B8)</f>
        <v/>
      </c>
      <c r="G8" s="56">
        <f>IF(H8=0,0,(D8+0.5*F8)/H8)</f>
        <v/>
      </c>
      <c r="H8" s="55">
        <f>D8+E8+F8</f>
        <v/>
      </c>
      <c r="I8" s="55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/>
      </c>
      <c r="J8" s="57">
        <f>IF(I8=0,0,C8/I8)</f>
        <v/>
      </c>
    </row>
    <row r="9" ht="15" customHeight="1" s="2">
      <c r="B9" s="43" t="inlineStr">
        <is>
          <t>Forster</t>
        </is>
      </c>
      <c r="C9" s="52">
        <f>SUMIFS(Archives!$AF$2:$AF$1048576,Archives!$V$2:$V$1048576,$B9)+SUMIFS(Archives!$AF$2:$AF$1048576,Archives!$Y$2:$Y$1048576,$B9)</f>
        <v/>
      </c>
      <c r="D9" s="52">
        <f>COUNTIFS(Archives!$AB$2:$AB$1048576,"W",Archives!$V$2:$V$1048576,$B9)+COUNTIFS(Archives!$AB$2:$AB$1048576,"W",Archives!$Y$2:$Y$1048576,$B9)</f>
        <v/>
      </c>
      <c r="E9" s="52">
        <f>COUNTIFS(Archives!$AB$2:$AB$1048576,"L",Archives!$V$2:$V$1048576,$B9)+COUNTIFS(Archives!$AB$2:$AB$1048576,"L",Archives!$Y$2:$Y$1048576,$B9)</f>
        <v/>
      </c>
      <c r="F9" s="52">
        <f>COUNTIFS(Archives!$AB$2:$AB$1048576,"T",Archives!$V$2:$V$1048576,$B9)+COUNTIFS(Archives!$AB$2:$AB$1048576,"T",Archives!$Y$2:$Y$1048576,$B9)</f>
        <v/>
      </c>
      <c r="G9" s="53">
        <f>IF(H9=0,0,(D9+0.5*F9)/H9)</f>
        <v/>
      </c>
      <c r="H9" s="52">
        <f>D9+E9+F9</f>
        <v/>
      </c>
      <c r="I9" s="52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/>
      </c>
      <c r="J9" s="54">
        <f>IF(I9=0,0,C9/I9)</f>
        <v/>
      </c>
    </row>
    <row r="10" ht="15" customHeight="1" s="2">
      <c r="B10" s="46" t="inlineStr">
        <is>
          <t>Lynch</t>
        </is>
      </c>
      <c r="C10" s="55">
        <f>SUMIFS(Archives!$AF$2:$AF$1048576,Archives!$V$2:$V$1048576,$B10)+SUMIFS(Archives!$AF$2:$AF$1048576,Archives!$Y$2:$Y$1048576,$B10)</f>
        <v/>
      </c>
      <c r="D10" s="55">
        <f>COUNTIFS(Archives!$AB$2:$AB$1048576,"W",Archives!$V$2:$V$1048576,$B10)+COUNTIFS(Archives!$AB$2:$AB$1048576,"W",Archives!$Y$2:$Y$1048576,$B10)</f>
        <v/>
      </c>
      <c r="E10" s="55">
        <f>COUNTIFS(Archives!$AB$2:$AB$1048576,"L",Archives!$V$2:$V$1048576,$B10)+COUNTIFS(Archives!$AB$2:$AB$1048576,"L",Archives!$Y$2:$Y$1048576,$B10)</f>
        <v/>
      </c>
      <c r="F10" s="55">
        <f>COUNTIFS(Archives!$AB$2:$AB$1048576,"T",Archives!$V$2:$V$1048576,$B10)+COUNTIFS(Archives!$AB$2:$AB$1048576,"T",Archives!$Y$2:$Y$1048576,$B10)</f>
        <v/>
      </c>
      <c r="G10" s="56">
        <f>IF(H10=0,0,(D10+0.5*F10)/H10)</f>
        <v/>
      </c>
      <c r="H10" s="55">
        <f>D10+E10+F10</f>
        <v/>
      </c>
      <c r="I10" s="55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/>
      </c>
      <c r="J10" s="57">
        <f>IF(I10=0,0,C10/I10)</f>
        <v/>
      </c>
    </row>
    <row r="11" ht="15" customHeight="1" s="2">
      <c r="B11" s="43" t="inlineStr">
        <is>
          <t>Flanders</t>
        </is>
      </c>
      <c r="C11" s="52">
        <f>SUMIFS(Archives!$AF$2:$AF$1048576,Archives!$V$2:$V$1048576,$B11)+SUMIFS(Archives!$AF$2:$AF$1048576,Archives!$Y$2:$Y$1048576,$B11)</f>
        <v/>
      </c>
      <c r="D11" s="52">
        <f>COUNTIFS(Archives!$AB$2:$AB$1048576,"W",Archives!$V$2:$V$1048576,$B11)+COUNTIFS(Archives!$AB$2:$AB$1048576,"W",Archives!$Y$2:$Y$1048576,$B11)</f>
        <v/>
      </c>
      <c r="E11" s="52">
        <f>COUNTIFS(Archives!$AB$2:$AB$1048576,"L",Archives!$V$2:$V$1048576,$B11)+COUNTIFS(Archives!$AB$2:$AB$1048576,"L",Archives!$Y$2:$Y$1048576,$B11)</f>
        <v/>
      </c>
      <c r="F11" s="52">
        <f>COUNTIFS(Archives!$AB$2:$AB$1048576,"T",Archives!$V$2:$V$1048576,$B11)+COUNTIFS(Archives!$AB$2:$AB$1048576,"T",Archives!$Y$2:$Y$1048576,$B11)</f>
        <v/>
      </c>
      <c r="G11" s="53">
        <f>IF(H11=0,0,(D11+0.5*F11)/H11)</f>
        <v/>
      </c>
      <c r="H11" s="52">
        <f>D11+E11+F11</f>
        <v/>
      </c>
      <c r="I11" s="52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/>
      </c>
      <c r="J11" s="54">
        <f>IF(I11=0,0,C11/I11)</f>
        <v/>
      </c>
    </row>
    <row r="12" ht="15" customHeight="1" s="2">
      <c r="B12" s="46" t="inlineStr">
        <is>
          <t>Hilts</t>
        </is>
      </c>
      <c r="C12" s="55">
        <f>SUMIFS(Archives!$AF$2:$AF$1048576,Archives!$V$2:$V$1048576,$B12)+SUMIFS(Archives!$AF$2:$AF$1048576,Archives!$Y$2:$Y$1048576,$B12)</f>
        <v/>
      </c>
      <c r="D12" s="55">
        <f>COUNTIFS(Archives!$AB$2:$AB$1048576,"W",Archives!$V$2:$V$1048576,$B12)+COUNTIFS(Archives!$AB$2:$AB$1048576,"W",Archives!$Y$2:$Y$1048576,$B12)</f>
        <v/>
      </c>
      <c r="E12" s="55">
        <f>COUNTIFS(Archives!$AB$2:$AB$1048576,"L",Archives!$V$2:$V$1048576,$B12)+COUNTIFS(Archives!$AB$2:$AB$1048576,"L",Archives!$Y$2:$Y$1048576,$B12)</f>
        <v/>
      </c>
      <c r="F12" s="55">
        <f>COUNTIFS(Archives!$AB$2:$AB$1048576,"T",Archives!$V$2:$V$1048576,$B12)+COUNTIFS(Archives!$AB$2:$AB$1048576,"T",Archives!$Y$2:$Y$1048576,$B12)</f>
        <v/>
      </c>
      <c r="G12" s="56">
        <f>IF(H12=0,0,(D12+0.5*F12)/H12)</f>
        <v/>
      </c>
      <c r="H12" s="55">
        <f>D12+E12+F12</f>
        <v/>
      </c>
      <c r="I12" s="55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/>
      </c>
      <c r="J12" s="57">
        <f>IF(I12=0,0,C12/I12)</f>
        <v/>
      </c>
    </row>
    <row r="13" ht="15" customHeight="1" s="2">
      <c r="B13" s="43" t="inlineStr">
        <is>
          <t>Zimmer</t>
        </is>
      </c>
      <c r="C13" s="52">
        <f>SUMIFS(Archives!$AF$2:$AF$1048576,Archives!$V$2:$V$1048576,$B13)+SUMIFS(Archives!$AF$2:$AF$1048576,Archives!$Y$2:$Y$1048576,$B13)</f>
        <v/>
      </c>
      <c r="D13" s="52">
        <f>COUNTIFS(Archives!$AB$2:$AB$1048576,"W",Archives!$V$2:$V$1048576,$B13)+COUNTIFS(Archives!$AB$2:$AB$1048576,"W",Archives!$Y$2:$Y$1048576,$B13)</f>
        <v/>
      </c>
      <c r="E13" s="52">
        <f>COUNTIFS(Archives!$AB$2:$AB$1048576,"L",Archives!$V$2:$V$1048576,$B13)+COUNTIFS(Archives!$AB$2:$AB$1048576,"L",Archives!$Y$2:$Y$1048576,$B13)</f>
        <v/>
      </c>
      <c r="F13" s="52">
        <f>COUNTIFS(Archives!$AB$2:$AB$1048576,"T",Archives!$V$2:$V$1048576,$B13)+COUNTIFS(Archives!$AB$2:$AB$1048576,"T",Archives!$Y$2:$Y$1048576,$B13)</f>
        <v/>
      </c>
      <c r="G13" s="53">
        <f>IF(H13=0,0,(D13+0.5*F13)/H13)</f>
        <v/>
      </c>
      <c r="H13" s="52">
        <f>D13+E13+F13</f>
        <v/>
      </c>
      <c r="I13" s="52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/>
      </c>
      <c r="J13" s="54">
        <f>IF(I13=0,0,C13/I13)</f>
        <v/>
      </c>
    </row>
    <row r="14" ht="15" customHeight="1" s="2">
      <c r="B14" s="46" t="inlineStr">
        <is>
          <t>Gray</t>
        </is>
      </c>
      <c r="C14" s="55">
        <f>SUMIFS(Archives!$AF$2:$AF$1048576,Archives!$V$2:$V$1048576,$B14)+SUMIFS(Archives!$AF$2:$AF$1048576,Archives!$Y$2:$Y$1048576,$B14)</f>
        <v/>
      </c>
      <c r="D14" s="55">
        <f>COUNTIFS(Archives!$AB$2:$AB$1048576,"W",Archives!$V$2:$V$1048576,$B14)+COUNTIFS(Archives!$AB$2:$AB$1048576,"W",Archives!$Y$2:$Y$1048576,$B14)</f>
        <v/>
      </c>
      <c r="E14" s="55">
        <f>COUNTIFS(Archives!$AB$2:$AB$1048576,"L",Archives!$V$2:$V$1048576,$B14)+COUNTIFS(Archives!$AB$2:$AB$1048576,"L",Archives!$Y$2:$Y$1048576,$B14)</f>
        <v/>
      </c>
      <c r="F14" s="55">
        <f>COUNTIFS(Archives!$AB$2:$AB$1048576,"T",Archives!$V$2:$V$1048576,$B14)+COUNTIFS(Archives!$AB$2:$AB$1048576,"T",Archives!$Y$2:$Y$1048576,$B14)</f>
        <v/>
      </c>
      <c r="G14" s="56">
        <f>IF(H14=0,0,(D14+0.5*F14)/H14)</f>
        <v/>
      </c>
      <c r="H14" s="55">
        <f>D14+E14+F14</f>
        <v/>
      </c>
      <c r="I14" s="55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/>
      </c>
      <c r="J14" s="57">
        <f>IF(I14=0,0,C14/I14)</f>
        <v/>
      </c>
    </row>
    <row r="15" ht="15" customHeight="1" s="2">
      <c r="B15" s="43" t="inlineStr">
        <is>
          <t>Fogan</t>
        </is>
      </c>
      <c r="C15" s="52">
        <f>SUMIFS(Archives!$AF$2:$AF$1048576,Archives!$V$2:$V$1048576,$B15)+SUMIFS(Archives!$AF$2:$AF$1048576,Archives!$Y$2:$Y$1048576,$B15)</f>
        <v/>
      </c>
      <c r="D15" s="52">
        <f>COUNTIFS(Archives!$AB$2:$AB$1048576,"W",Archives!$V$2:$V$1048576,$B15)+COUNTIFS(Archives!$AB$2:$AB$1048576,"W",Archives!$Y$2:$Y$1048576,$B15)</f>
        <v/>
      </c>
      <c r="E15" s="52">
        <f>COUNTIFS(Archives!$AB$2:$AB$1048576,"L",Archives!$V$2:$V$1048576,$B15)+COUNTIFS(Archives!$AB$2:$AB$1048576,"L",Archives!$Y$2:$Y$1048576,$B15)</f>
        <v/>
      </c>
      <c r="F15" s="52">
        <f>COUNTIFS(Archives!$AB$2:$AB$1048576,"T",Archives!$V$2:$V$1048576,$B15)+COUNTIFS(Archives!$AB$2:$AB$1048576,"T",Archives!$Y$2:$Y$1048576,$B15)</f>
        <v/>
      </c>
      <c r="G15" s="53">
        <f>IF(H15=0,0,(D15+0.5*F15)/H15)</f>
        <v/>
      </c>
      <c r="H15" s="52">
        <f>D15+E15+F15</f>
        <v/>
      </c>
      <c r="I15" s="52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/>
      </c>
      <c r="J15" s="54">
        <f>IF(I15=0,0,C15/I15)</f>
        <v/>
      </c>
    </row>
    <row r="16" ht="15" customHeight="1" s="2">
      <c r="B16" s="46" t="inlineStr">
        <is>
          <t>Cole</t>
        </is>
      </c>
      <c r="C16" s="55">
        <f>SUMIFS(Archives!$AF$2:$AF$1048576,Archives!$V$2:$V$1048576,$B16)+SUMIFS(Archives!$AF$2:$AF$1048576,Archives!$Y$2:$Y$1048576,$B16)</f>
        <v/>
      </c>
      <c r="D16" s="55">
        <f>COUNTIFS(Archives!$AB$2:$AB$1048576,"W",Archives!$V$2:$V$1048576,$B16)+COUNTIFS(Archives!$AB$2:$AB$1048576,"W",Archives!$Y$2:$Y$1048576,$B16)</f>
        <v/>
      </c>
      <c r="E16" s="55">
        <f>COUNTIFS(Archives!$AB$2:$AB$1048576,"L",Archives!$V$2:$V$1048576,$B16)+COUNTIFS(Archives!$AB$2:$AB$1048576,"L",Archives!$Y$2:$Y$1048576,$B16)</f>
        <v/>
      </c>
      <c r="F16" s="55">
        <f>COUNTIFS(Archives!$AB$2:$AB$1048576,"T",Archives!$V$2:$V$1048576,$B16)+COUNTIFS(Archives!$AB$2:$AB$1048576,"T",Archives!$Y$2:$Y$1048576,$B16)</f>
        <v/>
      </c>
      <c r="G16" s="56">
        <f>IF(H16=0,0,(D16+0.5*F16)/H16)</f>
        <v/>
      </c>
      <c r="H16" s="55">
        <f>D16+E16+F16</f>
        <v/>
      </c>
      <c r="I16" s="55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/>
      </c>
      <c r="J16" s="57">
        <f>IF(I16=0,0,C16/I16)</f>
        <v/>
      </c>
    </row>
    <row r="17" ht="15" customHeight="1" s="2">
      <c r="B17" s="43" t="inlineStr">
        <is>
          <t>Mangold</t>
        </is>
      </c>
      <c r="C17" s="52">
        <f>SUMIFS(Archives!$AF$2:$AF$1048576,Archives!$V$2:$V$1048576,$B17)+SUMIFS(Archives!$AF$2:$AF$1048576,Archives!$Y$2:$Y$1048576,$B17)</f>
        <v/>
      </c>
      <c r="D17" s="52">
        <f>COUNTIFS(Archives!$AB$2:$AB$1048576,"W",Archives!$V$2:$V$1048576,$B17)+COUNTIFS(Archives!$AB$2:$AB$1048576,"W",Archives!$Y$2:$Y$1048576,$B17)</f>
        <v/>
      </c>
      <c r="E17" s="52">
        <f>COUNTIFS(Archives!$AB$2:$AB$1048576,"L",Archives!$V$2:$V$1048576,$B17)+COUNTIFS(Archives!$AB$2:$AB$1048576,"L",Archives!$Y$2:$Y$1048576,$B17)</f>
        <v/>
      </c>
      <c r="F17" s="52">
        <f>COUNTIFS(Archives!$AB$2:$AB$1048576,"T",Archives!$V$2:$V$1048576,$B17)+COUNTIFS(Archives!$AB$2:$AB$1048576,"T",Archives!$Y$2:$Y$1048576,$B17)</f>
        <v/>
      </c>
      <c r="G17" s="53">
        <f>IF(H17=0,0,(D17+0.5*F17)/H17)</f>
        <v/>
      </c>
      <c r="H17" s="52">
        <f>D17+E17+F17</f>
        <v/>
      </c>
      <c r="I17" s="52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/>
      </c>
      <c r="J17" s="54">
        <f>IF(I17=0,0,C17/I17)</f>
        <v/>
      </c>
    </row>
    <row r="18" ht="15" customHeight="1" s="2">
      <c r="B18" s="46" t="inlineStr">
        <is>
          <t>Welker</t>
        </is>
      </c>
      <c r="C18" s="55">
        <f>SUMIFS(Archives!$AF$2:$AF$1048576,Archives!$V$2:$V$1048576,$B18)+SUMIFS(Archives!$AF$2:$AF$1048576,Archives!$Y$2:$Y$1048576,$B18)</f>
        <v/>
      </c>
      <c r="D18" s="55">
        <f>COUNTIFS(Archives!$AB$2:$AB$1048576,"W",Archives!$V$2:$V$1048576,$B18)+COUNTIFS(Archives!$AB$2:$AB$1048576,"W",Archives!$Y$2:$Y$1048576,$B18)</f>
        <v/>
      </c>
      <c r="E18" s="55">
        <f>COUNTIFS(Archives!$AB$2:$AB$1048576,"L",Archives!$V$2:$V$1048576,$B18)+COUNTIFS(Archives!$AB$2:$AB$1048576,"L",Archives!$Y$2:$Y$1048576,$B18)</f>
        <v/>
      </c>
      <c r="F18" s="55">
        <f>COUNTIFS(Archives!$AB$2:$AB$1048576,"T",Archives!$V$2:$V$1048576,$B18)+COUNTIFS(Archives!$AB$2:$AB$1048576,"T",Archives!$Y$2:$Y$1048576,$B18)</f>
        <v/>
      </c>
      <c r="G18" s="56">
        <f>IF(H18=0,0,(D18+0.5*F18)/H18)</f>
        <v/>
      </c>
      <c r="H18" s="55">
        <f>D18+E18+F18</f>
        <v/>
      </c>
      <c r="I18" s="55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/>
      </c>
      <c r="J18" s="57">
        <f>IF(I18=0,0,C18/I18)</f>
        <v/>
      </c>
    </row>
    <row r="19" ht="15" customHeight="1" s="2">
      <c r="B19" s="43" t="inlineStr">
        <is>
          <t>McInerney</t>
        </is>
      </c>
      <c r="C19" s="52">
        <f>SUMIFS(Archives!$AF$2:$AF$1048576,Archives!$V$2:$V$1048576,$B19)+SUMIFS(Archives!$AF$2:$AF$1048576,Archives!$Y$2:$Y$1048576,$B19)</f>
        <v/>
      </c>
      <c r="D19" s="52">
        <f>COUNTIFS(Archives!$AB$2:$AB$1048576,"W",Archives!$V$2:$V$1048576,$B19)+COUNTIFS(Archives!$AB$2:$AB$1048576,"W",Archives!$Y$2:$Y$1048576,$B19)</f>
        <v/>
      </c>
      <c r="E19" s="52">
        <f>COUNTIFS(Archives!$AB$2:$AB$1048576,"L",Archives!$V$2:$V$1048576,$B19)+COUNTIFS(Archives!$AB$2:$AB$1048576,"L",Archives!$Y$2:$Y$1048576,$B19)</f>
        <v/>
      </c>
      <c r="F19" s="52">
        <f>COUNTIFS(Archives!$AB$2:$AB$1048576,"T",Archives!$V$2:$V$1048576,$B19)+COUNTIFS(Archives!$AB$2:$AB$1048576,"T",Archives!$Y$2:$Y$1048576,$B19)</f>
        <v/>
      </c>
      <c r="G19" s="53">
        <f>IF(H19=0,0,(D19+0.5*F19)/H19)</f>
        <v/>
      </c>
      <c r="H19" s="52">
        <f>D19+E19+F19</f>
        <v/>
      </c>
      <c r="I19" s="52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/>
      </c>
      <c r="J19" s="54">
        <f>IF(I19=0,0,C19/I19)</f>
        <v/>
      </c>
    </row>
    <row r="20" ht="15" customHeight="1" s="2">
      <c r="B20" s="46" t="inlineStr">
        <is>
          <t>Shively</t>
        </is>
      </c>
      <c r="C20" s="55">
        <f>SUMIFS(Archives!$AF$2:$AF$1048576,Archives!$V$2:$V$1048576,$B20)+SUMIFS(Archives!$AF$2:$AF$1048576,Archives!$Y$2:$Y$1048576,$B20)</f>
        <v/>
      </c>
      <c r="D20" s="55">
        <f>COUNTIFS(Archives!$AB$2:$AB$1048576,"W",Archives!$V$2:$V$1048576,$B20)+COUNTIFS(Archives!$AB$2:$AB$1048576,"W",Archives!$Y$2:$Y$1048576,$B20)</f>
        <v/>
      </c>
      <c r="E20" s="55">
        <f>COUNTIFS(Archives!$AB$2:$AB$1048576,"L",Archives!$V$2:$V$1048576,$B20)+COUNTIFS(Archives!$AB$2:$AB$1048576,"L",Archives!$Y$2:$Y$1048576,$B20)</f>
        <v/>
      </c>
      <c r="F20" s="55">
        <f>COUNTIFS(Archives!$AB$2:$AB$1048576,"T",Archives!$V$2:$V$1048576,$B20)+COUNTIFS(Archives!$AB$2:$AB$1048576,"T",Archives!$Y$2:$Y$1048576,$B20)</f>
        <v/>
      </c>
      <c r="G20" s="56">
        <f>IF(H20=0,0,(D20+0.5*F20)/H20)</f>
        <v/>
      </c>
      <c r="H20" s="55">
        <f>D20+E20+F20</f>
        <v/>
      </c>
      <c r="I20" s="55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/>
      </c>
      <c r="J20" s="57">
        <f>IF(I20=0,0,C20/I20)</f>
        <v/>
      </c>
    </row>
    <row r="21" ht="15" customHeight="1" s="2">
      <c r="B21" s="43" t="inlineStr">
        <is>
          <t>Poirier</t>
        </is>
      </c>
      <c r="C21" s="52">
        <f>SUMIFS(Archives!$AF$2:$AF$1048576,Archives!$V$2:$V$1048576,$B21)+SUMIFS(Archives!$AF$2:$AF$1048576,Archives!$Y$2:$Y$1048576,$B21)</f>
        <v/>
      </c>
      <c r="D21" s="52">
        <f>COUNTIFS(Archives!$AB$2:$AB$1048576,"W",Archives!$V$2:$V$1048576,$B21)+COUNTIFS(Archives!$AB$2:$AB$1048576,"W",Archives!$Y$2:$Y$1048576,$B21)</f>
        <v/>
      </c>
      <c r="E21" s="52">
        <f>COUNTIFS(Archives!$AB$2:$AB$1048576,"L",Archives!$V$2:$V$1048576,$B21)+COUNTIFS(Archives!$AB$2:$AB$1048576,"L",Archives!$Y$2:$Y$1048576,$B21)</f>
        <v/>
      </c>
      <c r="F21" s="52">
        <f>COUNTIFS(Archives!$AB$2:$AB$1048576,"T",Archives!$V$2:$V$1048576,$B21)+COUNTIFS(Archives!$AB$2:$AB$1048576,"T",Archives!$Y$2:$Y$1048576,$B21)</f>
        <v/>
      </c>
      <c r="G21" s="53">
        <f>IF(H21=0,0,(D21+0.5*F21)/H21)</f>
        <v/>
      </c>
      <c r="H21" s="52">
        <f>D21+E21+F21</f>
        <v/>
      </c>
      <c r="I21" s="52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/>
      </c>
      <c r="J21" s="54">
        <f>IF(I21=0,0,C21/I21)</f>
        <v/>
      </c>
    </row>
    <row r="22" ht="15" customHeight="1" s="2">
      <c r="B22" s="46" t="inlineStr">
        <is>
          <t>Connors</t>
        </is>
      </c>
      <c r="C22" s="55">
        <f>SUMIFS(Archives!$AF$2:$AF$1048576,Archives!$V$2:$V$1048576,$B22)+SUMIFS(Archives!$AF$2:$AF$1048576,Archives!$Y$2:$Y$1048576,$B22)</f>
        <v/>
      </c>
      <c r="D22" s="55">
        <f>COUNTIFS(Archives!$AB$2:$AB$1048576,"W",Archives!$V$2:$V$1048576,$B22)+COUNTIFS(Archives!$AB$2:$AB$1048576,"W",Archives!$Y$2:$Y$1048576,$B22)</f>
        <v/>
      </c>
      <c r="E22" s="55">
        <f>COUNTIFS(Archives!$AB$2:$AB$1048576,"L",Archives!$V$2:$V$1048576,$B22)+COUNTIFS(Archives!$AB$2:$AB$1048576,"L",Archives!$Y$2:$Y$1048576,$B22)</f>
        <v/>
      </c>
      <c r="F22" s="55">
        <f>COUNTIFS(Archives!$AB$2:$AB$1048576,"T",Archives!$V$2:$V$1048576,$B22)+COUNTIFS(Archives!$AB$2:$AB$1048576,"T",Archives!$Y$2:$Y$1048576,$B22)</f>
        <v/>
      </c>
      <c r="G22" s="56">
        <f>IF(H22=0,0,(D22+0.5*F22)/H22)</f>
        <v/>
      </c>
      <c r="H22" s="55">
        <f>D22+E22+F22</f>
        <v/>
      </c>
      <c r="I22" s="55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/>
      </c>
      <c r="J22" s="57">
        <f>IF(I22=0,0,C22/I22)</f>
        <v/>
      </c>
    </row>
    <row r="23" ht="15" customHeight="1" s="2">
      <c r="B23" s="43" t="inlineStr">
        <is>
          <t>Norat</t>
        </is>
      </c>
      <c r="C23" s="52">
        <f>SUMIFS(Archives!$AF$2:$AF$1048576,Archives!$V$2:$V$1048576,$B23)+SUMIFS(Archives!$AF$2:$AF$1048576,Archives!$Y$2:$Y$1048576,$B23)</f>
        <v/>
      </c>
      <c r="D23" s="52">
        <f>COUNTIFS(Archives!$AB$2:$AB$1048576,"W",Archives!$V$2:$V$1048576,$B23)+COUNTIFS(Archives!$AB$2:$AB$1048576,"W",Archives!$Y$2:$Y$1048576,$B23)</f>
        <v/>
      </c>
      <c r="E23" s="52">
        <f>COUNTIFS(Archives!$AB$2:$AB$1048576,"L",Archives!$V$2:$V$1048576,$B23)+COUNTIFS(Archives!$AB$2:$AB$1048576,"L",Archives!$Y$2:$Y$1048576,$B23)</f>
        <v/>
      </c>
      <c r="F23" s="52">
        <f>COUNTIFS(Archives!$AB$2:$AB$1048576,"T",Archives!$V$2:$V$1048576,$B23)+COUNTIFS(Archives!$AB$2:$AB$1048576,"T",Archives!$Y$2:$Y$1048576,$B23)</f>
        <v/>
      </c>
      <c r="G23" s="53">
        <f>IF(H23=0,0,(D23+0.5*F23)/H23)</f>
        <v/>
      </c>
      <c r="H23" s="52">
        <f>D23+E23+F23</f>
        <v/>
      </c>
      <c r="I23" s="52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/>
      </c>
      <c r="J23" s="54">
        <f>IF(I23=0,0,C23/I23)</f>
        <v/>
      </c>
    </row>
    <row r="24" ht="15" customHeight="1" s="2">
      <c r="B24" s="46" t="inlineStr">
        <is>
          <t>Delneky</t>
        </is>
      </c>
      <c r="C24" s="55">
        <f>SUMIFS(Archives!$AF$2:$AF$1048576,Archives!$V$2:$V$1048576,$B24)+SUMIFS(Archives!$AF$2:$AF$1048576,Archives!$Y$2:$Y$1048576,$B24)</f>
        <v/>
      </c>
      <c r="D24" s="55">
        <f>COUNTIFS(Archives!$AB$2:$AB$1048576,"W",Archives!$V$2:$V$1048576,$B24)+COUNTIFS(Archives!$AB$2:$AB$1048576,"W",Archives!$Y$2:$Y$1048576,$B24)</f>
        <v/>
      </c>
      <c r="E24" s="55">
        <f>COUNTIFS(Archives!$AB$2:$AB$1048576,"L",Archives!$V$2:$V$1048576,$B24)+COUNTIFS(Archives!$AB$2:$AB$1048576,"L",Archives!$Y$2:$Y$1048576,$B24)</f>
        <v/>
      </c>
      <c r="F24" s="55">
        <f>COUNTIFS(Archives!$AB$2:$AB$1048576,"T",Archives!$V$2:$V$1048576,$B24)+COUNTIFS(Archives!$AB$2:$AB$1048576,"T",Archives!$Y$2:$Y$1048576,$B24)</f>
        <v/>
      </c>
      <c r="G24" s="56">
        <f>IF(H24=0,0,(D24+0.5*F24)/H24)</f>
        <v/>
      </c>
      <c r="H24" s="55">
        <f>D24+E24+F24</f>
        <v/>
      </c>
      <c r="I24" s="55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/>
      </c>
      <c r="J24" s="57">
        <f>IF(I24=0,0,C24/I24)</f>
        <v/>
      </c>
    </row>
    <row r="25" ht="15" customHeight="1" s="2">
      <c r="B25" s="43" t="inlineStr">
        <is>
          <t>Delaney</t>
        </is>
      </c>
      <c r="C25" s="52">
        <f>SUMIFS(Archives!$AF$2:$AF$1048576,Archives!$V$2:$V$1048576,$B25)+SUMIFS(Archives!$AF$2:$AF$1048576,Archives!$Y$2:$Y$1048576,$B25)</f>
        <v/>
      </c>
      <c r="D25" s="52">
        <f>COUNTIFS(Archives!$AB$2:$AB$1048576,"W",Archives!$V$2:$V$1048576,$B25)+COUNTIFS(Archives!$AB$2:$AB$1048576,"W",Archives!$Y$2:$Y$1048576,$B25)</f>
        <v/>
      </c>
      <c r="E25" s="52">
        <f>COUNTIFS(Archives!$AB$2:$AB$1048576,"L",Archives!$V$2:$V$1048576,$B25)+COUNTIFS(Archives!$AB$2:$AB$1048576,"L",Archives!$Y$2:$Y$1048576,$B25)</f>
        <v/>
      </c>
      <c r="F25" s="52">
        <f>COUNTIFS(Archives!$AB$2:$AB$1048576,"T",Archives!$V$2:$V$1048576,$B25)+COUNTIFS(Archives!$AB$2:$AB$1048576,"T",Archives!$Y$2:$Y$1048576,$B25)</f>
        <v/>
      </c>
      <c r="G25" s="53">
        <f>IF(H25=0,0,(D25+0.5*F25)/H25)</f>
        <v/>
      </c>
      <c r="H25" s="52">
        <f>D25+E25+F25</f>
        <v/>
      </c>
      <c r="I25" s="52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/>
      </c>
      <c r="J25" s="54">
        <f>IF(I25=0,0,C25/I25)</f>
        <v/>
      </c>
    </row>
    <row r="26" ht="15" customHeight="1" s="2">
      <c r="B26" s="46" t="inlineStr">
        <is>
          <t>Perkins</t>
        </is>
      </c>
      <c r="C26" s="55">
        <f>SUMIFS(Archives!$AF$2:$AF$1048576,Archives!$V$2:$V$1048576,$B26)+SUMIFS(Archives!$AF$2:$AF$1048576,Archives!$Y$2:$Y$1048576,$B26)</f>
        <v/>
      </c>
      <c r="D26" s="55">
        <f>COUNTIFS(Archives!$AB$2:$AB$1048576,"W",Archives!$V$2:$V$1048576,$B26)+COUNTIFS(Archives!$AB$2:$AB$1048576,"W",Archives!$Y$2:$Y$1048576,$B26)</f>
        <v/>
      </c>
      <c r="E26" s="55">
        <f>COUNTIFS(Archives!$AB$2:$AB$1048576,"L",Archives!$V$2:$V$1048576,$B26)+COUNTIFS(Archives!$AB$2:$AB$1048576,"L",Archives!$Y$2:$Y$1048576,$B26)</f>
        <v/>
      </c>
      <c r="F26" s="55">
        <f>COUNTIFS(Archives!$AB$2:$AB$1048576,"T",Archives!$V$2:$V$1048576,$B26)+COUNTIFS(Archives!$AB$2:$AB$1048576,"T",Archives!$Y$2:$Y$1048576,$B26)</f>
        <v/>
      </c>
      <c r="G26" s="56">
        <f>IF(H26=0,0,(D26+0.5*F26)/H26)</f>
        <v/>
      </c>
      <c r="H26" s="55">
        <f>D26+E26+F26</f>
        <v/>
      </c>
      <c r="I26" s="55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/>
      </c>
      <c r="J26" s="57">
        <f>IF(I26=0,0,C26/I26)</f>
        <v/>
      </c>
    </row>
    <row r="27" ht="15" customHeight="1" s="2">
      <c r="B27" s="43" t="inlineStr">
        <is>
          <t>Buss</t>
        </is>
      </c>
      <c r="C27" s="52">
        <f>SUMIFS(Archives!$AF$2:$AF$1048576,Archives!$V$2:$V$1048576,$B27)+SUMIFS(Archives!$AF$2:$AF$1048576,Archives!$Y$2:$Y$1048576,$B27)</f>
        <v/>
      </c>
      <c r="D27" s="52">
        <f>COUNTIFS(Archives!$AB$2:$AB$1048576,"W",Archives!$V$2:$V$1048576,$B27)+COUNTIFS(Archives!$AB$2:$AB$1048576,"W",Archives!$Y$2:$Y$1048576,$B27)</f>
        <v/>
      </c>
      <c r="E27" s="52">
        <f>COUNTIFS(Archives!$AB$2:$AB$1048576,"L",Archives!$V$2:$V$1048576,$B27)+COUNTIFS(Archives!$AB$2:$AB$1048576,"L",Archives!$Y$2:$Y$1048576,$B27)</f>
        <v/>
      </c>
      <c r="F27" s="52">
        <f>COUNTIFS(Archives!$AB$2:$AB$1048576,"T",Archives!$V$2:$V$1048576,$B27)+COUNTIFS(Archives!$AB$2:$AB$1048576,"T",Archives!$Y$2:$Y$1048576,$B27)</f>
        <v/>
      </c>
      <c r="G27" s="53">
        <f>IF(H27=0,0,(D27+0.5*F27)/H27)</f>
        <v/>
      </c>
      <c r="H27" s="52">
        <f>D27+E27+F27</f>
        <v/>
      </c>
      <c r="I27" s="52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/>
      </c>
      <c r="J27" s="54">
        <f>IF(I27=0,0,C27/I27)</f>
        <v/>
      </c>
    </row>
    <row r="28" ht="15" customHeight="1" s="2">
      <c r="B28" s="46" t="inlineStr">
        <is>
          <t>R. Connolly</t>
        </is>
      </c>
      <c r="C28" s="55">
        <f>SUMIFS(Archives!$AF$2:$AF$1048576,Archives!$V$2:$V$1048576,$B28)+SUMIFS(Archives!$AF$2:$AF$1048576,Archives!$Y$2:$Y$1048576,$B28)</f>
        <v/>
      </c>
      <c r="D28" s="55">
        <f>COUNTIFS(Archives!$AB$2:$AB$1048576,"W",Archives!$V$2:$V$1048576,$B28)+COUNTIFS(Archives!$AB$2:$AB$1048576,"W",Archives!$Y$2:$Y$1048576,$B28)</f>
        <v/>
      </c>
      <c r="E28" s="55">
        <f>COUNTIFS(Archives!$AB$2:$AB$1048576,"L",Archives!$V$2:$V$1048576,$B28)+COUNTIFS(Archives!$AB$2:$AB$1048576,"L",Archives!$Y$2:$Y$1048576,$B28)</f>
        <v/>
      </c>
      <c r="F28" s="55">
        <f>COUNTIFS(Archives!$AB$2:$AB$1048576,"T",Archives!$V$2:$V$1048576,$B28)+COUNTIFS(Archives!$AB$2:$AB$1048576,"T",Archives!$Y$2:$Y$1048576,$B28)</f>
        <v/>
      </c>
      <c r="G28" s="56">
        <f>IF(H28=0,0,(D28+0.5*F28)/H28)</f>
        <v/>
      </c>
      <c r="H28" s="55">
        <f>D28+E28+F28</f>
        <v/>
      </c>
      <c r="I28" s="55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/>
      </c>
      <c r="J28" s="57">
        <f>IF(I28=0,0,C28/I28)</f>
        <v/>
      </c>
    </row>
    <row r="29" ht="15" customHeight="1" s="2">
      <c r="B29" s="43" t="inlineStr">
        <is>
          <t>Hickerson</t>
        </is>
      </c>
      <c r="C29" s="52">
        <f>SUMIFS(Archives!$AF$2:$AF$1048576,Archives!$V$2:$V$1048576,$B29)+SUMIFS(Archives!$AF$2:$AF$1048576,Archives!$Y$2:$Y$1048576,$B29)</f>
        <v/>
      </c>
      <c r="D29" s="52">
        <f>COUNTIFS(Archives!$AB$2:$AB$1048576,"W",Archives!$V$2:$V$1048576,$B29)+COUNTIFS(Archives!$AB$2:$AB$1048576,"W",Archives!$Y$2:$Y$1048576,$B29)</f>
        <v/>
      </c>
      <c r="E29" s="52">
        <f>COUNTIFS(Archives!$AB$2:$AB$1048576,"L",Archives!$V$2:$V$1048576,$B29)+COUNTIFS(Archives!$AB$2:$AB$1048576,"L",Archives!$Y$2:$Y$1048576,$B29)</f>
        <v/>
      </c>
      <c r="F29" s="52">
        <f>COUNTIFS(Archives!$AB$2:$AB$1048576,"T",Archives!$V$2:$V$1048576,$B29)+COUNTIFS(Archives!$AB$2:$AB$1048576,"T",Archives!$Y$2:$Y$1048576,$B29)</f>
        <v/>
      </c>
      <c r="G29" s="53">
        <f>IF(H29=0,0,(D29+0.5*F29)/H29)</f>
        <v/>
      </c>
      <c r="H29" s="52">
        <f>D29+E29+F29</f>
        <v/>
      </c>
      <c r="I29" s="52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/>
      </c>
      <c r="J29" s="54">
        <f>IF(I29=0,0,C29/I29)</f>
        <v/>
      </c>
    </row>
    <row r="30" ht="15" customHeight="1" s="2">
      <c r="B30" s="46" t="inlineStr">
        <is>
          <t>Weisberger</t>
        </is>
      </c>
      <c r="C30" s="55">
        <f>SUMIFS(Archives!$AF$2:$AF$1048576,Archives!$V$2:$V$1048576,$B30)+SUMIFS(Archives!$AF$2:$AF$1048576,Archives!$Y$2:$Y$1048576,$B30)</f>
        <v/>
      </c>
      <c r="D30" s="55">
        <f>COUNTIFS(Archives!$AB$2:$AB$1048576,"W",Archives!$V$2:$V$1048576,$B30)+COUNTIFS(Archives!$AB$2:$AB$1048576,"W",Archives!$Y$2:$Y$1048576,$B30)</f>
        <v/>
      </c>
      <c r="E30" s="55">
        <f>COUNTIFS(Archives!$AB$2:$AB$1048576,"L",Archives!$V$2:$V$1048576,$B30)+COUNTIFS(Archives!$AB$2:$AB$1048576,"L",Archives!$Y$2:$Y$1048576,$B30)</f>
        <v/>
      </c>
      <c r="F30" s="55">
        <f>COUNTIFS(Archives!$AB$2:$AB$1048576,"T",Archives!$V$2:$V$1048576,$B30)+COUNTIFS(Archives!$AB$2:$AB$1048576,"T",Archives!$Y$2:$Y$1048576,$B30)</f>
        <v/>
      </c>
      <c r="G30" s="56">
        <f>IF(H30=0,0,(D30+0.5*F30)/H30)</f>
        <v/>
      </c>
      <c r="H30" s="55">
        <f>D30+E30+F30</f>
        <v/>
      </c>
      <c r="I30" s="55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/>
      </c>
      <c r="J30" s="57">
        <f>IF(I30=0,0,C30/I30)</f>
        <v/>
      </c>
    </row>
    <row r="31" ht="15" customHeight="1" s="2">
      <c r="B31" s="43" t="inlineStr">
        <is>
          <t>Deoteris</t>
        </is>
      </c>
      <c r="C31" s="52">
        <f>SUMIFS(Archives!$AF$2:$AF$1048576,Archives!$V$2:$V$1048576,$B31)+SUMIFS(Archives!$AF$2:$AF$1048576,Archives!$Y$2:$Y$1048576,$B31)</f>
        <v/>
      </c>
      <c r="D31" s="52">
        <f>COUNTIFS(Archives!$AB$2:$AB$1048576,"W",Archives!$V$2:$V$1048576,$B31)+COUNTIFS(Archives!$AB$2:$AB$1048576,"W",Archives!$Y$2:$Y$1048576,$B31)</f>
        <v/>
      </c>
      <c r="E31" s="52">
        <f>COUNTIFS(Archives!$AB$2:$AB$1048576,"L",Archives!$V$2:$V$1048576,$B31)+COUNTIFS(Archives!$AB$2:$AB$1048576,"L",Archives!$Y$2:$Y$1048576,$B31)</f>
        <v/>
      </c>
      <c r="F31" s="52">
        <f>COUNTIFS(Archives!$AB$2:$AB$1048576,"T",Archives!$V$2:$V$1048576,$B31)+COUNTIFS(Archives!$AB$2:$AB$1048576,"T",Archives!$Y$2:$Y$1048576,$B31)</f>
        <v/>
      </c>
      <c r="G31" s="53">
        <f>IF(H31=0,0,(D31+0.5*F31)/H31)</f>
        <v/>
      </c>
      <c r="H31" s="52">
        <f>D31+E31+F31</f>
        <v/>
      </c>
      <c r="I31" s="52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/>
      </c>
      <c r="J31" s="54">
        <f>IF(I31=0,0,C31/I31)</f>
        <v/>
      </c>
    </row>
    <row r="32" ht="15" customHeight="1" s="2">
      <c r="B32" s="46" t="inlineStr">
        <is>
          <t>Snyder</t>
        </is>
      </c>
      <c r="C32" s="55">
        <f>SUMIFS(Archives!$AF$2:$AF$1048576,Archives!$V$2:$V$1048576,$B32)+SUMIFS(Archives!$AF$2:$AF$1048576,Archives!$Y$2:$Y$1048576,$B32)</f>
        <v/>
      </c>
      <c r="D32" s="55">
        <f>COUNTIFS(Archives!$AB$2:$AB$1048576,"W",Archives!$V$2:$V$1048576,$B32)+COUNTIFS(Archives!$AB$2:$AB$1048576,"W",Archives!$Y$2:$Y$1048576,$B32)</f>
        <v/>
      </c>
      <c r="E32" s="55">
        <f>COUNTIFS(Archives!$AB$2:$AB$1048576,"L",Archives!$V$2:$V$1048576,$B32)+COUNTIFS(Archives!$AB$2:$AB$1048576,"L",Archives!$Y$2:$Y$1048576,$B32)</f>
        <v/>
      </c>
      <c r="F32" s="55">
        <f>COUNTIFS(Archives!$AB$2:$AB$1048576,"T",Archives!$V$2:$V$1048576,$B32)+COUNTIFS(Archives!$AB$2:$AB$1048576,"T",Archives!$Y$2:$Y$1048576,$B32)</f>
        <v/>
      </c>
      <c r="G32" s="56">
        <f>IF(H32=0,0,(D32+0.5*F32)/H32)</f>
        <v/>
      </c>
      <c r="H32" s="55">
        <f>D32+E32+F32</f>
        <v/>
      </c>
      <c r="I32" s="55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/>
      </c>
      <c r="J32" s="57">
        <f>IF(I32=0,0,C32/I32)</f>
        <v/>
      </c>
    </row>
    <row r="33" ht="15" customHeight="1" s="2">
      <c r="B33" s="43" t="inlineStr">
        <is>
          <t>Piegari</t>
        </is>
      </c>
      <c r="C33" s="52">
        <f>SUMIFS(Archives!$AF$2:$AF$1048576,Archives!$V$2:$V$1048576,$B33)+SUMIFS(Archives!$AF$2:$AF$1048576,Archives!$Y$2:$Y$1048576,$B33)</f>
        <v/>
      </c>
      <c r="D33" s="52">
        <f>COUNTIFS(Archives!$AB$2:$AB$1048576,"W",Archives!$V$2:$V$1048576,$B33)+COUNTIFS(Archives!$AB$2:$AB$1048576,"W",Archives!$Y$2:$Y$1048576,$B33)</f>
        <v/>
      </c>
      <c r="E33" s="52">
        <f>COUNTIFS(Archives!$AB$2:$AB$1048576,"L",Archives!$V$2:$V$1048576,$B33)+COUNTIFS(Archives!$AB$2:$AB$1048576,"L",Archives!$Y$2:$Y$1048576,$B33)</f>
        <v/>
      </c>
      <c r="F33" s="52">
        <f>COUNTIFS(Archives!$AB$2:$AB$1048576,"T",Archives!$V$2:$V$1048576,$B33)+COUNTIFS(Archives!$AB$2:$AB$1048576,"T",Archives!$Y$2:$Y$1048576,$B33)</f>
        <v/>
      </c>
      <c r="G33" s="53">
        <f>IF(H33=0,0,(D33+0.5*F33)/H33)</f>
        <v/>
      </c>
      <c r="H33" s="52">
        <f>D33+E33+F33</f>
        <v/>
      </c>
      <c r="I33" s="52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/>
      </c>
      <c r="J33" s="54">
        <f>IF(I33=0,0,C33/I33)</f>
        <v/>
      </c>
    </row>
    <row r="34" ht="15" customHeight="1" s="2">
      <c r="B34" s="46" t="inlineStr">
        <is>
          <t>Ramsay</t>
        </is>
      </c>
      <c r="C34" s="55">
        <f>SUMIFS(Archives!$AF$2:$AF$1048576,Archives!$V$2:$V$1048576,$B34)+SUMIFS(Archives!$AF$2:$AF$1048576,Archives!$Y$2:$Y$1048576,$B34)</f>
        <v/>
      </c>
      <c r="D34" s="55">
        <f>COUNTIFS(Archives!$AB$2:$AB$1048576,"W",Archives!$V$2:$V$1048576,$B34)+COUNTIFS(Archives!$AB$2:$AB$1048576,"W",Archives!$Y$2:$Y$1048576,$B34)</f>
        <v/>
      </c>
      <c r="E34" s="55">
        <f>COUNTIFS(Archives!$AB$2:$AB$1048576,"L",Archives!$V$2:$V$1048576,$B34)+COUNTIFS(Archives!$AB$2:$AB$1048576,"L",Archives!$Y$2:$Y$1048576,$B34)</f>
        <v/>
      </c>
      <c r="F34" s="55">
        <f>COUNTIFS(Archives!$AB$2:$AB$1048576,"T",Archives!$V$2:$V$1048576,$B34)+COUNTIFS(Archives!$AB$2:$AB$1048576,"T",Archives!$Y$2:$Y$1048576,$B34)</f>
        <v/>
      </c>
      <c r="G34" s="56">
        <f>IF(H34=0,0,(D34+0.5*F34)/H34)</f>
        <v/>
      </c>
      <c r="H34" s="55">
        <f>D34+E34+F34</f>
        <v/>
      </c>
      <c r="I34" s="55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/>
      </c>
      <c r="J34" s="57">
        <f>IF(I34=0,0,C34/I34)</f>
        <v/>
      </c>
    </row>
    <row r="35" ht="15" customHeight="1" s="2">
      <c r="B35" s="43" t="inlineStr">
        <is>
          <t>Macklin</t>
        </is>
      </c>
      <c r="C35" s="52">
        <f>SUMIFS(Archives!$AF$2:$AF$1048576,Archives!$V$2:$V$1048576,$B35)+SUMIFS(Archives!$AF$2:$AF$1048576,Archives!$Y$2:$Y$1048576,$B35)</f>
        <v/>
      </c>
      <c r="D35" s="52">
        <f>COUNTIFS(Archives!$AB$2:$AB$1048576,"W",Archives!$V$2:$V$1048576,$B35)+COUNTIFS(Archives!$AB$2:$AB$1048576,"W",Archives!$Y$2:$Y$1048576,$B35)</f>
        <v/>
      </c>
      <c r="E35" s="52">
        <f>COUNTIFS(Archives!$AB$2:$AB$1048576,"L",Archives!$V$2:$V$1048576,$B35)+COUNTIFS(Archives!$AB$2:$AB$1048576,"L",Archives!$Y$2:$Y$1048576,$B35)</f>
        <v/>
      </c>
      <c r="F35" s="52">
        <f>COUNTIFS(Archives!$AB$2:$AB$1048576,"T",Archives!$V$2:$V$1048576,$B35)+COUNTIFS(Archives!$AB$2:$AB$1048576,"T",Archives!$Y$2:$Y$1048576,$B35)</f>
        <v/>
      </c>
      <c r="G35" s="53">
        <f>IF(H35=0,0,(D35+0.5*F35)/H35)</f>
        <v/>
      </c>
      <c r="H35" s="52">
        <f>D35+E35+F35</f>
        <v/>
      </c>
      <c r="I35" s="52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/>
      </c>
      <c r="J35" s="54">
        <f>IF(I35=0,0,C35/I35)</f>
        <v/>
      </c>
    </row>
    <row r="36" ht="15" customHeight="1" s="2">
      <c r="B36" s="58" t="inlineStr">
        <is>
          <t>Grand Total</t>
        </is>
      </c>
      <c r="C36" s="59">
        <f>SUM(C5:C35)</f>
        <v/>
      </c>
      <c r="D36" s="59">
        <f>SUM(D5:D35)</f>
        <v/>
      </c>
      <c r="E36" s="59">
        <f>SUM(E5:E35)</f>
        <v/>
      </c>
      <c r="F36" s="59">
        <f>SUM(F5:F35)</f>
        <v/>
      </c>
      <c r="G36" s="60">
        <f>IF(H36=0,0,(D36+0.5*F36)/H36)</f>
        <v/>
      </c>
      <c r="H36" s="59">
        <f>SUM(H5:H35)</f>
        <v/>
      </c>
      <c r="I36" s="59" t="n"/>
      <c r="J36" s="59" t="n"/>
    </row>
    <row r="37" ht="15" customHeight="1" s="2"/>
    <row r="38" ht="15" customHeight="1" s="2"/>
    <row r="39" ht="15" customHeight="1" s="2"/>
    <row r="40" ht="15" customHeight="1" s="2"/>
    <row r="41" ht="15" customHeight="1" s="2"/>
    <row r="42" ht="15" customHeight="1" s="2"/>
    <row r="43" ht="15" customHeight="1" s="2"/>
    <row r="44" ht="15" customHeight="1" s="2"/>
    <row r="45" ht="15" customHeight="1" s="2"/>
    <row r="46" ht="15" customHeight="1" s="2"/>
    <row r="47" ht="15" customHeight="1" s="2"/>
    <row r="48" ht="15" customHeight="1" s="2"/>
    <row r="49" ht="15" customHeight="1" s="2"/>
    <row r="50" ht="15" customHeight="1" s="2"/>
    <row r="51" ht="15" customHeight="1" s="2"/>
    <row r="52" ht="15" customHeight="1" s="2"/>
    <row r="53" ht="15" customHeight="1" s="2"/>
    <row r="54" ht="15" customHeight="1" s="2"/>
    <row r="55" ht="15" customHeight="1" s="2"/>
    <row r="56" ht="15" customHeight="1" s="2"/>
    <row r="57" ht="15" customHeight="1" s="2"/>
    <row r="58" ht="15" customHeight="1" s="2"/>
    <row r="59" ht="15" customHeight="1" s="2"/>
    <row r="60" ht="15" customHeight="1" s="2"/>
    <row r="61" ht="15" customHeight="1" s="2"/>
    <row r="62" ht="15" customHeight="1" s="2"/>
    <row r="63" ht="15" customHeight="1" s="2"/>
    <row r="64" ht="15" customHeight="1" s="2"/>
    <row r="65" ht="15" customHeight="1" s="2"/>
    <row r="66" ht="15" customHeight="1" s="2"/>
    <row r="67" ht="15" customHeight="1" s="2"/>
    <row r="68" ht="15" customHeight="1" s="2"/>
    <row r="69" ht="15" customHeight="1" s="2"/>
    <row r="70" ht="15" customHeight="1" s="2"/>
    <row r="71" ht="15" customHeight="1" s="2"/>
    <row r="72" ht="15" customHeight="1" s="2"/>
    <row r="73" ht="15" customHeight="1" s="2"/>
    <row r="74" ht="15" customHeight="1" s="2"/>
    <row r="75" ht="15" customHeight="1" s="2"/>
    <row r="76" ht="15" customHeight="1" s="2"/>
    <row r="77" ht="15" customHeight="1" s="2"/>
    <row r="78" ht="15" customHeight="1" s="2"/>
    <row r="79" ht="15" customHeight="1" s="2"/>
    <row r="80" ht="15" customHeight="1" s="2"/>
    <row r="81" ht="15" customHeight="1" s="2"/>
    <row r="82" ht="15" customHeight="1" s="2"/>
    <row r="83" ht="15" customHeight="1" s="2"/>
    <row r="84" ht="15" customHeight="1" s="2"/>
    <row r="85" ht="15" customHeight="1" s="2"/>
    <row r="86" ht="15" customHeight="1" s="2"/>
    <row r="87" ht="15" customHeight="1" s="2"/>
    <row r="88" ht="15" customHeight="1" s="2"/>
    <row r="89" ht="15" customHeight="1" s="2"/>
    <row r="90" ht="15" customHeight="1" s="2"/>
    <row r="91" ht="15" customHeight="1" s="2"/>
    <row r="92" ht="15" customHeight="1" s="2"/>
    <row r="93" ht="15" customHeight="1" s="2"/>
    <row r="94" ht="15" customHeight="1" s="2"/>
    <row r="95" ht="15" customHeight="1" s="2"/>
    <row r="96" ht="15" customHeight="1" s="2"/>
    <row r="97" ht="15" customHeight="1" s="2"/>
    <row r="98" ht="15" customHeight="1" s="2"/>
    <row r="99" ht="15" customHeight="1" s="2"/>
    <row r="100" ht="15" customHeight="1" s="2"/>
    <row r="101" ht="15" customHeight="1" s="2"/>
    <row r="102" ht="15" customHeight="1" s="2"/>
    <row r="103" ht="15" customHeight="1" s="2"/>
    <row r="104" ht="15" customHeight="1" s="2"/>
    <row r="105" ht="15" customHeight="1" s="2"/>
    <row r="106" ht="15" customHeight="1" s="2"/>
    <row r="107" ht="15" customHeight="1" s="2"/>
    <row r="108" ht="15" customHeight="1" s="2"/>
    <row r="109" ht="15" customHeight="1" s="2"/>
    <row r="110" ht="15" customHeight="1" s="2"/>
    <row r="111" ht="15" customHeight="1" s="2"/>
    <row r="112" ht="15" customHeight="1" s="2"/>
    <row r="113" ht="15" customHeight="1" s="2"/>
    <row r="114" ht="15" customHeight="1" s="2"/>
    <row r="115" ht="15" customHeight="1" s="2"/>
    <row r="116" ht="15" customHeight="1" s="2"/>
    <row r="117" ht="15" customHeight="1" s="2"/>
    <row r="118" ht="15" customHeight="1" s="2"/>
    <row r="119" ht="15" customHeight="1" s="2"/>
    <row r="120" ht="15" customHeight="1" s="2"/>
    <row r="121" ht="15" customHeight="1" s="2"/>
    <row r="122" ht="15" customHeight="1" s="2"/>
    <row r="123" ht="15" customHeight="1" s="2"/>
    <row r="124" ht="15" customHeight="1" s="2"/>
    <row r="125" ht="15" customHeight="1" s="2"/>
    <row r="126" ht="15" customHeight="1" s="2"/>
    <row r="127" ht="15" customHeight="1" s="2"/>
    <row r="128" ht="15" customHeight="1" s="2"/>
    <row r="129" ht="15" customHeight="1" s="2"/>
    <row r="130" ht="15" customHeight="1" s="2"/>
    <row r="131" ht="15" customHeight="1" s="2"/>
    <row r="132" ht="15" customHeight="1" s="2"/>
    <row r="133" ht="15" customHeight="1" s="2"/>
    <row r="134" ht="15" customHeight="1" s="2"/>
    <row r="135" ht="15" customHeight="1" s="2"/>
    <row r="136" ht="15" customHeight="1" s="2"/>
    <row r="137" ht="15" customHeight="1" s="2"/>
    <row r="138" ht="15" customHeight="1" s="2"/>
    <row r="139" ht="15" customHeight="1" s="2"/>
    <row r="140" ht="15" customHeight="1" s="2"/>
    <row r="141" ht="15" customHeight="1" s="2"/>
    <row r="142" ht="15" customHeight="1" s="2"/>
    <row r="143" ht="15" customHeight="1" s="2"/>
    <row r="144" ht="15" customHeight="1" s="2"/>
    <row r="145" ht="15" customHeight="1" s="2"/>
    <row r="146" ht="15" customHeight="1" s="2"/>
    <row r="147" ht="15" customHeight="1" s="2"/>
    <row r="148" ht="15" customHeight="1" s="2"/>
    <row r="149" ht="15" customHeight="1" s="2"/>
    <row r="150" ht="15" customHeight="1" s="2"/>
    <row r="151" ht="15" customHeight="1" s="2"/>
    <row r="152" ht="15" customHeight="1" s="2"/>
    <row r="153" ht="15" customHeight="1" s="2"/>
    <row r="154" ht="15" customHeight="1" s="2"/>
    <row r="155" ht="15" customHeight="1" s="2"/>
    <row r="156" ht="15" customHeight="1" s="2"/>
    <row r="157" ht="15" customHeight="1" s="2"/>
    <row r="158" ht="15" customHeight="1" s="2"/>
    <row r="159" ht="15" customHeight="1" s="2"/>
    <row r="160" ht="15" customHeight="1" s="2"/>
    <row r="161" ht="15" customHeight="1" s="2"/>
    <row r="162" ht="15" customHeight="1" s="2"/>
    <row r="163" ht="15" customHeight="1" s="2"/>
    <row r="164" ht="15" customHeight="1" s="2"/>
    <row r="165" ht="15" customHeight="1" s="2"/>
    <row r="166" ht="15" customHeight="1" s="2"/>
    <row r="167" ht="15" customHeight="1" s="2"/>
    <row r="168" ht="15" customHeight="1" s="2"/>
    <row r="169" ht="15" customHeight="1" s="2"/>
    <row r="170" ht="15" customHeight="1" s="2"/>
    <row r="171" ht="15" customHeight="1" s="2"/>
    <row r="172" ht="15" customHeight="1" s="2"/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37"/>
  <sheetViews>
    <sheetView zoomScaleNormal="100" workbookViewId="0">
      <selection activeCell="A1" sqref="A1"/>
    </sheetView>
  </sheetViews>
  <sheetFormatPr baseColWidth="10" defaultColWidth="8.83203125" defaultRowHeight="15"/>
  <sheetData>
    <row r="1" ht="15" customHeight="1" s="2">
      <c r="A1" s="26" t="n"/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  <c r="AA1" s="26" t="n"/>
      <c r="AB1" s="26" t="n"/>
      <c r="AC1" s="26" t="n"/>
      <c r="AD1" s="26" t="n"/>
      <c r="AE1" s="26" t="n"/>
      <c r="AF1" s="26" t="n"/>
      <c r="AG1" s="26" t="n"/>
    </row>
    <row r="3" ht="15" customHeight="1" s="2">
      <c r="C3" t="inlineStr">
        <is>
          <t>W/L/T</t>
        </is>
      </c>
    </row>
    <row r="4" ht="15" customHeight="1" s="2">
      <c r="C4" t="inlineStr">
        <is>
          <t>The Hunted</t>
        </is>
      </c>
    </row>
    <row r="5" ht="15" customHeight="1" s="2">
      <c r="C5" t="inlineStr">
        <is>
          <t>Sum of W</t>
        </is>
      </c>
    </row>
    <row r="6" ht="15" customHeight="1" s="2">
      <c r="D6" t="inlineStr">
        <is>
          <t>Buss</t>
        </is>
      </c>
      <c r="E6" t="inlineStr">
        <is>
          <t>Cole</t>
        </is>
      </c>
      <c r="F6" t="inlineStr">
        <is>
          <t>Connolly</t>
        </is>
      </c>
      <c r="G6" t="inlineStr">
        <is>
          <t>R. Connolly</t>
        </is>
      </c>
      <c r="H6" t="inlineStr">
        <is>
          <t>Connors</t>
        </is>
      </c>
      <c r="I6" t="inlineStr">
        <is>
          <t>Delaney</t>
        </is>
      </c>
      <c r="J6" t="inlineStr">
        <is>
          <t>Delneky</t>
        </is>
      </c>
      <c r="K6" t="inlineStr">
        <is>
          <t>Deoteris</t>
        </is>
      </c>
      <c r="L6" t="inlineStr">
        <is>
          <t>Ferrin</t>
        </is>
      </c>
      <c r="M6" t="inlineStr">
        <is>
          <t>Flanders</t>
        </is>
      </c>
      <c r="N6" t="inlineStr">
        <is>
          <t>Fogan</t>
        </is>
      </c>
      <c r="O6" t="inlineStr">
        <is>
          <t>Forster</t>
        </is>
      </c>
      <c r="P6" t="inlineStr">
        <is>
          <t>Gray</t>
        </is>
      </c>
      <c r="Q6" t="inlineStr">
        <is>
          <t>Grise</t>
        </is>
      </c>
      <c r="R6" t="inlineStr">
        <is>
          <t>Hickerson</t>
        </is>
      </c>
      <c r="S6" t="inlineStr">
        <is>
          <t>Hilts</t>
        </is>
      </c>
      <c r="T6" t="inlineStr">
        <is>
          <t>Jackson</t>
        </is>
      </c>
      <c r="U6" t="inlineStr">
        <is>
          <t>Lynch</t>
        </is>
      </c>
      <c r="V6" t="inlineStr">
        <is>
          <t>Macklin</t>
        </is>
      </c>
      <c r="W6" t="inlineStr">
        <is>
          <t>Mangold</t>
        </is>
      </c>
      <c r="X6" t="inlineStr">
        <is>
          <t>McInerney</t>
        </is>
      </c>
      <c r="Y6" t="inlineStr">
        <is>
          <t>Norat</t>
        </is>
      </c>
      <c r="Z6" t="inlineStr">
        <is>
          <t>Perkins</t>
        </is>
      </c>
      <c r="AA6" t="inlineStr">
        <is>
          <t>Piegari</t>
        </is>
      </c>
      <c r="AB6" t="inlineStr">
        <is>
          <t>Poirier</t>
        </is>
      </c>
      <c r="AC6" t="inlineStr">
        <is>
          <t>Shively</t>
        </is>
      </c>
      <c r="AD6" t="inlineStr">
        <is>
          <t>Snyder</t>
        </is>
      </c>
      <c r="AE6" t="inlineStr">
        <is>
          <t>Weisberger</t>
        </is>
      </c>
      <c r="AF6" t="inlineStr">
        <is>
          <t>Welker</t>
        </is>
      </c>
      <c r="AG6" t="inlineStr">
        <is>
          <t>Zimmer</t>
        </is>
      </c>
      <c r="AH6" t="inlineStr">
        <is>
          <t>Grand Total</t>
        </is>
      </c>
    </row>
    <row r="7" ht="15" customHeight="1" s="2">
      <c r="C7" t="inlineStr">
        <is>
          <t>Buss</t>
        </is>
      </c>
      <c r="F7" t="n">
        <v>0</v>
      </c>
      <c r="T7" t="n">
        <v>1</v>
      </c>
      <c r="AF7" t="n">
        <v>0</v>
      </c>
      <c r="AG7" t="n">
        <v>0</v>
      </c>
      <c r="AH7" t="n">
        <v>1</v>
      </c>
    </row>
    <row r="8" ht="15" customHeight="1" s="2">
      <c r="C8" t="inlineStr">
        <is>
          <t>Cole</t>
        </is>
      </c>
      <c r="H8" t="n">
        <v>2</v>
      </c>
      <c r="L8" t="n">
        <v>0</v>
      </c>
      <c r="O8" t="n">
        <v>0</v>
      </c>
      <c r="Q8" t="n">
        <v>0</v>
      </c>
      <c r="U8" t="n">
        <v>0</v>
      </c>
      <c r="W8" t="n">
        <v>1</v>
      </c>
      <c r="Y8" t="n">
        <v>1</v>
      </c>
      <c r="AC8" t="n">
        <v>1</v>
      </c>
      <c r="AH8" t="n">
        <v>5</v>
      </c>
    </row>
    <row r="9" ht="15" customHeight="1" s="2">
      <c r="C9" t="inlineStr">
        <is>
          <t>Connolly</t>
        </is>
      </c>
      <c r="D9" t="n">
        <v>1</v>
      </c>
      <c r="I9" t="n">
        <v>1</v>
      </c>
      <c r="P9" t="n">
        <v>0</v>
      </c>
      <c r="Q9" t="n">
        <v>2</v>
      </c>
      <c r="T9" t="n">
        <v>1</v>
      </c>
      <c r="X9" t="n">
        <v>1</v>
      </c>
      <c r="AC9" t="n">
        <v>0</v>
      </c>
      <c r="AF9" t="n">
        <v>1</v>
      </c>
      <c r="AG9" t="n">
        <v>1</v>
      </c>
      <c r="AH9" t="n">
        <v>8</v>
      </c>
    </row>
    <row r="10" ht="15" customHeight="1" s="2">
      <c r="C10" t="inlineStr">
        <is>
          <t>R. Connolly</t>
        </is>
      </c>
      <c r="N10" t="n">
        <v>1</v>
      </c>
      <c r="AC10" t="n">
        <v>1</v>
      </c>
      <c r="AH10" t="n">
        <v>2</v>
      </c>
    </row>
    <row r="11" ht="15" customHeight="1" s="2">
      <c r="B11" t="inlineStr">
        <is>
          <t>Bounty</t>
        </is>
      </c>
      <c r="C11" t="inlineStr">
        <is>
          <t>Connors</t>
        </is>
      </c>
      <c r="E11" t="n">
        <v>0</v>
      </c>
      <c r="K11" t="n">
        <v>0</v>
      </c>
      <c r="N11" t="n">
        <v>1</v>
      </c>
      <c r="R11" t="n">
        <v>1</v>
      </c>
      <c r="W11" t="n">
        <v>0</v>
      </c>
      <c r="AC11" t="n">
        <v>0</v>
      </c>
      <c r="AH11" t="n">
        <v>2</v>
      </c>
    </row>
    <row r="12" ht="15" customHeight="1" s="2">
      <c r="B12" t="inlineStr">
        <is>
          <t>Hunters</t>
        </is>
      </c>
      <c r="C12" t="inlineStr">
        <is>
          <t>Delaney</t>
        </is>
      </c>
      <c r="F12" t="n">
        <v>0</v>
      </c>
      <c r="J12" t="n">
        <v>1</v>
      </c>
      <c r="N12" t="n">
        <v>0</v>
      </c>
      <c r="S12" t="n">
        <v>0</v>
      </c>
      <c r="T12" t="n">
        <v>0</v>
      </c>
      <c r="W12" t="n">
        <v>1</v>
      </c>
      <c r="AH12" t="n">
        <v>2</v>
      </c>
    </row>
    <row r="13" ht="15" customHeight="1" s="2">
      <c r="C13" t="inlineStr">
        <is>
          <t>Delneky</t>
        </is>
      </c>
      <c r="I13" t="n">
        <v>0</v>
      </c>
      <c r="S13" t="n">
        <v>1</v>
      </c>
      <c r="U13" t="n">
        <v>1</v>
      </c>
      <c r="W13" t="n">
        <v>1</v>
      </c>
      <c r="X13" t="n">
        <v>0</v>
      </c>
      <c r="AH13" t="n">
        <v>3</v>
      </c>
    </row>
    <row r="14" ht="15" customHeight="1" s="2">
      <c r="C14" t="inlineStr">
        <is>
          <t>Deoteris</t>
        </is>
      </c>
      <c r="H14" t="n">
        <v>0</v>
      </c>
      <c r="AD14" t="n">
        <v>0</v>
      </c>
      <c r="AH14" t="n">
        <v>0</v>
      </c>
    </row>
    <row r="15" ht="15" customHeight="1" s="2">
      <c r="C15" t="inlineStr">
        <is>
          <t>Ferrin</t>
        </is>
      </c>
      <c r="E15" t="n">
        <v>1</v>
      </c>
      <c r="M15" t="n">
        <v>1</v>
      </c>
      <c r="O15" t="n">
        <v>0</v>
      </c>
      <c r="Q15" t="n">
        <v>1</v>
      </c>
      <c r="S15" t="n">
        <v>0</v>
      </c>
      <c r="U15" t="n">
        <v>0</v>
      </c>
      <c r="W15" t="n">
        <v>0</v>
      </c>
      <c r="X15" t="n">
        <v>0</v>
      </c>
      <c r="AC15" t="n">
        <v>2</v>
      </c>
      <c r="AE15" t="n">
        <v>1</v>
      </c>
      <c r="AH15" t="n">
        <v>6</v>
      </c>
    </row>
    <row r="16" ht="15" customHeight="1" s="2">
      <c r="C16" t="inlineStr">
        <is>
          <t>Flanders</t>
        </is>
      </c>
      <c r="L16" t="n">
        <v>0</v>
      </c>
      <c r="P16" t="n">
        <v>0</v>
      </c>
      <c r="V16" t="n">
        <v>1</v>
      </c>
      <c r="X16" t="n">
        <v>0</v>
      </c>
      <c r="Y16" t="n">
        <v>0</v>
      </c>
      <c r="AA16" t="n">
        <v>1</v>
      </c>
      <c r="AB16" t="n">
        <v>0</v>
      </c>
      <c r="AF16" t="n">
        <v>2</v>
      </c>
      <c r="AH16" t="n">
        <v>4</v>
      </c>
    </row>
    <row r="17" ht="15" customHeight="1" s="2">
      <c r="C17" t="inlineStr">
        <is>
          <t>Fogan</t>
        </is>
      </c>
      <c r="G17" t="n">
        <v>0</v>
      </c>
      <c r="H17" t="n">
        <v>3</v>
      </c>
      <c r="I17" t="n">
        <v>1</v>
      </c>
      <c r="O17" t="n">
        <v>0</v>
      </c>
      <c r="S17" t="n">
        <v>1</v>
      </c>
      <c r="Y17" t="n">
        <v>1</v>
      </c>
      <c r="AH17" t="n">
        <v>6</v>
      </c>
    </row>
    <row r="18" ht="15" customHeight="1" s="2">
      <c r="C18" t="inlineStr">
        <is>
          <t>Forster</t>
        </is>
      </c>
      <c r="E18" t="n">
        <v>1</v>
      </c>
      <c r="L18" t="n">
        <v>1</v>
      </c>
      <c r="N18" t="n">
        <v>1</v>
      </c>
      <c r="Q18" t="n">
        <v>0</v>
      </c>
      <c r="R18" t="n">
        <v>1</v>
      </c>
      <c r="S18" t="n">
        <v>1</v>
      </c>
      <c r="U18" t="n">
        <v>1</v>
      </c>
      <c r="Z18" t="n">
        <v>0</v>
      </c>
      <c r="AC18" t="n">
        <v>1</v>
      </c>
      <c r="AF18" t="n">
        <v>0</v>
      </c>
      <c r="AG18" t="n">
        <v>0</v>
      </c>
      <c r="AH18" t="n">
        <v>7</v>
      </c>
    </row>
    <row r="19" ht="15" customHeight="1" s="2">
      <c r="C19" t="inlineStr">
        <is>
          <t>Gray</t>
        </is>
      </c>
      <c r="F19" t="n">
        <v>2</v>
      </c>
      <c r="M19" t="n">
        <v>2</v>
      </c>
      <c r="S19" t="n">
        <v>0</v>
      </c>
      <c r="AF19" t="n">
        <v>1</v>
      </c>
      <c r="AG19" t="n">
        <v>0</v>
      </c>
      <c r="AH19" t="n">
        <v>5</v>
      </c>
    </row>
    <row r="20" ht="15" customHeight="1" s="2">
      <c r="C20" t="inlineStr">
        <is>
          <t>Grise</t>
        </is>
      </c>
      <c r="E20" t="n">
        <v>1</v>
      </c>
      <c r="F20" t="n">
        <v>0</v>
      </c>
      <c r="L20" t="n">
        <v>1</v>
      </c>
      <c r="O20" t="n">
        <v>1</v>
      </c>
      <c r="W20" t="n">
        <v>1</v>
      </c>
      <c r="X20" t="n">
        <v>0</v>
      </c>
      <c r="AB20" t="n">
        <v>0</v>
      </c>
      <c r="AC20" t="n">
        <v>1</v>
      </c>
      <c r="AE20" t="n">
        <v>1</v>
      </c>
      <c r="AH20" t="n">
        <v>6</v>
      </c>
    </row>
    <row r="21" ht="15" customHeight="1" s="2">
      <c r="C21" t="inlineStr">
        <is>
          <t>Hickerson</t>
        </is>
      </c>
      <c r="H21" t="n">
        <v>0</v>
      </c>
      <c r="O21" t="n">
        <v>0</v>
      </c>
      <c r="U21" t="n">
        <v>0</v>
      </c>
      <c r="Y21" t="n">
        <v>0</v>
      </c>
      <c r="AH21" t="n">
        <v>0</v>
      </c>
    </row>
    <row r="22" ht="15" customHeight="1" s="2">
      <c r="C22" t="inlineStr">
        <is>
          <t>Hilts</t>
        </is>
      </c>
      <c r="I22" t="n">
        <v>1</v>
      </c>
      <c r="J22" t="n">
        <v>0</v>
      </c>
      <c r="L22" t="n">
        <v>1</v>
      </c>
      <c r="N22" t="n">
        <v>0</v>
      </c>
      <c r="O22" t="n">
        <v>0</v>
      </c>
      <c r="P22" t="n">
        <v>1</v>
      </c>
      <c r="W22" t="n">
        <v>1</v>
      </c>
      <c r="AB22" t="n">
        <v>1</v>
      </c>
      <c r="AG22" t="n">
        <v>0</v>
      </c>
      <c r="AH22" t="n">
        <v>5</v>
      </c>
    </row>
    <row r="23" ht="15" customHeight="1" s="2">
      <c r="C23" t="inlineStr">
        <is>
          <t>Jackson</t>
        </is>
      </c>
      <c r="D23" t="n">
        <v>1</v>
      </c>
      <c r="F23" t="n">
        <v>0</v>
      </c>
      <c r="I23" t="n">
        <v>1</v>
      </c>
      <c r="U23" t="n">
        <v>1</v>
      </c>
      <c r="X23" t="n">
        <v>1</v>
      </c>
      <c r="AB23" t="n">
        <v>0</v>
      </c>
      <c r="AG23" t="n">
        <v>1</v>
      </c>
      <c r="AH23" t="n">
        <v>5</v>
      </c>
    </row>
    <row r="24" ht="15" customHeight="1" s="2">
      <c r="C24" t="inlineStr">
        <is>
          <t>Lynch</t>
        </is>
      </c>
      <c r="E24" t="n">
        <v>1</v>
      </c>
      <c r="J24" t="n">
        <v>0</v>
      </c>
      <c r="L24" t="n">
        <v>1</v>
      </c>
      <c r="O24" t="n">
        <v>0</v>
      </c>
      <c r="R24" t="n">
        <v>0</v>
      </c>
      <c r="T24" t="n">
        <v>1</v>
      </c>
      <c r="AB24" t="n">
        <v>0</v>
      </c>
      <c r="AC24" t="n">
        <v>1</v>
      </c>
      <c r="AE24" t="n">
        <v>0</v>
      </c>
      <c r="AF24" t="n">
        <v>0</v>
      </c>
      <c r="AH24" t="n">
        <v>4</v>
      </c>
    </row>
    <row r="25" ht="15" customHeight="1" s="2">
      <c r="C25" t="inlineStr">
        <is>
          <t>Macklin</t>
        </is>
      </c>
      <c r="M25" t="n">
        <v>0</v>
      </c>
      <c r="AH25" t="n">
        <v>0</v>
      </c>
    </row>
    <row r="26" ht="15" customHeight="1" s="2">
      <c r="C26" t="inlineStr">
        <is>
          <t>Mangold</t>
        </is>
      </c>
      <c r="E26" t="n">
        <v>0</v>
      </c>
      <c r="H26" t="n">
        <v>1</v>
      </c>
      <c r="I26" t="n">
        <v>0</v>
      </c>
      <c r="J26" t="n">
        <v>0</v>
      </c>
      <c r="L26" t="n">
        <v>0</v>
      </c>
      <c r="Q26" t="n">
        <v>0</v>
      </c>
      <c r="S26" t="n">
        <v>1</v>
      </c>
      <c r="AG26" t="n">
        <v>0</v>
      </c>
      <c r="AH26" t="n">
        <v>2</v>
      </c>
    </row>
    <row r="27" ht="15" customHeight="1" s="2">
      <c r="C27" t="inlineStr">
        <is>
          <t>McInerney</t>
        </is>
      </c>
      <c r="F27" t="n">
        <v>0</v>
      </c>
      <c r="J27" t="n">
        <v>1</v>
      </c>
      <c r="L27" t="n">
        <v>1</v>
      </c>
      <c r="M27" t="n">
        <v>1</v>
      </c>
      <c r="Q27" t="n">
        <v>1</v>
      </c>
      <c r="T27" t="n">
        <v>1</v>
      </c>
      <c r="Z27" t="n">
        <v>1</v>
      </c>
      <c r="AH27" t="n">
        <v>6</v>
      </c>
    </row>
    <row r="28" ht="15" customHeight="1" s="2">
      <c r="C28" t="inlineStr">
        <is>
          <t>Norat</t>
        </is>
      </c>
      <c r="E28" t="n">
        <v>0</v>
      </c>
      <c r="M28" t="n">
        <v>1</v>
      </c>
      <c r="N28" t="n">
        <v>2</v>
      </c>
      <c r="R28" t="n">
        <v>0</v>
      </c>
      <c r="AH28" t="n">
        <v>3</v>
      </c>
    </row>
    <row r="29" ht="15" customHeight="1" s="2">
      <c r="C29" t="inlineStr">
        <is>
          <t>Perkins</t>
        </is>
      </c>
      <c r="O29" t="n">
        <v>1</v>
      </c>
      <c r="X29" t="n">
        <v>0</v>
      </c>
      <c r="AA29" t="n">
        <v>1</v>
      </c>
      <c r="AG29" t="n">
        <v>1</v>
      </c>
      <c r="AH29" t="n">
        <v>3</v>
      </c>
    </row>
    <row r="30" ht="15" customHeight="1" s="2">
      <c r="C30" t="inlineStr">
        <is>
          <t>Piegari</t>
        </is>
      </c>
      <c r="M30" t="n">
        <v>0</v>
      </c>
      <c r="Z30" t="n">
        <v>0</v>
      </c>
      <c r="AH30" t="n">
        <v>0</v>
      </c>
    </row>
    <row r="31" ht="15" customHeight="1" s="2">
      <c r="C31" t="inlineStr">
        <is>
          <t>Poirier</t>
        </is>
      </c>
      <c r="M31" t="n">
        <v>1</v>
      </c>
      <c r="Q31" t="n">
        <v>2</v>
      </c>
      <c r="S31" t="n">
        <v>0</v>
      </c>
      <c r="T31" t="n">
        <v>1</v>
      </c>
      <c r="U31" t="n">
        <v>1</v>
      </c>
      <c r="AH31" t="n">
        <v>5</v>
      </c>
    </row>
    <row r="32" ht="15" customHeight="1" s="2">
      <c r="C32" t="inlineStr">
        <is>
          <t>Shively</t>
        </is>
      </c>
      <c r="E32" t="n">
        <v>0</v>
      </c>
      <c r="F32" t="n">
        <v>1</v>
      </c>
      <c r="G32" t="n">
        <v>0</v>
      </c>
      <c r="H32" t="n">
        <v>1</v>
      </c>
      <c r="L32" t="n">
        <v>0</v>
      </c>
      <c r="O32" t="n">
        <v>0</v>
      </c>
      <c r="Q32" t="n">
        <v>0</v>
      </c>
      <c r="U32" t="n">
        <v>1</v>
      </c>
      <c r="AG32" t="n">
        <v>0</v>
      </c>
      <c r="AH32" t="n">
        <v>3</v>
      </c>
    </row>
    <row r="33" ht="15" customHeight="1" s="2">
      <c r="C33" t="inlineStr">
        <is>
          <t>Snyder</t>
        </is>
      </c>
      <c r="K33" t="n">
        <v>1</v>
      </c>
      <c r="AH33" t="n">
        <v>1</v>
      </c>
    </row>
    <row r="34" ht="15" customHeight="1" s="2">
      <c r="C34" t="inlineStr">
        <is>
          <t>Weisberger</t>
        </is>
      </c>
      <c r="L34" t="n">
        <v>0</v>
      </c>
      <c r="Q34" t="n">
        <v>0</v>
      </c>
      <c r="U34" t="n">
        <v>1</v>
      </c>
      <c r="AH34" t="n">
        <v>1</v>
      </c>
    </row>
    <row r="35" ht="15" customHeight="1" s="2">
      <c r="C35" t="inlineStr">
        <is>
          <t>Welker</t>
        </is>
      </c>
      <c r="D35" t="n">
        <v>1</v>
      </c>
      <c r="F35" t="n">
        <v>1</v>
      </c>
      <c r="M35" t="n">
        <v>0</v>
      </c>
      <c r="O35" t="n">
        <v>1</v>
      </c>
      <c r="P35" t="n">
        <v>0</v>
      </c>
      <c r="U35" t="n">
        <v>1</v>
      </c>
      <c r="AH35" t="n">
        <v>4</v>
      </c>
    </row>
    <row r="36" ht="15" customHeight="1" s="2">
      <c r="C36" t="inlineStr">
        <is>
          <t>Zimmer</t>
        </is>
      </c>
      <c r="D36" t="n">
        <v>1</v>
      </c>
      <c r="F36" t="n">
        <v>0</v>
      </c>
      <c r="O36" t="n">
        <v>1</v>
      </c>
      <c r="P36" t="n">
        <v>0</v>
      </c>
      <c r="S36" t="n">
        <v>1</v>
      </c>
      <c r="T36" t="n">
        <v>1</v>
      </c>
      <c r="W36" t="n">
        <v>1</v>
      </c>
      <c r="Z36" t="n">
        <v>0</v>
      </c>
      <c r="AC36" t="n">
        <v>1</v>
      </c>
      <c r="AH36" t="n">
        <v>6</v>
      </c>
    </row>
    <row r="37" ht="15" customHeight="1" s="2">
      <c r="C37" t="inlineStr">
        <is>
          <t>Grand Total</t>
        </is>
      </c>
      <c r="D37" t="n">
        <v>4</v>
      </c>
      <c r="E37" t="n">
        <v>4</v>
      </c>
      <c r="F37" t="n">
        <v>4</v>
      </c>
      <c r="G37" t="n">
        <v>0</v>
      </c>
      <c r="H37" t="n">
        <v>7</v>
      </c>
      <c r="I37" t="n">
        <v>4</v>
      </c>
      <c r="J37" t="n">
        <v>2</v>
      </c>
      <c r="K37" t="n">
        <v>1</v>
      </c>
      <c r="L37" t="n">
        <v>5</v>
      </c>
      <c r="M37" t="n">
        <v>6</v>
      </c>
      <c r="N37" t="n">
        <v>5</v>
      </c>
      <c r="O37" t="n">
        <v>4</v>
      </c>
      <c r="P37" t="n">
        <v>1</v>
      </c>
      <c r="Q37" t="n">
        <v>6</v>
      </c>
      <c r="R37" t="n">
        <v>2</v>
      </c>
      <c r="S37" t="n">
        <v>5</v>
      </c>
      <c r="T37" t="n">
        <v>6</v>
      </c>
      <c r="U37" t="n">
        <v>7</v>
      </c>
      <c r="V37" t="n">
        <v>1</v>
      </c>
      <c r="W37" t="n">
        <v>6</v>
      </c>
      <c r="X37" t="n">
        <v>2</v>
      </c>
      <c r="Y37" t="n">
        <v>2</v>
      </c>
      <c r="Z37" t="n">
        <v>1</v>
      </c>
      <c r="AA37" t="n">
        <v>2</v>
      </c>
      <c r="AB37" t="n">
        <v>1</v>
      </c>
      <c r="AC37" t="n">
        <v>8</v>
      </c>
      <c r="AD37" t="n">
        <v>0</v>
      </c>
      <c r="AE37" t="n">
        <v>2</v>
      </c>
      <c r="AF37" t="n">
        <v>4</v>
      </c>
      <c r="AG37" t="n">
        <v>3</v>
      </c>
      <c r="AH37" t="n">
        <v>105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J38"/>
  <sheetViews>
    <sheetView tabSelected="1"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A1" sqref="A1"/>
    </sheetView>
  </sheetViews>
  <sheetFormatPr baseColWidth="10" defaultColWidth="8.83203125" defaultRowHeight="15"/>
  <cols>
    <col width="2" customWidth="1" style="2" min="1" max="1"/>
    <col width="16" customWidth="1" style="2" min="2" max="2"/>
    <col width="6" customWidth="1" style="2" min="3" max="3"/>
    <col width="9" customWidth="1" style="2" min="4" max="4"/>
    <col width="10" customWidth="1" style="2" min="5" max="5"/>
    <col width="11" customWidth="1" style="2" min="6" max="6"/>
    <col width="12" customWidth="1" style="2" min="7" max="7"/>
    <col width="9" customWidth="1" style="2" min="8" max="8"/>
    <col width="10" customWidth="1" style="2" min="9" max="9"/>
    <col width="9" customWidth="1" style="2" min="10" max="10"/>
  </cols>
  <sheetData>
    <row r="1" ht="17.25" customHeight="1" s="2">
      <c r="B1" s="61" t="inlineStr">
        <is>
          <t>CAPA PPC — Competitor-Adjusted, Partner-Adjusted Points Per Cup</t>
        </is>
      </c>
    </row>
    <row r="3" ht="30" customHeight="1" s="2">
      <c r="B3" s="62" t="inlineStr">
        <is>
          <t>What it measures</t>
        </is>
      </c>
      <c r="C3" s="12" t="inlineStr">
        <is>
          <t>Expected points-per-cup with an average-skill partner against average-skill opponents (FIP-style), adjusting for both win% skill and HANDICAP of partners/opponents. Through FBC12.</t>
        </is>
      </c>
    </row>
    <row r="4" ht="30" customHeight="1" s="2">
      <c r="B4" s="62" t="inlineStr">
        <is>
          <t>Model</t>
        </is>
      </c>
      <c r="C4" s="12" t="inlineStr">
        <is>
          <t>Match point-share ≈ 0.50 + 1.757×SkillDiff + 0.0078×HcpAdv (R²=0.138, n=582). Skill = career Win%−0.5; HcpAdv = opp index − own index (from the Handicaps tab).</t>
        </is>
      </c>
    </row>
    <row r="5" ht="30" customHeight="1" s="2">
      <c r="B5" s="62" t="inlineStr">
        <is>
          <t>Neutral pts / match</t>
        </is>
      </c>
      <c r="C5" s="12" t="inlineStr">
        <is>
          <t>Actual − Stake×[β_skill×(partner &amp; opp skill context) + β_hcp×(handicap context)]. CAPA PPC = Σ neutral ÷ effective cups.</t>
        </is>
      </c>
    </row>
    <row r="6" ht="30" customHeight="1" s="2">
      <c r="B6" s="62" t="inlineStr">
        <is>
          <t>Handicap source</t>
        </is>
      </c>
      <c r="C6" s="12" t="inlineStr">
        <is>
          <t>Handicaps tab (FBC1–12, all cups). Buss lacks index data, so his Hcp Adj = 0.</t>
        </is>
      </c>
    </row>
    <row r="7" ht="30" customHeight="1" s="2">
      <c r="B7" s="62" t="inlineStr">
        <is>
          <t>Other settings</t>
        </is>
      </c>
      <c r="C7" s="12" t="inlineStr">
        <is>
          <t>Skill shrunk by n/(n+20). FBC8 partial credit via stake share (6 players @ 4.5/6.5).</t>
        </is>
      </c>
    </row>
    <row r="9" ht="30" customHeight="1" s="2">
      <c r="B9" s="63" t="inlineStr">
        <is>
          <t>Player</t>
        </is>
      </c>
      <c r="C9" s="63" t="inlineStr">
        <is>
          <t>Cups</t>
        </is>
      </c>
      <c r="D9" s="63" t="inlineStr">
        <is>
          <t>Eff. Cups</t>
        </is>
      </c>
      <c r="E9" s="63" t="inlineStr">
        <is>
          <t>UnAdj PPC</t>
        </is>
      </c>
      <c r="F9" s="64" t="inlineStr">
        <is>
          <t>Partner Adj</t>
        </is>
      </c>
      <c r="G9" s="64" t="inlineStr">
        <is>
          <t>Opponent Adj</t>
        </is>
      </c>
      <c r="H9" s="65" t="inlineStr">
        <is>
          <t>Hcp Adj</t>
        </is>
      </c>
      <c r="I9" s="63" t="inlineStr">
        <is>
          <t>CAPA PPC</t>
        </is>
      </c>
      <c r="J9" s="66" t="inlineStr">
        <is>
          <t>Delta</t>
        </is>
      </c>
    </row>
    <row r="10" ht="15" customHeight="1" s="2">
      <c r="B10" s="67" t="inlineStr">
        <is>
          <t>Perkins</t>
        </is>
      </c>
      <c r="C10" s="68" t="n">
        <v>4</v>
      </c>
      <c r="D10" s="69" t="n">
        <v>4</v>
      </c>
      <c r="E10" s="69" t="n">
        <v>4.625</v>
      </c>
      <c r="F10" s="70" t="n">
        <v>0.0594</v>
      </c>
      <c r="G10" s="70" t="n">
        <v>-0.005</v>
      </c>
      <c r="H10" s="70" t="n">
        <v>-0.1259</v>
      </c>
      <c r="I10" s="71">
        <f>E10+F10+G10+H10</f>
        <v/>
      </c>
      <c r="J10" s="70">
        <f>I10-E10</f>
        <v/>
      </c>
    </row>
    <row r="11" ht="15" customHeight="1" s="2">
      <c r="B11" s="67" t="inlineStr">
        <is>
          <t>Gray</t>
        </is>
      </c>
      <c r="C11" s="68" t="n">
        <v>7</v>
      </c>
      <c r="D11" s="69" t="n">
        <v>7</v>
      </c>
      <c r="E11" s="69" t="n">
        <v>4.4286</v>
      </c>
      <c r="F11" s="70" t="n">
        <v>-0.0257</v>
      </c>
      <c r="G11" s="70" t="n">
        <v>0.1368</v>
      </c>
      <c r="H11" s="70" t="n">
        <v>-0.1033</v>
      </c>
      <c r="I11" s="71">
        <f>E11+F11+G11+H11</f>
        <v/>
      </c>
      <c r="J11" s="70">
        <f>I11-E11</f>
        <v/>
      </c>
    </row>
    <row r="12" ht="15" customHeight="1" s="2">
      <c r="B12" s="67" t="inlineStr">
        <is>
          <t>Delneky</t>
        </is>
      </c>
      <c r="C12" s="68" t="n">
        <v>5</v>
      </c>
      <c r="D12" s="69" t="n">
        <v>4.69</v>
      </c>
      <c r="E12" s="69" t="n">
        <v>4.3689</v>
      </c>
      <c r="F12" s="70" t="n">
        <v>-0.0968</v>
      </c>
      <c r="G12" s="70" t="n">
        <v>-0.1034</v>
      </c>
      <c r="H12" s="70" t="n">
        <v>0.1968</v>
      </c>
      <c r="I12" s="71">
        <f>E12+F12+G12+H12</f>
        <v/>
      </c>
      <c r="J12" s="70">
        <f>I12-E12</f>
        <v/>
      </c>
    </row>
    <row r="13" ht="15" customHeight="1" s="2">
      <c r="B13" s="67" t="inlineStr">
        <is>
          <t>Connolly</t>
        </is>
      </c>
      <c r="C13" s="68" t="n">
        <v>12</v>
      </c>
      <c r="D13" s="69" t="n">
        <v>12</v>
      </c>
      <c r="E13" s="69" t="n">
        <v>4.2083</v>
      </c>
      <c r="F13" s="70" t="n">
        <v>0.0064</v>
      </c>
      <c r="G13" s="70" t="n">
        <v>0.113</v>
      </c>
      <c r="H13" s="70" t="n">
        <v>-0.0133</v>
      </c>
      <c r="I13" s="71">
        <f>E13+F13+G13+H13</f>
        <v/>
      </c>
      <c r="J13" s="70">
        <f>I13-E13</f>
        <v/>
      </c>
    </row>
    <row r="14" ht="15" customHeight="1" s="2">
      <c r="B14" s="67" t="inlineStr">
        <is>
          <t>Forster</t>
        </is>
      </c>
      <c r="C14" s="68" t="n">
        <v>11</v>
      </c>
      <c r="D14" s="69" t="n">
        <v>10.69</v>
      </c>
      <c r="E14" s="69" t="n">
        <v>3.9281</v>
      </c>
      <c r="F14" s="70" t="n">
        <v>-0.0336</v>
      </c>
      <c r="G14" s="70" t="n">
        <v>-0.0059</v>
      </c>
      <c r="H14" s="70" t="n">
        <v>0.0405</v>
      </c>
      <c r="I14" s="71">
        <f>E14+F14+G14+H14</f>
        <v/>
      </c>
      <c r="J14" s="70">
        <f>I14-E14</f>
        <v/>
      </c>
    </row>
    <row r="15" ht="15" customHeight="1" s="2">
      <c r="B15" s="67" t="inlineStr">
        <is>
          <t>Ferrin</t>
        </is>
      </c>
      <c r="C15" s="68" t="n">
        <v>12</v>
      </c>
      <c r="D15" s="69" t="n">
        <v>12</v>
      </c>
      <c r="E15" s="69" t="n">
        <v>3.8333</v>
      </c>
      <c r="F15" s="70" t="n">
        <v>-0.0539</v>
      </c>
      <c r="G15" s="70" t="n">
        <v>0.0605</v>
      </c>
      <c r="H15" s="70" t="n">
        <v>0.0499</v>
      </c>
      <c r="I15" s="71">
        <f>E15+F15+G15+H15</f>
        <v/>
      </c>
      <c r="J15" s="70">
        <f>I15-E15</f>
        <v/>
      </c>
    </row>
    <row r="16" ht="15" customHeight="1" s="2">
      <c r="B16" s="67" t="inlineStr">
        <is>
          <t>Jackson</t>
        </is>
      </c>
      <c r="C16" s="68" t="n">
        <v>12</v>
      </c>
      <c r="D16" s="69" t="n">
        <v>12</v>
      </c>
      <c r="E16" s="69" t="n">
        <v>3.8333</v>
      </c>
      <c r="F16" s="70" t="n">
        <v>-0.0697</v>
      </c>
      <c r="G16" s="70" t="n">
        <v>0.1142</v>
      </c>
      <c r="H16" s="70" t="n">
        <v>0.009599999999999999</v>
      </c>
      <c r="I16" s="71">
        <f>E16+F16+G16+H16</f>
        <v/>
      </c>
      <c r="J16" s="70">
        <f>I16-E16</f>
        <v/>
      </c>
    </row>
    <row r="17" ht="15" customHeight="1" s="2">
      <c r="B17" s="67" t="inlineStr">
        <is>
          <t>Welker</t>
        </is>
      </c>
      <c r="C17" s="68" t="n">
        <v>8</v>
      </c>
      <c r="D17" s="69" t="n">
        <v>8</v>
      </c>
      <c r="E17" s="69" t="n">
        <v>3.5625</v>
      </c>
      <c r="F17" s="70" t="n">
        <v>0.07099999999999999</v>
      </c>
      <c r="G17" s="70" t="n">
        <v>0.1561</v>
      </c>
      <c r="H17" s="70" t="n">
        <v>0.0364</v>
      </c>
      <c r="I17" s="71">
        <f>E17+F17+G17+H17</f>
        <v/>
      </c>
      <c r="J17" s="70">
        <f>I17-E17</f>
        <v/>
      </c>
    </row>
    <row r="18" ht="15" customHeight="1" s="2">
      <c r="B18" s="67" t="inlineStr">
        <is>
          <t>Poirier</t>
        </is>
      </c>
      <c r="C18" s="68" t="n">
        <v>7</v>
      </c>
      <c r="D18" s="69" t="n">
        <v>7</v>
      </c>
      <c r="E18" s="69" t="n">
        <v>3.8571</v>
      </c>
      <c r="F18" s="70" t="n">
        <v>0.0518</v>
      </c>
      <c r="G18" s="70" t="n">
        <v>-0.0163</v>
      </c>
      <c r="H18" s="70" t="n">
        <v>-0.1276</v>
      </c>
      <c r="I18" s="71">
        <f>E18+F18+G18+H18</f>
        <v/>
      </c>
      <c r="J18" s="70">
        <f>I18-E18</f>
        <v/>
      </c>
    </row>
    <row r="19" ht="15" customHeight="1" s="2">
      <c r="B19" s="67" t="inlineStr">
        <is>
          <t>McInerney</t>
        </is>
      </c>
      <c r="C19" s="68" t="n">
        <v>8</v>
      </c>
      <c r="D19" s="69" t="n">
        <v>8</v>
      </c>
      <c r="E19" s="69" t="n">
        <v>3.5</v>
      </c>
      <c r="F19" s="70" t="n">
        <v>0.055</v>
      </c>
      <c r="G19" s="70" t="n">
        <v>0.3134</v>
      </c>
      <c r="H19" s="70" t="n">
        <v>-0.1187</v>
      </c>
      <c r="I19" s="71">
        <f>E19+F19+G19+H19</f>
        <v/>
      </c>
      <c r="J19" s="70">
        <f>I19-E19</f>
        <v/>
      </c>
    </row>
    <row r="20" ht="15" customHeight="1" s="2">
      <c r="B20" s="67" t="inlineStr">
        <is>
          <t>Grise</t>
        </is>
      </c>
      <c r="C20" s="68" t="n">
        <v>12</v>
      </c>
      <c r="D20" s="69" t="n">
        <v>12</v>
      </c>
      <c r="E20" s="69" t="n">
        <v>3.5833</v>
      </c>
      <c r="F20" s="70" t="n">
        <v>-0.0169</v>
      </c>
      <c r="G20" s="70" t="n">
        <v>0.0301</v>
      </c>
      <c r="H20" s="70" t="n">
        <v>-0.0381</v>
      </c>
      <c r="I20" s="71">
        <f>E20+F20+G20+H20</f>
        <v/>
      </c>
      <c r="J20" s="70">
        <f>I20-E20</f>
        <v/>
      </c>
    </row>
    <row r="21" ht="15" customHeight="1" s="2">
      <c r="B21" s="67" t="inlineStr">
        <is>
          <t>Lynch</t>
        </is>
      </c>
      <c r="C21" s="68" t="n">
        <v>12</v>
      </c>
      <c r="D21" s="69" t="n">
        <v>12</v>
      </c>
      <c r="E21" s="69" t="n">
        <v>3.4167</v>
      </c>
      <c r="F21" s="70" t="n">
        <v>0.0538</v>
      </c>
      <c r="G21" s="70" t="n">
        <v>0.1146</v>
      </c>
      <c r="H21" s="70" t="n">
        <v>-0.0485</v>
      </c>
      <c r="I21" s="71">
        <f>E21+F21+G21+H21</f>
        <v/>
      </c>
      <c r="J21" s="70">
        <f>I21-E21</f>
        <v/>
      </c>
    </row>
    <row r="22" ht="15" customHeight="1" s="2">
      <c r="B22" s="67" t="inlineStr">
        <is>
          <t>Hilts</t>
        </is>
      </c>
      <c r="C22" s="68" t="n">
        <v>11</v>
      </c>
      <c r="D22" s="69" t="n">
        <v>10.69</v>
      </c>
      <c r="E22" s="69" t="n">
        <v>3.2734</v>
      </c>
      <c r="F22" s="70" t="n">
        <v>-0.0317</v>
      </c>
      <c r="G22" s="70" t="n">
        <v>-0.0583</v>
      </c>
      <c r="H22" s="70" t="n">
        <v>0.0735</v>
      </c>
      <c r="I22" s="71">
        <f>E22+F22+G22+H22</f>
        <v/>
      </c>
      <c r="J22" s="70">
        <f>I22-E22</f>
        <v/>
      </c>
    </row>
    <row r="23" ht="15" customHeight="1" s="2">
      <c r="B23" s="67" t="inlineStr">
        <is>
          <t>Zimmer</t>
        </is>
      </c>
      <c r="C23" s="68" t="n">
        <v>10</v>
      </c>
      <c r="D23" s="69" t="n">
        <v>10</v>
      </c>
      <c r="E23" s="69" t="n">
        <v>3.25</v>
      </c>
      <c r="F23" s="70" t="n">
        <v>-0.0851</v>
      </c>
      <c r="G23" s="70" t="n">
        <v>0.1425</v>
      </c>
      <c r="H23" s="70" t="n">
        <v>-0.0796</v>
      </c>
      <c r="I23" s="71">
        <f>E23+F23+G23+H23</f>
        <v/>
      </c>
      <c r="J23" s="70">
        <f>I23-E23</f>
        <v/>
      </c>
    </row>
    <row r="24" ht="15" customHeight="1" s="2">
      <c r="B24" s="67" t="inlineStr">
        <is>
          <t>Cole</t>
        </is>
      </c>
      <c r="C24" s="68" t="n">
        <v>10</v>
      </c>
      <c r="D24" s="69" t="n">
        <v>10</v>
      </c>
      <c r="E24" s="69" t="n">
        <v>3</v>
      </c>
      <c r="F24" s="70" t="n">
        <v>-0.0211</v>
      </c>
      <c r="G24" s="70" t="n">
        <v>-0.0332</v>
      </c>
      <c r="H24" s="70" t="n">
        <v>0.1198</v>
      </c>
      <c r="I24" s="71">
        <f>E24+F24+G24+H24</f>
        <v/>
      </c>
      <c r="J24" s="70">
        <f>I24-E24</f>
        <v/>
      </c>
    </row>
    <row r="25" ht="15" customHeight="1" s="2">
      <c r="B25" s="67" t="inlineStr">
        <is>
          <t>Norat</t>
        </is>
      </c>
      <c r="C25" s="68" t="n">
        <v>6</v>
      </c>
      <c r="D25" s="69" t="n">
        <v>6</v>
      </c>
      <c r="E25" s="69" t="n">
        <v>3.5</v>
      </c>
      <c r="F25" s="70" t="n">
        <v>-0.0804</v>
      </c>
      <c r="G25" s="70" t="n">
        <v>-0.362</v>
      </c>
      <c r="H25" s="70" t="n">
        <v>0.0042</v>
      </c>
      <c r="I25" s="71">
        <f>E25+F25+G25+H25</f>
        <v/>
      </c>
      <c r="J25" s="70">
        <f>I25-E25</f>
        <v/>
      </c>
    </row>
    <row r="26" ht="15" customHeight="1" s="2">
      <c r="B26" s="67" t="inlineStr">
        <is>
          <t>Flanders</t>
        </is>
      </c>
      <c r="C26" s="68" t="n">
        <v>12</v>
      </c>
      <c r="D26" s="69" t="n">
        <v>12</v>
      </c>
      <c r="E26" s="69" t="n">
        <v>3.0417</v>
      </c>
      <c r="F26" s="70" t="n">
        <v>-0.023</v>
      </c>
      <c r="G26" s="70" t="n">
        <v>0.1364</v>
      </c>
      <c r="H26" s="70" t="n">
        <v>-0.095</v>
      </c>
      <c r="I26" s="71">
        <f>E26+F26+G26+H26</f>
        <v/>
      </c>
      <c r="J26" s="70">
        <f>I26-E26</f>
        <v/>
      </c>
    </row>
    <row r="27" ht="15" customHeight="1" s="2">
      <c r="B27" s="67" t="inlineStr">
        <is>
          <t>Delaney</t>
        </is>
      </c>
      <c r="C27" s="68" t="n">
        <v>6</v>
      </c>
      <c r="D27" s="69" t="n">
        <v>6</v>
      </c>
      <c r="E27" s="69" t="n">
        <v>3.0833</v>
      </c>
      <c r="F27" s="70" t="n">
        <v>0.08939999999999999</v>
      </c>
      <c r="G27" s="70" t="n">
        <v>-0.1141</v>
      </c>
      <c r="H27" s="70" t="n">
        <v>-0.07539999999999999</v>
      </c>
      <c r="I27" s="71">
        <f>E27+F27+G27+H27</f>
        <v/>
      </c>
      <c r="J27" s="70">
        <f>I27-E27</f>
        <v/>
      </c>
    </row>
    <row r="28" ht="15" customHeight="1" s="2">
      <c r="B28" s="67" t="inlineStr">
        <is>
          <t>Fogan</t>
        </is>
      </c>
      <c r="C28" s="68" t="n">
        <v>11</v>
      </c>
      <c r="D28" s="69" t="n">
        <v>11</v>
      </c>
      <c r="E28" s="69" t="n">
        <v>2.7273</v>
      </c>
      <c r="F28" s="70" t="n">
        <v>-0.0165</v>
      </c>
      <c r="G28" s="70" t="n">
        <v>-0.0094</v>
      </c>
      <c r="H28" s="70" t="n">
        <v>0.1883</v>
      </c>
      <c r="I28" s="71">
        <f>E28+F28+G28+H28</f>
        <v/>
      </c>
      <c r="J28" s="70">
        <f>I28-E28</f>
        <v/>
      </c>
    </row>
    <row r="29" ht="15" customHeight="1" s="2">
      <c r="B29" s="67" t="inlineStr">
        <is>
          <t>Buss</t>
        </is>
      </c>
      <c r="C29" s="68" t="n">
        <v>5</v>
      </c>
      <c r="D29" s="69" t="n">
        <v>5</v>
      </c>
      <c r="E29" s="69" t="n">
        <v>2.6</v>
      </c>
      <c r="F29" s="70" t="n">
        <v>0.2104</v>
      </c>
      <c r="G29" s="70" t="n">
        <v>0.0596</v>
      </c>
      <c r="H29" s="70" t="n">
        <v>0</v>
      </c>
      <c r="I29" s="71">
        <f>E29+F29+G29+H29</f>
        <v/>
      </c>
      <c r="J29" s="70">
        <f>I29-E29</f>
        <v/>
      </c>
    </row>
    <row r="30" ht="15" customHeight="1" s="2">
      <c r="B30" s="67" t="inlineStr">
        <is>
          <t>Mangold</t>
        </is>
      </c>
      <c r="C30" s="68" t="n">
        <v>11</v>
      </c>
      <c r="D30" s="69" t="n">
        <v>10.69</v>
      </c>
      <c r="E30" s="69" t="n">
        <v>2.6655</v>
      </c>
      <c r="F30" s="70" t="n">
        <v>0.06</v>
      </c>
      <c r="G30" s="70" t="n">
        <v>-0.0929</v>
      </c>
      <c r="H30" s="70" t="n">
        <v>0.0021</v>
      </c>
      <c r="I30" s="71">
        <f>E30+F30+G30+H30</f>
        <v/>
      </c>
      <c r="J30" s="70">
        <f>I30-E30</f>
        <v/>
      </c>
    </row>
    <row r="31" ht="15" customHeight="1" s="2">
      <c r="B31" s="67" t="inlineStr">
        <is>
          <t>Shively</t>
        </is>
      </c>
      <c r="C31" s="68" t="n">
        <v>11</v>
      </c>
      <c r="D31" s="69" t="n">
        <v>11</v>
      </c>
      <c r="E31" s="69" t="n">
        <v>2.4545</v>
      </c>
      <c r="F31" s="70" t="n">
        <v>-0.0164</v>
      </c>
      <c r="G31" s="70" t="n">
        <v>0.008500000000000001</v>
      </c>
      <c r="H31" s="70" t="n">
        <v>0.052</v>
      </c>
      <c r="I31" s="71">
        <f>E31+F31+G31+H31</f>
        <v/>
      </c>
      <c r="J31" s="70">
        <f>I31-E31</f>
        <v/>
      </c>
    </row>
    <row r="32" ht="15" customHeight="1" s="2">
      <c r="B32" s="67" t="inlineStr">
        <is>
          <t>Connors</t>
        </is>
      </c>
      <c r="C32" s="68" t="n">
        <v>10</v>
      </c>
      <c r="D32" s="69" t="n">
        <v>10</v>
      </c>
      <c r="E32" s="69" t="n">
        <v>2.2</v>
      </c>
      <c r="F32" s="70" t="n">
        <v>-0.0524</v>
      </c>
      <c r="G32" s="70" t="n">
        <v>-0.334</v>
      </c>
      <c r="H32" s="70" t="n">
        <v>-0.0377</v>
      </c>
      <c r="I32" s="71">
        <f>E32+F32+G32+H32</f>
        <v/>
      </c>
      <c r="J32" s="70">
        <f>I32-E32</f>
        <v/>
      </c>
    </row>
    <row r="33" ht="15" customHeight="1" s="2"/>
    <row r="34" ht="15" customHeight="1" s="2">
      <c r="B34" s="72" t="inlineStr">
        <is>
          <t>Belts (through FBC12)</t>
        </is>
      </c>
    </row>
    <row r="35" ht="15" customHeight="1" s="2">
      <c r="B35" s="73" t="inlineStr">
        <is>
          <t>🐉 DragonSlayer</t>
        </is>
      </c>
      <c r="C35" s="74" t="inlineStr">
        <is>
          <t>McInerney</t>
        </is>
      </c>
      <c r="D35" s="11" t="inlineStr">
        <is>
          <t>Toughest opponents (largest opponent-skill boost)</t>
        </is>
      </c>
    </row>
    <row r="36" ht="15" customHeight="1" s="2">
      <c r="B36" s="73" t="inlineStr">
        <is>
          <t>🥄 Silver Spoon</t>
        </is>
      </c>
      <c r="C36" s="74" t="inlineStr">
        <is>
          <t>Delneky</t>
        </is>
      </c>
      <c r="D36" s="11" t="inlineStr">
        <is>
          <t>Best partners — born on third base, thinks he hit a triple</t>
        </is>
      </c>
    </row>
    <row r="37" ht="15" customHeight="1" s="2">
      <c r="B37" s="73" t="inlineStr">
        <is>
          <t>🪨 Sisyphus</t>
        </is>
      </c>
      <c r="C37" s="74" t="inlineStr">
        <is>
          <t>Buss</t>
        </is>
      </c>
      <c r="D37" s="11" t="inlineStr">
        <is>
          <t>Worst partners — pushing a rock uphill for eternity</t>
        </is>
      </c>
    </row>
    <row r="38" ht="15" customHeight="1" s="2">
      <c r="B38" s="73" t="inlineStr">
        <is>
          <t>🎒 Billy Madison</t>
        </is>
      </c>
      <c r="C38" s="74" t="inlineStr">
        <is>
          <t>Norat</t>
        </is>
      </c>
      <c r="D38" s="11" t="inlineStr">
        <is>
          <t>Easiest opponents — beating up on gradeschoolers</t>
        </is>
      </c>
    </row>
    <row r="39" ht="15" customHeight="1" s="2"/>
    <row r="40" ht="15" customHeight="1" s="2"/>
    <row r="41" ht="15" customHeight="1" s="2"/>
  </sheetData>
  <mergeCells count="9">
    <mergeCell ref="C4:J4"/>
    <mergeCell ref="C3:J3"/>
    <mergeCell ref="C7:J7"/>
    <mergeCell ref="D36:J36"/>
    <mergeCell ref="D35:J35"/>
    <mergeCell ref="C6:J6"/>
    <mergeCell ref="C5:J5"/>
    <mergeCell ref="D37:J37"/>
    <mergeCell ref="D38:J38"/>
  </mergeCells>
  <conditionalFormatting sqref="F10:F32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2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10:H32"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2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J10:J32"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10" defaultColWidth="8.6640625" defaultRowHeight="15"/>
  <cols>
    <col width="13" customWidth="1" style="2" min="2" max="2"/>
    <col width="9" customWidth="1" style="2" min="3" max="4"/>
    <col width="8" customWidth="1" style="2" min="5" max="5"/>
    <col width="11" customWidth="1" style="2" min="6" max="6"/>
    <col width="13" customWidth="1" style="2" min="7" max="7"/>
  </cols>
  <sheetData>
    <row r="1" ht="21.75" customHeight="1" s="2">
      <c r="B1" s="75" t="inlineStr">
        <is>
          <t>Sandbagger Index</t>
        </is>
      </c>
    </row>
    <row r="2" ht="25.5" customHeight="1" s="2">
      <c r="B2" s="25" t="inlineStr">
        <is>
          <t>Who plays above their card. Sandbag Score = (Win% − 50%) × Avg Handicap. High = wins well despite a high handicap; negative = struggles despite getting strokes. Computed from Archives; min 10 matches.</t>
        </is>
      </c>
    </row>
    <row r="4" ht="15" customHeight="1" s="2">
      <c r="B4" s="42" t="inlineStr">
        <is>
          <t>Player</t>
        </is>
      </c>
      <c r="C4" s="42" t="inlineStr">
        <is>
          <t>Avg Hcp</t>
        </is>
      </c>
      <c r="D4" s="42" t="inlineStr">
        <is>
          <t>Matches</t>
        </is>
      </c>
      <c r="E4" s="42" t="inlineStr">
        <is>
          <t>Win %</t>
        </is>
      </c>
      <c r="F4" s="42" t="inlineStr">
        <is>
          <t>Beats Card</t>
        </is>
      </c>
      <c r="G4" s="42" t="inlineStr">
        <is>
          <t>Sandbag Score</t>
        </is>
      </c>
    </row>
    <row r="5" ht="15" customHeight="1" s="2">
      <c r="B5" s="43" t="inlineStr">
        <is>
          <t>Delneky</t>
        </is>
      </c>
      <c r="C5" s="76" t="n">
        <v>17.8</v>
      </c>
      <c r="D5" s="52" t="n">
        <v>30</v>
      </c>
      <c r="E5" s="53" t="n">
        <v>0.6167</v>
      </c>
      <c r="F5" s="77" t="n">
        <v>0.1167</v>
      </c>
      <c r="G5" s="54" t="n">
        <v>2.08</v>
      </c>
    </row>
    <row r="6" ht="15" customHeight="1" s="2">
      <c r="B6" s="46" t="inlineStr">
        <is>
          <t>Forster</t>
        </is>
      </c>
      <c r="C6" s="78" t="n">
        <v>17.6</v>
      </c>
      <c r="D6" s="55" t="n">
        <v>65</v>
      </c>
      <c r="E6" s="56" t="n">
        <v>0.5769</v>
      </c>
      <c r="F6" s="79" t="n">
        <v>0.0769</v>
      </c>
      <c r="G6" s="57" t="n">
        <v>1.35</v>
      </c>
    </row>
    <row r="7" ht="15" customHeight="1" s="2">
      <c r="B7" s="43" t="inlineStr">
        <is>
          <t>Ferrin</t>
        </is>
      </c>
      <c r="C7" s="76" t="n">
        <v>15.9</v>
      </c>
      <c r="D7" s="52" t="n">
        <v>71</v>
      </c>
      <c r="E7" s="53" t="n">
        <v>0.5845</v>
      </c>
      <c r="F7" s="77" t="n">
        <v>0.08450000000000001</v>
      </c>
      <c r="G7" s="54" t="n">
        <v>1.34</v>
      </c>
    </row>
    <row r="8" ht="15" customHeight="1" s="2">
      <c r="B8" s="46" t="inlineStr">
        <is>
          <t>Gray</t>
        </is>
      </c>
      <c r="C8" s="78" t="n">
        <v>8.4</v>
      </c>
      <c r="D8" s="55" t="n">
        <v>42</v>
      </c>
      <c r="E8" s="56" t="n">
        <v>0.6548</v>
      </c>
      <c r="F8" s="79" t="n">
        <v>0.1548</v>
      </c>
      <c r="G8" s="57" t="n">
        <v>1.3</v>
      </c>
    </row>
    <row r="9" ht="15" customHeight="1" s="2">
      <c r="B9" s="43" t="inlineStr">
        <is>
          <t>Connolly</t>
        </is>
      </c>
      <c r="C9" s="76" t="n">
        <v>10.6</v>
      </c>
      <c r="D9" s="52" t="n">
        <v>71</v>
      </c>
      <c r="E9" s="53" t="n">
        <v>0.6127</v>
      </c>
      <c r="F9" s="77" t="n">
        <v>0.1127</v>
      </c>
      <c r="G9" s="54" t="n">
        <v>1.19</v>
      </c>
    </row>
    <row r="10" ht="15" customHeight="1" s="2">
      <c r="B10" s="46" t="inlineStr">
        <is>
          <t>Jackson</t>
        </is>
      </c>
      <c r="C10" s="78" t="n">
        <v>11</v>
      </c>
      <c r="D10" s="55" t="n">
        <v>71</v>
      </c>
      <c r="E10" s="56" t="n">
        <v>0.6056</v>
      </c>
      <c r="F10" s="79" t="n">
        <v>0.1056</v>
      </c>
      <c r="G10" s="57" t="n">
        <v>1.17</v>
      </c>
    </row>
    <row r="11" ht="15" customHeight="1" s="2">
      <c r="B11" s="43" t="inlineStr">
        <is>
          <t>Perkins</t>
        </is>
      </c>
      <c r="C11" s="76" t="n">
        <v>8</v>
      </c>
      <c r="D11" s="52" t="n">
        <v>25</v>
      </c>
      <c r="E11" s="53" t="n">
        <v>0.62</v>
      </c>
      <c r="F11" s="77" t="n">
        <v>0.12</v>
      </c>
      <c r="G11" s="54" t="n">
        <v>0.95</v>
      </c>
    </row>
    <row r="12" ht="15" customHeight="1" s="2">
      <c r="B12" s="46" t="inlineStr">
        <is>
          <t>Grise</t>
        </is>
      </c>
      <c r="C12" s="78" t="n">
        <v>12.6</v>
      </c>
      <c r="D12" s="55" t="n">
        <v>71</v>
      </c>
      <c r="E12" s="56" t="n">
        <v>0.5493</v>
      </c>
      <c r="F12" s="79" t="n">
        <v>0.0493</v>
      </c>
      <c r="G12" s="57" t="n">
        <v>0.62</v>
      </c>
    </row>
    <row r="13" ht="15" customHeight="1" s="2">
      <c r="B13" s="43" t="inlineStr">
        <is>
          <t>Lynch</t>
        </is>
      </c>
      <c r="C13" s="76" t="n">
        <v>12.7</v>
      </c>
      <c r="D13" s="52" t="n">
        <v>71</v>
      </c>
      <c r="E13" s="53" t="n">
        <v>0.5423</v>
      </c>
      <c r="F13" s="77" t="n">
        <v>0.0423</v>
      </c>
      <c r="G13" s="54" t="n">
        <v>0.54</v>
      </c>
    </row>
    <row r="14" ht="15" customHeight="1" s="2">
      <c r="B14" s="46" t="inlineStr">
        <is>
          <t>R. Connolly</t>
        </is>
      </c>
      <c r="C14" s="78" t="n">
        <v>13.3</v>
      </c>
      <c r="D14" s="55" t="n">
        <v>13</v>
      </c>
      <c r="E14" s="56" t="n">
        <v>0.5385</v>
      </c>
      <c r="F14" s="79" t="n">
        <v>0.0385</v>
      </c>
      <c r="G14" s="57" t="n">
        <v>0.51</v>
      </c>
    </row>
    <row r="15" ht="15" customHeight="1" s="2">
      <c r="B15" s="43" t="inlineStr">
        <is>
          <t>Norat</t>
        </is>
      </c>
      <c r="C15" s="76" t="n">
        <v>17.9</v>
      </c>
      <c r="D15" s="52" t="n">
        <v>36</v>
      </c>
      <c r="E15" s="53" t="n">
        <v>0.5278</v>
      </c>
      <c r="F15" s="77" t="n">
        <v>0.0278</v>
      </c>
      <c r="G15" s="54" t="n">
        <v>0.5</v>
      </c>
    </row>
    <row r="16" ht="15" customHeight="1" s="2">
      <c r="B16" s="46" t="inlineStr">
        <is>
          <t>Poirier</t>
        </is>
      </c>
      <c r="C16" s="78" t="n">
        <v>7</v>
      </c>
      <c r="D16" s="55" t="n">
        <v>43</v>
      </c>
      <c r="E16" s="56" t="n">
        <v>0.5233</v>
      </c>
      <c r="F16" s="79" t="n">
        <v>0.0233</v>
      </c>
      <c r="G16" s="57" t="n">
        <v>0.16</v>
      </c>
    </row>
    <row r="17" ht="15" customHeight="1" s="2">
      <c r="B17" s="43" t="inlineStr">
        <is>
          <t>Welker</t>
        </is>
      </c>
      <c r="C17" s="76" t="n">
        <v>11.6</v>
      </c>
      <c r="D17" s="52" t="n">
        <v>49</v>
      </c>
      <c r="E17" s="53" t="n">
        <v>0.5102</v>
      </c>
      <c r="F17" s="77" t="n">
        <v>0.0102</v>
      </c>
      <c r="G17" s="54" t="n">
        <v>0.12</v>
      </c>
    </row>
    <row r="18" ht="15" customHeight="1" s="2">
      <c r="B18" s="46" t="inlineStr">
        <is>
          <t>McInerney</t>
        </is>
      </c>
      <c r="C18" s="78" t="n">
        <v>7.2</v>
      </c>
      <c r="D18" s="55" t="n">
        <v>48</v>
      </c>
      <c r="E18" s="56" t="n">
        <v>0.5</v>
      </c>
      <c r="F18" s="79" t="n">
        <v>0</v>
      </c>
      <c r="G18" s="57" t="n">
        <v>0</v>
      </c>
    </row>
    <row r="19" ht="15" customHeight="1" s="2">
      <c r="B19" s="43" t="inlineStr">
        <is>
          <t>Flanders</t>
        </is>
      </c>
      <c r="C19" s="76" t="n">
        <v>7.9</v>
      </c>
      <c r="D19" s="52" t="n">
        <v>71</v>
      </c>
      <c r="E19" s="53" t="n">
        <v>0.4648</v>
      </c>
      <c r="F19" s="77" t="n">
        <v>-0.0352</v>
      </c>
      <c r="G19" s="54" t="n">
        <v>-0.28</v>
      </c>
    </row>
    <row r="20" ht="15" customHeight="1" s="2">
      <c r="B20" s="46" t="inlineStr">
        <is>
          <t>Zimmer</t>
        </is>
      </c>
      <c r="C20" s="78" t="n">
        <v>10.8</v>
      </c>
      <c r="D20" s="55" t="n">
        <v>61</v>
      </c>
      <c r="E20" s="56" t="n">
        <v>0.4672</v>
      </c>
      <c r="F20" s="79" t="n">
        <v>-0.0328</v>
      </c>
      <c r="G20" s="57" t="n">
        <v>-0.36</v>
      </c>
    </row>
    <row r="21" ht="15" customHeight="1" s="2">
      <c r="B21" s="43" t="inlineStr">
        <is>
          <t>Hilts</t>
        </is>
      </c>
      <c r="C21" s="76" t="n">
        <v>18.1</v>
      </c>
      <c r="D21" s="52" t="n">
        <v>64</v>
      </c>
      <c r="E21" s="53" t="n">
        <v>0.4766</v>
      </c>
      <c r="F21" s="77" t="n">
        <v>-0.0234</v>
      </c>
      <c r="G21" s="54" t="n">
        <v>-0.42</v>
      </c>
    </row>
    <row r="22" ht="15" customHeight="1" s="2">
      <c r="B22" s="46" t="inlineStr">
        <is>
          <t>Delaney</t>
        </is>
      </c>
      <c r="C22" s="78" t="n">
        <v>11.6</v>
      </c>
      <c r="D22" s="55" t="n">
        <v>37</v>
      </c>
      <c r="E22" s="56" t="n">
        <v>0.4595</v>
      </c>
      <c r="F22" s="79" t="n">
        <v>-0.0405</v>
      </c>
      <c r="G22" s="57" t="n">
        <v>-0.47</v>
      </c>
    </row>
    <row r="23" ht="15" customHeight="1" s="2">
      <c r="B23" s="43" t="inlineStr">
        <is>
          <t>Mangold</t>
        </is>
      </c>
      <c r="C23" s="76" t="n">
        <v>15.3</v>
      </c>
      <c r="D23" s="52" t="n">
        <v>64</v>
      </c>
      <c r="E23" s="53" t="n">
        <v>0.4297</v>
      </c>
      <c r="F23" s="77" t="n">
        <v>-0.0703</v>
      </c>
      <c r="G23" s="54" t="n">
        <v>-1.07</v>
      </c>
    </row>
    <row r="24" ht="15" customHeight="1" s="2">
      <c r="B24" s="46" t="inlineStr">
        <is>
          <t>Cole</t>
        </is>
      </c>
      <c r="C24" s="78" t="n">
        <v>19.9</v>
      </c>
      <c r="D24" s="55" t="n">
        <v>59</v>
      </c>
      <c r="E24" s="56" t="n">
        <v>0.4407</v>
      </c>
      <c r="F24" s="79" t="n">
        <v>-0.0593</v>
      </c>
      <c r="G24" s="57" t="n">
        <v>-1.18</v>
      </c>
    </row>
    <row r="25" ht="15" customHeight="1" s="2">
      <c r="B25" s="43" t="inlineStr">
        <is>
          <t>Deoteris</t>
        </is>
      </c>
      <c r="C25" s="76" t="n">
        <v>12.4</v>
      </c>
      <c r="D25" s="52" t="n">
        <v>18</v>
      </c>
      <c r="E25" s="53" t="n">
        <v>0.3889</v>
      </c>
      <c r="F25" s="77" t="n">
        <v>-0.1111</v>
      </c>
      <c r="G25" s="54" t="n">
        <v>-1.38</v>
      </c>
    </row>
    <row r="26" ht="15" customHeight="1" s="2">
      <c r="B26" s="46" t="inlineStr">
        <is>
          <t>Shively</t>
        </is>
      </c>
      <c r="C26" s="78" t="n">
        <v>17.2</v>
      </c>
      <c r="D26" s="55" t="n">
        <v>65</v>
      </c>
      <c r="E26" s="56" t="n">
        <v>0.4</v>
      </c>
      <c r="F26" s="79" t="n">
        <v>-0.1</v>
      </c>
      <c r="G26" s="57" t="n">
        <v>-1.72</v>
      </c>
    </row>
    <row r="27" ht="15" customHeight="1" s="2">
      <c r="B27" s="43" t="inlineStr">
        <is>
          <t>Fogan</t>
        </is>
      </c>
      <c r="C27" s="76" t="n">
        <v>22.9</v>
      </c>
      <c r="D27" s="52" t="n">
        <v>66</v>
      </c>
      <c r="E27" s="53" t="n">
        <v>0.3939</v>
      </c>
      <c r="F27" s="77" t="n">
        <v>-0.1061</v>
      </c>
      <c r="G27" s="54" t="n">
        <v>-2.43</v>
      </c>
    </row>
    <row r="28" ht="15" customHeight="1" s="2">
      <c r="B28" s="46" t="inlineStr">
        <is>
          <t>Piegari</t>
        </is>
      </c>
      <c r="C28" s="78" t="n">
        <v>9.6</v>
      </c>
      <c r="D28" s="55" t="n">
        <v>13</v>
      </c>
      <c r="E28" s="56" t="n">
        <v>0.2308</v>
      </c>
      <c r="F28" s="79" t="n">
        <v>-0.2692</v>
      </c>
      <c r="G28" s="57" t="n">
        <v>-2.57</v>
      </c>
    </row>
    <row r="29" ht="15" customHeight="1" s="2">
      <c r="B29" s="43" t="inlineStr">
        <is>
          <t>Connors</t>
        </is>
      </c>
      <c r="C29" s="76" t="n">
        <v>17</v>
      </c>
      <c r="D29" s="52" t="n">
        <v>59</v>
      </c>
      <c r="E29" s="53" t="n">
        <v>0.3475</v>
      </c>
      <c r="F29" s="77" t="n">
        <v>-0.1525</v>
      </c>
      <c r="G29" s="54" t="n">
        <v>-2.59</v>
      </c>
    </row>
    <row r="30" ht="15" customHeight="1" s="2">
      <c r="B30" s="46" t="inlineStr">
        <is>
          <t>Hickerson</t>
        </is>
      </c>
      <c r="C30" s="78" t="n">
        <v>20</v>
      </c>
      <c r="D30" s="55" t="n">
        <v>21</v>
      </c>
      <c r="E30" s="56" t="n">
        <v>0.3571</v>
      </c>
      <c r="F30" s="79" t="n">
        <v>-0.1429</v>
      </c>
      <c r="G30" s="57" t="n">
        <v>-2.86</v>
      </c>
    </row>
  </sheetData>
  <mergeCells count="1">
    <mergeCell ref="B2:G2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F5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10" defaultColWidth="8.6640625" defaultRowHeight="15"/>
  <cols>
    <col width="22" customWidth="1" style="2" min="2" max="2"/>
    <col width="9" customWidth="1" style="2" min="3" max="3"/>
    <col width="12" customWidth="1" style="2" min="4" max="4"/>
    <col width="10" customWidth="1" style="2" min="5" max="5"/>
    <col width="11" customWidth="1" style="2" min="6" max="6"/>
  </cols>
  <sheetData>
    <row r="1" ht="21.75" customHeight="1" s="2">
      <c r="B1" s="75" t="inlineStr">
        <is>
          <t>Chemistry Index</t>
        </is>
      </c>
    </row>
    <row r="2" ht="25.5" customHeight="1" s="2">
      <c r="B2" s="25" t="inlineStr">
        <is>
          <t>Doubles pairings that beat (or fall short of) their combined talent. Chemistry = tandem win% − the average of the two partners’ individual career win%. Min 4 matches together.</t>
        </is>
      </c>
    </row>
    <row r="4" ht="15" customHeight="1" s="2">
      <c r="B4" s="42" t="inlineStr">
        <is>
          <t>Tandem</t>
        </is>
      </c>
      <c r="C4" s="42" t="inlineStr">
        <is>
          <t>Matches</t>
        </is>
      </c>
      <c r="D4" s="42" t="inlineStr">
        <is>
          <t>Tandem Win %</t>
        </is>
      </c>
      <c r="E4" s="42" t="inlineStr">
        <is>
          <t>Expected</t>
        </is>
      </c>
      <c r="F4" s="42" t="inlineStr">
        <is>
          <t>Chemistry</t>
        </is>
      </c>
    </row>
    <row r="5" ht="15" customHeight="1" s="2">
      <c r="B5" s="43" t="inlineStr">
        <is>
          <t>Ferrin / Flanders</t>
        </is>
      </c>
      <c r="C5" s="52" t="n">
        <v>8</v>
      </c>
      <c r="D5" s="53" t="n">
        <v>0.875</v>
      </c>
      <c r="E5" s="53" t="n">
        <v>0.5246</v>
      </c>
      <c r="F5" s="77" t="n">
        <v>0.3504</v>
      </c>
    </row>
    <row r="6" ht="15" customHeight="1" s="2">
      <c r="B6" s="46" t="inlineStr">
        <is>
          <t>Delaney / Perkins</t>
        </is>
      </c>
      <c r="C6" s="55" t="n">
        <v>4</v>
      </c>
      <c r="D6" s="56" t="n">
        <v>0.875</v>
      </c>
      <c r="E6" s="56" t="n">
        <v>0.5397</v>
      </c>
      <c r="F6" s="79" t="n">
        <v>0.3353</v>
      </c>
    </row>
    <row r="7" ht="15" customHeight="1" s="2">
      <c r="B7" s="43" t="inlineStr">
        <is>
          <t>Connolly / Jackson</t>
        </is>
      </c>
      <c r="C7" s="52" t="n">
        <v>4</v>
      </c>
      <c r="D7" s="53" t="n">
        <v>0.875</v>
      </c>
      <c r="E7" s="53" t="n">
        <v>0.6092</v>
      </c>
      <c r="F7" s="77" t="n">
        <v>0.2658</v>
      </c>
    </row>
    <row r="8" ht="15" customHeight="1" s="2">
      <c r="B8" s="46" t="inlineStr">
        <is>
          <t>Connolly / Forster</t>
        </is>
      </c>
      <c r="C8" s="55" t="n">
        <v>6</v>
      </c>
      <c r="D8" s="56" t="n">
        <v>0.8333</v>
      </c>
      <c r="E8" s="56" t="n">
        <v>0.5948</v>
      </c>
      <c r="F8" s="79" t="n">
        <v>0.2385</v>
      </c>
    </row>
    <row r="9" ht="15" customHeight="1" s="2">
      <c r="B9" s="43" t="inlineStr">
        <is>
          <t>Buss / Shively</t>
        </is>
      </c>
      <c r="C9" s="52" t="n">
        <v>4</v>
      </c>
      <c r="D9" s="53" t="n">
        <v>0.625</v>
      </c>
      <c r="E9" s="53" t="n">
        <v>0.4241</v>
      </c>
      <c r="F9" s="77" t="n">
        <v>0.2009</v>
      </c>
    </row>
    <row r="10" ht="15" customHeight="1" s="2">
      <c r="B10" s="46" t="inlineStr">
        <is>
          <t>Connors / Welker</t>
        </is>
      </c>
      <c r="C10" s="55" t="n">
        <v>4</v>
      </c>
      <c r="D10" s="56" t="n">
        <v>0.625</v>
      </c>
      <c r="E10" s="56" t="n">
        <v>0.4288</v>
      </c>
      <c r="F10" s="79" t="n">
        <v>0.1962</v>
      </c>
    </row>
    <row r="11" ht="15" customHeight="1" s="2">
      <c r="B11" s="43" t="inlineStr">
        <is>
          <t>Delaney / Mangold</t>
        </is>
      </c>
      <c r="C11" s="52" t="n">
        <v>4</v>
      </c>
      <c r="D11" s="53" t="n">
        <v>0.625</v>
      </c>
      <c r="E11" s="53" t="n">
        <v>0.4446</v>
      </c>
      <c r="F11" s="77" t="n">
        <v>0.1804</v>
      </c>
    </row>
    <row r="12" ht="15" customHeight="1" s="2">
      <c r="B12" s="46" t="inlineStr">
        <is>
          <t>Connolly / R. Connolly</t>
        </is>
      </c>
      <c r="C12" s="55" t="n">
        <v>4</v>
      </c>
      <c r="D12" s="56" t="n">
        <v>0.75</v>
      </c>
      <c r="E12" s="56" t="n">
        <v>0.5756</v>
      </c>
      <c r="F12" s="79" t="n">
        <v>0.1744</v>
      </c>
    </row>
    <row r="13" ht="15" customHeight="1" s="2">
      <c r="B13" s="43" t="inlineStr">
        <is>
          <t>Grise / Jackson</t>
        </is>
      </c>
      <c r="C13" s="52" t="n">
        <v>10</v>
      </c>
      <c r="D13" s="53" t="n">
        <v>0.75</v>
      </c>
      <c r="E13" s="53" t="n">
        <v>0.5775</v>
      </c>
      <c r="F13" s="77" t="n">
        <v>0.1725</v>
      </c>
    </row>
    <row r="14" ht="15" customHeight="1" s="2">
      <c r="B14" s="46" t="inlineStr">
        <is>
          <t>Hilts / Lynch</t>
        </is>
      </c>
      <c r="C14" s="55" t="n">
        <v>11</v>
      </c>
      <c r="D14" s="56" t="n">
        <v>0.6818</v>
      </c>
      <c r="E14" s="56" t="n">
        <v>0.5094</v>
      </c>
      <c r="F14" s="79" t="n">
        <v>0.1724</v>
      </c>
    </row>
    <row r="15" ht="15" customHeight="1" s="2">
      <c r="B15" s="43" t="inlineStr">
        <is>
          <t>Grise / Hickerson</t>
        </is>
      </c>
      <c r="C15" s="52" t="n">
        <v>4</v>
      </c>
      <c r="D15" s="53" t="n">
        <v>0.625</v>
      </c>
      <c r="E15" s="53" t="n">
        <v>0.4532</v>
      </c>
      <c r="F15" s="77" t="n">
        <v>0.1718</v>
      </c>
    </row>
    <row r="16" ht="15" customHeight="1" s="2">
      <c r="B16" s="46" t="inlineStr">
        <is>
          <t>Connolly / Shively</t>
        </is>
      </c>
      <c r="C16" s="55" t="n">
        <v>6</v>
      </c>
      <c r="D16" s="56" t="n">
        <v>0.6667</v>
      </c>
      <c r="E16" s="56" t="n">
        <v>0.5063</v>
      </c>
      <c r="F16" s="79" t="n">
        <v>0.1603</v>
      </c>
    </row>
    <row r="17" ht="15" customHeight="1" s="2">
      <c r="B17" s="43" t="inlineStr">
        <is>
          <t>Mangold / Welker</t>
        </is>
      </c>
      <c r="C17" s="52" t="n">
        <v>4</v>
      </c>
      <c r="D17" s="53" t="n">
        <v>0.625</v>
      </c>
      <c r="E17" s="53" t="n">
        <v>0.4699</v>
      </c>
      <c r="F17" s="77" t="n">
        <v>0.1551</v>
      </c>
    </row>
    <row r="18" ht="15" customHeight="1" s="2">
      <c r="B18" s="46" t="inlineStr">
        <is>
          <t>Cole / McInerney</t>
        </is>
      </c>
      <c r="C18" s="55" t="n">
        <v>4</v>
      </c>
      <c r="D18" s="56" t="n">
        <v>0.625</v>
      </c>
      <c r="E18" s="56" t="n">
        <v>0.4703</v>
      </c>
      <c r="F18" s="79" t="n">
        <v>0.1547</v>
      </c>
    </row>
    <row r="19" ht="15" customHeight="1" s="2">
      <c r="B19" s="43" t="inlineStr">
        <is>
          <t>Connolly / Connors</t>
        </is>
      </c>
      <c r="C19" s="52" t="n">
        <v>4</v>
      </c>
      <c r="D19" s="53" t="n">
        <v>0.625</v>
      </c>
      <c r="E19" s="53" t="n">
        <v>0.4801</v>
      </c>
      <c r="F19" s="77" t="n">
        <v>0.1449</v>
      </c>
    </row>
    <row r="20" ht="15" customHeight="1" s="2">
      <c r="B20" s="46" t="inlineStr">
        <is>
          <t>Deoteris / Ferrin</t>
        </is>
      </c>
      <c r="C20" s="55" t="n">
        <v>4</v>
      </c>
      <c r="D20" s="56" t="n">
        <v>0.625</v>
      </c>
      <c r="E20" s="56" t="n">
        <v>0.4867</v>
      </c>
      <c r="F20" s="79" t="n">
        <v>0.1383</v>
      </c>
    </row>
    <row r="21" ht="15" customHeight="1" s="2">
      <c r="B21" s="43" t="inlineStr">
        <is>
          <t>Flanders / Poirier</t>
        </is>
      </c>
      <c r="C21" s="52" t="n">
        <v>4</v>
      </c>
      <c r="D21" s="53" t="n">
        <v>0.625</v>
      </c>
      <c r="E21" s="53" t="n">
        <v>0.494</v>
      </c>
      <c r="F21" s="77" t="n">
        <v>0.131</v>
      </c>
    </row>
    <row r="22" ht="15" customHeight="1" s="2">
      <c r="B22" s="46" t="inlineStr">
        <is>
          <t>Delneky / Fogan</t>
        </is>
      </c>
      <c r="C22" s="55" t="n">
        <v>4</v>
      </c>
      <c r="D22" s="56" t="n">
        <v>0.625</v>
      </c>
      <c r="E22" s="56" t="n">
        <v>0.5053</v>
      </c>
      <c r="F22" s="79" t="n">
        <v>0.1197</v>
      </c>
    </row>
    <row r="23" ht="15" customHeight="1" s="2">
      <c r="B23" s="43" t="inlineStr">
        <is>
          <t>Norat / Welker</t>
        </is>
      </c>
      <c r="C23" s="52" t="n">
        <v>4</v>
      </c>
      <c r="D23" s="53" t="n">
        <v>0.625</v>
      </c>
      <c r="E23" s="53" t="n">
        <v>0.519</v>
      </c>
      <c r="F23" s="77" t="n">
        <v>0.106</v>
      </c>
    </row>
    <row r="24" ht="15" customHeight="1" s="2">
      <c r="B24" s="46" t="inlineStr">
        <is>
          <t>Grise / Poirier</t>
        </is>
      </c>
      <c r="C24" s="55" t="n">
        <v>4</v>
      </c>
      <c r="D24" s="56" t="n">
        <v>0.625</v>
      </c>
      <c r="E24" s="56" t="n">
        <v>0.5363</v>
      </c>
      <c r="F24" s="79" t="n">
        <v>0.0887</v>
      </c>
    </row>
    <row r="25" ht="15" customHeight="1" s="2">
      <c r="B25" s="43" t="inlineStr">
        <is>
          <t>Norat / Zimmer</t>
        </is>
      </c>
      <c r="C25" s="52" t="n">
        <v>6</v>
      </c>
      <c r="D25" s="53" t="n">
        <v>0.5833</v>
      </c>
      <c r="E25" s="53" t="n">
        <v>0.4975</v>
      </c>
      <c r="F25" s="77" t="n">
        <v>0.0858</v>
      </c>
    </row>
    <row r="26" ht="15" customHeight="1" s="2">
      <c r="B26" s="46" t="inlineStr">
        <is>
          <t>Ferrin / Grise</t>
        </is>
      </c>
      <c r="C26" s="55" t="n">
        <v>4</v>
      </c>
      <c r="D26" s="56" t="n">
        <v>0.625</v>
      </c>
      <c r="E26" s="56" t="n">
        <v>0.5669</v>
      </c>
      <c r="F26" s="79" t="n">
        <v>0.0581</v>
      </c>
    </row>
    <row r="27" ht="15" customHeight="1" s="2">
      <c r="B27" s="43" t="inlineStr">
        <is>
          <t>Fogan / Weisberger</t>
        </is>
      </c>
      <c r="C27" s="52" t="n">
        <v>6</v>
      </c>
      <c r="D27" s="53" t="n">
        <v>0.5</v>
      </c>
      <c r="E27" s="53" t="n">
        <v>0.447</v>
      </c>
      <c r="F27" s="77" t="n">
        <v>0.053</v>
      </c>
    </row>
    <row r="28" ht="15" customHeight="1" s="2">
      <c r="B28" s="46" t="inlineStr">
        <is>
          <t>Hickerson / Lynch</t>
        </is>
      </c>
      <c r="C28" s="55" t="n">
        <v>4</v>
      </c>
      <c r="D28" s="56" t="n">
        <v>0.5</v>
      </c>
      <c r="E28" s="56" t="n">
        <v>0.4497</v>
      </c>
      <c r="F28" s="79" t="n">
        <v>0.0503</v>
      </c>
    </row>
    <row r="29" ht="15" customHeight="1" s="2">
      <c r="B29" s="43" t="inlineStr">
        <is>
          <t>Delaney / Hilts</t>
        </is>
      </c>
      <c r="C29" s="52" t="n">
        <v>6</v>
      </c>
      <c r="D29" s="53" t="n">
        <v>0.5</v>
      </c>
      <c r="E29" s="53" t="n">
        <v>0.468</v>
      </c>
      <c r="F29" s="77" t="n">
        <v>0.032</v>
      </c>
    </row>
    <row r="30" ht="15" customHeight="1" s="2">
      <c r="B30" s="46" t="inlineStr">
        <is>
          <t>Connolly / Hilts</t>
        </is>
      </c>
      <c r="C30" s="55" t="n">
        <v>7</v>
      </c>
      <c r="D30" s="56" t="n">
        <v>0.5714</v>
      </c>
      <c r="E30" s="56" t="n">
        <v>0.5446</v>
      </c>
      <c r="F30" s="79" t="n">
        <v>0.0268</v>
      </c>
    </row>
    <row r="31" ht="15" customHeight="1" s="2">
      <c r="B31" s="43" t="inlineStr">
        <is>
          <t>Connors / Jackson</t>
        </is>
      </c>
      <c r="C31" s="52" t="n">
        <v>6</v>
      </c>
      <c r="D31" s="53" t="n">
        <v>0.5</v>
      </c>
      <c r="E31" s="53" t="n">
        <v>0.4765</v>
      </c>
      <c r="F31" s="77" t="n">
        <v>0.0235</v>
      </c>
    </row>
    <row r="32" ht="15" customHeight="1" s="2">
      <c r="B32" s="46" t="inlineStr">
        <is>
          <t>Gray / Zimmer</t>
        </is>
      </c>
      <c r="C32" s="55" t="n">
        <v>6</v>
      </c>
      <c r="D32" s="56" t="n">
        <v>0.5833</v>
      </c>
      <c r="E32" s="56" t="n">
        <v>0.5610000000000001</v>
      </c>
      <c r="F32" s="79" t="n">
        <v>0.0223</v>
      </c>
    </row>
    <row r="33" ht="15" customHeight="1" s="2">
      <c r="B33" s="43" t="inlineStr">
        <is>
          <t>Lynch / Mangold</t>
        </is>
      </c>
      <c r="C33" s="52" t="n">
        <v>4</v>
      </c>
      <c r="D33" s="53" t="n">
        <v>0.5</v>
      </c>
      <c r="E33" s="53" t="n">
        <v>0.486</v>
      </c>
      <c r="F33" s="77" t="n">
        <v>0.014</v>
      </c>
    </row>
    <row r="34" ht="15" customHeight="1" s="2">
      <c r="B34" s="46" t="inlineStr">
        <is>
          <t>Ferrin / Jackson</t>
        </is>
      </c>
      <c r="C34" s="55" t="n">
        <v>15</v>
      </c>
      <c r="D34" s="56" t="n">
        <v>0.6</v>
      </c>
      <c r="E34" s="56" t="n">
        <v>0.5951</v>
      </c>
      <c r="F34" s="79" t="n">
        <v>0.0049</v>
      </c>
    </row>
    <row r="35" ht="15" customHeight="1" s="2">
      <c r="B35" s="43" t="inlineStr">
        <is>
          <t>Hilts / Poirier</t>
        </is>
      </c>
      <c r="C35" s="52" t="n">
        <v>4</v>
      </c>
      <c r="D35" s="53" t="n">
        <v>0.5</v>
      </c>
      <c r="E35" s="53" t="n">
        <v>0.4999</v>
      </c>
      <c r="F35" s="77" t="n">
        <v>0.0001</v>
      </c>
    </row>
    <row r="36" ht="15" customHeight="1" s="2">
      <c r="B36" s="46" t="inlineStr">
        <is>
          <t>Gray / Norat</t>
        </is>
      </c>
      <c r="C36" s="55" t="n">
        <v>6</v>
      </c>
      <c r="D36" s="56" t="n">
        <v>0.5833</v>
      </c>
      <c r="E36" s="56" t="n">
        <v>0.5913</v>
      </c>
      <c r="F36" s="79" t="n">
        <v>-0.007900000000000001</v>
      </c>
    </row>
    <row r="37" ht="15" customHeight="1" s="2">
      <c r="B37" s="43" t="inlineStr">
        <is>
          <t>Cole / Ferrin</t>
        </is>
      </c>
      <c r="C37" s="52" t="n">
        <v>6</v>
      </c>
      <c r="D37" s="53" t="n">
        <v>0.5</v>
      </c>
      <c r="E37" s="53" t="n">
        <v>0.5125999999999999</v>
      </c>
      <c r="F37" s="77" t="n">
        <v>-0.0126</v>
      </c>
    </row>
    <row r="38" ht="15" customHeight="1" s="2">
      <c r="B38" s="46" t="inlineStr">
        <is>
          <t>Connors / Mangold</t>
        </is>
      </c>
      <c r="C38" s="55" t="n">
        <v>4</v>
      </c>
      <c r="D38" s="56" t="n">
        <v>0.375</v>
      </c>
      <c r="E38" s="56" t="n">
        <v>0.3886</v>
      </c>
      <c r="F38" s="79" t="n">
        <v>-0.0136</v>
      </c>
    </row>
    <row r="39" ht="15" customHeight="1" s="2">
      <c r="B39" s="43" t="inlineStr">
        <is>
          <t>Buss / Mangold</t>
        </is>
      </c>
      <c r="C39" s="52" t="n">
        <v>6</v>
      </c>
      <c r="D39" s="53" t="n">
        <v>0.4167</v>
      </c>
      <c r="E39" s="53" t="n">
        <v>0.439</v>
      </c>
      <c r="F39" s="77" t="n">
        <v>-0.0223</v>
      </c>
    </row>
    <row r="40" ht="15" customHeight="1" s="2">
      <c r="B40" s="46" t="inlineStr">
        <is>
          <t>Cole / Jackson</t>
        </is>
      </c>
      <c r="C40" s="55" t="n">
        <v>4</v>
      </c>
      <c r="D40" s="56" t="n">
        <v>0.5</v>
      </c>
      <c r="E40" s="56" t="n">
        <v>0.5232</v>
      </c>
      <c r="F40" s="79" t="n">
        <v>-0.0232</v>
      </c>
    </row>
    <row r="41" ht="15" customHeight="1" s="2">
      <c r="B41" s="43" t="inlineStr">
        <is>
          <t>Macklin / Poirier</t>
        </is>
      </c>
      <c r="C41" s="52" t="n">
        <v>4</v>
      </c>
      <c r="D41" s="53" t="n">
        <v>0.375</v>
      </c>
      <c r="E41" s="53" t="n">
        <v>0.4116</v>
      </c>
      <c r="F41" s="77" t="n">
        <v>-0.0366</v>
      </c>
    </row>
    <row r="42" ht="15" customHeight="1" s="2">
      <c r="B42" s="46" t="inlineStr">
        <is>
          <t>Connolly / Zimmer</t>
        </is>
      </c>
      <c r="C42" s="55" t="n">
        <v>4</v>
      </c>
      <c r="D42" s="56" t="n">
        <v>0.5</v>
      </c>
      <c r="E42" s="56" t="n">
        <v>0.5399</v>
      </c>
      <c r="F42" s="79" t="n">
        <v>-0.0399</v>
      </c>
    </row>
    <row r="43" ht="15" customHeight="1" s="2">
      <c r="B43" s="43" t="inlineStr">
        <is>
          <t>Forster / Norat</t>
        </is>
      </c>
      <c r="C43" s="52" t="n">
        <v>4</v>
      </c>
      <c r="D43" s="53" t="n">
        <v>0.5</v>
      </c>
      <c r="E43" s="53" t="n">
        <v>0.5524</v>
      </c>
      <c r="F43" s="77" t="n">
        <v>-0.0524</v>
      </c>
    </row>
    <row r="44" ht="15" customHeight="1" s="2">
      <c r="B44" s="46" t="inlineStr">
        <is>
          <t>Deoteris / Zimmer</t>
        </is>
      </c>
      <c r="C44" s="55" t="n">
        <v>4</v>
      </c>
      <c r="D44" s="56" t="n">
        <v>0.375</v>
      </c>
      <c r="E44" s="56" t="n">
        <v>0.4281</v>
      </c>
      <c r="F44" s="79" t="n">
        <v>-0.0531</v>
      </c>
    </row>
    <row r="45" ht="15" customHeight="1" s="2">
      <c r="B45" s="43" t="inlineStr">
        <is>
          <t>Flanders / Forster</t>
        </is>
      </c>
      <c r="C45" s="52" t="n">
        <v>12</v>
      </c>
      <c r="D45" s="53" t="n">
        <v>0.4583</v>
      </c>
      <c r="E45" s="53" t="n">
        <v>0.5209</v>
      </c>
      <c r="F45" s="77" t="n">
        <v>-0.0625</v>
      </c>
    </row>
    <row r="46" ht="15" customHeight="1" s="2">
      <c r="B46" s="46" t="inlineStr">
        <is>
          <t>Cole / Lynch</t>
        </is>
      </c>
      <c r="C46" s="55" t="n">
        <v>6</v>
      </c>
      <c r="D46" s="56" t="n">
        <v>0.4167</v>
      </c>
      <c r="E46" s="56" t="n">
        <v>0.4915</v>
      </c>
      <c r="F46" s="79" t="n">
        <v>-0.07480000000000001</v>
      </c>
    </row>
    <row r="47" ht="15" customHeight="1" s="2">
      <c r="B47" s="43" t="inlineStr">
        <is>
          <t>Flanders / Mangold</t>
        </is>
      </c>
      <c r="C47" s="52" t="n">
        <v>6</v>
      </c>
      <c r="D47" s="53" t="n">
        <v>0.3333</v>
      </c>
      <c r="E47" s="53" t="n">
        <v>0.4472</v>
      </c>
      <c r="F47" s="77" t="n">
        <v>-0.1139</v>
      </c>
    </row>
    <row r="48" ht="15" customHeight="1" s="2">
      <c r="B48" s="46" t="inlineStr">
        <is>
          <t>Connolly / Delneky</t>
        </is>
      </c>
      <c r="C48" s="55" t="n">
        <v>4</v>
      </c>
      <c r="D48" s="56" t="n">
        <v>0.5</v>
      </c>
      <c r="E48" s="56" t="n">
        <v>0.6147</v>
      </c>
      <c r="F48" s="79" t="n">
        <v>-0.1147</v>
      </c>
    </row>
    <row r="49" ht="15" customHeight="1" s="2">
      <c r="B49" s="43" t="inlineStr">
        <is>
          <t>McInerney / Shively</t>
        </is>
      </c>
      <c r="C49" s="52" t="n">
        <v>6</v>
      </c>
      <c r="D49" s="53" t="n">
        <v>0.3333</v>
      </c>
      <c r="E49" s="53" t="n">
        <v>0.45</v>
      </c>
      <c r="F49" s="77" t="n">
        <v>-0.1167</v>
      </c>
    </row>
    <row r="50" ht="15" customHeight="1" s="2">
      <c r="B50" s="46" t="inlineStr">
        <is>
          <t>Lynch / Perkins</t>
        </is>
      </c>
      <c r="C50" s="55" t="n">
        <v>4</v>
      </c>
      <c r="D50" s="56" t="n">
        <v>0.375</v>
      </c>
      <c r="E50" s="56" t="n">
        <v>0.5810999999999999</v>
      </c>
      <c r="F50" s="79" t="n">
        <v>-0.2061</v>
      </c>
    </row>
    <row r="51" ht="15" customHeight="1" s="2">
      <c r="B51" s="43" t="inlineStr">
        <is>
          <t>Fogan / Lynch</t>
        </is>
      </c>
      <c r="C51" s="52" t="n">
        <v>4</v>
      </c>
      <c r="D51" s="53" t="n">
        <v>0.25</v>
      </c>
      <c r="E51" s="53" t="n">
        <v>0.4681</v>
      </c>
      <c r="F51" s="77" t="n">
        <v>-0.2181</v>
      </c>
    </row>
    <row r="52" ht="15" customHeight="1" s="2">
      <c r="B52" s="46" t="inlineStr">
        <is>
          <t>Flanders / Hilts</t>
        </is>
      </c>
      <c r="C52" s="55" t="n">
        <v>4</v>
      </c>
      <c r="D52" s="56" t="n">
        <v>0.25</v>
      </c>
      <c r="E52" s="56" t="n">
        <v>0.4707</v>
      </c>
      <c r="F52" s="79" t="n">
        <v>-0.2207</v>
      </c>
    </row>
    <row r="53" ht="15" customHeight="1" s="2">
      <c r="B53" s="43" t="inlineStr">
        <is>
          <t>Grise / Mangold</t>
        </is>
      </c>
      <c r="C53" s="52" t="n">
        <v>4</v>
      </c>
      <c r="D53" s="53" t="n">
        <v>0.25</v>
      </c>
      <c r="E53" s="53" t="n">
        <v>0.4895</v>
      </c>
      <c r="F53" s="77" t="n">
        <v>-0.2395</v>
      </c>
    </row>
    <row r="54" ht="15" customHeight="1" s="2">
      <c r="B54" s="46" t="inlineStr">
        <is>
          <t>Connors / Grise</t>
        </is>
      </c>
      <c r="C54" s="55" t="n">
        <v>5</v>
      </c>
      <c r="D54" s="56" t="n">
        <v>0.2</v>
      </c>
      <c r="E54" s="56" t="n">
        <v>0.4484</v>
      </c>
      <c r="F54" s="79" t="n">
        <v>-0.2484</v>
      </c>
    </row>
    <row r="55" ht="15" customHeight="1" s="2">
      <c r="B55" s="43" t="inlineStr">
        <is>
          <t>Fogan / Hilts</t>
        </is>
      </c>
      <c r="C55" s="52" t="n">
        <v>6</v>
      </c>
      <c r="D55" s="53" t="n">
        <v>0.1667</v>
      </c>
      <c r="E55" s="53" t="n">
        <v>0.4353</v>
      </c>
      <c r="F55" s="77" t="n">
        <v>-0.2686</v>
      </c>
    </row>
    <row r="56" ht="15" customHeight="1" s="2">
      <c r="B56" s="46" t="inlineStr">
        <is>
          <t>Cole / Connors</t>
        </is>
      </c>
      <c r="C56" s="55" t="n">
        <v>4</v>
      </c>
      <c r="D56" s="56" t="n">
        <v>0</v>
      </c>
      <c r="E56" s="56" t="n">
        <v>0.3941</v>
      </c>
      <c r="F56" s="79" t="n">
        <v>-0.3941</v>
      </c>
    </row>
    <row r="57" ht="15" customHeight="1" s="2">
      <c r="B57" s="43" t="inlineStr">
        <is>
          <t>Fogan / McInerney</t>
        </is>
      </c>
      <c r="C57" s="52" t="n">
        <v>4</v>
      </c>
      <c r="D57" s="53" t="n">
        <v>0</v>
      </c>
      <c r="E57" s="53" t="n">
        <v>0.447</v>
      </c>
      <c r="F57" s="77" t="n">
        <v>-0.447</v>
      </c>
    </row>
  </sheetData>
  <mergeCells count="1">
    <mergeCell ref="B2:F2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10" defaultColWidth="8.6640625" defaultRowHeight="15"/>
  <cols>
    <col width="13" customWidth="1" style="2" min="2" max="2"/>
    <col width="9" customWidth="1" style="2" min="3" max="4"/>
    <col width="18" customWidth="1" style="2" min="5" max="5"/>
    <col width="11" customWidth="1" style="2" min="6" max="6"/>
  </cols>
  <sheetData>
    <row r="1" ht="21.75" customHeight="1" s="2">
      <c r="B1" s="75" t="inlineStr">
        <is>
          <t>Clutch Rating</t>
        </is>
      </c>
    </row>
    <row r="2" ht="25.5" customHeight="1" s="2">
      <c r="B2" s="25" t="inlineStr">
        <is>
          <t>Performance weighted by what’s at stake (Saturday singles = 2 pts, Friday = 1, FTAS = 0.5). Clutch Δ = stakes-weighted win% − flat win%. Positive = raises their game when more is on the line. Min 10 matches.</t>
        </is>
      </c>
    </row>
    <row r="4" ht="15" customHeight="1" s="2">
      <c r="B4" s="42" t="inlineStr">
        <is>
          <t>Player</t>
        </is>
      </c>
      <c r="C4" s="42" t="inlineStr">
        <is>
          <t>Matches</t>
        </is>
      </c>
      <c r="D4" s="42" t="inlineStr">
        <is>
          <t>Win %</t>
        </is>
      </c>
      <c r="E4" s="42" t="inlineStr">
        <is>
          <t>High-Leverage Win %</t>
        </is>
      </c>
      <c r="F4" s="42" t="inlineStr">
        <is>
          <t>Clutch Δ</t>
        </is>
      </c>
    </row>
    <row r="5" ht="15" customHeight="1" s="2">
      <c r="B5" s="43" t="inlineStr">
        <is>
          <t>R. Connolly</t>
        </is>
      </c>
      <c r="C5" s="52" t="n">
        <v>13</v>
      </c>
      <c r="D5" s="53" t="n">
        <v>0.5385</v>
      </c>
      <c r="E5" s="53" t="n">
        <v>0.6</v>
      </c>
      <c r="F5" s="77" t="n">
        <v>0.0615</v>
      </c>
    </row>
    <row r="6" ht="15" customHeight="1" s="2">
      <c r="B6" s="46" t="inlineStr">
        <is>
          <t>Poirier</t>
        </is>
      </c>
      <c r="C6" s="55" t="n">
        <v>43</v>
      </c>
      <c r="D6" s="56" t="n">
        <v>0.5233</v>
      </c>
      <c r="E6" s="56" t="n">
        <v>0.5684</v>
      </c>
      <c r="F6" s="79" t="n">
        <v>0.0452</v>
      </c>
    </row>
    <row r="7" ht="15" customHeight="1" s="2">
      <c r="B7" s="43" t="inlineStr">
        <is>
          <t>Perkins</t>
        </is>
      </c>
      <c r="C7" s="52" t="n">
        <v>25</v>
      </c>
      <c r="D7" s="53" t="n">
        <v>0.62</v>
      </c>
      <c r="E7" s="53" t="n">
        <v>0.6607</v>
      </c>
      <c r="F7" s="77" t="n">
        <v>0.0407</v>
      </c>
    </row>
    <row r="8" ht="15" customHeight="1" s="2">
      <c r="B8" s="46" t="inlineStr">
        <is>
          <t>McInerney</t>
        </is>
      </c>
      <c r="C8" s="55" t="n">
        <v>48</v>
      </c>
      <c r="D8" s="56" t="n">
        <v>0.5</v>
      </c>
      <c r="E8" s="56" t="n">
        <v>0.5283</v>
      </c>
      <c r="F8" s="79" t="n">
        <v>0.0283</v>
      </c>
    </row>
    <row r="9" ht="15" customHeight="1" s="2">
      <c r="B9" s="43" t="inlineStr">
        <is>
          <t>Connolly</t>
        </is>
      </c>
      <c r="C9" s="52" t="n">
        <v>71</v>
      </c>
      <c r="D9" s="53" t="n">
        <v>0.6127</v>
      </c>
      <c r="E9" s="53" t="n">
        <v>0.6352</v>
      </c>
      <c r="F9" s="77" t="n">
        <v>0.0225</v>
      </c>
    </row>
    <row r="10" ht="15" customHeight="1" s="2">
      <c r="B10" s="46" t="inlineStr">
        <is>
          <t>Welker</t>
        </is>
      </c>
      <c r="C10" s="55" t="n">
        <v>49</v>
      </c>
      <c r="D10" s="56" t="n">
        <v>0.5102</v>
      </c>
      <c r="E10" s="56" t="n">
        <v>0.5327</v>
      </c>
      <c r="F10" s="79" t="n">
        <v>0.0225</v>
      </c>
    </row>
    <row r="11" ht="15" customHeight="1" s="2">
      <c r="B11" s="43" t="inlineStr">
        <is>
          <t>Cole</t>
        </is>
      </c>
      <c r="C11" s="52" t="n">
        <v>59</v>
      </c>
      <c r="D11" s="53" t="n">
        <v>0.4407</v>
      </c>
      <c r="E11" s="53" t="n">
        <v>0.458</v>
      </c>
      <c r="F11" s="77" t="n">
        <v>0.0173</v>
      </c>
    </row>
    <row r="12" ht="15" customHeight="1" s="2">
      <c r="B12" s="46" t="inlineStr">
        <is>
          <t>Hilts</t>
        </is>
      </c>
      <c r="C12" s="55" t="n">
        <v>64</v>
      </c>
      <c r="D12" s="56" t="n">
        <v>0.4766</v>
      </c>
      <c r="E12" s="56" t="n">
        <v>0.493</v>
      </c>
      <c r="F12" s="79" t="n">
        <v>0.0164</v>
      </c>
    </row>
    <row r="13" ht="15" customHeight="1" s="2">
      <c r="B13" s="43" t="inlineStr">
        <is>
          <t>Zimmer</t>
        </is>
      </c>
      <c r="C13" s="52" t="n">
        <v>61</v>
      </c>
      <c r="D13" s="53" t="n">
        <v>0.4672</v>
      </c>
      <c r="E13" s="53" t="n">
        <v>0.4815</v>
      </c>
      <c r="F13" s="77" t="n">
        <v>0.0143</v>
      </c>
    </row>
    <row r="14" ht="15" customHeight="1" s="2">
      <c r="B14" s="46" t="inlineStr">
        <is>
          <t>Fogan</t>
        </is>
      </c>
      <c r="C14" s="55" t="n">
        <v>66</v>
      </c>
      <c r="D14" s="56" t="n">
        <v>0.3939</v>
      </c>
      <c r="E14" s="56" t="n">
        <v>0.4082</v>
      </c>
      <c r="F14" s="79" t="n">
        <v>0.0142</v>
      </c>
    </row>
    <row r="15" ht="15" customHeight="1" s="2">
      <c r="B15" s="43" t="inlineStr">
        <is>
          <t>Delneky</t>
        </is>
      </c>
      <c r="C15" s="52" t="n">
        <v>30</v>
      </c>
      <c r="D15" s="53" t="n">
        <v>0.6167</v>
      </c>
      <c r="E15" s="53" t="n">
        <v>0.6308</v>
      </c>
      <c r="F15" s="77" t="n">
        <v>0.0141</v>
      </c>
    </row>
    <row r="16" ht="15" customHeight="1" s="2">
      <c r="B16" s="46" t="inlineStr">
        <is>
          <t>Gray</t>
        </is>
      </c>
      <c r="C16" s="55" t="n">
        <v>42</v>
      </c>
      <c r="D16" s="56" t="n">
        <v>0.6548</v>
      </c>
      <c r="E16" s="56" t="n">
        <v>0.6667</v>
      </c>
      <c r="F16" s="79" t="n">
        <v>0.0119</v>
      </c>
    </row>
    <row r="17" ht="15" customHeight="1" s="2">
      <c r="B17" s="43" t="inlineStr">
        <is>
          <t>Forster</t>
        </is>
      </c>
      <c r="C17" s="52" t="n">
        <v>65</v>
      </c>
      <c r="D17" s="53" t="n">
        <v>0.5769</v>
      </c>
      <c r="E17" s="53" t="n">
        <v>0.5874</v>
      </c>
      <c r="F17" s="77" t="n">
        <v>0.0105</v>
      </c>
    </row>
    <row r="18" ht="15" customHeight="1" s="2">
      <c r="B18" s="46" t="inlineStr">
        <is>
          <t>Norat</t>
        </is>
      </c>
      <c r="C18" s="55" t="n">
        <v>36</v>
      </c>
      <c r="D18" s="56" t="n">
        <v>0.5278</v>
      </c>
      <c r="E18" s="56" t="n">
        <v>0.5316</v>
      </c>
      <c r="F18" s="79" t="n">
        <v>0.0039</v>
      </c>
    </row>
    <row r="19" ht="15" customHeight="1" s="2">
      <c r="B19" s="43" t="inlineStr">
        <is>
          <t>Flanders</t>
        </is>
      </c>
      <c r="C19" s="52" t="n">
        <v>71</v>
      </c>
      <c r="D19" s="53" t="n">
        <v>0.4648</v>
      </c>
      <c r="E19" s="53" t="n">
        <v>0.4591</v>
      </c>
      <c r="F19" s="77" t="n">
        <v>-0.0057</v>
      </c>
    </row>
    <row r="20" ht="15" customHeight="1" s="2">
      <c r="B20" s="46" t="inlineStr">
        <is>
          <t>Ferrin</t>
        </is>
      </c>
      <c r="C20" s="55" t="n">
        <v>71</v>
      </c>
      <c r="D20" s="56" t="n">
        <v>0.5845</v>
      </c>
      <c r="E20" s="56" t="n">
        <v>0.5786</v>
      </c>
      <c r="F20" s="79" t="n">
        <v>-0.0059</v>
      </c>
    </row>
    <row r="21" ht="15" customHeight="1" s="2">
      <c r="B21" s="43" t="inlineStr">
        <is>
          <t>Delaney</t>
        </is>
      </c>
      <c r="C21" s="52" t="n">
        <v>37</v>
      </c>
      <c r="D21" s="53" t="n">
        <v>0.4595</v>
      </c>
      <c r="E21" s="53" t="n">
        <v>0.4512</v>
      </c>
      <c r="F21" s="77" t="n">
        <v>-0.008200000000000001</v>
      </c>
    </row>
    <row r="22" ht="15" customHeight="1" s="2">
      <c r="B22" s="46" t="inlineStr">
        <is>
          <t>Grise</t>
        </is>
      </c>
      <c r="C22" s="55" t="n">
        <v>71</v>
      </c>
      <c r="D22" s="56" t="n">
        <v>0.5493</v>
      </c>
      <c r="E22" s="56" t="n">
        <v>0.5409</v>
      </c>
      <c r="F22" s="79" t="n">
        <v>-0.008399999999999999</v>
      </c>
    </row>
    <row r="23" ht="15" customHeight="1" s="2">
      <c r="B23" s="43" t="inlineStr">
        <is>
          <t>Hickerson</t>
        </is>
      </c>
      <c r="C23" s="52" t="n">
        <v>21</v>
      </c>
      <c r="D23" s="53" t="n">
        <v>0.3571</v>
      </c>
      <c r="E23" s="53" t="n">
        <v>0.3469</v>
      </c>
      <c r="F23" s="77" t="n">
        <v>-0.0102</v>
      </c>
    </row>
    <row r="24" ht="15" customHeight="1" s="2">
      <c r="B24" s="46" t="inlineStr">
        <is>
          <t>Connors</t>
        </is>
      </c>
      <c r="C24" s="55" t="n">
        <v>59</v>
      </c>
      <c r="D24" s="56" t="n">
        <v>0.3475</v>
      </c>
      <c r="E24" s="56" t="n">
        <v>0.3359</v>
      </c>
      <c r="F24" s="79" t="n">
        <v>-0.0116</v>
      </c>
    </row>
    <row r="25" ht="15" customHeight="1" s="2">
      <c r="B25" s="43" t="inlineStr">
        <is>
          <t>Deoteris</t>
        </is>
      </c>
      <c r="C25" s="52" t="n">
        <v>18</v>
      </c>
      <c r="D25" s="53" t="n">
        <v>0.3889</v>
      </c>
      <c r="E25" s="53" t="n">
        <v>0.3684</v>
      </c>
      <c r="F25" s="77" t="n">
        <v>-0.0205</v>
      </c>
    </row>
    <row r="26" ht="15" customHeight="1" s="2">
      <c r="B26" s="46" t="inlineStr">
        <is>
          <t>Lynch</t>
        </is>
      </c>
      <c r="C26" s="55" t="n">
        <v>71</v>
      </c>
      <c r="D26" s="56" t="n">
        <v>0.5423</v>
      </c>
      <c r="E26" s="56" t="n">
        <v>0.5157</v>
      </c>
      <c r="F26" s="79" t="n">
        <v>-0.0265</v>
      </c>
    </row>
    <row r="27" ht="15" customHeight="1" s="2">
      <c r="B27" s="43" t="inlineStr">
        <is>
          <t>Jackson</t>
        </is>
      </c>
      <c r="C27" s="52" t="n">
        <v>71</v>
      </c>
      <c r="D27" s="53" t="n">
        <v>0.6056</v>
      </c>
      <c r="E27" s="53" t="n">
        <v>0.5786</v>
      </c>
      <c r="F27" s="77" t="n">
        <v>-0.027</v>
      </c>
    </row>
    <row r="28" ht="15" customHeight="1" s="2">
      <c r="B28" s="46" t="inlineStr">
        <is>
          <t>Shively</t>
        </is>
      </c>
      <c r="C28" s="55" t="n">
        <v>65</v>
      </c>
      <c r="D28" s="56" t="n">
        <v>0.4</v>
      </c>
      <c r="E28" s="56" t="n">
        <v>0.3724</v>
      </c>
      <c r="F28" s="79" t="n">
        <v>-0.0276</v>
      </c>
    </row>
    <row r="29" ht="15" customHeight="1" s="2">
      <c r="B29" s="43" t="inlineStr">
        <is>
          <t>Mangold</t>
        </is>
      </c>
      <c r="C29" s="52" t="n">
        <v>64</v>
      </c>
      <c r="D29" s="53" t="n">
        <v>0.4297</v>
      </c>
      <c r="E29" s="53" t="n">
        <v>0.4014</v>
      </c>
      <c r="F29" s="77" t="n">
        <v>-0.0283</v>
      </c>
    </row>
    <row r="30" ht="15" customHeight="1" s="2">
      <c r="B30" s="46" t="inlineStr">
        <is>
          <t>Weisberger</t>
        </is>
      </c>
      <c r="C30" s="55" t="n">
        <v>16</v>
      </c>
      <c r="D30" s="56" t="n">
        <v>0.5</v>
      </c>
      <c r="E30" s="56" t="n">
        <v>0.4595</v>
      </c>
      <c r="F30" s="79" t="n">
        <v>-0.0405</v>
      </c>
    </row>
    <row r="31" ht="15" customHeight="1" s="2">
      <c r="B31" s="43" t="inlineStr">
        <is>
          <t>Buss</t>
        </is>
      </c>
      <c r="C31" s="52" t="n">
        <v>29</v>
      </c>
      <c r="D31" s="53" t="n">
        <v>0.4483</v>
      </c>
      <c r="E31" s="53" t="n">
        <v>0.4</v>
      </c>
      <c r="F31" s="77" t="n">
        <v>-0.0483</v>
      </c>
    </row>
    <row r="32" ht="15" customHeight="1" s="2">
      <c r="B32" s="46" t="inlineStr">
        <is>
          <t>Piegari</t>
        </is>
      </c>
      <c r="C32" s="55" t="n">
        <v>13</v>
      </c>
      <c r="D32" s="56" t="n">
        <v>0.2308</v>
      </c>
      <c r="E32" s="56" t="n">
        <v>0.1724</v>
      </c>
      <c r="F32" s="79" t="n">
        <v>-0.0584</v>
      </c>
    </row>
  </sheetData>
  <mergeCells count="1">
    <mergeCell ref="B2:F2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F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10" defaultColWidth="8.6640625" defaultRowHeight="15"/>
  <cols>
    <col width="13" customWidth="1" style="2" min="2" max="2"/>
    <col width="8" customWidth="1" style="2" min="3" max="3"/>
    <col width="9" customWidth="1" style="2" min="4" max="6"/>
  </cols>
  <sheetData>
    <row r="1" ht="21.75" customHeight="1" s="2">
      <c r="B1" s="75" t="inlineStr">
        <is>
          <t>Pythagorean Luck</t>
        </is>
      </c>
    </row>
    <row r="2" ht="25.5" customHeight="1" s="2">
      <c r="B2" s="25" t="inlineStr">
        <is>
      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      </is>
      </c>
    </row>
    <row r="4" ht="15" customHeight="1" s="2">
      <c r="B4" s="42" t="inlineStr">
        <is>
          <t>Player</t>
        </is>
      </c>
      <c r="C4" s="42" t="inlineStr">
        <is>
          <t>Cups</t>
        </is>
      </c>
      <c r="D4" s="42" t="inlineStr">
        <is>
          <t>Cups Won</t>
        </is>
      </c>
      <c r="E4" s="42" t="inlineStr">
        <is>
          <t>Expected</t>
        </is>
      </c>
      <c r="F4" s="42" t="inlineStr">
        <is>
          <t>Luck</t>
        </is>
      </c>
    </row>
    <row r="5" ht="15" customHeight="1" s="2">
      <c r="B5" s="43" t="inlineStr">
        <is>
          <t>Lynch</t>
        </is>
      </c>
      <c r="C5" s="52" t="n">
        <v>12</v>
      </c>
      <c r="D5" s="52" t="n">
        <v>9</v>
      </c>
      <c r="E5" s="54" t="n">
        <v>6.67</v>
      </c>
      <c r="F5" s="80" t="n">
        <v>2.33</v>
      </c>
    </row>
    <row r="6" ht="15" customHeight="1" s="2">
      <c r="B6" s="46" t="inlineStr">
        <is>
          <t>Hilts</t>
        </is>
      </c>
      <c r="C6" s="55" t="n">
        <v>11</v>
      </c>
      <c r="D6" s="55" t="n">
        <v>8</v>
      </c>
      <c r="E6" s="57" t="n">
        <v>5.77</v>
      </c>
      <c r="F6" s="81" t="n">
        <v>2.23</v>
      </c>
    </row>
    <row r="7" ht="15" customHeight="1" s="2">
      <c r="B7" s="43" t="inlineStr">
        <is>
          <t>Perkins</t>
        </is>
      </c>
      <c r="C7" s="52" t="n">
        <v>4</v>
      </c>
      <c r="D7" s="52" t="n">
        <v>4</v>
      </c>
      <c r="E7" s="54" t="n">
        <v>2.35</v>
      </c>
      <c r="F7" s="80" t="n">
        <v>1.65</v>
      </c>
    </row>
    <row r="8" ht="15" customHeight="1" s="2">
      <c r="B8" s="46" t="inlineStr">
        <is>
          <t>Connolly</t>
        </is>
      </c>
      <c r="C8" s="55" t="n">
        <v>12</v>
      </c>
      <c r="D8" s="55" t="n">
        <v>8</v>
      </c>
      <c r="E8" s="57" t="n">
        <v>6.46</v>
      </c>
      <c r="F8" s="81" t="n">
        <v>1.54</v>
      </c>
    </row>
    <row r="9" ht="15" customHeight="1" s="2">
      <c r="B9" s="43" t="inlineStr">
        <is>
          <t>Delaney</t>
        </is>
      </c>
      <c r="C9" s="52" t="n">
        <v>6</v>
      </c>
      <c r="D9" s="52" t="n">
        <v>4</v>
      </c>
      <c r="E9" s="54" t="n">
        <v>2.97</v>
      </c>
      <c r="F9" s="80" t="n">
        <v>1.03</v>
      </c>
    </row>
    <row r="10" ht="15" customHeight="1" s="2">
      <c r="B10" s="46" t="inlineStr">
        <is>
          <t>Gray</t>
        </is>
      </c>
      <c r="C10" s="55" t="n">
        <v>7</v>
      </c>
      <c r="D10" s="55" t="n">
        <v>5</v>
      </c>
      <c r="E10" s="57" t="n">
        <v>4.03</v>
      </c>
      <c r="F10" s="81" t="n">
        <v>0.97</v>
      </c>
    </row>
    <row r="11" ht="15" customHeight="1" s="2">
      <c r="B11" s="43" t="inlineStr">
        <is>
          <t>Grise</t>
        </is>
      </c>
      <c r="C11" s="52" t="n">
        <v>12</v>
      </c>
      <c r="D11" s="52" t="n">
        <v>7</v>
      </c>
      <c r="E11" s="54" t="n">
        <v>6.11</v>
      </c>
      <c r="F11" s="80" t="n">
        <v>0.89</v>
      </c>
    </row>
    <row r="12" ht="15" customHeight="1" s="2">
      <c r="B12" s="46" t="inlineStr">
        <is>
          <t>Cole</t>
        </is>
      </c>
      <c r="C12" s="55" t="n">
        <v>10</v>
      </c>
      <c r="D12" s="55" t="n">
        <v>5</v>
      </c>
      <c r="E12" s="57" t="n">
        <v>4.78</v>
      </c>
      <c r="F12" s="81" t="n">
        <v>0.22</v>
      </c>
    </row>
    <row r="13" ht="15" customHeight="1" s="2">
      <c r="B13" s="43" t="inlineStr">
        <is>
          <t>Flanders</t>
        </is>
      </c>
      <c r="C13" s="52" t="n">
        <v>12</v>
      </c>
      <c r="D13" s="52" t="n">
        <v>6</v>
      </c>
      <c r="E13" s="54" t="n">
        <v>5.87</v>
      </c>
      <c r="F13" s="80" t="n">
        <v>0.13</v>
      </c>
    </row>
    <row r="14" ht="15" customHeight="1" s="2">
      <c r="B14" s="46" t="inlineStr">
        <is>
          <t>Shively</t>
        </is>
      </c>
      <c r="C14" s="55" t="n">
        <v>11</v>
      </c>
      <c r="D14" s="55" t="n">
        <v>6</v>
      </c>
      <c r="E14" s="57" t="n">
        <v>5.89</v>
      </c>
      <c r="F14" s="81" t="n">
        <v>0.11</v>
      </c>
    </row>
    <row r="15" ht="15" customHeight="1" s="2">
      <c r="B15" s="43" t="inlineStr">
        <is>
          <t>Connors</t>
        </is>
      </c>
      <c r="C15" s="52" t="n">
        <v>10</v>
      </c>
      <c r="D15" s="52" t="n">
        <v>5</v>
      </c>
      <c r="E15" s="54" t="n">
        <v>4.9</v>
      </c>
      <c r="F15" s="80" t="n">
        <v>0.1</v>
      </c>
    </row>
    <row r="16" ht="15" customHeight="1" s="2">
      <c r="B16" s="46" t="inlineStr">
        <is>
          <t>Norat</t>
        </is>
      </c>
      <c r="C16" s="55" t="n">
        <v>6</v>
      </c>
      <c r="D16" s="55" t="n">
        <v>3</v>
      </c>
      <c r="E16" s="57" t="n">
        <v>2.99</v>
      </c>
      <c r="F16" s="81" t="n">
        <v>0.01</v>
      </c>
    </row>
    <row r="17" ht="15" customHeight="1" s="2">
      <c r="B17" s="43" t="inlineStr">
        <is>
          <t>Zimmer</t>
        </is>
      </c>
      <c r="C17" s="52" t="n">
        <v>10</v>
      </c>
      <c r="D17" s="52" t="n">
        <v>5</v>
      </c>
      <c r="E17" s="54" t="n">
        <v>5.22</v>
      </c>
      <c r="F17" s="80" t="n">
        <v>-0.22</v>
      </c>
    </row>
    <row r="18" ht="15" customHeight="1" s="2">
      <c r="B18" s="46" t="inlineStr">
        <is>
          <t>McInerney</t>
        </is>
      </c>
      <c r="C18" s="55" t="n">
        <v>8</v>
      </c>
      <c r="D18" s="55" t="n">
        <v>4</v>
      </c>
      <c r="E18" s="57" t="n">
        <v>4.24</v>
      </c>
      <c r="F18" s="81" t="n">
        <v>-0.24</v>
      </c>
    </row>
    <row r="19" ht="15" customHeight="1" s="2">
      <c r="B19" s="43" t="inlineStr">
        <is>
          <t>Poirier</t>
        </is>
      </c>
      <c r="C19" s="52" t="n">
        <v>7</v>
      </c>
      <c r="D19" s="52" t="n">
        <v>3</v>
      </c>
      <c r="E19" s="54" t="n">
        <v>3.4</v>
      </c>
      <c r="F19" s="80" t="n">
        <v>-0.4</v>
      </c>
    </row>
    <row r="20" ht="15" customHeight="1" s="2">
      <c r="B20" s="46" t="inlineStr">
        <is>
          <t>Delneky</t>
        </is>
      </c>
      <c r="C20" s="55" t="n">
        <v>5</v>
      </c>
      <c r="D20" s="55" t="n">
        <v>2</v>
      </c>
      <c r="E20" s="57" t="n">
        <v>2.51</v>
      </c>
      <c r="F20" s="81" t="n">
        <v>-0.51</v>
      </c>
    </row>
    <row r="21" ht="15" customHeight="1" s="2">
      <c r="B21" s="43" t="inlineStr">
        <is>
          <t>Forster</t>
        </is>
      </c>
      <c r="C21" s="52" t="n">
        <v>11</v>
      </c>
      <c r="D21" s="52" t="n">
        <v>5</v>
      </c>
      <c r="E21" s="54" t="n">
        <v>5.51</v>
      </c>
      <c r="F21" s="80" t="n">
        <v>-0.51</v>
      </c>
    </row>
    <row r="22" ht="15" customHeight="1" s="2">
      <c r="B22" s="46" t="inlineStr">
        <is>
          <t>Buss</t>
        </is>
      </c>
      <c r="C22" s="55" t="n">
        <v>5</v>
      </c>
      <c r="D22" s="55" t="n">
        <v>2</v>
      </c>
      <c r="E22" s="57" t="n">
        <v>2.54</v>
      </c>
      <c r="F22" s="81" t="n">
        <v>-0.54</v>
      </c>
    </row>
    <row r="23" ht="15" customHeight="1" s="2">
      <c r="B23" s="43" t="inlineStr">
        <is>
          <t>Ferrin</t>
        </is>
      </c>
      <c r="C23" s="52" t="n">
        <v>12</v>
      </c>
      <c r="D23" s="52" t="n">
        <v>5</v>
      </c>
      <c r="E23" s="54" t="n">
        <v>5.69</v>
      </c>
      <c r="F23" s="80" t="n">
        <v>-0.6899999999999999</v>
      </c>
    </row>
    <row r="24" ht="15" customHeight="1" s="2">
      <c r="B24" s="46" t="inlineStr">
        <is>
          <t>Hickerson</t>
        </is>
      </c>
      <c r="C24" s="55" t="n">
        <v>4</v>
      </c>
      <c r="D24" s="55" t="n">
        <v>1</v>
      </c>
      <c r="E24" s="57" t="n">
        <v>1.87</v>
      </c>
      <c r="F24" s="81" t="n">
        <v>-0.87</v>
      </c>
    </row>
    <row r="25" ht="15" customHeight="1" s="2">
      <c r="B25" s="43" t="inlineStr">
        <is>
          <t>Mangold</t>
        </is>
      </c>
      <c r="C25" s="52" t="n">
        <v>11</v>
      </c>
      <c r="D25" s="52" t="n">
        <v>4</v>
      </c>
      <c r="E25" s="54" t="n">
        <v>5.09</v>
      </c>
      <c r="F25" s="80" t="n">
        <v>-1.09</v>
      </c>
    </row>
    <row r="26" ht="15" customHeight="1" s="2">
      <c r="B26" s="46" t="inlineStr">
        <is>
          <t>Jackson</t>
        </is>
      </c>
      <c r="C26" s="55" t="n">
        <v>12</v>
      </c>
      <c r="D26" s="55" t="n">
        <v>4</v>
      </c>
      <c r="E26" s="57" t="n">
        <v>5.54</v>
      </c>
      <c r="F26" s="81" t="n">
        <v>-1.54</v>
      </c>
    </row>
    <row r="27" ht="15" customHeight="1" s="2">
      <c r="B27" s="43" t="inlineStr">
        <is>
          <t>Welker</t>
        </is>
      </c>
      <c r="C27" s="52" t="n">
        <v>8</v>
      </c>
      <c r="D27" s="52" t="n">
        <v>1</v>
      </c>
      <c r="E27" s="54" t="n">
        <v>3.21</v>
      </c>
      <c r="F27" s="80" t="n">
        <v>-2.21</v>
      </c>
    </row>
    <row r="28" ht="15" customHeight="1" s="2">
      <c r="B28" s="46" t="inlineStr">
        <is>
          <t>Fogan</t>
        </is>
      </c>
      <c r="C28" s="55" t="n">
        <v>11</v>
      </c>
      <c r="D28" s="55" t="n">
        <v>3</v>
      </c>
      <c r="E28" s="57" t="n">
        <v>5.22</v>
      </c>
      <c r="F28" s="81" t="n">
        <v>-2.22</v>
      </c>
    </row>
  </sheetData>
  <mergeCells count="1">
    <mergeCell ref="B2:F2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10" defaultColWidth="8.6640625" defaultRowHeight="15"/>
  <cols>
    <col width="13" customWidth="1" style="2" min="2" max="2"/>
    <col width="8" customWidth="1" style="2" min="3" max="3"/>
    <col width="11" customWidth="1" style="2" min="4" max="5"/>
    <col width="9" customWidth="1" style="2" min="6" max="6"/>
    <col width="11" customWidth="1" style="2" min="7" max="7"/>
  </cols>
  <sheetData>
    <row r="1" ht="21.75" customHeight="1" s="2">
      <c r="B1" s="75" t="inlineStr">
        <is>
          <t>Form Guide</t>
        </is>
      </c>
    </row>
    <row r="2" ht="25.5" customHeight="1" s="2">
      <c r="B2" s="25" t="inlineStr">
        <is>
          <t>Who’s heating up going into FBC 13. PPC = points per cup. Last 3 = the three most recent cups each player appeared in. Form = recent − career. Sorted by current form. Min 4 cups.</t>
        </is>
      </c>
    </row>
    <row r="4" ht="15" customHeight="1" s="2">
      <c r="B4" s="42" t="inlineStr">
        <is>
          <t>Player</t>
        </is>
      </c>
      <c r="C4" s="42" t="inlineStr">
        <is>
          <t>Cups</t>
        </is>
      </c>
      <c r="D4" s="42" t="inlineStr">
        <is>
          <t>Career PPC</t>
        </is>
      </c>
      <c r="E4" s="42" t="inlineStr">
        <is>
          <t>Last 3 PPC</t>
        </is>
      </c>
      <c r="F4" s="42" t="inlineStr">
        <is>
          <t>Form Δ</t>
        </is>
      </c>
      <c r="G4" s="42" t="inlineStr">
        <is>
          <t>Trend</t>
        </is>
      </c>
    </row>
    <row r="5" ht="15" customHeight="1" s="2">
      <c r="B5" s="43" t="inlineStr">
        <is>
          <t>Connolly</t>
        </is>
      </c>
      <c r="C5" s="52" t="n">
        <v>12</v>
      </c>
      <c r="D5" s="54" t="n">
        <v>4.21</v>
      </c>
      <c r="E5" s="54" t="n">
        <v>5.83</v>
      </c>
      <c r="F5" s="80" t="n">
        <v>1.62</v>
      </c>
      <c r="G5" s="82" t="inlineStr">
        <is>
          <t>▲  Hot</t>
        </is>
      </c>
    </row>
    <row r="6" ht="15" customHeight="1" s="2">
      <c r="B6" s="46" t="inlineStr">
        <is>
          <t>Poirier</t>
        </is>
      </c>
      <c r="C6" s="55" t="n">
        <v>7</v>
      </c>
      <c r="D6" s="57" t="n">
        <v>3.86</v>
      </c>
      <c r="E6" s="57" t="n">
        <v>5.17</v>
      </c>
      <c r="F6" s="81" t="n">
        <v>1.31</v>
      </c>
      <c r="G6" s="83" t="inlineStr">
        <is>
          <t>▲  Hot</t>
        </is>
      </c>
    </row>
    <row r="7" ht="15" customHeight="1" s="2">
      <c r="B7" s="43" t="inlineStr">
        <is>
          <t>Gray</t>
        </is>
      </c>
      <c r="C7" s="52" t="n">
        <v>7</v>
      </c>
      <c r="D7" s="54" t="n">
        <v>4.43</v>
      </c>
      <c r="E7" s="54" t="n">
        <v>5</v>
      </c>
      <c r="F7" s="80" t="n">
        <v>0.57</v>
      </c>
      <c r="G7" s="82" t="inlineStr">
        <is>
          <t>▲  Hot</t>
        </is>
      </c>
    </row>
    <row r="8" ht="15" customHeight="1" s="2">
      <c r="B8" s="46" t="inlineStr">
        <is>
          <t>Delneky</t>
        </is>
      </c>
      <c r="C8" s="55" t="n">
        <v>5</v>
      </c>
      <c r="D8" s="57" t="n">
        <v>4.1</v>
      </c>
      <c r="E8" s="57" t="n">
        <v>4.83</v>
      </c>
      <c r="F8" s="81" t="n">
        <v>0.73</v>
      </c>
      <c r="G8" s="83" t="inlineStr">
        <is>
          <t>▲  Hot</t>
        </is>
      </c>
    </row>
    <row r="9" ht="15" customHeight="1" s="2">
      <c r="B9" s="43" t="inlineStr">
        <is>
          <t>Hilts</t>
        </is>
      </c>
      <c r="C9" s="52" t="n">
        <v>11</v>
      </c>
      <c r="D9" s="54" t="n">
        <v>3.18</v>
      </c>
      <c r="E9" s="54" t="n">
        <v>4.33</v>
      </c>
      <c r="F9" s="80" t="n">
        <v>1.15</v>
      </c>
      <c r="G9" s="82" t="inlineStr">
        <is>
          <t>▲  Hot</t>
        </is>
      </c>
    </row>
    <row r="10" ht="15" customHeight="1" s="2">
      <c r="B10" s="46" t="inlineStr">
        <is>
          <t>Perkins</t>
        </is>
      </c>
      <c r="C10" s="55" t="n">
        <v>4</v>
      </c>
      <c r="D10" s="57" t="n">
        <v>4.62</v>
      </c>
      <c r="E10" s="57" t="n">
        <v>4.33</v>
      </c>
      <c r="F10" s="81" t="n">
        <v>-0.29</v>
      </c>
      <c r="G10" s="84" t="inlineStr">
        <is>
          <t>—  Steady</t>
        </is>
      </c>
    </row>
    <row r="11" ht="15" customHeight="1" s="2">
      <c r="B11" s="43" t="inlineStr">
        <is>
          <t>Ferrin</t>
        </is>
      </c>
      <c r="C11" s="52" t="n">
        <v>12</v>
      </c>
      <c r="D11" s="54" t="n">
        <v>3.83</v>
      </c>
      <c r="E11" s="54" t="n">
        <v>4.17</v>
      </c>
      <c r="F11" s="80" t="n">
        <v>0.33</v>
      </c>
      <c r="G11" s="85" t="inlineStr">
        <is>
          <t>—  Steady</t>
        </is>
      </c>
    </row>
    <row r="12" ht="15" customHeight="1" s="2">
      <c r="B12" s="46" t="inlineStr">
        <is>
          <t>Flanders</t>
        </is>
      </c>
      <c r="C12" s="55" t="n">
        <v>12</v>
      </c>
      <c r="D12" s="57" t="n">
        <v>3.04</v>
      </c>
      <c r="E12" s="57" t="n">
        <v>4</v>
      </c>
      <c r="F12" s="81" t="n">
        <v>0.96</v>
      </c>
      <c r="G12" s="83" t="inlineStr">
        <is>
          <t>▲  Hot</t>
        </is>
      </c>
    </row>
    <row r="13" ht="15" customHeight="1" s="2">
      <c r="B13" s="43" t="inlineStr">
        <is>
          <t>Welker</t>
        </is>
      </c>
      <c r="C13" s="52" t="n">
        <v>8</v>
      </c>
      <c r="D13" s="54" t="n">
        <v>3.56</v>
      </c>
      <c r="E13" s="54" t="n">
        <v>4</v>
      </c>
      <c r="F13" s="80" t="n">
        <v>0.44</v>
      </c>
      <c r="G13" s="85" t="inlineStr">
        <is>
          <t>—  Steady</t>
        </is>
      </c>
    </row>
    <row r="14" ht="15" customHeight="1" s="2">
      <c r="B14" s="46" t="inlineStr">
        <is>
          <t>Jackson</t>
        </is>
      </c>
      <c r="C14" s="55" t="n">
        <v>12</v>
      </c>
      <c r="D14" s="57" t="n">
        <v>3.83</v>
      </c>
      <c r="E14" s="57" t="n">
        <v>3.83</v>
      </c>
      <c r="F14" s="81" t="n">
        <v>0</v>
      </c>
      <c r="G14" s="84" t="inlineStr">
        <is>
          <t>—  Steady</t>
        </is>
      </c>
    </row>
    <row r="15" ht="15" customHeight="1" s="2">
      <c r="B15" s="43" t="inlineStr">
        <is>
          <t>Norat</t>
        </is>
      </c>
      <c r="C15" s="52" t="n">
        <v>6</v>
      </c>
      <c r="D15" s="54" t="n">
        <v>3.5</v>
      </c>
      <c r="E15" s="54" t="n">
        <v>3.67</v>
      </c>
      <c r="F15" s="80" t="n">
        <v>0.17</v>
      </c>
      <c r="G15" s="85" t="inlineStr">
        <is>
          <t>—  Steady</t>
        </is>
      </c>
    </row>
    <row r="16" ht="15" customHeight="1" s="2">
      <c r="B16" s="46" t="inlineStr">
        <is>
          <t>Cole</t>
        </is>
      </c>
      <c r="C16" s="55" t="n">
        <v>10</v>
      </c>
      <c r="D16" s="57" t="n">
        <v>3</v>
      </c>
      <c r="E16" s="57" t="n">
        <v>3.5</v>
      </c>
      <c r="F16" s="81" t="n">
        <v>0.5</v>
      </c>
      <c r="G16" s="83" t="inlineStr">
        <is>
          <t>▲  Hot</t>
        </is>
      </c>
    </row>
    <row r="17" ht="15" customHeight="1" s="2">
      <c r="B17" s="43" t="inlineStr">
        <is>
          <t>Mangold</t>
        </is>
      </c>
      <c r="C17" s="52" t="n">
        <v>11</v>
      </c>
      <c r="D17" s="54" t="n">
        <v>2.59</v>
      </c>
      <c r="E17" s="54" t="n">
        <v>3.5</v>
      </c>
      <c r="F17" s="80" t="n">
        <v>0.91</v>
      </c>
      <c r="G17" s="82" t="inlineStr">
        <is>
          <t>▲  Hot</t>
        </is>
      </c>
    </row>
    <row r="18" ht="15" customHeight="1" s="2">
      <c r="B18" s="46" t="inlineStr">
        <is>
          <t>Fogan</t>
        </is>
      </c>
      <c r="C18" s="55" t="n">
        <v>11</v>
      </c>
      <c r="D18" s="57" t="n">
        <v>2.73</v>
      </c>
      <c r="E18" s="57" t="n">
        <v>3.33</v>
      </c>
      <c r="F18" s="81" t="n">
        <v>0.61</v>
      </c>
      <c r="G18" s="83" t="inlineStr">
        <is>
          <t>▲  Hot</t>
        </is>
      </c>
    </row>
    <row r="19" ht="15" customHeight="1" s="2">
      <c r="B19" s="43" t="inlineStr">
        <is>
          <t>McInerney</t>
        </is>
      </c>
      <c r="C19" s="52" t="n">
        <v>8</v>
      </c>
      <c r="D19" s="54" t="n">
        <v>3.5</v>
      </c>
      <c r="E19" s="54" t="n">
        <v>3.33</v>
      </c>
      <c r="F19" s="80" t="n">
        <v>-0.17</v>
      </c>
      <c r="G19" s="85" t="inlineStr">
        <is>
          <t>—  Steady</t>
        </is>
      </c>
    </row>
    <row r="20" ht="15" customHeight="1" s="2">
      <c r="B20" s="46" t="inlineStr">
        <is>
          <t>Grise</t>
        </is>
      </c>
      <c r="C20" s="55" t="n">
        <v>12</v>
      </c>
      <c r="D20" s="57" t="n">
        <v>3.58</v>
      </c>
      <c r="E20" s="57" t="n">
        <v>3.17</v>
      </c>
      <c r="F20" s="81" t="n">
        <v>-0.42</v>
      </c>
      <c r="G20" s="84" t="inlineStr">
        <is>
          <t>—  Steady</t>
        </is>
      </c>
    </row>
    <row r="21" ht="15" customHeight="1" s="2">
      <c r="B21" s="43" t="inlineStr">
        <is>
          <t>Buss</t>
        </is>
      </c>
      <c r="C21" s="52" t="n">
        <v>5</v>
      </c>
      <c r="D21" s="54" t="n">
        <v>2.6</v>
      </c>
      <c r="E21" s="54" t="n">
        <v>3</v>
      </c>
      <c r="F21" s="80" t="n">
        <v>0.4</v>
      </c>
      <c r="G21" s="85" t="inlineStr">
        <is>
          <t>—  Steady</t>
        </is>
      </c>
    </row>
    <row r="22" ht="15" customHeight="1" s="2">
      <c r="B22" s="46" t="inlineStr">
        <is>
          <t>Delaney</t>
        </is>
      </c>
      <c r="C22" s="55" t="n">
        <v>6</v>
      </c>
      <c r="D22" s="57" t="n">
        <v>3.08</v>
      </c>
      <c r="E22" s="57" t="n">
        <v>2.83</v>
      </c>
      <c r="F22" s="81" t="n">
        <v>-0.25</v>
      </c>
      <c r="G22" s="84" t="inlineStr">
        <is>
          <t>—  Steady</t>
        </is>
      </c>
    </row>
    <row r="23" ht="15" customHeight="1" s="2">
      <c r="B23" s="43" t="inlineStr">
        <is>
          <t>Lynch</t>
        </is>
      </c>
      <c r="C23" s="52" t="n">
        <v>12</v>
      </c>
      <c r="D23" s="54" t="n">
        <v>3.42</v>
      </c>
      <c r="E23" s="54" t="n">
        <v>2.83</v>
      </c>
      <c r="F23" s="80" t="n">
        <v>-0.58</v>
      </c>
      <c r="G23" s="86" t="inlineStr">
        <is>
          <t>▼  Cold</t>
        </is>
      </c>
    </row>
    <row r="24" ht="15" customHeight="1" s="2">
      <c r="B24" s="46" t="inlineStr">
        <is>
          <t>Forster</t>
        </is>
      </c>
      <c r="C24" s="55" t="n">
        <v>11</v>
      </c>
      <c r="D24" s="57" t="n">
        <v>3.82</v>
      </c>
      <c r="E24" s="57" t="n">
        <v>2.5</v>
      </c>
      <c r="F24" s="81" t="n">
        <v>-1.32</v>
      </c>
      <c r="G24" s="87" t="inlineStr">
        <is>
          <t>▼  Cold</t>
        </is>
      </c>
    </row>
    <row r="25" ht="15" customHeight="1" s="2">
      <c r="B25" s="43" t="inlineStr">
        <is>
          <t>Connors</t>
        </is>
      </c>
      <c r="C25" s="52" t="n">
        <v>10</v>
      </c>
      <c r="D25" s="54" t="n">
        <v>2.2</v>
      </c>
      <c r="E25" s="54" t="n">
        <v>2.17</v>
      </c>
      <c r="F25" s="80" t="n">
        <v>-0.03</v>
      </c>
      <c r="G25" s="85" t="inlineStr">
        <is>
          <t>—  Steady</t>
        </is>
      </c>
    </row>
    <row r="26" ht="15" customHeight="1" s="2">
      <c r="B26" s="46" t="inlineStr">
        <is>
          <t>Hickerson</t>
        </is>
      </c>
      <c r="C26" s="55" t="n">
        <v>4</v>
      </c>
      <c r="D26" s="57" t="n">
        <v>2.12</v>
      </c>
      <c r="E26" s="57" t="n">
        <v>1.67</v>
      </c>
      <c r="F26" s="81" t="n">
        <v>-0.46</v>
      </c>
      <c r="G26" s="84" t="inlineStr">
        <is>
          <t>—  Steady</t>
        </is>
      </c>
    </row>
    <row r="27" ht="15" customHeight="1" s="2">
      <c r="B27" s="43" t="inlineStr">
        <is>
          <t>Zimmer</t>
        </is>
      </c>
      <c r="C27" s="52" t="n">
        <v>10</v>
      </c>
      <c r="D27" s="54" t="n">
        <v>3.25</v>
      </c>
      <c r="E27" s="54" t="n">
        <v>1.67</v>
      </c>
      <c r="F27" s="80" t="n">
        <v>-1.58</v>
      </c>
      <c r="G27" s="86" t="inlineStr">
        <is>
          <t>▼  Cold</t>
        </is>
      </c>
    </row>
    <row r="28" ht="15" customHeight="1" s="2">
      <c r="B28" s="46" t="inlineStr">
        <is>
          <t>Shively</t>
        </is>
      </c>
      <c r="C28" s="55" t="n">
        <v>11</v>
      </c>
      <c r="D28" s="57" t="n">
        <v>2.45</v>
      </c>
      <c r="E28" s="57" t="n">
        <v>1.33</v>
      </c>
      <c r="F28" s="81" t="n">
        <v>-1.12</v>
      </c>
      <c r="G28" s="87" t="inlineStr">
        <is>
          <t>▼  Cold</t>
        </is>
      </c>
    </row>
  </sheetData>
  <mergeCells count="1">
    <mergeCell ref="B2:G2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10" defaultColWidth="8.6640625" defaultRowHeight="15"/>
  <cols>
    <col width="6" customWidth="1" style="2" min="2" max="2"/>
    <col width="13" customWidth="1" style="2" min="3" max="3"/>
    <col width="8" customWidth="1" style="2" min="4" max="4"/>
    <col width="5" customWidth="1" style="2" min="5" max="7"/>
    <col width="8" customWidth="1" style="2" min="8" max="8"/>
  </cols>
  <sheetData>
    <row r="1" ht="21.75" customHeight="1" s="2">
      <c r="B1" s="75" t="inlineStr">
        <is>
          <t>MVP Hall of Fame</t>
        </is>
      </c>
    </row>
    <row r="2" ht="25.5" customHeight="1" s="2">
      <c r="B2" s="25" t="inlineStr">
        <is>
          <t>Every undefeated individual cup in FBC history — zero match losses, ties allowed (min 3 matches). Ranked by points earned.</t>
        </is>
      </c>
    </row>
    <row r="4" ht="15" customHeight="1" s="2">
      <c r="B4" s="42" t="inlineStr">
        <is>
          <t>Rank</t>
        </is>
      </c>
      <c r="C4" s="42" t="inlineStr">
        <is>
          <t>Player</t>
        </is>
      </c>
      <c r="D4" s="42" t="inlineStr">
        <is>
          <t>Cup</t>
        </is>
      </c>
      <c r="E4" s="42" t="inlineStr">
        <is>
          <t>W</t>
        </is>
      </c>
      <c r="F4" s="42" t="inlineStr">
        <is>
          <t>L</t>
        </is>
      </c>
      <c r="G4" s="42" t="inlineStr">
        <is>
          <t>T</t>
        </is>
      </c>
      <c r="H4" s="42" t="inlineStr">
        <is>
          <t>Points</t>
        </is>
      </c>
    </row>
    <row r="5" ht="15" customHeight="1" s="2">
      <c r="B5" s="43" t="n">
        <v>1</v>
      </c>
      <c r="C5" s="52" t="inlineStr">
        <is>
          <t>Gray</t>
        </is>
      </c>
      <c r="D5" s="52" t="inlineStr">
        <is>
          <t>FBC 7</t>
        </is>
      </c>
      <c r="E5" s="52" t="n">
        <v>6</v>
      </c>
      <c r="F5" s="52" t="n">
        <v>0</v>
      </c>
      <c r="G5" s="52" t="n">
        <v>1</v>
      </c>
      <c r="H5" s="76" t="n">
        <v>7</v>
      </c>
    </row>
    <row r="6" ht="15" customHeight="1" s="2">
      <c r="B6" s="46" t="n">
        <v>2</v>
      </c>
      <c r="C6" s="55" t="inlineStr">
        <is>
          <t>Jackson</t>
        </is>
      </c>
      <c r="D6" s="55" t="inlineStr">
        <is>
          <t>FBC 6</t>
        </is>
      </c>
      <c r="E6" s="55" t="n">
        <v>6</v>
      </c>
      <c r="F6" s="55" t="n">
        <v>0</v>
      </c>
      <c r="G6" s="55" t="n">
        <v>0</v>
      </c>
      <c r="H6" s="78" t="n">
        <v>6.5</v>
      </c>
    </row>
    <row r="7" ht="15" customHeight="1" s="2">
      <c r="B7" s="43" t="n">
        <v>3</v>
      </c>
      <c r="C7" s="52" t="inlineStr">
        <is>
          <t>Connolly</t>
        </is>
      </c>
      <c r="D7" s="52" t="inlineStr">
        <is>
          <t>FBC 1</t>
        </is>
      </c>
      <c r="E7" s="52" t="n">
        <v>5</v>
      </c>
      <c r="F7" s="52" t="n">
        <v>0</v>
      </c>
      <c r="G7" s="52" t="n">
        <v>0</v>
      </c>
      <c r="H7" s="76" t="n">
        <v>6</v>
      </c>
    </row>
    <row r="8" ht="15" customHeight="1" s="2">
      <c r="B8" s="46" t="n">
        <v>4</v>
      </c>
      <c r="C8" s="55" t="inlineStr">
        <is>
          <t>Jackson</t>
        </is>
      </c>
      <c r="D8" s="55" t="inlineStr">
        <is>
          <t>FBC 2</t>
        </is>
      </c>
      <c r="E8" s="55" t="n">
        <v>5</v>
      </c>
      <c r="F8" s="55" t="n">
        <v>0</v>
      </c>
      <c r="G8" s="55" t="n">
        <v>0</v>
      </c>
      <c r="H8" s="78" t="n">
        <v>6</v>
      </c>
    </row>
    <row r="9" ht="15" customHeight="1" s="2">
      <c r="B9" s="43" t="n">
        <v>5</v>
      </c>
      <c r="C9" s="52" t="inlineStr">
        <is>
          <t>Connolly</t>
        </is>
      </c>
      <c r="D9" s="52" t="inlineStr">
        <is>
          <t>FBC 10</t>
        </is>
      </c>
      <c r="E9" s="52" t="n">
        <v>4</v>
      </c>
      <c r="F9" s="52" t="n">
        <v>0</v>
      </c>
      <c r="G9" s="52" t="n">
        <v>2</v>
      </c>
      <c r="H9" s="76" t="n">
        <v>6</v>
      </c>
    </row>
    <row r="10" ht="15" customHeight="1" s="2">
      <c r="B10" s="46" t="n">
        <v>6</v>
      </c>
      <c r="C10" s="55" t="inlineStr">
        <is>
          <t>McInerney</t>
        </is>
      </c>
      <c r="D10" s="55" t="inlineStr">
        <is>
          <t>FBC 6</t>
        </is>
      </c>
      <c r="E10" s="55" t="n">
        <v>5</v>
      </c>
      <c r="F10" s="55" t="n">
        <v>0</v>
      </c>
      <c r="G10" s="55" t="n">
        <v>1</v>
      </c>
      <c r="H10" s="78" t="n">
        <v>5.5</v>
      </c>
    </row>
    <row r="11" ht="15" customHeight="1" s="2">
      <c r="B11" s="43" t="n">
        <v>7</v>
      </c>
      <c r="C11" s="52" t="inlineStr">
        <is>
          <t>Ferrin</t>
        </is>
      </c>
      <c r="D11" s="52" t="inlineStr">
        <is>
          <t>FBC 1</t>
        </is>
      </c>
      <c r="E11" s="52" t="n">
        <v>4</v>
      </c>
      <c r="F11" s="52" t="n">
        <v>0</v>
      </c>
      <c r="G11" s="52" t="n">
        <v>1</v>
      </c>
      <c r="H11" s="76" t="n">
        <v>5.5</v>
      </c>
    </row>
    <row r="12" ht="15" customHeight="1" s="2">
      <c r="B12" s="46" t="n">
        <v>8</v>
      </c>
      <c r="C12" s="55" t="inlineStr">
        <is>
          <t>Forster</t>
        </is>
      </c>
      <c r="D12" s="55" t="inlineStr">
        <is>
          <t>FBC 2</t>
        </is>
      </c>
      <c r="E12" s="55" t="n">
        <v>4</v>
      </c>
      <c r="F12" s="55" t="n">
        <v>0</v>
      </c>
      <c r="G12" s="55" t="n">
        <v>1</v>
      </c>
      <c r="H12" s="78" t="n">
        <v>5.5</v>
      </c>
    </row>
    <row r="13" ht="15" customHeight="1" s="2">
      <c r="B13" s="43" t="n">
        <v>9</v>
      </c>
      <c r="C13" s="52" t="inlineStr">
        <is>
          <t>Gray</t>
        </is>
      </c>
      <c r="D13" s="52" t="inlineStr">
        <is>
          <t>FBC 10</t>
        </is>
      </c>
      <c r="E13" s="52" t="n">
        <v>3</v>
      </c>
      <c r="F13" s="52" t="n">
        <v>0</v>
      </c>
      <c r="G13" s="52" t="n">
        <v>3</v>
      </c>
      <c r="H13" s="76" t="n">
        <v>5.5</v>
      </c>
    </row>
  </sheetData>
  <mergeCells count="1"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10" defaultColWidth="8.6640625" defaultRowHeight="15"/>
  <cols>
    <col width="14" customWidth="1" style="2" min="2" max="2"/>
    <col width="16" customWidth="1" style="2" min="3" max="3"/>
    <col width="9" customWidth="1" style="2" min="4" max="4"/>
    <col width="16" customWidth="1" style="2" min="5" max="5"/>
    <col width="9" customWidth="1" style="2" min="6" max="6"/>
  </cols>
  <sheetData>
    <row r="1" ht="23" customHeight="1" s="2">
      <c r="B1" s="75" t="inlineStr">
        <is>
          <t>Nemesis &amp; Patsy</t>
        </is>
      </c>
    </row>
    <row r="2" ht="25.5" customHeight="1" s="2">
      <c r="B2" s="25" t="inlineStr">
        <is>
          <t>Head-to-head ownership across singles and as doubles opponents. Patsy = the opponent each player owns most (best W–L–T against); Nemesis = the opponent who owns them. Records from the player’s perspective; min 3 meetings.</t>
        </is>
      </c>
    </row>
    <row r="4">
      <c r="B4" s="42" t="inlineStr">
        <is>
          <t>Player</t>
        </is>
      </c>
      <c r="C4" s="42" t="inlineStr">
        <is>
          <t>Biggest Patsy</t>
        </is>
      </c>
      <c r="D4" s="42" t="inlineStr">
        <is>
          <t>Record</t>
        </is>
      </c>
      <c r="E4" s="42" t="inlineStr">
        <is>
          <t>Biggest Nemesis</t>
        </is>
      </c>
      <c r="F4" s="42" t="inlineStr">
        <is>
          <t>Record</t>
        </is>
      </c>
    </row>
    <row r="5">
      <c r="B5" s="43" t="inlineStr">
        <is>
          <t>Buss</t>
        </is>
      </c>
      <c r="C5" s="52" t="inlineStr">
        <is>
          <t>Flanders</t>
        </is>
      </c>
      <c r="D5" s="52" t="inlineStr">
        <is>
          <t>3–1–0</t>
        </is>
      </c>
      <c r="E5" s="52" t="inlineStr">
        <is>
          <t>Jackson</t>
        </is>
      </c>
      <c r="F5" s="52" t="inlineStr">
        <is>
          <t>1–3–0</t>
        </is>
      </c>
    </row>
    <row r="6">
      <c r="B6" s="46" t="inlineStr">
        <is>
          <t>Cole</t>
        </is>
      </c>
      <c r="C6" s="55" t="inlineStr">
        <is>
          <t>Connors</t>
        </is>
      </c>
      <c r="D6" s="55" t="inlineStr">
        <is>
          <t>5–1–2</t>
        </is>
      </c>
      <c r="E6" s="55" t="inlineStr">
        <is>
          <t>Forster</t>
        </is>
      </c>
      <c r="F6" s="55" t="inlineStr">
        <is>
          <t>1–5–1</t>
        </is>
      </c>
    </row>
    <row r="7">
      <c r="B7" s="43" t="inlineStr">
        <is>
          <t>Connolly</t>
        </is>
      </c>
      <c r="C7" s="52" t="inlineStr">
        <is>
          <t>Fogan</t>
        </is>
      </c>
      <c r="D7" s="52" t="inlineStr">
        <is>
          <t>6–0–0</t>
        </is>
      </c>
      <c r="E7" s="52" t="inlineStr">
        <is>
          <t>Grise</t>
        </is>
      </c>
      <c r="F7" s="52" t="inlineStr">
        <is>
          <t>3–6–2</t>
        </is>
      </c>
    </row>
    <row r="8">
      <c r="B8" s="46" t="inlineStr">
        <is>
          <t>Connors</t>
        </is>
      </c>
      <c r="C8" s="55" t="inlineStr">
        <is>
          <t>Buss</t>
        </is>
      </c>
      <c r="D8" s="55" t="inlineStr">
        <is>
          <t>2–1–1</t>
        </is>
      </c>
      <c r="E8" s="55" t="inlineStr">
        <is>
          <t>Fogan</t>
        </is>
      </c>
      <c r="F8" s="55" t="inlineStr">
        <is>
          <t>2–7–1</t>
        </is>
      </c>
    </row>
    <row r="9">
      <c r="B9" s="43" t="inlineStr">
        <is>
          <t>Delaney</t>
        </is>
      </c>
      <c r="C9" s="52" t="inlineStr">
        <is>
          <t>Shively</t>
        </is>
      </c>
      <c r="D9" s="52" t="inlineStr">
        <is>
          <t>3–1–2</t>
        </is>
      </c>
      <c r="E9" s="52" t="inlineStr">
        <is>
          <t>Jackson</t>
        </is>
      </c>
      <c r="F9" s="52" t="inlineStr">
        <is>
          <t>0–2–1</t>
        </is>
      </c>
    </row>
    <row r="10">
      <c r="B10" s="46" t="inlineStr">
        <is>
          <t>Delneky</t>
        </is>
      </c>
      <c r="C10" s="55" t="inlineStr">
        <is>
          <t>Connors</t>
        </is>
      </c>
      <c r="D10" s="55" t="inlineStr">
        <is>
          <t>5–1–0</t>
        </is>
      </c>
      <c r="E10" s="55" t="inlineStr">
        <is>
          <t>Delaney</t>
        </is>
      </c>
      <c r="F10" s="55" t="inlineStr">
        <is>
          <t>1–3–1</t>
        </is>
      </c>
    </row>
    <row r="11">
      <c r="B11" s="43" t="inlineStr">
        <is>
          <t>Deoteris</t>
        </is>
      </c>
      <c r="C11" s="52" t="inlineStr">
        <is>
          <t>—</t>
        </is>
      </c>
      <c r="D11" s="52" t="n"/>
      <c r="E11" s="52" t="inlineStr">
        <is>
          <t>Poirier</t>
        </is>
      </c>
      <c r="F11" s="52" t="inlineStr">
        <is>
          <t>0–2–2</t>
        </is>
      </c>
    </row>
    <row r="12">
      <c r="B12" s="46" t="inlineStr">
        <is>
          <t>Ferrin</t>
        </is>
      </c>
      <c r="C12" s="55" t="inlineStr">
        <is>
          <t>Shively</t>
        </is>
      </c>
      <c r="D12" s="55" t="inlineStr">
        <is>
          <t>7–1–0</t>
        </is>
      </c>
      <c r="E12" s="55" t="inlineStr">
        <is>
          <t>Perkins</t>
        </is>
      </c>
      <c r="F12" s="55" t="inlineStr">
        <is>
          <t>0–4–0</t>
        </is>
      </c>
    </row>
    <row r="13">
      <c r="B13" s="43" t="inlineStr">
        <is>
          <t>Flanders</t>
        </is>
      </c>
      <c r="C13" s="52" t="inlineStr">
        <is>
          <t>Welker</t>
        </is>
      </c>
      <c r="D13" s="52" t="inlineStr">
        <is>
          <t>4–0–0</t>
        </is>
      </c>
      <c r="E13" s="52" t="inlineStr">
        <is>
          <t>Gray</t>
        </is>
      </c>
      <c r="F13" s="52" t="inlineStr">
        <is>
          <t>2–7–0</t>
        </is>
      </c>
    </row>
    <row r="14">
      <c r="B14" s="46" t="inlineStr">
        <is>
          <t>Fogan</t>
        </is>
      </c>
      <c r="C14" s="55" t="inlineStr">
        <is>
          <t>Connors</t>
        </is>
      </c>
      <c r="D14" s="55" t="inlineStr">
        <is>
          <t>7–2–1</t>
        </is>
      </c>
      <c r="E14" s="55" t="inlineStr">
        <is>
          <t>Lynch</t>
        </is>
      </c>
      <c r="F14" s="55" t="inlineStr">
        <is>
          <t>0–8–0</t>
        </is>
      </c>
    </row>
    <row r="15">
      <c r="B15" s="43" t="inlineStr">
        <is>
          <t>Forster</t>
        </is>
      </c>
      <c r="C15" s="52" t="inlineStr">
        <is>
          <t>McInerney</t>
        </is>
      </c>
      <c r="D15" s="52" t="inlineStr">
        <is>
          <t>5–0–1</t>
        </is>
      </c>
      <c r="E15" s="52" t="inlineStr">
        <is>
          <t>Flanders</t>
        </is>
      </c>
      <c r="F15" s="52" t="inlineStr">
        <is>
          <t>2–5–1</t>
        </is>
      </c>
    </row>
    <row r="16">
      <c r="B16" s="46" t="inlineStr">
        <is>
          <t>Gray</t>
        </is>
      </c>
      <c r="C16" s="55" t="inlineStr">
        <is>
          <t>Flanders</t>
        </is>
      </c>
      <c r="D16" s="55" t="inlineStr">
        <is>
          <t>7–2–0</t>
        </is>
      </c>
      <c r="E16" s="55" t="inlineStr">
        <is>
          <t>Hilts</t>
        </is>
      </c>
      <c r="F16" s="55" t="inlineStr">
        <is>
          <t>0–3–0</t>
        </is>
      </c>
    </row>
    <row r="17">
      <c r="B17" s="43" t="inlineStr">
        <is>
          <t>Grise</t>
        </is>
      </c>
      <c r="C17" s="52" t="inlineStr">
        <is>
          <t>Mangold</t>
        </is>
      </c>
      <c r="D17" s="52" t="inlineStr">
        <is>
          <t>6–2–1</t>
        </is>
      </c>
      <c r="E17" s="52" t="inlineStr">
        <is>
          <t>Poirier</t>
        </is>
      </c>
      <c r="F17" s="52" t="inlineStr">
        <is>
          <t>2–6–0</t>
        </is>
      </c>
    </row>
    <row r="18">
      <c r="B18" s="46" t="inlineStr">
        <is>
          <t>Hickerson</t>
        </is>
      </c>
      <c r="C18" s="55" t="inlineStr">
        <is>
          <t>Hilts</t>
        </is>
      </c>
      <c r="D18" s="55" t="inlineStr">
        <is>
          <t>3–2–1</t>
        </is>
      </c>
      <c r="E18" s="55" t="inlineStr">
        <is>
          <t>Forster</t>
        </is>
      </c>
      <c r="F18" s="55" t="inlineStr">
        <is>
          <t>0–3–0</t>
        </is>
      </c>
    </row>
    <row r="19">
      <c r="B19" s="43" t="inlineStr">
        <is>
          <t>Hilts</t>
        </is>
      </c>
      <c r="C19" s="52" t="inlineStr">
        <is>
          <t>Shively</t>
        </is>
      </c>
      <c r="D19" s="52" t="inlineStr">
        <is>
          <t>6–2–2</t>
        </is>
      </c>
      <c r="E19" s="52" t="inlineStr">
        <is>
          <t>Jackson</t>
        </is>
      </c>
      <c r="F19" s="52" t="inlineStr">
        <is>
          <t>1–5–1</t>
        </is>
      </c>
    </row>
    <row r="20">
      <c r="B20" s="46" t="inlineStr">
        <is>
          <t>Jackson</t>
        </is>
      </c>
      <c r="C20" s="55" t="inlineStr">
        <is>
          <t>Zimmer</t>
        </is>
      </c>
      <c r="D20" s="55" t="inlineStr">
        <is>
          <t>7–1–1</t>
        </is>
      </c>
      <c r="E20" s="55" t="inlineStr">
        <is>
          <t>Perkins</t>
        </is>
      </c>
      <c r="F20" s="55" t="inlineStr">
        <is>
          <t>1–3–0</t>
        </is>
      </c>
    </row>
    <row r="21">
      <c r="B21" s="43" t="inlineStr">
        <is>
          <t>Lynch</t>
        </is>
      </c>
      <c r="C21" s="52" t="inlineStr">
        <is>
          <t>Fogan</t>
        </is>
      </c>
      <c r="D21" s="52" t="inlineStr">
        <is>
          <t>8–0–0</t>
        </is>
      </c>
      <c r="E21" s="52" t="inlineStr">
        <is>
          <t>Jackson</t>
        </is>
      </c>
      <c r="F21" s="52" t="inlineStr">
        <is>
          <t>4–6–2</t>
        </is>
      </c>
    </row>
    <row r="22">
      <c r="B22" s="46" t="inlineStr">
        <is>
          <t>Mangold</t>
        </is>
      </c>
      <c r="C22" s="55" t="inlineStr">
        <is>
          <t>Piegari</t>
        </is>
      </c>
      <c r="D22" s="55" t="inlineStr">
        <is>
          <t>3–0–1</t>
        </is>
      </c>
      <c r="E22" s="55" t="inlineStr">
        <is>
          <t>Shively</t>
        </is>
      </c>
      <c r="F22" s="55" t="inlineStr">
        <is>
          <t>1–6–1</t>
        </is>
      </c>
    </row>
    <row r="23">
      <c r="B23" s="43" t="inlineStr">
        <is>
          <t>McInerney</t>
        </is>
      </c>
      <c r="C23" s="52" t="inlineStr">
        <is>
          <t>Norat</t>
        </is>
      </c>
      <c r="D23" s="52" t="inlineStr">
        <is>
          <t>5–1–2</t>
        </is>
      </c>
      <c r="E23" s="52" t="inlineStr">
        <is>
          <t>Forster</t>
        </is>
      </c>
      <c r="F23" s="52" t="inlineStr">
        <is>
          <t>0–5–1</t>
        </is>
      </c>
    </row>
    <row r="24">
      <c r="B24" s="46" t="inlineStr">
        <is>
          <t>Norat</t>
        </is>
      </c>
      <c r="C24" s="55" t="inlineStr">
        <is>
          <t>Lynch</t>
        </is>
      </c>
      <c r="D24" s="55" t="inlineStr">
        <is>
          <t>3–1–0</t>
        </is>
      </c>
      <c r="E24" s="55" t="inlineStr">
        <is>
          <t>McInerney</t>
        </is>
      </c>
      <c r="F24" s="55" t="inlineStr">
        <is>
          <t>1–5–2</t>
        </is>
      </c>
    </row>
    <row r="25">
      <c r="B25" s="43" t="inlineStr">
        <is>
          <t>Perkins</t>
        </is>
      </c>
      <c r="C25" s="52" t="inlineStr">
        <is>
          <t>Piegari</t>
        </is>
      </c>
      <c r="D25" s="52" t="inlineStr">
        <is>
          <t>5–0–0</t>
        </is>
      </c>
      <c r="E25" s="52" t="inlineStr">
        <is>
          <t>R. Connolly</t>
        </is>
      </c>
      <c r="F25" s="52" t="inlineStr">
        <is>
          <t>1–3–0</t>
        </is>
      </c>
    </row>
    <row r="26">
      <c r="B26" s="46" t="inlineStr">
        <is>
          <t>Piegari</t>
        </is>
      </c>
      <c r="C26" s="55" t="inlineStr">
        <is>
          <t>—</t>
        </is>
      </c>
      <c r="D26" s="55" t="n"/>
      <c r="E26" s="55" t="inlineStr">
        <is>
          <t>Perkins</t>
        </is>
      </c>
      <c r="F26" s="55" t="inlineStr">
        <is>
          <t>0–5–0</t>
        </is>
      </c>
    </row>
    <row r="27">
      <c r="B27" s="43" t="inlineStr">
        <is>
          <t>Poirier</t>
        </is>
      </c>
      <c r="C27" s="52" t="inlineStr">
        <is>
          <t>Flanders</t>
        </is>
      </c>
      <c r="D27" s="52" t="inlineStr">
        <is>
          <t>6–2–2</t>
        </is>
      </c>
      <c r="E27" s="52" t="inlineStr">
        <is>
          <t>McInerney</t>
        </is>
      </c>
      <c r="F27" s="52" t="inlineStr">
        <is>
          <t>0–4–0</t>
        </is>
      </c>
    </row>
    <row r="28">
      <c r="B28" s="46" t="inlineStr">
        <is>
          <t>R. Connolly</t>
        </is>
      </c>
      <c r="C28" s="55" t="inlineStr">
        <is>
          <t>Perkins</t>
        </is>
      </c>
      <c r="D28" s="55" t="inlineStr">
        <is>
          <t>3–1–0</t>
        </is>
      </c>
      <c r="E28" s="55" t="inlineStr">
        <is>
          <t>—</t>
        </is>
      </c>
      <c r="F28" s="55" t="n"/>
    </row>
    <row r="29">
      <c r="B29" s="43" t="inlineStr">
        <is>
          <t>Shively</t>
        </is>
      </c>
      <c r="C29" s="52" t="inlineStr">
        <is>
          <t>Mangold</t>
        </is>
      </c>
      <c r="D29" s="52" t="inlineStr">
        <is>
          <t>6–1–1</t>
        </is>
      </c>
      <c r="E29" s="52" t="inlineStr">
        <is>
          <t>Ferrin</t>
        </is>
      </c>
      <c r="F29" s="52" t="inlineStr">
        <is>
          <t>1–7–0</t>
        </is>
      </c>
    </row>
    <row r="30">
      <c r="B30" s="46" t="inlineStr">
        <is>
          <t>Weisberger</t>
        </is>
      </c>
      <c r="C30" s="55" t="inlineStr">
        <is>
          <t>Grise</t>
        </is>
      </c>
      <c r="D30" s="55" t="inlineStr">
        <is>
          <t>3–2–0</t>
        </is>
      </c>
      <c r="E30" s="55" t="inlineStr">
        <is>
          <t>Jackson</t>
        </is>
      </c>
      <c r="F30" s="55" t="inlineStr">
        <is>
          <t>1–3–0</t>
        </is>
      </c>
    </row>
    <row r="31">
      <c r="B31" s="43" t="inlineStr">
        <is>
          <t>Welker</t>
        </is>
      </c>
      <c r="C31" s="52" t="inlineStr">
        <is>
          <t>Cole</t>
        </is>
      </c>
      <c r="D31" s="52" t="inlineStr">
        <is>
          <t>4–1–1</t>
        </is>
      </c>
      <c r="E31" s="52" t="inlineStr">
        <is>
          <t>Lynch</t>
        </is>
      </c>
      <c r="F31" s="52" t="inlineStr">
        <is>
          <t>1–5–1</t>
        </is>
      </c>
    </row>
    <row r="32">
      <c r="B32" s="46" t="inlineStr">
        <is>
          <t>Zimmer</t>
        </is>
      </c>
      <c r="C32" s="55" t="inlineStr">
        <is>
          <t>Connors</t>
        </is>
      </c>
      <c r="D32" s="55" t="inlineStr">
        <is>
          <t>5–1–0</t>
        </is>
      </c>
      <c r="E32" s="55" t="inlineStr">
        <is>
          <t>Jackson</t>
        </is>
      </c>
      <c r="F32" s="55" t="inlineStr">
        <is>
          <t>1–7–1</t>
        </is>
      </c>
    </row>
  </sheetData>
  <mergeCells count="1">
    <mergeCell ref="B2:F2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10" defaultColWidth="8.6640625" defaultRowHeight="15"/>
  <cols>
    <col width="14" customWidth="1" style="2" min="2" max="2"/>
    <col width="9" customWidth="1" style="2" min="3" max="3"/>
    <col width="18" customWidth="1" style="2" min="4" max="5"/>
    <col width="10" customWidth="1" style="2" min="6" max="6"/>
  </cols>
  <sheetData>
    <row r="1" ht="23" customHeight="1" s="2">
      <c r="B1" s="75" t="inlineStr">
        <is>
          <t>Streak Tracker</t>
        </is>
      </c>
    </row>
    <row r="2" ht="25.5" customHeight="1" s="2">
      <c r="B2" s="25" t="inlineStr">
        <is>
          <t>Longest consecutive runs in head-to-head matches (singles + doubles), in chronological order across all cups. A tie breaks a streak. Current = the active run as of each player’s most recent cup. Min 10 matches.</t>
        </is>
      </c>
    </row>
    <row r="4">
      <c r="B4" s="42" t="inlineStr">
        <is>
          <t>Player</t>
        </is>
      </c>
      <c r="C4" s="42" t="inlineStr">
        <is>
          <t>Matches</t>
        </is>
      </c>
      <c r="D4" s="42" t="inlineStr">
        <is>
          <t>Longest Win Streak</t>
        </is>
      </c>
      <c r="E4" s="42" t="inlineStr">
        <is>
          <t>Longest Loss Streak</t>
        </is>
      </c>
      <c r="F4" s="42" t="inlineStr">
        <is>
          <t>Current</t>
        </is>
      </c>
    </row>
    <row r="5">
      <c r="B5" s="43" t="inlineStr">
        <is>
          <t>Jackson</t>
        </is>
      </c>
      <c r="C5" s="52" t="n">
        <v>64</v>
      </c>
      <c r="D5" s="52" t="n">
        <v>8</v>
      </c>
      <c r="E5" s="52" t="n">
        <v>4</v>
      </c>
      <c r="F5" s="86" t="inlineStr">
        <is>
          <t>L2</t>
        </is>
      </c>
    </row>
    <row r="6">
      <c r="B6" s="46" t="inlineStr">
        <is>
          <t>Perkins</t>
        </is>
      </c>
      <c r="C6" s="55" t="n">
        <v>23</v>
      </c>
      <c r="D6" s="55" t="n">
        <v>7</v>
      </c>
      <c r="E6" s="55" t="n">
        <v>4</v>
      </c>
      <c r="F6" s="83" t="inlineStr">
        <is>
          <t>W2</t>
        </is>
      </c>
    </row>
    <row r="7">
      <c r="B7" s="43" t="inlineStr">
        <is>
          <t>Delneky</t>
        </is>
      </c>
      <c r="C7" s="52" t="n">
        <v>27</v>
      </c>
      <c r="D7" s="52" t="n">
        <v>5</v>
      </c>
      <c r="E7" s="52" t="n">
        <v>2</v>
      </c>
      <c r="F7" s="82" t="inlineStr">
        <is>
          <t>W2</t>
        </is>
      </c>
    </row>
    <row r="8">
      <c r="B8" s="46" t="inlineStr">
        <is>
          <t>Grise</t>
        </is>
      </c>
      <c r="C8" s="55" t="n">
        <v>64</v>
      </c>
      <c r="D8" s="55" t="n">
        <v>5</v>
      </c>
      <c r="E8" s="55" t="n">
        <v>3</v>
      </c>
      <c r="F8" s="87" t="inlineStr">
        <is>
          <t>L1</t>
        </is>
      </c>
    </row>
    <row r="9">
      <c r="B9" s="43" t="inlineStr">
        <is>
          <t>McInerney</t>
        </is>
      </c>
      <c r="C9" s="52" t="n">
        <v>42</v>
      </c>
      <c r="D9" s="52" t="n">
        <v>5</v>
      </c>
      <c r="E9" s="52" t="n">
        <v>4</v>
      </c>
      <c r="F9" s="82" t="inlineStr">
        <is>
          <t>W1</t>
        </is>
      </c>
    </row>
    <row r="10">
      <c r="B10" s="46" t="inlineStr">
        <is>
          <t>Connolly</t>
        </is>
      </c>
      <c r="C10" s="55" t="n">
        <v>64</v>
      </c>
      <c r="D10" s="55" t="n">
        <v>5</v>
      </c>
      <c r="E10" s="55" t="n">
        <v>6</v>
      </c>
      <c r="F10" s="83" t="inlineStr">
        <is>
          <t>W2</t>
        </is>
      </c>
    </row>
    <row r="11">
      <c r="B11" s="43" t="inlineStr">
        <is>
          <t>Gray</t>
        </is>
      </c>
      <c r="C11" s="52" t="n">
        <v>37</v>
      </c>
      <c r="D11" s="52" t="n">
        <v>4</v>
      </c>
      <c r="E11" s="52" t="n">
        <v>3</v>
      </c>
      <c r="F11" s="86" t="inlineStr">
        <is>
          <t>L3</t>
        </is>
      </c>
    </row>
    <row r="12">
      <c r="B12" s="46" t="inlineStr">
        <is>
          <t>Norat</t>
        </is>
      </c>
      <c r="C12" s="55" t="n">
        <v>31</v>
      </c>
      <c r="D12" s="55" t="n">
        <v>4</v>
      </c>
      <c r="E12" s="55" t="n">
        <v>3</v>
      </c>
      <c r="F12" s="83" t="inlineStr">
        <is>
          <t>W1</t>
        </is>
      </c>
    </row>
    <row r="13">
      <c r="B13" s="43" t="inlineStr">
        <is>
          <t>R. Connolly</t>
        </is>
      </c>
      <c r="C13" s="52" t="n">
        <v>13</v>
      </c>
      <c r="D13" s="52" t="n">
        <v>4</v>
      </c>
      <c r="E13" s="52" t="n">
        <v>3</v>
      </c>
      <c r="F13" s="82" t="inlineStr">
        <is>
          <t>W1</t>
        </is>
      </c>
    </row>
    <row r="14">
      <c r="B14" s="46" t="inlineStr">
        <is>
          <t>Lynch</t>
        </is>
      </c>
      <c r="C14" s="55" t="n">
        <v>64</v>
      </c>
      <c r="D14" s="55" t="n">
        <v>4</v>
      </c>
      <c r="E14" s="55" t="n">
        <v>4</v>
      </c>
      <c r="F14" s="87" t="inlineStr">
        <is>
          <t>L1</t>
        </is>
      </c>
    </row>
    <row r="15">
      <c r="B15" s="43" t="inlineStr">
        <is>
          <t>Hilts</t>
        </is>
      </c>
      <c r="C15" s="52" t="n">
        <v>58</v>
      </c>
      <c r="D15" s="52" t="n">
        <v>4</v>
      </c>
      <c r="E15" s="52" t="n">
        <v>4</v>
      </c>
      <c r="F15" s="82" t="inlineStr">
        <is>
          <t>W1</t>
        </is>
      </c>
    </row>
    <row r="16">
      <c r="B16" s="46" t="inlineStr">
        <is>
          <t>Welker</t>
        </is>
      </c>
      <c r="C16" s="55" t="n">
        <v>42</v>
      </c>
      <c r="D16" s="55" t="n">
        <v>4</v>
      </c>
      <c r="E16" s="55" t="n">
        <v>4</v>
      </c>
      <c r="F16" s="83" t="inlineStr">
        <is>
          <t>W1</t>
        </is>
      </c>
    </row>
    <row r="17">
      <c r="B17" s="43" t="inlineStr">
        <is>
          <t>Ferrin</t>
        </is>
      </c>
      <c r="C17" s="52" t="n">
        <v>64</v>
      </c>
      <c r="D17" s="52" t="n">
        <v>4</v>
      </c>
      <c r="E17" s="52" t="n">
        <v>5</v>
      </c>
      <c r="F17" s="86" t="inlineStr">
        <is>
          <t>L1</t>
        </is>
      </c>
    </row>
    <row r="18">
      <c r="B18" s="46" t="inlineStr">
        <is>
          <t>Flanders</t>
        </is>
      </c>
      <c r="C18" s="55" t="n">
        <v>64</v>
      </c>
      <c r="D18" s="55" t="n">
        <v>4</v>
      </c>
      <c r="E18" s="55" t="n">
        <v>5</v>
      </c>
      <c r="F18" s="83" t="inlineStr">
        <is>
          <t>W3</t>
        </is>
      </c>
    </row>
    <row r="19">
      <c r="B19" s="43" t="inlineStr">
        <is>
          <t>Mangold</t>
        </is>
      </c>
      <c r="C19" s="52" t="n">
        <v>58</v>
      </c>
      <c r="D19" s="52" t="n">
        <v>4</v>
      </c>
      <c r="E19" s="52" t="n">
        <v>5</v>
      </c>
      <c r="F19" s="86" t="inlineStr">
        <is>
          <t>L1</t>
        </is>
      </c>
    </row>
    <row r="20">
      <c r="B20" s="46" t="inlineStr">
        <is>
          <t>Shively</t>
        </is>
      </c>
      <c r="C20" s="55" t="n">
        <v>58</v>
      </c>
      <c r="D20" s="55" t="n">
        <v>4</v>
      </c>
      <c r="E20" s="55" t="n">
        <v>6</v>
      </c>
      <c r="F20" s="87" t="inlineStr">
        <is>
          <t>L2</t>
        </is>
      </c>
    </row>
    <row r="21">
      <c r="B21" s="43" t="inlineStr">
        <is>
          <t>Forster</t>
        </is>
      </c>
      <c r="C21" s="52" t="n">
        <v>58</v>
      </c>
      <c r="D21" s="52" t="n">
        <v>4</v>
      </c>
      <c r="E21" s="52" t="n">
        <v>7</v>
      </c>
      <c r="F21" s="82" t="inlineStr">
        <is>
          <t>W1</t>
        </is>
      </c>
    </row>
    <row r="22">
      <c r="B22" s="46" t="inlineStr">
        <is>
          <t>Fogan</t>
        </is>
      </c>
      <c r="C22" s="55" t="n">
        <v>59</v>
      </c>
      <c r="D22" s="55" t="n">
        <v>4</v>
      </c>
      <c r="E22" s="55" t="n">
        <v>13</v>
      </c>
      <c r="F22" s="87" t="inlineStr">
        <is>
          <t>L1</t>
        </is>
      </c>
    </row>
    <row r="23">
      <c r="B23" s="43" t="inlineStr">
        <is>
          <t>Delaney</t>
        </is>
      </c>
      <c r="C23" s="52" t="n">
        <v>33</v>
      </c>
      <c r="D23" s="52" t="n">
        <v>3</v>
      </c>
      <c r="E23" s="52" t="n">
        <v>3</v>
      </c>
      <c r="F23" s="82" t="inlineStr">
        <is>
          <t>W1</t>
        </is>
      </c>
    </row>
    <row r="24">
      <c r="B24" s="46" t="inlineStr">
        <is>
          <t>Deoteris</t>
        </is>
      </c>
      <c r="C24" s="55" t="n">
        <v>16</v>
      </c>
      <c r="D24" s="55" t="n">
        <v>3</v>
      </c>
      <c r="E24" s="55" t="n">
        <v>3</v>
      </c>
      <c r="F24" s="87" t="inlineStr">
        <is>
          <t>L3</t>
        </is>
      </c>
    </row>
    <row r="25">
      <c r="B25" s="43" t="inlineStr">
        <is>
          <t>Zimmer</t>
        </is>
      </c>
      <c r="C25" s="52" t="n">
        <v>54</v>
      </c>
      <c r="D25" s="52" t="n">
        <v>3</v>
      </c>
      <c r="E25" s="52" t="n">
        <v>6</v>
      </c>
      <c r="F25" s="86" t="inlineStr">
        <is>
          <t>L1</t>
        </is>
      </c>
    </row>
    <row r="26">
      <c r="B26" s="46" t="inlineStr">
        <is>
          <t>Buss</t>
        </is>
      </c>
      <c r="C26" s="55" t="n">
        <v>26</v>
      </c>
      <c r="D26" s="55" t="n">
        <v>2</v>
      </c>
      <c r="E26" s="55" t="n">
        <v>3</v>
      </c>
      <c r="F26" s="87" t="inlineStr">
        <is>
          <t>L2</t>
        </is>
      </c>
    </row>
    <row r="27">
      <c r="B27" s="43" t="inlineStr">
        <is>
          <t>Weisberger</t>
        </is>
      </c>
      <c r="C27" s="52" t="n">
        <v>15</v>
      </c>
      <c r="D27" s="52" t="n">
        <v>2</v>
      </c>
      <c r="E27" s="52" t="n">
        <v>3</v>
      </c>
      <c r="F27" s="86" t="inlineStr">
        <is>
          <t>L1</t>
        </is>
      </c>
    </row>
    <row r="28">
      <c r="B28" s="46" t="inlineStr">
        <is>
          <t>Cole</t>
        </is>
      </c>
      <c r="C28" s="55" t="n">
        <v>52</v>
      </c>
      <c r="D28" s="55" t="n">
        <v>2</v>
      </c>
      <c r="E28" s="55" t="n">
        <v>4</v>
      </c>
      <c r="F28" s="83" t="inlineStr">
        <is>
          <t>W1</t>
        </is>
      </c>
    </row>
    <row r="29">
      <c r="B29" s="43" t="inlineStr">
        <is>
          <t>Connors</t>
        </is>
      </c>
      <c r="C29" s="52" t="n">
        <v>52</v>
      </c>
      <c r="D29" s="52" t="n">
        <v>2</v>
      </c>
      <c r="E29" s="52" t="n">
        <v>5</v>
      </c>
      <c r="F29" s="86" t="inlineStr">
        <is>
          <t>L1</t>
        </is>
      </c>
    </row>
    <row r="30">
      <c r="B30" s="46" t="inlineStr">
        <is>
          <t>Poirier</t>
        </is>
      </c>
      <c r="C30" s="55" t="n">
        <v>38</v>
      </c>
      <c r="D30" s="55" t="n">
        <v>2</v>
      </c>
      <c r="E30" s="55" t="n">
        <v>5</v>
      </c>
      <c r="F30" s="83" t="inlineStr">
        <is>
          <t>W1</t>
        </is>
      </c>
    </row>
    <row r="31">
      <c r="B31" s="43" t="inlineStr">
        <is>
          <t>Hickerson</t>
        </is>
      </c>
      <c r="C31" s="52" t="n">
        <v>20</v>
      </c>
      <c r="D31" s="52" t="n">
        <v>2</v>
      </c>
      <c r="E31" s="52" t="n">
        <v>5</v>
      </c>
      <c r="F31" s="86" t="inlineStr">
        <is>
          <t>L5</t>
        </is>
      </c>
    </row>
    <row r="32">
      <c r="B32" s="46" t="inlineStr">
        <is>
          <t>Piegari</t>
        </is>
      </c>
      <c r="C32" s="55" t="n">
        <v>12</v>
      </c>
      <c r="D32" s="55" t="n">
        <v>1</v>
      </c>
      <c r="E32" s="55" t="n">
        <v>3</v>
      </c>
      <c r="F32" s="87" t="inlineStr">
        <is>
          <t>L1</t>
        </is>
      </c>
    </row>
  </sheetData>
  <mergeCells count="1">
    <mergeCell ref="B2:F2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6"/>
  <sheetViews>
    <sheetView tabSelected="1" zoomScaleNormal="100" workbookViewId="0">
      <selection activeCell="A1" sqref="A1"/>
    </sheetView>
  </sheetViews>
  <sheetFormatPr baseColWidth="10" defaultColWidth="8.83203125" defaultRowHeight="15"/>
  <sheetData>
    <row r="1" ht="15" customHeight="1" s="2">
      <c r="A1" s="26" t="n"/>
      <c r="B1" s="26" t="n"/>
      <c r="C1" s="26" t="n"/>
      <c r="D1" s="26" t="n"/>
      <c r="E1" s="26" t="n"/>
      <c r="F1" s="26" t="n"/>
      <c r="G1" s="26" t="n"/>
      <c r="H1" s="26" t="n"/>
    </row>
    <row r="4" ht="15" customHeight="1" s="2">
      <c r="E4" t="inlineStr">
        <is>
          <t>Record Book</t>
        </is>
      </c>
    </row>
    <row r="6" ht="15" customHeight="1" s="2">
      <c r="E6" t="inlineStr">
        <is>
          <t>All Time Records</t>
        </is>
      </c>
    </row>
    <row r="7" ht="15" customHeight="1" s="2">
      <c r="E7" t="inlineStr">
        <is>
          <t>Most Cups</t>
        </is>
      </c>
      <c r="F7">
        <f>MAX(Cups!$O$3:$O$32)</f>
        <v/>
      </c>
      <c r="H7">
        <f>INDEX(Cups!$B$3:$B$32,MATCH(F7,Cups!$O$3:$O$32,0))</f>
        <v/>
      </c>
    </row>
    <row r="8" ht="15" customHeight="1" s="2">
      <c r="E8" t="inlineStr">
        <is>
          <t>Highest Cup Win %</t>
        </is>
      </c>
      <c r="F8" t="n">
        <v>0.82</v>
      </c>
      <c r="H8" t="inlineStr">
        <is>
          <t>Lynch/Connolly</t>
        </is>
      </c>
    </row>
    <row r="9" ht="15" customHeight="1" s="2">
      <c r="E9" t="inlineStr">
        <is>
          <t>Lowest Cup Win % (&gt;1 tourney)</t>
        </is>
      </c>
      <c r="F9" t="n">
        <v>0.23</v>
      </c>
      <c r="H9" t="inlineStr">
        <is>
          <t>Forster/Mangold</t>
        </is>
      </c>
    </row>
    <row r="10" ht="15" customHeight="1" s="2">
      <c r="E10" t="inlineStr">
        <is>
          <t>Most Total Points</t>
        </is>
      </c>
      <c r="F10">
        <f>MAX(LifetimeLeaderboard!$C$5:$C$35)</f>
        <v/>
      </c>
      <c r="H10">
        <f>INDEX(LifetimeLeaderboard!$B$5:$B$35,MATCH(F10,LifetimeLeaderboard!$C$5:$C$35,0))</f>
        <v/>
      </c>
    </row>
    <row r="11" ht="15" customHeight="1" s="2">
      <c r="E11" t="inlineStr">
        <is>
          <t>Highest Points per Cup (&gt;3 FBCs)</t>
        </is>
      </c>
      <c r="F11" t="n">
        <v>4.5</v>
      </c>
      <c r="H11" t="inlineStr">
        <is>
          <t>Perkins</t>
        </is>
      </c>
    </row>
    <row r="12" ht="96" customHeight="1" s="2">
      <c r="E12" t="inlineStr">
        <is>
          <t>Highest Tandem Win % (&gt;2 matches)</t>
        </is>
      </c>
      <c r="F12" s="88">
        <f>SUMPRODUCT(MAX(('Singles_Doubles records'!$N$5:$N$168&gt;=3)*'Singles_Doubles records'!$M$5:$M$168))</f>
        <v/>
      </c>
      <c r="H12" s="89">
        <f>INDEX('Singles_Doubles records'!$I$5:$I$168,MATCH(F12,INDEX(('Singles_Doubles records'!$N$5:$N$168&gt;=3)*'Singles_Doubles records'!$M$5:$M$168,0,1),0))</f>
        <v/>
      </c>
    </row>
    <row r="13" ht="15" customHeight="1" s="2">
      <c r="E13" t="inlineStr">
        <is>
          <t>Largest Margin of Victory</t>
        </is>
      </c>
      <c r="F13" t="n">
        <v>7.5</v>
      </c>
      <c r="H13" t="inlineStr">
        <is>
          <t>Team Welker over Team Flanders (FBC VI)</t>
        </is>
      </c>
    </row>
    <row r="15" ht="15" customHeight="1" s="2">
      <c r="E15" t="inlineStr">
        <is>
          <t>Largest Margin of Victory</t>
        </is>
      </c>
    </row>
    <row r="16" ht="96" customHeight="1" s="2">
      <c r="E16" t="inlineStr">
        <is>
          <t>Singles</t>
        </is>
      </c>
      <c r="F16" t="inlineStr">
        <is>
          <t>8&amp;7</t>
        </is>
      </c>
      <c r="H16" s="89" t="inlineStr">
        <is>
          <t>Cole def. Mangold (FBC VI)
Delneky def. Hilts (FBC X)</t>
        </is>
      </c>
    </row>
    <row r="17" ht="144" customHeight="1" s="2">
      <c r="E17" t="inlineStr">
        <is>
          <t>Best Ball</t>
        </is>
      </c>
      <c r="F17" t="inlineStr">
        <is>
          <t>5&amp;4</t>
        </is>
      </c>
      <c r="H17" s="89" t="inlineStr">
        <is>
          <t>ConnollyShively def. FlandersMangold (FBC I)
FoganLynch def. GrayNorat (FBC IV)</t>
        </is>
      </c>
    </row>
    <row r="18" ht="159.75" customHeight="1" s="2">
      <c r="E18" t="inlineStr">
        <is>
          <t>Vegas</t>
        </is>
      </c>
      <c r="F18" t="inlineStr">
        <is>
          <t>5&amp;4</t>
        </is>
      </c>
      <c r="H18" s="89" t="inlineStr">
        <is>
          <t>DeoterisFerrin def FlandersForster (FBC VIII)
HiltsWelker def ColeFogan (FBC VIII)</t>
        </is>
      </c>
    </row>
    <row r="19" ht="144" customHeight="1" s="2">
      <c r="E19" t="inlineStr">
        <is>
          <t>Hi Lo</t>
        </is>
      </c>
      <c r="F19" t="inlineStr">
        <is>
          <t>7&amp;3</t>
        </is>
      </c>
      <c r="H19" s="89" t="inlineStr">
        <is>
          <t>ForsterLynch def. ColeFerrin (FBC II)
GrayNorat def. LynchFogan (FBC IV)</t>
        </is>
      </c>
    </row>
    <row r="20" ht="240" customHeight="1" s="2">
      <c r="E20" t="inlineStr">
        <is>
          <t>Pinehurst</t>
        </is>
      </c>
      <c r="F20" t="inlineStr">
        <is>
          <t>5&amp;4</t>
        </is>
      </c>
      <c r="H20" s="89" t="inlineStr">
        <is>
          <t>ConnollyShively def. FlandersMangold (FBCI)
ConnollyForster def. FerrinJackson (FBC V)
NoratZimmer def. ColeConnors (FBC V)</t>
        </is>
      </c>
    </row>
    <row r="21" ht="15" customHeight="1" s="2">
      <c r="E21" t="inlineStr">
        <is>
          <t>Scramble-Stableford</t>
        </is>
      </c>
      <c r="F21" t="n">
        <v>12.5</v>
      </c>
      <c r="H21" t="inlineStr">
        <is>
          <t>ConnollyJackson def. FoganWeisberger</t>
        </is>
      </c>
    </row>
    <row r="23" ht="15" customHeight="1" s="2">
      <c r="E23" t="inlineStr">
        <is>
          <t>Most Scramble Points</t>
        </is>
      </c>
      <c r="F23" t="n">
        <v>24</v>
      </c>
      <c r="H23" t="inlineStr">
        <is>
          <t>ConnollyMcInerney (FBC IV)</t>
        </is>
      </c>
    </row>
    <row r="24" ht="15" customHeight="1" s="2">
      <c r="E24" t="inlineStr">
        <is>
          <t>Most Consecutive Craps Points</t>
        </is>
      </c>
      <c r="F24" t="n">
        <v>6</v>
      </c>
      <c r="H24" t="inlineStr">
        <is>
          <t>Fogan (FBC VI)</t>
        </is>
      </c>
    </row>
    <row r="26" ht="15" customHeight="1" s="2">
      <c r="E26" s="90" t="inlineStr">
        <is>
          <t>Live records (Most Cups, Most Total Points, Highest Tandem) update from Archives. Margin records below are entered manually.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6"/>
  <sheetViews>
    <sheetView zoomScaleNormal="100" workbookViewId="0">
      <selection activeCell="A1" sqref="A1"/>
    </sheetView>
  </sheetViews>
  <sheetFormatPr baseColWidth="10" defaultColWidth="8.83203125" defaultRowHeight="15"/>
  <sheetData>
    <row r="1" ht="15" customHeight="1" s="2">
      <c r="A1" s="26" t="n"/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</row>
    <row r="3" ht="15" customHeight="1" s="2">
      <c r="D3" t="inlineStr">
        <is>
          <t>Nerd-Hooligan Index</t>
        </is>
      </c>
      <c r="H3" t="inlineStr">
        <is>
          <t>Nerd-Hooligan Index</t>
        </is>
      </c>
      <c r="K3" t="inlineStr">
        <is>
          <t xml:space="preserve">Lifetime Dunkaroos + Times Arrested + [Table Dives / 2] + [0.5*Legitimate Children + 1.5*Illegitimate Children] - </t>
        </is>
      </c>
    </row>
    <row r="4" ht="15" customHeight="1" s="2">
      <c r="K4" t="inlineStr">
        <is>
          <t>Divided by</t>
        </is>
      </c>
    </row>
    <row r="5" ht="15" customHeight="1" s="2">
      <c r="D5" t="inlineStr">
        <is>
          <t>CB</t>
        </is>
      </c>
      <c r="E5" t="n">
        <v>0</v>
      </c>
      <c r="H5" t="inlineStr">
        <is>
          <t>Buss</t>
        </is>
      </c>
      <c r="I5" t="n">
        <v>5</v>
      </c>
      <c r="K5" t="inlineStr">
        <is>
          <t>[Advanced degrees + Books read in last 5 years] + Sq Rt(New Sabermetrics Created)</t>
        </is>
      </c>
    </row>
    <row r="6" ht="15" customHeight="1" s="2">
      <c r="D6" t="inlineStr">
        <is>
          <t>Cole</t>
        </is>
      </c>
      <c r="E6" t="n">
        <v>5</v>
      </c>
      <c r="H6" t="inlineStr">
        <is>
          <t>Fogan</t>
        </is>
      </c>
      <c r="I6" t="n">
        <v>4</v>
      </c>
    </row>
    <row r="7" ht="15" customHeight="1" s="2">
      <c r="D7" t="inlineStr">
        <is>
          <t>Connolly</t>
        </is>
      </c>
      <c r="E7" t="n">
        <v>2</v>
      </c>
      <c r="H7" t="inlineStr">
        <is>
          <t>Gray</t>
        </is>
      </c>
      <c r="I7" t="n">
        <v>5</v>
      </c>
    </row>
    <row r="8" ht="15" customHeight="1" s="2">
      <c r="D8" t="inlineStr">
        <is>
          <t>Connors</t>
        </is>
      </c>
      <c r="E8" t="n">
        <v>9</v>
      </c>
      <c r="H8" t="inlineStr">
        <is>
          <t>Grise</t>
        </is>
      </c>
      <c r="I8" t="n">
        <v>4</v>
      </c>
    </row>
    <row r="9" ht="15" customHeight="1" s="2">
      <c r="D9" t="inlineStr">
        <is>
          <t>DB</t>
        </is>
      </c>
      <c r="E9" t="n">
        <v>10</v>
      </c>
      <c r="H9" t="inlineStr">
        <is>
          <t>Hilts</t>
        </is>
      </c>
      <c r="I9" t="n">
        <v>1</v>
      </c>
    </row>
    <row r="10" ht="15" customHeight="1" s="2">
      <c r="D10" t="inlineStr">
        <is>
          <t>Flanders</t>
        </is>
      </c>
      <c r="E10" t="n">
        <v>10</v>
      </c>
      <c r="H10" t="inlineStr">
        <is>
          <t>Jackson</t>
        </is>
      </c>
      <c r="I10" t="n">
        <v>2</v>
      </c>
    </row>
    <row r="11" ht="15" customHeight="1" s="2">
      <c r="D11" t="inlineStr">
        <is>
          <t>Forster</t>
        </is>
      </c>
      <c r="E11" t="n">
        <v>3</v>
      </c>
      <c r="H11" t="inlineStr">
        <is>
          <t>Lynch</t>
        </is>
      </c>
      <c r="I11" t="n">
        <v>2</v>
      </c>
    </row>
    <row r="12" ht="15" customHeight="1" s="2">
      <c r="D12" t="inlineStr">
        <is>
          <t>Norat</t>
        </is>
      </c>
      <c r="E12" t="n">
        <v>11</v>
      </c>
      <c r="H12" t="inlineStr">
        <is>
          <t>Mangold</t>
        </is>
      </c>
      <c r="I12" t="n">
        <v>5</v>
      </c>
    </row>
    <row r="13" ht="15" customHeight="1" s="2">
      <c r="D13" t="inlineStr">
        <is>
          <t>Poirier</t>
        </is>
      </c>
      <c r="E13" t="n">
        <v>10</v>
      </c>
      <c r="H13" t="inlineStr">
        <is>
          <t>McInerney</t>
        </is>
      </c>
      <c r="I13" t="n">
        <v>1</v>
      </c>
    </row>
    <row r="14" ht="15" customHeight="1" s="2">
      <c r="D14" t="inlineStr">
        <is>
          <t>Welker</t>
        </is>
      </c>
      <c r="E14" t="n">
        <v>9</v>
      </c>
      <c r="H14" t="inlineStr">
        <is>
          <t>Shively</t>
        </is>
      </c>
      <c r="I14" t="n">
        <v>4</v>
      </c>
    </row>
    <row r="15" ht="15" customHeight="1" s="2">
      <c r="D15" t="inlineStr">
        <is>
          <t>Zimmer</t>
        </is>
      </c>
      <c r="E15" t="n">
        <v>7</v>
      </c>
    </row>
    <row r="16" ht="15" customHeight="1" s="2">
      <c r="H16" t="inlineStr">
        <is>
          <t>Average</t>
        </is>
      </c>
      <c r="I16" t="n">
        <v>3.3</v>
      </c>
    </row>
    <row r="17" ht="15" customHeight="1" s="2">
      <c r="D17" t="inlineStr">
        <is>
          <t>Average</t>
        </is>
      </c>
      <c r="E17" t="n">
        <v>7.6</v>
      </c>
    </row>
    <row r="25" ht="15" customHeight="1" s="2">
      <c r="E25" t="n">
        <v>2018</v>
      </c>
      <c r="F25" t="n">
        <v>2019</v>
      </c>
    </row>
    <row r="26" ht="15" customHeight="1" s="2">
      <c r="D26" t="inlineStr">
        <is>
          <t>CB</t>
        </is>
      </c>
      <c r="E26" t="n">
        <v>0</v>
      </c>
      <c r="F26" t="n">
        <v>0</v>
      </c>
    </row>
    <row r="27" ht="15" customHeight="1" s="2">
      <c r="D27" t="inlineStr">
        <is>
          <t>Cole</t>
        </is>
      </c>
      <c r="E27" t="n">
        <v>5</v>
      </c>
      <c r="F27" t="n">
        <v>5</v>
      </c>
    </row>
    <row r="28" ht="15" customHeight="1" s="2">
      <c r="D28" t="inlineStr">
        <is>
          <t>Connolly</t>
        </is>
      </c>
      <c r="E28" t="n">
        <v>2</v>
      </c>
      <c r="F28" t="n">
        <v>2</v>
      </c>
    </row>
    <row r="29" ht="15" customHeight="1" s="2">
      <c r="D29" t="inlineStr">
        <is>
          <t>Connors</t>
        </is>
      </c>
      <c r="E29" t="n">
        <v>9</v>
      </c>
      <c r="F29" t="n">
        <v>9</v>
      </c>
    </row>
    <row r="30" ht="15" customHeight="1" s="2">
      <c r="D30" t="inlineStr">
        <is>
          <t>DB</t>
        </is>
      </c>
      <c r="E30" t="n">
        <v>10</v>
      </c>
      <c r="F30" t="n">
        <v>10</v>
      </c>
    </row>
    <row r="31" ht="15" customHeight="1" s="2">
      <c r="D31" t="inlineStr">
        <is>
          <t>Flanders</t>
        </is>
      </c>
      <c r="E31" t="n">
        <v>10</v>
      </c>
      <c r="F31" t="n">
        <v>9</v>
      </c>
    </row>
    <row r="32" ht="15" customHeight="1" s="2">
      <c r="D32" t="inlineStr">
        <is>
          <t>Forster</t>
        </is>
      </c>
      <c r="E32" t="n">
        <v>3</v>
      </c>
      <c r="F32" t="n">
        <v>2</v>
      </c>
    </row>
    <row r="33" ht="15" customHeight="1" s="2">
      <c r="D33" t="inlineStr">
        <is>
          <t>Norat</t>
        </is>
      </c>
      <c r="E33" t="n">
        <v>11</v>
      </c>
      <c r="F33" t="n">
        <v>11</v>
      </c>
    </row>
    <row r="34" ht="15" customHeight="1" s="2">
      <c r="D34" t="inlineStr">
        <is>
          <t>Poirier</t>
        </is>
      </c>
      <c r="E34" t="n">
        <v>10</v>
      </c>
      <c r="F34" t="n">
        <v>10</v>
      </c>
    </row>
    <row r="35" ht="15" customHeight="1" s="2">
      <c r="D35" t="inlineStr">
        <is>
          <t>Welker</t>
        </is>
      </c>
      <c r="E35" t="n">
        <v>9</v>
      </c>
      <c r="F35" t="n">
        <v>5</v>
      </c>
    </row>
    <row r="36" ht="15" customHeight="1" s="2">
      <c r="D36" t="inlineStr">
        <is>
          <t>Zimmer</t>
        </is>
      </c>
      <c r="E36" t="n">
        <v>7</v>
      </c>
      <c r="F36" t="n">
        <v>7</v>
      </c>
    </row>
    <row r="37" ht="15" customHeight="1" s="2">
      <c r="D37" t="inlineStr">
        <is>
          <t>Buss</t>
        </is>
      </c>
      <c r="E37" t="n">
        <v>5</v>
      </c>
      <c r="F37" t="n">
        <v>5</v>
      </c>
    </row>
    <row r="38" ht="15" customHeight="1" s="2">
      <c r="D38" t="inlineStr">
        <is>
          <t>Fogan</t>
        </is>
      </c>
      <c r="E38" t="n">
        <v>4</v>
      </c>
      <c r="F38" t="n">
        <v>4</v>
      </c>
    </row>
    <row r="39" ht="15" customHeight="1" s="2">
      <c r="D39" t="inlineStr">
        <is>
          <t>Gray</t>
        </is>
      </c>
      <c r="E39" t="n">
        <v>5</v>
      </c>
      <c r="F39" t="n">
        <v>7</v>
      </c>
    </row>
    <row r="40" ht="15" customHeight="1" s="2">
      <c r="D40" t="inlineStr">
        <is>
          <t>Grise</t>
        </is>
      </c>
      <c r="E40" t="n">
        <v>4</v>
      </c>
      <c r="F40" t="n">
        <v>6</v>
      </c>
    </row>
    <row r="41" ht="15" customHeight="1" s="2">
      <c r="D41" t="inlineStr">
        <is>
          <t>Hilts</t>
        </is>
      </c>
      <c r="E41" t="n">
        <v>1</v>
      </c>
      <c r="F41" t="n">
        <v>1</v>
      </c>
    </row>
    <row r="42" ht="15" customHeight="1" s="2">
      <c r="D42" t="inlineStr">
        <is>
          <t>Jackson</t>
        </is>
      </c>
      <c r="E42" t="n">
        <v>2</v>
      </c>
      <c r="F42" t="n">
        <v>2</v>
      </c>
    </row>
    <row r="43" ht="15" customHeight="1" s="2">
      <c r="D43" t="inlineStr">
        <is>
          <t>Lynch</t>
        </is>
      </c>
      <c r="E43" t="n">
        <v>2</v>
      </c>
      <c r="F43" t="n">
        <v>2</v>
      </c>
    </row>
    <row r="44" ht="15" customHeight="1" s="2">
      <c r="D44" t="inlineStr">
        <is>
          <t>Mangold</t>
        </is>
      </c>
      <c r="E44" t="n">
        <v>5</v>
      </c>
      <c r="F44" t="n">
        <v>5</v>
      </c>
    </row>
    <row r="45" ht="15" customHeight="1" s="2">
      <c r="D45" t="inlineStr">
        <is>
          <t>McInerney</t>
        </is>
      </c>
      <c r="E45" t="n">
        <v>1</v>
      </c>
      <c r="F45" t="n">
        <v>1</v>
      </c>
    </row>
    <row r="46" ht="15" customHeight="1" s="2">
      <c r="D46" t="inlineStr">
        <is>
          <t>Shively</t>
        </is>
      </c>
      <c r="E46" t="n">
        <v>4</v>
      </c>
      <c r="F46" t="n">
        <v>3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10" defaultColWidth="8.83203125" defaultRowHeight="15"/>
  <cols>
    <col width="14" customWidth="1" style="2" min="2" max="2"/>
    <col width="5" customWidth="1" style="2" min="3" max="5"/>
    <col width="8" customWidth="1" style="2" min="6" max="7"/>
    <col width="2" customWidth="1" style="2" min="8" max="8"/>
    <col width="22" customWidth="1" style="2" min="9" max="9"/>
    <col width="5" customWidth="1" style="2" min="10" max="12"/>
    <col width="8" customWidth="1" style="2" min="13" max="14"/>
  </cols>
  <sheetData>
    <row r="1" ht="15" customHeight="1" s="2">
      <c r="B1" s="13" t="inlineStr">
        <is>
          <t>Singles &amp; Doubles Records</t>
        </is>
      </c>
    </row>
    <row r="2" ht="15" customHeight="1" s="2">
      <c r="B2" s="41" t="inlineStr">
        <is>
          <t>Live from Archives — recomputes automatically, including future cups. Win % = (W + ½T) ÷ matches. Through FBC 12.</t>
        </is>
      </c>
    </row>
    <row r="4" ht="15" customHeight="1" s="2">
      <c r="B4" s="42" t="inlineStr">
        <is>
          <t>Player</t>
        </is>
      </c>
      <c r="C4" s="42" t="inlineStr">
        <is>
          <t>W</t>
        </is>
      </c>
      <c r="D4" s="42" t="inlineStr">
        <is>
          <t>L</t>
        </is>
      </c>
      <c r="E4" s="42" t="inlineStr">
        <is>
          <t>T</t>
        </is>
      </c>
      <c r="F4" s="42" t="inlineStr">
        <is>
          <t>Win %</t>
        </is>
      </c>
      <c r="G4" s="42" t="inlineStr">
        <is>
          <t>Matches</t>
        </is>
      </c>
      <c r="I4" s="42" t="inlineStr">
        <is>
          <t>Tandem</t>
        </is>
      </c>
      <c r="J4" s="42" t="inlineStr">
        <is>
          <t>W</t>
        </is>
      </c>
      <c r="K4" s="42" t="inlineStr">
        <is>
          <t>L</t>
        </is>
      </c>
      <c r="L4" s="42" t="inlineStr">
        <is>
          <t>T</t>
        </is>
      </c>
      <c r="M4" s="42" t="inlineStr">
        <is>
          <t>Win %</t>
        </is>
      </c>
      <c r="N4" s="42" t="inlineStr">
        <is>
          <t>Matches</t>
        </is>
      </c>
    </row>
    <row r="5" ht="15" customHeight="1" s="2">
      <c r="B5" s="43" t="inlineStr">
        <is>
          <t>R. Connolly</t>
        </is>
      </c>
      <c r="C5" s="52">
        <f>COUNTIFS(Archives!$S$2:$S$1048576,"Singles",Archives!$V$2:$V$1048576,$B5,Archives!$AB$2:$AB$1048576,"W")</f>
        <v/>
      </c>
      <c r="D5" s="52">
        <f>COUNTIFS(Archives!$S$2:$S$1048576,"Singles",Archives!$V$2:$V$1048576,$B5,Archives!$AB$2:$AB$1048576,"L")</f>
        <v/>
      </c>
      <c r="E5" s="52">
        <f>COUNTIFS(Archives!$S$2:$S$1048576,"Singles",Archives!$V$2:$V$1048576,$B5,Archives!$AB$2:$AB$1048576,"T")</f>
        <v/>
      </c>
      <c r="F5" s="53">
        <f>IF(G5=0,0,(C5+0.5*E5)/G5)</f>
        <v/>
      </c>
      <c r="G5" s="52">
        <f>C5+D5+E5</f>
        <v/>
      </c>
      <c r="I5" s="43" t="inlineStr">
        <is>
          <t>Buss / Hickerson</t>
        </is>
      </c>
      <c r="J5" s="52">
        <f>COUNTIFS(Archives!$S$2:$S$1048576,"Doubles",Archives!$V$2:$V$1048576,"Buss",Archives!$Y$2:$Y$1048576,"Hickerson",Archives!$AB$2:$AB$1048576,"W")+COUNTIFS(Archives!$S$2:$S$1048576,"Doubles",Archives!$V$2:$V$1048576,"Hickerson",Archives!$Y$2:$Y$1048576,"Buss",Archives!$AB$2:$AB$1048576,"W")</f>
        <v/>
      </c>
      <c r="K5" s="52">
        <f>COUNTIFS(Archives!$S$2:$S$1048576,"Doubles",Archives!$V$2:$V$1048576,"Buss",Archives!$Y$2:$Y$1048576,"Hickerson",Archives!$AB$2:$AB$1048576,"L")+COUNTIFS(Archives!$S$2:$S$1048576,"Doubles",Archives!$V$2:$V$1048576,"Hickerson",Archives!$Y$2:$Y$1048576,"Buss",Archives!$AB$2:$AB$1048576,"L")</f>
        <v/>
      </c>
      <c r="L5" s="52">
        <f>COUNTIFS(Archives!$S$2:$S$1048576,"Doubles",Archives!$V$2:$V$1048576,"Buss",Archives!$Y$2:$Y$1048576,"Hickerson",Archives!$AB$2:$AB$1048576,"T")+COUNTIFS(Archives!$S$2:$S$1048576,"Doubles",Archives!$V$2:$V$1048576,"Hickerson",Archives!$Y$2:$Y$1048576,"Buss",Archives!$AB$2:$AB$1048576,"T")</f>
        <v/>
      </c>
      <c r="M5" s="53">
        <f>IF(N5=0,0,(J5+0.5*L5)/N5)</f>
        <v/>
      </c>
      <c r="N5" s="52">
        <f>J5+K5+L5</f>
        <v/>
      </c>
    </row>
    <row r="6" ht="15" customHeight="1" s="2">
      <c r="B6" s="46" t="inlineStr">
        <is>
          <t>Snyder</t>
        </is>
      </c>
      <c r="C6" s="55">
        <f>COUNTIFS(Archives!$S$2:$S$1048576,"Singles",Archives!$V$2:$V$1048576,$B6,Archives!$AB$2:$AB$1048576,"W")</f>
        <v/>
      </c>
      <c r="D6" s="55">
        <f>COUNTIFS(Archives!$S$2:$S$1048576,"Singles",Archives!$V$2:$V$1048576,$B6,Archives!$AB$2:$AB$1048576,"L")</f>
        <v/>
      </c>
      <c r="E6" s="55">
        <f>COUNTIFS(Archives!$S$2:$S$1048576,"Singles",Archives!$V$2:$V$1048576,$B6,Archives!$AB$2:$AB$1048576,"T")</f>
        <v/>
      </c>
      <c r="F6" s="56">
        <f>IF(G6=0,0,(C6+0.5*E6)/G6)</f>
        <v/>
      </c>
      <c r="G6" s="55">
        <f>C6+D6+E6</f>
        <v/>
      </c>
      <c r="I6" s="46" t="inlineStr">
        <is>
          <t>Cole / Weisberger</t>
        </is>
      </c>
      <c r="J6" s="55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/>
      </c>
      <c r="K6" s="55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/>
      </c>
      <c r="L6" s="55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/>
      </c>
      <c r="M6" s="56">
        <f>IF(N6=0,0,(J6+0.5*L6)/N6)</f>
        <v/>
      </c>
      <c r="N6" s="55">
        <f>J6+K6+L6</f>
        <v/>
      </c>
    </row>
    <row r="7" ht="15" customHeight="1" s="2">
      <c r="B7" s="43" t="inlineStr">
        <is>
          <t>Gray</t>
        </is>
      </c>
      <c r="C7" s="52">
        <f>COUNTIFS(Archives!$S$2:$S$1048576,"Singles",Archives!$V$2:$V$1048576,$B7,Archives!$AB$2:$AB$1048576,"W")</f>
        <v/>
      </c>
      <c r="D7" s="52">
        <f>COUNTIFS(Archives!$S$2:$S$1048576,"Singles",Archives!$V$2:$V$1048576,$B7,Archives!$AB$2:$AB$1048576,"L")</f>
        <v/>
      </c>
      <c r="E7" s="52">
        <f>COUNTIFS(Archives!$S$2:$S$1048576,"Singles",Archives!$V$2:$V$1048576,$B7,Archives!$AB$2:$AB$1048576,"T")</f>
        <v/>
      </c>
      <c r="F7" s="53">
        <f>IF(G7=0,0,(C7+0.5*E7)/G7)</f>
        <v/>
      </c>
      <c r="G7" s="52">
        <f>C7+D7+E7</f>
        <v/>
      </c>
      <c r="I7" s="43" t="inlineStr">
        <is>
          <t>Connolly / Perkins</t>
        </is>
      </c>
      <c r="J7" s="52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/>
      </c>
      <c r="K7" s="52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/>
      </c>
      <c r="L7" s="52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/>
      </c>
      <c r="M7" s="53">
        <f>IF(N7=0,0,(J7+0.5*L7)/N7)</f>
        <v/>
      </c>
      <c r="N7" s="52">
        <f>J7+K7+L7</f>
        <v/>
      </c>
    </row>
    <row r="8" ht="15" customHeight="1" s="2">
      <c r="B8" s="46" t="inlineStr">
        <is>
          <t>Poirier</t>
        </is>
      </c>
      <c r="C8" s="55">
        <f>COUNTIFS(Archives!$S$2:$S$1048576,"Singles",Archives!$V$2:$V$1048576,$B8,Archives!$AB$2:$AB$1048576,"W")</f>
        <v/>
      </c>
      <c r="D8" s="55">
        <f>COUNTIFS(Archives!$S$2:$S$1048576,"Singles",Archives!$V$2:$V$1048576,$B8,Archives!$AB$2:$AB$1048576,"L")</f>
        <v/>
      </c>
      <c r="E8" s="55">
        <f>COUNTIFS(Archives!$S$2:$S$1048576,"Singles",Archives!$V$2:$V$1048576,$B8,Archives!$AB$2:$AB$1048576,"T")</f>
        <v/>
      </c>
      <c r="F8" s="56">
        <f>IF(G8=0,0,(C8+0.5*E8)/G8)</f>
        <v/>
      </c>
      <c r="G8" s="55">
        <f>C8+D8+E8</f>
        <v/>
      </c>
      <c r="I8" s="46" t="inlineStr">
        <is>
          <t>Connolly / Grise</t>
        </is>
      </c>
      <c r="J8" s="55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/>
      </c>
      <c r="K8" s="55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/>
      </c>
      <c r="L8" s="55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/>
      </c>
      <c r="M8" s="56">
        <f>IF(N8=0,0,(J8+0.5*L8)/N8)</f>
        <v/>
      </c>
      <c r="N8" s="55">
        <f>J8+K8+L8</f>
        <v/>
      </c>
    </row>
    <row r="9" ht="15" customHeight="1" s="2">
      <c r="B9" s="43" t="inlineStr">
        <is>
          <t>Perkins</t>
        </is>
      </c>
      <c r="C9" s="52">
        <f>COUNTIFS(Archives!$S$2:$S$1048576,"Singles",Archives!$V$2:$V$1048576,$B9,Archives!$AB$2:$AB$1048576,"W")</f>
        <v/>
      </c>
      <c r="D9" s="52">
        <f>COUNTIFS(Archives!$S$2:$S$1048576,"Singles",Archives!$V$2:$V$1048576,$B9,Archives!$AB$2:$AB$1048576,"L")</f>
        <v/>
      </c>
      <c r="E9" s="52">
        <f>COUNTIFS(Archives!$S$2:$S$1048576,"Singles",Archives!$V$2:$V$1048576,$B9,Archives!$AB$2:$AB$1048576,"T")</f>
        <v/>
      </c>
      <c r="F9" s="53">
        <f>IF(G9=0,0,(C9+0.5*E9)/G9)</f>
        <v/>
      </c>
      <c r="G9" s="52">
        <f>C9+D9+E9</f>
        <v/>
      </c>
      <c r="I9" s="43" t="inlineStr">
        <is>
          <t>Delaney / Lynch</t>
        </is>
      </c>
      <c r="J9" s="52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/>
      </c>
      <c r="K9" s="52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/>
      </c>
      <c r="L9" s="52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/>
      </c>
      <c r="M9" s="53">
        <f>IF(N9=0,0,(J9+0.5*L9)/N9)</f>
        <v/>
      </c>
      <c r="N9" s="52">
        <f>J9+K9+L9</f>
        <v/>
      </c>
    </row>
    <row r="10" ht="15" customHeight="1" s="2">
      <c r="B10" s="46" t="inlineStr">
        <is>
          <t>McInerney</t>
        </is>
      </c>
      <c r="C10" s="55">
        <f>COUNTIFS(Archives!$S$2:$S$1048576,"Singles",Archives!$V$2:$V$1048576,$B10,Archives!$AB$2:$AB$1048576,"W")</f>
        <v/>
      </c>
      <c r="D10" s="55">
        <f>COUNTIFS(Archives!$S$2:$S$1048576,"Singles",Archives!$V$2:$V$1048576,$B10,Archives!$AB$2:$AB$1048576,"L")</f>
        <v/>
      </c>
      <c r="E10" s="55">
        <f>COUNTIFS(Archives!$S$2:$S$1048576,"Singles",Archives!$V$2:$V$1048576,$B10,Archives!$AB$2:$AB$1048576,"T")</f>
        <v/>
      </c>
      <c r="F10" s="56">
        <f>IF(G10=0,0,(C10+0.5*E10)/G10)</f>
        <v/>
      </c>
      <c r="G10" s="55">
        <f>C10+D10+E10</f>
        <v/>
      </c>
      <c r="I10" s="46" t="inlineStr">
        <is>
          <t>Delneky / Forster</t>
        </is>
      </c>
      <c r="J10" s="55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/>
      </c>
      <c r="K10" s="55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/>
      </c>
      <c r="L10" s="55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/>
      </c>
      <c r="M10" s="56">
        <f>IF(N10=0,0,(J10+0.5*L10)/N10)</f>
        <v/>
      </c>
      <c r="N10" s="55">
        <f>J10+K10+L10</f>
        <v/>
      </c>
    </row>
    <row r="11" ht="15" customHeight="1" s="2">
      <c r="B11" s="43" t="inlineStr">
        <is>
          <t>Connolly</t>
        </is>
      </c>
      <c r="C11" s="52">
        <f>COUNTIFS(Archives!$S$2:$S$1048576,"Singles",Archives!$V$2:$V$1048576,$B11,Archives!$AB$2:$AB$1048576,"W")</f>
        <v/>
      </c>
      <c r="D11" s="52">
        <f>COUNTIFS(Archives!$S$2:$S$1048576,"Singles",Archives!$V$2:$V$1048576,$B11,Archives!$AB$2:$AB$1048576,"L")</f>
        <v/>
      </c>
      <c r="E11" s="52">
        <f>COUNTIFS(Archives!$S$2:$S$1048576,"Singles",Archives!$V$2:$V$1048576,$B11,Archives!$AB$2:$AB$1048576,"T")</f>
        <v/>
      </c>
      <c r="F11" s="53">
        <f>IF(G11=0,0,(C11+0.5*E11)/G11)</f>
        <v/>
      </c>
      <c r="G11" s="52">
        <f>C11+D11+E11</f>
        <v/>
      </c>
      <c r="I11" s="43" t="inlineStr">
        <is>
          <t>Ferrin / Fogan</t>
        </is>
      </c>
      <c r="J11" s="52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/>
      </c>
      <c r="K11" s="52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/>
      </c>
      <c r="L11" s="52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/>
      </c>
      <c r="M11" s="53">
        <f>IF(N11=0,0,(J11+0.5*L11)/N11)</f>
        <v/>
      </c>
      <c r="N11" s="52">
        <f>J11+K11+L11</f>
        <v/>
      </c>
    </row>
    <row r="12" ht="15" customHeight="1" s="2">
      <c r="B12" s="46" t="inlineStr">
        <is>
          <t>Forster</t>
        </is>
      </c>
      <c r="C12" s="55">
        <f>COUNTIFS(Archives!$S$2:$S$1048576,"Singles",Archives!$V$2:$V$1048576,$B12,Archives!$AB$2:$AB$1048576,"W")</f>
        <v/>
      </c>
      <c r="D12" s="55">
        <f>COUNTIFS(Archives!$S$2:$S$1048576,"Singles",Archives!$V$2:$V$1048576,$B12,Archives!$AB$2:$AB$1048576,"L")</f>
        <v/>
      </c>
      <c r="E12" s="55">
        <f>COUNTIFS(Archives!$S$2:$S$1048576,"Singles",Archives!$V$2:$V$1048576,$B12,Archives!$AB$2:$AB$1048576,"T")</f>
        <v/>
      </c>
      <c r="F12" s="56">
        <f>IF(G12=0,0,(C12+0.5*E12)/G12)</f>
        <v/>
      </c>
      <c r="G12" s="55">
        <f>C12+D12+E12</f>
        <v/>
      </c>
      <c r="I12" s="46" t="inlineStr">
        <is>
          <t>Flanders / Lynch</t>
        </is>
      </c>
      <c r="J12" s="55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/>
      </c>
      <c r="K12" s="55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/>
      </c>
      <c r="L12" s="55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/>
      </c>
      <c r="M12" s="56">
        <f>IF(N12=0,0,(J12+0.5*L12)/N12)</f>
        <v/>
      </c>
      <c r="N12" s="55">
        <f>J12+K12+L12</f>
        <v/>
      </c>
    </row>
    <row r="13" ht="15" customHeight="1" s="2">
      <c r="B13" s="43" t="inlineStr">
        <is>
          <t>Zimmer</t>
        </is>
      </c>
      <c r="C13" s="52">
        <f>COUNTIFS(Archives!$S$2:$S$1048576,"Singles",Archives!$V$2:$V$1048576,$B13,Archives!$AB$2:$AB$1048576,"W")</f>
        <v/>
      </c>
      <c r="D13" s="52">
        <f>COUNTIFS(Archives!$S$2:$S$1048576,"Singles",Archives!$V$2:$V$1048576,$B13,Archives!$AB$2:$AB$1048576,"L")</f>
        <v/>
      </c>
      <c r="E13" s="52">
        <f>COUNTIFS(Archives!$S$2:$S$1048576,"Singles",Archives!$V$2:$V$1048576,$B13,Archives!$AB$2:$AB$1048576,"T")</f>
        <v/>
      </c>
      <c r="F13" s="53">
        <f>IF(G13=0,0,(C13+0.5*E13)/G13)</f>
        <v/>
      </c>
      <c r="G13" s="52">
        <f>C13+D13+E13</f>
        <v/>
      </c>
      <c r="I13" s="43" t="inlineStr">
        <is>
          <t>Fogan / Poirier</t>
        </is>
      </c>
      <c r="J13" s="52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/>
      </c>
      <c r="K13" s="52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/>
      </c>
      <c r="L13" s="52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/>
      </c>
      <c r="M13" s="53">
        <f>IF(N13=0,0,(J13+0.5*L13)/N13)</f>
        <v/>
      </c>
      <c r="N13" s="52">
        <f>J13+K13+L13</f>
        <v/>
      </c>
    </row>
    <row r="14" ht="15" customHeight="1" s="2">
      <c r="B14" s="46" t="inlineStr">
        <is>
          <t>Delneky</t>
        </is>
      </c>
      <c r="C14" s="55">
        <f>COUNTIFS(Archives!$S$2:$S$1048576,"Singles",Archives!$V$2:$V$1048576,$B14,Archives!$AB$2:$AB$1048576,"W")</f>
        <v/>
      </c>
      <c r="D14" s="55">
        <f>COUNTIFS(Archives!$S$2:$S$1048576,"Singles",Archives!$V$2:$V$1048576,$B14,Archives!$AB$2:$AB$1048576,"L")</f>
        <v/>
      </c>
      <c r="E14" s="55">
        <f>COUNTIFS(Archives!$S$2:$S$1048576,"Singles",Archives!$V$2:$V$1048576,$B14,Archives!$AB$2:$AB$1048576,"T")</f>
        <v/>
      </c>
      <c r="F14" s="56">
        <f>IF(G14=0,0,(C14+0.5*E14)/G14)</f>
        <v/>
      </c>
      <c r="G14" s="55">
        <f>C14+D14+E14</f>
        <v/>
      </c>
      <c r="I14" s="46" t="inlineStr">
        <is>
          <t>Forster / Lynch</t>
        </is>
      </c>
      <c r="J14" s="55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/>
      </c>
      <c r="K14" s="55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/>
      </c>
      <c r="L14" s="55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/>
      </c>
      <c r="M14" s="56">
        <f>IF(N14=0,0,(J14+0.5*L14)/N14)</f>
        <v/>
      </c>
      <c r="N14" s="55">
        <f>J14+K14+L14</f>
        <v/>
      </c>
    </row>
    <row r="15" ht="15" customHeight="1" s="2">
      <c r="B15" s="43" t="inlineStr">
        <is>
          <t>Norat</t>
        </is>
      </c>
      <c r="C15" s="52">
        <f>COUNTIFS(Archives!$S$2:$S$1048576,"Singles",Archives!$V$2:$V$1048576,$B15,Archives!$AB$2:$AB$1048576,"W")</f>
        <v/>
      </c>
      <c r="D15" s="52">
        <f>COUNTIFS(Archives!$S$2:$S$1048576,"Singles",Archives!$V$2:$V$1048576,$B15,Archives!$AB$2:$AB$1048576,"L")</f>
        <v/>
      </c>
      <c r="E15" s="52">
        <f>COUNTIFS(Archives!$S$2:$S$1048576,"Singles",Archives!$V$2:$V$1048576,$B15,Archives!$AB$2:$AB$1048576,"T")</f>
        <v/>
      </c>
      <c r="F15" s="53">
        <f>IF(G15=0,0,(C15+0.5*E15)/G15)</f>
        <v/>
      </c>
      <c r="G15" s="52">
        <f>C15+D15+E15</f>
        <v/>
      </c>
      <c r="I15" s="43" t="inlineStr">
        <is>
          <t>Forster / Poirier</t>
        </is>
      </c>
      <c r="J15" s="52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/>
      </c>
      <c r="K15" s="52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/>
      </c>
      <c r="L15" s="52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/>
      </c>
      <c r="M15" s="53">
        <f>IF(N15=0,0,(J15+0.5*L15)/N15)</f>
        <v/>
      </c>
      <c r="N15" s="52">
        <f>J15+K15+L15</f>
        <v/>
      </c>
    </row>
    <row r="16" ht="15" customHeight="1" s="2">
      <c r="B16" s="46" t="inlineStr">
        <is>
          <t>Cole</t>
        </is>
      </c>
      <c r="C16" s="55">
        <f>COUNTIFS(Archives!$S$2:$S$1048576,"Singles",Archives!$V$2:$V$1048576,$B16,Archives!$AB$2:$AB$1048576,"W")</f>
        <v/>
      </c>
      <c r="D16" s="55">
        <f>COUNTIFS(Archives!$S$2:$S$1048576,"Singles",Archives!$V$2:$V$1048576,$B16,Archives!$AB$2:$AB$1048576,"L")</f>
        <v/>
      </c>
      <c r="E16" s="55">
        <f>COUNTIFS(Archives!$S$2:$S$1048576,"Singles",Archives!$V$2:$V$1048576,$B16,Archives!$AB$2:$AB$1048576,"T")</f>
        <v/>
      </c>
      <c r="F16" s="56">
        <f>IF(G16=0,0,(C16+0.5*E16)/G16)</f>
        <v/>
      </c>
      <c r="G16" s="55">
        <f>C16+D16+E16</f>
        <v/>
      </c>
      <c r="I16" s="46" t="inlineStr">
        <is>
          <t>Gray / Welker</t>
        </is>
      </c>
      <c r="J16" s="55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/>
      </c>
      <c r="K16" s="55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/>
      </c>
      <c r="L16" s="55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/>
      </c>
      <c r="M16" s="56">
        <f>IF(N16=0,0,(J16+0.5*L16)/N16)</f>
        <v/>
      </c>
      <c r="N16" s="55">
        <f>J16+K16+L16</f>
        <v/>
      </c>
    </row>
    <row r="17" ht="15" customHeight="1" s="2">
      <c r="B17" s="43" t="inlineStr">
        <is>
          <t>Fogan</t>
        </is>
      </c>
      <c r="C17" s="52">
        <f>COUNTIFS(Archives!$S$2:$S$1048576,"Singles",Archives!$V$2:$V$1048576,$B17,Archives!$AB$2:$AB$1048576,"W")</f>
        <v/>
      </c>
      <c r="D17" s="52">
        <f>COUNTIFS(Archives!$S$2:$S$1048576,"Singles",Archives!$V$2:$V$1048576,$B17,Archives!$AB$2:$AB$1048576,"L")</f>
        <v/>
      </c>
      <c r="E17" s="52">
        <f>COUNTIFS(Archives!$S$2:$S$1048576,"Singles",Archives!$V$2:$V$1048576,$B17,Archives!$AB$2:$AB$1048576,"T")</f>
        <v/>
      </c>
      <c r="F17" s="53">
        <f>IF(G17=0,0,(C17+0.5*E17)/G17)</f>
        <v/>
      </c>
      <c r="G17" s="52">
        <f>C17+D17+E17</f>
        <v/>
      </c>
      <c r="I17" s="43" t="inlineStr">
        <is>
          <t>Gray / Grise</t>
        </is>
      </c>
      <c r="J17" s="52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/>
      </c>
      <c r="K17" s="52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/>
      </c>
      <c r="L17" s="52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/>
      </c>
      <c r="M17" s="53">
        <f>IF(N17=0,0,(J17+0.5*L17)/N17)</f>
        <v/>
      </c>
      <c r="N17" s="52">
        <f>J17+K17+L17</f>
        <v/>
      </c>
    </row>
    <row r="18" ht="15" customHeight="1" s="2">
      <c r="B18" s="46" t="inlineStr">
        <is>
          <t>Ferrin</t>
        </is>
      </c>
      <c r="C18" s="55">
        <f>COUNTIFS(Archives!$S$2:$S$1048576,"Singles",Archives!$V$2:$V$1048576,$B18,Archives!$AB$2:$AB$1048576,"W")</f>
        <v/>
      </c>
      <c r="D18" s="55">
        <f>COUNTIFS(Archives!$S$2:$S$1048576,"Singles",Archives!$V$2:$V$1048576,$B18,Archives!$AB$2:$AB$1048576,"L")</f>
        <v/>
      </c>
      <c r="E18" s="55">
        <f>COUNTIFS(Archives!$S$2:$S$1048576,"Singles",Archives!$V$2:$V$1048576,$B18,Archives!$AB$2:$AB$1048576,"T")</f>
        <v/>
      </c>
      <c r="F18" s="56">
        <f>IF(G18=0,0,(C18+0.5*E18)/G18)</f>
        <v/>
      </c>
      <c r="G18" s="55">
        <f>C18+D18+E18</f>
        <v/>
      </c>
      <c r="I18" s="46" t="inlineStr">
        <is>
          <t>Grise / Welker</t>
        </is>
      </c>
      <c r="J18" s="55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/>
      </c>
      <c r="K18" s="55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/>
      </c>
      <c r="L18" s="55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/>
      </c>
      <c r="M18" s="56">
        <f>IF(N18=0,0,(J18+0.5*L18)/N18)</f>
        <v/>
      </c>
      <c r="N18" s="55">
        <f>J18+K18+L18</f>
        <v/>
      </c>
    </row>
    <row r="19" ht="15" customHeight="1" s="2">
      <c r="B19" s="43" t="inlineStr">
        <is>
          <t>Grise</t>
        </is>
      </c>
      <c r="C19" s="52">
        <f>COUNTIFS(Archives!$S$2:$S$1048576,"Singles",Archives!$V$2:$V$1048576,$B19,Archives!$AB$2:$AB$1048576,"W")</f>
        <v/>
      </c>
      <c r="D19" s="52">
        <f>COUNTIFS(Archives!$S$2:$S$1048576,"Singles",Archives!$V$2:$V$1048576,$B19,Archives!$AB$2:$AB$1048576,"L")</f>
        <v/>
      </c>
      <c r="E19" s="52">
        <f>COUNTIFS(Archives!$S$2:$S$1048576,"Singles",Archives!$V$2:$V$1048576,$B19,Archives!$AB$2:$AB$1048576,"T")</f>
        <v/>
      </c>
      <c r="F19" s="53">
        <f>IF(G19=0,0,(C19+0.5*E19)/G19)</f>
        <v/>
      </c>
      <c r="G19" s="52">
        <f>C19+D19+E19</f>
        <v/>
      </c>
      <c r="I19" s="43" t="inlineStr">
        <is>
          <t>Hilts / Welker</t>
        </is>
      </c>
      <c r="J19" s="52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/>
      </c>
      <c r="K19" s="52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/>
      </c>
      <c r="L19" s="52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/>
      </c>
      <c r="M19" s="53">
        <f>IF(N19=0,0,(J19+0.5*L19)/N19)</f>
        <v/>
      </c>
      <c r="N19" s="52">
        <f>J19+K19+L19</f>
        <v/>
      </c>
    </row>
    <row r="20" ht="15" customHeight="1" s="2">
      <c r="B20" s="46" t="inlineStr">
        <is>
          <t>Hilts</t>
        </is>
      </c>
      <c r="C20" s="55">
        <f>COUNTIFS(Archives!$S$2:$S$1048576,"Singles",Archives!$V$2:$V$1048576,$B20,Archives!$AB$2:$AB$1048576,"W")</f>
        <v/>
      </c>
      <c r="D20" s="55">
        <f>COUNTIFS(Archives!$S$2:$S$1048576,"Singles",Archives!$V$2:$V$1048576,$B20,Archives!$AB$2:$AB$1048576,"L")</f>
        <v/>
      </c>
      <c r="E20" s="55">
        <f>COUNTIFS(Archives!$S$2:$S$1048576,"Singles",Archives!$V$2:$V$1048576,$B20,Archives!$AB$2:$AB$1048576,"T")</f>
        <v/>
      </c>
      <c r="F20" s="56">
        <f>IF(G20=0,0,(C20+0.5*E20)/G20)</f>
        <v/>
      </c>
      <c r="G20" s="55">
        <f>C20+D20+E20</f>
        <v/>
      </c>
      <c r="I20" s="46" t="inlineStr">
        <is>
          <t>Jackson / McInerney</t>
        </is>
      </c>
      <c r="J20" s="55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/>
      </c>
      <c r="K20" s="55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/>
      </c>
      <c r="L20" s="55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/>
      </c>
      <c r="M20" s="56">
        <f>IF(N20=0,0,(J20+0.5*L20)/N20)</f>
        <v/>
      </c>
      <c r="N20" s="55">
        <f>J20+K20+L20</f>
        <v/>
      </c>
    </row>
    <row r="21" ht="15" customHeight="1" s="2">
      <c r="B21" s="43" t="inlineStr">
        <is>
          <t>Welker</t>
        </is>
      </c>
      <c r="C21" s="52">
        <f>COUNTIFS(Archives!$S$2:$S$1048576,"Singles",Archives!$V$2:$V$1048576,$B21,Archives!$AB$2:$AB$1048576,"W")</f>
        <v/>
      </c>
      <c r="D21" s="52">
        <f>COUNTIFS(Archives!$S$2:$S$1048576,"Singles",Archives!$V$2:$V$1048576,$B21,Archives!$AB$2:$AB$1048576,"L")</f>
        <v/>
      </c>
      <c r="E21" s="52">
        <f>COUNTIFS(Archives!$S$2:$S$1048576,"Singles",Archives!$V$2:$V$1048576,$B21,Archives!$AB$2:$AB$1048576,"T")</f>
        <v/>
      </c>
      <c r="F21" s="53">
        <f>IF(G21=0,0,(C21+0.5*E21)/G21)</f>
        <v/>
      </c>
      <c r="G21" s="52">
        <f>C21+D21+E21</f>
        <v/>
      </c>
      <c r="I21" s="43" t="inlineStr">
        <is>
          <t>Lynch / Zimmer</t>
        </is>
      </c>
      <c r="J21" s="52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/>
      </c>
      <c r="K21" s="52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/>
      </c>
      <c r="L21" s="52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/>
      </c>
      <c r="M21" s="53">
        <f>IF(N21=0,0,(J21+0.5*L21)/N21)</f>
        <v/>
      </c>
      <c r="N21" s="52">
        <f>J21+K21+L21</f>
        <v/>
      </c>
    </row>
    <row r="22" ht="15" customHeight="1" s="2">
      <c r="B22" s="46" t="inlineStr">
        <is>
          <t>Jackson</t>
        </is>
      </c>
      <c r="C22" s="55">
        <f>COUNTIFS(Archives!$S$2:$S$1048576,"Singles",Archives!$V$2:$V$1048576,$B22,Archives!$AB$2:$AB$1048576,"W")</f>
        <v/>
      </c>
      <c r="D22" s="55">
        <f>COUNTIFS(Archives!$S$2:$S$1048576,"Singles",Archives!$V$2:$V$1048576,$B22,Archives!$AB$2:$AB$1048576,"L")</f>
        <v/>
      </c>
      <c r="E22" s="55">
        <f>COUNTIFS(Archives!$S$2:$S$1048576,"Singles",Archives!$V$2:$V$1048576,$B22,Archives!$AB$2:$AB$1048576,"T")</f>
        <v/>
      </c>
      <c r="F22" s="56">
        <f>IF(G22=0,0,(C22+0.5*E22)/G22)</f>
        <v/>
      </c>
      <c r="G22" s="55">
        <f>C22+D22+E22</f>
        <v/>
      </c>
      <c r="I22" s="46" t="inlineStr">
        <is>
          <t>Mangold / Perkins</t>
        </is>
      </c>
      <c r="J22" s="55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/>
      </c>
      <c r="K22" s="55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/>
      </c>
      <c r="L22" s="55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/>
      </c>
      <c r="M22" s="56">
        <f>IF(N22=0,0,(J22+0.5*L22)/N22)</f>
        <v/>
      </c>
      <c r="N22" s="55">
        <f>J22+K22+L22</f>
        <v/>
      </c>
    </row>
    <row r="23" ht="15" customHeight="1" s="2">
      <c r="B23" s="43" t="inlineStr">
        <is>
          <t>Flanders</t>
        </is>
      </c>
      <c r="C23" s="52">
        <f>COUNTIFS(Archives!$S$2:$S$1048576,"Singles",Archives!$V$2:$V$1048576,$B23,Archives!$AB$2:$AB$1048576,"W")</f>
        <v/>
      </c>
      <c r="D23" s="52">
        <f>COUNTIFS(Archives!$S$2:$S$1048576,"Singles",Archives!$V$2:$V$1048576,$B23,Archives!$AB$2:$AB$1048576,"L")</f>
        <v/>
      </c>
      <c r="E23" s="52">
        <f>COUNTIFS(Archives!$S$2:$S$1048576,"Singles",Archives!$V$2:$V$1048576,$B23,Archives!$AB$2:$AB$1048576,"T")</f>
        <v/>
      </c>
      <c r="F23" s="53">
        <f>IF(G23=0,0,(C23+0.5*E23)/G23)</f>
        <v/>
      </c>
      <c r="G23" s="52">
        <f>C23+D23+E23</f>
        <v/>
      </c>
      <c r="I23" s="43" t="inlineStr">
        <is>
          <t>McInerney / Perkins</t>
        </is>
      </c>
      <c r="J23" s="52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/>
      </c>
      <c r="K23" s="52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/>
      </c>
      <c r="L23" s="52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/>
      </c>
      <c r="M23" s="53">
        <f>IF(N23=0,0,(J23+0.5*L23)/N23)</f>
        <v/>
      </c>
      <c r="N23" s="52">
        <f>J23+K23+L23</f>
        <v/>
      </c>
    </row>
    <row r="24" ht="15" customHeight="1" s="2">
      <c r="B24" s="46" t="inlineStr">
        <is>
          <t>Lynch</t>
        </is>
      </c>
      <c r="C24" s="55">
        <f>COUNTIFS(Archives!$S$2:$S$1048576,"Singles",Archives!$V$2:$V$1048576,$B24,Archives!$AB$2:$AB$1048576,"W")</f>
        <v/>
      </c>
      <c r="D24" s="55">
        <f>COUNTIFS(Archives!$S$2:$S$1048576,"Singles",Archives!$V$2:$V$1048576,$B24,Archives!$AB$2:$AB$1048576,"L")</f>
        <v/>
      </c>
      <c r="E24" s="55">
        <f>COUNTIFS(Archives!$S$2:$S$1048576,"Singles",Archives!$V$2:$V$1048576,$B24,Archives!$AB$2:$AB$1048576,"T")</f>
        <v/>
      </c>
      <c r="F24" s="56">
        <f>IF(G24=0,0,(C24+0.5*E24)/G24)</f>
        <v/>
      </c>
      <c r="G24" s="55">
        <f>C24+D24+E24</f>
        <v/>
      </c>
      <c r="I24" s="46" t="inlineStr">
        <is>
          <t>Cole / Connolly</t>
        </is>
      </c>
      <c r="J24" s="55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/>
      </c>
      <c r="K24" s="55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/>
      </c>
      <c r="L24" s="55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/>
      </c>
      <c r="M24" s="56">
        <f>IF(N24=0,0,(J24+0.5*L24)/N24)</f>
        <v/>
      </c>
      <c r="N24" s="55">
        <f>J24+K24+L24</f>
        <v/>
      </c>
    </row>
    <row r="25" ht="15" customHeight="1" s="2">
      <c r="B25" s="43" t="inlineStr">
        <is>
          <t>Delaney</t>
        </is>
      </c>
      <c r="C25" s="52">
        <f>COUNTIFS(Archives!$S$2:$S$1048576,"Singles",Archives!$V$2:$V$1048576,$B25,Archives!$AB$2:$AB$1048576,"W")</f>
        <v/>
      </c>
      <c r="D25" s="52">
        <f>COUNTIFS(Archives!$S$2:$S$1048576,"Singles",Archives!$V$2:$V$1048576,$B25,Archives!$AB$2:$AB$1048576,"L")</f>
        <v/>
      </c>
      <c r="E25" s="52">
        <f>COUNTIFS(Archives!$S$2:$S$1048576,"Singles",Archives!$V$2:$V$1048576,$B25,Archives!$AB$2:$AB$1048576,"T")</f>
        <v/>
      </c>
      <c r="F25" s="53">
        <f>IF(G25=0,0,(C25+0.5*E25)/G25)</f>
        <v/>
      </c>
      <c r="G25" s="52">
        <f>C25+D25+E25</f>
        <v/>
      </c>
      <c r="I25" s="43" t="inlineStr">
        <is>
          <t>Connors / Delneky</t>
        </is>
      </c>
      <c r="J25" s="52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/>
      </c>
      <c r="K25" s="52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/>
      </c>
      <c r="L25" s="52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/>
      </c>
      <c r="M25" s="53">
        <f>IF(N25=0,0,(J25+0.5*L25)/N25)</f>
        <v/>
      </c>
      <c r="N25" s="52">
        <f>J25+K25+L25</f>
        <v/>
      </c>
    </row>
    <row r="26" ht="15" customHeight="1" s="2">
      <c r="B26" s="46" t="inlineStr">
        <is>
          <t>Weisberger</t>
        </is>
      </c>
      <c r="C26" s="55">
        <f>COUNTIFS(Archives!$S$2:$S$1048576,"Singles",Archives!$V$2:$V$1048576,$B26,Archives!$AB$2:$AB$1048576,"W")</f>
        <v/>
      </c>
      <c r="D26" s="55">
        <f>COUNTIFS(Archives!$S$2:$S$1048576,"Singles",Archives!$V$2:$V$1048576,$B26,Archives!$AB$2:$AB$1048576,"L")</f>
        <v/>
      </c>
      <c r="E26" s="55">
        <f>COUNTIFS(Archives!$S$2:$S$1048576,"Singles",Archives!$V$2:$V$1048576,$B26,Archives!$AB$2:$AB$1048576,"T")</f>
        <v/>
      </c>
      <c r="F26" s="56">
        <f>IF(G26=0,0,(C26+0.5*E26)/G26)</f>
        <v/>
      </c>
      <c r="G26" s="55">
        <f>C26+D26+E26</f>
        <v/>
      </c>
      <c r="I26" s="46" t="inlineStr">
        <is>
          <t>Fogan / Mangold</t>
        </is>
      </c>
      <c r="J26" s="55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/>
      </c>
      <c r="K26" s="55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/>
      </c>
      <c r="L26" s="55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/>
      </c>
      <c r="M26" s="56">
        <f>IF(N26=0,0,(J26+0.5*L26)/N26)</f>
        <v/>
      </c>
      <c r="N26" s="55">
        <f>J26+K26+L26</f>
        <v/>
      </c>
    </row>
    <row r="27" ht="15" customHeight="1" s="2">
      <c r="B27" s="43" t="inlineStr">
        <is>
          <t>Mangold</t>
        </is>
      </c>
      <c r="C27" s="52">
        <f>COUNTIFS(Archives!$S$2:$S$1048576,"Singles",Archives!$V$2:$V$1048576,$B27,Archives!$AB$2:$AB$1048576,"W")</f>
        <v/>
      </c>
      <c r="D27" s="52">
        <f>COUNTIFS(Archives!$S$2:$S$1048576,"Singles",Archives!$V$2:$V$1048576,$B27,Archives!$AB$2:$AB$1048576,"L")</f>
        <v/>
      </c>
      <c r="E27" s="52">
        <f>COUNTIFS(Archives!$S$2:$S$1048576,"Singles",Archives!$V$2:$V$1048576,$B27,Archives!$AB$2:$AB$1048576,"T")</f>
        <v/>
      </c>
      <c r="F27" s="53">
        <f>IF(G27=0,0,(C27+0.5*E27)/G27)</f>
        <v/>
      </c>
      <c r="G27" s="52">
        <f>C27+D27+E27</f>
        <v/>
      </c>
      <c r="I27" s="43" t="inlineStr">
        <is>
          <t>Gray / Jackson</t>
        </is>
      </c>
      <c r="J27" s="52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/>
      </c>
      <c r="K27" s="52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/>
      </c>
      <c r="L27" s="52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/>
      </c>
      <c r="M27" s="53">
        <f>IF(N27=0,0,(J27+0.5*L27)/N27)</f>
        <v/>
      </c>
      <c r="N27" s="52">
        <f>J27+K27+L27</f>
        <v/>
      </c>
    </row>
    <row r="28" ht="15" customHeight="1" s="2">
      <c r="B28" s="46" t="inlineStr">
        <is>
          <t>Shively</t>
        </is>
      </c>
      <c r="C28" s="55">
        <f>COUNTIFS(Archives!$S$2:$S$1048576,"Singles",Archives!$V$2:$V$1048576,$B28,Archives!$AB$2:$AB$1048576,"W")</f>
        <v/>
      </c>
      <c r="D28" s="55">
        <f>COUNTIFS(Archives!$S$2:$S$1048576,"Singles",Archives!$V$2:$V$1048576,$B28,Archives!$AB$2:$AB$1048576,"L")</f>
        <v/>
      </c>
      <c r="E28" s="55">
        <f>COUNTIFS(Archives!$S$2:$S$1048576,"Singles",Archives!$V$2:$V$1048576,$B28,Archives!$AB$2:$AB$1048576,"T")</f>
        <v/>
      </c>
      <c r="F28" s="56">
        <f>IF(G28=0,0,(C28+0.5*E28)/G28)</f>
        <v/>
      </c>
      <c r="G28" s="55">
        <f>C28+D28+E28</f>
        <v/>
      </c>
      <c r="I28" s="46" t="inlineStr">
        <is>
          <t>McInerney / Norat</t>
        </is>
      </c>
      <c r="J28" s="55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/>
      </c>
      <c r="K28" s="55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/>
      </c>
      <c r="L28" s="55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/>
      </c>
      <c r="M28" s="56">
        <f>IF(N28=0,0,(J28+0.5*L28)/N28)</f>
        <v/>
      </c>
      <c r="N28" s="55">
        <f>J28+K28+L28</f>
        <v/>
      </c>
    </row>
    <row r="29" ht="15" customHeight="1" s="2">
      <c r="B29" s="43" t="inlineStr">
        <is>
          <t>Connors</t>
        </is>
      </c>
      <c r="C29" s="52">
        <f>COUNTIFS(Archives!$S$2:$S$1048576,"Singles",Archives!$V$2:$V$1048576,$B29,Archives!$AB$2:$AB$1048576,"W")</f>
        <v/>
      </c>
      <c r="D29" s="52">
        <f>COUNTIFS(Archives!$S$2:$S$1048576,"Singles",Archives!$V$2:$V$1048576,$B29,Archives!$AB$2:$AB$1048576,"L")</f>
        <v/>
      </c>
      <c r="E29" s="52">
        <f>COUNTIFS(Archives!$S$2:$S$1048576,"Singles",Archives!$V$2:$V$1048576,$B29,Archives!$AB$2:$AB$1048576,"T")</f>
        <v/>
      </c>
      <c r="F29" s="53">
        <f>IF(G29=0,0,(C29+0.5*E29)/G29)</f>
        <v/>
      </c>
      <c r="G29" s="52">
        <f>C29+D29+E29</f>
        <v/>
      </c>
      <c r="I29" s="43" t="inlineStr">
        <is>
          <t>Ferrin / Flanders</t>
        </is>
      </c>
      <c r="J29" s="52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/>
      </c>
      <c r="K29" s="52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/>
      </c>
      <c r="L29" s="52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/>
      </c>
      <c r="M29" s="53">
        <f>IF(N29=0,0,(J29+0.5*L29)/N29)</f>
        <v/>
      </c>
      <c r="N29" s="52">
        <f>J29+K29+L29</f>
        <v/>
      </c>
    </row>
    <row r="30" ht="15" customHeight="1" s="2">
      <c r="B30" s="46" t="inlineStr">
        <is>
          <t>Hickerson</t>
        </is>
      </c>
      <c r="C30" s="55">
        <f>COUNTIFS(Archives!$S$2:$S$1048576,"Singles",Archives!$V$2:$V$1048576,$B30,Archives!$AB$2:$AB$1048576,"W")</f>
        <v/>
      </c>
      <c r="D30" s="55">
        <f>COUNTIFS(Archives!$S$2:$S$1048576,"Singles",Archives!$V$2:$V$1048576,$B30,Archives!$AB$2:$AB$1048576,"L")</f>
        <v/>
      </c>
      <c r="E30" s="55">
        <f>COUNTIFS(Archives!$S$2:$S$1048576,"Singles",Archives!$V$2:$V$1048576,$B30,Archives!$AB$2:$AB$1048576,"T")</f>
        <v/>
      </c>
      <c r="F30" s="56">
        <f>IF(G30=0,0,(C30+0.5*E30)/G30)</f>
        <v/>
      </c>
      <c r="G30" s="55">
        <f>C30+D30+E30</f>
        <v/>
      </c>
      <c r="I30" s="46" t="inlineStr">
        <is>
          <t>Connolly / Jackson</t>
        </is>
      </c>
      <c r="J30" s="55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/>
      </c>
      <c r="K30" s="55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/>
      </c>
      <c r="L30" s="55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/>
      </c>
      <c r="M30" s="56">
        <f>IF(N30=0,0,(J30+0.5*L30)/N30)</f>
        <v/>
      </c>
      <c r="N30" s="55">
        <f>J30+K30+L30</f>
        <v/>
      </c>
    </row>
    <row r="31" ht="15" customHeight="1" s="2">
      <c r="B31" s="43" t="inlineStr">
        <is>
          <t>Deoteris</t>
        </is>
      </c>
      <c r="C31" s="52">
        <f>COUNTIFS(Archives!$S$2:$S$1048576,"Singles",Archives!$V$2:$V$1048576,$B31,Archives!$AB$2:$AB$1048576,"W")</f>
        <v/>
      </c>
      <c r="D31" s="52">
        <f>COUNTIFS(Archives!$S$2:$S$1048576,"Singles",Archives!$V$2:$V$1048576,$B31,Archives!$AB$2:$AB$1048576,"L")</f>
        <v/>
      </c>
      <c r="E31" s="52">
        <f>COUNTIFS(Archives!$S$2:$S$1048576,"Singles",Archives!$V$2:$V$1048576,$B31,Archives!$AB$2:$AB$1048576,"T")</f>
        <v/>
      </c>
      <c r="F31" s="53">
        <f>IF(G31=0,0,(C31+0.5*E31)/G31)</f>
        <v/>
      </c>
      <c r="G31" s="52">
        <f>C31+D31+E31</f>
        <v/>
      </c>
      <c r="I31" s="43" t="inlineStr">
        <is>
          <t>Delaney / Perkins</t>
        </is>
      </c>
      <c r="J31" s="52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/>
      </c>
      <c r="K31" s="52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/>
      </c>
      <c r="L31" s="52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/>
      </c>
      <c r="M31" s="53">
        <f>IF(N31=0,0,(J31+0.5*L31)/N31)</f>
        <v/>
      </c>
      <c r="N31" s="52">
        <f>J31+K31+L31</f>
        <v/>
      </c>
    </row>
    <row r="32" ht="15" customHeight="1" s="2">
      <c r="B32" s="46" t="inlineStr">
        <is>
          <t>Buss</t>
        </is>
      </c>
      <c r="C32" s="55">
        <f>COUNTIFS(Archives!$S$2:$S$1048576,"Singles",Archives!$V$2:$V$1048576,$B32,Archives!$AB$2:$AB$1048576,"W")</f>
        <v/>
      </c>
      <c r="D32" s="55">
        <f>COUNTIFS(Archives!$S$2:$S$1048576,"Singles",Archives!$V$2:$V$1048576,$B32,Archives!$AB$2:$AB$1048576,"L")</f>
        <v/>
      </c>
      <c r="E32" s="55">
        <f>COUNTIFS(Archives!$S$2:$S$1048576,"Singles",Archives!$V$2:$V$1048576,$B32,Archives!$AB$2:$AB$1048576,"T")</f>
        <v/>
      </c>
      <c r="F32" s="56">
        <f>IF(G32=0,0,(C32+0.5*E32)/G32)</f>
        <v/>
      </c>
      <c r="G32" s="55">
        <f>C32+D32+E32</f>
        <v/>
      </c>
      <c r="I32" s="46" t="inlineStr">
        <is>
          <t>Connolly / Forster</t>
        </is>
      </c>
      <c r="J32" s="55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/>
      </c>
      <c r="K32" s="55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/>
      </c>
      <c r="L32" s="55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/>
      </c>
      <c r="M32" s="56">
        <f>IF(N32=0,0,(J32+0.5*L32)/N32)</f>
        <v/>
      </c>
      <c r="N32" s="55">
        <f>J32+K32+L32</f>
        <v/>
      </c>
    </row>
    <row r="33" ht="15" customHeight="1" s="2">
      <c r="B33" s="43" t="inlineStr">
        <is>
          <t>Piegari</t>
        </is>
      </c>
      <c r="C33" s="52">
        <f>COUNTIFS(Archives!$S$2:$S$1048576,"Singles",Archives!$V$2:$V$1048576,$B33,Archives!$AB$2:$AB$1048576,"W")</f>
        <v/>
      </c>
      <c r="D33" s="52">
        <f>COUNTIFS(Archives!$S$2:$S$1048576,"Singles",Archives!$V$2:$V$1048576,$B33,Archives!$AB$2:$AB$1048576,"L")</f>
        <v/>
      </c>
      <c r="E33" s="52">
        <f>COUNTIFS(Archives!$S$2:$S$1048576,"Singles",Archives!$V$2:$V$1048576,$B33,Archives!$AB$2:$AB$1048576,"T")</f>
        <v/>
      </c>
      <c r="F33" s="53">
        <f>IF(G33=0,0,(C33+0.5*E33)/G33)</f>
        <v/>
      </c>
      <c r="G33" s="52">
        <f>C33+D33+E33</f>
        <v/>
      </c>
      <c r="I33" s="43" t="inlineStr">
        <is>
          <t>Grise / Jackson</t>
        </is>
      </c>
      <c r="J33" s="52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/>
      </c>
      <c r="K33" s="52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/>
      </c>
      <c r="L33" s="52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/>
      </c>
      <c r="M33" s="53">
        <f>IF(N33=0,0,(J33+0.5*L33)/N33)</f>
        <v/>
      </c>
      <c r="N33" s="52">
        <f>J33+K33+L33</f>
        <v/>
      </c>
    </row>
    <row r="34" ht="15" customHeight="1" s="2">
      <c r="B34" s="46" t="inlineStr">
        <is>
          <t>Macklin</t>
        </is>
      </c>
      <c r="C34" s="55">
        <f>COUNTIFS(Archives!$S$2:$S$1048576,"Singles",Archives!$V$2:$V$1048576,$B34,Archives!$AB$2:$AB$1048576,"W")</f>
        <v/>
      </c>
      <c r="D34" s="55">
        <f>COUNTIFS(Archives!$S$2:$S$1048576,"Singles",Archives!$V$2:$V$1048576,$B34,Archives!$AB$2:$AB$1048576,"L")</f>
        <v/>
      </c>
      <c r="E34" s="55">
        <f>COUNTIFS(Archives!$S$2:$S$1048576,"Singles",Archives!$V$2:$V$1048576,$B34,Archives!$AB$2:$AB$1048576,"T")</f>
        <v/>
      </c>
      <c r="F34" s="56">
        <f>IF(G34=0,0,(C34+0.5*E34)/G34)</f>
        <v/>
      </c>
      <c r="G34" s="55">
        <f>C34+D34+E34</f>
        <v/>
      </c>
      <c r="I34" s="46" t="inlineStr">
        <is>
          <t>Connolly / R. Connolly</t>
        </is>
      </c>
      <c r="J34" s="55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/>
      </c>
      <c r="K34" s="55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/>
      </c>
      <c r="L34" s="55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/>
      </c>
      <c r="M34" s="56">
        <f>IF(N34=0,0,(J34+0.5*L34)/N34)</f>
        <v/>
      </c>
      <c r="N34" s="55">
        <f>J34+K34+L34</f>
        <v/>
      </c>
    </row>
    <row r="35" ht="15" customHeight="1" s="2">
      <c r="B35" s="58" t="inlineStr">
        <is>
          <t>Grand Total</t>
        </is>
      </c>
      <c r="C35" s="59">
        <f>SUM(C5:C34)</f>
        <v/>
      </c>
      <c r="D35" s="59">
        <f>SUM(D5:D34)</f>
        <v/>
      </c>
      <c r="E35" s="59">
        <f>SUM(E5:E34)</f>
        <v/>
      </c>
      <c r="F35" s="60">
        <f>IF(G35=0,0,(C35+0.5*E35)/G35)</f>
        <v/>
      </c>
      <c r="G35" s="59">
        <f>SUM(G5:G34)</f>
        <v/>
      </c>
      <c r="I35" s="43" t="inlineStr">
        <is>
          <t>Buss / Flanders</t>
        </is>
      </c>
      <c r="J35" s="52">
        <f>COUNTIFS(Archives!$S$2:$S$1048576,"Doubles",Archives!$V$2:$V$1048576,"Buss",Archives!$Y$2:$Y$1048576,"Flanders",Archives!$AB$2:$AB$1048576,"W")+COUNTIFS(Archives!$S$2:$S$1048576,"Doubles",Archives!$V$2:$V$1048576,"Flanders",Archives!$Y$2:$Y$1048576,"Buss",Archives!$AB$2:$AB$1048576,"W")</f>
        <v/>
      </c>
      <c r="K35" s="52">
        <f>COUNTIFS(Archives!$S$2:$S$1048576,"Doubles",Archives!$V$2:$V$1048576,"Buss",Archives!$Y$2:$Y$1048576,"Flanders",Archives!$AB$2:$AB$1048576,"L")+COUNTIFS(Archives!$S$2:$S$1048576,"Doubles",Archives!$V$2:$V$1048576,"Flanders",Archives!$Y$2:$Y$1048576,"Buss",Archives!$AB$2:$AB$1048576,"L")</f>
        <v/>
      </c>
      <c r="L35" s="52">
        <f>COUNTIFS(Archives!$S$2:$S$1048576,"Doubles",Archives!$V$2:$V$1048576,"Buss",Archives!$Y$2:$Y$1048576,"Flanders",Archives!$AB$2:$AB$1048576,"T")+COUNTIFS(Archives!$S$2:$S$1048576,"Doubles",Archives!$V$2:$V$1048576,"Flanders",Archives!$Y$2:$Y$1048576,"Buss",Archives!$AB$2:$AB$1048576,"T")</f>
        <v/>
      </c>
      <c r="M35" s="53">
        <f>IF(N35=0,0,(J35+0.5*L35)/N35)</f>
        <v/>
      </c>
      <c r="N35" s="52">
        <f>J35+K35+L35</f>
        <v/>
      </c>
    </row>
    <row r="36" ht="15" customHeight="1" s="2">
      <c r="I36" s="46" t="inlineStr">
        <is>
          <t>Cole / Hilts</t>
        </is>
      </c>
      <c r="J36" s="55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/>
      </c>
      <c r="K36" s="55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/>
      </c>
      <c r="L36" s="55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/>
      </c>
      <c r="M36" s="56">
        <f>IF(N36=0,0,(J36+0.5*L36)/N36)</f>
        <v/>
      </c>
      <c r="N36" s="55">
        <f>J36+K36+L36</f>
        <v/>
      </c>
    </row>
    <row r="37" ht="15" customHeight="1" s="2">
      <c r="I37" s="43" t="inlineStr">
        <is>
          <t>Cole / Welker</t>
        </is>
      </c>
      <c r="J37" s="52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/>
      </c>
      <c r="K37" s="52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/>
      </c>
      <c r="L37" s="52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/>
      </c>
      <c r="M37" s="53">
        <f>IF(N37=0,0,(J37+0.5*L37)/N37)</f>
        <v/>
      </c>
      <c r="N37" s="52">
        <f>J37+K37+L37</f>
        <v/>
      </c>
    </row>
    <row r="38" ht="15" customHeight="1" s="2">
      <c r="I38" s="46" t="inlineStr">
        <is>
          <t>Connolly / McInerney</t>
        </is>
      </c>
      <c r="J38" s="55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/>
      </c>
      <c r="K38" s="55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/>
      </c>
      <c r="L38" s="55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/>
      </c>
      <c r="M38" s="56">
        <f>IF(N38=0,0,(J38+0.5*L38)/N38)</f>
        <v/>
      </c>
      <c r="N38" s="55">
        <f>J38+K38+L38</f>
        <v/>
      </c>
    </row>
    <row r="39" ht="15" customHeight="1" s="2">
      <c r="I39" s="43" t="inlineStr">
        <is>
          <t>Connors / Perkins</t>
        </is>
      </c>
      <c r="J39" s="52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/>
      </c>
      <c r="K39" s="52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/>
      </c>
      <c r="L39" s="52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/>
      </c>
      <c r="M39" s="53">
        <f>IF(N39=0,0,(J39+0.5*L39)/N39)</f>
        <v/>
      </c>
      <c r="N39" s="52">
        <f>J39+K39+L39</f>
        <v/>
      </c>
    </row>
    <row r="40" ht="15" customHeight="1" s="2">
      <c r="I40" s="46" t="inlineStr">
        <is>
          <t>Connors / Flanders</t>
        </is>
      </c>
      <c r="J40" s="55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/>
      </c>
      <c r="K40" s="55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/>
      </c>
      <c r="L40" s="55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/>
      </c>
      <c r="M40" s="56">
        <f>IF(N40=0,0,(J40+0.5*L40)/N40)</f>
        <v/>
      </c>
      <c r="N40" s="55">
        <f>J40+K40+L40</f>
        <v/>
      </c>
    </row>
    <row r="41" ht="15" customHeight="1" s="2">
      <c r="I41" s="43" t="inlineStr">
        <is>
          <t>Delaney / Fogan</t>
        </is>
      </c>
      <c r="J41" s="52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/>
      </c>
      <c r="K41" s="52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/>
      </c>
      <c r="L41" s="52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/>
      </c>
      <c r="M41" s="53">
        <f>IF(N41=0,0,(J41+0.5*L41)/N41)</f>
        <v/>
      </c>
      <c r="N41" s="52">
        <f>J41+K41+L41</f>
        <v/>
      </c>
    </row>
    <row r="42" ht="15" customHeight="1" s="2">
      <c r="I42" s="46" t="inlineStr">
        <is>
          <t>Delneky / Gray</t>
        </is>
      </c>
      <c r="J42" s="55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/>
      </c>
      <c r="K42" s="55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/>
      </c>
      <c r="L42" s="55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/>
      </c>
      <c r="M42" s="56">
        <f>IF(N42=0,0,(J42+0.5*L42)/N42)</f>
        <v/>
      </c>
      <c r="N42" s="55">
        <f>J42+K42+L42</f>
        <v/>
      </c>
    </row>
    <row r="43" ht="15" customHeight="1" s="2">
      <c r="I43" s="43" t="inlineStr">
        <is>
          <t>Ferrin / Forster</t>
        </is>
      </c>
      <c r="J43" s="52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/>
      </c>
      <c r="K43" s="52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/>
      </c>
      <c r="L43" s="52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/>
      </c>
      <c r="M43" s="53">
        <f>IF(N43=0,0,(J43+0.5*L43)/N43)</f>
        <v/>
      </c>
      <c r="N43" s="52">
        <f>J43+K43+L43</f>
        <v/>
      </c>
    </row>
    <row r="44" ht="15" customHeight="1" s="2">
      <c r="I44" s="46" t="inlineStr">
        <is>
          <t>Grise / Snyder</t>
        </is>
      </c>
      <c r="J44" s="55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/>
      </c>
      <c r="K44" s="55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/>
      </c>
      <c r="L44" s="55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/>
      </c>
      <c r="M44" s="56">
        <f>IF(N44=0,0,(J44+0.5*L44)/N44)</f>
        <v/>
      </c>
      <c r="N44" s="55">
        <f>J44+K44+L44</f>
        <v/>
      </c>
    </row>
    <row r="45" ht="15" customHeight="1" s="2">
      <c r="I45" s="43" t="inlineStr">
        <is>
          <t>Mangold / Poirier</t>
        </is>
      </c>
      <c r="J45" s="52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/>
      </c>
      <c r="K45" s="52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/>
      </c>
      <c r="L45" s="52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/>
      </c>
      <c r="M45" s="53">
        <f>IF(N45=0,0,(J45+0.5*L45)/N45)</f>
        <v/>
      </c>
      <c r="N45" s="52">
        <f>J45+K45+L45</f>
        <v/>
      </c>
    </row>
    <row r="46" ht="15" customHeight="1" s="2">
      <c r="I46" s="46" t="inlineStr">
        <is>
          <t>Shively / Welker</t>
        </is>
      </c>
      <c r="J46" s="55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/>
      </c>
      <c r="K46" s="55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/>
      </c>
      <c r="L46" s="55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/>
      </c>
      <c r="M46" s="56">
        <f>IF(N46=0,0,(J46+0.5*L46)/N46)</f>
        <v/>
      </c>
      <c r="N46" s="55">
        <f>J46+K46+L46</f>
        <v/>
      </c>
    </row>
    <row r="47" ht="15" customHeight="1" s="2">
      <c r="I47" s="43" t="inlineStr">
        <is>
          <t>Hilts / Lynch</t>
        </is>
      </c>
      <c r="J47" s="52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/>
      </c>
      <c r="K47" s="52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/>
      </c>
      <c r="L47" s="52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/>
      </c>
      <c r="M47" s="53">
        <f>IF(N47=0,0,(J47+0.5*L47)/N47)</f>
        <v/>
      </c>
      <c r="N47" s="52">
        <f>J47+K47+L47</f>
        <v/>
      </c>
    </row>
    <row r="48" ht="15" customHeight="1" s="2">
      <c r="I48" s="46" t="inlineStr">
        <is>
          <t>Connolly / Shively</t>
        </is>
      </c>
      <c r="J48" s="55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/>
      </c>
      <c r="K48" s="55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/>
      </c>
      <c r="L48" s="55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/>
      </c>
      <c r="M48" s="56">
        <f>IF(N48=0,0,(J48+0.5*L48)/N48)</f>
        <v/>
      </c>
      <c r="N48" s="55">
        <f>J48+K48+L48</f>
        <v/>
      </c>
    </row>
    <row r="49" ht="15" customHeight="1" s="2">
      <c r="I49" s="43" t="inlineStr">
        <is>
          <t>Gray / Lynch</t>
        </is>
      </c>
      <c r="J49" s="52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/>
      </c>
      <c r="K49" s="52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/>
      </c>
      <c r="L49" s="52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/>
      </c>
      <c r="M49" s="53">
        <f>IF(N49=0,0,(J49+0.5*L49)/N49)</f>
        <v/>
      </c>
      <c r="N49" s="52">
        <f>J49+K49+L49</f>
        <v/>
      </c>
    </row>
    <row r="50" ht="15" customHeight="1" s="2">
      <c r="I50" s="46" t="inlineStr">
        <is>
          <t>Buss / Shively</t>
        </is>
      </c>
      <c r="J50" s="55">
        <f>COUNTIFS(Archives!$S$2:$S$1048576,"Doubles",Archives!$V$2:$V$1048576,"Buss",Archives!$Y$2:$Y$1048576,"Shively",Archives!$AB$2:$AB$1048576,"W")+COUNTIFS(Archives!$S$2:$S$1048576,"Doubles",Archives!$V$2:$V$1048576,"Shively",Archives!$Y$2:$Y$1048576,"Buss",Archives!$AB$2:$AB$1048576,"W")</f>
        <v/>
      </c>
      <c r="K50" s="55">
        <f>COUNTIFS(Archives!$S$2:$S$1048576,"Doubles",Archives!$V$2:$V$1048576,"Buss",Archives!$Y$2:$Y$1048576,"Shively",Archives!$AB$2:$AB$1048576,"L")+COUNTIFS(Archives!$S$2:$S$1048576,"Doubles",Archives!$V$2:$V$1048576,"Shively",Archives!$Y$2:$Y$1048576,"Buss",Archives!$AB$2:$AB$1048576,"L")</f>
        <v/>
      </c>
      <c r="L50" s="55">
        <f>COUNTIFS(Archives!$S$2:$S$1048576,"Doubles",Archives!$V$2:$V$1048576,"Buss",Archives!$Y$2:$Y$1048576,"Shively",Archives!$AB$2:$AB$1048576,"T")+COUNTIFS(Archives!$S$2:$S$1048576,"Doubles",Archives!$V$2:$V$1048576,"Shively",Archives!$Y$2:$Y$1048576,"Buss",Archives!$AB$2:$AB$1048576,"T")</f>
        <v/>
      </c>
      <c r="M50" s="56">
        <f>IF(N50=0,0,(J50+0.5*L50)/N50)</f>
        <v/>
      </c>
      <c r="N50" s="55">
        <f>J50+K50+L50</f>
        <v/>
      </c>
    </row>
    <row r="51" ht="15" customHeight="1" s="2">
      <c r="I51" s="43" t="inlineStr">
        <is>
          <t>Cole / McInerney</t>
        </is>
      </c>
      <c r="J51" s="52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/>
      </c>
      <c r="K51" s="52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/>
      </c>
      <c r="L51" s="52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/>
      </c>
      <c r="M51" s="53">
        <f>IF(N51=0,0,(J51+0.5*L51)/N51)</f>
        <v/>
      </c>
      <c r="N51" s="52">
        <f>J51+K51+L51</f>
        <v/>
      </c>
    </row>
    <row r="52" ht="15" customHeight="1" s="2">
      <c r="I52" s="46" t="inlineStr">
        <is>
          <t>Connolly / Connors</t>
        </is>
      </c>
      <c r="J52" s="55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/>
      </c>
      <c r="K52" s="55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/>
      </c>
      <c r="L52" s="55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/>
      </c>
      <c r="M52" s="56">
        <f>IF(N52=0,0,(J52+0.5*L52)/N52)</f>
        <v/>
      </c>
      <c r="N52" s="55">
        <f>J52+K52+L52</f>
        <v/>
      </c>
    </row>
    <row r="53" ht="15" customHeight="1" s="2">
      <c r="I53" s="43" t="inlineStr">
        <is>
          <t>Connors / Welker</t>
        </is>
      </c>
      <c r="J53" s="52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/>
      </c>
      <c r="K53" s="52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/>
      </c>
      <c r="L53" s="52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/>
      </c>
      <c r="M53" s="53">
        <f>IF(N53=0,0,(J53+0.5*L53)/N53)</f>
        <v/>
      </c>
      <c r="N53" s="52">
        <f>J53+K53+L53</f>
        <v/>
      </c>
    </row>
    <row r="54" ht="15" customHeight="1" s="2">
      <c r="I54" s="46" t="inlineStr">
        <is>
          <t>Delaney / Mangold</t>
        </is>
      </c>
      <c r="J54" s="55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/>
      </c>
      <c r="K54" s="55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/>
      </c>
      <c r="L54" s="55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/>
      </c>
      <c r="M54" s="56">
        <f>IF(N54=0,0,(J54+0.5*L54)/N54)</f>
        <v/>
      </c>
      <c r="N54" s="55">
        <f>J54+K54+L54</f>
        <v/>
      </c>
    </row>
    <row r="55" ht="15" customHeight="1" s="2">
      <c r="I55" s="43" t="inlineStr">
        <is>
          <t>Delneky / Fogan</t>
        </is>
      </c>
      <c r="J55" s="52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/>
      </c>
      <c r="K55" s="52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/>
      </c>
      <c r="L55" s="52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/>
      </c>
      <c r="M55" s="53">
        <f>IF(N55=0,0,(J55+0.5*L55)/N55)</f>
        <v/>
      </c>
      <c r="N55" s="52">
        <f>J55+K55+L55</f>
        <v/>
      </c>
    </row>
    <row r="56" ht="15" customHeight="1" s="2">
      <c r="I56" s="46" t="inlineStr">
        <is>
          <t>Deoteris / Ferrin</t>
        </is>
      </c>
      <c r="J56" s="55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/>
      </c>
      <c r="K56" s="55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/>
      </c>
      <c r="L56" s="55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/>
      </c>
      <c r="M56" s="56">
        <f>IF(N56=0,0,(J56+0.5*L56)/N56)</f>
        <v/>
      </c>
      <c r="N56" s="55">
        <f>J56+K56+L56</f>
        <v/>
      </c>
    </row>
    <row r="57" ht="15" customHeight="1" s="2">
      <c r="I57" s="43" t="inlineStr">
        <is>
          <t>Ferrin / Grise</t>
        </is>
      </c>
      <c r="J57" s="52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/>
      </c>
      <c r="K57" s="52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/>
      </c>
      <c r="L57" s="52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/>
      </c>
      <c r="M57" s="53">
        <f>IF(N57=0,0,(J57+0.5*L57)/N57)</f>
        <v/>
      </c>
      <c r="N57" s="52">
        <f>J57+K57+L57</f>
        <v/>
      </c>
    </row>
    <row r="58" ht="15" customHeight="1" s="2">
      <c r="I58" s="46" t="inlineStr">
        <is>
          <t>Flanders / Poirier</t>
        </is>
      </c>
      <c r="J58" s="55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/>
      </c>
      <c r="K58" s="55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/>
      </c>
      <c r="L58" s="55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/>
      </c>
      <c r="M58" s="56">
        <f>IF(N58=0,0,(J58+0.5*L58)/N58)</f>
        <v/>
      </c>
      <c r="N58" s="55">
        <f>J58+K58+L58</f>
        <v/>
      </c>
    </row>
    <row r="59" ht="15" customHeight="1" s="2">
      <c r="I59" s="43" t="inlineStr">
        <is>
          <t>Grise / Hickerson</t>
        </is>
      </c>
      <c r="J59" s="52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/>
      </c>
      <c r="K59" s="52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/>
      </c>
      <c r="L59" s="52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/>
      </c>
      <c r="M59" s="53">
        <f>IF(N59=0,0,(J59+0.5*L59)/N59)</f>
        <v/>
      </c>
      <c r="N59" s="52">
        <f>J59+K59+L59</f>
        <v/>
      </c>
    </row>
    <row r="60" ht="15" customHeight="1" s="2">
      <c r="I60" s="46" t="inlineStr">
        <is>
          <t>Grise / Poirier</t>
        </is>
      </c>
      <c r="J60" s="55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/>
      </c>
      <c r="K60" s="55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/>
      </c>
      <c r="L60" s="55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/>
      </c>
      <c r="M60" s="56">
        <f>IF(N60=0,0,(J60+0.5*L60)/N60)</f>
        <v/>
      </c>
      <c r="N60" s="55">
        <f>J60+K60+L60</f>
        <v/>
      </c>
    </row>
    <row r="61" ht="15" customHeight="1" s="2">
      <c r="I61" s="43" t="inlineStr">
        <is>
          <t>Mangold / Welker</t>
        </is>
      </c>
      <c r="J61" s="52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/>
      </c>
      <c r="K61" s="52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/>
      </c>
      <c r="L61" s="52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/>
      </c>
      <c r="M61" s="53">
        <f>IF(N61=0,0,(J61+0.5*L61)/N61)</f>
        <v/>
      </c>
      <c r="N61" s="52">
        <f>J61+K61+L61</f>
        <v/>
      </c>
    </row>
    <row r="62" ht="15" customHeight="1" s="2">
      <c r="I62" s="46" t="inlineStr">
        <is>
          <t>Norat / Welker</t>
        </is>
      </c>
      <c r="J62" s="55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/>
      </c>
      <c r="K62" s="55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/>
      </c>
      <c r="L62" s="55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/>
      </c>
      <c r="M62" s="56">
        <f>IF(N62=0,0,(J62+0.5*L62)/N62)</f>
        <v/>
      </c>
      <c r="N62" s="55">
        <f>J62+K62+L62</f>
        <v/>
      </c>
    </row>
    <row r="63" ht="15" customHeight="1" s="2">
      <c r="I63" s="43" t="inlineStr">
        <is>
          <t>Ferrin / Jackson</t>
        </is>
      </c>
      <c r="J63" s="52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/>
      </c>
      <c r="K63" s="52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/>
      </c>
      <c r="L63" s="52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/>
      </c>
      <c r="M63" s="53">
        <f>IF(N63=0,0,(J63+0.5*L63)/N63)</f>
        <v/>
      </c>
      <c r="N63" s="52">
        <f>J63+K63+L63</f>
        <v/>
      </c>
    </row>
    <row r="64" ht="15" customHeight="1" s="2">
      <c r="I64" s="46" t="inlineStr">
        <is>
          <t>Gray / Zimmer</t>
        </is>
      </c>
      <c r="J64" s="55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/>
      </c>
      <c r="K64" s="55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/>
      </c>
      <c r="L64" s="55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/>
      </c>
      <c r="M64" s="56">
        <f>IF(N64=0,0,(J64+0.5*L64)/N64)</f>
        <v/>
      </c>
      <c r="N64" s="55">
        <f>J64+K64+L64</f>
        <v/>
      </c>
    </row>
    <row r="65" ht="15" customHeight="1" s="2">
      <c r="I65" s="43" t="inlineStr">
        <is>
          <t>Gray / Norat</t>
        </is>
      </c>
      <c r="J65" s="52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/>
      </c>
      <c r="K65" s="52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/>
      </c>
      <c r="L65" s="52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/>
      </c>
      <c r="M65" s="53">
        <f>IF(N65=0,0,(J65+0.5*L65)/N65)</f>
        <v/>
      </c>
      <c r="N65" s="52">
        <f>J65+K65+L65</f>
        <v/>
      </c>
    </row>
    <row r="66" ht="15" customHeight="1" s="2">
      <c r="I66" s="46" t="inlineStr">
        <is>
          <t>Norat / Zimmer</t>
        </is>
      </c>
      <c r="J66" s="55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/>
      </c>
      <c r="K66" s="55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/>
      </c>
      <c r="L66" s="55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/>
      </c>
      <c r="M66" s="56">
        <f>IF(N66=0,0,(J66+0.5*L66)/N66)</f>
        <v/>
      </c>
      <c r="N66" s="55">
        <f>J66+K66+L66</f>
        <v/>
      </c>
    </row>
    <row r="67" ht="15" customHeight="1" s="2">
      <c r="I67" s="43" t="inlineStr">
        <is>
          <t>Connolly / Hilts</t>
        </is>
      </c>
      <c r="J67" s="52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/>
      </c>
      <c r="K67" s="52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/>
      </c>
      <c r="L67" s="52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/>
      </c>
      <c r="M67" s="53">
        <f>IF(N67=0,0,(J67+0.5*L67)/N67)</f>
        <v/>
      </c>
      <c r="N67" s="52">
        <f>J67+K67+L67</f>
        <v/>
      </c>
    </row>
    <row r="68" ht="15" customHeight="1" s="2">
      <c r="I68" s="46" t="inlineStr">
        <is>
          <t>Cole / Ferrin</t>
        </is>
      </c>
      <c r="J68" s="55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/>
      </c>
      <c r="K68" s="55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/>
      </c>
      <c r="L68" s="55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/>
      </c>
      <c r="M68" s="56">
        <f>IF(N68=0,0,(J68+0.5*L68)/N68)</f>
        <v/>
      </c>
      <c r="N68" s="55">
        <f>J68+K68+L68</f>
        <v/>
      </c>
    </row>
    <row r="69" ht="15" customHeight="1" s="2">
      <c r="I69" s="43" t="inlineStr">
        <is>
          <t>Connors / Jackson</t>
        </is>
      </c>
      <c r="J69" s="52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/>
      </c>
      <c r="K69" s="52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/>
      </c>
      <c r="L69" s="52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/>
      </c>
      <c r="M69" s="53">
        <f>IF(N69=0,0,(J69+0.5*L69)/N69)</f>
        <v/>
      </c>
      <c r="N69" s="52">
        <f>J69+K69+L69</f>
        <v/>
      </c>
    </row>
    <row r="70" ht="15" customHeight="1" s="2">
      <c r="I70" s="46" t="inlineStr">
        <is>
          <t>Delaney / Hilts</t>
        </is>
      </c>
      <c r="J70" s="55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/>
      </c>
      <c r="K70" s="55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/>
      </c>
      <c r="L70" s="55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/>
      </c>
      <c r="M70" s="56">
        <f>IF(N70=0,0,(J70+0.5*L70)/N70)</f>
        <v/>
      </c>
      <c r="N70" s="55">
        <f>J70+K70+L70</f>
        <v/>
      </c>
    </row>
    <row r="71" ht="15" customHeight="1" s="2">
      <c r="I71" s="43" t="inlineStr">
        <is>
          <t>Fogan / Weisberger</t>
        </is>
      </c>
      <c r="J71" s="52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/>
      </c>
      <c r="K71" s="52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/>
      </c>
      <c r="L71" s="52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/>
      </c>
      <c r="M71" s="53">
        <f>IF(N71=0,0,(J71+0.5*L71)/N71)</f>
        <v/>
      </c>
      <c r="N71" s="52">
        <f>J71+K71+L71</f>
        <v/>
      </c>
    </row>
    <row r="72" ht="15" customHeight="1" s="2">
      <c r="I72" s="46" t="inlineStr">
        <is>
          <t>Cole / Jackson</t>
        </is>
      </c>
      <c r="J72" s="55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/>
      </c>
      <c r="K72" s="55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/>
      </c>
      <c r="L72" s="55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/>
      </c>
      <c r="M72" s="56">
        <f>IF(N72=0,0,(J72+0.5*L72)/N72)</f>
        <v/>
      </c>
      <c r="N72" s="55">
        <f>J72+K72+L72</f>
        <v/>
      </c>
    </row>
    <row r="73" ht="15" customHeight="1" s="2">
      <c r="I73" s="43" t="inlineStr">
        <is>
          <t>Connolly / Zimmer</t>
        </is>
      </c>
      <c r="J73" s="52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/>
      </c>
      <c r="K73" s="52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/>
      </c>
      <c r="L73" s="52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/>
      </c>
      <c r="M73" s="53">
        <f>IF(N73=0,0,(J73+0.5*L73)/N73)</f>
        <v/>
      </c>
      <c r="N73" s="52">
        <f>J73+K73+L73</f>
        <v/>
      </c>
    </row>
    <row r="74" ht="15" customHeight="1" s="2">
      <c r="I74" s="46" t="inlineStr">
        <is>
          <t>Connolly / Delneky</t>
        </is>
      </c>
      <c r="J74" s="55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/>
      </c>
      <c r="K74" s="55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/>
      </c>
      <c r="L74" s="55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/>
      </c>
      <c r="M74" s="56">
        <f>IF(N74=0,0,(J74+0.5*L74)/N74)</f>
        <v/>
      </c>
      <c r="N74" s="55">
        <f>J74+K74+L74</f>
        <v/>
      </c>
    </row>
    <row r="75" ht="15" customHeight="1" s="2">
      <c r="I75" s="43" t="inlineStr">
        <is>
          <t>Forster / Norat</t>
        </is>
      </c>
      <c r="J75" s="52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/>
      </c>
      <c r="K75" s="52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/>
      </c>
      <c r="L75" s="52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/>
      </c>
      <c r="M75" s="53">
        <f>IF(N75=0,0,(J75+0.5*L75)/N75)</f>
        <v/>
      </c>
      <c r="N75" s="52">
        <f>J75+K75+L75</f>
        <v/>
      </c>
    </row>
    <row r="76" ht="15" customHeight="1" s="2">
      <c r="I76" s="46" t="inlineStr">
        <is>
          <t>Hickerson / Lynch</t>
        </is>
      </c>
      <c r="J76" s="55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/>
      </c>
      <c r="K76" s="55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/>
      </c>
      <c r="L76" s="55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/>
      </c>
      <c r="M76" s="56">
        <f>IF(N76=0,0,(J76+0.5*L76)/N76)</f>
        <v/>
      </c>
      <c r="N76" s="55">
        <f>J76+K76+L76</f>
        <v/>
      </c>
    </row>
    <row r="77" ht="15" customHeight="1" s="2">
      <c r="I77" s="43" t="inlineStr">
        <is>
          <t>Hilts / Poirier</t>
        </is>
      </c>
      <c r="J77" s="52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/>
      </c>
      <c r="K77" s="52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/>
      </c>
      <c r="L77" s="52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/>
      </c>
      <c r="M77" s="53">
        <f>IF(N77=0,0,(J77+0.5*L77)/N77)</f>
        <v/>
      </c>
      <c r="N77" s="52">
        <f>J77+K77+L77</f>
        <v/>
      </c>
    </row>
    <row r="78" ht="15" customHeight="1" s="2">
      <c r="I78" s="46" t="inlineStr">
        <is>
          <t>Lynch / Mangold</t>
        </is>
      </c>
      <c r="J78" s="55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/>
      </c>
      <c r="K78" s="55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/>
      </c>
      <c r="L78" s="55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/>
      </c>
      <c r="M78" s="56">
        <f>IF(N78=0,0,(J78+0.5*L78)/N78)</f>
        <v/>
      </c>
      <c r="N78" s="55">
        <f>J78+K78+L78</f>
        <v/>
      </c>
    </row>
    <row r="79" ht="15" customHeight="1" s="2">
      <c r="I79" s="43" t="inlineStr">
        <is>
          <t>Buss / Lynch</t>
        </is>
      </c>
      <c r="J79" s="52">
        <f>COUNTIFS(Archives!$S$2:$S$1048576,"Doubles",Archives!$V$2:$V$1048576,"Buss",Archives!$Y$2:$Y$1048576,"Lynch",Archives!$AB$2:$AB$1048576,"W")+COUNTIFS(Archives!$S$2:$S$1048576,"Doubles",Archives!$V$2:$V$1048576,"Lynch",Archives!$Y$2:$Y$1048576,"Buss",Archives!$AB$2:$AB$1048576,"W")</f>
        <v/>
      </c>
      <c r="K79" s="52">
        <f>COUNTIFS(Archives!$S$2:$S$1048576,"Doubles",Archives!$V$2:$V$1048576,"Buss",Archives!$Y$2:$Y$1048576,"Lynch",Archives!$AB$2:$AB$1048576,"L")+COUNTIFS(Archives!$S$2:$S$1048576,"Doubles",Archives!$V$2:$V$1048576,"Lynch",Archives!$Y$2:$Y$1048576,"Buss",Archives!$AB$2:$AB$1048576,"L")</f>
        <v/>
      </c>
      <c r="L79" s="52">
        <f>COUNTIFS(Archives!$S$2:$S$1048576,"Doubles",Archives!$V$2:$V$1048576,"Buss",Archives!$Y$2:$Y$1048576,"Lynch",Archives!$AB$2:$AB$1048576,"T")+COUNTIFS(Archives!$S$2:$S$1048576,"Doubles",Archives!$V$2:$V$1048576,"Lynch",Archives!$Y$2:$Y$1048576,"Buss",Archives!$AB$2:$AB$1048576,"T")</f>
        <v/>
      </c>
      <c r="M79" s="53">
        <f>IF(N79=0,0,(J79+0.5*L79)/N79)</f>
        <v/>
      </c>
      <c r="N79" s="52">
        <f>J79+K79+L79</f>
        <v/>
      </c>
    </row>
    <row r="80" ht="15" customHeight="1" s="2">
      <c r="I80" s="46" t="inlineStr">
        <is>
          <t>Cole / Flanders</t>
        </is>
      </c>
      <c r="J80" s="55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/>
      </c>
      <c r="K80" s="55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/>
      </c>
      <c r="L80" s="55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/>
      </c>
      <c r="M80" s="56">
        <f>IF(N80=0,0,(J80+0.5*L80)/N80)</f>
        <v/>
      </c>
      <c r="N80" s="55">
        <f>J80+K80+L80</f>
        <v/>
      </c>
    </row>
    <row r="81" ht="15" customHeight="1" s="2">
      <c r="I81" s="43" t="inlineStr">
        <is>
          <t>Connolly / Ferrin</t>
        </is>
      </c>
      <c r="J81" s="52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/>
      </c>
      <c r="K81" s="52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/>
      </c>
      <c r="L81" s="52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/>
      </c>
      <c r="M81" s="53">
        <f>IF(N81=0,0,(J81+0.5*L81)/N81)</f>
        <v/>
      </c>
      <c r="N81" s="52">
        <f>J81+K81+L81</f>
        <v/>
      </c>
    </row>
    <row r="82" ht="15" customHeight="1" s="2">
      <c r="I82" s="46" t="inlineStr">
        <is>
          <t>Connors / Zimmer</t>
        </is>
      </c>
      <c r="J82" s="55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/>
      </c>
      <c r="K82" s="55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/>
      </c>
      <c r="L82" s="55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/>
      </c>
      <c r="M82" s="56">
        <f>IF(N82=0,0,(J82+0.5*L82)/N82)</f>
        <v/>
      </c>
      <c r="N82" s="55">
        <f>J82+K82+L82</f>
        <v/>
      </c>
    </row>
    <row r="83" ht="15" customHeight="1" s="2">
      <c r="I83" s="43" t="inlineStr">
        <is>
          <t>Delaney / Shively</t>
        </is>
      </c>
      <c r="J83" s="52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/>
      </c>
      <c r="K83" s="52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/>
      </c>
      <c r="L83" s="52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/>
      </c>
      <c r="M83" s="53">
        <f>IF(N83=0,0,(J83+0.5*L83)/N83)</f>
        <v/>
      </c>
      <c r="N83" s="52">
        <f>J83+K83+L83</f>
        <v/>
      </c>
    </row>
    <row r="84" ht="15" customHeight="1" s="2">
      <c r="I84" s="46" t="inlineStr">
        <is>
          <t>Delneky / Ferrin</t>
        </is>
      </c>
      <c r="J84" s="55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/>
      </c>
      <c r="K84" s="55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/>
      </c>
      <c r="L84" s="55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/>
      </c>
      <c r="M84" s="56">
        <f>IF(N84=0,0,(J84+0.5*L84)/N84)</f>
        <v/>
      </c>
      <c r="N84" s="55">
        <f>J84+K84+L84</f>
        <v/>
      </c>
    </row>
    <row r="85" ht="15" customHeight="1" s="2">
      <c r="I85" s="43" t="inlineStr">
        <is>
          <t>Delneky / Jackson</t>
        </is>
      </c>
      <c r="J85" s="52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/>
      </c>
      <c r="K85" s="52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/>
      </c>
      <c r="L85" s="52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/>
      </c>
      <c r="M85" s="53">
        <f>IF(N85=0,0,(J85+0.5*L85)/N85)</f>
        <v/>
      </c>
      <c r="N85" s="52">
        <f>J85+K85+L85</f>
        <v/>
      </c>
    </row>
    <row r="86" ht="15" customHeight="1" s="2">
      <c r="I86" s="46" t="inlineStr">
        <is>
          <t>Delneky / R. Connolly</t>
        </is>
      </c>
      <c r="J86" s="55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/>
      </c>
      <c r="K86" s="55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/>
      </c>
      <c r="L86" s="55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/>
      </c>
      <c r="M86" s="56">
        <f>IF(N86=0,0,(J86+0.5*L86)/N86)</f>
        <v/>
      </c>
      <c r="N86" s="55">
        <f>J86+K86+L86</f>
        <v/>
      </c>
    </row>
    <row r="87" ht="15" customHeight="1" s="2">
      <c r="I87" s="43" t="inlineStr">
        <is>
          <t>Delneky / Zimmer</t>
        </is>
      </c>
      <c r="J87" s="52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/>
      </c>
      <c r="K87" s="52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/>
      </c>
      <c r="L87" s="52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/>
      </c>
      <c r="M87" s="53">
        <f>IF(N87=0,0,(J87+0.5*L87)/N87)</f>
        <v/>
      </c>
      <c r="N87" s="52">
        <f>J87+K87+L87</f>
        <v/>
      </c>
    </row>
    <row r="88" ht="15" customHeight="1" s="2">
      <c r="I88" s="46" t="inlineStr">
        <is>
          <t>Deoteris / Welker</t>
        </is>
      </c>
      <c r="J88" s="55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/>
      </c>
      <c r="K88" s="55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/>
      </c>
      <c r="L88" s="55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/>
      </c>
      <c r="M88" s="56">
        <f>IF(N88=0,0,(J88+0.5*L88)/N88)</f>
        <v/>
      </c>
      <c r="N88" s="55">
        <f>J88+K88+L88</f>
        <v/>
      </c>
    </row>
    <row r="89" ht="15" customHeight="1" s="2">
      <c r="I89" s="43" t="inlineStr">
        <is>
          <t>Ferrin / Shively</t>
        </is>
      </c>
      <c r="J89" s="52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/>
      </c>
      <c r="K89" s="52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/>
      </c>
      <c r="L89" s="52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/>
      </c>
      <c r="M89" s="53">
        <f>IF(N89=0,0,(J89+0.5*L89)/N89)</f>
        <v/>
      </c>
      <c r="N89" s="52">
        <f>J89+K89+L89</f>
        <v/>
      </c>
    </row>
    <row r="90" ht="15" customHeight="1" s="2">
      <c r="I90" s="46" t="inlineStr">
        <is>
          <t>Forster / McInerney</t>
        </is>
      </c>
      <c r="J90" s="55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/>
      </c>
      <c r="K90" s="55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/>
      </c>
      <c r="L90" s="55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/>
      </c>
      <c r="M90" s="56">
        <f>IF(N90=0,0,(J90+0.5*L90)/N90)</f>
        <v/>
      </c>
      <c r="N90" s="55">
        <f>J90+K90+L90</f>
        <v/>
      </c>
    </row>
    <row r="91" ht="15" customHeight="1" s="2">
      <c r="I91" s="43" t="inlineStr">
        <is>
          <t>Forster / Hilts</t>
        </is>
      </c>
      <c r="J91" s="52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/>
      </c>
      <c r="K91" s="52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/>
      </c>
      <c r="L91" s="52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/>
      </c>
      <c r="M91" s="53">
        <f>IF(N91=0,0,(J91+0.5*L91)/N91)</f>
        <v/>
      </c>
      <c r="N91" s="52">
        <f>J91+K91+L91</f>
        <v/>
      </c>
    </row>
    <row r="92" ht="15" customHeight="1" s="2">
      <c r="I92" s="46" t="inlineStr">
        <is>
          <t>Forster / Grise</t>
        </is>
      </c>
      <c r="J92" s="55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/>
      </c>
      <c r="K92" s="55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/>
      </c>
      <c r="L92" s="55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/>
      </c>
      <c r="M92" s="56">
        <f>IF(N92=0,0,(J92+0.5*L92)/N92)</f>
        <v/>
      </c>
      <c r="N92" s="55">
        <f>J92+K92+L92</f>
        <v/>
      </c>
    </row>
    <row r="93" ht="15" customHeight="1" s="2">
      <c r="I93" s="43" t="inlineStr">
        <is>
          <t>Forster / Shively</t>
        </is>
      </c>
      <c r="J93" s="52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/>
      </c>
      <c r="K93" s="52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/>
      </c>
      <c r="L93" s="52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/>
      </c>
      <c r="M93" s="53">
        <f>IF(N93=0,0,(J93+0.5*L93)/N93)</f>
        <v/>
      </c>
      <c r="N93" s="52">
        <f>J93+K93+L93</f>
        <v/>
      </c>
    </row>
    <row r="94" ht="15" customHeight="1" s="2">
      <c r="I94" s="46" t="inlineStr">
        <is>
          <t>Gray / Hilts</t>
        </is>
      </c>
      <c r="J94" s="55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/>
      </c>
      <c r="K94" s="55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/>
      </c>
      <c r="L94" s="55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/>
      </c>
      <c r="M94" s="56">
        <f>IF(N94=0,0,(J94+0.5*L94)/N94)</f>
        <v/>
      </c>
      <c r="N94" s="55">
        <f>J94+K94+L94</f>
        <v/>
      </c>
    </row>
    <row r="95" ht="15" customHeight="1" s="2">
      <c r="I95" s="43" t="inlineStr">
        <is>
          <t>Gray / McInerney</t>
        </is>
      </c>
      <c r="J95" s="52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/>
      </c>
      <c r="K95" s="52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/>
      </c>
      <c r="L95" s="52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/>
      </c>
      <c r="M95" s="53">
        <f>IF(N95=0,0,(J95+0.5*L95)/N95)</f>
        <v/>
      </c>
      <c r="N95" s="52">
        <f>J95+K95+L95</f>
        <v/>
      </c>
    </row>
    <row r="96" ht="15" customHeight="1" s="2">
      <c r="I96" s="46" t="inlineStr">
        <is>
          <t>Grise / Shively</t>
        </is>
      </c>
      <c r="J96" s="55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/>
      </c>
      <c r="K96" s="55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/>
      </c>
      <c r="L96" s="55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/>
      </c>
      <c r="M96" s="56">
        <f>IF(N96=0,0,(J96+0.5*L96)/N96)</f>
        <v/>
      </c>
      <c r="N96" s="55">
        <f>J96+K96+L96</f>
        <v/>
      </c>
    </row>
    <row r="97" ht="15" customHeight="1" s="2">
      <c r="I97" s="43" t="inlineStr">
        <is>
          <t>Grise / Lynch</t>
        </is>
      </c>
      <c r="J97" s="52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/>
      </c>
      <c r="K97" s="52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/>
      </c>
      <c r="L97" s="52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/>
      </c>
      <c r="M97" s="53">
        <f>IF(N97=0,0,(J97+0.5*L97)/N97)</f>
        <v/>
      </c>
      <c r="N97" s="52">
        <f>J97+K97+L97</f>
        <v/>
      </c>
    </row>
    <row r="98" ht="15" customHeight="1" s="2">
      <c r="I98" s="46" t="inlineStr">
        <is>
          <t>Grise / Zimmer</t>
        </is>
      </c>
      <c r="J98" s="55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/>
      </c>
      <c r="K98" s="55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/>
      </c>
      <c r="L98" s="55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/>
      </c>
      <c r="M98" s="56">
        <f>IF(N98=0,0,(J98+0.5*L98)/N98)</f>
        <v/>
      </c>
      <c r="N98" s="55">
        <f>J98+K98+L98</f>
        <v/>
      </c>
    </row>
    <row r="99" ht="15" customHeight="1" s="2">
      <c r="I99" s="43" t="inlineStr">
        <is>
          <t>Jackson / Shively</t>
        </is>
      </c>
      <c r="J99" s="52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/>
      </c>
      <c r="K99" s="52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/>
      </c>
      <c r="L99" s="52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/>
      </c>
      <c r="M99" s="53">
        <f>IF(N99=0,0,(J99+0.5*L99)/N99)</f>
        <v/>
      </c>
      <c r="N99" s="52">
        <f>J99+K99+L99</f>
        <v/>
      </c>
    </row>
    <row r="100" ht="15" customHeight="1" s="2">
      <c r="I100" s="46" t="inlineStr">
        <is>
          <t>Jackson / Zimmer</t>
        </is>
      </c>
      <c r="J100" s="55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/>
      </c>
      <c r="K100" s="55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/>
      </c>
      <c r="L100" s="55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/>
      </c>
      <c r="M100" s="56">
        <f>IF(N100=0,0,(J100+0.5*L100)/N100)</f>
        <v/>
      </c>
      <c r="N100" s="55">
        <f>J100+K100+L100</f>
        <v/>
      </c>
    </row>
    <row r="101" ht="15" customHeight="1" s="2">
      <c r="I101" s="43" t="inlineStr">
        <is>
          <t>Jackson / R. Connolly</t>
        </is>
      </c>
      <c r="J101" s="52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/>
      </c>
      <c r="K101" s="52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/>
      </c>
      <c r="L101" s="52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/>
      </c>
      <c r="M101" s="53">
        <f>IF(N101=0,0,(J101+0.5*L101)/N101)</f>
        <v/>
      </c>
      <c r="N101" s="52">
        <f>J101+K101+L101</f>
        <v/>
      </c>
    </row>
    <row r="102" ht="15" customHeight="1" s="2">
      <c r="I102" s="46" t="inlineStr">
        <is>
          <t>Lynch / Ramsay</t>
        </is>
      </c>
      <c r="J102" s="55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/>
      </c>
      <c r="K102" s="55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/>
      </c>
      <c r="L102" s="55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/>
      </c>
      <c r="M102" s="56">
        <f>IF(N102=0,0,(J102+0.5*L102)/N102)</f>
        <v/>
      </c>
      <c r="N102" s="55">
        <f>J102+K102+L102</f>
        <v/>
      </c>
    </row>
    <row r="103" ht="15" customHeight="1" s="2">
      <c r="I103" s="43" t="inlineStr">
        <is>
          <t>Mangold / Shively</t>
        </is>
      </c>
      <c r="J103" s="52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/>
      </c>
      <c r="K103" s="52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/>
      </c>
      <c r="L103" s="52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/>
      </c>
      <c r="M103" s="53">
        <f>IF(N103=0,0,(J103+0.5*L103)/N103)</f>
        <v/>
      </c>
      <c r="N103" s="52">
        <f>J103+K103+L103</f>
        <v/>
      </c>
    </row>
    <row r="104" ht="15" customHeight="1" s="2">
      <c r="I104" s="46" t="inlineStr">
        <is>
          <t>McInerney / Ramsay</t>
        </is>
      </c>
      <c r="J104" s="55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/>
      </c>
      <c r="K104" s="55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/>
      </c>
      <c r="L104" s="55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/>
      </c>
      <c r="M104" s="56">
        <f>IF(N104=0,0,(J104+0.5*L104)/N104)</f>
        <v/>
      </c>
      <c r="N104" s="55">
        <f>J104+K104+L104</f>
        <v/>
      </c>
    </row>
    <row r="105" ht="15" customHeight="1" s="2">
      <c r="I105" s="43" t="inlineStr">
        <is>
          <t>Piegari / Shively</t>
        </is>
      </c>
      <c r="J105" s="52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/>
      </c>
      <c r="K105" s="52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/>
      </c>
      <c r="L105" s="52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/>
      </c>
      <c r="M105" s="53">
        <f>IF(N105=0,0,(J105+0.5*L105)/N105)</f>
        <v/>
      </c>
      <c r="N105" s="52">
        <f>J105+K105+L105</f>
        <v/>
      </c>
    </row>
    <row r="106" ht="15" customHeight="1" s="2">
      <c r="I106" s="46" t="inlineStr">
        <is>
          <t>Flanders / Forster</t>
        </is>
      </c>
      <c r="J106" s="55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/>
      </c>
      <c r="K106" s="55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/>
      </c>
      <c r="L106" s="55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/>
      </c>
      <c r="M106" s="56">
        <f>IF(N106=0,0,(J106+0.5*L106)/N106)</f>
        <v/>
      </c>
      <c r="N106" s="55">
        <f>J106+K106+L106</f>
        <v/>
      </c>
    </row>
    <row r="107" ht="15" customHeight="1" s="2">
      <c r="I107" s="43" t="inlineStr">
        <is>
          <t>Buss / Mangold</t>
        </is>
      </c>
      <c r="J107" s="52">
        <f>COUNTIFS(Archives!$S$2:$S$1048576,"Doubles",Archives!$V$2:$V$1048576,"Buss",Archives!$Y$2:$Y$1048576,"Mangold",Archives!$AB$2:$AB$1048576,"W")+COUNTIFS(Archives!$S$2:$S$1048576,"Doubles",Archives!$V$2:$V$1048576,"Mangold",Archives!$Y$2:$Y$1048576,"Buss",Archives!$AB$2:$AB$1048576,"W")</f>
        <v/>
      </c>
      <c r="K107" s="52">
        <f>COUNTIFS(Archives!$S$2:$S$1048576,"Doubles",Archives!$V$2:$V$1048576,"Buss",Archives!$Y$2:$Y$1048576,"Mangold",Archives!$AB$2:$AB$1048576,"L")+COUNTIFS(Archives!$S$2:$S$1048576,"Doubles",Archives!$V$2:$V$1048576,"Mangold",Archives!$Y$2:$Y$1048576,"Buss",Archives!$AB$2:$AB$1048576,"L")</f>
        <v/>
      </c>
      <c r="L107" s="52">
        <f>COUNTIFS(Archives!$S$2:$S$1048576,"Doubles",Archives!$V$2:$V$1048576,"Buss",Archives!$Y$2:$Y$1048576,"Mangold",Archives!$AB$2:$AB$1048576,"T")+COUNTIFS(Archives!$S$2:$S$1048576,"Doubles",Archives!$V$2:$V$1048576,"Mangold",Archives!$Y$2:$Y$1048576,"Buss",Archives!$AB$2:$AB$1048576,"T")</f>
        <v/>
      </c>
      <c r="M107" s="53">
        <f>IF(N107=0,0,(J107+0.5*L107)/N107)</f>
        <v/>
      </c>
      <c r="N107" s="52">
        <f>J107+K107+L107</f>
        <v/>
      </c>
    </row>
    <row r="108" ht="15" customHeight="1" s="2">
      <c r="I108" s="46" t="inlineStr">
        <is>
          <t>Cole / Lynch</t>
        </is>
      </c>
      <c r="J108" s="55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/>
      </c>
      <c r="K108" s="55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/>
      </c>
      <c r="L108" s="55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/>
      </c>
      <c r="M108" s="56">
        <f>IF(N108=0,0,(J108+0.5*L108)/N108)</f>
        <v/>
      </c>
      <c r="N108" s="55">
        <f>J108+K108+L108</f>
        <v/>
      </c>
    </row>
    <row r="109" ht="15" customHeight="1" s="2">
      <c r="I109" s="43" t="inlineStr">
        <is>
          <t>Connors / Mangold</t>
        </is>
      </c>
      <c r="J109" s="52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/>
      </c>
      <c r="K109" s="52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/>
      </c>
      <c r="L109" s="52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/>
      </c>
      <c r="M109" s="53">
        <f>IF(N109=0,0,(J109+0.5*L109)/N109)</f>
        <v/>
      </c>
      <c r="N109" s="52">
        <f>J109+K109+L109</f>
        <v/>
      </c>
    </row>
    <row r="110" ht="15" customHeight="1" s="2">
      <c r="I110" s="46" t="inlineStr">
        <is>
          <t>Deoteris / Zimmer</t>
        </is>
      </c>
      <c r="J110" s="55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/>
      </c>
      <c r="K110" s="55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/>
      </c>
      <c r="L110" s="55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/>
      </c>
      <c r="M110" s="56">
        <f>IF(N110=0,0,(J110+0.5*L110)/N110)</f>
        <v/>
      </c>
      <c r="N110" s="55">
        <f>J110+K110+L110</f>
        <v/>
      </c>
    </row>
    <row r="111" ht="15" customHeight="1" s="2">
      <c r="I111" s="43" t="inlineStr">
        <is>
          <t>Lynch / Perkins</t>
        </is>
      </c>
      <c r="J111" s="52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/>
      </c>
      <c r="K111" s="52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/>
      </c>
      <c r="L111" s="52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/>
      </c>
      <c r="M111" s="53">
        <f>IF(N111=0,0,(J111+0.5*L111)/N111)</f>
        <v/>
      </c>
      <c r="N111" s="52">
        <f>J111+K111+L111</f>
        <v/>
      </c>
    </row>
    <row r="112" ht="15" customHeight="1" s="2">
      <c r="I112" s="46" t="inlineStr">
        <is>
          <t>Macklin / Poirier</t>
        </is>
      </c>
      <c r="J112" s="55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/>
      </c>
      <c r="K112" s="55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/>
      </c>
      <c r="L112" s="55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/>
      </c>
      <c r="M112" s="56">
        <f>IF(N112=0,0,(J112+0.5*L112)/N112)</f>
        <v/>
      </c>
      <c r="N112" s="55">
        <f>J112+K112+L112</f>
        <v/>
      </c>
    </row>
    <row r="113" ht="15" customHeight="1" s="2">
      <c r="I113" s="43" t="inlineStr">
        <is>
          <t>Flanders / Mangold</t>
        </is>
      </c>
      <c r="J113" s="52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/>
      </c>
      <c r="K113" s="52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/>
      </c>
      <c r="L113" s="52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/>
      </c>
      <c r="M113" s="53">
        <f>IF(N113=0,0,(J113+0.5*L113)/N113)</f>
        <v/>
      </c>
      <c r="N113" s="52">
        <f>J113+K113+L113</f>
        <v/>
      </c>
    </row>
    <row r="114" ht="15" customHeight="1" s="2">
      <c r="I114" s="46" t="inlineStr">
        <is>
          <t>McInerney / Shively</t>
        </is>
      </c>
      <c r="J114" s="55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/>
      </c>
      <c r="K114" s="55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/>
      </c>
      <c r="L114" s="55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/>
      </c>
      <c r="M114" s="56">
        <f>IF(N114=0,0,(J114+0.5*L114)/N114)</f>
        <v/>
      </c>
      <c r="N114" s="55">
        <f>J114+K114+L114</f>
        <v/>
      </c>
    </row>
    <row r="115" ht="15" customHeight="1" s="2">
      <c r="I115" s="43" t="inlineStr">
        <is>
          <t>Fogan / Welker</t>
        </is>
      </c>
      <c r="J115" s="52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/>
      </c>
      <c r="K115" s="52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/>
      </c>
      <c r="L115" s="52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/>
      </c>
      <c r="M115" s="53">
        <f>IF(N115=0,0,(J115+0.5*L115)/N115)</f>
        <v/>
      </c>
      <c r="N115" s="52">
        <f>J115+K115+L115</f>
        <v/>
      </c>
    </row>
    <row r="116" ht="15" customHeight="1" s="2">
      <c r="I116" s="46" t="inlineStr">
        <is>
          <t>Forster / Welker</t>
        </is>
      </c>
      <c r="J116" s="55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/>
      </c>
      <c r="K116" s="55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/>
      </c>
      <c r="L116" s="55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/>
      </c>
      <c r="M116" s="56">
        <f>IF(N116=0,0,(J116+0.5*L116)/N116)</f>
        <v/>
      </c>
      <c r="N116" s="55">
        <f>J116+K116+L116</f>
        <v/>
      </c>
    </row>
    <row r="117" ht="15" customHeight="1" s="2">
      <c r="I117" s="43" t="inlineStr">
        <is>
          <t>Flanders / Hilts</t>
        </is>
      </c>
      <c r="J117" s="52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/>
      </c>
      <c r="K117" s="52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/>
      </c>
      <c r="L117" s="52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/>
      </c>
      <c r="M117" s="53">
        <f>IF(N117=0,0,(J117+0.5*L117)/N117)</f>
        <v/>
      </c>
      <c r="N117" s="52">
        <f>J117+K117+L117</f>
        <v/>
      </c>
    </row>
    <row r="118" ht="15" customHeight="1" s="2">
      <c r="I118" s="46" t="inlineStr">
        <is>
          <t>Fogan / Lynch</t>
        </is>
      </c>
      <c r="J118" s="55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/>
      </c>
      <c r="K118" s="55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/>
      </c>
      <c r="L118" s="55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/>
      </c>
      <c r="M118" s="56">
        <f>IF(N118=0,0,(J118+0.5*L118)/N118)</f>
        <v/>
      </c>
      <c r="N118" s="55">
        <f>J118+K118+L118</f>
        <v/>
      </c>
    </row>
    <row r="119" ht="15" customHeight="1" s="2">
      <c r="I119" s="43" t="inlineStr">
        <is>
          <t>Grise / Mangold</t>
        </is>
      </c>
      <c r="J119" s="52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/>
      </c>
      <c r="K119" s="52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/>
      </c>
      <c r="L119" s="52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/>
      </c>
      <c r="M119" s="53">
        <f>IF(N119=0,0,(J119+0.5*L119)/N119)</f>
        <v/>
      </c>
      <c r="N119" s="52">
        <f>J119+K119+L119</f>
        <v/>
      </c>
    </row>
    <row r="120" ht="15" customHeight="1" s="2">
      <c r="I120" s="46" t="inlineStr">
        <is>
          <t>Buss / Connors</t>
        </is>
      </c>
      <c r="J120" s="55">
        <f>COUNTIFS(Archives!$S$2:$S$1048576,"Doubles",Archives!$V$2:$V$1048576,"Buss",Archives!$Y$2:$Y$1048576,"Connors",Archives!$AB$2:$AB$1048576,"W")+COUNTIFS(Archives!$S$2:$S$1048576,"Doubles",Archives!$V$2:$V$1048576,"Connors",Archives!$Y$2:$Y$1048576,"Buss",Archives!$AB$2:$AB$1048576,"W")</f>
        <v/>
      </c>
      <c r="K120" s="55">
        <f>COUNTIFS(Archives!$S$2:$S$1048576,"Doubles",Archives!$V$2:$V$1048576,"Buss",Archives!$Y$2:$Y$1048576,"Connors",Archives!$AB$2:$AB$1048576,"L")+COUNTIFS(Archives!$S$2:$S$1048576,"Doubles",Archives!$V$2:$V$1048576,"Connors",Archives!$Y$2:$Y$1048576,"Buss",Archives!$AB$2:$AB$1048576,"L")</f>
        <v/>
      </c>
      <c r="L120" s="55">
        <f>COUNTIFS(Archives!$S$2:$S$1048576,"Doubles",Archives!$V$2:$V$1048576,"Buss",Archives!$Y$2:$Y$1048576,"Connors",Archives!$AB$2:$AB$1048576,"T")+COUNTIFS(Archives!$S$2:$S$1048576,"Doubles",Archives!$V$2:$V$1048576,"Connors",Archives!$Y$2:$Y$1048576,"Buss",Archives!$AB$2:$AB$1048576,"T")</f>
        <v/>
      </c>
      <c r="M120" s="56">
        <f>IF(N120=0,0,(J120+0.5*L120)/N120)</f>
        <v/>
      </c>
      <c r="N120" s="55">
        <f>J120+K120+L120</f>
        <v/>
      </c>
    </row>
    <row r="121" ht="15" customHeight="1" s="2">
      <c r="I121" s="43" t="inlineStr">
        <is>
          <t>Cole / Mangold</t>
        </is>
      </c>
      <c r="J121" s="52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/>
      </c>
      <c r="K121" s="52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/>
      </c>
      <c r="L121" s="52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/>
      </c>
      <c r="M121" s="53">
        <f>IF(N121=0,0,(J121+0.5*L121)/N121)</f>
        <v/>
      </c>
      <c r="N121" s="52">
        <f>J121+K121+L121</f>
        <v/>
      </c>
    </row>
    <row r="122" ht="15" customHeight="1" s="2">
      <c r="I122" s="46" t="inlineStr">
        <is>
          <t>Delaney / Piegari</t>
        </is>
      </c>
      <c r="J122" s="55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/>
      </c>
      <c r="K122" s="55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/>
      </c>
      <c r="L122" s="55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/>
      </c>
      <c r="M122" s="56">
        <f>IF(N122=0,0,(J122+0.5*L122)/N122)</f>
        <v/>
      </c>
      <c r="N122" s="55">
        <f>J122+K122+L122</f>
        <v/>
      </c>
    </row>
    <row r="123" ht="15" customHeight="1" s="2">
      <c r="I123" s="43" t="inlineStr">
        <is>
          <t>Deoteris / Grise</t>
        </is>
      </c>
      <c r="J123" s="52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/>
      </c>
      <c r="K123" s="52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/>
      </c>
      <c r="L123" s="52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/>
      </c>
      <c r="M123" s="53">
        <f>IF(N123=0,0,(J123+0.5*L123)/N123)</f>
        <v/>
      </c>
      <c r="N123" s="52">
        <f>J123+K123+L123</f>
        <v/>
      </c>
    </row>
    <row r="124" ht="15" customHeight="1" s="2">
      <c r="I124" s="46" t="inlineStr">
        <is>
          <t>Ferrin / Weisberger</t>
        </is>
      </c>
      <c r="J124" s="55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/>
      </c>
      <c r="K124" s="55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/>
      </c>
      <c r="L124" s="55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/>
      </c>
      <c r="M124" s="56">
        <f>IF(N124=0,0,(J124+0.5*L124)/N124)</f>
        <v/>
      </c>
      <c r="N124" s="55">
        <f>J124+K124+L124</f>
        <v/>
      </c>
    </row>
    <row r="125" ht="15" customHeight="1" s="2">
      <c r="I125" s="43" t="inlineStr">
        <is>
          <t>Flanders / Shively</t>
        </is>
      </c>
      <c r="J125" s="52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/>
      </c>
      <c r="K125" s="52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/>
      </c>
      <c r="L125" s="52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/>
      </c>
      <c r="M125" s="53">
        <f>IF(N125=0,0,(J125+0.5*L125)/N125)</f>
        <v/>
      </c>
      <c r="N125" s="52">
        <f>J125+K125+L125</f>
        <v/>
      </c>
    </row>
    <row r="126" ht="15" customHeight="1" s="2">
      <c r="I126" s="46" t="inlineStr">
        <is>
          <t>Flanders / Fogan</t>
        </is>
      </c>
      <c r="J126" s="55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/>
      </c>
      <c r="K126" s="55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/>
      </c>
      <c r="L126" s="55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/>
      </c>
      <c r="M126" s="56">
        <f>IF(N126=0,0,(J126+0.5*L126)/N126)</f>
        <v/>
      </c>
      <c r="N126" s="55">
        <f>J126+K126+L126</f>
        <v/>
      </c>
    </row>
    <row r="127" ht="15" customHeight="1" s="2">
      <c r="I127" s="43" t="inlineStr">
        <is>
          <t>Fogan / Piegari</t>
        </is>
      </c>
      <c r="J127" s="52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/>
      </c>
      <c r="K127" s="52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/>
      </c>
      <c r="L127" s="52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/>
      </c>
      <c r="M127" s="53">
        <f>IF(N127=0,0,(J127+0.5*L127)/N127)</f>
        <v/>
      </c>
      <c r="N127" s="52">
        <f>J127+K127+L127</f>
        <v/>
      </c>
    </row>
    <row r="128" ht="15" customHeight="1" s="2">
      <c r="I128" s="46" t="inlineStr">
        <is>
          <t>Gray / Poirier</t>
        </is>
      </c>
      <c r="J128" s="55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/>
      </c>
      <c r="K128" s="55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/>
      </c>
      <c r="L128" s="55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/>
      </c>
      <c r="M128" s="56">
        <f>IF(N128=0,0,(J128+0.5*L128)/N128)</f>
        <v/>
      </c>
      <c r="N128" s="55">
        <f>J128+K128+L128</f>
        <v/>
      </c>
    </row>
    <row r="129" ht="15" customHeight="1" s="2">
      <c r="I129" s="43" t="inlineStr">
        <is>
          <t>Hilts / Shively</t>
        </is>
      </c>
      <c r="J129" s="52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/>
      </c>
      <c r="K129" s="52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/>
      </c>
      <c r="L129" s="52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/>
      </c>
      <c r="M129" s="53">
        <f>IF(N129=0,0,(J129+0.5*L129)/N129)</f>
        <v/>
      </c>
      <c r="N129" s="52">
        <f>J129+K129+L129</f>
        <v/>
      </c>
    </row>
    <row r="130" ht="15" customHeight="1" s="2">
      <c r="I130" s="46" t="inlineStr">
        <is>
          <t>Jackson / Welker</t>
        </is>
      </c>
      <c r="J130" s="55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/>
      </c>
      <c r="K130" s="55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/>
      </c>
      <c r="L130" s="55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/>
      </c>
      <c r="M130" s="56">
        <f>IF(N130=0,0,(J130+0.5*L130)/N130)</f>
        <v/>
      </c>
      <c r="N130" s="55">
        <f>J130+K130+L130</f>
        <v/>
      </c>
    </row>
    <row r="131" ht="15" customHeight="1" s="2">
      <c r="I131" s="43" t="inlineStr">
        <is>
          <t>Lynch / Snyder</t>
        </is>
      </c>
      <c r="J131" s="52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/>
      </c>
      <c r="K131" s="52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/>
      </c>
      <c r="L131" s="52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/>
      </c>
      <c r="M131" s="53">
        <f>IF(N131=0,0,(J131+0.5*L131)/N131)</f>
        <v/>
      </c>
      <c r="N131" s="52">
        <f>J131+K131+L131</f>
        <v/>
      </c>
    </row>
    <row r="132" ht="15" customHeight="1" s="2">
      <c r="I132" s="46" t="inlineStr">
        <is>
          <t>Mangold / Weisberger</t>
        </is>
      </c>
      <c r="J132" s="55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/>
      </c>
      <c r="K132" s="55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/>
      </c>
      <c r="L132" s="55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/>
      </c>
      <c r="M132" s="56">
        <f>IF(N132=0,0,(J132+0.5*L132)/N132)</f>
        <v/>
      </c>
      <c r="N132" s="55">
        <f>J132+K132+L132</f>
        <v/>
      </c>
    </row>
    <row r="133" ht="15" customHeight="1" s="2">
      <c r="I133" s="43" t="inlineStr">
        <is>
          <t>Shively / Zimmer</t>
        </is>
      </c>
      <c r="J133" s="52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/>
      </c>
      <c r="K133" s="52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/>
      </c>
      <c r="L133" s="52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/>
      </c>
      <c r="M133" s="53">
        <f>IF(N133=0,0,(J133+0.5*L133)/N133)</f>
        <v/>
      </c>
      <c r="N133" s="52">
        <f>J133+K133+L133</f>
        <v/>
      </c>
    </row>
    <row r="134" ht="15" customHeight="1" s="2">
      <c r="I134" s="46" t="inlineStr">
        <is>
          <t>Connors / Grise</t>
        </is>
      </c>
      <c r="J134" s="55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/>
      </c>
      <c r="K134" s="55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/>
      </c>
      <c r="L134" s="55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/>
      </c>
      <c r="M134" s="56">
        <f>IF(N134=0,0,(J134+0.5*L134)/N134)</f>
        <v/>
      </c>
      <c r="N134" s="55">
        <f>J134+K134+L134</f>
        <v/>
      </c>
    </row>
    <row r="135" ht="15" customHeight="1" s="2">
      <c r="I135" s="43" t="inlineStr">
        <is>
          <t>Fogan / Hilts</t>
        </is>
      </c>
      <c r="J135" s="52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/>
      </c>
      <c r="K135" s="52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/>
      </c>
      <c r="L135" s="52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/>
      </c>
      <c r="M135" s="53">
        <f>IF(N135=0,0,(J135+0.5*L135)/N135)</f>
        <v/>
      </c>
      <c r="N135" s="52">
        <f>J135+K135+L135</f>
        <v/>
      </c>
    </row>
    <row r="136" ht="15" customHeight="1" s="2">
      <c r="I136" s="46" t="inlineStr">
        <is>
          <t>Poirier / Shively</t>
        </is>
      </c>
      <c r="J136" s="55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/>
      </c>
      <c r="K136" s="55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/>
      </c>
      <c r="L136" s="55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/>
      </c>
      <c r="M136" s="56">
        <f>IF(N136=0,0,(J136+0.5*L136)/N136)</f>
        <v/>
      </c>
      <c r="N136" s="55">
        <f>J136+K136+L136</f>
        <v/>
      </c>
    </row>
    <row r="137" ht="15" customHeight="1" s="2">
      <c r="I137" s="43" t="inlineStr">
        <is>
          <t>Cole / Connors</t>
        </is>
      </c>
      <c r="J137" s="52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/>
      </c>
      <c r="K137" s="52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/>
      </c>
      <c r="L137" s="52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/>
      </c>
      <c r="M137" s="53">
        <f>IF(N137=0,0,(J137+0.5*L137)/N137)</f>
        <v/>
      </c>
      <c r="N137" s="52">
        <f>J137+K137+L137</f>
        <v/>
      </c>
    </row>
    <row r="138" ht="15" customHeight="1" s="2">
      <c r="I138" s="46" t="inlineStr">
        <is>
          <t>Fogan / McInerney</t>
        </is>
      </c>
      <c r="J138" s="55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/>
      </c>
      <c r="K138" s="55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/>
      </c>
      <c r="L138" s="55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/>
      </c>
      <c r="M138" s="56">
        <f>IF(N138=0,0,(J138+0.5*L138)/N138)</f>
        <v/>
      </c>
      <c r="N138" s="55">
        <f>J138+K138+L138</f>
        <v/>
      </c>
    </row>
    <row r="139" ht="15" customHeight="1" s="2">
      <c r="I139" s="43" t="inlineStr">
        <is>
          <t>Flanders / Grise</t>
        </is>
      </c>
      <c r="J139" s="52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/>
      </c>
      <c r="K139" s="52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/>
      </c>
      <c r="L139" s="52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/>
      </c>
      <c r="M139" s="53">
        <f>IF(N139=0,0,(J139+0.5*L139)/N139)</f>
        <v/>
      </c>
      <c r="N139" s="52">
        <f>J139+K139+L139</f>
        <v/>
      </c>
    </row>
    <row r="140" ht="15" customHeight="1" s="2">
      <c r="I140" s="46" t="inlineStr">
        <is>
          <t>Buss / Fogan</t>
        </is>
      </c>
      <c r="J140" s="55">
        <f>COUNTIFS(Archives!$S$2:$S$1048576,"Doubles",Archives!$V$2:$V$1048576,"Buss",Archives!$Y$2:$Y$1048576,"Fogan",Archives!$AB$2:$AB$1048576,"W")+COUNTIFS(Archives!$S$2:$S$1048576,"Doubles",Archives!$V$2:$V$1048576,"Fogan",Archives!$Y$2:$Y$1048576,"Buss",Archives!$AB$2:$AB$1048576,"W")</f>
        <v/>
      </c>
      <c r="K140" s="55">
        <f>COUNTIFS(Archives!$S$2:$S$1048576,"Doubles",Archives!$V$2:$V$1048576,"Buss",Archives!$Y$2:$Y$1048576,"Fogan",Archives!$AB$2:$AB$1048576,"L")+COUNTIFS(Archives!$S$2:$S$1048576,"Doubles",Archives!$V$2:$V$1048576,"Fogan",Archives!$Y$2:$Y$1048576,"Buss",Archives!$AB$2:$AB$1048576,"L")</f>
        <v/>
      </c>
      <c r="L140" s="55">
        <f>COUNTIFS(Archives!$S$2:$S$1048576,"Doubles",Archives!$V$2:$V$1048576,"Buss",Archives!$Y$2:$Y$1048576,"Fogan",Archives!$AB$2:$AB$1048576,"T")+COUNTIFS(Archives!$S$2:$S$1048576,"Doubles",Archives!$V$2:$V$1048576,"Fogan",Archives!$Y$2:$Y$1048576,"Buss",Archives!$AB$2:$AB$1048576,"T")</f>
        <v/>
      </c>
      <c r="M140" s="56">
        <f>IF(N140=0,0,(J140+0.5*L140)/N140)</f>
        <v/>
      </c>
      <c r="N140" s="55">
        <f>J140+K140+L140</f>
        <v/>
      </c>
    </row>
    <row r="141" ht="15" customHeight="1" s="2">
      <c r="I141" s="43" t="inlineStr">
        <is>
          <t>Cole / Poirier</t>
        </is>
      </c>
      <c r="J141" s="52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/>
      </c>
      <c r="K141" s="52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/>
      </c>
      <c r="L141" s="52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/>
      </c>
      <c r="M141" s="53">
        <f>IF(N141=0,0,(J141+0.5*L141)/N141)</f>
        <v/>
      </c>
      <c r="N141" s="52">
        <f>J141+K141+L141</f>
        <v/>
      </c>
    </row>
    <row r="142" ht="15" customHeight="1" s="2">
      <c r="I142" s="46" t="inlineStr">
        <is>
          <t>Cole / Fogan</t>
        </is>
      </c>
      <c r="J142" s="55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/>
      </c>
      <c r="K142" s="55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/>
      </c>
      <c r="L142" s="55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/>
      </c>
      <c r="M142" s="56">
        <f>IF(N142=0,0,(J142+0.5*L142)/N142)</f>
        <v/>
      </c>
      <c r="N142" s="55">
        <f>J142+K142+L142</f>
        <v/>
      </c>
    </row>
    <row r="143" ht="15" customHeight="1" s="2">
      <c r="I143" s="43" t="inlineStr">
        <is>
          <t>Cole / R. Connolly</t>
        </is>
      </c>
      <c r="J143" s="52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/>
      </c>
      <c r="K143" s="52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/>
      </c>
      <c r="L143" s="52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/>
      </c>
      <c r="M143" s="53">
        <f>IF(N143=0,0,(J143+0.5*L143)/N143)</f>
        <v/>
      </c>
      <c r="N143" s="52">
        <f>J143+K143+L143</f>
        <v/>
      </c>
    </row>
    <row r="144" ht="15" customHeight="1" s="2">
      <c r="I144" s="46" t="inlineStr">
        <is>
          <t>Connolly / Fogan</t>
        </is>
      </c>
      <c r="J144" s="55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/>
      </c>
      <c r="K144" s="55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/>
      </c>
      <c r="L144" s="55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/>
      </c>
      <c r="M144" s="56">
        <f>IF(N144=0,0,(J144+0.5*L144)/N144)</f>
        <v/>
      </c>
      <c r="N144" s="55">
        <f>J144+K144+L144</f>
        <v/>
      </c>
    </row>
    <row r="145" ht="15" customHeight="1" s="2">
      <c r="I145" s="43" t="inlineStr">
        <is>
          <t>Connolly / Mangold</t>
        </is>
      </c>
      <c r="J145" s="52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/>
      </c>
      <c r="K145" s="52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/>
      </c>
      <c r="L145" s="52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/>
      </c>
      <c r="M145" s="53">
        <f>IF(N145=0,0,(J145+0.5*L145)/N145)</f>
        <v/>
      </c>
      <c r="N145" s="52">
        <f>J145+K145+L145</f>
        <v/>
      </c>
    </row>
    <row r="146" ht="15" customHeight="1" s="2">
      <c r="I146" s="46" t="inlineStr">
        <is>
          <t>Connors / Norat</t>
        </is>
      </c>
      <c r="J146" s="55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/>
      </c>
      <c r="K146" s="55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/>
      </c>
      <c r="L146" s="55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/>
      </c>
      <c r="M146" s="56">
        <f>IF(N146=0,0,(J146+0.5*L146)/N146)</f>
        <v/>
      </c>
      <c r="N146" s="55">
        <f>J146+K146+L146</f>
        <v/>
      </c>
    </row>
    <row r="147" ht="15" customHeight="1" s="2">
      <c r="I147" s="43" t="inlineStr">
        <is>
          <t>Connors / McInerney</t>
        </is>
      </c>
      <c r="J147" s="52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/>
      </c>
      <c r="K147" s="52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/>
      </c>
      <c r="L147" s="52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/>
      </c>
      <c r="M147" s="53">
        <f>IF(N147=0,0,(J147+0.5*L147)/N147)</f>
        <v/>
      </c>
      <c r="N147" s="52">
        <f>J147+K147+L147</f>
        <v/>
      </c>
    </row>
    <row r="148" ht="15" customHeight="1" s="2">
      <c r="I148" s="46" t="inlineStr">
        <is>
          <t>Connors / Shively</t>
        </is>
      </c>
      <c r="J148" s="55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/>
      </c>
      <c r="K148" s="55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/>
      </c>
      <c r="L148" s="55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/>
      </c>
      <c r="M148" s="56">
        <f>IF(N148=0,0,(J148+0.5*L148)/N148)</f>
        <v/>
      </c>
      <c r="N148" s="55">
        <f>J148+K148+L148</f>
        <v/>
      </c>
    </row>
    <row r="149" ht="15" customHeight="1" s="2">
      <c r="I149" s="43" t="inlineStr">
        <is>
          <t>Delaney / Flanders</t>
        </is>
      </c>
      <c r="J149" s="52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/>
      </c>
      <c r="K149" s="52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/>
      </c>
      <c r="L149" s="52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/>
      </c>
      <c r="M149" s="53">
        <f>IF(N149=0,0,(J149+0.5*L149)/N149)</f>
        <v/>
      </c>
      <c r="N149" s="52">
        <f>J149+K149+L149</f>
        <v/>
      </c>
    </row>
    <row r="150" ht="15" customHeight="1" s="2">
      <c r="I150" s="46" t="inlineStr">
        <is>
          <t>Delaney / Deoteris</t>
        </is>
      </c>
      <c r="J150" s="55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/>
      </c>
      <c r="K150" s="55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/>
      </c>
      <c r="L150" s="55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/>
      </c>
      <c r="M150" s="56">
        <f>IF(N150=0,0,(J150+0.5*L150)/N150)</f>
        <v/>
      </c>
      <c r="N150" s="55">
        <f>J150+K150+L150</f>
        <v/>
      </c>
    </row>
    <row r="151" ht="15" customHeight="1" s="2">
      <c r="I151" s="43" t="inlineStr">
        <is>
          <t>Ferrin / Zimmer</t>
        </is>
      </c>
      <c r="J151" s="52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/>
      </c>
      <c r="K151" s="52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/>
      </c>
      <c r="L151" s="52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/>
      </c>
      <c r="M151" s="53">
        <f>IF(N151=0,0,(J151+0.5*L151)/N151)</f>
        <v/>
      </c>
      <c r="N151" s="52">
        <f>J151+K151+L151</f>
        <v/>
      </c>
    </row>
    <row r="152" ht="15" customHeight="1" s="2">
      <c r="I152" s="46" t="inlineStr">
        <is>
          <t>Fogan / Hickerson</t>
        </is>
      </c>
      <c r="J152" s="55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/>
      </c>
      <c r="K152" s="55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/>
      </c>
      <c r="L152" s="55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/>
      </c>
      <c r="M152" s="56">
        <f>IF(N152=0,0,(J152+0.5*L152)/N152)</f>
        <v/>
      </c>
      <c r="N152" s="55">
        <f>J152+K152+L152</f>
        <v/>
      </c>
    </row>
    <row r="153" ht="15" customHeight="1" s="2">
      <c r="I153" s="43" t="inlineStr">
        <is>
          <t>Fogan / Gray</t>
        </is>
      </c>
      <c r="J153" s="52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/>
      </c>
      <c r="K153" s="52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/>
      </c>
      <c r="L153" s="52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/>
      </c>
      <c r="M153" s="53">
        <f>IF(N153=0,0,(J153+0.5*L153)/N153)</f>
        <v/>
      </c>
      <c r="N153" s="52">
        <f>J153+K153+L153</f>
        <v/>
      </c>
    </row>
    <row r="154" ht="15" customHeight="1" s="2">
      <c r="I154" s="46" t="inlineStr">
        <is>
          <t>Forster / Zimmer</t>
        </is>
      </c>
      <c r="J154" s="55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/>
      </c>
      <c r="K154" s="55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/>
      </c>
      <c r="L154" s="55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/>
      </c>
      <c r="M154" s="56">
        <f>IF(N154=0,0,(J154+0.5*L154)/N154)</f>
        <v/>
      </c>
      <c r="N154" s="55">
        <f>J154+K154+L154</f>
        <v/>
      </c>
    </row>
    <row r="155" ht="15" customHeight="1" s="2">
      <c r="I155" s="43" t="inlineStr">
        <is>
          <t>Forster / Snyder</t>
        </is>
      </c>
      <c r="J155" s="52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/>
      </c>
      <c r="K155" s="52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/>
      </c>
      <c r="L155" s="52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/>
      </c>
      <c r="M155" s="53">
        <f>IF(N155=0,0,(J155+0.5*L155)/N155)</f>
        <v/>
      </c>
      <c r="N155" s="52">
        <f>J155+K155+L155</f>
        <v/>
      </c>
    </row>
    <row r="156" ht="15" customHeight="1" s="2">
      <c r="I156" s="46" t="inlineStr">
        <is>
          <t>Hickerson / Shively</t>
        </is>
      </c>
      <c r="J156" s="55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/>
      </c>
      <c r="K156" s="55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/>
      </c>
      <c r="L156" s="55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/>
      </c>
      <c r="M156" s="56">
        <f>IF(N156=0,0,(J156+0.5*L156)/N156)</f>
        <v/>
      </c>
      <c r="N156" s="55">
        <f>J156+K156+L156</f>
        <v/>
      </c>
    </row>
    <row r="157" ht="15" customHeight="1" s="2">
      <c r="I157" s="43" t="inlineStr">
        <is>
          <t>Hickerson / McInerney</t>
        </is>
      </c>
      <c r="J157" s="52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/>
      </c>
      <c r="K157" s="52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/>
      </c>
      <c r="L157" s="52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/>
      </c>
      <c r="M157" s="53">
        <f>IF(N157=0,0,(J157+0.5*L157)/N157)</f>
        <v/>
      </c>
      <c r="N157" s="52">
        <f>J157+K157+L157</f>
        <v/>
      </c>
    </row>
    <row r="158" ht="15" customHeight="1" s="2">
      <c r="I158" s="46" t="inlineStr">
        <is>
          <t>Mangold / Piegari</t>
        </is>
      </c>
      <c r="J158" s="55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/>
      </c>
      <c r="K158" s="55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/>
      </c>
      <c r="L158" s="55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/>
      </c>
      <c r="M158" s="56">
        <f>IF(N158=0,0,(J158+0.5*L158)/N158)</f>
        <v/>
      </c>
      <c r="N158" s="55">
        <f>J158+K158+L158</f>
        <v/>
      </c>
    </row>
    <row r="159" ht="15" customHeight="1" s="2">
      <c r="I159" s="43" t="inlineStr">
        <is>
          <t>Norat / Poirier</t>
        </is>
      </c>
      <c r="J159" s="52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/>
      </c>
      <c r="K159" s="52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/>
      </c>
      <c r="L159" s="52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/>
      </c>
      <c r="M159" s="53">
        <f>IF(N159=0,0,(J159+0.5*L159)/N159)</f>
        <v/>
      </c>
      <c r="N159" s="52">
        <f>J159+K159+L159</f>
        <v/>
      </c>
    </row>
    <row r="160" ht="15" customHeight="1" s="2">
      <c r="I160" s="46" t="inlineStr">
        <is>
          <t>Perkins / Shively</t>
        </is>
      </c>
      <c r="J160" s="55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/>
      </c>
      <c r="K160" s="55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/>
      </c>
      <c r="L160" s="55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/>
      </c>
      <c r="M160" s="56">
        <f>IF(N160=0,0,(J160+0.5*L160)/N160)</f>
        <v/>
      </c>
      <c r="N160" s="55">
        <f>J160+K160+L160</f>
        <v/>
      </c>
    </row>
    <row r="161" ht="15" customHeight="1" s="2">
      <c r="I161" s="43" t="inlineStr">
        <is>
          <t>Piegari / Zimmer</t>
        </is>
      </c>
      <c r="J161" s="52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/>
      </c>
      <c r="K161" s="52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/>
      </c>
      <c r="L161" s="52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/>
      </c>
      <c r="M161" s="53">
        <f>IF(N161=0,0,(J161+0.5*L161)/N161)</f>
        <v/>
      </c>
      <c r="N161" s="52">
        <f>J161+K161+L161</f>
        <v/>
      </c>
    </row>
    <row r="162" ht="15" customHeight="1" s="2">
      <c r="I162" s="46" t="inlineStr">
        <is>
          <t>Welker / Zimmer</t>
        </is>
      </c>
      <c r="J162" s="55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/>
      </c>
      <c r="K162" s="55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/>
      </c>
      <c r="L162" s="55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/>
      </c>
      <c r="M162" s="56">
        <f>IF(N162=0,0,(J162+0.5*L162)/N162)</f>
        <v/>
      </c>
      <c r="N162" s="55">
        <f>J162+K162+L162</f>
        <v/>
      </c>
    </row>
    <row r="163" ht="15" customHeight="1" s="2">
      <c r="I163" s="43" t="inlineStr">
        <is>
          <t>Buss / Cole</t>
        </is>
      </c>
      <c r="J163" s="52">
        <f>COUNTIFS(Archives!$S$2:$S$1048576,"Doubles",Archives!$V$2:$V$1048576,"Buss",Archives!$Y$2:$Y$1048576,"Cole",Archives!$AB$2:$AB$1048576,"W")+COUNTIFS(Archives!$S$2:$S$1048576,"Doubles",Archives!$V$2:$V$1048576,"Cole",Archives!$Y$2:$Y$1048576,"Buss",Archives!$AB$2:$AB$1048576,"W")</f>
        <v/>
      </c>
      <c r="K163" s="52">
        <f>COUNTIFS(Archives!$S$2:$S$1048576,"Doubles",Archives!$V$2:$V$1048576,"Buss",Archives!$Y$2:$Y$1048576,"Cole",Archives!$AB$2:$AB$1048576,"L")+COUNTIFS(Archives!$S$2:$S$1048576,"Doubles",Archives!$V$2:$V$1048576,"Cole",Archives!$Y$2:$Y$1048576,"Buss",Archives!$AB$2:$AB$1048576,"L")</f>
        <v/>
      </c>
      <c r="L163" s="52">
        <f>COUNTIFS(Archives!$S$2:$S$1048576,"Doubles",Archives!$V$2:$V$1048576,"Buss",Archives!$Y$2:$Y$1048576,"Cole",Archives!$AB$2:$AB$1048576,"T")+COUNTIFS(Archives!$S$2:$S$1048576,"Doubles",Archives!$V$2:$V$1048576,"Cole",Archives!$Y$2:$Y$1048576,"Buss",Archives!$AB$2:$AB$1048576,"T")</f>
        <v/>
      </c>
      <c r="M163" s="53">
        <f>IF(N163=0,0,(J163+0.5*L163)/N163)</f>
        <v/>
      </c>
      <c r="N163" s="52">
        <f>J163+K163+L163</f>
        <v/>
      </c>
    </row>
    <row r="164" ht="15" customHeight="1" s="2">
      <c r="I164" s="46" t="inlineStr">
        <is>
          <t>Delaney / Ferrin</t>
        </is>
      </c>
      <c r="J164" s="55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/>
      </c>
      <c r="K164" s="55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/>
      </c>
      <c r="L164" s="55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/>
      </c>
      <c r="M164" s="56">
        <f>IF(N164=0,0,(J164+0.5*L164)/N164)</f>
        <v/>
      </c>
      <c r="N164" s="55">
        <f>J164+K164+L164</f>
        <v/>
      </c>
    </row>
    <row r="165" ht="15" customHeight="1" s="2">
      <c r="I165" s="43" t="inlineStr">
        <is>
          <t>Flanders / Zimmer</t>
        </is>
      </c>
      <c r="J165" s="52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/>
      </c>
      <c r="K165" s="52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/>
      </c>
      <c r="L165" s="52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/>
      </c>
      <c r="M165" s="53">
        <f>IF(N165=0,0,(J165+0.5*L165)/N165)</f>
        <v/>
      </c>
      <c r="N165" s="52">
        <f>J165+K165+L165</f>
        <v/>
      </c>
    </row>
    <row r="166" ht="15" customHeight="1" s="2">
      <c r="I166" s="46" t="inlineStr">
        <is>
          <t>Forster / Mangold</t>
        </is>
      </c>
      <c r="J166" s="55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/>
      </c>
      <c r="K166" s="55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/>
      </c>
      <c r="L166" s="55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/>
      </c>
      <c r="M166" s="56">
        <f>IF(N166=0,0,(J166+0.5*L166)/N166)</f>
        <v/>
      </c>
      <c r="N166" s="55">
        <f>J166+K166+L166</f>
        <v/>
      </c>
    </row>
    <row r="167" ht="15" customHeight="1" s="2">
      <c r="I167" s="43" t="inlineStr">
        <is>
          <t>McInerney / Zimmer</t>
        </is>
      </c>
      <c r="J167" s="52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/>
      </c>
      <c r="K167" s="52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/>
      </c>
      <c r="L167" s="52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/>
      </c>
      <c r="M167" s="53">
        <f>IF(N167=0,0,(J167+0.5*L167)/N167)</f>
        <v/>
      </c>
      <c r="N167" s="52">
        <f>J167+K167+L167</f>
        <v/>
      </c>
    </row>
    <row r="168" ht="15" customHeight="1" s="2">
      <c r="I168" s="46" t="inlineStr">
        <is>
          <t>Perkins / R. Connolly</t>
        </is>
      </c>
      <c r="J168" s="55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/>
      </c>
      <c r="K168" s="55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/>
      </c>
      <c r="L168" s="55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/>
      </c>
      <c r="M168" s="56">
        <f>IF(N168=0,0,(J168+0.5*L168)/N168)</f>
        <v/>
      </c>
      <c r="N168" s="55">
        <f>J168+K168+L168</f>
        <v/>
      </c>
    </row>
    <row r="169" ht="15" customHeight="1" s="2">
      <c r="I169" s="58" t="inlineStr">
        <is>
          <t>Grand Total</t>
        </is>
      </c>
      <c r="J169" s="59">
        <f>SUM(J5:J168)</f>
        <v/>
      </c>
      <c r="K169" s="59">
        <f>SUM(K5:K168)</f>
        <v/>
      </c>
      <c r="L169" s="59">
        <f>SUM(L5:L168)</f>
        <v/>
      </c>
      <c r="M169" s="60">
        <f>IF(N169=0,0,(J169+0.5*L169)/N169)</f>
        <v/>
      </c>
      <c r="N169" s="59">
        <f>SUM(N5:N168)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76"/>
  <sheetViews>
    <sheetView zoomScaleNormal="100" workbookViewId="0">
      <selection activeCell="A1" sqref="A1"/>
    </sheetView>
  </sheetViews>
  <sheetFormatPr baseColWidth="10" defaultColWidth="8.83203125" defaultRowHeight="15"/>
  <sheetData>
    <row r="1" ht="15" customHeight="1" s="2">
      <c r="A1" s="26" t="n"/>
      <c r="B1" s="26" t="n"/>
      <c r="C1" s="26" t="inlineStr">
        <is>
          <t>Last updated: 8/1/2017</t>
        </is>
      </c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</row>
    <row r="2" ht="15" customHeight="1" s="2">
      <c r="Q2" t="inlineStr">
        <is>
          <t>Conservative Plan</t>
        </is>
      </c>
      <c r="R2" t="n">
        <v>0.05</v>
      </c>
      <c r="S2" t="inlineStr">
        <is>
          <t>Estimated Annual Return</t>
        </is>
      </c>
    </row>
    <row r="3" ht="15" customHeight="1" s="2">
      <c r="R3" t="n">
        <v>5500</v>
      </c>
      <c r="S3" t="inlineStr">
        <is>
          <t>Estimated FBC Contributions</t>
        </is>
      </c>
    </row>
    <row r="4" ht="15" customHeight="1" s="2">
      <c r="B4" t="inlineStr">
        <is>
          <t>FBC II</t>
        </is>
      </c>
      <c r="I4" t="inlineStr">
        <is>
          <t>2019 Pebble Estimator</t>
        </is>
      </c>
    </row>
    <row r="5" ht="15" customHeight="1" s="2">
      <c r="C5" t="inlineStr">
        <is>
          <t>Losing Contribution ($125 * 8)</t>
        </is>
      </c>
      <c r="D5" t="n">
        <v>1000</v>
      </c>
      <c r="R5" t="inlineStr">
        <is>
          <t>2017-2018</t>
        </is>
      </c>
      <c r="S5" t="inlineStr">
        <is>
          <t>2018-2019 (1/2 year)</t>
        </is>
      </c>
    </row>
    <row r="6" ht="15" customHeight="1" s="2">
      <c r="C6" t="inlineStr">
        <is>
          <t>Caddie Refund</t>
        </is>
      </c>
      <c r="D6" t="n">
        <v>800</v>
      </c>
      <c r="Q6" t="inlineStr">
        <is>
          <t>Beg Bal (Sept)</t>
        </is>
      </c>
      <c r="R6" t="n">
        <v>19493.42</v>
      </c>
      <c r="S6" t="n">
        <v>25968.091</v>
      </c>
    </row>
    <row r="7" ht="15" customHeight="1" s="2">
      <c r="C7" t="inlineStr">
        <is>
          <t>Forster tax-deductible pledge</t>
        </is>
      </c>
      <c r="D7" t="n">
        <v>100</v>
      </c>
      <c r="I7" t="n">
        <v>3945</v>
      </c>
      <c r="J7" t="inlineStr">
        <is>
          <t>2017 per person package costs for 2 nights/2 rounds (inc Pebble)</t>
        </is>
      </c>
      <c r="Q7" t="inlineStr">
        <is>
          <t>Gain</t>
        </is>
      </c>
      <c r="R7" t="n">
        <v>974.671</v>
      </c>
      <c r="S7" t="n">
        <v>649.202275</v>
      </c>
    </row>
    <row r="8" ht="15" customHeight="1" s="2">
      <c r="C8" t="inlineStr">
        <is>
          <t>Mikey CTP</t>
        </is>
      </c>
      <c r="D8" t="n">
        <v>50</v>
      </c>
      <c r="I8" t="n">
        <v>159.378</v>
      </c>
      <c r="J8" t="inlineStr">
        <is>
          <t>Inflation add on (est. 2% per year)</t>
        </is>
      </c>
      <c r="Q8" t="inlineStr">
        <is>
          <t>EOY Contributions</t>
        </is>
      </c>
      <c r="R8" t="n">
        <v>5500</v>
      </c>
      <c r="S8" t="n">
        <v>0</v>
      </c>
    </row>
    <row r="9" ht="15" customHeight="1" s="2">
      <c r="C9" t="inlineStr">
        <is>
          <t>Jackson CTP</t>
        </is>
      </c>
      <c r="D9" t="n">
        <v>50</v>
      </c>
      <c r="I9" t="n">
        <v>-580</v>
      </c>
      <c r="J9" t="inlineStr">
        <is>
          <t>Group discount</t>
        </is>
      </c>
      <c r="Q9" t="inlineStr">
        <is>
          <t>End Bal (Jun)</t>
        </is>
      </c>
      <c r="R9" t="n">
        <v>25968.091</v>
      </c>
      <c r="S9" t="n">
        <v>26617.293275</v>
      </c>
    </row>
    <row r="10" ht="15" customHeight="1" s="2">
      <c r="C10" t="inlineStr">
        <is>
          <t>Fogan LD</t>
        </is>
      </c>
      <c r="D10" t="n">
        <v>50</v>
      </c>
      <c r="I10" t="n">
        <v>3524.378</v>
      </c>
      <c r="J10" t="inlineStr">
        <is>
          <t>Estimated 2019 Golf/Lodging per person Cost</t>
        </is>
      </c>
    </row>
    <row r="11" ht="15" customHeight="1" s="2">
      <c r="C11" t="inlineStr">
        <is>
          <t>Lynch LD</t>
        </is>
      </c>
      <c r="D11" t="n">
        <v>50</v>
      </c>
    </row>
    <row r="12" ht="15" customHeight="1" s="2">
      <c r="C12" t="inlineStr">
        <is>
          <t>Connolly CTP</t>
        </is>
      </c>
      <c r="D12" t="n">
        <v>50</v>
      </c>
      <c r="I12" t="n">
        <v>20</v>
      </c>
      <c r="J12" t="inlineStr">
        <is>
          <t>people multiplier</t>
        </is>
      </c>
    </row>
    <row r="13" ht="15" customHeight="1" s="2">
      <c r="C13" t="inlineStr">
        <is>
          <t>Connolly CTP</t>
        </is>
      </c>
      <c r="D13" t="n">
        <v>50</v>
      </c>
      <c r="I13" t="n">
        <v>70487.56</v>
      </c>
      <c r="J13" t="inlineStr">
        <is>
          <t>20 player group Golf/Lodging cost</t>
        </is>
      </c>
      <c r="Q13" t="inlineStr">
        <is>
          <t>Moderate Plan</t>
        </is>
      </c>
      <c r="R13" t="n">
        <v>0.075</v>
      </c>
      <c r="S13" t="inlineStr">
        <is>
          <t>Estimated Annual Return</t>
        </is>
      </c>
    </row>
    <row r="14" ht="15" customHeight="1" s="2">
      <c r="C14" t="inlineStr">
        <is>
          <t>Hilts CTP</t>
        </is>
      </c>
      <c r="D14" t="n">
        <v>50</v>
      </c>
      <c r="R14" t="n">
        <v>6000</v>
      </c>
      <c r="S14" t="inlineStr">
        <is>
          <t>Estimated FBC Contributions</t>
        </is>
      </c>
    </row>
    <row r="15" ht="15" customHeight="1" s="2">
      <c r="C15" t="inlineStr">
        <is>
          <t>Flanders CTP</t>
        </is>
      </c>
      <c r="D15" t="n">
        <v>0</v>
      </c>
      <c r="I15" t="n">
        <v>19493.42</v>
      </c>
      <c r="J15" t="inlineStr">
        <is>
          <t>2017 FBCOF-I Funds</t>
        </is>
      </c>
    </row>
    <row r="16" ht="15" customHeight="1" s="2">
      <c r="C16" t="inlineStr">
        <is>
          <t>TOTAL FBC II Contribution</t>
        </is>
      </c>
      <c r="D16" t="n">
        <v>2250</v>
      </c>
      <c r="R16" t="inlineStr">
        <is>
          <t>2017-2018</t>
        </is>
      </c>
      <c r="S16" t="inlineStr">
        <is>
          <t>2018-2019 (1/2 year)</t>
        </is>
      </c>
    </row>
    <row r="17" ht="15" customHeight="1" s="2">
      <c r="N17" t="inlineStr">
        <is>
          <t>Discount</t>
        </is>
      </c>
      <c r="Q17" t="inlineStr">
        <is>
          <t>Beg Bal (Sept)</t>
        </is>
      </c>
      <c r="R17" t="n">
        <v>19493.42</v>
      </c>
      <c r="S17" t="n">
        <v>26955.4265</v>
      </c>
    </row>
    <row r="18" ht="15" customHeight="1" s="2">
      <c r="C18" t="inlineStr">
        <is>
          <t>Jun 2014 Balance</t>
        </is>
      </c>
      <c r="E18" t="n">
        <v>2250</v>
      </c>
      <c r="I18" t="n">
        <v>43870.266725</v>
      </c>
      <c r="J18" t="inlineStr">
        <is>
          <t>Total net due from group in Conservative Plan</t>
        </is>
      </c>
      <c r="Q18" t="inlineStr">
        <is>
          <t>Gain</t>
        </is>
      </c>
      <c r="R18" t="n">
        <v>1462.0065</v>
      </c>
      <c r="S18" t="n">
        <v>1010.82849375</v>
      </c>
    </row>
    <row r="19" ht="15" customHeight="1" s="2">
      <c r="I19" t="n">
        <v>2193.51333625</v>
      </c>
      <c r="J19" t="inlineStr">
        <is>
          <t>Per Player cost in Conservative Plan</t>
        </is>
      </c>
      <c r="N19" t="n">
        <v>0.377616891193283</v>
      </c>
      <c r="Q19" t="inlineStr">
        <is>
          <t>EOY Contributions</t>
        </is>
      </c>
      <c r="R19" t="n">
        <v>6000</v>
      </c>
      <c r="S19" t="n">
        <v>0</v>
      </c>
    </row>
    <row r="20" ht="15" customHeight="1" s="2">
      <c r="B20" t="inlineStr">
        <is>
          <t>FBC III</t>
        </is>
      </c>
      <c r="Q20" t="inlineStr">
        <is>
          <t>End Bal (Jun)</t>
        </is>
      </c>
      <c r="R20" t="n">
        <v>26955.4265</v>
      </c>
      <c r="S20" t="n">
        <v>27966.25499375</v>
      </c>
    </row>
    <row r="21" ht="15" customHeight="1" s="2">
      <c r="C21" t="inlineStr">
        <is>
          <t>Sat Mulligan Amount</t>
        </is>
      </c>
      <c r="D21" t="n">
        <v>530</v>
      </c>
      <c r="I21" t="n">
        <v>42521.30500625</v>
      </c>
      <c r="J21" t="inlineStr">
        <is>
          <t>Total net due from group in Moderate Plan</t>
        </is>
      </c>
    </row>
    <row r="22" ht="15" customHeight="1" s="2">
      <c r="C22" t="inlineStr">
        <is>
          <t>Sun Mulligan Amount</t>
        </is>
      </c>
      <c r="D22" t="n">
        <v>445</v>
      </c>
      <c r="I22" t="n">
        <v>2126.0652503125</v>
      </c>
      <c r="J22" t="inlineStr">
        <is>
          <t>Per Player cost in Moderate Plan</t>
        </is>
      </c>
      <c r="N22" t="n">
        <v>0.396754476871522</v>
      </c>
    </row>
    <row r="23" ht="15" customHeight="1" s="2">
      <c r="C23" t="inlineStr">
        <is>
          <t>Loser Cont ($150*10)</t>
        </is>
      </c>
      <c r="D23" t="n">
        <v>1500</v>
      </c>
      <c r="Q23" t="inlineStr">
        <is>
          <t>Aggressive Plan</t>
        </is>
      </c>
      <c r="R23" t="n">
        <v>0.1</v>
      </c>
      <c r="S23" t="inlineStr">
        <is>
          <t>Estimated Annual Return</t>
        </is>
      </c>
    </row>
    <row r="24" ht="15" customHeight="1" s="2">
      <c r="C24" t="inlineStr">
        <is>
          <t>CBC Win/(Loss)</t>
        </is>
      </c>
      <c r="D24" t="n">
        <v>-55</v>
      </c>
      <c r="I24" t="n">
        <v>40622.6599</v>
      </c>
      <c r="J24" t="inlineStr">
        <is>
          <t>Total net due from group inAggressive Plan</t>
        </is>
      </c>
      <c r="R24" t="n">
        <v>7000</v>
      </c>
      <c r="S24" t="inlineStr">
        <is>
          <t>Estimated FBC Contributions</t>
        </is>
      </c>
    </row>
    <row r="25" ht="15" customHeight="1" s="2">
      <c r="C25" t="inlineStr">
        <is>
          <t>FBC Donation</t>
        </is>
      </c>
      <c r="D25" t="n">
        <v>100</v>
      </c>
      <c r="I25" t="n">
        <v>2031.132995</v>
      </c>
      <c r="J25" t="inlineStr">
        <is>
          <t>Per Player cost in Aggressive Plan</t>
        </is>
      </c>
      <c r="N25" t="n">
        <v>0.423690366073106</v>
      </c>
    </row>
    <row r="26" ht="15" customHeight="1" s="2">
      <c r="C26" t="inlineStr">
        <is>
          <t>Deferred Credits</t>
        </is>
      </c>
      <c r="D26" t="n">
        <v>100</v>
      </c>
      <c r="R26" t="inlineStr">
        <is>
          <t>2017-2018</t>
        </is>
      </c>
      <c r="S26" t="inlineStr">
        <is>
          <t>2018-2019 (1/2 year)</t>
        </is>
      </c>
    </row>
    <row r="27" ht="15" customHeight="1" s="2">
      <c r="C27" t="inlineStr">
        <is>
          <t>TOTAL FBC III Contribution</t>
        </is>
      </c>
      <c r="D27" t="n">
        <v>2620</v>
      </c>
      <c r="Q27" t="inlineStr">
        <is>
          <t>Beg Bal (Sept)</t>
        </is>
      </c>
      <c r="R27" t="n">
        <v>19493.42</v>
      </c>
      <c r="S27" t="n">
        <v>28442.762</v>
      </c>
    </row>
    <row r="28" ht="15" customHeight="1" s="2">
      <c r="C28" t="inlineStr">
        <is>
          <t>FY15 FBCOF-I Gain</t>
        </is>
      </c>
      <c r="D28" t="n">
        <v>125</v>
      </c>
      <c r="Q28" t="inlineStr">
        <is>
          <t>Gain</t>
        </is>
      </c>
      <c r="R28" t="n">
        <v>1949.342</v>
      </c>
      <c r="S28" t="n">
        <v>1422.1381</v>
      </c>
    </row>
    <row r="29" ht="15" customHeight="1" s="2">
      <c r="Q29" t="inlineStr">
        <is>
          <t>EOY Contributions</t>
        </is>
      </c>
      <c r="R29" t="n">
        <v>7000</v>
      </c>
      <c r="S29" t="n">
        <v>0</v>
      </c>
    </row>
    <row r="30" ht="15" customHeight="1" s="2">
      <c r="C30" t="inlineStr">
        <is>
          <t>Aug 2015 Balance</t>
        </is>
      </c>
      <c r="E30" t="n">
        <v>5281</v>
      </c>
      <c r="Q30" t="inlineStr">
        <is>
          <t>End Bal (Jun)</t>
        </is>
      </c>
      <c r="R30" t="n">
        <v>28442.762</v>
      </c>
      <c r="S30" t="n">
        <v>29864.9001</v>
      </c>
    </row>
    <row r="32" ht="15" customHeight="1" s="2">
      <c r="B32" t="inlineStr">
        <is>
          <t>FBC IV</t>
        </is>
      </c>
    </row>
    <row r="33" ht="15" customHeight="1" s="2">
      <c r="C33" t="inlineStr">
        <is>
          <t>Fri Mulligan Amount</t>
        </is>
      </c>
      <c r="D33" t="n">
        <v>1095</v>
      </c>
    </row>
    <row r="34" ht="15" customHeight="1" s="2">
      <c r="C34" t="inlineStr">
        <is>
          <t>Sat Mulligan Amount</t>
        </is>
      </c>
      <c r="D34" t="n">
        <v>1205</v>
      </c>
    </row>
    <row r="35" ht="15" customHeight="1" s="2">
      <c r="C35" t="inlineStr">
        <is>
          <t>Loser Cont ($300*10)</t>
        </is>
      </c>
      <c r="D35" t="n">
        <v>3000</v>
      </c>
    </row>
    <row r="36" ht="15" customHeight="1" s="2">
      <c r="C36" t="inlineStr">
        <is>
          <t>FTAS Loser Cont</t>
        </is>
      </c>
      <c r="D36" t="n">
        <v>500</v>
      </c>
    </row>
    <row r="37" ht="15" customHeight="1" s="2">
      <c r="C37" t="inlineStr">
        <is>
          <t>CBC Win/(Loss)</t>
        </is>
      </c>
      <c r="D37" t="n">
        <v>334.5</v>
      </c>
    </row>
    <row r="38" ht="15" customHeight="1" s="2">
      <c r="C38" t="inlineStr">
        <is>
          <t>Deferred Credits</t>
        </is>
      </c>
      <c r="D38" t="n">
        <v>12.5</v>
      </c>
    </row>
    <row r="39" ht="15" customHeight="1" s="2">
      <c r="C39" t="inlineStr">
        <is>
          <t>Holdover Credits Redeemed</t>
        </is>
      </c>
      <c r="D39" t="n">
        <v>-100</v>
      </c>
    </row>
    <row r="40" ht="15" customHeight="1" s="2">
      <c r="C40" t="inlineStr">
        <is>
          <t>TOTAL FBC IV Contribution</t>
        </is>
      </c>
      <c r="D40" t="n">
        <v>6047</v>
      </c>
    </row>
    <row r="41" ht="15" customHeight="1" s="2">
      <c r="C41" t="inlineStr">
        <is>
          <t>FY16 FBCOF-I Gain</t>
        </is>
      </c>
      <c r="D41" t="n">
        <v>411</v>
      </c>
    </row>
    <row r="43" ht="15" customHeight="1" s="2">
      <c r="C43" t="inlineStr">
        <is>
          <t>Aug 2016 Balance</t>
        </is>
      </c>
      <c r="E43" t="n">
        <v>13314</v>
      </c>
    </row>
    <row r="45" ht="15" customHeight="1" s="2">
      <c r="B45" t="inlineStr">
        <is>
          <t>FBC V</t>
        </is>
      </c>
    </row>
    <row r="46" ht="15" customHeight="1" s="2">
      <c r="C46" t="inlineStr">
        <is>
          <t>Fri Mulligan Amount</t>
        </is>
      </c>
      <c r="D46" t="n">
        <v>1850</v>
      </c>
    </row>
    <row r="47" ht="15" customHeight="1" s="2">
      <c r="C47" t="inlineStr">
        <is>
          <t>Sat Mulligan Amount</t>
        </is>
      </c>
      <c r="D47" t="n">
        <v>2110</v>
      </c>
    </row>
    <row r="48" ht="63.75" customHeight="1" s="2">
      <c r="C48" t="inlineStr">
        <is>
          <t>Loser Cont ($300*10)</t>
        </is>
      </c>
      <c r="D48" t="n">
        <v>3000</v>
      </c>
      <c r="G48" s="89" t="inlineStr">
        <is>
          <t>ProForma 
FBCOF-I Value at FBC VII</t>
        </is>
      </c>
    </row>
    <row r="49" ht="15" customHeight="1" s="2">
      <c r="C49" t="inlineStr">
        <is>
          <t>CTP/LD Prizes</t>
        </is>
      </c>
      <c r="D49" t="n">
        <v>-150</v>
      </c>
      <c r="I49" t="inlineStr">
        <is>
          <t>Rate of Return</t>
        </is>
      </c>
    </row>
    <row r="50" ht="15" customHeight="1" s="2">
      <c r="C50" t="inlineStr">
        <is>
          <t>CBC Win/(Loss)</t>
        </is>
      </c>
      <c r="D50" t="n">
        <v>-393.08</v>
      </c>
      <c r="H50" t="n">
        <v>26617.293275</v>
      </c>
      <c r="I50" t="n">
        <v>0.03</v>
      </c>
      <c r="J50" t="n">
        <v>0.045</v>
      </c>
      <c r="K50" t="n">
        <v>0.06</v>
      </c>
      <c r="L50" t="n">
        <v>0.075</v>
      </c>
      <c r="M50" t="n">
        <v>0.09</v>
      </c>
      <c r="N50" t="n">
        <v>0.105</v>
      </c>
      <c r="O50" t="n">
        <v>0.12</v>
      </c>
      <c r="P50" t="n">
        <v>0.135</v>
      </c>
    </row>
    <row r="51" ht="15" customHeight="1" s="2">
      <c r="C51" t="inlineStr">
        <is>
          <t>Net Credits Redeemed</t>
        </is>
      </c>
      <c r="D51" t="n">
        <v>-532.5</v>
      </c>
      <c r="H51" t="n">
        <v>5000</v>
      </c>
      <c r="I51" t="n">
        <v>25454.395939</v>
      </c>
      <c r="J51" t="n">
        <v>25941.46293775</v>
      </c>
      <c r="K51" t="n">
        <v>26432.915956</v>
      </c>
      <c r="L51" t="n">
        <v>26928.75499375</v>
      </c>
      <c r="M51" t="n">
        <v>27428.980051</v>
      </c>
      <c r="N51" t="n">
        <v>27933.59112775</v>
      </c>
      <c r="O51" t="n">
        <v>28442.588224</v>
      </c>
      <c r="P51" t="n">
        <v>28955.97133975</v>
      </c>
    </row>
    <row r="52" ht="15" customHeight="1" s="2">
      <c r="C52" t="inlineStr">
        <is>
          <t>Deferred Credits</t>
        </is>
      </c>
      <c r="D52" t="n">
        <v>95</v>
      </c>
      <c r="H52" t="n">
        <v>5200</v>
      </c>
      <c r="I52" t="n">
        <v>25657.395939</v>
      </c>
      <c r="J52" t="n">
        <v>26145.96293775</v>
      </c>
      <c r="K52" t="n">
        <v>26638.915956</v>
      </c>
      <c r="L52" t="n">
        <v>27136.25499375</v>
      </c>
      <c r="M52" t="n">
        <v>27637.980051</v>
      </c>
      <c r="N52" t="n">
        <v>28144.09112775</v>
      </c>
      <c r="O52" t="n">
        <v>28654.588224</v>
      </c>
      <c r="P52" t="n">
        <v>29169.47133975</v>
      </c>
    </row>
    <row r="53" ht="15" customHeight="1" s="2">
      <c r="C53" t="inlineStr">
        <is>
          <t>Belt Revenue</t>
        </is>
      </c>
      <c r="D53" t="n">
        <v>200</v>
      </c>
      <c r="H53" t="n">
        <v>5400</v>
      </c>
      <c r="I53" t="n">
        <v>25860.395939</v>
      </c>
      <c r="J53" t="n">
        <v>26350.46293775</v>
      </c>
      <c r="K53" t="n">
        <v>26844.915956</v>
      </c>
      <c r="L53" t="n">
        <v>27343.75499375</v>
      </c>
      <c r="M53" t="n">
        <v>27846.980051</v>
      </c>
      <c r="N53" t="n">
        <v>28354.59112775</v>
      </c>
      <c r="O53" t="n">
        <v>28866.588224</v>
      </c>
      <c r="P53" t="n">
        <v>29382.97133975</v>
      </c>
    </row>
    <row r="54" ht="15" customHeight="1" s="2">
      <c r="C54" t="inlineStr">
        <is>
          <t>Cyber Monday Revenue</t>
        </is>
      </c>
      <c r="D54" t="n">
        <v>755</v>
      </c>
      <c r="H54" t="n">
        <v>5600</v>
      </c>
      <c r="I54" t="n">
        <v>26063.395939</v>
      </c>
      <c r="J54" t="n">
        <v>26554.96293775</v>
      </c>
      <c r="K54" t="n">
        <v>27050.915956</v>
      </c>
      <c r="L54" t="n">
        <v>27551.25499375</v>
      </c>
      <c r="M54" t="n">
        <v>28055.980051</v>
      </c>
      <c r="N54" t="n">
        <v>28565.09112775</v>
      </c>
      <c r="O54" t="n">
        <v>29078.588224</v>
      </c>
      <c r="P54" t="n">
        <v>29596.47133975</v>
      </c>
    </row>
    <row r="55" ht="15" customHeight="1" s="2">
      <c r="H55" t="n">
        <v>5800</v>
      </c>
      <c r="I55" t="n">
        <v>26266.395939</v>
      </c>
      <c r="J55" t="n">
        <v>26759.46293775</v>
      </c>
      <c r="K55" t="n">
        <v>27256.915956</v>
      </c>
      <c r="L55" t="n">
        <v>27758.75499375</v>
      </c>
      <c r="M55" t="n">
        <v>28264.980051</v>
      </c>
      <c r="N55" t="n">
        <v>28775.59112775</v>
      </c>
      <c r="O55" t="n">
        <v>29290.588224</v>
      </c>
      <c r="P55" t="n">
        <v>29809.97133975</v>
      </c>
    </row>
    <row r="56" ht="15" customHeight="1" s="2">
      <c r="C56" t="inlineStr">
        <is>
          <t>TOTAL FBC V Contribution</t>
        </is>
      </c>
      <c r="D56" t="n">
        <v>6934.42</v>
      </c>
      <c r="G56" t="inlineStr">
        <is>
          <t>Annual Cont.</t>
        </is>
      </c>
      <c r="H56" t="n">
        <v>6000</v>
      </c>
      <c r="I56" t="n">
        <v>26469.395939</v>
      </c>
      <c r="J56" t="n">
        <v>26963.96293775</v>
      </c>
      <c r="K56" t="n">
        <v>27462.915956</v>
      </c>
      <c r="L56" t="n">
        <v>27966.25499375</v>
      </c>
      <c r="M56" t="n">
        <v>28473.980051</v>
      </c>
      <c r="N56" t="n">
        <v>28986.09112775</v>
      </c>
      <c r="O56" t="n">
        <v>29502.588224</v>
      </c>
      <c r="P56" t="n">
        <v>30023.47133975</v>
      </c>
    </row>
    <row r="57" ht="15" customHeight="1" s="2">
      <c r="C57" t="inlineStr">
        <is>
          <t>FY17 FBCOF-I Gain</t>
        </is>
      </c>
      <c r="D57" t="n">
        <v>1986</v>
      </c>
      <c r="G57" t="inlineStr">
        <is>
          <t>FBC VI</t>
        </is>
      </c>
      <c r="H57" t="n">
        <v>6200</v>
      </c>
      <c r="I57" t="n">
        <v>26672.395939</v>
      </c>
      <c r="J57" t="n">
        <v>27168.46293775</v>
      </c>
      <c r="K57" t="n">
        <v>27668.915956</v>
      </c>
      <c r="L57" t="n">
        <v>28173.75499375</v>
      </c>
      <c r="M57" t="n">
        <v>28682.980051</v>
      </c>
      <c r="N57" t="n">
        <v>29196.59112775</v>
      </c>
      <c r="O57" t="n">
        <v>29714.588224</v>
      </c>
      <c r="P57" t="n">
        <v>30236.97133975</v>
      </c>
    </row>
    <row r="58" ht="15" customHeight="1" s="2">
      <c r="H58" t="n">
        <v>6400</v>
      </c>
      <c r="I58" t="n">
        <v>26875.395939</v>
      </c>
      <c r="J58" t="n">
        <v>27372.96293775</v>
      </c>
      <c r="K58" t="n">
        <v>27874.915956</v>
      </c>
      <c r="L58" t="n">
        <v>28381.25499375</v>
      </c>
      <c r="M58" t="n">
        <v>28891.980051</v>
      </c>
      <c r="N58" t="n">
        <v>29407.09112775</v>
      </c>
      <c r="O58" t="n">
        <v>29926.588224</v>
      </c>
      <c r="P58" t="n">
        <v>30450.47133975</v>
      </c>
    </row>
    <row r="59" ht="15" customHeight="1" s="2">
      <c r="C59" t="inlineStr">
        <is>
          <t>Aug 2017 Balance</t>
        </is>
      </c>
      <c r="E59" t="n">
        <v>19493.42</v>
      </c>
      <c r="H59" t="n">
        <v>6600</v>
      </c>
      <c r="I59" t="n">
        <v>27078.395939</v>
      </c>
      <c r="J59" t="n">
        <v>27577.46293775</v>
      </c>
      <c r="K59" t="n">
        <v>28080.915956</v>
      </c>
      <c r="L59" t="n">
        <v>28588.75499375</v>
      </c>
      <c r="M59" t="n">
        <v>29100.980051</v>
      </c>
      <c r="N59" t="n">
        <v>29617.59112775</v>
      </c>
      <c r="O59" t="n">
        <v>30138.588224</v>
      </c>
      <c r="P59" t="n">
        <v>30663.97133975</v>
      </c>
    </row>
    <row r="60" ht="15" customHeight="1" s="2">
      <c r="H60" t="n">
        <v>6800</v>
      </c>
      <c r="I60" t="n">
        <v>27281.395939</v>
      </c>
      <c r="J60" t="n">
        <v>27781.96293775</v>
      </c>
      <c r="K60" t="n">
        <v>28286.915956</v>
      </c>
      <c r="L60" t="n">
        <v>28796.25499375</v>
      </c>
      <c r="M60" t="n">
        <v>29309.980051</v>
      </c>
      <c r="N60" t="n">
        <v>29828.09112775</v>
      </c>
      <c r="O60" t="n">
        <v>30350.588224</v>
      </c>
      <c r="P60" t="n">
        <v>30877.47133975</v>
      </c>
    </row>
    <row r="61" ht="15" customHeight="1" s="2">
      <c r="H61" t="n">
        <v>7000</v>
      </c>
      <c r="I61" t="n">
        <v>27484.395939</v>
      </c>
      <c r="J61" t="n">
        <v>27986.46293775</v>
      </c>
      <c r="K61" t="n">
        <v>28492.915956</v>
      </c>
      <c r="L61" t="n">
        <v>29003.75499375</v>
      </c>
      <c r="M61" t="n">
        <v>29518.980051</v>
      </c>
      <c r="N61" t="n">
        <v>30038.59112775</v>
      </c>
      <c r="O61" t="n">
        <v>30562.588224</v>
      </c>
      <c r="P61" t="n">
        <v>31090.97133975</v>
      </c>
    </row>
    <row r="63" ht="15" customHeight="1" s="2">
      <c r="G63" t="inlineStr">
        <is>
          <t>Estimated per person discount off Package</t>
        </is>
      </c>
    </row>
    <row r="64" ht="15" customHeight="1" s="2">
      <c r="I64" t="inlineStr">
        <is>
          <t>Rate of Return</t>
        </is>
      </c>
    </row>
    <row r="65" ht="15" customHeight="1" s="2">
      <c r="H65" t="n">
        <v>0.377616891193283</v>
      </c>
      <c r="I65" t="n">
        <v>0.03</v>
      </c>
      <c r="J65" t="n">
        <v>0.045</v>
      </c>
      <c r="K65" t="n">
        <v>0.06</v>
      </c>
      <c r="L65" t="n">
        <v>0.075</v>
      </c>
      <c r="M65" t="n">
        <v>0.09</v>
      </c>
      <c r="N65" t="n">
        <v>0.105</v>
      </c>
      <c r="O65" t="n">
        <v>0.12</v>
      </c>
      <c r="P65" t="n">
        <v>0.135</v>
      </c>
    </row>
    <row r="66" ht="15" customHeight="1" s="2">
      <c r="H66" t="n">
        <v>5000</v>
      </c>
      <c r="I66" t="n">
        <v>0.361118982399164</v>
      </c>
      <c r="J66" t="n">
        <v>0.368028953445828</v>
      </c>
      <c r="K66" t="n">
        <v>0.375001148514717</v>
      </c>
      <c r="L66" t="n">
        <v>0.38203556760583</v>
      </c>
      <c r="M66" t="n">
        <v>0.389132210719168</v>
      </c>
      <c r="N66" t="n">
        <v>0.396291077854731</v>
      </c>
      <c r="O66" t="n">
        <v>0.403512169012518</v>
      </c>
      <c r="P66" t="n">
        <v>0.41079548419253</v>
      </c>
    </row>
    <row r="67" ht="15" customHeight="1" s="2">
      <c r="H67" t="n">
        <v>5200</v>
      </c>
      <c r="I67" t="n">
        <v>0.363998923200065</v>
      </c>
      <c r="J67" t="n">
        <v>0.370930174597475</v>
      </c>
      <c r="K67" t="n">
        <v>0.377923650017109</v>
      </c>
      <c r="L67" t="n">
        <v>0.384979349458968</v>
      </c>
      <c r="M67" t="n">
        <v>0.392097272923052</v>
      </c>
      <c r="N67" t="n">
        <v>0.39927742040936</v>
      </c>
      <c r="O67" t="n">
        <v>0.406519791917893</v>
      </c>
      <c r="P67" t="n">
        <v>0.413824387448651</v>
      </c>
    </row>
    <row r="68" ht="15" customHeight="1" s="2">
      <c r="H68" t="n">
        <v>5400</v>
      </c>
      <c r="I68" t="n">
        <v>0.366878864000967</v>
      </c>
      <c r="J68" t="n">
        <v>0.373831395749122</v>
      </c>
      <c r="K68" t="n">
        <v>0.380846151519502</v>
      </c>
      <c r="L68" t="n">
        <v>0.387923131312107</v>
      </c>
      <c r="M68" t="n">
        <v>0.395062335126936</v>
      </c>
      <c r="N68" t="n">
        <v>0.40226376296399</v>
      </c>
      <c r="O68" t="n">
        <v>0.409527414823268</v>
      </c>
      <c r="P68" t="n">
        <v>0.416853290704771</v>
      </c>
    </row>
    <row r="69" ht="15" customHeight="1" s="2">
      <c r="H69" t="n">
        <v>5600</v>
      </c>
      <c r="I69" t="n">
        <v>0.369758804801869</v>
      </c>
      <c r="J69" t="n">
        <v>0.376732616900769</v>
      </c>
      <c r="K69" t="n">
        <v>0.383768653021895</v>
      </c>
      <c r="L69" t="n">
        <v>0.390866913165245</v>
      </c>
      <c r="M69" t="n">
        <v>0.39802739733082</v>
      </c>
      <c r="N69" t="n">
        <v>0.405250105518619</v>
      </c>
      <c r="O69" t="n">
        <v>0.412535037728643</v>
      </c>
      <c r="P69" t="n">
        <v>0.419882193960892</v>
      </c>
    </row>
    <row r="70" ht="15" customHeight="1" s="2">
      <c r="H70" t="n">
        <v>5800</v>
      </c>
      <c r="I70" t="n">
        <v>0.37263874560277</v>
      </c>
      <c r="J70" t="n">
        <v>0.379633838052417</v>
      </c>
      <c r="K70" t="n">
        <v>0.386691154524288</v>
      </c>
      <c r="L70" t="n">
        <v>0.393810695018383</v>
      </c>
      <c r="M70" t="n">
        <v>0.400992459534704</v>
      </c>
      <c r="N70" t="n">
        <v>0.408236448073249</v>
      </c>
      <c r="O70" t="n">
        <v>0.415542660634018</v>
      </c>
      <c r="P70" t="n">
        <v>0.422911097217013</v>
      </c>
    </row>
    <row r="71" ht="15" customHeight="1" s="2">
      <c r="G71" t="inlineStr">
        <is>
          <t>Annual Cont.</t>
        </is>
      </c>
      <c r="H71" t="n">
        <v>6000</v>
      </c>
      <c r="I71" t="n">
        <v>0.375518686403672</v>
      </c>
      <c r="J71" t="n">
        <v>0.382535059204064</v>
      </c>
      <c r="K71" t="n">
        <v>0.38961365602668</v>
      </c>
      <c r="L71" t="n">
        <v>0.396754476871522</v>
      </c>
      <c r="M71" t="n">
        <v>0.403957521738588</v>
      </c>
      <c r="N71" t="n">
        <v>0.411222790627878</v>
      </c>
      <c r="O71" t="n">
        <v>0.418550283539393</v>
      </c>
      <c r="P71" t="n">
        <v>0.425940000473133</v>
      </c>
    </row>
    <row r="72" ht="15" customHeight="1" s="2">
      <c r="G72" t="inlineStr">
        <is>
          <t>FBC VI</t>
        </is>
      </c>
      <c r="H72" t="n">
        <v>6200</v>
      </c>
      <c r="I72" t="n">
        <v>0.378398627204573</v>
      </c>
      <c r="J72" t="n">
        <v>0.385436280355711</v>
      </c>
      <c r="K72" t="n">
        <v>0.392536157529073</v>
      </c>
      <c r="L72" t="n">
        <v>0.39969825872466</v>
      </c>
      <c r="M72" t="n">
        <v>0.406922583942472</v>
      </c>
      <c r="N72" t="n">
        <v>0.414209133182508</v>
      </c>
      <c r="O72" t="n">
        <v>0.421557906444768</v>
      </c>
      <c r="P72" t="n">
        <v>0.428968903729254</v>
      </c>
    </row>
    <row r="73" ht="15" customHeight="1" s="2">
      <c r="H73" t="n">
        <v>6400</v>
      </c>
      <c r="I73" t="n">
        <v>0.381278568005475</v>
      </c>
      <c r="J73" t="n">
        <v>0.388337501507358</v>
      </c>
      <c r="K73" t="n">
        <v>0.395458659031466</v>
      </c>
      <c r="L73" t="n">
        <v>0.402642040577798</v>
      </c>
      <c r="M73" t="n">
        <v>0.409887646146355</v>
      </c>
      <c r="N73" t="n">
        <v>0.417195475737137</v>
      </c>
      <c r="O73" t="n">
        <v>0.424565529350144</v>
      </c>
      <c r="P73" t="n">
        <v>0.431997806985375</v>
      </c>
    </row>
    <row r="74" ht="15" customHeight="1" s="2">
      <c r="H74" t="n">
        <v>6600</v>
      </c>
      <c r="I74" t="n">
        <v>0.384158508806377</v>
      </c>
      <c r="J74" t="n">
        <v>0.391238722659005</v>
      </c>
      <c r="K74" t="n">
        <v>0.398381160533859</v>
      </c>
      <c r="L74" t="n">
        <v>0.405585822430937</v>
      </c>
      <c r="M74" t="n">
        <v>0.412852708350239</v>
      </c>
      <c r="N74" t="n">
        <v>0.420181818291767</v>
      </c>
      <c r="O74" t="n">
        <v>0.427573152255519</v>
      </c>
      <c r="P74" t="n">
        <v>0.435026710241495</v>
      </c>
    </row>
    <row r="75" ht="15" customHeight="1" s="2">
      <c r="H75" t="n">
        <v>6800</v>
      </c>
      <c r="I75" t="n">
        <v>0.387038449607278</v>
      </c>
      <c r="J75" t="n">
        <v>0.394139943810653</v>
      </c>
      <c r="K75" t="n">
        <v>0.401303662036252</v>
      </c>
      <c r="L75" t="n">
        <v>0.408529604284075</v>
      </c>
      <c r="M75" t="n">
        <v>0.415817770554123</v>
      </c>
      <c r="N75" t="n">
        <v>0.423168160846396</v>
      </c>
      <c r="O75" t="n">
        <v>0.430580775160894</v>
      </c>
      <c r="P75" t="n">
        <v>0.438055613497616</v>
      </c>
    </row>
    <row r="76" ht="15" customHeight="1" s="2">
      <c r="H76" t="n">
        <v>7000</v>
      </c>
      <c r="I76" t="n">
        <v>0.38991839040818</v>
      </c>
      <c r="J76" t="n">
        <v>0.3970411649623</v>
      </c>
      <c r="K76" t="n">
        <v>0.404226163538644</v>
      </c>
      <c r="L76" t="n">
        <v>0.411473386137213</v>
      </c>
      <c r="M76" t="n">
        <v>0.418782832758007</v>
      </c>
      <c r="N76" t="n">
        <v>0.426154503401026</v>
      </c>
      <c r="O76" t="n">
        <v>0.433588398066269</v>
      </c>
      <c r="P76" t="n">
        <v>0.441084516753736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24"/>
  <sheetViews>
    <sheetView zoomScaleNormal="100" workbookViewId="0">
      <selection activeCell="A1" sqref="A1"/>
    </sheetView>
  </sheetViews>
  <sheetFormatPr baseColWidth="10" defaultColWidth="8.83203125" defaultRowHeight="15"/>
  <sheetData>
    <row r="1" ht="15" customHeight="1" s="2">
      <c r="A1" s="26" t="n"/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</row>
    <row r="4" ht="15" customHeight="1" s="2">
      <c r="D4" t="inlineStr">
        <is>
          <t>FBC</t>
        </is>
      </c>
      <c r="E4" t="inlineStr">
        <is>
          <t>Location</t>
        </is>
      </c>
      <c r="F4" t="inlineStr">
        <is>
          <t>Golf Courses</t>
        </is>
      </c>
      <c r="G4" t="inlineStr">
        <is>
          <t>Service / Staff</t>
        </is>
      </c>
      <c r="H4" t="inlineStr">
        <is>
          <t>Lodging Facilities</t>
        </is>
      </c>
      <c r="I4" t="inlineStr">
        <is>
          <t>Practice Facilities</t>
        </is>
      </c>
      <c r="J4" t="inlineStr">
        <is>
          <t>Convenience</t>
        </is>
      </c>
      <c r="K4" t="inlineStr">
        <is>
          <t>Intangibles</t>
        </is>
      </c>
      <c r="L4" t="inlineStr">
        <is>
          <t>Entertainment</t>
        </is>
      </c>
      <c r="N4" t="inlineStr">
        <is>
          <t>Overall FBC Rating</t>
        </is>
      </c>
    </row>
    <row r="5" ht="96" customHeight="1" s="2">
      <c r="D5" t="n">
        <v>1</v>
      </c>
      <c r="E5" s="89" t="inlineStr">
        <is>
          <t>Saratoga 
(Saratoga National 2x, Saratoga Spa)</t>
        </is>
      </c>
      <c r="F5" t="n">
        <v>4</v>
      </c>
      <c r="G5" t="n">
        <v>3</v>
      </c>
      <c r="H5" t="n">
        <v>2</v>
      </c>
      <c r="I5" t="n">
        <v>3</v>
      </c>
      <c r="J5" t="n">
        <v>1</v>
      </c>
      <c r="K5" t="n">
        <v>2</v>
      </c>
      <c r="L5" t="n">
        <v>4</v>
      </c>
      <c r="N5" t="n">
        <v>2.71428571428571</v>
      </c>
    </row>
    <row r="6" ht="15" customHeight="1" s="2">
      <c r="F6" t="inlineStr">
        <is>
          <t>Saratoga National 5; Spa 2</t>
        </is>
      </c>
      <c r="G6" t="inlineStr">
        <is>
          <t>Not full resort so not fair comparison</t>
        </is>
      </c>
      <c r="H6" t="inlineStr">
        <is>
          <t>Downtown Saratoga</t>
        </is>
      </c>
      <c r="I6" t="inlineStr">
        <is>
          <t>-</t>
        </is>
      </c>
      <c r="J6" t="inlineStr">
        <is>
          <t>No pure golf resort</t>
        </is>
      </c>
      <c r="K6" t="inlineStr">
        <is>
          <t>-</t>
        </is>
      </c>
      <c r="L6" t="inlineStr">
        <is>
          <t>Downtown Saratoga great nightlife</t>
        </is>
      </c>
    </row>
    <row r="7" ht="111.75" customHeight="1" s="2">
      <c r="D7" t="n">
        <v>2</v>
      </c>
      <c r="E7" s="89" t="inlineStr">
        <is>
          <t>Turning Stone 
(Atunyote, Shenandoah, Kahluyat)</t>
        </is>
      </c>
      <c r="F7" t="n">
        <v>4</v>
      </c>
      <c r="G7" t="n">
        <v>4</v>
      </c>
      <c r="H7" t="n">
        <v>3</v>
      </c>
      <c r="I7" t="n">
        <v>4</v>
      </c>
      <c r="J7" t="n">
        <v>4</v>
      </c>
      <c r="K7" t="n">
        <v>4</v>
      </c>
      <c r="L7" t="n">
        <v>4</v>
      </c>
      <c r="N7" t="n">
        <v>3.85714285714286</v>
      </c>
    </row>
    <row r="8" ht="255.75" customHeight="1" s="2">
      <c r="F8" t="inlineStr">
        <is>
          <t>Atunyote worth doing again</t>
        </is>
      </c>
      <c r="G8" s="89" t="inlineStr">
        <is>
          <t>Fair amount of attention paid to golf trips (food/bev packages, etc.); very accommodating
Casino staff slightly less so</t>
        </is>
      </c>
      <c r="H8" t="inlineStr">
        <is>
          <t>Standard Casino Lodging</t>
        </is>
      </c>
      <c r="I8" t="inlineStr">
        <is>
          <t>Great facilities; little bit of a walk from the lodging area</t>
        </is>
      </c>
      <c r="J8" t="inlineStr">
        <is>
          <t>All courses onsite; shuttle to Atunyote</t>
        </is>
      </c>
      <c r="K8" t="inlineStr">
        <is>
          <t>Red delicious apples; Mike Tyson</t>
        </is>
      </c>
      <c r="L8" t="inlineStr">
        <is>
          <t>Casino onsite</t>
        </is>
      </c>
    </row>
    <row r="9" ht="79.5" customHeight="1" s="2">
      <c r="D9" t="n">
        <v>3</v>
      </c>
      <c r="E9" s="89" t="inlineStr">
        <is>
          <t>Sea Island 
(Seaside 2x, Plantation)</t>
        </is>
      </c>
      <c r="F9" t="n">
        <v>4</v>
      </c>
      <c r="G9" t="n">
        <v>5</v>
      </c>
      <c r="H9" t="n">
        <v>5</v>
      </c>
      <c r="I9" t="n">
        <v>4</v>
      </c>
      <c r="J9" t="n">
        <v>5</v>
      </c>
      <c r="K9" t="n">
        <v>5</v>
      </c>
      <c r="L9" t="n">
        <v>3</v>
      </c>
      <c r="N9" t="n">
        <v>4.42857142857143</v>
      </c>
    </row>
    <row r="10" ht="15" customHeight="1" s="2">
      <c r="G10" t="inlineStr">
        <is>
          <t>We were their guests all weekend, set the bar for guys golf trips</t>
        </is>
      </c>
      <c r="H10" t="inlineStr">
        <is>
          <t>The Lodge is the perfect guys trip hotel; Can't imagine anything will beat this on the East coast</t>
        </is>
      </c>
      <c r="J10" t="inlineStr">
        <is>
          <t>Everything is onsite if you stay at the lodge; Shuttles to the cloister if you want to go to bars/restaurants</t>
        </is>
      </c>
      <c r="K10" t="inlineStr">
        <is>
          <t>Milk and cookies every night delivered to room;  nothing parallels the men's locker room bar yet</t>
        </is>
      </c>
      <c r="L10" t="inlineStr">
        <is>
          <t>Pretty quiet after 10-11PM</t>
        </is>
      </c>
    </row>
    <row r="11" ht="63.75" customHeight="1" s="2">
      <c r="D11" t="n">
        <v>4</v>
      </c>
      <c r="E11" s="89" t="inlineStr">
        <is>
          <t>French Lick 
(Dye 2x, Ross)</t>
        </is>
      </c>
      <c r="F11" t="n">
        <v>4</v>
      </c>
      <c r="G11" t="n">
        <v>4</v>
      </c>
      <c r="H11" t="n">
        <v>4</v>
      </c>
      <c r="I11" t="n">
        <v>2</v>
      </c>
      <c r="J11" t="n">
        <v>4</v>
      </c>
      <c r="K11" t="n">
        <v>3</v>
      </c>
      <c r="L11" t="n">
        <v>4</v>
      </c>
      <c r="N11" t="n">
        <v>3.57142857142857</v>
      </c>
    </row>
    <row r="12" ht="15" customHeight="1" s="2">
      <c r="F12" t="inlineStr">
        <is>
          <t>Dye was a 5, ross was a 3</t>
        </is>
      </c>
      <c r="J12" t="inlineStr">
        <is>
          <t>Shuttles to and from courses (nearby but not onsite)</t>
        </is>
      </c>
      <c r="L12" t="inlineStr">
        <is>
          <t>Casino onsite</t>
        </is>
      </c>
    </row>
    <row r="13" ht="96" customHeight="1" s="2">
      <c r="D13" t="n">
        <v>5</v>
      </c>
      <c r="E13" s="89" t="inlineStr">
        <is>
          <t>Hilton Head 
(Harbor Town 2x, Atlantic Dunes)</t>
        </is>
      </c>
      <c r="F13" t="n">
        <v>3</v>
      </c>
      <c r="G13" t="n">
        <v>1</v>
      </c>
      <c r="H13" t="n">
        <v>2</v>
      </c>
      <c r="I13" t="n">
        <v>2</v>
      </c>
      <c r="J13" t="n">
        <v>2</v>
      </c>
      <c r="K13" t="n">
        <v>4</v>
      </c>
      <c r="L13" t="n">
        <v>4</v>
      </c>
      <c r="N13" t="n">
        <v>2.57142857142857</v>
      </c>
    </row>
    <row r="14" ht="15" customHeight="1" s="2">
      <c r="G14" t="inlineStr">
        <is>
          <t>Could not care less we were there; we were a nuisance to them opposed to their guests</t>
        </is>
      </c>
      <c r="H14" t="inlineStr">
        <is>
          <t>Sea Pines 4 person villa rental was old; uncomfortable twin beds</t>
        </is>
      </c>
      <c r="I14" t="inlineStr">
        <is>
          <t>Wouldn't let you use range day before round</t>
        </is>
      </c>
      <c r="J14" t="inlineStr">
        <is>
          <t>Had to drive to courses; no shuttles</t>
        </is>
      </c>
      <c r="K14" t="inlineStr">
        <is>
          <t>Unique final holes; PGA cache</t>
        </is>
      </c>
      <c r="L14" t="inlineStr">
        <is>
          <t>Decent nightlife; Quarterdeck was a cool spot; lots of tourist foot-traffic</t>
        </is>
      </c>
    </row>
    <row r="15" ht="48" customHeight="1" s="2">
      <c r="D15" t="n">
        <v>6</v>
      </c>
      <c r="E15" s="89" t="inlineStr">
        <is>
          <t>Arcadia Bluffs 
(Bluffs 3x)</t>
        </is>
      </c>
      <c r="F15" t="n">
        <v>5</v>
      </c>
      <c r="G15" t="n">
        <v>3</v>
      </c>
      <c r="H15" t="n">
        <v>5</v>
      </c>
      <c r="I15" t="n">
        <v>5</v>
      </c>
      <c r="J15" t="n">
        <v>5</v>
      </c>
      <c r="K15" t="n">
        <v>4</v>
      </c>
      <c r="L15" t="n">
        <v>3</v>
      </c>
      <c r="N15" t="n">
        <v>4.28571428571429</v>
      </c>
    </row>
    <row r="16" ht="15" customHeight="1" s="2">
      <c r="G16" t="inlineStr">
        <is>
          <t>Some fantastic (Ketty); but tried to nickel and dime us the entire trip.  Tried to charge us a room rental fee every time we wanted to eat.  Weird restrictions on cartgirls "zones".</t>
        </is>
      </c>
      <c r="H16" t="inlineStr">
        <is>
          <t>Everything onsite</t>
        </is>
      </c>
      <c r="I16" t="inlineStr">
        <is>
          <t>Grass range open all hours just a short walk from hotel; good short game area</t>
        </is>
      </c>
      <c r="J16" t="inlineStr">
        <is>
          <t>Everything is onsite</t>
        </is>
      </c>
      <c r="K16" t="inlineStr">
        <is>
          <t xml:space="preserve">Holes 10-13 over Lake Michigan; 18th hole viewing gallery </t>
        </is>
      </c>
      <c r="L16" t="inlineStr">
        <is>
          <t>Pretty quiet; Casino 20m away will provide free shuttles (but nothing past 11PM)</t>
        </is>
      </c>
    </row>
    <row r="17" ht="96" customHeight="1" s="2">
      <c r="D17" t="n">
        <v>7</v>
      </c>
      <c r="E17" s="89" t="inlineStr">
        <is>
          <t>Pebble Beach
(Pebble, Spyglass, Spanish Bay)</t>
        </is>
      </c>
      <c r="F17" t="n">
        <v>5</v>
      </c>
      <c r="G17" t="n">
        <v>5</v>
      </c>
      <c r="H17" t="n">
        <v>5</v>
      </c>
      <c r="I17" t="n">
        <v>5</v>
      </c>
      <c r="J17" t="n">
        <v>4</v>
      </c>
      <c r="K17" t="n">
        <v>5</v>
      </c>
      <c r="L17" t="n">
        <v>4</v>
      </c>
      <c r="N17" t="n">
        <v>4.71428571428571</v>
      </c>
    </row>
    <row r="18" ht="15" customHeight="1" s="2">
      <c r="H18" t="inlineStr">
        <is>
          <t>Pretty amazing avec or sans gerrymandering</t>
        </is>
      </c>
      <c r="K18" t="inlineStr">
        <is>
          <t>Self explanatory</t>
        </is>
      </c>
    </row>
    <row r="20" ht="15" customHeight="1" s="2">
      <c r="D20" t="n">
        <v>8</v>
      </c>
      <c r="E20" t="inlineStr">
        <is>
          <t>Sand Valley (Sand Valley, Mammoth Dunes, Sandbox)</t>
        </is>
      </c>
      <c r="F20" t="n">
        <v>5</v>
      </c>
      <c r="G20" t="n">
        <v>4</v>
      </c>
      <c r="H20" t="n">
        <v>5</v>
      </c>
      <c r="I20" t="n">
        <v>5</v>
      </c>
      <c r="J20" t="n">
        <v>3</v>
      </c>
      <c r="K20" t="n">
        <v>4</v>
      </c>
      <c r="L20" t="n">
        <v>3</v>
      </c>
      <c r="N20" t="n">
        <v>4.14285714285714</v>
      </c>
    </row>
    <row r="21" ht="15" customHeight="1" s="2">
      <c r="J21" t="inlineStr">
        <is>
          <t>Difficult to get to but very captive/easy once there</t>
        </is>
      </c>
    </row>
    <row r="23" ht="15" customHeight="1" s="2">
      <c r="D23" t="n">
        <v>9</v>
      </c>
      <c r="E23" t="inlineStr">
        <is>
          <t>Sea Island 2021 Vintage (Seaside x3)</t>
        </is>
      </c>
      <c r="F23" t="n">
        <v>4</v>
      </c>
      <c r="G23" t="n">
        <v>2</v>
      </c>
      <c r="H23" t="n">
        <v>4</v>
      </c>
      <c r="I23" t="n">
        <v>4</v>
      </c>
      <c r="J23" t="n">
        <v>5</v>
      </c>
      <c r="K23" t="n">
        <v>2</v>
      </c>
      <c r="L23" t="n">
        <v>3</v>
      </c>
      <c r="N23" t="n">
        <v>3.42857142857143</v>
      </c>
    </row>
    <row r="24" ht="15" customHeight="1" s="2">
      <c r="G24" t="inlineStr">
        <is>
          <t>Massive step down vs. original stay</t>
        </is>
      </c>
      <c r="J24" t="inlineStr">
        <is>
          <t>Difficult to get to but very captive/easy once there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111"/>
  <sheetViews>
    <sheetView zoomScaleNormal="100" workbookViewId="0">
      <selection activeCell="A1" sqref="A1"/>
    </sheetView>
  </sheetViews>
  <sheetFormatPr baseColWidth="10" defaultColWidth="8.83203125" defaultRowHeight="15"/>
  <sheetData>
    <row r="1" ht="15" customHeight="1" s="2">
      <c r="A1" s="26" t="n"/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</row>
    <row r="2" ht="15" customHeight="1" s="2">
      <c r="A2" t="inlineStr">
        <is>
          <t>Connolly</t>
        </is>
      </c>
    </row>
    <row r="3" ht="15" customHeight="1" s="2">
      <c r="A3" t="inlineStr">
        <is>
          <t>Geographic Location</t>
        </is>
      </c>
      <c r="B3" t="inlineStr">
        <is>
          <t>Sea Island, GA</t>
        </is>
      </c>
    </row>
    <row r="5" ht="15" customHeight="1" s="2">
      <c r="A5" t="inlineStr">
        <is>
          <t>Sum of Points earned</t>
        </is>
      </c>
      <c r="B5" t="inlineStr">
        <is>
          <t>Sum of W</t>
        </is>
      </c>
      <c r="C5" t="inlineStr">
        <is>
          <t>Sum of L</t>
        </is>
      </c>
      <c r="D5" t="inlineStr">
        <is>
          <t>Sum of T</t>
        </is>
      </c>
      <c r="E5" t="inlineStr">
        <is>
          <t>Win %</t>
        </is>
      </c>
    </row>
    <row r="6" ht="15" customHeight="1" s="2">
      <c r="A6" t="n">
        <v>40</v>
      </c>
      <c r="B6" t="n">
        <v>26</v>
      </c>
      <c r="C6" t="n">
        <v>26</v>
      </c>
      <c r="D6" t="n">
        <v>8</v>
      </c>
      <c r="E6" t="n">
        <v>0.5</v>
      </c>
      <c r="H6" t="inlineStr">
        <is>
          <t>Do not erase</t>
        </is>
      </c>
      <c r="N6" t="inlineStr">
        <is>
          <t>Points Leaderboard</t>
        </is>
      </c>
      <c r="R6" t="inlineStr">
        <is>
          <t>FBC III Win %</t>
        </is>
      </c>
    </row>
    <row r="7" ht="15" customHeight="1" s="2">
      <c r="A7" t="inlineStr">
        <is>
          <t>Grise</t>
        </is>
      </c>
      <c r="H7" t="inlineStr">
        <is>
          <t>Name</t>
        </is>
      </c>
      <c r="I7" t="inlineStr">
        <is>
          <t>Pts</t>
        </is>
      </c>
      <c r="J7" t="inlineStr">
        <is>
          <t>Win %</t>
        </is>
      </c>
      <c r="K7" t="inlineStr">
        <is>
          <t>Events</t>
        </is>
      </c>
      <c r="L7" t="inlineStr">
        <is>
          <t>Points/Event</t>
        </is>
      </c>
      <c r="N7" t="inlineStr">
        <is>
          <t>Name</t>
        </is>
      </c>
      <c r="O7" t="inlineStr">
        <is>
          <t>Pts</t>
        </is>
      </c>
      <c r="R7" t="inlineStr">
        <is>
          <t>Name</t>
        </is>
      </c>
      <c r="S7" t="inlineStr">
        <is>
          <t>Win %</t>
        </is>
      </c>
    </row>
    <row r="8" ht="15" customHeight="1" s="2">
      <c r="A8" t="inlineStr">
        <is>
          <t>Geographic Location</t>
        </is>
      </c>
      <c r="B8" t="inlineStr">
        <is>
          <t>Sea Island, GA</t>
        </is>
      </c>
      <c r="H8" t="inlineStr">
        <is>
          <t>Connolly</t>
        </is>
      </c>
      <c r="I8" t="n">
        <v>40</v>
      </c>
      <c r="J8" t="n">
        <v>0.5</v>
      </c>
      <c r="K8" t="n">
        <v>3</v>
      </c>
      <c r="L8" t="n">
        <v>13.3333333333333</v>
      </c>
      <c r="N8" t="inlineStr">
        <is>
          <t>Jackson</t>
        </is>
      </c>
      <c r="O8" t="n">
        <v>5</v>
      </c>
      <c r="R8" t="inlineStr">
        <is>
          <t>Jackson</t>
        </is>
      </c>
      <c r="S8" t="n">
        <v>0.8</v>
      </c>
    </row>
    <row r="9" ht="15" customHeight="1" s="2">
      <c r="H9" t="inlineStr">
        <is>
          <t>Grise</t>
        </is>
      </c>
      <c r="I9" t="n">
        <v>40</v>
      </c>
      <c r="J9" t="n">
        <v>0.5</v>
      </c>
      <c r="K9" t="n">
        <v>3</v>
      </c>
      <c r="L9" t="n">
        <v>13.3333333333333</v>
      </c>
      <c r="N9" t="inlineStr">
        <is>
          <t>Ferrin</t>
        </is>
      </c>
      <c r="O9" t="n">
        <v>5</v>
      </c>
      <c r="R9" t="inlineStr">
        <is>
          <t>Ferrin</t>
        </is>
      </c>
      <c r="S9" t="n">
        <v>0.8</v>
      </c>
    </row>
    <row r="10" ht="15" customHeight="1" s="2">
      <c r="A10" t="inlineStr">
        <is>
          <t>Sum of Points earned</t>
        </is>
      </c>
      <c r="B10" t="inlineStr">
        <is>
          <t>Sum of W</t>
        </is>
      </c>
      <c r="C10" t="inlineStr">
        <is>
          <t>Sum of L</t>
        </is>
      </c>
      <c r="D10" t="inlineStr">
        <is>
          <t>Sum of T</t>
        </is>
      </c>
      <c r="E10" t="inlineStr">
        <is>
          <t>Win %</t>
        </is>
      </c>
      <c r="H10" t="inlineStr">
        <is>
          <t>Hilts</t>
        </is>
      </c>
      <c r="I10" t="n">
        <v>40</v>
      </c>
      <c r="J10" t="n">
        <v>0.5</v>
      </c>
      <c r="K10" t="n">
        <v>3</v>
      </c>
      <c r="L10" t="n">
        <v>13.3333333333333</v>
      </c>
      <c r="N10" t="inlineStr">
        <is>
          <t>Connolly</t>
        </is>
      </c>
      <c r="O10" t="n">
        <v>4.5</v>
      </c>
      <c r="R10" t="inlineStr">
        <is>
          <t>Fogan</t>
        </is>
      </c>
      <c r="S10" t="n">
        <v>0.75</v>
      </c>
    </row>
    <row r="11" ht="15" customHeight="1" s="2">
      <c r="A11" t="n">
        <v>40</v>
      </c>
      <c r="B11" t="n">
        <v>26</v>
      </c>
      <c r="C11" t="n">
        <v>26</v>
      </c>
      <c r="D11" t="n">
        <v>8</v>
      </c>
      <c r="E11" t="n">
        <v>0.5</v>
      </c>
      <c r="H11" t="inlineStr">
        <is>
          <t>Jackson</t>
        </is>
      </c>
      <c r="I11" t="n">
        <v>40</v>
      </c>
      <c r="J11" t="n">
        <v>0.5</v>
      </c>
      <c r="K11" t="n">
        <v>3</v>
      </c>
      <c r="L11" t="n">
        <v>13.3333333333333</v>
      </c>
      <c r="N11" t="inlineStr">
        <is>
          <t>Lynch</t>
        </is>
      </c>
      <c r="O11" t="n">
        <v>4</v>
      </c>
      <c r="R11" t="inlineStr">
        <is>
          <t>Connolly</t>
        </is>
      </c>
      <c r="S11" t="n">
        <v>0.7</v>
      </c>
    </row>
    <row r="12" ht="15" customHeight="1" s="2">
      <c r="A12" t="inlineStr">
        <is>
          <t>Hilts</t>
        </is>
      </c>
      <c r="H12" t="inlineStr">
        <is>
          <t>Poirier</t>
        </is>
      </c>
      <c r="I12" t="n">
        <v>40</v>
      </c>
      <c r="J12" t="n">
        <v>0.5</v>
      </c>
      <c r="K12" t="n">
        <v>1</v>
      </c>
      <c r="L12" t="n">
        <v>40</v>
      </c>
      <c r="N12" t="inlineStr">
        <is>
          <t>Benji</t>
        </is>
      </c>
      <c r="O12" t="n">
        <v>4</v>
      </c>
      <c r="R12" t="inlineStr">
        <is>
          <t>Lynch</t>
        </is>
      </c>
      <c r="S12" t="n">
        <v>0.6</v>
      </c>
    </row>
    <row r="13" ht="15" customHeight="1" s="2">
      <c r="A13" t="inlineStr">
        <is>
          <t>Geographic Location</t>
        </is>
      </c>
      <c r="B13" t="inlineStr">
        <is>
          <t>Sea Island, GA</t>
        </is>
      </c>
      <c r="H13" t="inlineStr">
        <is>
          <t>Flanders</t>
        </is>
      </c>
      <c r="I13" t="n">
        <v>40</v>
      </c>
      <c r="J13" t="n">
        <v>0.5</v>
      </c>
      <c r="K13" t="n">
        <v>3</v>
      </c>
      <c r="L13" t="n">
        <v>13.3333333333333</v>
      </c>
      <c r="N13" t="inlineStr">
        <is>
          <t>Straps</t>
        </is>
      </c>
      <c r="O13" t="n">
        <v>4</v>
      </c>
      <c r="R13" t="inlineStr">
        <is>
          <t>Benji</t>
        </is>
      </c>
      <c r="S13" t="n">
        <v>0.6</v>
      </c>
    </row>
    <row r="14" ht="15" customHeight="1" s="2">
      <c r="H14" t="inlineStr">
        <is>
          <t>Mangold</t>
        </is>
      </c>
      <c r="I14" t="n">
        <v>40</v>
      </c>
      <c r="J14" t="n">
        <v>0.5</v>
      </c>
      <c r="K14" t="n">
        <v>3</v>
      </c>
      <c r="L14" t="n">
        <v>13.3333333333333</v>
      </c>
      <c r="N14" t="inlineStr">
        <is>
          <t>Forster</t>
        </is>
      </c>
      <c r="O14" t="n">
        <v>3.5</v>
      </c>
      <c r="R14" t="inlineStr">
        <is>
          <t>Straps</t>
        </is>
      </c>
      <c r="S14" t="n">
        <v>0.6</v>
      </c>
    </row>
    <row r="15" ht="15" customHeight="1" s="2">
      <c r="A15" t="inlineStr">
        <is>
          <t>Sum of Points earned</t>
        </is>
      </c>
      <c r="B15" t="inlineStr">
        <is>
          <t>Sum of W</t>
        </is>
      </c>
      <c r="C15" t="inlineStr">
        <is>
          <t>Sum of L</t>
        </is>
      </c>
      <c r="D15" t="inlineStr">
        <is>
          <t>Sum of T</t>
        </is>
      </c>
      <c r="E15" t="inlineStr">
        <is>
          <t>Win %</t>
        </is>
      </c>
      <c r="H15" t="inlineStr">
        <is>
          <t>Hickerson</t>
        </is>
      </c>
      <c r="I15" t="n">
        <v>40</v>
      </c>
      <c r="J15" t="n">
        <v>0.5</v>
      </c>
      <c r="K15" t="n">
        <v>3</v>
      </c>
      <c r="L15" t="n">
        <v>13.3333333333333</v>
      </c>
      <c r="N15" t="inlineStr">
        <is>
          <t>Cole</t>
        </is>
      </c>
      <c r="O15" t="n">
        <v>3.5</v>
      </c>
      <c r="R15" t="inlineStr">
        <is>
          <t>Cole</t>
        </is>
      </c>
      <c r="S15" t="n">
        <v>0.6</v>
      </c>
    </row>
    <row r="16" ht="15" customHeight="1" s="2">
      <c r="A16" t="n">
        <v>40</v>
      </c>
      <c r="B16" t="n">
        <v>26</v>
      </c>
      <c r="C16" t="n">
        <v>26</v>
      </c>
      <c r="D16" t="n">
        <v>8</v>
      </c>
      <c r="E16" t="n">
        <v>0.5</v>
      </c>
      <c r="H16" t="inlineStr">
        <is>
          <t>Lynch</t>
        </is>
      </c>
      <c r="I16" t="n">
        <v>40</v>
      </c>
      <c r="J16" t="n">
        <v>0.5</v>
      </c>
      <c r="K16" t="n">
        <v>3</v>
      </c>
      <c r="L16" t="n">
        <v>13.3333333333333</v>
      </c>
      <c r="N16" t="inlineStr">
        <is>
          <t>Mangold</t>
        </is>
      </c>
      <c r="O16" t="n">
        <v>3</v>
      </c>
      <c r="R16" t="inlineStr">
        <is>
          <t>Weisberger</t>
        </is>
      </c>
      <c r="S16" t="n">
        <v>0.6</v>
      </c>
    </row>
    <row r="17" ht="15" customHeight="1" s="2">
      <c r="A17" t="inlineStr">
        <is>
          <t>Jackson</t>
        </is>
      </c>
      <c r="H17" t="inlineStr">
        <is>
          <t>Shively</t>
        </is>
      </c>
      <c r="I17" t="n">
        <v>40</v>
      </c>
      <c r="J17" t="n">
        <v>0.5</v>
      </c>
      <c r="K17" t="n">
        <v>3</v>
      </c>
      <c r="L17" t="n">
        <v>13.3333333333333</v>
      </c>
      <c r="N17" t="inlineStr">
        <is>
          <t>Hickerson</t>
        </is>
      </c>
      <c r="O17" t="n">
        <v>3</v>
      </c>
      <c r="R17" t="inlineStr">
        <is>
          <t>Forster</t>
        </is>
      </c>
      <c r="S17" t="n">
        <v>0.5</v>
      </c>
    </row>
    <row r="18" ht="15" customHeight="1" s="2">
      <c r="A18" t="inlineStr">
        <is>
          <t>Geographic Location</t>
        </is>
      </c>
      <c r="B18" t="inlineStr">
        <is>
          <t>Sea Island, GA</t>
        </is>
      </c>
      <c r="H18" t="inlineStr">
        <is>
          <t>Ferrin</t>
        </is>
      </c>
      <c r="I18" t="n">
        <v>40</v>
      </c>
      <c r="J18" t="n">
        <v>0.5</v>
      </c>
      <c r="K18" t="n">
        <v>3</v>
      </c>
      <c r="L18" t="n">
        <v>13.3333333333333</v>
      </c>
      <c r="N18" t="inlineStr">
        <is>
          <t>Fogan</t>
        </is>
      </c>
      <c r="O18" t="n">
        <v>3</v>
      </c>
      <c r="R18" t="inlineStr">
        <is>
          <t>Mangold</t>
        </is>
      </c>
      <c r="S18" t="n">
        <v>0.5</v>
      </c>
    </row>
    <row r="19" ht="15" customHeight="1" s="2">
      <c r="H19" t="inlineStr">
        <is>
          <t>Macklin</t>
        </is>
      </c>
      <c r="I19" t="n">
        <v>40</v>
      </c>
      <c r="J19" t="n">
        <v>0.5</v>
      </c>
      <c r="K19" t="n">
        <v>1</v>
      </c>
      <c r="L19" t="n">
        <v>40</v>
      </c>
      <c r="N19" t="inlineStr">
        <is>
          <t>Weisberger</t>
        </is>
      </c>
      <c r="O19" t="n">
        <v>3</v>
      </c>
      <c r="R19" t="inlineStr">
        <is>
          <t>Hickerson</t>
        </is>
      </c>
      <c r="S19" t="n">
        <v>0.5</v>
      </c>
    </row>
    <row r="20" ht="15" customHeight="1" s="2">
      <c r="A20" t="inlineStr">
        <is>
          <t>Sum of Points earned</t>
        </is>
      </c>
      <c r="B20" t="inlineStr">
        <is>
          <t>Sum of W</t>
        </is>
      </c>
      <c r="C20" t="inlineStr">
        <is>
          <t>Sum of L</t>
        </is>
      </c>
      <c r="D20" t="inlineStr">
        <is>
          <t>Sum of T</t>
        </is>
      </c>
      <c r="E20" t="inlineStr">
        <is>
          <t>Win %</t>
        </is>
      </c>
      <c r="H20" t="inlineStr">
        <is>
          <t>Connors</t>
        </is>
      </c>
      <c r="I20" t="n">
        <v>40</v>
      </c>
      <c r="J20" t="n">
        <v>0.5</v>
      </c>
      <c r="K20" t="n">
        <v>2</v>
      </c>
      <c r="L20" t="n">
        <v>20</v>
      </c>
      <c r="N20" t="inlineStr">
        <is>
          <t>Hilts</t>
        </is>
      </c>
      <c r="O20" t="n">
        <v>2.5</v>
      </c>
      <c r="R20" t="inlineStr">
        <is>
          <t>Hilts</t>
        </is>
      </c>
      <c r="S20" t="n">
        <v>0.5</v>
      </c>
    </row>
    <row r="21" ht="15" customHeight="1" s="2">
      <c r="A21" t="n">
        <v>40</v>
      </c>
      <c r="B21" t="n">
        <v>26</v>
      </c>
      <c r="C21" t="n">
        <v>26</v>
      </c>
      <c r="D21" t="n">
        <v>8</v>
      </c>
      <c r="E21" t="n">
        <v>0.5</v>
      </c>
      <c r="H21" t="inlineStr">
        <is>
          <t>Forster</t>
        </is>
      </c>
      <c r="I21" t="n">
        <v>40</v>
      </c>
      <c r="J21" t="n">
        <v>0.5</v>
      </c>
      <c r="K21" t="n">
        <v>2</v>
      </c>
      <c r="L21" t="n">
        <v>20</v>
      </c>
      <c r="N21" t="inlineStr">
        <is>
          <t>Norat</t>
        </is>
      </c>
      <c r="O21" t="n">
        <v>2.5</v>
      </c>
      <c r="R21" t="inlineStr">
        <is>
          <t>McInerny</t>
        </is>
      </c>
      <c r="S21" t="n">
        <v>0.5</v>
      </c>
    </row>
    <row r="22" ht="15" customHeight="1" s="2">
      <c r="A22" t="inlineStr">
        <is>
          <t>Poirier</t>
        </is>
      </c>
      <c r="H22" t="inlineStr">
        <is>
          <t>Fogan</t>
        </is>
      </c>
      <c r="I22" t="n">
        <v>40</v>
      </c>
      <c r="J22" t="n">
        <v>0.5</v>
      </c>
      <c r="K22" t="n">
        <v>2</v>
      </c>
      <c r="L22" t="n">
        <v>20</v>
      </c>
      <c r="N22" t="inlineStr">
        <is>
          <t>McInerny</t>
        </is>
      </c>
      <c r="O22" t="n">
        <v>2.5</v>
      </c>
      <c r="R22" t="inlineStr">
        <is>
          <t>Norat</t>
        </is>
      </c>
      <c r="S22" t="n">
        <v>0.4</v>
      </c>
    </row>
    <row r="23" ht="15" customHeight="1" s="2">
      <c r="A23" t="inlineStr">
        <is>
          <t>Geographic Location</t>
        </is>
      </c>
      <c r="B23" t="inlineStr">
        <is>
          <t>Sea Island, GA</t>
        </is>
      </c>
      <c r="H23" t="inlineStr">
        <is>
          <t>Cole</t>
        </is>
      </c>
      <c r="I23" t="n">
        <v>40</v>
      </c>
      <c r="J23" t="n">
        <v>0.5</v>
      </c>
      <c r="K23" t="n">
        <v>2</v>
      </c>
      <c r="L23" t="n">
        <v>20</v>
      </c>
      <c r="N23" t="inlineStr">
        <is>
          <t>Connors</t>
        </is>
      </c>
      <c r="O23" t="n">
        <v>2</v>
      </c>
      <c r="R23" t="inlineStr">
        <is>
          <t>Buss</t>
        </is>
      </c>
      <c r="S23" t="n">
        <v>0.4</v>
      </c>
    </row>
    <row r="24" ht="15" customHeight="1" s="2">
      <c r="H24" t="inlineStr">
        <is>
          <t>Weisberger</t>
        </is>
      </c>
      <c r="I24" t="n">
        <v>40</v>
      </c>
      <c r="J24" t="n">
        <v>0.5</v>
      </c>
      <c r="K24" t="n">
        <v>2</v>
      </c>
      <c r="L24" t="n">
        <v>20</v>
      </c>
      <c r="N24" t="inlineStr">
        <is>
          <t>Buss</t>
        </is>
      </c>
      <c r="O24" t="n">
        <v>2</v>
      </c>
      <c r="R24" t="inlineStr">
        <is>
          <t>Shively</t>
        </is>
      </c>
      <c r="S24" t="n">
        <v>0.3</v>
      </c>
    </row>
    <row r="25" ht="15" customHeight="1" s="2">
      <c r="A25" t="inlineStr">
        <is>
          <t>Sum of Points earned</t>
        </is>
      </c>
      <c r="B25" t="inlineStr">
        <is>
          <t>Sum of W</t>
        </is>
      </c>
      <c r="C25" t="inlineStr">
        <is>
          <t>Sum of L</t>
        </is>
      </c>
      <c r="D25" t="inlineStr">
        <is>
          <t>Sum of T</t>
        </is>
      </c>
      <c r="E25" t="inlineStr">
        <is>
          <t>Win %</t>
        </is>
      </c>
      <c r="H25" t="inlineStr">
        <is>
          <t>Buss</t>
        </is>
      </c>
      <c r="I25" t="n">
        <v>40</v>
      </c>
      <c r="J25" t="n">
        <v>0.5</v>
      </c>
      <c r="K25" t="n">
        <v>2</v>
      </c>
      <c r="L25" t="n">
        <v>20</v>
      </c>
      <c r="N25" t="inlineStr">
        <is>
          <t>Shively</t>
        </is>
      </c>
      <c r="O25" t="n">
        <v>1.5</v>
      </c>
      <c r="R25" t="inlineStr">
        <is>
          <t>Connors</t>
        </is>
      </c>
      <c r="S25" t="n">
        <v>0.2</v>
      </c>
    </row>
    <row r="26" ht="15" customHeight="1" s="2">
      <c r="A26" t="n">
        <v>40</v>
      </c>
      <c r="B26" t="n">
        <v>26</v>
      </c>
      <c r="C26" t="n">
        <v>26</v>
      </c>
      <c r="D26" t="n">
        <v>8</v>
      </c>
      <c r="E26" t="n">
        <v>0.5</v>
      </c>
      <c r="H26" t="inlineStr">
        <is>
          <t>Benji</t>
        </is>
      </c>
      <c r="I26" t="n">
        <v>40</v>
      </c>
      <c r="J26" t="n">
        <v>0.5</v>
      </c>
      <c r="K26" t="n">
        <v>1</v>
      </c>
      <c r="L26" t="n">
        <v>40</v>
      </c>
      <c r="N26" t="inlineStr">
        <is>
          <t>Grise</t>
        </is>
      </c>
      <c r="O26" t="n">
        <v>1</v>
      </c>
      <c r="R26" t="inlineStr">
        <is>
          <t>Grise</t>
        </is>
      </c>
      <c r="S26" t="n">
        <v>0.2</v>
      </c>
    </row>
    <row r="27" ht="15" customHeight="1" s="2">
      <c r="A27" t="inlineStr">
        <is>
          <t>Flanders</t>
        </is>
      </c>
      <c r="H27" t="inlineStr">
        <is>
          <t>Norat</t>
        </is>
      </c>
      <c r="I27" t="n">
        <v>40</v>
      </c>
      <c r="J27" t="n">
        <v>0.5</v>
      </c>
      <c r="K27" t="n">
        <v>1</v>
      </c>
      <c r="L27" t="n">
        <v>40</v>
      </c>
      <c r="N27" t="inlineStr">
        <is>
          <t>Flanders</t>
        </is>
      </c>
      <c r="O27" t="n">
        <v>0.5</v>
      </c>
      <c r="R27" t="inlineStr">
        <is>
          <t>Flanders</t>
        </is>
      </c>
      <c r="S27" t="n">
        <v>0.1</v>
      </c>
    </row>
    <row r="28" ht="15" customHeight="1" s="2">
      <c r="A28" t="inlineStr">
        <is>
          <t>Geographic Location</t>
        </is>
      </c>
      <c r="B28" t="inlineStr">
        <is>
          <t>Sea Island, GA</t>
        </is>
      </c>
      <c r="H28" t="inlineStr">
        <is>
          <t>Straps</t>
        </is>
      </c>
      <c r="I28" t="n">
        <v>40</v>
      </c>
      <c r="J28" t="n">
        <v>0.5</v>
      </c>
      <c r="K28" t="n">
        <v>1</v>
      </c>
      <c r="L28" t="n">
        <v>40</v>
      </c>
    </row>
    <row r="29" ht="15" customHeight="1" s="2">
      <c r="H29" t="inlineStr">
        <is>
          <t>McInerny</t>
        </is>
      </c>
      <c r="I29" t="n">
        <v>40</v>
      </c>
      <c r="J29" t="n">
        <v>0.5</v>
      </c>
      <c r="K29" t="n">
        <v>1</v>
      </c>
      <c r="L29" t="n">
        <v>40</v>
      </c>
    </row>
    <row r="30" ht="15" customHeight="1" s="2">
      <c r="A30" t="inlineStr">
        <is>
          <t>Sum of Points earned</t>
        </is>
      </c>
      <c r="B30" t="inlineStr">
        <is>
          <t>Sum of W</t>
        </is>
      </c>
      <c r="C30" t="inlineStr">
        <is>
          <t>Sum of L</t>
        </is>
      </c>
      <c r="D30" t="inlineStr">
        <is>
          <t>Sum of T</t>
        </is>
      </c>
      <c r="E30" t="inlineStr">
        <is>
          <t>Win %</t>
        </is>
      </c>
    </row>
    <row r="31" ht="15" customHeight="1" s="2">
      <c r="A31" t="n">
        <v>40</v>
      </c>
      <c r="B31" t="n">
        <v>26</v>
      </c>
      <c r="C31" t="n">
        <v>26</v>
      </c>
      <c r="D31" t="n">
        <v>8</v>
      </c>
      <c r="E31" t="n">
        <v>0.5</v>
      </c>
    </row>
    <row r="32" ht="15" customHeight="1" s="2">
      <c r="A32" t="inlineStr">
        <is>
          <t>Mangold</t>
        </is>
      </c>
    </row>
    <row r="33" ht="15" customHeight="1" s="2">
      <c r="A33" t="inlineStr">
        <is>
          <t>Geographic Location</t>
        </is>
      </c>
      <c r="B33" t="inlineStr">
        <is>
          <t>Sea Island, GA</t>
        </is>
      </c>
    </row>
    <row r="35" ht="15" customHeight="1" s="2">
      <c r="A35" t="inlineStr">
        <is>
          <t>Sum of Points earned</t>
        </is>
      </c>
      <c r="B35" t="inlineStr">
        <is>
          <t>Sum of W</t>
        </is>
      </c>
      <c r="C35" t="inlineStr">
        <is>
          <t>Sum of L</t>
        </is>
      </c>
      <c r="D35" t="inlineStr">
        <is>
          <t>Sum of T</t>
        </is>
      </c>
      <c r="E35" t="inlineStr">
        <is>
          <t>Win %</t>
        </is>
      </c>
    </row>
    <row r="36" ht="15" customHeight="1" s="2">
      <c r="A36" t="n">
        <v>40</v>
      </c>
      <c r="B36" t="n">
        <v>26</v>
      </c>
      <c r="C36" t="n">
        <v>26</v>
      </c>
      <c r="D36" t="n">
        <v>8</v>
      </c>
      <c r="E36" t="n">
        <v>0.5</v>
      </c>
    </row>
    <row r="37" ht="15" customHeight="1" s="2">
      <c r="A37" t="inlineStr">
        <is>
          <t>Hickerson</t>
        </is>
      </c>
    </row>
    <row r="38" ht="15" customHeight="1" s="2">
      <c r="A38" t="inlineStr">
        <is>
          <t>Geographic Location</t>
        </is>
      </c>
      <c r="B38" t="inlineStr">
        <is>
          <t>Sea Island, GA</t>
        </is>
      </c>
    </row>
    <row r="40" ht="15" customHeight="1" s="2">
      <c r="A40" t="inlineStr">
        <is>
          <t>Sum of Points earned</t>
        </is>
      </c>
      <c r="B40" t="inlineStr">
        <is>
          <t>Sum of W</t>
        </is>
      </c>
      <c r="C40" t="inlineStr">
        <is>
          <t>Sum of L</t>
        </is>
      </c>
      <c r="D40" t="inlineStr">
        <is>
          <t>Sum of T</t>
        </is>
      </c>
      <c r="E40" t="inlineStr">
        <is>
          <t>Win %</t>
        </is>
      </c>
    </row>
    <row r="41" ht="15" customHeight="1" s="2">
      <c r="A41" t="n">
        <v>40</v>
      </c>
      <c r="B41" t="n">
        <v>26</v>
      </c>
      <c r="C41" t="n">
        <v>26</v>
      </c>
      <c r="D41" t="n">
        <v>8</v>
      </c>
      <c r="E41" t="n">
        <v>0.5</v>
      </c>
    </row>
    <row r="42" ht="15" customHeight="1" s="2">
      <c r="A42" t="inlineStr">
        <is>
          <t>Lynch</t>
        </is>
      </c>
    </row>
    <row r="43" ht="15" customHeight="1" s="2">
      <c r="A43" t="inlineStr">
        <is>
          <t>Geographic Location</t>
        </is>
      </c>
      <c r="B43" t="inlineStr">
        <is>
          <t>Sea Island, GA</t>
        </is>
      </c>
    </row>
    <row r="45" ht="15" customHeight="1" s="2">
      <c r="A45" t="inlineStr">
        <is>
          <t>Sum of Points earned</t>
        </is>
      </c>
      <c r="B45" t="inlineStr">
        <is>
          <t>Sum of W</t>
        </is>
      </c>
      <c r="C45" t="inlineStr">
        <is>
          <t>Sum of L</t>
        </is>
      </c>
      <c r="D45" t="inlineStr">
        <is>
          <t>Sum of T</t>
        </is>
      </c>
      <c r="E45" t="inlineStr">
        <is>
          <t>Win %</t>
        </is>
      </c>
    </row>
    <row r="46" ht="15" customHeight="1" s="2">
      <c r="A46" t="n">
        <v>40</v>
      </c>
      <c r="B46" t="n">
        <v>26</v>
      </c>
      <c r="C46" t="n">
        <v>26</v>
      </c>
      <c r="D46" t="n">
        <v>8</v>
      </c>
      <c r="E46" t="n">
        <v>0.5</v>
      </c>
    </row>
    <row r="47" ht="15" customHeight="1" s="2">
      <c r="A47" t="inlineStr">
        <is>
          <t>Shively</t>
        </is>
      </c>
    </row>
    <row r="48" ht="15" customHeight="1" s="2">
      <c r="A48" t="inlineStr">
        <is>
          <t>Geographic Location</t>
        </is>
      </c>
      <c r="B48" t="inlineStr">
        <is>
          <t>Sea Island, GA</t>
        </is>
      </c>
    </row>
    <row r="50" ht="15" customHeight="1" s="2">
      <c r="A50" t="inlineStr">
        <is>
          <t>Sum of Points earned</t>
        </is>
      </c>
      <c r="B50" t="inlineStr">
        <is>
          <t>Sum of W</t>
        </is>
      </c>
      <c r="C50" t="inlineStr">
        <is>
          <t>Sum of L</t>
        </is>
      </c>
      <c r="D50" t="inlineStr">
        <is>
          <t>Sum of T</t>
        </is>
      </c>
      <c r="E50" t="inlineStr">
        <is>
          <t>Win %</t>
        </is>
      </c>
    </row>
    <row r="51" ht="15" customHeight="1" s="2">
      <c r="A51" t="n">
        <v>40</v>
      </c>
      <c r="B51" t="n">
        <v>26</v>
      </c>
      <c r="C51" t="n">
        <v>26</v>
      </c>
      <c r="D51" t="n">
        <v>8</v>
      </c>
      <c r="E51" t="n">
        <v>0.5</v>
      </c>
    </row>
    <row r="52" ht="15" customHeight="1" s="2">
      <c r="A52" t="inlineStr">
        <is>
          <t>Ferrin</t>
        </is>
      </c>
    </row>
    <row r="53" ht="15" customHeight="1" s="2">
      <c r="A53" t="inlineStr">
        <is>
          <t>Geographic Location</t>
        </is>
      </c>
      <c r="B53" t="inlineStr">
        <is>
          <t>Sea Island, GA</t>
        </is>
      </c>
    </row>
    <row r="55" ht="15" customHeight="1" s="2">
      <c r="A55" t="inlineStr">
        <is>
          <t>Sum of Points earned</t>
        </is>
      </c>
      <c r="B55" t="inlineStr">
        <is>
          <t>Sum of W</t>
        </is>
      </c>
      <c r="C55" t="inlineStr">
        <is>
          <t>Sum of L</t>
        </is>
      </c>
      <c r="D55" t="inlineStr">
        <is>
          <t>Sum of T</t>
        </is>
      </c>
      <c r="E55" t="inlineStr">
        <is>
          <t>Win %</t>
        </is>
      </c>
    </row>
    <row r="56" ht="15" customHeight="1" s="2">
      <c r="A56" t="n">
        <v>40</v>
      </c>
      <c r="B56" t="n">
        <v>26</v>
      </c>
      <c r="C56" t="n">
        <v>26</v>
      </c>
      <c r="D56" t="n">
        <v>8</v>
      </c>
      <c r="E56" t="n">
        <v>0.5</v>
      </c>
    </row>
    <row r="57" ht="15" customHeight="1" s="2">
      <c r="A57" t="inlineStr">
        <is>
          <t>Macklin</t>
        </is>
      </c>
    </row>
    <row r="58" ht="15" customHeight="1" s="2">
      <c r="A58" t="inlineStr">
        <is>
          <t>Geographic Location</t>
        </is>
      </c>
      <c r="B58" t="inlineStr">
        <is>
          <t>Sea Island, GA</t>
        </is>
      </c>
    </row>
    <row r="60" ht="15" customHeight="1" s="2">
      <c r="A60" t="inlineStr">
        <is>
          <t>Sum of Points earned</t>
        </is>
      </c>
      <c r="B60" t="inlineStr">
        <is>
          <t>Sum of W</t>
        </is>
      </c>
      <c r="C60" t="inlineStr">
        <is>
          <t>Sum of L</t>
        </is>
      </c>
      <c r="D60" t="inlineStr">
        <is>
          <t>Sum of T</t>
        </is>
      </c>
      <c r="E60" t="inlineStr">
        <is>
          <t>Win %</t>
        </is>
      </c>
    </row>
    <row r="61" ht="15" customHeight="1" s="2">
      <c r="A61" t="n">
        <v>40</v>
      </c>
      <c r="B61" t="n">
        <v>26</v>
      </c>
      <c r="C61" t="n">
        <v>26</v>
      </c>
      <c r="D61" t="n">
        <v>8</v>
      </c>
      <c r="E61" t="n">
        <v>0.5</v>
      </c>
    </row>
    <row r="62" ht="15" customHeight="1" s="2">
      <c r="A62" t="inlineStr">
        <is>
          <t>Connors</t>
        </is>
      </c>
    </row>
    <row r="63" ht="15" customHeight="1" s="2">
      <c r="A63" t="inlineStr">
        <is>
          <t>Geographic Location</t>
        </is>
      </c>
      <c r="B63" t="inlineStr">
        <is>
          <t>Sea Island, GA</t>
        </is>
      </c>
    </row>
    <row r="65" ht="15" customHeight="1" s="2">
      <c r="A65" t="inlineStr">
        <is>
          <t>Sum of Points earned</t>
        </is>
      </c>
      <c r="B65" t="inlineStr">
        <is>
          <t>Sum of W</t>
        </is>
      </c>
      <c r="C65" t="inlineStr">
        <is>
          <t>Sum of L</t>
        </is>
      </c>
      <c r="D65" t="inlineStr">
        <is>
          <t>Sum of T</t>
        </is>
      </c>
      <c r="E65" t="inlineStr">
        <is>
          <t>Win %</t>
        </is>
      </c>
    </row>
    <row r="66" ht="15" customHeight="1" s="2">
      <c r="A66" t="n">
        <v>40</v>
      </c>
      <c r="B66" t="n">
        <v>26</v>
      </c>
      <c r="C66" t="n">
        <v>26</v>
      </c>
      <c r="D66" t="n">
        <v>8</v>
      </c>
      <c r="E66" t="n">
        <v>0.5</v>
      </c>
    </row>
    <row r="67" ht="15" customHeight="1" s="2">
      <c r="A67" t="inlineStr">
        <is>
          <t>Forster</t>
        </is>
      </c>
    </row>
    <row r="68" ht="15" customHeight="1" s="2">
      <c r="A68" t="inlineStr">
        <is>
          <t>Geographic Location</t>
        </is>
      </c>
      <c r="B68" t="inlineStr">
        <is>
          <t>Sea Island, GA</t>
        </is>
      </c>
    </row>
    <row r="70" ht="15" customHeight="1" s="2">
      <c r="A70" t="inlineStr">
        <is>
          <t>Sum of Points earned</t>
        </is>
      </c>
      <c r="B70" t="inlineStr">
        <is>
          <t>Sum of W</t>
        </is>
      </c>
      <c r="C70" t="inlineStr">
        <is>
          <t>Sum of L</t>
        </is>
      </c>
      <c r="D70" t="inlineStr">
        <is>
          <t>Sum of T</t>
        </is>
      </c>
      <c r="E70" t="inlineStr">
        <is>
          <t>Win %</t>
        </is>
      </c>
    </row>
    <row r="71" ht="15" customHeight="1" s="2">
      <c r="A71" t="n">
        <v>40</v>
      </c>
      <c r="B71" t="n">
        <v>26</v>
      </c>
      <c r="C71" t="n">
        <v>26</v>
      </c>
      <c r="D71" t="n">
        <v>8</v>
      </c>
      <c r="E71" t="n">
        <v>0.5</v>
      </c>
    </row>
    <row r="72" ht="15" customHeight="1" s="2">
      <c r="A72" t="inlineStr">
        <is>
          <t>Fogan</t>
        </is>
      </c>
    </row>
    <row r="73" ht="15" customHeight="1" s="2">
      <c r="A73" t="inlineStr">
        <is>
          <t>Geographic Location</t>
        </is>
      </c>
      <c r="B73" t="inlineStr">
        <is>
          <t>Sea Island, GA</t>
        </is>
      </c>
    </row>
    <row r="75" ht="15" customHeight="1" s="2">
      <c r="A75" t="inlineStr">
        <is>
          <t>Sum of Points earned</t>
        </is>
      </c>
      <c r="B75" t="inlineStr">
        <is>
          <t>Sum of W</t>
        </is>
      </c>
      <c r="C75" t="inlineStr">
        <is>
          <t>Sum of L</t>
        </is>
      </c>
      <c r="D75" t="inlineStr">
        <is>
          <t>Sum of T</t>
        </is>
      </c>
      <c r="E75" t="inlineStr">
        <is>
          <t>Win %</t>
        </is>
      </c>
    </row>
    <row r="76" ht="15" customHeight="1" s="2">
      <c r="A76" t="n">
        <v>40</v>
      </c>
      <c r="B76" t="n">
        <v>26</v>
      </c>
      <c r="C76" t="n">
        <v>26</v>
      </c>
      <c r="D76" t="n">
        <v>8</v>
      </c>
      <c r="E76" t="n">
        <v>0.5</v>
      </c>
    </row>
    <row r="77" ht="15" customHeight="1" s="2">
      <c r="A77" t="inlineStr">
        <is>
          <t>Cole</t>
        </is>
      </c>
    </row>
    <row r="78" ht="15" customHeight="1" s="2">
      <c r="A78" t="inlineStr">
        <is>
          <t>Geographic Location</t>
        </is>
      </c>
      <c r="B78" t="inlineStr">
        <is>
          <t>Sea Island, GA</t>
        </is>
      </c>
    </row>
    <row r="80" ht="15" customHeight="1" s="2">
      <c r="A80" t="inlineStr">
        <is>
          <t>Sum of Points earned</t>
        </is>
      </c>
      <c r="B80" t="inlineStr">
        <is>
          <t>Sum of W</t>
        </is>
      </c>
      <c r="C80" t="inlineStr">
        <is>
          <t>Sum of L</t>
        </is>
      </c>
      <c r="D80" t="inlineStr">
        <is>
          <t>Sum of T</t>
        </is>
      </c>
      <c r="E80" t="inlineStr">
        <is>
          <t>Win %</t>
        </is>
      </c>
    </row>
    <row r="81" ht="15" customHeight="1" s="2">
      <c r="A81" t="n">
        <v>40</v>
      </c>
      <c r="B81" t="n">
        <v>26</v>
      </c>
      <c r="C81" t="n">
        <v>26</v>
      </c>
      <c r="D81" t="n">
        <v>8</v>
      </c>
      <c r="E81" t="n">
        <v>0.5</v>
      </c>
    </row>
    <row r="82" ht="15" customHeight="1" s="2">
      <c r="A82" t="inlineStr">
        <is>
          <t>Weisberger</t>
        </is>
      </c>
    </row>
    <row r="83" ht="15" customHeight="1" s="2">
      <c r="A83" t="inlineStr">
        <is>
          <t>Geographic Location</t>
        </is>
      </c>
      <c r="B83" t="inlineStr">
        <is>
          <t>Sea Island, GA</t>
        </is>
      </c>
    </row>
    <row r="85" ht="15" customHeight="1" s="2">
      <c r="A85" t="inlineStr">
        <is>
          <t>Sum of Points earned</t>
        </is>
      </c>
      <c r="B85" t="inlineStr">
        <is>
          <t>Sum of W</t>
        </is>
      </c>
      <c r="C85" t="inlineStr">
        <is>
          <t>Sum of L</t>
        </is>
      </c>
      <c r="D85" t="inlineStr">
        <is>
          <t>Sum of T</t>
        </is>
      </c>
      <c r="E85" t="inlineStr">
        <is>
          <t>Win %</t>
        </is>
      </c>
    </row>
    <row r="86" ht="15" customHeight="1" s="2">
      <c r="A86" t="n">
        <v>40</v>
      </c>
      <c r="B86" t="n">
        <v>26</v>
      </c>
      <c r="C86" t="n">
        <v>26</v>
      </c>
      <c r="D86" t="n">
        <v>8</v>
      </c>
      <c r="E86" t="n">
        <v>0.5</v>
      </c>
    </row>
    <row r="87" ht="15" customHeight="1" s="2">
      <c r="A87" t="inlineStr">
        <is>
          <t>Buss</t>
        </is>
      </c>
    </row>
    <row r="88" ht="15" customHeight="1" s="2">
      <c r="A88" t="inlineStr">
        <is>
          <t>Geographic Location</t>
        </is>
      </c>
      <c r="B88" t="inlineStr">
        <is>
          <t>Sea Island, GA</t>
        </is>
      </c>
    </row>
    <row r="90" ht="15" customHeight="1" s="2">
      <c r="A90" t="inlineStr">
        <is>
          <t>Sum of Points earned</t>
        </is>
      </c>
      <c r="B90" t="inlineStr">
        <is>
          <t>Sum of W</t>
        </is>
      </c>
      <c r="C90" t="inlineStr">
        <is>
          <t>Sum of L</t>
        </is>
      </c>
      <c r="D90" t="inlineStr">
        <is>
          <t>Sum of T</t>
        </is>
      </c>
      <c r="E90" t="inlineStr">
        <is>
          <t>Win %</t>
        </is>
      </c>
    </row>
    <row r="91" ht="15" customHeight="1" s="2">
      <c r="A91" t="n">
        <v>40</v>
      </c>
      <c r="B91" t="n">
        <v>26</v>
      </c>
      <c r="C91" t="n">
        <v>26</v>
      </c>
      <c r="D91" t="n">
        <v>8</v>
      </c>
      <c r="E91" t="n">
        <v>0.5</v>
      </c>
    </row>
    <row r="93" ht="15" customHeight="1" s="2">
      <c r="A93" t="inlineStr">
        <is>
          <t>Geographic Location</t>
        </is>
      </c>
      <c r="B93" t="inlineStr">
        <is>
          <t>Sea Island, GA</t>
        </is>
      </c>
    </row>
    <row r="95" ht="15" customHeight="1" s="2">
      <c r="A95" t="inlineStr">
        <is>
          <t>Sum of Points earned</t>
        </is>
      </c>
      <c r="B95" t="inlineStr">
        <is>
          <t>Sum of W</t>
        </is>
      </c>
      <c r="C95" t="inlineStr">
        <is>
          <t>Sum of L</t>
        </is>
      </c>
      <c r="D95" t="inlineStr">
        <is>
          <t>Sum of T</t>
        </is>
      </c>
      <c r="E95" t="inlineStr">
        <is>
          <t>Win %</t>
        </is>
      </c>
    </row>
    <row r="96" ht="15" customHeight="1" s="2">
      <c r="A96" t="n">
        <v>40</v>
      </c>
      <c r="B96" t="n">
        <v>26</v>
      </c>
      <c r="C96" t="n">
        <v>26</v>
      </c>
      <c r="D96" t="n">
        <v>8</v>
      </c>
      <c r="E96" t="n">
        <v>0.5</v>
      </c>
    </row>
    <row r="97" ht="15" customHeight="1" s="2">
      <c r="A97" t="inlineStr">
        <is>
          <t>Norat</t>
        </is>
      </c>
    </row>
    <row r="98" ht="15" customHeight="1" s="2">
      <c r="A98" t="inlineStr">
        <is>
          <t>Geographic Location</t>
        </is>
      </c>
      <c r="B98" t="inlineStr">
        <is>
          <t>Sea Island, GA</t>
        </is>
      </c>
    </row>
    <row r="100" ht="15" customHeight="1" s="2">
      <c r="A100" t="inlineStr">
        <is>
          <t>Sum of Points earned</t>
        </is>
      </c>
      <c r="B100" t="inlineStr">
        <is>
          <t>Sum of W</t>
        </is>
      </c>
      <c r="C100" t="inlineStr">
        <is>
          <t>Sum of L</t>
        </is>
      </c>
      <c r="D100" t="inlineStr">
        <is>
          <t>Sum of T</t>
        </is>
      </c>
      <c r="E100" t="inlineStr">
        <is>
          <t>Win %</t>
        </is>
      </c>
    </row>
    <row r="101" ht="15" customHeight="1" s="2">
      <c r="A101" t="n">
        <v>40</v>
      </c>
      <c r="B101" t="n">
        <v>26</v>
      </c>
      <c r="C101" t="n">
        <v>26</v>
      </c>
      <c r="D101" t="n">
        <v>8</v>
      </c>
      <c r="E101" t="n">
        <v>0.5</v>
      </c>
    </row>
    <row r="103" ht="15" customHeight="1" s="2">
      <c r="A103" t="inlineStr">
        <is>
          <t>Geographic Location</t>
        </is>
      </c>
      <c r="B103" t="inlineStr">
        <is>
          <t>Sea Island, GA</t>
        </is>
      </c>
    </row>
    <row r="105" ht="15" customHeight="1" s="2">
      <c r="A105" t="inlineStr">
        <is>
          <t>Sum of Points earned</t>
        </is>
      </c>
      <c r="B105" t="inlineStr">
        <is>
          <t>Sum of W</t>
        </is>
      </c>
      <c r="C105" t="inlineStr">
        <is>
          <t>Sum of L</t>
        </is>
      </c>
      <c r="D105" t="inlineStr">
        <is>
          <t>Sum of T</t>
        </is>
      </c>
      <c r="E105" t="inlineStr">
        <is>
          <t>Win %</t>
        </is>
      </c>
    </row>
    <row r="106" ht="15" customHeight="1" s="2">
      <c r="A106" t="n">
        <v>40</v>
      </c>
      <c r="B106" t="n">
        <v>26</v>
      </c>
      <c r="C106" t="n">
        <v>26</v>
      </c>
      <c r="D106" t="n">
        <v>8</v>
      </c>
      <c r="E106" t="n">
        <v>0.5</v>
      </c>
    </row>
    <row r="108" ht="15" customHeight="1" s="2">
      <c r="A108" t="inlineStr">
        <is>
          <t>Geographic Location</t>
        </is>
      </c>
      <c r="B108" t="inlineStr">
        <is>
          <t>Sea Island, GA</t>
        </is>
      </c>
    </row>
    <row r="110" ht="15" customHeight="1" s="2">
      <c r="A110" t="inlineStr">
        <is>
          <t>Sum of Points earned</t>
        </is>
      </c>
      <c r="B110" t="inlineStr">
        <is>
          <t>Sum of W</t>
        </is>
      </c>
      <c r="C110" t="inlineStr">
        <is>
          <t>Sum of L</t>
        </is>
      </c>
      <c r="D110" t="inlineStr">
        <is>
          <t>Sum of T</t>
        </is>
      </c>
      <c r="E110" t="inlineStr">
        <is>
          <t>Win %</t>
        </is>
      </c>
    </row>
    <row r="111" ht="15" customHeight="1" s="2">
      <c r="A111" t="n">
        <v>40</v>
      </c>
      <c r="B111" t="n">
        <v>26</v>
      </c>
      <c r="C111" t="n">
        <v>26</v>
      </c>
      <c r="D111" t="n">
        <v>8</v>
      </c>
      <c r="E111" t="n">
        <v>0.5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I107"/>
  <sheetViews>
    <sheetView zoomScaleNormal="100" workbookViewId="0">
      <selection activeCell="A1" sqref="A1"/>
    </sheetView>
  </sheetViews>
  <sheetFormatPr baseColWidth="10" defaultColWidth="8.83203125" defaultRowHeight="15"/>
  <sheetData>
    <row r="1" ht="15" customHeight="1" s="2">
      <c r="A1" s="26" t="n"/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  <c r="AA1" s="26" t="n"/>
      <c r="AB1" s="26" t="n"/>
      <c r="AC1" s="26" t="n"/>
      <c r="AD1" s="26" t="n"/>
      <c r="AE1" s="26" t="n"/>
      <c r="AF1" s="26" t="n"/>
      <c r="AG1" s="26" t="n"/>
      <c r="AH1" s="26" t="n"/>
      <c r="AI1" s="26" t="n"/>
    </row>
    <row r="3" ht="15" customHeight="1" s="2">
      <c r="C3" t="inlineStr">
        <is>
          <t>FBC III</t>
        </is>
      </c>
      <c r="X3" t="inlineStr">
        <is>
          <t>Day 1 Mulligans</t>
        </is>
      </c>
      <c r="Y3" t="inlineStr">
        <is>
          <t>Day 2 Mulligans</t>
        </is>
      </c>
      <c r="Z3" t="inlineStr">
        <is>
          <t>Total Mulligans</t>
        </is>
      </c>
      <c r="AA3" t="inlineStr">
        <is>
          <t>CBC</t>
        </is>
      </c>
      <c r="AF3" t="inlineStr">
        <is>
          <t>CBC</t>
        </is>
      </c>
      <c r="AH3" t="inlineStr">
        <is>
          <t>Lifetime Mulligans</t>
        </is>
      </c>
    </row>
    <row r="4" ht="15" customHeight="1" s="2">
      <c r="C4" t="inlineStr">
        <is>
          <t>Players</t>
        </is>
      </c>
      <c r="D4" t="inlineStr">
        <is>
          <t>Sat Mulligan Amt</t>
        </is>
      </c>
      <c r="E4" t="inlineStr">
        <is>
          <t>Sun Mulligan Amt</t>
        </is>
      </c>
      <c r="F4" t="inlineStr">
        <is>
          <t>Loser Contribution</t>
        </is>
      </c>
      <c r="G4" t="inlineStr">
        <is>
          <t xml:space="preserve">CBC </t>
        </is>
      </c>
      <c r="H4" t="inlineStr">
        <is>
          <t>FBC Donation</t>
        </is>
      </c>
      <c r="I4" t="inlineStr">
        <is>
          <t>Deferred Credits</t>
        </is>
      </c>
      <c r="J4" t="inlineStr">
        <is>
          <t>Total Balance</t>
        </is>
      </c>
      <c r="W4" t="inlineStr">
        <is>
          <t>Benji</t>
        </is>
      </c>
      <c r="X4" t="n">
        <v>655</v>
      </c>
      <c r="Y4" t="n">
        <v>335</v>
      </c>
      <c r="Z4" t="n">
        <v>990</v>
      </c>
      <c r="AA4" t="n">
        <v>94</v>
      </c>
      <c r="AE4" t="inlineStr">
        <is>
          <t>Vinny</t>
        </is>
      </c>
      <c r="AF4" t="n">
        <v>329.15</v>
      </c>
      <c r="AH4" t="inlineStr">
        <is>
          <t>Fogan</t>
        </is>
      </c>
      <c r="AI4" t="n">
        <v>1340</v>
      </c>
    </row>
    <row r="5" ht="15" customHeight="1" s="2">
      <c r="C5" t="inlineStr">
        <is>
          <t>Benji</t>
        </is>
      </c>
      <c r="D5" t="n">
        <v>110</v>
      </c>
      <c r="E5" t="n">
        <v>20</v>
      </c>
      <c r="F5" t="n">
        <v>0</v>
      </c>
      <c r="G5" t="n">
        <v>-100</v>
      </c>
      <c r="H5" t="n">
        <v>0</v>
      </c>
      <c r="I5" t="n">
        <v>0</v>
      </c>
      <c r="J5" t="n">
        <v>30</v>
      </c>
      <c r="W5" t="inlineStr">
        <is>
          <t>Buss</t>
        </is>
      </c>
      <c r="X5" t="n">
        <v>85</v>
      </c>
      <c r="Y5" t="n">
        <v>175</v>
      </c>
      <c r="Z5" t="n">
        <v>260</v>
      </c>
      <c r="AA5" t="n">
        <v>192</v>
      </c>
      <c r="AE5" t="inlineStr">
        <is>
          <t>Jackson</t>
        </is>
      </c>
      <c r="AF5" t="n">
        <v>325</v>
      </c>
      <c r="AH5" t="inlineStr">
        <is>
          <t>Jackson</t>
        </is>
      </c>
      <c r="AI5" t="n">
        <v>1055</v>
      </c>
    </row>
    <row r="6" ht="15" customHeight="1" s="2">
      <c r="C6" t="inlineStr">
        <is>
          <t>Buss</t>
        </is>
      </c>
      <c r="D6" t="n">
        <v>0</v>
      </c>
      <c r="E6" t="n">
        <v>50</v>
      </c>
      <c r="F6" t="n">
        <v>150</v>
      </c>
      <c r="G6" t="n">
        <v>0</v>
      </c>
      <c r="H6" t="n">
        <v>0</v>
      </c>
      <c r="I6" t="n">
        <v>0</v>
      </c>
      <c r="J6" t="n">
        <v>200</v>
      </c>
      <c r="W6" t="inlineStr">
        <is>
          <t>Connolly</t>
        </is>
      </c>
      <c r="X6" t="n">
        <v>180</v>
      </c>
      <c r="Y6" t="n">
        <v>75</v>
      </c>
      <c r="Z6" t="n">
        <v>255</v>
      </c>
      <c r="AA6" t="n">
        <v>-258.74</v>
      </c>
      <c r="AE6" t="inlineStr">
        <is>
          <t>Grise</t>
        </is>
      </c>
      <c r="AF6" t="n">
        <v>302</v>
      </c>
      <c r="AH6" t="inlineStr">
        <is>
          <t>Lynch</t>
        </is>
      </c>
      <c r="AI6" t="n">
        <v>1035</v>
      </c>
    </row>
    <row r="7" ht="15" customHeight="1" s="2">
      <c r="C7" t="inlineStr">
        <is>
          <t>Connolly</t>
        </is>
      </c>
      <c r="D7" t="n">
        <v>10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10</v>
      </c>
      <c r="W7" t="inlineStr">
        <is>
          <t>CB</t>
        </is>
      </c>
      <c r="X7" t="n">
        <v>10</v>
      </c>
      <c r="Y7" t="n">
        <v>0</v>
      </c>
      <c r="Z7" t="n">
        <v>10</v>
      </c>
      <c r="AA7" t="n">
        <v>0</v>
      </c>
      <c r="AE7" t="inlineStr">
        <is>
          <t>Buss</t>
        </is>
      </c>
      <c r="AF7" t="n">
        <v>192</v>
      </c>
      <c r="AH7" t="inlineStr">
        <is>
          <t>Benji</t>
        </is>
      </c>
      <c r="AI7" t="n">
        <v>990</v>
      </c>
    </row>
    <row r="8" ht="15" customHeight="1" s="2">
      <c r="C8" t="inlineStr">
        <is>
          <t>CB</t>
        </is>
      </c>
      <c r="D8" t="n">
        <v>10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10</v>
      </c>
      <c r="W8" t="inlineStr">
        <is>
          <t>DB</t>
        </is>
      </c>
      <c r="X8" t="n">
        <v>260</v>
      </c>
      <c r="Y8" t="n">
        <v>200</v>
      </c>
      <c r="Z8" t="n">
        <v>460</v>
      </c>
      <c r="AA8" t="n">
        <v>-147.92</v>
      </c>
      <c r="AE8" t="inlineStr">
        <is>
          <t>Mangold</t>
        </is>
      </c>
      <c r="AF8" t="n">
        <v>180.24</v>
      </c>
      <c r="AH8" t="inlineStr">
        <is>
          <t>Vinny</t>
        </is>
      </c>
      <c r="AI8" t="n">
        <v>950</v>
      </c>
    </row>
    <row r="9" ht="15" customHeight="1" s="2">
      <c r="C9" t="inlineStr">
        <is>
          <t>DB</t>
        </is>
      </c>
      <c r="D9" t="n">
        <v>0</v>
      </c>
      <c r="E9" t="n">
        <v>20</v>
      </c>
      <c r="F9" t="n">
        <v>150</v>
      </c>
      <c r="G9" t="n">
        <v>0</v>
      </c>
      <c r="H9" t="n">
        <v>0</v>
      </c>
      <c r="I9" t="n">
        <v>0</v>
      </c>
      <c r="J9" t="n">
        <v>170</v>
      </c>
      <c r="W9" t="inlineStr">
        <is>
          <t>Flanders</t>
        </is>
      </c>
      <c r="X9" t="n">
        <v>375</v>
      </c>
      <c r="Y9" t="n">
        <v>220</v>
      </c>
      <c r="Z9" t="n">
        <v>595</v>
      </c>
      <c r="AA9" t="n">
        <v>-195</v>
      </c>
      <c r="AE9" t="inlineStr">
        <is>
          <t>Forster</t>
        </is>
      </c>
      <c r="AF9" t="n">
        <v>154.24</v>
      </c>
      <c r="AH9" t="inlineStr">
        <is>
          <t>Hilts</t>
        </is>
      </c>
      <c r="AI9" t="n">
        <v>835</v>
      </c>
    </row>
    <row r="10" ht="15" customHeight="1" s="2">
      <c r="C10" t="inlineStr">
        <is>
          <t>Flanders</t>
        </is>
      </c>
      <c r="D10" t="n">
        <v>50</v>
      </c>
      <c r="E10" t="n">
        <v>30</v>
      </c>
      <c r="F10" t="n">
        <v>150</v>
      </c>
      <c r="G10" t="n">
        <v>0</v>
      </c>
      <c r="H10" t="n">
        <v>0</v>
      </c>
      <c r="I10" t="n">
        <v>0</v>
      </c>
      <c r="J10" t="n">
        <v>230</v>
      </c>
      <c r="W10" t="inlineStr">
        <is>
          <t>Forster</t>
        </is>
      </c>
      <c r="X10" t="n">
        <v>275</v>
      </c>
      <c r="Y10" t="n">
        <v>400</v>
      </c>
      <c r="Z10" t="n">
        <v>675</v>
      </c>
      <c r="AA10" t="n">
        <v>154.24</v>
      </c>
      <c r="AE10" t="inlineStr">
        <is>
          <t>Hilts</t>
        </is>
      </c>
      <c r="AF10" t="n">
        <v>108.93</v>
      </c>
      <c r="AH10" t="inlineStr">
        <is>
          <t>Tanners</t>
        </is>
      </c>
      <c r="AI10" t="n">
        <v>725</v>
      </c>
    </row>
    <row r="11" ht="15" customHeight="1" s="2">
      <c r="C11" t="inlineStr">
        <is>
          <t>Forster</t>
        </is>
      </c>
      <c r="D11" t="n">
        <v>30</v>
      </c>
      <c r="E11" t="n">
        <v>75</v>
      </c>
      <c r="F11" t="n">
        <v>150</v>
      </c>
      <c r="G11" t="n">
        <v>0</v>
      </c>
      <c r="H11" t="n">
        <v>0</v>
      </c>
      <c r="I11" t="n">
        <v>0</v>
      </c>
      <c r="J11" t="n">
        <v>255</v>
      </c>
      <c r="W11" t="inlineStr">
        <is>
          <t>Grise</t>
        </is>
      </c>
      <c r="X11" t="n">
        <v>345</v>
      </c>
      <c r="Y11" t="n">
        <v>105</v>
      </c>
      <c r="Z11" t="n">
        <v>450</v>
      </c>
      <c r="AA11" t="n">
        <v>302</v>
      </c>
      <c r="AE11" t="inlineStr">
        <is>
          <t>Benji</t>
        </is>
      </c>
      <c r="AF11" t="n">
        <v>94</v>
      </c>
      <c r="AH11" t="inlineStr">
        <is>
          <t>Forster</t>
        </is>
      </c>
      <c r="AI11" t="n">
        <v>675</v>
      </c>
    </row>
    <row r="12" ht="15" customHeight="1" s="2">
      <c r="C12" t="inlineStr">
        <is>
          <t>Grise</t>
        </is>
      </c>
      <c r="D12" t="n">
        <v>50</v>
      </c>
      <c r="E12" t="n">
        <v>30</v>
      </c>
      <c r="F12" t="n">
        <v>150</v>
      </c>
      <c r="G12" t="n">
        <v>130</v>
      </c>
      <c r="H12" t="n">
        <v>0</v>
      </c>
      <c r="I12" t="n">
        <v>0</v>
      </c>
      <c r="J12" t="n">
        <v>360</v>
      </c>
      <c r="W12" t="inlineStr">
        <is>
          <t>Hickerson</t>
        </is>
      </c>
      <c r="X12" t="n">
        <v>10</v>
      </c>
      <c r="Y12" t="n">
        <v>0</v>
      </c>
      <c r="Z12" t="n">
        <v>10</v>
      </c>
      <c r="AA12" t="n">
        <v>0</v>
      </c>
      <c r="AE12" t="inlineStr">
        <is>
          <t>Welker</t>
        </is>
      </c>
      <c r="AF12" t="n">
        <v>66.67</v>
      </c>
      <c r="AH12" t="inlineStr">
        <is>
          <t>Mangold</t>
        </is>
      </c>
      <c r="AI12" t="n">
        <v>645</v>
      </c>
    </row>
    <row r="13" ht="15" customHeight="1" s="2">
      <c r="C13" t="inlineStr">
        <is>
          <t>Hickerson</t>
        </is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W13" t="inlineStr">
        <is>
          <t>Hilts</t>
        </is>
      </c>
      <c r="X13" t="n">
        <v>320</v>
      </c>
      <c r="Y13" t="n">
        <v>515</v>
      </c>
      <c r="Z13" t="n">
        <v>835</v>
      </c>
      <c r="AA13" t="n">
        <v>108.93</v>
      </c>
      <c r="AE13" t="inlineStr">
        <is>
          <t>CB</t>
        </is>
      </c>
      <c r="AF13" t="n">
        <v>0</v>
      </c>
      <c r="AH13" t="inlineStr">
        <is>
          <t>Flanders</t>
        </is>
      </c>
      <c r="AI13" t="n">
        <v>595</v>
      </c>
    </row>
    <row r="14" ht="15" customHeight="1" s="2">
      <c r="C14" t="inlineStr">
        <is>
          <t>Hilts</t>
        </is>
      </c>
      <c r="D14" t="n">
        <v>100</v>
      </c>
      <c r="E14" t="n">
        <v>0</v>
      </c>
      <c r="F14" t="n">
        <v>0</v>
      </c>
      <c r="G14" t="n">
        <v>-50</v>
      </c>
      <c r="H14" t="n">
        <v>0</v>
      </c>
      <c r="I14" t="n">
        <v>0</v>
      </c>
      <c r="J14" t="n">
        <v>50</v>
      </c>
      <c r="W14" t="inlineStr">
        <is>
          <t>Jackson</t>
        </is>
      </c>
      <c r="X14" t="n">
        <v>515</v>
      </c>
      <c r="Y14" t="n">
        <v>540</v>
      </c>
      <c r="Z14" t="n">
        <v>1055</v>
      </c>
      <c r="AA14" t="n">
        <v>325</v>
      </c>
      <c r="AE14" t="inlineStr">
        <is>
          <t>Hickerson</t>
        </is>
      </c>
      <c r="AF14" t="n">
        <v>0</v>
      </c>
      <c r="AH14" t="inlineStr">
        <is>
          <t>Welker</t>
        </is>
      </c>
      <c r="AI14" t="n">
        <v>570</v>
      </c>
    </row>
    <row r="15" ht="15" customHeight="1" s="2">
      <c r="C15" t="inlineStr">
        <is>
          <t>Jackson</t>
        </is>
      </c>
      <c r="D15" t="n">
        <v>85</v>
      </c>
      <c r="E15" t="n">
        <v>0</v>
      </c>
      <c r="F15" t="n">
        <v>150</v>
      </c>
      <c r="G15" t="n">
        <v>100</v>
      </c>
      <c r="H15" t="n">
        <v>0</v>
      </c>
      <c r="I15" t="n">
        <v>0</v>
      </c>
      <c r="J15" t="n">
        <v>335</v>
      </c>
      <c r="W15" t="inlineStr">
        <is>
          <t>Joel</t>
        </is>
      </c>
      <c r="X15" t="n">
        <v>60</v>
      </c>
      <c r="Y15" t="n">
        <v>60</v>
      </c>
      <c r="Z15" t="n">
        <v>120</v>
      </c>
      <c r="AA15" t="n">
        <v>0</v>
      </c>
      <c r="AE15" t="inlineStr">
        <is>
          <t>Joel</t>
        </is>
      </c>
      <c r="AF15" t="n">
        <v>0</v>
      </c>
      <c r="AH15" t="inlineStr">
        <is>
          <t>DB</t>
        </is>
      </c>
      <c r="AI15" t="n">
        <v>460</v>
      </c>
    </row>
    <row r="16" ht="15" customHeight="1" s="2">
      <c r="C16" t="inlineStr">
        <is>
          <t>Joel</t>
        </is>
      </c>
      <c r="D16" t="n">
        <v>50</v>
      </c>
      <c r="E16" t="n">
        <v>20</v>
      </c>
      <c r="F16" t="n">
        <v>0</v>
      </c>
      <c r="G16" t="n">
        <v>0</v>
      </c>
      <c r="H16" t="n">
        <v>0</v>
      </c>
      <c r="I16" t="n">
        <v>0</v>
      </c>
      <c r="J16" t="n">
        <v>70</v>
      </c>
      <c r="W16" t="inlineStr">
        <is>
          <t>Lynch</t>
        </is>
      </c>
      <c r="X16" t="n">
        <v>505</v>
      </c>
      <c r="Y16" t="n">
        <v>530</v>
      </c>
      <c r="Z16" t="n">
        <v>1035</v>
      </c>
      <c r="AA16" t="n">
        <v>-31.25</v>
      </c>
      <c r="AE16" t="inlineStr">
        <is>
          <t>Q</t>
        </is>
      </c>
      <c r="AF16" t="n">
        <v>0</v>
      </c>
      <c r="AH16" t="inlineStr">
        <is>
          <t>Grise</t>
        </is>
      </c>
      <c r="AI16" t="n">
        <v>450</v>
      </c>
    </row>
    <row r="17" ht="15" customHeight="1" s="2">
      <c r="C17" t="inlineStr">
        <is>
          <t>Lynch</t>
        </is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W17" t="inlineStr">
        <is>
          <t>Mangold</t>
        </is>
      </c>
      <c r="X17" t="n">
        <v>320</v>
      </c>
      <c r="Y17" t="n">
        <v>325</v>
      </c>
      <c r="Z17" t="n">
        <v>645</v>
      </c>
      <c r="AA17" t="n">
        <v>180.24</v>
      </c>
      <c r="AE17" t="inlineStr">
        <is>
          <t>Shively</t>
        </is>
      </c>
      <c r="AF17" t="n">
        <v>0</v>
      </c>
      <c r="AH17" t="inlineStr">
        <is>
          <t>Straps</t>
        </is>
      </c>
      <c r="AI17" t="n">
        <v>425</v>
      </c>
    </row>
    <row r="18" ht="15" customHeight="1" s="2">
      <c r="C18" t="inlineStr">
        <is>
          <t>Mangold</t>
        </is>
      </c>
      <c r="D18" t="n">
        <v>0</v>
      </c>
      <c r="E18" t="n">
        <v>0</v>
      </c>
      <c r="F18" t="n">
        <v>150</v>
      </c>
      <c r="G18" t="n">
        <v>0</v>
      </c>
      <c r="H18" t="n">
        <v>0</v>
      </c>
      <c r="I18" t="n">
        <v>0</v>
      </c>
      <c r="J18" t="n">
        <v>150</v>
      </c>
      <c r="W18" t="inlineStr">
        <is>
          <t>McInerney</t>
        </is>
      </c>
      <c r="X18" t="n">
        <v>10</v>
      </c>
      <c r="Y18" t="n">
        <v>190</v>
      </c>
      <c r="Z18" t="n">
        <v>200</v>
      </c>
      <c r="AA18" t="n">
        <v>-25</v>
      </c>
      <c r="AE18" t="inlineStr">
        <is>
          <t>Tanners</t>
        </is>
      </c>
      <c r="AF18" t="n">
        <v>-5</v>
      </c>
      <c r="AH18" t="inlineStr">
        <is>
          <t>Buss</t>
        </is>
      </c>
      <c r="AI18" t="n">
        <v>260</v>
      </c>
    </row>
    <row r="19" ht="15" customHeight="1" s="2">
      <c r="C19" t="inlineStr">
        <is>
          <t>McInerney</t>
        </is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W19" t="inlineStr">
        <is>
          <t>Norat</t>
        </is>
      </c>
      <c r="X19" t="n">
        <v>95</v>
      </c>
      <c r="Y19" t="n">
        <v>0</v>
      </c>
      <c r="Z19" t="n">
        <v>95</v>
      </c>
      <c r="AA19" t="n">
        <v>-91</v>
      </c>
      <c r="AE19" t="inlineStr">
        <is>
          <t>McInerney</t>
        </is>
      </c>
      <c r="AF19" t="n">
        <v>-25</v>
      </c>
      <c r="AH19" t="inlineStr">
        <is>
          <t>Connolly</t>
        </is>
      </c>
      <c r="AI19" t="n">
        <v>255</v>
      </c>
    </row>
    <row r="20" ht="15" customHeight="1" s="2">
      <c r="C20" t="inlineStr">
        <is>
          <t>Norat</t>
        </is>
      </c>
      <c r="D20" t="n">
        <v>0</v>
      </c>
      <c r="E20" t="n">
        <v>0</v>
      </c>
      <c r="F20" t="n">
        <v>150</v>
      </c>
      <c r="G20" t="n">
        <v>0</v>
      </c>
      <c r="H20" t="n">
        <v>0</v>
      </c>
      <c r="I20" t="n">
        <v>0</v>
      </c>
      <c r="J20" t="n">
        <v>150</v>
      </c>
      <c r="W20" t="inlineStr">
        <is>
          <t>Poirier</t>
        </is>
      </c>
      <c r="X20" t="n">
        <v>210</v>
      </c>
      <c r="Y20" t="n">
        <v>0</v>
      </c>
      <c r="Z20" t="n">
        <v>210</v>
      </c>
      <c r="AA20" t="n">
        <v>-739</v>
      </c>
      <c r="AE20" t="inlineStr">
        <is>
          <t>Lynch</t>
        </is>
      </c>
      <c r="AF20" t="n">
        <v>-31.25</v>
      </c>
      <c r="AH20" t="inlineStr">
        <is>
          <t>Poirier</t>
        </is>
      </c>
      <c r="AI20" t="n">
        <v>210</v>
      </c>
    </row>
    <row r="21" ht="15" customHeight="1" s="2">
      <c r="C21" t="inlineStr">
        <is>
          <t>Poirier</t>
        </is>
      </c>
      <c r="D21" t="n">
        <v>0</v>
      </c>
      <c r="E21" t="n">
        <v>0</v>
      </c>
      <c r="F21" t="n">
        <v>0</v>
      </c>
      <c r="G21" t="n">
        <v>215</v>
      </c>
      <c r="H21" t="n">
        <v>0</v>
      </c>
      <c r="I21" t="n">
        <v>0</v>
      </c>
      <c r="J21" t="n">
        <v>215</v>
      </c>
      <c r="W21" t="inlineStr">
        <is>
          <t>Q</t>
        </is>
      </c>
      <c r="X21" t="n">
        <v>35</v>
      </c>
      <c r="Y21" t="n">
        <v>50</v>
      </c>
      <c r="Z21" t="n">
        <v>85</v>
      </c>
      <c r="AA21" t="n">
        <v>0</v>
      </c>
      <c r="AE21" t="inlineStr">
        <is>
          <t>Norat</t>
        </is>
      </c>
      <c r="AF21" t="n">
        <v>-91</v>
      </c>
      <c r="AH21" t="inlineStr">
        <is>
          <t>McInerney</t>
        </is>
      </c>
      <c r="AI21" t="n">
        <v>200</v>
      </c>
    </row>
    <row r="22" ht="15" customHeight="1" s="2">
      <c r="C22" t="inlineStr">
        <is>
          <t>Q</t>
        </is>
      </c>
      <c r="D22" t="n">
        <v>35</v>
      </c>
      <c r="E22" t="n">
        <v>50</v>
      </c>
      <c r="F22" t="n">
        <v>0</v>
      </c>
      <c r="G22" t="n">
        <v>0</v>
      </c>
      <c r="H22" t="n">
        <v>0</v>
      </c>
      <c r="I22" t="n">
        <v>0</v>
      </c>
      <c r="J22" t="n">
        <v>85</v>
      </c>
      <c r="W22" t="inlineStr">
        <is>
          <t>Shively</t>
        </is>
      </c>
      <c r="X22" t="n">
        <v>10</v>
      </c>
      <c r="Y22" t="n">
        <v>155</v>
      </c>
      <c r="Z22" t="n">
        <v>165</v>
      </c>
      <c r="AA22" t="n">
        <v>0</v>
      </c>
      <c r="AE22" t="inlineStr">
        <is>
          <t>DB</t>
        </is>
      </c>
      <c r="AF22" t="n">
        <v>-147.92</v>
      </c>
      <c r="AH22" t="inlineStr">
        <is>
          <t>Shively</t>
        </is>
      </c>
      <c r="AI22" t="n">
        <v>165</v>
      </c>
    </row>
    <row r="23" ht="15" customHeight="1" s="2">
      <c r="C23" t="inlineStr">
        <is>
          <t>Shively</t>
        </is>
      </c>
      <c r="D23" t="n">
        <v>0</v>
      </c>
      <c r="E23" t="n">
        <v>0</v>
      </c>
      <c r="F23" t="n">
        <v>150</v>
      </c>
      <c r="G23" t="n">
        <v>0</v>
      </c>
      <c r="H23" t="n">
        <v>0</v>
      </c>
      <c r="I23" t="n">
        <v>0</v>
      </c>
      <c r="J23" t="n">
        <v>150</v>
      </c>
      <c r="W23" t="inlineStr">
        <is>
          <t>Straps</t>
        </is>
      </c>
      <c r="X23" t="n">
        <v>10</v>
      </c>
      <c r="Y23" t="n">
        <v>415</v>
      </c>
      <c r="Z23" t="n">
        <v>425</v>
      </c>
      <c r="AA23" t="n">
        <v>-261</v>
      </c>
      <c r="AE23" t="inlineStr">
        <is>
          <t>Fogan</t>
        </is>
      </c>
      <c r="AF23" t="n">
        <v>-165.93</v>
      </c>
      <c r="AH23" t="inlineStr">
        <is>
          <t>Joel</t>
        </is>
      </c>
      <c r="AI23" t="n">
        <v>120</v>
      </c>
    </row>
    <row r="24" ht="15" customHeight="1" s="2">
      <c r="C24" t="inlineStr">
        <is>
          <t>Straps</t>
        </is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W24" t="inlineStr">
        <is>
          <t>Tanners</t>
        </is>
      </c>
      <c r="X24" t="n">
        <v>260</v>
      </c>
      <c r="Y24" t="n">
        <v>465</v>
      </c>
      <c r="Z24" t="n">
        <v>725</v>
      </c>
      <c r="AA24" t="n">
        <v>-5</v>
      </c>
      <c r="AE24" t="inlineStr">
        <is>
          <t>Flanders</t>
        </is>
      </c>
      <c r="AF24" t="n">
        <v>-195</v>
      </c>
      <c r="AH24" t="inlineStr">
        <is>
          <t>Norat</t>
        </is>
      </c>
      <c r="AI24" t="n">
        <v>95</v>
      </c>
    </row>
    <row r="25" ht="15" customHeight="1" s="2">
      <c r="C25" t="inlineStr">
        <is>
          <t>Tanners</t>
        </is>
      </c>
      <c r="D25" t="n">
        <v>0</v>
      </c>
      <c r="E25" t="n">
        <v>0</v>
      </c>
      <c r="F25" t="n">
        <v>150</v>
      </c>
      <c r="G25" t="n">
        <v>0</v>
      </c>
      <c r="H25" t="n">
        <v>0</v>
      </c>
      <c r="I25" t="n">
        <v>0</v>
      </c>
      <c r="J25" t="n">
        <v>150</v>
      </c>
      <c r="W25" t="inlineStr">
        <is>
          <t>Vinny</t>
        </is>
      </c>
      <c r="X25" t="n">
        <v>335</v>
      </c>
      <c r="Y25" t="n">
        <v>615</v>
      </c>
      <c r="Z25" t="n">
        <v>950</v>
      </c>
      <c r="AA25" t="n">
        <v>329.15</v>
      </c>
      <c r="AE25" t="inlineStr">
        <is>
          <t>Connolly</t>
        </is>
      </c>
      <c r="AF25" t="n">
        <v>-258.74</v>
      </c>
      <c r="AH25" t="inlineStr">
        <is>
          <t>Q</t>
        </is>
      </c>
      <c r="AI25" t="n">
        <v>85</v>
      </c>
    </row>
    <row r="26" ht="15" customHeight="1" s="2">
      <c r="C26" t="inlineStr">
        <is>
          <t>Vinny</t>
        </is>
      </c>
      <c r="D26" t="n">
        <v>0</v>
      </c>
      <c r="E26" t="n">
        <v>150</v>
      </c>
      <c r="F26" t="n">
        <v>0</v>
      </c>
      <c r="G26" t="n">
        <v>-350</v>
      </c>
      <c r="H26" t="n">
        <v>100</v>
      </c>
      <c r="I26" t="n">
        <v>100</v>
      </c>
      <c r="J26" t="n">
        <v>0</v>
      </c>
      <c r="W26" t="inlineStr">
        <is>
          <t>Fogan</t>
        </is>
      </c>
      <c r="X26" t="n">
        <v>460</v>
      </c>
      <c r="Y26" t="n">
        <v>880</v>
      </c>
      <c r="Z26" t="n">
        <v>1340</v>
      </c>
      <c r="AA26" t="n">
        <v>-165.93</v>
      </c>
      <c r="AE26" t="inlineStr">
        <is>
          <t>Straps</t>
        </is>
      </c>
      <c r="AF26" t="n">
        <v>-261</v>
      </c>
      <c r="AH26" t="inlineStr">
        <is>
          <t>CB</t>
        </is>
      </c>
      <c r="AI26" t="n">
        <v>10</v>
      </c>
    </row>
    <row r="27" ht="15" customHeight="1" s="2">
      <c r="C27" t="inlineStr">
        <is>
          <t>TOTAL</t>
        </is>
      </c>
      <c r="D27" t="n">
        <v>530</v>
      </c>
      <c r="E27" t="n">
        <v>445</v>
      </c>
      <c r="F27" t="n">
        <v>1500</v>
      </c>
      <c r="G27" t="n">
        <v>-55</v>
      </c>
      <c r="H27" t="n">
        <v>100</v>
      </c>
      <c r="I27" t="n">
        <v>100</v>
      </c>
      <c r="J27" t="n">
        <v>2620</v>
      </c>
      <c r="W27" t="inlineStr">
        <is>
          <t>Welker</t>
        </is>
      </c>
      <c r="X27" t="n">
        <v>280</v>
      </c>
      <c r="Y27" t="n">
        <v>290</v>
      </c>
      <c r="Z27" t="n">
        <v>570</v>
      </c>
      <c r="AA27" t="n">
        <v>66.67</v>
      </c>
      <c r="AE27" t="inlineStr">
        <is>
          <t>Poirier</t>
        </is>
      </c>
      <c r="AF27" t="n">
        <v>-739</v>
      </c>
      <c r="AH27" t="inlineStr">
        <is>
          <t>Hickerson</t>
        </is>
      </c>
      <c r="AI27" t="n">
        <v>10</v>
      </c>
    </row>
    <row r="29" ht="15" customHeight="1" s="2">
      <c r="C29" t="inlineStr">
        <is>
          <t>FBC IV</t>
        </is>
      </c>
    </row>
    <row r="30" ht="15" customHeight="1" s="2">
      <c r="C30" t="inlineStr">
        <is>
          <t>Players</t>
        </is>
      </c>
      <c r="D30" t="inlineStr">
        <is>
          <t>Fri Mulligan Amt</t>
        </is>
      </c>
      <c r="E30" t="inlineStr">
        <is>
          <t>Sat Mulligan Amt</t>
        </is>
      </c>
      <c r="F30" t="inlineStr">
        <is>
          <t>FTAS Loser Contribution</t>
        </is>
      </c>
      <c r="G30" t="inlineStr">
        <is>
          <t>FBC Loser Contribution</t>
        </is>
      </c>
      <c r="H30" t="inlineStr">
        <is>
          <t xml:space="preserve">CBC </t>
        </is>
      </c>
      <c r="I30" t="inlineStr">
        <is>
          <t>Holdover Credits</t>
        </is>
      </c>
      <c r="J30" t="inlineStr">
        <is>
          <t>Deferred Credits</t>
        </is>
      </c>
      <c r="K30" t="inlineStr">
        <is>
          <t>PAID</t>
        </is>
      </c>
      <c r="L30" t="inlineStr">
        <is>
          <t>Total FBC Fund Balance (Pay to Brent)</t>
        </is>
      </c>
      <c r="M30" t="inlineStr">
        <is>
          <t>FBC Shirts</t>
        </is>
      </c>
      <c r="N30" t="inlineStr">
        <is>
          <t>Sinclairs</t>
        </is>
      </c>
      <c r="O30" t="inlineStr">
        <is>
          <t>Master Acct Bal (caddies, etc)</t>
        </is>
      </c>
      <c r="P30" t="inlineStr">
        <is>
          <t>Total Due to Joe</t>
        </is>
      </c>
      <c r="Q30" t="inlineStr">
        <is>
          <t>Lunch at Ross</t>
        </is>
      </c>
      <c r="R30" t="inlineStr">
        <is>
          <t>Total due to Mikey</t>
        </is>
      </c>
      <c r="AE30" t="n">
        <v>4.39880952380952</v>
      </c>
    </row>
    <row r="31" ht="15" customHeight="1" s="2">
      <c r="C31" t="inlineStr">
        <is>
          <t>Benji</t>
        </is>
      </c>
      <c r="D31" t="n">
        <v>170</v>
      </c>
      <c r="E31" t="n">
        <v>0</v>
      </c>
      <c r="F31" t="n">
        <v>0</v>
      </c>
      <c r="G31" t="n">
        <v>300</v>
      </c>
      <c r="H31" t="n">
        <v>-40</v>
      </c>
      <c r="I31" t="n">
        <v>0</v>
      </c>
      <c r="J31" t="n">
        <v>0</v>
      </c>
      <c r="K31" t="n">
        <v>0</v>
      </c>
      <c r="L31" t="n">
        <v>430</v>
      </c>
      <c r="N31" t="n">
        <v>144</v>
      </c>
      <c r="O31" t="n">
        <v>76</v>
      </c>
      <c r="P31" t="n">
        <v>220</v>
      </c>
      <c r="Q31" t="n">
        <v>30.6</v>
      </c>
      <c r="R31" t="n">
        <v>30.6</v>
      </c>
    </row>
    <row r="32" ht="15" customHeight="1" s="2">
      <c r="C32" t="inlineStr">
        <is>
          <t>Buss</t>
        </is>
      </c>
      <c r="D32" t="n">
        <v>85</v>
      </c>
      <c r="E32" t="n">
        <v>0</v>
      </c>
      <c r="F32" t="n">
        <v>50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135</v>
      </c>
      <c r="N32" t="n">
        <v>144</v>
      </c>
      <c r="O32" t="n">
        <v>76</v>
      </c>
      <c r="P32" t="n">
        <v>220</v>
      </c>
      <c r="Q32" t="n">
        <v>30.6</v>
      </c>
      <c r="R32" t="n">
        <v>30.6</v>
      </c>
    </row>
    <row r="33" ht="15" customHeight="1" s="2">
      <c r="C33" t="inlineStr">
        <is>
          <t>Connolly</t>
        </is>
      </c>
      <c r="D33" t="n">
        <v>10</v>
      </c>
      <c r="E33" t="n">
        <v>75</v>
      </c>
      <c r="F33" t="n">
        <v>50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135</v>
      </c>
      <c r="N33" t="n">
        <v>288</v>
      </c>
      <c r="O33" t="n">
        <v>76</v>
      </c>
      <c r="P33" t="n">
        <v>364</v>
      </c>
      <c r="Q33" t="n">
        <v>30.6</v>
      </c>
      <c r="R33" t="n">
        <v>30.6</v>
      </c>
    </row>
    <row r="34" ht="15" customHeight="1" s="2">
      <c r="C34" t="inlineStr">
        <is>
          <t>CB</t>
        </is>
      </c>
      <c r="D34" t="n">
        <v>0</v>
      </c>
      <c r="E34" t="n">
        <v>0</v>
      </c>
      <c r="F34" t="n">
        <v>0</v>
      </c>
      <c r="G34" t="n">
        <v>150</v>
      </c>
      <c r="H34" t="n">
        <v>0</v>
      </c>
      <c r="I34" t="n">
        <v>0</v>
      </c>
      <c r="J34" t="n">
        <v>0</v>
      </c>
      <c r="K34" t="n">
        <v>0</v>
      </c>
      <c r="L34" t="n">
        <v>150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</row>
    <row r="35" ht="15" customHeight="1" s="2">
      <c r="C35" t="inlineStr">
        <is>
          <t>DB</t>
        </is>
      </c>
      <c r="D35" t="n">
        <v>10</v>
      </c>
      <c r="E35" t="n">
        <v>0</v>
      </c>
      <c r="F35" t="n">
        <v>0</v>
      </c>
      <c r="G35" t="n">
        <v>150</v>
      </c>
      <c r="H35" t="n">
        <v>0</v>
      </c>
      <c r="I35" t="n">
        <v>0</v>
      </c>
      <c r="J35" t="n">
        <v>0</v>
      </c>
      <c r="K35" t="n">
        <v>0</v>
      </c>
      <c r="L35" t="n">
        <v>160</v>
      </c>
      <c r="N35" t="n">
        <v>144</v>
      </c>
      <c r="O35" t="n">
        <v>76</v>
      </c>
      <c r="P35" t="n">
        <v>220</v>
      </c>
      <c r="Q35" t="n">
        <v>30.6</v>
      </c>
      <c r="R35" t="n">
        <v>30.6</v>
      </c>
    </row>
    <row r="36" ht="15" customHeight="1" s="2">
      <c r="C36" t="inlineStr">
        <is>
          <t>Flanders</t>
        </is>
      </c>
      <c r="D36" t="n">
        <v>130</v>
      </c>
      <c r="E36" t="n">
        <v>40</v>
      </c>
      <c r="F36" t="n">
        <v>0</v>
      </c>
      <c r="G36" t="n">
        <v>300</v>
      </c>
      <c r="H36" t="n">
        <v>0</v>
      </c>
      <c r="I36" t="n">
        <v>0</v>
      </c>
      <c r="J36" t="n">
        <v>0</v>
      </c>
      <c r="K36" t="n">
        <v>0</v>
      </c>
      <c r="L36" t="n">
        <v>470</v>
      </c>
      <c r="N36" t="n">
        <v>144</v>
      </c>
      <c r="O36" t="n">
        <v>76</v>
      </c>
      <c r="P36" t="n">
        <v>220</v>
      </c>
      <c r="Q36" t="n">
        <v>30.6</v>
      </c>
      <c r="R36" t="n">
        <v>30.6</v>
      </c>
    </row>
    <row r="37" ht="15" customHeight="1" s="2">
      <c r="C37" t="inlineStr">
        <is>
          <t>Forster</t>
        </is>
      </c>
      <c r="D37" t="n">
        <v>50</v>
      </c>
      <c r="E37" t="n">
        <v>0</v>
      </c>
      <c r="F37" t="n">
        <v>0</v>
      </c>
      <c r="G37" t="n">
        <v>300</v>
      </c>
      <c r="H37" t="n">
        <v>0</v>
      </c>
      <c r="I37" t="n">
        <v>0</v>
      </c>
      <c r="J37" t="n">
        <v>0</v>
      </c>
      <c r="K37" t="n">
        <v>0</v>
      </c>
      <c r="L37" t="n">
        <v>350</v>
      </c>
      <c r="N37" t="n">
        <v>144</v>
      </c>
      <c r="O37" t="n">
        <v>76</v>
      </c>
      <c r="P37" t="n">
        <v>220</v>
      </c>
      <c r="Q37" t="n">
        <v>30.6</v>
      </c>
      <c r="R37" t="n">
        <v>30.6</v>
      </c>
    </row>
    <row r="38" ht="15" customHeight="1" s="2">
      <c r="C38" t="inlineStr">
        <is>
          <t>Grise</t>
        </is>
      </c>
      <c r="D38" t="n">
        <v>70</v>
      </c>
      <c r="E38" t="n">
        <v>75</v>
      </c>
      <c r="F38" t="n">
        <v>50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195</v>
      </c>
      <c r="N38" t="n">
        <v>144</v>
      </c>
      <c r="O38" t="n">
        <v>76</v>
      </c>
      <c r="P38" t="n">
        <v>220</v>
      </c>
      <c r="Q38" t="n">
        <v>30.6</v>
      </c>
      <c r="R38" t="n">
        <v>30.6</v>
      </c>
    </row>
    <row r="39" ht="15" customHeight="1" s="2">
      <c r="C39" t="inlineStr">
        <is>
          <t>Hickerson</t>
        </is>
      </c>
      <c r="D39" t="n">
        <v>10</v>
      </c>
      <c r="E39" t="n">
        <v>0</v>
      </c>
      <c r="F39" t="n">
        <v>50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60</v>
      </c>
      <c r="N39" t="n">
        <v>144</v>
      </c>
      <c r="O39" t="n">
        <v>76</v>
      </c>
      <c r="P39" t="n">
        <v>220</v>
      </c>
      <c r="Q39" t="n">
        <v>30.6</v>
      </c>
      <c r="R39" t="n">
        <v>30.6</v>
      </c>
    </row>
    <row r="40" ht="15" customHeight="1" s="2">
      <c r="C40" t="inlineStr">
        <is>
          <t>Jackson</t>
        </is>
      </c>
      <c r="D40" t="n">
        <v>70</v>
      </c>
      <c r="E40" t="n">
        <v>75</v>
      </c>
      <c r="F40" t="n">
        <v>0</v>
      </c>
      <c r="G40" t="n">
        <v>300</v>
      </c>
      <c r="H40" t="n">
        <v>0</v>
      </c>
      <c r="I40" t="n">
        <v>0</v>
      </c>
      <c r="J40" t="n">
        <v>0</v>
      </c>
      <c r="K40" t="n">
        <v>0</v>
      </c>
      <c r="L40" t="n">
        <v>445</v>
      </c>
      <c r="N40" t="n">
        <v>144</v>
      </c>
      <c r="O40" t="n">
        <v>76</v>
      </c>
      <c r="P40" t="n">
        <v>220</v>
      </c>
      <c r="Q40" t="n">
        <v>30.6</v>
      </c>
      <c r="R40" t="n">
        <v>30.6</v>
      </c>
    </row>
    <row r="41" ht="15" customHeight="1" s="2">
      <c r="C41" t="inlineStr">
        <is>
          <t>Joel</t>
        </is>
      </c>
      <c r="D41" t="n">
        <v>10</v>
      </c>
      <c r="E41" t="n">
        <v>40</v>
      </c>
      <c r="F41" t="n">
        <v>0</v>
      </c>
      <c r="G41" t="n">
        <v>300</v>
      </c>
      <c r="H41" t="n">
        <v>0</v>
      </c>
      <c r="I41" t="n">
        <v>0</v>
      </c>
      <c r="J41" t="n">
        <v>0</v>
      </c>
      <c r="K41" t="n">
        <v>0</v>
      </c>
      <c r="L41" t="n">
        <v>350</v>
      </c>
      <c r="N41" t="n">
        <v>144</v>
      </c>
      <c r="O41" t="n">
        <v>76</v>
      </c>
      <c r="P41" t="n">
        <v>220</v>
      </c>
      <c r="Q41" t="n">
        <v>30.6</v>
      </c>
      <c r="R41" t="n">
        <v>30.6</v>
      </c>
    </row>
    <row r="42" ht="15" customHeight="1" s="2">
      <c r="C42" t="inlineStr">
        <is>
          <t>Lynch</t>
        </is>
      </c>
      <c r="D42" t="n">
        <v>105</v>
      </c>
      <c r="E42" t="n">
        <v>40</v>
      </c>
      <c r="F42" t="n">
        <v>50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195</v>
      </c>
      <c r="N42" t="n">
        <v>144</v>
      </c>
      <c r="O42" t="n">
        <v>76</v>
      </c>
      <c r="P42" t="n">
        <v>220</v>
      </c>
      <c r="Q42" t="n">
        <v>30.6</v>
      </c>
      <c r="R42" t="n">
        <v>30.6</v>
      </c>
    </row>
    <row r="43" ht="15" customHeight="1" s="2">
      <c r="C43" t="inlineStr">
        <is>
          <t>Mangold</t>
        </is>
      </c>
      <c r="D43" t="n">
        <v>10</v>
      </c>
      <c r="E43" t="n">
        <v>0</v>
      </c>
      <c r="F43" t="n">
        <v>0</v>
      </c>
      <c r="G43" t="n">
        <v>300</v>
      </c>
      <c r="H43" t="n">
        <v>0</v>
      </c>
      <c r="I43" t="n">
        <v>0</v>
      </c>
      <c r="J43" t="n">
        <v>0</v>
      </c>
      <c r="K43" t="n">
        <v>0</v>
      </c>
      <c r="L43" t="n">
        <v>310</v>
      </c>
      <c r="N43" t="n">
        <v>144</v>
      </c>
      <c r="O43" t="n">
        <v>76</v>
      </c>
      <c r="P43" t="n">
        <v>220</v>
      </c>
      <c r="Q43" t="n">
        <v>30.6</v>
      </c>
      <c r="R43" t="n">
        <v>30.6</v>
      </c>
    </row>
    <row r="44" ht="15" customHeight="1" s="2">
      <c r="C44" t="inlineStr">
        <is>
          <t>McInerney</t>
        </is>
      </c>
      <c r="D44" t="n">
        <v>10</v>
      </c>
      <c r="E44" t="n">
        <v>150</v>
      </c>
      <c r="F44" t="n">
        <v>50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210</v>
      </c>
      <c r="N44" t="n">
        <v>144</v>
      </c>
      <c r="O44" t="n">
        <v>76</v>
      </c>
      <c r="P44" t="n">
        <v>220</v>
      </c>
      <c r="Q44" t="n">
        <v>30.6</v>
      </c>
      <c r="R44" t="n">
        <v>30.6</v>
      </c>
    </row>
    <row r="45" ht="15" customHeight="1" s="2">
      <c r="C45" t="inlineStr">
        <is>
          <t>Norat</t>
        </is>
      </c>
      <c r="D45" t="n">
        <v>10</v>
      </c>
      <c r="E45" t="n">
        <v>0</v>
      </c>
      <c r="F45" t="n">
        <v>0</v>
      </c>
      <c r="G45" t="n">
        <v>300</v>
      </c>
      <c r="H45" t="n">
        <v>80</v>
      </c>
      <c r="I45" t="n">
        <v>0</v>
      </c>
      <c r="J45" t="n">
        <v>0</v>
      </c>
      <c r="K45" t="n">
        <v>0</v>
      </c>
      <c r="L45" t="n">
        <v>390</v>
      </c>
      <c r="M45" t="n">
        <v>83</v>
      </c>
      <c r="N45" t="n">
        <v>144</v>
      </c>
      <c r="O45" t="n">
        <v>76</v>
      </c>
      <c r="P45" t="n">
        <v>303</v>
      </c>
      <c r="Q45" t="n">
        <v>30.6</v>
      </c>
      <c r="R45" t="n">
        <v>30.6</v>
      </c>
    </row>
    <row r="46" ht="15" customHeight="1" s="2">
      <c r="C46" t="inlineStr">
        <is>
          <t>Fogan</t>
        </is>
      </c>
      <c r="D46" t="n">
        <v>165</v>
      </c>
      <c r="E46" t="n">
        <v>300</v>
      </c>
      <c r="F46" t="n">
        <v>50</v>
      </c>
      <c r="G46" t="n">
        <v>0</v>
      </c>
      <c r="H46" t="n">
        <v>40</v>
      </c>
      <c r="I46" t="n">
        <v>0</v>
      </c>
      <c r="J46" t="n">
        <v>0</v>
      </c>
      <c r="K46" t="n">
        <v>0</v>
      </c>
      <c r="L46" t="n">
        <v>555</v>
      </c>
      <c r="N46" t="n">
        <v>144</v>
      </c>
      <c r="O46" t="n">
        <v>76</v>
      </c>
      <c r="P46" t="n">
        <v>220</v>
      </c>
      <c r="Q46" t="n">
        <v>30.6</v>
      </c>
      <c r="R46" t="n">
        <v>30.6</v>
      </c>
    </row>
    <row r="47" ht="15" customHeight="1" s="2">
      <c r="C47" t="inlineStr">
        <is>
          <t>Shively</t>
        </is>
      </c>
      <c r="D47" t="n">
        <v>10</v>
      </c>
      <c r="E47" t="n">
        <v>40</v>
      </c>
      <c r="F47" t="n">
        <v>50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100</v>
      </c>
      <c r="N47" t="n">
        <v>144</v>
      </c>
      <c r="O47" t="n">
        <v>76</v>
      </c>
      <c r="P47" t="n">
        <v>220</v>
      </c>
      <c r="Q47" t="n">
        <v>30.6</v>
      </c>
      <c r="R47" t="n">
        <v>30.6</v>
      </c>
    </row>
    <row r="48" ht="15" customHeight="1" s="2">
      <c r="C48" t="inlineStr">
        <is>
          <t>Straps</t>
        </is>
      </c>
      <c r="D48" t="n">
        <v>10</v>
      </c>
      <c r="E48" t="n">
        <v>115</v>
      </c>
      <c r="F48" t="n">
        <v>50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175</v>
      </c>
      <c r="M48" t="n">
        <v>83</v>
      </c>
      <c r="N48" t="n">
        <v>144</v>
      </c>
      <c r="O48" t="n">
        <v>76</v>
      </c>
      <c r="P48" t="n">
        <v>303</v>
      </c>
      <c r="Q48" t="n">
        <v>30.6</v>
      </c>
      <c r="R48" t="n">
        <v>30.6</v>
      </c>
    </row>
    <row r="49" ht="15" customHeight="1" s="2">
      <c r="C49" t="inlineStr">
        <is>
          <t>Tanners</t>
        </is>
      </c>
      <c r="D49" t="n">
        <v>10</v>
      </c>
      <c r="E49" t="n">
        <v>100</v>
      </c>
      <c r="F49" t="n">
        <v>0</v>
      </c>
      <c r="G49" t="n">
        <v>300</v>
      </c>
      <c r="H49" t="n">
        <v>0</v>
      </c>
      <c r="I49" t="n">
        <v>0</v>
      </c>
      <c r="J49" t="n">
        <v>0</v>
      </c>
      <c r="K49" t="n">
        <v>0</v>
      </c>
      <c r="L49" t="n">
        <v>410</v>
      </c>
      <c r="M49" t="n">
        <v>83</v>
      </c>
      <c r="N49" t="n">
        <v>144</v>
      </c>
      <c r="O49" t="n">
        <v>76</v>
      </c>
      <c r="P49" t="n">
        <v>303</v>
      </c>
      <c r="Q49" t="n">
        <v>30.6</v>
      </c>
      <c r="R49" t="n">
        <v>30.6</v>
      </c>
    </row>
    <row r="50" ht="15" customHeight="1" s="2">
      <c r="C50" t="inlineStr">
        <is>
          <t>Vinny</t>
        </is>
      </c>
      <c r="D50" t="n">
        <v>140</v>
      </c>
      <c r="E50" t="n">
        <v>115</v>
      </c>
      <c r="F50" t="n">
        <v>0</v>
      </c>
      <c r="G50" t="n">
        <v>300</v>
      </c>
      <c r="H50" t="n">
        <v>0</v>
      </c>
      <c r="I50" t="n">
        <v>-100</v>
      </c>
      <c r="J50" t="n">
        <v>0</v>
      </c>
      <c r="K50" t="n">
        <v>0</v>
      </c>
      <c r="L50" t="n">
        <v>455</v>
      </c>
      <c r="N50" t="n">
        <v>144</v>
      </c>
      <c r="O50" t="n">
        <v>76</v>
      </c>
      <c r="P50" t="n">
        <v>220</v>
      </c>
      <c r="Q50" t="n">
        <v>30.6</v>
      </c>
      <c r="R50" t="n">
        <v>30.6</v>
      </c>
    </row>
    <row r="51" ht="15" customHeight="1" s="2">
      <c r="C51" t="inlineStr">
        <is>
          <t>Welker</t>
        </is>
      </c>
      <c r="D51" t="n">
        <v>10</v>
      </c>
      <c r="E51" t="n">
        <v>40</v>
      </c>
      <c r="F51" t="n">
        <v>50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100</v>
      </c>
      <c r="N51" t="n">
        <v>144</v>
      </c>
      <c r="O51" t="n">
        <v>76</v>
      </c>
      <c r="P51" t="n">
        <v>220</v>
      </c>
      <c r="Q51" t="n">
        <v>30.6</v>
      </c>
      <c r="R51" t="n">
        <v>30.6</v>
      </c>
    </row>
    <row r="52" ht="15" customHeight="1" s="2">
      <c r="C52" t="inlineStr">
        <is>
          <t>Benji</t>
        </is>
      </c>
      <c r="D52" t="n">
        <v>0</v>
      </c>
      <c r="E52" t="n">
        <v>0</v>
      </c>
      <c r="F52" t="n">
        <v>0</v>
      </c>
      <c r="G52" t="n">
        <v>0</v>
      </c>
      <c r="H52" t="n">
        <v>217</v>
      </c>
      <c r="I52" t="n">
        <v>0</v>
      </c>
      <c r="J52" t="n">
        <v>0</v>
      </c>
      <c r="K52" t="n">
        <v>-217</v>
      </c>
      <c r="L52" t="n">
        <v>217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</row>
    <row r="53" ht="15" customHeight="1" s="2">
      <c r="C53" t="inlineStr">
        <is>
          <t>Hilts</t>
        </is>
      </c>
      <c r="D53" t="n">
        <v>0</v>
      </c>
      <c r="E53" t="n">
        <v>0</v>
      </c>
      <c r="F53" t="n">
        <v>0</v>
      </c>
      <c r="G53" t="n">
        <v>0</v>
      </c>
      <c r="H53" t="n">
        <v>-12.5</v>
      </c>
      <c r="I53" t="n">
        <v>0</v>
      </c>
      <c r="J53" t="n">
        <v>12.5</v>
      </c>
      <c r="K53" t="n">
        <v>0</v>
      </c>
      <c r="L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</row>
    <row r="54" ht="15" customHeight="1" s="2">
      <c r="C54" t="inlineStr">
        <is>
          <t>Poirier</t>
        </is>
      </c>
      <c r="D54" t="n">
        <v>0</v>
      </c>
      <c r="E54" t="n">
        <v>0</v>
      </c>
      <c r="F54" t="n">
        <v>0</v>
      </c>
      <c r="G54" t="n">
        <v>0</v>
      </c>
      <c r="H54" t="n">
        <v>50</v>
      </c>
      <c r="I54" t="n">
        <v>0</v>
      </c>
      <c r="J54" t="n">
        <v>0</v>
      </c>
      <c r="K54" t="n">
        <v>0</v>
      </c>
      <c r="L54" t="n">
        <v>50</v>
      </c>
      <c r="N54" t="n">
        <v>144</v>
      </c>
      <c r="O54" t="n">
        <v>0</v>
      </c>
      <c r="P54" t="n">
        <v>144</v>
      </c>
      <c r="Q54" t="n">
        <v>0</v>
      </c>
      <c r="R54" t="n">
        <v>0</v>
      </c>
    </row>
    <row r="55" ht="15" customHeight="1" s="2">
      <c r="C55" t="inlineStr">
        <is>
          <t>Sobey</t>
        </is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N55" t="n">
        <v>144</v>
      </c>
      <c r="O55" t="n">
        <v>0</v>
      </c>
      <c r="P55" t="n">
        <v>144</v>
      </c>
      <c r="Q55" t="n">
        <v>0</v>
      </c>
      <c r="R55" t="n">
        <v>0</v>
      </c>
    </row>
    <row r="56" ht="15" customHeight="1" s="2">
      <c r="C56" t="inlineStr">
        <is>
          <t>TOTAL</t>
        </is>
      </c>
      <c r="D56" t="n">
        <v>1095</v>
      </c>
      <c r="E56" t="n">
        <v>1205</v>
      </c>
      <c r="F56" t="n">
        <v>500</v>
      </c>
      <c r="G56" t="n">
        <v>3000</v>
      </c>
      <c r="H56" t="n">
        <v>334.5</v>
      </c>
      <c r="I56" t="n">
        <v>-100</v>
      </c>
      <c r="J56" t="n">
        <v>12.5</v>
      </c>
      <c r="K56" t="n">
        <v>-217</v>
      </c>
      <c r="L56" t="n">
        <v>6047</v>
      </c>
      <c r="M56" t="n">
        <v>249</v>
      </c>
      <c r="N56" t="n">
        <v>3312</v>
      </c>
      <c r="O56" t="n">
        <v>1520</v>
      </c>
      <c r="P56" t="n">
        <v>5081</v>
      </c>
      <c r="Q56" t="n">
        <v>612</v>
      </c>
      <c r="R56" t="n">
        <v>612</v>
      </c>
    </row>
    <row r="58" ht="15" customHeight="1" s="2">
      <c r="C58" t="inlineStr">
        <is>
          <t>FBC V</t>
        </is>
      </c>
    </row>
    <row r="59" ht="48" customHeight="1" s="2">
      <c r="C59" t="inlineStr">
        <is>
          <t>Players</t>
        </is>
      </c>
      <c r="D59" t="inlineStr">
        <is>
          <t>Fri Mulligan Amt</t>
        </is>
      </c>
      <c r="E59" t="inlineStr">
        <is>
          <t>Sat Mulligan Amt</t>
        </is>
      </c>
      <c r="F59" t="inlineStr">
        <is>
          <t>Belts</t>
        </is>
      </c>
      <c r="G59" t="inlineStr">
        <is>
          <t>FBC Loser Contribution</t>
        </is>
      </c>
      <c r="H59" t="inlineStr">
        <is>
          <t xml:space="preserve">CBC </t>
        </is>
      </c>
      <c r="I59" t="inlineStr">
        <is>
          <t>CTP Winner</t>
        </is>
      </c>
      <c r="J59" t="inlineStr">
        <is>
          <t>LD Winner</t>
        </is>
      </c>
      <c r="K59" t="inlineStr">
        <is>
          <t xml:space="preserve">Redeemed Credits </t>
        </is>
      </c>
      <c r="L59" t="inlineStr">
        <is>
          <t>Deferred Losses Applied</t>
        </is>
      </c>
      <c r="M59" s="89" t="inlineStr">
        <is>
          <t>Deferred Credits
FBC VI</t>
        </is>
      </c>
      <c r="N59" t="inlineStr">
        <is>
          <t>PAID</t>
        </is>
      </c>
      <c r="O59" t="inlineStr">
        <is>
          <t>Total FBC Fund Balance (Pay to Brent)</t>
        </is>
      </c>
      <c r="P59" t="inlineStr">
        <is>
          <t>Master account (Sat lunch, Links dinner)</t>
        </is>
      </c>
      <c r="Q59" t="inlineStr">
        <is>
          <t>Total Due to Connolly</t>
        </is>
      </c>
      <c r="R59" t="inlineStr">
        <is>
          <t>Saturday Vans</t>
        </is>
      </c>
      <c r="S59" t="inlineStr">
        <is>
          <t>Total due to Q</t>
        </is>
      </c>
    </row>
    <row r="60" ht="15" customHeight="1" s="2">
      <c r="C60" t="inlineStr">
        <is>
          <t>Connolly</t>
        </is>
      </c>
      <c r="D60" t="n">
        <v>160</v>
      </c>
      <c r="E60" t="n">
        <v>0</v>
      </c>
      <c r="F60" t="n">
        <v>0</v>
      </c>
      <c r="G60" t="n">
        <v>0</v>
      </c>
      <c r="H60" t="n">
        <v>100</v>
      </c>
      <c r="I60" t="n">
        <v>0</v>
      </c>
      <c r="J60" t="n">
        <v>-25</v>
      </c>
      <c r="K60" t="n">
        <v>-100</v>
      </c>
      <c r="L60" t="n">
        <v>0</v>
      </c>
      <c r="M60" t="n">
        <v>0</v>
      </c>
      <c r="N60" t="n">
        <v>0</v>
      </c>
      <c r="O60" t="n">
        <v>135</v>
      </c>
      <c r="P60" t="n">
        <v>152</v>
      </c>
      <c r="Q60" t="n">
        <v>152</v>
      </c>
      <c r="R60" t="n">
        <v>45</v>
      </c>
      <c r="S60" t="n">
        <v>45</v>
      </c>
    </row>
    <row r="61" ht="15" customHeight="1" s="2">
      <c r="C61" t="inlineStr">
        <is>
          <t>CB</t>
        </is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</row>
    <row r="62" ht="15" customHeight="1" s="2">
      <c r="C62" t="inlineStr">
        <is>
          <t>DB</t>
        </is>
      </c>
      <c r="D62" t="n">
        <v>75</v>
      </c>
      <c r="E62" t="n">
        <v>140</v>
      </c>
      <c r="F62" t="n">
        <v>0</v>
      </c>
      <c r="G62" t="n">
        <v>300</v>
      </c>
      <c r="H62" t="n">
        <v>186.67</v>
      </c>
      <c r="I62" t="n">
        <v>0</v>
      </c>
      <c r="J62" t="n">
        <v>-25</v>
      </c>
      <c r="K62" t="n">
        <v>0</v>
      </c>
      <c r="L62" t="n">
        <v>0</v>
      </c>
      <c r="M62" t="n">
        <v>0</v>
      </c>
      <c r="N62" t="n">
        <v>0</v>
      </c>
      <c r="O62" t="n">
        <v>676.67</v>
      </c>
      <c r="P62" t="n">
        <v>152</v>
      </c>
      <c r="Q62" t="n">
        <v>152</v>
      </c>
      <c r="R62" t="n">
        <v>45</v>
      </c>
      <c r="S62" t="n">
        <v>45</v>
      </c>
    </row>
    <row r="63" ht="15" customHeight="1" s="2">
      <c r="C63" t="inlineStr">
        <is>
          <t>Delaney</t>
        </is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152</v>
      </c>
      <c r="Q63" t="n">
        <v>152</v>
      </c>
      <c r="R63" t="n">
        <v>45</v>
      </c>
      <c r="S63" t="n">
        <v>45</v>
      </c>
    </row>
    <row r="64" ht="15" customHeight="1" s="2">
      <c r="C64" t="inlineStr">
        <is>
          <t>Flanders</t>
        </is>
      </c>
      <c r="D64" t="n">
        <v>95</v>
      </c>
      <c r="E64" t="n">
        <v>0</v>
      </c>
      <c r="F64" t="n">
        <v>0</v>
      </c>
      <c r="G64" t="n">
        <v>300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395</v>
      </c>
      <c r="P64" t="n">
        <v>152</v>
      </c>
      <c r="Q64" t="n">
        <v>152</v>
      </c>
      <c r="R64" t="n">
        <v>45</v>
      </c>
      <c r="S64" t="n">
        <v>45</v>
      </c>
    </row>
    <row r="65" ht="15" customHeight="1" s="2">
      <c r="C65" t="inlineStr">
        <is>
          <t>Fogan</t>
        </is>
      </c>
      <c r="D65" t="n">
        <v>120</v>
      </c>
      <c r="E65" t="n">
        <v>290</v>
      </c>
      <c r="F65" t="n">
        <v>0</v>
      </c>
      <c r="G65" t="n">
        <v>300</v>
      </c>
      <c r="H65" t="n">
        <v>0</v>
      </c>
      <c r="I65" t="n">
        <v>0</v>
      </c>
      <c r="J65" t="n">
        <v>0</v>
      </c>
      <c r="K65" t="n">
        <v>-160</v>
      </c>
      <c r="L65" t="n">
        <v>0</v>
      </c>
      <c r="M65" t="n">
        <v>0</v>
      </c>
      <c r="N65" t="n">
        <v>0</v>
      </c>
      <c r="O65" t="n">
        <v>550</v>
      </c>
      <c r="P65" t="n">
        <v>152</v>
      </c>
      <c r="Q65" t="n">
        <v>152</v>
      </c>
      <c r="R65" t="n">
        <v>45</v>
      </c>
      <c r="S65" t="n">
        <v>45</v>
      </c>
    </row>
    <row r="66" ht="15" customHeight="1" s="2">
      <c r="C66" t="inlineStr">
        <is>
          <t>Forster</t>
        </is>
      </c>
      <c r="D66" t="n">
        <v>60</v>
      </c>
      <c r="E66" t="n">
        <v>225</v>
      </c>
      <c r="F66" t="n">
        <v>0</v>
      </c>
      <c r="G66" t="n">
        <v>0</v>
      </c>
      <c r="H66" t="n">
        <v>-253.41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31.59</v>
      </c>
      <c r="P66" t="n">
        <v>152</v>
      </c>
      <c r="Q66" t="n">
        <v>152</v>
      </c>
      <c r="R66" t="n">
        <v>45</v>
      </c>
      <c r="S66" t="n">
        <v>45</v>
      </c>
    </row>
    <row r="67" ht="15" customHeight="1" s="2">
      <c r="C67" t="inlineStr">
        <is>
          <t>Benji</t>
        </is>
      </c>
      <c r="D67" t="n">
        <v>200</v>
      </c>
      <c r="E67" t="n">
        <v>40</v>
      </c>
      <c r="F67" t="n">
        <v>0</v>
      </c>
      <c r="G67" t="n">
        <v>300</v>
      </c>
      <c r="H67" t="n">
        <v>129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669</v>
      </c>
      <c r="P67" t="n">
        <v>152</v>
      </c>
      <c r="Q67" t="n">
        <v>152</v>
      </c>
      <c r="R67" t="n">
        <v>45</v>
      </c>
      <c r="S67" t="n">
        <v>45</v>
      </c>
    </row>
    <row r="68" ht="15" customHeight="1" s="2">
      <c r="C68" t="inlineStr">
        <is>
          <t>Grise</t>
        </is>
      </c>
      <c r="D68" t="n">
        <v>225</v>
      </c>
      <c r="E68" t="n">
        <v>0</v>
      </c>
      <c r="F68" t="n">
        <v>100</v>
      </c>
      <c r="G68" t="n">
        <v>0</v>
      </c>
      <c r="H68" t="n">
        <v>-100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225</v>
      </c>
      <c r="P68" t="n">
        <v>152</v>
      </c>
      <c r="Q68" t="n">
        <v>152</v>
      </c>
      <c r="R68" t="n">
        <v>45</v>
      </c>
      <c r="S68" t="n">
        <v>45</v>
      </c>
    </row>
    <row r="69" ht="15" customHeight="1" s="2">
      <c r="C69" t="inlineStr">
        <is>
          <t>Hilts</t>
        </is>
      </c>
      <c r="D69" t="n">
        <v>120</v>
      </c>
      <c r="E69" t="n">
        <v>215</v>
      </c>
      <c r="F69" t="n">
        <v>0</v>
      </c>
      <c r="G69" t="n">
        <v>300</v>
      </c>
      <c r="H69" t="n">
        <v>-71.43000000000001</v>
      </c>
      <c r="I69" t="n">
        <v>0</v>
      </c>
      <c r="J69" t="n">
        <v>0</v>
      </c>
      <c r="K69" t="n">
        <v>-112.5</v>
      </c>
      <c r="L69" t="n">
        <v>0</v>
      </c>
      <c r="M69" t="n">
        <v>0</v>
      </c>
      <c r="N69" t="n">
        <v>0</v>
      </c>
      <c r="O69" t="n">
        <v>451.07</v>
      </c>
      <c r="P69" t="n">
        <v>152</v>
      </c>
      <c r="Q69" t="n">
        <v>152</v>
      </c>
      <c r="R69" t="n">
        <v>45</v>
      </c>
      <c r="S69" t="n">
        <v>45</v>
      </c>
    </row>
    <row r="70" ht="15" customHeight="1" s="2">
      <c r="C70" t="inlineStr">
        <is>
          <t>Jackson</t>
        </is>
      </c>
      <c r="D70" t="n">
        <v>260</v>
      </c>
      <c r="E70" t="n">
        <v>290</v>
      </c>
      <c r="F70" t="n">
        <v>0</v>
      </c>
      <c r="G70" t="n">
        <v>300</v>
      </c>
      <c r="H70" t="n">
        <v>-260</v>
      </c>
      <c r="I70" t="n">
        <v>-25</v>
      </c>
      <c r="J70" t="n">
        <v>0</v>
      </c>
      <c r="K70" t="n">
        <v>-160</v>
      </c>
      <c r="L70" t="n">
        <v>0</v>
      </c>
      <c r="M70" t="n">
        <v>0</v>
      </c>
      <c r="N70" t="n">
        <v>0</v>
      </c>
      <c r="O70" t="n">
        <v>405</v>
      </c>
      <c r="P70" t="n">
        <v>152</v>
      </c>
      <c r="Q70" t="n">
        <v>152</v>
      </c>
      <c r="R70" t="n">
        <v>45</v>
      </c>
      <c r="S70" t="n">
        <v>45</v>
      </c>
    </row>
    <row r="71" ht="15" customHeight="1" s="2">
      <c r="C71" t="inlineStr">
        <is>
          <t>Lynch</t>
        </is>
      </c>
      <c r="D71" t="n">
        <v>100</v>
      </c>
      <c r="E71" t="n">
        <v>290</v>
      </c>
      <c r="F71" t="n">
        <v>0</v>
      </c>
      <c r="G71" t="n">
        <v>0</v>
      </c>
      <c r="H71" t="n">
        <v>-91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299</v>
      </c>
      <c r="P71" t="n">
        <v>152</v>
      </c>
      <c r="Q71" t="n">
        <v>152</v>
      </c>
      <c r="R71" t="n">
        <v>45</v>
      </c>
      <c r="S71" t="n">
        <v>45</v>
      </c>
    </row>
    <row r="72" ht="15" customHeight="1" s="2">
      <c r="C72" t="inlineStr">
        <is>
          <t>Mangold</t>
        </is>
      </c>
      <c r="D72" t="n">
        <v>60</v>
      </c>
      <c r="E72" t="n">
        <v>100</v>
      </c>
      <c r="F72" t="n">
        <v>0</v>
      </c>
      <c r="G72" t="n">
        <v>0</v>
      </c>
      <c r="H72" t="n">
        <v>-25.24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134.76</v>
      </c>
      <c r="P72" t="n">
        <v>152</v>
      </c>
      <c r="Q72" t="n">
        <v>152</v>
      </c>
      <c r="R72" t="n">
        <v>45</v>
      </c>
      <c r="S72" t="n">
        <v>45</v>
      </c>
    </row>
    <row r="73" ht="15" customHeight="1" s="2">
      <c r="C73" t="inlineStr">
        <is>
          <t>McInerney</t>
        </is>
      </c>
      <c r="D73" t="n">
        <v>0</v>
      </c>
      <c r="E73" t="n">
        <v>40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40</v>
      </c>
      <c r="P73" t="n">
        <v>152</v>
      </c>
      <c r="Q73" t="n">
        <v>152</v>
      </c>
      <c r="R73" t="n">
        <v>45</v>
      </c>
      <c r="S73" t="n">
        <v>45</v>
      </c>
    </row>
    <row r="74" ht="15" customHeight="1" s="2">
      <c r="C74" t="inlineStr">
        <is>
          <t>Norat</t>
        </is>
      </c>
      <c r="D74" t="n">
        <v>60</v>
      </c>
      <c r="E74" t="n">
        <v>0</v>
      </c>
      <c r="F74" t="n">
        <v>100</v>
      </c>
      <c r="G74" t="n">
        <v>0</v>
      </c>
      <c r="H74" t="n">
        <v>100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260</v>
      </c>
      <c r="P74" t="n">
        <v>152</v>
      </c>
      <c r="Q74" t="n">
        <v>152</v>
      </c>
      <c r="R74" t="n">
        <v>45</v>
      </c>
      <c r="S74" t="n">
        <v>45</v>
      </c>
    </row>
    <row r="75" ht="15" customHeight="1" s="2">
      <c r="C75" t="inlineStr">
        <is>
          <t>Poirier</t>
        </is>
      </c>
      <c r="D75" t="n">
        <v>60</v>
      </c>
      <c r="E75" t="n">
        <v>0</v>
      </c>
      <c r="F75" t="n">
        <v>0</v>
      </c>
      <c r="G75" t="n">
        <v>300</v>
      </c>
      <c r="H75" t="n">
        <v>29</v>
      </c>
      <c r="I75" t="n">
        <v>-25</v>
      </c>
      <c r="J75" t="n">
        <v>0</v>
      </c>
      <c r="K75" t="n">
        <v>-100</v>
      </c>
      <c r="L75" t="n">
        <v>100</v>
      </c>
      <c r="M75" t="n">
        <v>0</v>
      </c>
      <c r="N75" t="n">
        <v>0</v>
      </c>
      <c r="O75" t="n">
        <v>364</v>
      </c>
      <c r="P75" t="n">
        <v>152</v>
      </c>
      <c r="Q75" t="n">
        <v>152</v>
      </c>
      <c r="R75" t="n">
        <v>45</v>
      </c>
      <c r="S75" t="n">
        <v>45</v>
      </c>
    </row>
    <row r="76" ht="15" customHeight="1" s="2">
      <c r="C76" t="inlineStr">
        <is>
          <t>Shively</t>
        </is>
      </c>
      <c r="D76" t="n">
        <v>0</v>
      </c>
      <c r="E76" t="n">
        <v>115</v>
      </c>
      <c r="F76" t="n">
        <v>0</v>
      </c>
      <c r="G76" t="n">
        <v>0</v>
      </c>
      <c r="I76" t="n">
        <v>-25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90</v>
      </c>
      <c r="P76" t="n">
        <v>152</v>
      </c>
      <c r="Q76" t="n">
        <v>152</v>
      </c>
      <c r="R76" t="n">
        <v>45</v>
      </c>
      <c r="S76" t="n">
        <v>45</v>
      </c>
    </row>
    <row r="77" ht="15" customHeight="1" s="2">
      <c r="C77" t="inlineStr">
        <is>
          <t>Straps</t>
        </is>
      </c>
      <c r="D77" t="n">
        <v>0</v>
      </c>
      <c r="E77" t="n">
        <v>0</v>
      </c>
      <c r="F77" t="n">
        <v>0</v>
      </c>
      <c r="G77" t="n">
        <v>0</v>
      </c>
      <c r="H77" t="n">
        <v>-70</v>
      </c>
      <c r="I77" t="n">
        <v>-25</v>
      </c>
      <c r="J77" t="n">
        <v>0</v>
      </c>
      <c r="K77" t="n">
        <v>0</v>
      </c>
      <c r="L77" t="n">
        <v>0</v>
      </c>
      <c r="M77" t="n">
        <v>95</v>
      </c>
      <c r="N77" t="n">
        <v>0</v>
      </c>
      <c r="O77" t="n">
        <v>0</v>
      </c>
      <c r="P77" t="n">
        <v>152</v>
      </c>
      <c r="Q77" t="n">
        <v>152</v>
      </c>
      <c r="R77" t="n">
        <v>45</v>
      </c>
      <c r="S77" t="n">
        <v>45</v>
      </c>
    </row>
    <row r="78" ht="15" customHeight="1" s="2">
      <c r="C78" t="inlineStr">
        <is>
          <t>Tanners</t>
        </is>
      </c>
      <c r="D78" t="n">
        <v>0</v>
      </c>
      <c r="E78" t="n">
        <v>115</v>
      </c>
      <c r="F78" t="n">
        <v>0</v>
      </c>
      <c r="G78" t="n">
        <v>300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415</v>
      </c>
      <c r="P78" t="n">
        <v>152</v>
      </c>
      <c r="Q78" t="n">
        <v>152</v>
      </c>
      <c r="R78" t="n">
        <v>45</v>
      </c>
      <c r="S78" t="n">
        <v>45</v>
      </c>
    </row>
    <row r="79" ht="15" customHeight="1" s="2">
      <c r="C79" t="inlineStr">
        <is>
          <t>Vinny</t>
        </is>
      </c>
      <c r="D79" t="n">
        <v>120</v>
      </c>
      <c r="E79" t="n">
        <v>150</v>
      </c>
      <c r="F79" t="n">
        <v>0</v>
      </c>
      <c r="G79" t="n">
        <v>300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570</v>
      </c>
      <c r="P79" t="n">
        <v>152</v>
      </c>
      <c r="Q79" t="n">
        <v>152</v>
      </c>
      <c r="R79" t="n">
        <v>45</v>
      </c>
      <c r="S79" t="n">
        <v>45</v>
      </c>
    </row>
    <row r="80" ht="15" customHeight="1" s="2">
      <c r="C80" t="inlineStr">
        <is>
          <t>Welker</t>
        </is>
      </c>
      <c r="D80" t="n">
        <v>135</v>
      </c>
      <c r="E80" t="n">
        <v>100</v>
      </c>
      <c r="F80" t="n">
        <v>0</v>
      </c>
      <c r="G80" t="n">
        <v>300</v>
      </c>
      <c r="H80" t="n">
        <v>-66.67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468.33</v>
      </c>
      <c r="P80" t="n">
        <v>152</v>
      </c>
      <c r="Q80" t="n">
        <v>152</v>
      </c>
      <c r="R80" t="n">
        <v>45</v>
      </c>
      <c r="S80" t="n">
        <v>45</v>
      </c>
    </row>
    <row r="81" ht="15" customHeight="1" s="2">
      <c r="C81" t="inlineStr">
        <is>
          <t>TOTAL</t>
        </is>
      </c>
      <c r="D81" t="n">
        <v>1850</v>
      </c>
      <c r="E81" t="n">
        <v>2110</v>
      </c>
      <c r="F81" t="n">
        <v>200</v>
      </c>
      <c r="G81" t="n">
        <v>3000</v>
      </c>
      <c r="H81" t="n">
        <v>-393.08</v>
      </c>
      <c r="I81" t="n">
        <v>-100</v>
      </c>
      <c r="J81" t="n">
        <v>-50</v>
      </c>
      <c r="K81" t="n">
        <v>-632.5</v>
      </c>
      <c r="L81" t="n">
        <v>100</v>
      </c>
      <c r="M81" t="n">
        <v>95</v>
      </c>
      <c r="N81" t="n">
        <v>0</v>
      </c>
      <c r="O81" t="n">
        <v>6179.42</v>
      </c>
      <c r="P81" t="n">
        <v>3040</v>
      </c>
      <c r="Q81" t="n">
        <v>3040</v>
      </c>
      <c r="R81" t="n">
        <v>900</v>
      </c>
      <c r="S81" t="n">
        <v>900</v>
      </c>
    </row>
    <row r="83" ht="15" customHeight="1" s="2">
      <c r="C83" t="inlineStr">
        <is>
          <t>FBC VI</t>
        </is>
      </c>
    </row>
    <row r="84" ht="48" customHeight="1" s="2">
      <c r="C84" t="inlineStr">
        <is>
          <t>Players</t>
        </is>
      </c>
      <c r="D84" t="inlineStr">
        <is>
          <t>Fri Mulligan Amt</t>
        </is>
      </c>
      <c r="E84" t="inlineStr">
        <is>
          <t>Sat Mulligan Amt</t>
        </is>
      </c>
      <c r="F84" t="inlineStr">
        <is>
          <t>FBC Loser Contribution</t>
        </is>
      </c>
      <c r="G84" t="inlineStr">
        <is>
          <t xml:space="preserve">CBC </t>
        </is>
      </c>
      <c r="H84" t="inlineStr">
        <is>
          <t>CTP Winner</t>
        </is>
      </c>
      <c r="I84" t="inlineStr">
        <is>
          <t>LD Winner</t>
        </is>
      </c>
      <c r="J84" t="inlineStr">
        <is>
          <t xml:space="preserve">Redeemed Credits </t>
        </is>
      </c>
      <c r="K84" s="89" t="inlineStr">
        <is>
          <t>Deferred Credits
FBC VII</t>
        </is>
      </c>
      <c r="L84" t="inlineStr">
        <is>
          <t>PAID</t>
        </is>
      </c>
      <c r="M84" t="inlineStr">
        <is>
          <t>Total FBC Fund Balance (Pay to Brent)</t>
        </is>
      </c>
      <c r="N84" t="inlineStr">
        <is>
          <t>Master account (dinners, Fri lunch)</t>
        </is>
      </c>
      <c r="O84" t="inlineStr">
        <is>
          <t>Total Due to Norat</t>
        </is>
      </c>
    </row>
    <row r="85" ht="15" customHeight="1" s="2">
      <c r="C85" t="inlineStr">
        <is>
          <t>Buss</t>
        </is>
      </c>
      <c r="D85" t="n">
        <v>0</v>
      </c>
      <c r="E85" t="n">
        <v>125</v>
      </c>
      <c r="F85" t="n">
        <v>0</v>
      </c>
      <c r="G85" t="n">
        <v>-192</v>
      </c>
      <c r="H85" t="n">
        <v>0</v>
      </c>
      <c r="I85" t="n">
        <v>0</v>
      </c>
      <c r="J85" t="n">
        <v>0</v>
      </c>
      <c r="K85" t="n">
        <v>67</v>
      </c>
      <c r="L85" t="n">
        <v>0</v>
      </c>
      <c r="M85" t="n">
        <v>0</v>
      </c>
      <c r="N85" t="n">
        <v>233.041904761905</v>
      </c>
      <c r="O85" t="n">
        <v>233.041904761905</v>
      </c>
    </row>
    <row r="86" ht="15" customHeight="1" s="2">
      <c r="C86" t="inlineStr">
        <is>
          <t>Connolly</t>
        </is>
      </c>
      <c r="D86" t="n">
        <v>0</v>
      </c>
      <c r="E86" t="n">
        <v>0</v>
      </c>
      <c r="F86" t="n">
        <v>300</v>
      </c>
      <c r="G86" t="n">
        <v>158.74</v>
      </c>
      <c r="H86" t="n">
        <v>-25</v>
      </c>
      <c r="I86" t="n">
        <v>-25</v>
      </c>
      <c r="J86" t="n">
        <v>-100</v>
      </c>
      <c r="K86" t="n">
        <v>0</v>
      </c>
      <c r="L86" t="n">
        <v>0</v>
      </c>
      <c r="M86" t="n">
        <v>308.74</v>
      </c>
      <c r="N86" t="n">
        <v>233.041904761905</v>
      </c>
      <c r="O86" t="n">
        <v>233.041904761905</v>
      </c>
    </row>
    <row r="87" ht="15" customHeight="1" s="2">
      <c r="C87" t="inlineStr">
        <is>
          <t>CB</t>
        </is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</row>
    <row r="88" ht="15" customHeight="1" s="2">
      <c r="C88" t="inlineStr">
        <is>
          <t>DB</t>
        </is>
      </c>
      <c r="D88" t="n">
        <v>175</v>
      </c>
      <c r="E88" t="n">
        <v>40</v>
      </c>
      <c r="F88" t="n">
        <v>300</v>
      </c>
      <c r="G88" t="n">
        <v>-38.75</v>
      </c>
      <c r="H88" t="n">
        <v>0</v>
      </c>
      <c r="I88" t="n">
        <v>0</v>
      </c>
      <c r="J88" t="n">
        <v>-100</v>
      </c>
      <c r="K88" t="n">
        <v>0</v>
      </c>
      <c r="L88" t="n">
        <v>0</v>
      </c>
      <c r="M88" t="n">
        <v>376.25</v>
      </c>
      <c r="N88" t="n">
        <v>233.041904761905</v>
      </c>
      <c r="O88" t="n">
        <v>233.041904761905</v>
      </c>
    </row>
    <row r="89" ht="15" customHeight="1" s="2">
      <c r="C89" t="inlineStr">
        <is>
          <t>Delneky</t>
        </is>
      </c>
      <c r="D89" t="n">
        <v>0</v>
      </c>
      <c r="E89" t="n">
        <v>0</v>
      </c>
      <c r="F89" t="n">
        <v>0</v>
      </c>
      <c r="G89" t="n">
        <v>17.32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17.32</v>
      </c>
      <c r="N89" t="n">
        <v>233.041904761905</v>
      </c>
      <c r="O89" t="n">
        <v>233.041904761905</v>
      </c>
    </row>
    <row r="90" ht="15" customHeight="1" s="2">
      <c r="C90" t="inlineStr">
        <is>
          <t>Flanders</t>
        </is>
      </c>
      <c r="D90" t="n">
        <v>100</v>
      </c>
      <c r="E90" t="n">
        <v>150</v>
      </c>
      <c r="F90" t="n">
        <v>300</v>
      </c>
      <c r="G90" t="n">
        <v>195</v>
      </c>
      <c r="H90" t="n">
        <v>0</v>
      </c>
      <c r="I90" t="n">
        <v>0</v>
      </c>
      <c r="J90" t="n">
        <v>-100</v>
      </c>
      <c r="K90" t="n">
        <v>0</v>
      </c>
      <c r="L90" t="n">
        <v>0</v>
      </c>
      <c r="M90" t="n">
        <v>645</v>
      </c>
      <c r="N90" t="n">
        <v>233.041904761905</v>
      </c>
      <c r="O90" t="n">
        <v>233.041904761905</v>
      </c>
    </row>
    <row r="91" ht="15" customHeight="1" s="2">
      <c r="C91" t="inlineStr">
        <is>
          <t>Fogan</t>
        </is>
      </c>
      <c r="D91" t="n">
        <v>175</v>
      </c>
      <c r="E91" t="n">
        <v>290</v>
      </c>
      <c r="F91" t="n">
        <v>0</v>
      </c>
      <c r="G91" t="n">
        <v>125.93</v>
      </c>
      <c r="H91" t="n">
        <v>0</v>
      </c>
      <c r="I91" t="n">
        <v>0</v>
      </c>
      <c r="J91" t="n">
        <v>-160</v>
      </c>
      <c r="K91" t="n">
        <v>0</v>
      </c>
      <c r="L91" t="n">
        <v>0</v>
      </c>
      <c r="M91" t="n">
        <v>430.93</v>
      </c>
      <c r="N91" t="n">
        <v>233.041904761905</v>
      </c>
      <c r="O91" t="n">
        <v>233.041904761905</v>
      </c>
    </row>
    <row r="92" ht="15" customHeight="1" s="2">
      <c r="C92" t="inlineStr">
        <is>
          <t>Forster</t>
        </is>
      </c>
      <c r="D92" t="n">
        <v>135</v>
      </c>
      <c r="E92" t="n">
        <v>100</v>
      </c>
      <c r="F92" t="n">
        <v>300</v>
      </c>
      <c r="G92" t="n">
        <v>99.17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634.17</v>
      </c>
      <c r="N92" t="n">
        <v>233.041904761905</v>
      </c>
      <c r="O92" t="n">
        <v>233.041904761905</v>
      </c>
    </row>
    <row r="93" ht="15" customHeight="1" s="2">
      <c r="C93" t="inlineStr">
        <is>
          <t>Benji</t>
        </is>
      </c>
      <c r="D93" t="n">
        <v>175</v>
      </c>
      <c r="E93" t="n">
        <v>275</v>
      </c>
      <c r="F93" t="n">
        <v>0</v>
      </c>
      <c r="G93" t="n">
        <v>-300</v>
      </c>
      <c r="H93" t="n">
        <v>-25</v>
      </c>
      <c r="I93" t="n">
        <v>0</v>
      </c>
      <c r="J93" t="n">
        <v>0</v>
      </c>
      <c r="K93" t="n">
        <v>0</v>
      </c>
      <c r="L93" t="n">
        <v>0</v>
      </c>
      <c r="M93" t="n">
        <v>125</v>
      </c>
      <c r="N93" t="n">
        <v>233.041904761905</v>
      </c>
      <c r="O93" t="n">
        <v>233.041904761905</v>
      </c>
    </row>
    <row r="94" ht="15" customHeight="1" s="2">
      <c r="C94" t="inlineStr">
        <is>
          <t>Grise</t>
        </is>
      </c>
      <c r="D94" t="n">
        <v>0</v>
      </c>
      <c r="E94" t="n">
        <v>0</v>
      </c>
      <c r="F94" t="n">
        <v>0</v>
      </c>
      <c r="G94" t="n">
        <v>-332</v>
      </c>
      <c r="H94" t="n">
        <v>0</v>
      </c>
      <c r="I94" t="n">
        <v>0</v>
      </c>
      <c r="J94" t="n">
        <v>0</v>
      </c>
      <c r="K94" t="n">
        <v>332</v>
      </c>
      <c r="L94" t="n">
        <v>0</v>
      </c>
      <c r="M94" t="n">
        <v>0</v>
      </c>
      <c r="N94" t="n">
        <v>233.041904761905</v>
      </c>
      <c r="O94" t="n">
        <v>233.041904761905</v>
      </c>
    </row>
    <row r="95" ht="15" customHeight="1" s="2">
      <c r="C95" t="inlineStr">
        <is>
          <t>Hilts</t>
        </is>
      </c>
      <c r="D95" t="n">
        <v>100</v>
      </c>
      <c r="E95" t="n">
        <v>300</v>
      </c>
      <c r="F95" t="n">
        <v>0</v>
      </c>
      <c r="G95" t="n">
        <v>25</v>
      </c>
      <c r="H95" t="n">
        <v>0</v>
      </c>
      <c r="I95" t="n">
        <v>0</v>
      </c>
      <c r="J95" t="n">
        <v>-160</v>
      </c>
      <c r="K95" t="n">
        <v>0</v>
      </c>
      <c r="L95" t="n">
        <v>0</v>
      </c>
      <c r="M95" t="n">
        <v>265</v>
      </c>
      <c r="N95" t="n">
        <v>233.041904761905</v>
      </c>
      <c r="O95" t="n">
        <v>233.041904761905</v>
      </c>
    </row>
    <row r="96" ht="15" customHeight="1" s="2">
      <c r="C96" t="inlineStr">
        <is>
          <t>Jackson</t>
        </is>
      </c>
      <c r="D96" t="n">
        <v>100</v>
      </c>
      <c r="E96" t="n">
        <v>175</v>
      </c>
      <c r="F96" t="n">
        <v>0</v>
      </c>
      <c r="G96" t="n">
        <v>-165</v>
      </c>
      <c r="I96" t="n">
        <v>0</v>
      </c>
      <c r="J96" t="n">
        <v>-310</v>
      </c>
      <c r="K96" t="n">
        <v>200</v>
      </c>
      <c r="L96" t="n">
        <v>0</v>
      </c>
      <c r="M96" t="n">
        <v>0</v>
      </c>
      <c r="N96" t="n">
        <v>233.041904761905</v>
      </c>
      <c r="O96" t="n">
        <v>233.041904761905</v>
      </c>
    </row>
    <row r="97" ht="15" customHeight="1" s="2">
      <c r="C97" t="inlineStr">
        <is>
          <t>Lynch</t>
        </is>
      </c>
      <c r="D97" t="n">
        <v>300</v>
      </c>
      <c r="E97" t="n">
        <v>200</v>
      </c>
      <c r="F97" t="n">
        <v>0</v>
      </c>
      <c r="G97" t="n">
        <v>122.25</v>
      </c>
      <c r="H97" t="n">
        <v>-25</v>
      </c>
      <c r="I97" t="n">
        <v>0</v>
      </c>
      <c r="J97" t="n">
        <v>0</v>
      </c>
      <c r="K97" t="n">
        <v>0</v>
      </c>
      <c r="L97" t="n">
        <v>0</v>
      </c>
      <c r="M97" t="n">
        <v>597.25</v>
      </c>
      <c r="N97" t="n">
        <v>233.041904761905</v>
      </c>
      <c r="O97" t="n">
        <v>233.041904761905</v>
      </c>
    </row>
    <row r="98" ht="15" customHeight="1" s="2">
      <c r="C98" t="inlineStr">
        <is>
          <t>Mangold</t>
        </is>
      </c>
      <c r="D98" t="n">
        <v>250</v>
      </c>
      <c r="E98" t="n">
        <v>225</v>
      </c>
      <c r="F98" t="n">
        <v>0</v>
      </c>
      <c r="G98" t="n">
        <v>-155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320</v>
      </c>
      <c r="N98" t="n">
        <v>233.041904761905</v>
      </c>
      <c r="O98" t="n">
        <v>233.041904761905</v>
      </c>
    </row>
    <row r="99" ht="15" customHeight="1" s="2">
      <c r="C99" t="inlineStr">
        <is>
          <t>McInerney</t>
        </is>
      </c>
      <c r="D99" t="n">
        <v>0</v>
      </c>
      <c r="E99" t="n">
        <v>0</v>
      </c>
      <c r="F99" t="n">
        <v>0</v>
      </c>
      <c r="G99" t="n">
        <v>25</v>
      </c>
      <c r="H99" t="n">
        <v>-25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233.041904761905</v>
      </c>
      <c r="O99" t="n">
        <v>233.041904761905</v>
      </c>
    </row>
    <row r="100" ht="15" customHeight="1" s="2">
      <c r="C100" t="inlineStr">
        <is>
          <t>Norat</t>
        </is>
      </c>
      <c r="D100" t="n">
        <v>25</v>
      </c>
      <c r="E100" t="n">
        <v>0</v>
      </c>
      <c r="F100" t="n">
        <v>300</v>
      </c>
      <c r="G100" t="n">
        <v>-89</v>
      </c>
      <c r="H100" t="n">
        <v>0</v>
      </c>
      <c r="I100" t="n">
        <v>0</v>
      </c>
      <c r="J100" t="n">
        <v>-50</v>
      </c>
      <c r="K100" t="n">
        <v>0</v>
      </c>
      <c r="L100" t="n">
        <v>0</v>
      </c>
      <c r="M100" t="n">
        <v>186</v>
      </c>
      <c r="N100" t="n">
        <v>233.041904761905</v>
      </c>
      <c r="O100" t="n">
        <v>233.041904761905</v>
      </c>
    </row>
    <row r="101" ht="15" customHeight="1" s="2">
      <c r="C101" t="inlineStr">
        <is>
          <t>Poirier</t>
        </is>
      </c>
      <c r="D101" t="n">
        <v>150</v>
      </c>
      <c r="E101" t="n">
        <v>0</v>
      </c>
      <c r="F101" t="n">
        <v>300</v>
      </c>
      <c r="G101" t="n">
        <v>445</v>
      </c>
      <c r="H101" t="n">
        <v>0</v>
      </c>
      <c r="I101" t="n">
        <v>0</v>
      </c>
      <c r="J101" t="n">
        <v>-100</v>
      </c>
      <c r="K101" t="n">
        <v>0</v>
      </c>
      <c r="L101" t="n">
        <v>0</v>
      </c>
      <c r="M101" t="n">
        <v>795</v>
      </c>
      <c r="N101" t="n">
        <v>233.041904761905</v>
      </c>
      <c r="O101" t="n">
        <v>233.041904761905</v>
      </c>
    </row>
    <row r="102" ht="15" customHeight="1" s="2">
      <c r="C102" t="inlineStr">
        <is>
          <t>Shively</t>
        </is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233.041904761905</v>
      </c>
      <c r="O102" t="n">
        <v>233.041904761905</v>
      </c>
    </row>
    <row r="103" ht="15" customHeight="1" s="2">
      <c r="C103" t="inlineStr">
        <is>
          <t>Straps</t>
        </is>
      </c>
      <c r="D103" t="n">
        <v>0</v>
      </c>
      <c r="E103" t="n">
        <v>300</v>
      </c>
      <c r="F103" t="n">
        <v>300</v>
      </c>
      <c r="G103" t="n">
        <v>331</v>
      </c>
      <c r="H103" t="n">
        <v>0</v>
      </c>
      <c r="I103" t="n">
        <v>0</v>
      </c>
      <c r="J103" t="n">
        <v>-160</v>
      </c>
      <c r="K103" t="n">
        <v>0</v>
      </c>
      <c r="L103" t="n">
        <v>0</v>
      </c>
      <c r="M103" t="n">
        <v>771</v>
      </c>
      <c r="N103" t="n">
        <v>233.041904761905</v>
      </c>
      <c r="O103" t="n">
        <v>233.041904761905</v>
      </c>
    </row>
    <row r="104" ht="15" customHeight="1" s="2">
      <c r="C104" t="inlineStr">
        <is>
          <t>Tanners</t>
        </is>
      </c>
      <c r="D104" t="n">
        <v>250</v>
      </c>
      <c r="E104" t="n">
        <v>250</v>
      </c>
      <c r="F104" t="n">
        <v>300</v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805</v>
      </c>
      <c r="N104" t="n">
        <v>233.041904761905</v>
      </c>
      <c r="O104" t="n">
        <v>233.041904761905</v>
      </c>
    </row>
    <row r="105" ht="15" customHeight="1" s="2">
      <c r="C105" t="inlineStr">
        <is>
          <t>Vinny</t>
        </is>
      </c>
      <c r="D105" t="n">
        <v>75</v>
      </c>
      <c r="E105" t="n">
        <v>200</v>
      </c>
      <c r="F105" t="n">
        <v>300</v>
      </c>
      <c r="G105" t="n">
        <v>20.85</v>
      </c>
      <c r="H105" t="n">
        <v>0</v>
      </c>
      <c r="I105" t="n">
        <v>0</v>
      </c>
      <c r="J105" t="n">
        <v>-100</v>
      </c>
      <c r="K105" t="n">
        <v>0</v>
      </c>
      <c r="L105" t="n">
        <v>0</v>
      </c>
      <c r="M105" t="n">
        <v>495.85</v>
      </c>
      <c r="N105" t="n">
        <v>233.041904761905</v>
      </c>
      <c r="O105" t="n">
        <v>233.041904761905</v>
      </c>
    </row>
    <row r="106" ht="15" customHeight="1" s="2">
      <c r="C106" t="inlineStr">
        <is>
          <t>Welker</t>
        </is>
      </c>
      <c r="D106" t="n">
        <v>135</v>
      </c>
      <c r="E106" t="n">
        <v>150</v>
      </c>
      <c r="F106" t="n">
        <v>300</v>
      </c>
      <c r="G106" t="n">
        <v>0</v>
      </c>
      <c r="H106" t="n">
        <v>0</v>
      </c>
      <c r="I106" t="n">
        <v>0</v>
      </c>
      <c r="J106" t="n">
        <v>-100</v>
      </c>
      <c r="K106" t="n">
        <v>0</v>
      </c>
      <c r="L106" t="n">
        <v>0</v>
      </c>
      <c r="M106" t="n">
        <v>485</v>
      </c>
      <c r="N106" t="n">
        <v>233.041904761905</v>
      </c>
      <c r="O106" t="n">
        <v>233.041904761905</v>
      </c>
    </row>
    <row r="107" ht="15" customHeight="1" s="2">
      <c r="C107" t="inlineStr">
        <is>
          <t>TOTAL</t>
        </is>
      </c>
      <c r="D107" t="n">
        <v>2145</v>
      </c>
      <c r="E107" t="n">
        <v>2780</v>
      </c>
      <c r="F107" t="n">
        <v>3000</v>
      </c>
      <c r="G107" t="n">
        <v>298.51</v>
      </c>
      <c r="H107" t="n">
        <v>-100</v>
      </c>
      <c r="I107" t="n">
        <v>-25</v>
      </c>
      <c r="J107" t="n">
        <v>-1440</v>
      </c>
      <c r="K107" t="n">
        <v>599</v>
      </c>
      <c r="L107" t="n">
        <v>0</v>
      </c>
      <c r="M107" t="n">
        <v>7257.51</v>
      </c>
      <c r="N107" t="n">
        <v>4893.88</v>
      </c>
      <c r="O107" t="n">
        <v>4893.88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10" defaultColWidth="8.83203125" defaultRowHeight="15"/>
  <cols>
    <col width="13" customWidth="1" style="2" min="2" max="2"/>
    <col width="6" customWidth="1" style="2" min="3" max="3"/>
    <col width="10" customWidth="1" style="2" min="4" max="4"/>
    <col width="5" customWidth="1" style="2" min="5" max="7"/>
    <col width="7" customWidth="1" style="2" min="8" max="8"/>
  </cols>
  <sheetData>
    <row r="1" ht="15" customHeight="1" s="2">
      <c r="B1" s="13" t="inlineStr">
        <is>
          <t>Rookie Performance</t>
        </is>
      </c>
    </row>
    <row r="2" ht="15" customHeight="1" s="2">
      <c r="B2" s="41" t="inlineStr">
        <is>
          <t>Each player’s record in their debut FBC. W/L/T live from Archives; Class is a manual designation.</t>
        </is>
      </c>
    </row>
    <row r="3" ht="15" customHeight="1" s="2"/>
    <row r="4" ht="15" customHeight="1" s="2">
      <c r="B4" s="42" t="inlineStr">
        <is>
          <t>Player</t>
        </is>
      </c>
      <c r="C4" s="42" t="inlineStr">
        <is>
          <t>Class</t>
        </is>
      </c>
      <c r="D4" s="42" t="inlineStr">
        <is>
          <t>Rookie Cup</t>
        </is>
      </c>
      <c r="E4" s="42" t="inlineStr">
        <is>
          <t>W</t>
        </is>
      </c>
      <c r="F4" s="42" t="inlineStr">
        <is>
          <t>L</t>
        </is>
      </c>
      <c r="G4" s="42" t="inlineStr">
        <is>
          <t>T</t>
        </is>
      </c>
      <c r="H4" s="42" t="inlineStr">
        <is>
          <t>Win %</t>
        </is>
      </c>
    </row>
    <row r="5" ht="15" customHeight="1" s="2">
      <c r="B5" s="43" t="inlineStr">
        <is>
          <t>Connolly</t>
        </is>
      </c>
      <c r="C5" s="52" t="n"/>
      <c r="D5" s="52" t="inlineStr">
        <is>
          <t>FBC 1</t>
        </is>
      </c>
      <c r="E5" s="52">
        <f>COUNTIFS(Archives!$D$2:$D$1048576,1,Archives!$AB$2:$AB$1048576,"W",Archives!$V$2:$V$1048576,$B5)+COUNTIFS(Archives!$D$2:$D$1048576,1,Archives!$AB$2:$AB$1048576,"W",Archives!$Y$2:$Y$1048576,$B5)</f>
        <v/>
      </c>
      <c r="F5" s="52">
        <f>COUNTIFS(Archives!$D$2:$D$1048576,1,Archives!$AB$2:$AB$1048576,"L",Archives!$V$2:$V$1048576,$B5)+COUNTIFS(Archives!$D$2:$D$1048576,1,Archives!$AB$2:$AB$1048576,"L",Archives!$Y$2:$Y$1048576,$B5)</f>
        <v/>
      </c>
      <c r="G5" s="52">
        <f>COUNTIFS(Archives!$D$2:$D$1048576,1,Archives!$AB$2:$AB$1048576,"T",Archives!$V$2:$V$1048576,$B5)+COUNTIFS(Archives!$D$2:$D$1048576,1,Archives!$AB$2:$AB$1048576,"T",Archives!$Y$2:$Y$1048576,$B5)</f>
        <v/>
      </c>
      <c r="H5" s="53">
        <f>IF((E5+F5+G5)=0,0,(E5+0.5*G5)/(E5+F5+G5))</f>
        <v/>
      </c>
    </row>
    <row r="6" ht="15" customHeight="1" s="2">
      <c r="B6" s="46" t="inlineStr">
        <is>
          <t>Ferrin</t>
        </is>
      </c>
      <c r="C6" s="55" t="n"/>
      <c r="D6" s="55" t="inlineStr">
        <is>
          <t>FBC 1</t>
        </is>
      </c>
      <c r="E6" s="55">
        <f>COUNTIFS(Archives!$D$2:$D$1048576,1,Archives!$AB$2:$AB$1048576,"W",Archives!$V$2:$V$1048576,$B6)+COUNTIFS(Archives!$D$2:$D$1048576,1,Archives!$AB$2:$AB$1048576,"W",Archives!$Y$2:$Y$1048576,$B6)</f>
        <v/>
      </c>
      <c r="F6" s="55">
        <f>COUNTIFS(Archives!$D$2:$D$1048576,1,Archives!$AB$2:$AB$1048576,"L",Archives!$V$2:$V$1048576,$B6)+COUNTIFS(Archives!$D$2:$D$1048576,1,Archives!$AB$2:$AB$1048576,"L",Archives!$Y$2:$Y$1048576,$B6)</f>
        <v/>
      </c>
      <c r="G6" s="55">
        <f>COUNTIFS(Archives!$D$2:$D$1048576,1,Archives!$AB$2:$AB$1048576,"T",Archives!$V$2:$V$1048576,$B6)+COUNTIFS(Archives!$D$2:$D$1048576,1,Archives!$AB$2:$AB$1048576,"T",Archives!$Y$2:$Y$1048576,$B6)</f>
        <v/>
      </c>
      <c r="H6" s="56">
        <f>IF((E6+F6+G6)=0,0,(E6+0.5*G6)/(E6+F6+G6))</f>
        <v/>
      </c>
    </row>
    <row r="7" ht="15" customHeight="1" s="2">
      <c r="B7" s="43" t="inlineStr">
        <is>
          <t>Flanders</t>
        </is>
      </c>
      <c r="C7" s="52" t="n"/>
      <c r="D7" s="52" t="inlineStr">
        <is>
          <t>FBC 1</t>
        </is>
      </c>
      <c r="E7" s="52">
        <f>COUNTIFS(Archives!$D$2:$D$1048576,1,Archives!$AB$2:$AB$1048576,"W",Archives!$V$2:$V$1048576,$B7)+COUNTIFS(Archives!$D$2:$D$1048576,1,Archives!$AB$2:$AB$1048576,"W",Archives!$Y$2:$Y$1048576,$B7)</f>
        <v/>
      </c>
      <c r="F7" s="52">
        <f>COUNTIFS(Archives!$D$2:$D$1048576,1,Archives!$AB$2:$AB$1048576,"L",Archives!$V$2:$V$1048576,$B7)+COUNTIFS(Archives!$D$2:$D$1048576,1,Archives!$AB$2:$AB$1048576,"L",Archives!$Y$2:$Y$1048576,$B7)</f>
        <v/>
      </c>
      <c r="G7" s="52">
        <f>COUNTIFS(Archives!$D$2:$D$1048576,1,Archives!$AB$2:$AB$1048576,"T",Archives!$V$2:$V$1048576,$B7)+COUNTIFS(Archives!$D$2:$D$1048576,1,Archives!$AB$2:$AB$1048576,"T",Archives!$Y$2:$Y$1048576,$B7)</f>
        <v/>
      </c>
      <c r="H7" s="53">
        <f>IF((E7+F7+G7)=0,0,(E7+0.5*G7)/(E7+F7+G7))</f>
        <v/>
      </c>
    </row>
    <row r="8" ht="15" customHeight="1" s="2">
      <c r="B8" s="46" t="inlineStr">
        <is>
          <t>Grise</t>
        </is>
      </c>
      <c r="C8" s="55" t="n"/>
      <c r="D8" s="55" t="inlineStr">
        <is>
          <t>FBC 1</t>
        </is>
      </c>
      <c r="E8" s="55">
        <f>COUNTIFS(Archives!$D$2:$D$1048576,1,Archives!$AB$2:$AB$1048576,"W",Archives!$V$2:$V$1048576,$B8)+COUNTIFS(Archives!$D$2:$D$1048576,1,Archives!$AB$2:$AB$1048576,"W",Archives!$Y$2:$Y$1048576,$B8)</f>
        <v/>
      </c>
      <c r="F8" s="55">
        <f>COUNTIFS(Archives!$D$2:$D$1048576,1,Archives!$AB$2:$AB$1048576,"L",Archives!$V$2:$V$1048576,$B8)+COUNTIFS(Archives!$D$2:$D$1048576,1,Archives!$AB$2:$AB$1048576,"L",Archives!$Y$2:$Y$1048576,$B8)</f>
        <v/>
      </c>
      <c r="G8" s="55">
        <f>COUNTIFS(Archives!$D$2:$D$1048576,1,Archives!$AB$2:$AB$1048576,"T",Archives!$V$2:$V$1048576,$B8)+COUNTIFS(Archives!$D$2:$D$1048576,1,Archives!$AB$2:$AB$1048576,"T",Archives!$Y$2:$Y$1048576,$B8)</f>
        <v/>
      </c>
      <c r="H8" s="56">
        <f>IF((E8+F8+G8)=0,0,(E8+0.5*G8)/(E8+F8+G8))</f>
        <v/>
      </c>
    </row>
    <row r="9" ht="15" customHeight="1" s="2">
      <c r="B9" s="43" t="inlineStr">
        <is>
          <t>Hickerson</t>
        </is>
      </c>
      <c r="C9" s="52" t="n"/>
      <c r="D9" s="52" t="inlineStr">
        <is>
          <t>FBC 1</t>
        </is>
      </c>
      <c r="E9" s="52">
        <f>COUNTIFS(Archives!$D$2:$D$1048576,1,Archives!$AB$2:$AB$1048576,"W",Archives!$V$2:$V$1048576,$B9)+COUNTIFS(Archives!$D$2:$D$1048576,1,Archives!$AB$2:$AB$1048576,"W",Archives!$Y$2:$Y$1048576,$B9)</f>
        <v/>
      </c>
      <c r="F9" s="52">
        <f>COUNTIFS(Archives!$D$2:$D$1048576,1,Archives!$AB$2:$AB$1048576,"L",Archives!$V$2:$V$1048576,$B9)+COUNTIFS(Archives!$D$2:$D$1048576,1,Archives!$AB$2:$AB$1048576,"L",Archives!$Y$2:$Y$1048576,$B9)</f>
        <v/>
      </c>
      <c r="G9" s="52">
        <f>COUNTIFS(Archives!$D$2:$D$1048576,1,Archives!$AB$2:$AB$1048576,"T",Archives!$V$2:$V$1048576,$B9)+COUNTIFS(Archives!$D$2:$D$1048576,1,Archives!$AB$2:$AB$1048576,"T",Archives!$Y$2:$Y$1048576,$B9)</f>
        <v/>
      </c>
      <c r="H9" s="53">
        <f>IF((E9+F9+G9)=0,0,(E9+0.5*G9)/(E9+F9+G9))</f>
        <v/>
      </c>
    </row>
    <row r="10" ht="15" customHeight="1" s="2">
      <c r="B10" s="46" t="inlineStr">
        <is>
          <t>Hilts</t>
        </is>
      </c>
      <c r="C10" s="55" t="n"/>
      <c r="D10" s="55" t="inlineStr">
        <is>
          <t>FBC 1</t>
        </is>
      </c>
      <c r="E10" s="55">
        <f>COUNTIFS(Archives!$D$2:$D$1048576,1,Archives!$AB$2:$AB$1048576,"W",Archives!$V$2:$V$1048576,$B10)+COUNTIFS(Archives!$D$2:$D$1048576,1,Archives!$AB$2:$AB$1048576,"W",Archives!$Y$2:$Y$1048576,$B10)</f>
        <v/>
      </c>
      <c r="F10" s="55">
        <f>COUNTIFS(Archives!$D$2:$D$1048576,1,Archives!$AB$2:$AB$1048576,"L",Archives!$V$2:$V$1048576,$B10)+COUNTIFS(Archives!$D$2:$D$1048576,1,Archives!$AB$2:$AB$1048576,"L",Archives!$Y$2:$Y$1048576,$B10)</f>
        <v/>
      </c>
      <c r="G10" s="55">
        <f>COUNTIFS(Archives!$D$2:$D$1048576,1,Archives!$AB$2:$AB$1048576,"T",Archives!$V$2:$V$1048576,$B10)+COUNTIFS(Archives!$D$2:$D$1048576,1,Archives!$AB$2:$AB$1048576,"T",Archives!$Y$2:$Y$1048576,$B10)</f>
        <v/>
      </c>
      <c r="H10" s="56">
        <f>IF((E10+F10+G10)=0,0,(E10+0.5*G10)/(E10+F10+G10))</f>
        <v/>
      </c>
    </row>
    <row r="11" ht="15" customHeight="1" s="2">
      <c r="B11" s="43" t="inlineStr">
        <is>
          <t>Jackson</t>
        </is>
      </c>
      <c r="C11" s="52" t="n"/>
      <c r="D11" s="52" t="inlineStr">
        <is>
          <t>FBC 1</t>
        </is>
      </c>
      <c r="E11" s="52">
        <f>COUNTIFS(Archives!$D$2:$D$1048576,1,Archives!$AB$2:$AB$1048576,"W",Archives!$V$2:$V$1048576,$B11)+COUNTIFS(Archives!$D$2:$D$1048576,1,Archives!$AB$2:$AB$1048576,"W",Archives!$Y$2:$Y$1048576,$B11)</f>
        <v/>
      </c>
      <c r="F11" s="52">
        <f>COUNTIFS(Archives!$D$2:$D$1048576,1,Archives!$AB$2:$AB$1048576,"L",Archives!$V$2:$V$1048576,$B11)+COUNTIFS(Archives!$D$2:$D$1048576,1,Archives!$AB$2:$AB$1048576,"L",Archives!$Y$2:$Y$1048576,$B11)</f>
        <v/>
      </c>
      <c r="G11" s="52">
        <f>COUNTIFS(Archives!$D$2:$D$1048576,1,Archives!$AB$2:$AB$1048576,"T",Archives!$V$2:$V$1048576,$B11)+COUNTIFS(Archives!$D$2:$D$1048576,1,Archives!$AB$2:$AB$1048576,"T",Archives!$Y$2:$Y$1048576,$B11)</f>
        <v/>
      </c>
      <c r="H11" s="53">
        <f>IF((E11+F11+G11)=0,0,(E11+0.5*G11)/(E11+F11+G11))</f>
        <v/>
      </c>
    </row>
    <row r="12" ht="15" customHeight="1" s="2">
      <c r="B12" s="46" t="inlineStr">
        <is>
          <t>Lynch</t>
        </is>
      </c>
      <c r="C12" s="55" t="n"/>
      <c r="D12" s="55" t="inlineStr">
        <is>
          <t>FBC 1</t>
        </is>
      </c>
      <c r="E12" s="55">
        <f>COUNTIFS(Archives!$D$2:$D$1048576,1,Archives!$AB$2:$AB$1048576,"W",Archives!$V$2:$V$1048576,$B12)+COUNTIFS(Archives!$D$2:$D$1048576,1,Archives!$AB$2:$AB$1048576,"W",Archives!$Y$2:$Y$1048576,$B12)</f>
        <v/>
      </c>
      <c r="F12" s="55">
        <f>COUNTIFS(Archives!$D$2:$D$1048576,1,Archives!$AB$2:$AB$1048576,"L",Archives!$V$2:$V$1048576,$B12)+COUNTIFS(Archives!$D$2:$D$1048576,1,Archives!$AB$2:$AB$1048576,"L",Archives!$Y$2:$Y$1048576,$B12)</f>
        <v/>
      </c>
      <c r="G12" s="55">
        <f>COUNTIFS(Archives!$D$2:$D$1048576,1,Archives!$AB$2:$AB$1048576,"T",Archives!$V$2:$V$1048576,$B12)+COUNTIFS(Archives!$D$2:$D$1048576,1,Archives!$AB$2:$AB$1048576,"T",Archives!$Y$2:$Y$1048576,$B12)</f>
        <v/>
      </c>
      <c r="H12" s="56">
        <f>IF((E12+F12+G12)=0,0,(E12+0.5*G12)/(E12+F12+G12))</f>
        <v/>
      </c>
    </row>
    <row r="13" ht="15" customHeight="1" s="2">
      <c r="B13" s="43" t="inlineStr">
        <is>
          <t>Macklin</t>
        </is>
      </c>
      <c r="C13" s="52" t="n"/>
      <c r="D13" s="52" t="inlineStr">
        <is>
          <t>FBC 1</t>
        </is>
      </c>
      <c r="E13" s="52">
        <f>COUNTIFS(Archives!$D$2:$D$1048576,1,Archives!$AB$2:$AB$1048576,"W",Archives!$V$2:$V$1048576,$B13)+COUNTIFS(Archives!$D$2:$D$1048576,1,Archives!$AB$2:$AB$1048576,"W",Archives!$Y$2:$Y$1048576,$B13)</f>
        <v/>
      </c>
      <c r="F13" s="52">
        <f>COUNTIFS(Archives!$D$2:$D$1048576,1,Archives!$AB$2:$AB$1048576,"L",Archives!$V$2:$V$1048576,$B13)+COUNTIFS(Archives!$D$2:$D$1048576,1,Archives!$AB$2:$AB$1048576,"L",Archives!$Y$2:$Y$1048576,$B13)</f>
        <v/>
      </c>
      <c r="G13" s="52">
        <f>COUNTIFS(Archives!$D$2:$D$1048576,1,Archives!$AB$2:$AB$1048576,"T",Archives!$V$2:$V$1048576,$B13)+COUNTIFS(Archives!$D$2:$D$1048576,1,Archives!$AB$2:$AB$1048576,"T",Archives!$Y$2:$Y$1048576,$B13)</f>
        <v/>
      </c>
      <c r="H13" s="53">
        <f>IF((E13+F13+G13)=0,0,(E13+0.5*G13)/(E13+F13+G13))</f>
        <v/>
      </c>
    </row>
    <row r="14" ht="15" customHeight="1" s="2">
      <c r="B14" s="46" t="inlineStr">
        <is>
          <t>Mangold</t>
        </is>
      </c>
      <c r="C14" s="55" t="n"/>
      <c r="D14" s="55" t="inlineStr">
        <is>
          <t>FBC 1</t>
        </is>
      </c>
      <c r="E14" s="55">
        <f>COUNTIFS(Archives!$D$2:$D$1048576,1,Archives!$AB$2:$AB$1048576,"W",Archives!$V$2:$V$1048576,$B14)+COUNTIFS(Archives!$D$2:$D$1048576,1,Archives!$AB$2:$AB$1048576,"W",Archives!$Y$2:$Y$1048576,$B14)</f>
        <v/>
      </c>
      <c r="F14" s="55">
        <f>COUNTIFS(Archives!$D$2:$D$1048576,1,Archives!$AB$2:$AB$1048576,"L",Archives!$V$2:$V$1048576,$B14)+COUNTIFS(Archives!$D$2:$D$1048576,1,Archives!$AB$2:$AB$1048576,"L",Archives!$Y$2:$Y$1048576,$B14)</f>
        <v/>
      </c>
      <c r="G14" s="55">
        <f>COUNTIFS(Archives!$D$2:$D$1048576,1,Archives!$AB$2:$AB$1048576,"T",Archives!$V$2:$V$1048576,$B14)+COUNTIFS(Archives!$D$2:$D$1048576,1,Archives!$AB$2:$AB$1048576,"T",Archives!$Y$2:$Y$1048576,$B14)</f>
        <v/>
      </c>
      <c r="H14" s="56">
        <f>IF((E14+F14+G14)=0,0,(E14+0.5*G14)/(E14+F14+G14))</f>
        <v/>
      </c>
    </row>
    <row r="15" ht="15" customHeight="1" s="2">
      <c r="B15" s="43" t="inlineStr">
        <is>
          <t>Poirier</t>
        </is>
      </c>
      <c r="C15" s="52" t="n"/>
      <c r="D15" s="52" t="inlineStr">
        <is>
          <t>FBC 1</t>
        </is>
      </c>
      <c r="E15" s="52">
        <f>COUNTIFS(Archives!$D$2:$D$1048576,1,Archives!$AB$2:$AB$1048576,"W",Archives!$V$2:$V$1048576,$B15)+COUNTIFS(Archives!$D$2:$D$1048576,1,Archives!$AB$2:$AB$1048576,"W",Archives!$Y$2:$Y$1048576,$B15)</f>
        <v/>
      </c>
      <c r="F15" s="52">
        <f>COUNTIFS(Archives!$D$2:$D$1048576,1,Archives!$AB$2:$AB$1048576,"L",Archives!$V$2:$V$1048576,$B15)+COUNTIFS(Archives!$D$2:$D$1048576,1,Archives!$AB$2:$AB$1048576,"L",Archives!$Y$2:$Y$1048576,$B15)</f>
        <v/>
      </c>
      <c r="G15" s="52">
        <f>COUNTIFS(Archives!$D$2:$D$1048576,1,Archives!$AB$2:$AB$1048576,"T",Archives!$V$2:$V$1048576,$B15)+COUNTIFS(Archives!$D$2:$D$1048576,1,Archives!$AB$2:$AB$1048576,"T",Archives!$Y$2:$Y$1048576,$B15)</f>
        <v/>
      </c>
      <c r="H15" s="53">
        <f>IF((E15+F15+G15)=0,0,(E15+0.5*G15)/(E15+F15+G15))</f>
        <v/>
      </c>
    </row>
    <row r="16" ht="15" customHeight="1" s="2">
      <c r="B16" s="46" t="inlineStr">
        <is>
          <t>Shively</t>
        </is>
      </c>
      <c r="C16" s="55" t="n"/>
      <c r="D16" s="55" t="inlineStr">
        <is>
          <t>FBC 1</t>
        </is>
      </c>
      <c r="E16" s="55">
        <f>COUNTIFS(Archives!$D$2:$D$1048576,1,Archives!$AB$2:$AB$1048576,"W",Archives!$V$2:$V$1048576,$B16)+COUNTIFS(Archives!$D$2:$D$1048576,1,Archives!$AB$2:$AB$1048576,"W",Archives!$Y$2:$Y$1048576,$B16)</f>
        <v/>
      </c>
      <c r="F16" s="55">
        <f>COUNTIFS(Archives!$D$2:$D$1048576,1,Archives!$AB$2:$AB$1048576,"L",Archives!$V$2:$V$1048576,$B16)+COUNTIFS(Archives!$D$2:$D$1048576,1,Archives!$AB$2:$AB$1048576,"L",Archives!$Y$2:$Y$1048576,$B16)</f>
        <v/>
      </c>
      <c r="G16" s="55">
        <f>COUNTIFS(Archives!$D$2:$D$1048576,1,Archives!$AB$2:$AB$1048576,"T",Archives!$V$2:$V$1048576,$B16)+COUNTIFS(Archives!$D$2:$D$1048576,1,Archives!$AB$2:$AB$1048576,"T",Archives!$Y$2:$Y$1048576,$B16)</f>
        <v/>
      </c>
      <c r="H16" s="56">
        <f>IF((E16+F16+G16)=0,0,(E16+0.5*G16)/(E16+F16+G16))</f>
        <v/>
      </c>
    </row>
    <row r="17" ht="15" customHeight="1" s="2">
      <c r="B17" s="43" t="inlineStr">
        <is>
          <t>Buss</t>
        </is>
      </c>
      <c r="C17" s="52" t="inlineStr">
        <is>
          <t>A</t>
        </is>
      </c>
      <c r="D17" s="52" t="inlineStr">
        <is>
          <t>FBC 2</t>
        </is>
      </c>
      <c r="E17" s="52">
        <f>COUNTIFS(Archives!$D$2:$D$1048576,2,Archives!$AB$2:$AB$1048576,"W",Archives!$V$2:$V$1048576,$B17)+COUNTIFS(Archives!$D$2:$D$1048576,2,Archives!$AB$2:$AB$1048576,"W",Archives!$Y$2:$Y$1048576,$B17)</f>
        <v/>
      </c>
      <c r="F17" s="52">
        <f>COUNTIFS(Archives!$D$2:$D$1048576,2,Archives!$AB$2:$AB$1048576,"L",Archives!$V$2:$V$1048576,$B17)+COUNTIFS(Archives!$D$2:$D$1048576,2,Archives!$AB$2:$AB$1048576,"L",Archives!$Y$2:$Y$1048576,$B17)</f>
        <v/>
      </c>
      <c r="G17" s="52">
        <f>COUNTIFS(Archives!$D$2:$D$1048576,2,Archives!$AB$2:$AB$1048576,"T",Archives!$V$2:$V$1048576,$B17)+COUNTIFS(Archives!$D$2:$D$1048576,2,Archives!$AB$2:$AB$1048576,"T",Archives!$Y$2:$Y$1048576,$B17)</f>
        <v/>
      </c>
      <c r="H17" s="53">
        <f>IF((E17+F17+G17)=0,0,(E17+0.5*G17)/(E17+F17+G17))</f>
        <v/>
      </c>
    </row>
    <row r="18" ht="15" customHeight="1" s="2">
      <c r="B18" s="46" t="inlineStr">
        <is>
          <t>Cole</t>
        </is>
      </c>
      <c r="C18" s="55" t="inlineStr">
        <is>
          <t>C</t>
        </is>
      </c>
      <c r="D18" s="55" t="inlineStr">
        <is>
          <t>FBC 2</t>
        </is>
      </c>
      <c r="E18" s="55">
        <f>COUNTIFS(Archives!$D$2:$D$1048576,2,Archives!$AB$2:$AB$1048576,"W",Archives!$V$2:$V$1048576,$B18)+COUNTIFS(Archives!$D$2:$D$1048576,2,Archives!$AB$2:$AB$1048576,"W",Archives!$Y$2:$Y$1048576,$B18)</f>
        <v/>
      </c>
      <c r="F18" s="55">
        <f>COUNTIFS(Archives!$D$2:$D$1048576,2,Archives!$AB$2:$AB$1048576,"L",Archives!$V$2:$V$1048576,$B18)+COUNTIFS(Archives!$D$2:$D$1048576,2,Archives!$AB$2:$AB$1048576,"L",Archives!$Y$2:$Y$1048576,$B18)</f>
        <v/>
      </c>
      <c r="G18" s="55">
        <f>COUNTIFS(Archives!$D$2:$D$1048576,2,Archives!$AB$2:$AB$1048576,"T",Archives!$V$2:$V$1048576,$B18)+COUNTIFS(Archives!$D$2:$D$1048576,2,Archives!$AB$2:$AB$1048576,"T",Archives!$Y$2:$Y$1048576,$B18)</f>
        <v/>
      </c>
      <c r="H18" s="56">
        <f>IF((E18+F18+G18)=0,0,(E18+0.5*G18)/(E18+F18+G18))</f>
        <v/>
      </c>
    </row>
    <row r="19" ht="15" customHeight="1" s="2">
      <c r="B19" s="43" t="inlineStr">
        <is>
          <t>Connors</t>
        </is>
      </c>
      <c r="C19" s="52" t="inlineStr">
        <is>
          <t>B</t>
        </is>
      </c>
      <c r="D19" s="52" t="inlineStr">
        <is>
          <t>FBC 2</t>
        </is>
      </c>
      <c r="E19" s="52">
        <f>COUNTIFS(Archives!$D$2:$D$1048576,2,Archives!$AB$2:$AB$1048576,"W",Archives!$V$2:$V$1048576,$B19)+COUNTIFS(Archives!$D$2:$D$1048576,2,Archives!$AB$2:$AB$1048576,"W",Archives!$Y$2:$Y$1048576,$B19)</f>
        <v/>
      </c>
      <c r="F19" s="52">
        <f>COUNTIFS(Archives!$D$2:$D$1048576,2,Archives!$AB$2:$AB$1048576,"L",Archives!$V$2:$V$1048576,$B19)+COUNTIFS(Archives!$D$2:$D$1048576,2,Archives!$AB$2:$AB$1048576,"L",Archives!$Y$2:$Y$1048576,$B19)</f>
        <v/>
      </c>
      <c r="G19" s="52">
        <f>COUNTIFS(Archives!$D$2:$D$1048576,2,Archives!$AB$2:$AB$1048576,"T",Archives!$V$2:$V$1048576,$B19)+COUNTIFS(Archives!$D$2:$D$1048576,2,Archives!$AB$2:$AB$1048576,"T",Archives!$Y$2:$Y$1048576,$B19)</f>
        <v/>
      </c>
      <c r="H19" s="53">
        <f>IF((E19+F19+G19)=0,0,(E19+0.5*G19)/(E19+F19+G19))</f>
        <v/>
      </c>
    </row>
    <row r="20" ht="15" customHeight="1" s="2">
      <c r="B20" s="46" t="inlineStr">
        <is>
          <t>Fogan</t>
        </is>
      </c>
      <c r="C20" s="55" t="inlineStr">
        <is>
          <t>C</t>
        </is>
      </c>
      <c r="D20" s="55" t="inlineStr">
        <is>
          <t>FBC 2</t>
        </is>
      </c>
      <c r="E20" s="55">
        <f>COUNTIFS(Archives!$D$2:$D$1048576,2,Archives!$AB$2:$AB$1048576,"W",Archives!$V$2:$V$1048576,$B20)+COUNTIFS(Archives!$D$2:$D$1048576,2,Archives!$AB$2:$AB$1048576,"W",Archives!$Y$2:$Y$1048576,$B20)</f>
        <v/>
      </c>
      <c r="F20" s="55">
        <f>COUNTIFS(Archives!$D$2:$D$1048576,2,Archives!$AB$2:$AB$1048576,"L",Archives!$V$2:$V$1048576,$B20)+COUNTIFS(Archives!$D$2:$D$1048576,2,Archives!$AB$2:$AB$1048576,"L",Archives!$Y$2:$Y$1048576,$B20)</f>
        <v/>
      </c>
      <c r="G20" s="55">
        <f>COUNTIFS(Archives!$D$2:$D$1048576,2,Archives!$AB$2:$AB$1048576,"T",Archives!$V$2:$V$1048576,$B20)+COUNTIFS(Archives!$D$2:$D$1048576,2,Archives!$AB$2:$AB$1048576,"T",Archives!$Y$2:$Y$1048576,$B20)</f>
        <v/>
      </c>
      <c r="H20" s="56">
        <f>IF((E20+F20+G20)=0,0,(E20+0.5*G20)/(E20+F20+G20))</f>
        <v/>
      </c>
    </row>
    <row r="21" ht="15" customHeight="1" s="2">
      <c r="B21" s="43" t="inlineStr">
        <is>
          <t>Forster</t>
        </is>
      </c>
      <c r="C21" s="52" t="inlineStr">
        <is>
          <t>C</t>
        </is>
      </c>
      <c r="D21" s="52" t="inlineStr">
        <is>
          <t>FBC 2</t>
        </is>
      </c>
      <c r="E21" s="52">
        <f>COUNTIFS(Archives!$D$2:$D$1048576,2,Archives!$AB$2:$AB$1048576,"W",Archives!$V$2:$V$1048576,$B21)+COUNTIFS(Archives!$D$2:$D$1048576,2,Archives!$AB$2:$AB$1048576,"W",Archives!$Y$2:$Y$1048576,$B21)</f>
        <v/>
      </c>
      <c r="F21" s="52">
        <f>COUNTIFS(Archives!$D$2:$D$1048576,2,Archives!$AB$2:$AB$1048576,"L",Archives!$V$2:$V$1048576,$B21)+COUNTIFS(Archives!$D$2:$D$1048576,2,Archives!$AB$2:$AB$1048576,"L",Archives!$Y$2:$Y$1048576,$B21)</f>
        <v/>
      </c>
      <c r="G21" s="52">
        <f>COUNTIFS(Archives!$D$2:$D$1048576,2,Archives!$AB$2:$AB$1048576,"T",Archives!$V$2:$V$1048576,$B21)+COUNTIFS(Archives!$D$2:$D$1048576,2,Archives!$AB$2:$AB$1048576,"T",Archives!$Y$2:$Y$1048576,$B21)</f>
        <v/>
      </c>
      <c r="H21" s="53">
        <f>IF((E21+F21+G21)=0,0,(E21+0.5*G21)/(E21+F21+G21))</f>
        <v/>
      </c>
    </row>
    <row r="22" ht="15" customHeight="1" s="2">
      <c r="B22" s="46" t="inlineStr">
        <is>
          <t>Weisberger</t>
        </is>
      </c>
      <c r="C22" s="55" t="inlineStr">
        <is>
          <t>B</t>
        </is>
      </c>
      <c r="D22" s="55" t="inlineStr">
        <is>
          <t>FBC 2</t>
        </is>
      </c>
      <c r="E22" s="55">
        <f>COUNTIFS(Archives!$D$2:$D$1048576,2,Archives!$AB$2:$AB$1048576,"W",Archives!$V$2:$V$1048576,$B22)+COUNTIFS(Archives!$D$2:$D$1048576,2,Archives!$AB$2:$AB$1048576,"W",Archives!$Y$2:$Y$1048576,$B22)</f>
        <v/>
      </c>
      <c r="F22" s="55">
        <f>COUNTIFS(Archives!$D$2:$D$1048576,2,Archives!$AB$2:$AB$1048576,"L",Archives!$V$2:$V$1048576,$B22)+COUNTIFS(Archives!$D$2:$D$1048576,2,Archives!$AB$2:$AB$1048576,"L",Archives!$Y$2:$Y$1048576,$B22)</f>
        <v/>
      </c>
      <c r="G22" s="55">
        <f>COUNTIFS(Archives!$D$2:$D$1048576,2,Archives!$AB$2:$AB$1048576,"T",Archives!$V$2:$V$1048576,$B22)+COUNTIFS(Archives!$D$2:$D$1048576,2,Archives!$AB$2:$AB$1048576,"T",Archives!$Y$2:$Y$1048576,$B22)</f>
        <v/>
      </c>
      <c r="H22" s="56">
        <f>IF((E22+F22+G22)=0,0,(E22+0.5*G22)/(E22+F22+G22))</f>
        <v/>
      </c>
    </row>
    <row r="23" ht="15" customHeight="1" s="2">
      <c r="B23" s="43" t="inlineStr">
        <is>
          <t>Gray</t>
        </is>
      </c>
      <c r="C23" s="52" t="inlineStr">
        <is>
          <t>A</t>
        </is>
      </c>
      <c r="D23" s="52" t="inlineStr">
        <is>
          <t>FBC 3</t>
        </is>
      </c>
      <c r="E23" s="52">
        <f>COUNTIFS(Archives!$D$2:$D$1048576,3,Archives!$AB$2:$AB$1048576,"W",Archives!$V$2:$V$1048576,$B23)+COUNTIFS(Archives!$D$2:$D$1048576,3,Archives!$AB$2:$AB$1048576,"W",Archives!$Y$2:$Y$1048576,$B23)</f>
        <v/>
      </c>
      <c r="F23" s="52">
        <f>COUNTIFS(Archives!$D$2:$D$1048576,3,Archives!$AB$2:$AB$1048576,"L",Archives!$V$2:$V$1048576,$B23)+COUNTIFS(Archives!$D$2:$D$1048576,3,Archives!$AB$2:$AB$1048576,"L",Archives!$Y$2:$Y$1048576,$B23)</f>
        <v/>
      </c>
      <c r="G23" s="52">
        <f>COUNTIFS(Archives!$D$2:$D$1048576,3,Archives!$AB$2:$AB$1048576,"T",Archives!$V$2:$V$1048576,$B23)+COUNTIFS(Archives!$D$2:$D$1048576,3,Archives!$AB$2:$AB$1048576,"T",Archives!$Y$2:$Y$1048576,$B23)</f>
        <v/>
      </c>
      <c r="H23" s="53">
        <f>IF((E23+F23+G23)=0,0,(E23+0.5*G23)/(E23+F23+G23))</f>
        <v/>
      </c>
    </row>
    <row r="24" ht="15" customHeight="1" s="2">
      <c r="B24" s="46" t="inlineStr">
        <is>
          <t>McInerney</t>
        </is>
      </c>
      <c r="C24" s="55" t="inlineStr">
        <is>
          <t>A</t>
        </is>
      </c>
      <c r="D24" s="55" t="inlineStr">
        <is>
          <t>FBC 3</t>
        </is>
      </c>
      <c r="E24" s="55">
        <f>COUNTIFS(Archives!$D$2:$D$1048576,3,Archives!$AB$2:$AB$1048576,"W",Archives!$V$2:$V$1048576,$B24)+COUNTIFS(Archives!$D$2:$D$1048576,3,Archives!$AB$2:$AB$1048576,"W",Archives!$Y$2:$Y$1048576,$B24)</f>
        <v/>
      </c>
      <c r="F24" s="55">
        <f>COUNTIFS(Archives!$D$2:$D$1048576,3,Archives!$AB$2:$AB$1048576,"L",Archives!$V$2:$V$1048576,$B24)+COUNTIFS(Archives!$D$2:$D$1048576,3,Archives!$AB$2:$AB$1048576,"L",Archives!$Y$2:$Y$1048576,$B24)</f>
        <v/>
      </c>
      <c r="G24" s="55">
        <f>COUNTIFS(Archives!$D$2:$D$1048576,3,Archives!$AB$2:$AB$1048576,"T",Archives!$V$2:$V$1048576,$B24)+COUNTIFS(Archives!$D$2:$D$1048576,3,Archives!$AB$2:$AB$1048576,"T",Archives!$Y$2:$Y$1048576,$B24)</f>
        <v/>
      </c>
      <c r="H24" s="56">
        <f>IF((E24+F24+G24)=0,0,(E24+0.5*G24)/(E24+F24+G24))</f>
        <v/>
      </c>
    </row>
    <row r="25" ht="15" customHeight="1" s="2">
      <c r="B25" s="43" t="inlineStr">
        <is>
          <t>Norat</t>
        </is>
      </c>
      <c r="C25" s="52" t="inlineStr">
        <is>
          <t>C</t>
        </is>
      </c>
      <c r="D25" s="52" t="inlineStr">
        <is>
          <t>FBC 3</t>
        </is>
      </c>
      <c r="E25" s="52">
        <f>COUNTIFS(Archives!$D$2:$D$1048576,3,Archives!$AB$2:$AB$1048576,"W",Archives!$V$2:$V$1048576,$B25)+COUNTIFS(Archives!$D$2:$D$1048576,3,Archives!$AB$2:$AB$1048576,"W",Archives!$Y$2:$Y$1048576,$B25)</f>
        <v/>
      </c>
      <c r="F25" s="52">
        <f>COUNTIFS(Archives!$D$2:$D$1048576,3,Archives!$AB$2:$AB$1048576,"L",Archives!$V$2:$V$1048576,$B25)+COUNTIFS(Archives!$D$2:$D$1048576,3,Archives!$AB$2:$AB$1048576,"L",Archives!$Y$2:$Y$1048576,$B25)</f>
        <v/>
      </c>
      <c r="G25" s="52">
        <f>COUNTIFS(Archives!$D$2:$D$1048576,3,Archives!$AB$2:$AB$1048576,"T",Archives!$V$2:$V$1048576,$B25)+COUNTIFS(Archives!$D$2:$D$1048576,3,Archives!$AB$2:$AB$1048576,"T",Archives!$Y$2:$Y$1048576,$B25)</f>
        <v/>
      </c>
      <c r="H25" s="53">
        <f>IF((E25+F25+G25)=0,0,(E25+0.5*G25)/(E25+F25+G25))</f>
        <v/>
      </c>
    </row>
    <row r="26" ht="15" customHeight="1" s="2">
      <c r="B26" s="46" t="inlineStr">
        <is>
          <t>Zimmer</t>
        </is>
      </c>
      <c r="C26" s="55" t="inlineStr">
        <is>
          <t>B</t>
        </is>
      </c>
      <c r="D26" s="55" t="inlineStr">
        <is>
          <t>FBC 3</t>
        </is>
      </c>
      <c r="E26" s="55">
        <f>COUNTIFS(Archives!$D$2:$D$1048576,3,Archives!$AB$2:$AB$1048576,"W",Archives!$V$2:$V$1048576,$B26)+COUNTIFS(Archives!$D$2:$D$1048576,3,Archives!$AB$2:$AB$1048576,"W",Archives!$Y$2:$Y$1048576,$B26)</f>
        <v/>
      </c>
      <c r="F26" s="55">
        <f>COUNTIFS(Archives!$D$2:$D$1048576,3,Archives!$AB$2:$AB$1048576,"L",Archives!$V$2:$V$1048576,$B26)+COUNTIFS(Archives!$D$2:$D$1048576,3,Archives!$AB$2:$AB$1048576,"L",Archives!$Y$2:$Y$1048576,$B26)</f>
        <v/>
      </c>
      <c r="G26" s="55">
        <f>COUNTIFS(Archives!$D$2:$D$1048576,3,Archives!$AB$2:$AB$1048576,"T",Archives!$V$2:$V$1048576,$B26)+COUNTIFS(Archives!$D$2:$D$1048576,3,Archives!$AB$2:$AB$1048576,"T",Archives!$Y$2:$Y$1048576,$B26)</f>
        <v/>
      </c>
      <c r="H26" s="56">
        <f>IF((E26+F26+G26)=0,0,(E26+0.5*G26)/(E26+F26+G26))</f>
        <v/>
      </c>
    </row>
    <row r="27" ht="15" customHeight="1" s="2">
      <c r="B27" s="43" t="inlineStr">
        <is>
          <t>Welker</t>
        </is>
      </c>
      <c r="C27" s="52" t="inlineStr">
        <is>
          <t>B</t>
        </is>
      </c>
      <c r="D27" s="52" t="inlineStr">
        <is>
          <t>FBC 4</t>
        </is>
      </c>
      <c r="E27" s="52">
        <f>COUNTIFS(Archives!$D$2:$D$1048576,4,Archives!$AB$2:$AB$1048576,"W",Archives!$V$2:$V$1048576,$B27)+COUNTIFS(Archives!$D$2:$D$1048576,4,Archives!$AB$2:$AB$1048576,"W",Archives!$Y$2:$Y$1048576,$B27)</f>
        <v/>
      </c>
      <c r="F27" s="52">
        <f>COUNTIFS(Archives!$D$2:$D$1048576,4,Archives!$AB$2:$AB$1048576,"L",Archives!$V$2:$V$1048576,$B27)+COUNTIFS(Archives!$D$2:$D$1048576,4,Archives!$AB$2:$AB$1048576,"L",Archives!$Y$2:$Y$1048576,$B27)</f>
        <v/>
      </c>
      <c r="G27" s="52">
        <f>COUNTIFS(Archives!$D$2:$D$1048576,4,Archives!$AB$2:$AB$1048576,"T",Archives!$V$2:$V$1048576,$B27)+COUNTIFS(Archives!$D$2:$D$1048576,4,Archives!$AB$2:$AB$1048576,"T",Archives!$Y$2:$Y$1048576,$B27)</f>
        <v/>
      </c>
      <c r="H27" s="53">
        <f>IF((E27+F27+G27)=0,0,(E27+0.5*G27)/(E27+F27+G27))</f>
        <v/>
      </c>
    </row>
    <row r="28" ht="15" customHeight="1" s="2">
      <c r="B28" s="46" t="inlineStr">
        <is>
          <t>Delaney</t>
        </is>
      </c>
      <c r="C28" s="55" t="n"/>
      <c r="D28" s="55" t="inlineStr">
        <is>
          <t>FBC 5</t>
        </is>
      </c>
      <c r="E28" s="55">
        <f>COUNTIFS(Archives!$D$2:$D$1048576,5,Archives!$AB$2:$AB$1048576,"W",Archives!$V$2:$V$1048576,$B28)+COUNTIFS(Archives!$D$2:$D$1048576,5,Archives!$AB$2:$AB$1048576,"W",Archives!$Y$2:$Y$1048576,$B28)</f>
        <v/>
      </c>
      <c r="F28" s="55">
        <f>COUNTIFS(Archives!$D$2:$D$1048576,5,Archives!$AB$2:$AB$1048576,"L",Archives!$V$2:$V$1048576,$B28)+COUNTIFS(Archives!$D$2:$D$1048576,5,Archives!$AB$2:$AB$1048576,"L",Archives!$Y$2:$Y$1048576,$B28)</f>
        <v/>
      </c>
      <c r="G28" s="55">
        <f>COUNTIFS(Archives!$D$2:$D$1048576,5,Archives!$AB$2:$AB$1048576,"T",Archives!$V$2:$V$1048576,$B28)+COUNTIFS(Archives!$D$2:$D$1048576,5,Archives!$AB$2:$AB$1048576,"T",Archives!$Y$2:$Y$1048576,$B28)</f>
        <v/>
      </c>
      <c r="H28" s="56">
        <f>IF((E28+F28+G28)=0,0,(E28+0.5*G28)/(E28+F28+G28))</f>
        <v/>
      </c>
    </row>
    <row r="29" ht="15" customHeight="1" s="2">
      <c r="B29" s="43" t="inlineStr">
        <is>
          <t>Delneky</t>
        </is>
      </c>
      <c r="C29" s="52" t="n"/>
      <c r="D29" s="52" t="inlineStr">
        <is>
          <t>FBC 8</t>
        </is>
      </c>
      <c r="E29" s="52">
        <f>COUNTIFS(Archives!$D$2:$D$1048576,8,Archives!$AB$2:$AB$1048576,"W",Archives!$V$2:$V$1048576,$B29)+COUNTIFS(Archives!$D$2:$D$1048576,8,Archives!$AB$2:$AB$1048576,"W",Archives!$Y$2:$Y$1048576,$B29)</f>
        <v/>
      </c>
      <c r="F29" s="52">
        <f>COUNTIFS(Archives!$D$2:$D$1048576,8,Archives!$AB$2:$AB$1048576,"L",Archives!$V$2:$V$1048576,$B29)+COUNTIFS(Archives!$D$2:$D$1048576,8,Archives!$AB$2:$AB$1048576,"L",Archives!$Y$2:$Y$1048576,$B29)</f>
        <v/>
      </c>
      <c r="G29" s="52">
        <f>COUNTIFS(Archives!$D$2:$D$1048576,8,Archives!$AB$2:$AB$1048576,"T",Archives!$V$2:$V$1048576,$B29)+COUNTIFS(Archives!$D$2:$D$1048576,8,Archives!$AB$2:$AB$1048576,"T",Archives!$Y$2:$Y$1048576,$B29)</f>
        <v/>
      </c>
      <c r="H29" s="53">
        <f>IF((E29+F29+G29)=0,0,(E29+0.5*G29)/(E29+F29+G29))</f>
        <v/>
      </c>
    </row>
    <row r="30" ht="15" customHeight="1" s="2">
      <c r="B30" s="46" t="inlineStr">
        <is>
          <t>Deoteris</t>
        </is>
      </c>
      <c r="C30" s="55" t="n"/>
      <c r="D30" s="55" t="inlineStr">
        <is>
          <t>FBC 8</t>
        </is>
      </c>
      <c r="E30" s="55">
        <f>COUNTIFS(Archives!$D$2:$D$1048576,8,Archives!$AB$2:$AB$1048576,"W",Archives!$V$2:$V$1048576,$B30)+COUNTIFS(Archives!$D$2:$D$1048576,8,Archives!$AB$2:$AB$1048576,"W",Archives!$Y$2:$Y$1048576,$B30)</f>
        <v/>
      </c>
      <c r="F30" s="55">
        <f>COUNTIFS(Archives!$D$2:$D$1048576,8,Archives!$AB$2:$AB$1048576,"L",Archives!$V$2:$V$1048576,$B30)+COUNTIFS(Archives!$D$2:$D$1048576,8,Archives!$AB$2:$AB$1048576,"L",Archives!$Y$2:$Y$1048576,$B30)</f>
        <v/>
      </c>
      <c r="G30" s="55">
        <f>COUNTIFS(Archives!$D$2:$D$1048576,8,Archives!$AB$2:$AB$1048576,"T",Archives!$V$2:$V$1048576,$B30)+COUNTIFS(Archives!$D$2:$D$1048576,8,Archives!$AB$2:$AB$1048576,"T",Archives!$Y$2:$Y$1048576,$B30)</f>
        <v/>
      </c>
      <c r="H30" s="56">
        <f>IF((E30+F30+G30)=0,0,(E30+0.5*G30)/(E30+F30+G30))</f>
        <v/>
      </c>
    </row>
    <row r="31" ht="15" customHeight="1" s="2">
      <c r="B31" s="43" t="inlineStr">
        <is>
          <t>Perkins</t>
        </is>
      </c>
      <c r="C31" s="52" t="n"/>
      <c r="D31" s="52" t="inlineStr">
        <is>
          <t>FBC 8</t>
        </is>
      </c>
      <c r="E31" s="52">
        <f>COUNTIFS(Archives!$D$2:$D$1048576,8,Archives!$AB$2:$AB$1048576,"W",Archives!$V$2:$V$1048576,$B31)+COUNTIFS(Archives!$D$2:$D$1048576,8,Archives!$AB$2:$AB$1048576,"W",Archives!$Y$2:$Y$1048576,$B31)</f>
        <v/>
      </c>
      <c r="F31" s="52">
        <f>COUNTIFS(Archives!$D$2:$D$1048576,8,Archives!$AB$2:$AB$1048576,"L",Archives!$V$2:$V$1048576,$B31)+COUNTIFS(Archives!$D$2:$D$1048576,8,Archives!$AB$2:$AB$1048576,"L",Archives!$Y$2:$Y$1048576,$B31)</f>
        <v/>
      </c>
      <c r="G31" s="52">
        <f>COUNTIFS(Archives!$D$2:$D$1048576,8,Archives!$AB$2:$AB$1048576,"T",Archives!$V$2:$V$1048576,$B31)+COUNTIFS(Archives!$D$2:$D$1048576,8,Archives!$AB$2:$AB$1048576,"T",Archives!$Y$2:$Y$1048576,$B31)</f>
        <v/>
      </c>
      <c r="H31" s="53">
        <f>IF((E31+F31+G31)=0,0,(E31+0.5*G31)/(E31+F31+G31))</f>
        <v/>
      </c>
    </row>
    <row r="32" ht="15" customHeight="1" s="2">
      <c r="B32" s="46" t="inlineStr">
        <is>
          <t>Piegari</t>
        </is>
      </c>
      <c r="C32" s="55" t="n"/>
      <c r="D32" s="55" t="inlineStr">
        <is>
          <t>FBC 8</t>
        </is>
      </c>
      <c r="E32" s="55">
        <f>COUNTIFS(Archives!$D$2:$D$1048576,8,Archives!$AB$2:$AB$1048576,"W",Archives!$V$2:$V$1048576,$B32)+COUNTIFS(Archives!$D$2:$D$1048576,8,Archives!$AB$2:$AB$1048576,"W",Archives!$Y$2:$Y$1048576,$B32)</f>
        <v/>
      </c>
      <c r="F32" s="55">
        <f>COUNTIFS(Archives!$D$2:$D$1048576,8,Archives!$AB$2:$AB$1048576,"L",Archives!$V$2:$V$1048576,$B32)+COUNTIFS(Archives!$D$2:$D$1048576,8,Archives!$AB$2:$AB$1048576,"L",Archives!$Y$2:$Y$1048576,$B32)</f>
        <v/>
      </c>
      <c r="G32" s="55">
        <f>COUNTIFS(Archives!$D$2:$D$1048576,8,Archives!$AB$2:$AB$1048576,"T",Archives!$V$2:$V$1048576,$B32)+COUNTIFS(Archives!$D$2:$D$1048576,8,Archives!$AB$2:$AB$1048576,"T",Archives!$Y$2:$Y$1048576,$B32)</f>
        <v/>
      </c>
      <c r="H32" s="56">
        <f>IF((E32+F32+G32)=0,0,(E32+0.5*G32)/(E32+F32+G32))</f>
        <v/>
      </c>
    </row>
    <row r="33" ht="15" customHeight="1" s="2">
      <c r="B33" s="43" t="inlineStr">
        <is>
          <t>Ramsay</t>
        </is>
      </c>
      <c r="C33" s="52" t="n"/>
      <c r="D33" s="52" t="inlineStr">
        <is>
          <t>FBC 8</t>
        </is>
      </c>
      <c r="E33" s="52">
        <f>COUNTIFS(Archives!$D$2:$D$1048576,8,Archives!$AB$2:$AB$1048576,"W",Archives!$V$2:$V$1048576,$B33)+COUNTIFS(Archives!$D$2:$D$1048576,8,Archives!$AB$2:$AB$1048576,"W",Archives!$Y$2:$Y$1048576,$B33)</f>
        <v/>
      </c>
      <c r="F33" s="52">
        <f>COUNTIFS(Archives!$D$2:$D$1048576,8,Archives!$AB$2:$AB$1048576,"L",Archives!$V$2:$V$1048576,$B33)+COUNTIFS(Archives!$D$2:$D$1048576,8,Archives!$AB$2:$AB$1048576,"L",Archives!$Y$2:$Y$1048576,$B33)</f>
        <v/>
      </c>
      <c r="G33" s="52">
        <f>COUNTIFS(Archives!$D$2:$D$1048576,8,Archives!$AB$2:$AB$1048576,"T",Archives!$V$2:$V$1048576,$B33)+COUNTIFS(Archives!$D$2:$D$1048576,8,Archives!$AB$2:$AB$1048576,"T",Archives!$Y$2:$Y$1048576,$B33)</f>
        <v/>
      </c>
      <c r="H33" s="53">
        <f>IF((E33+F33+G33)=0,0,(E33+0.5*G33)/(E33+F33+G33))</f>
        <v/>
      </c>
    </row>
    <row r="34" ht="15" customHeight="1" s="2">
      <c r="B34" s="46" t="inlineStr">
        <is>
          <t>R. Connolly</t>
        </is>
      </c>
      <c r="C34" s="55" t="n"/>
      <c r="D34" s="55" t="inlineStr">
        <is>
          <t>FBC 10</t>
        </is>
      </c>
      <c r="E34" s="55">
        <f>COUNTIFS(Archives!$D$2:$D$1048576,10,Archives!$AB$2:$AB$1048576,"W",Archives!$V$2:$V$1048576,$B34)+COUNTIFS(Archives!$D$2:$D$1048576,10,Archives!$AB$2:$AB$1048576,"W",Archives!$Y$2:$Y$1048576,$B34)</f>
        <v/>
      </c>
      <c r="F34" s="55">
        <f>COUNTIFS(Archives!$D$2:$D$1048576,10,Archives!$AB$2:$AB$1048576,"L",Archives!$V$2:$V$1048576,$B34)+COUNTIFS(Archives!$D$2:$D$1048576,10,Archives!$AB$2:$AB$1048576,"L",Archives!$Y$2:$Y$1048576,$B34)</f>
        <v/>
      </c>
      <c r="G34" s="55">
        <f>COUNTIFS(Archives!$D$2:$D$1048576,10,Archives!$AB$2:$AB$1048576,"T",Archives!$V$2:$V$1048576,$B34)+COUNTIFS(Archives!$D$2:$D$1048576,10,Archives!$AB$2:$AB$1048576,"T",Archives!$Y$2:$Y$1048576,$B34)</f>
        <v/>
      </c>
      <c r="H34" s="56">
        <f>IF((E34+F34+G34)=0,0,(E34+0.5*G34)/(E34+F34+G34))</f>
        <v/>
      </c>
    </row>
    <row r="35" ht="15" customHeight="1" s="2">
      <c r="B35" s="43" t="inlineStr">
        <is>
          <t>Snyder</t>
        </is>
      </c>
      <c r="C35" s="52" t="n"/>
      <c r="D35" s="52" t="inlineStr">
        <is>
          <t>FBC 12</t>
        </is>
      </c>
      <c r="E35" s="52">
        <f>COUNTIFS(Archives!$D$2:$D$1048576,12,Archives!$AB$2:$AB$1048576,"W",Archives!$V$2:$V$1048576,$B35)+COUNTIFS(Archives!$D$2:$D$1048576,12,Archives!$AB$2:$AB$1048576,"W",Archives!$Y$2:$Y$1048576,$B35)</f>
        <v/>
      </c>
      <c r="F35" s="52">
        <f>COUNTIFS(Archives!$D$2:$D$1048576,12,Archives!$AB$2:$AB$1048576,"L",Archives!$V$2:$V$1048576,$B35)+COUNTIFS(Archives!$D$2:$D$1048576,12,Archives!$AB$2:$AB$1048576,"L",Archives!$Y$2:$Y$1048576,$B35)</f>
        <v/>
      </c>
      <c r="G35" s="52">
        <f>COUNTIFS(Archives!$D$2:$D$1048576,12,Archives!$AB$2:$AB$1048576,"T",Archives!$V$2:$V$1048576,$B35)+COUNTIFS(Archives!$D$2:$D$1048576,12,Archives!$AB$2:$AB$1048576,"T",Archives!$Y$2:$Y$1048576,$B35)</f>
        <v/>
      </c>
      <c r="H35" s="53">
        <f>IF((E35+F35+G35)=0,0,(E35+0.5*G35)/(E35+F35+G35))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0"/>
  <sheetViews>
    <sheetView zoomScaleNormal="100" workbookViewId="0">
      <selection activeCell="A1" sqref="A1"/>
    </sheetView>
  </sheetViews>
  <sheetFormatPr baseColWidth="10" defaultColWidth="8.83203125" defaultRowHeight="15"/>
  <sheetData>
    <row r="1" ht="15" customHeight="1" s="2">
      <c r="A1" s="26" t="n"/>
      <c r="B1" s="26" t="n"/>
      <c r="C1" s="26" t="n"/>
      <c r="D1" s="26" t="n"/>
      <c r="E1" s="26" t="n"/>
      <c r="F1" s="26" t="n"/>
      <c r="G1" s="26" t="n"/>
      <c r="H1" s="26" t="n"/>
    </row>
    <row r="4" ht="15" customHeight="1" s="2">
      <c r="D4" t="inlineStr">
        <is>
          <t>FBC CYBER MONDAY SALES</t>
        </is>
      </c>
    </row>
    <row r="6" ht="15" customHeight="1" s="2">
      <c r="D6" t="inlineStr">
        <is>
          <t>CYBER MONDAY Item</t>
        </is>
      </c>
      <c r="E6" t="inlineStr">
        <is>
          <t>Amount to FBC</t>
        </is>
      </c>
    </row>
    <row r="7" ht="15" customHeight="1" s="2">
      <c r="D7" t="inlineStr">
        <is>
          <t>Eddie Auto Pick</t>
        </is>
      </c>
      <c r="E7" t="n">
        <v>100</v>
      </c>
    </row>
    <row r="8" ht="15" customHeight="1" s="2">
      <c r="D8" t="inlineStr">
        <is>
          <t>Eddie $100 mulligans</t>
        </is>
      </c>
      <c r="E8" t="n">
        <v>60</v>
      </c>
    </row>
    <row r="9" ht="15" customHeight="1" s="2">
      <c r="D9" t="inlineStr">
        <is>
          <t>Hilts $100 mulligans</t>
        </is>
      </c>
      <c r="E9" t="n">
        <v>60</v>
      </c>
    </row>
    <row r="10" ht="15" customHeight="1" s="2">
      <c r="D10" t="inlineStr">
        <is>
          <t>Q $160 mulligans</t>
        </is>
      </c>
      <c r="E10" t="n">
        <v>100</v>
      </c>
    </row>
    <row r="11" ht="15" customHeight="1" s="2">
      <c r="D11" t="inlineStr">
        <is>
          <t>Jackson $160 mulligans</t>
        </is>
      </c>
      <c r="E11" t="n">
        <v>100</v>
      </c>
    </row>
    <row r="12" ht="15" customHeight="1" s="2">
      <c r="D12" t="inlineStr">
        <is>
          <t>Jackson Belt</t>
        </is>
      </c>
      <c r="E12" t="n">
        <v>75</v>
      </c>
    </row>
    <row r="13" ht="15" customHeight="1" s="2">
      <c r="D13" t="inlineStr">
        <is>
          <t>Forster Belt</t>
        </is>
      </c>
      <c r="E13" t="n">
        <v>75</v>
      </c>
    </row>
    <row r="14" ht="15" customHeight="1" s="2">
      <c r="D14" t="inlineStr">
        <is>
          <t>Hilts Belt</t>
        </is>
      </c>
      <c r="E14" t="n">
        <v>75</v>
      </c>
    </row>
    <row r="15" ht="15" customHeight="1" s="2">
      <c r="D15" t="inlineStr">
        <is>
          <t>Connolly Belt</t>
        </is>
      </c>
      <c r="E15" t="n">
        <v>75</v>
      </c>
    </row>
    <row r="16" ht="15" customHeight="1" s="2">
      <c r="D16" t="inlineStr">
        <is>
          <t>Brent Belt</t>
        </is>
      </c>
      <c r="E16" t="n">
        <v>75</v>
      </c>
      <c r="G16" t="inlineStr">
        <is>
          <t>FBC Hero Belts Costs</t>
        </is>
      </c>
      <c r="H16" t="n">
        <v>-540</v>
      </c>
    </row>
    <row r="17" ht="15" customHeight="1" s="2">
      <c r="D17" t="inlineStr">
        <is>
          <t>Cyber Monday Sales</t>
        </is>
      </c>
      <c r="E17" t="n">
        <v>795</v>
      </c>
      <c r="G17" t="inlineStr">
        <is>
          <t>Reimbursement from entry fee</t>
        </is>
      </c>
      <c r="H17" t="n">
        <v>500</v>
      </c>
    </row>
    <row r="18" ht="15" customHeight="1" s="2">
      <c r="G18" t="inlineStr">
        <is>
          <t>Amount Due to Jackson</t>
        </is>
      </c>
      <c r="H18" t="n">
        <v>-40</v>
      </c>
    </row>
    <row r="19" ht="15" customHeight="1" s="2">
      <c r="D19" t="inlineStr">
        <is>
          <t>Belt balance reimbursement</t>
        </is>
      </c>
      <c r="E19" t="n">
        <v>-40</v>
      </c>
    </row>
    <row r="20" ht="15" customHeight="1" s="2">
      <c r="D20" t="inlineStr">
        <is>
          <t>Amount transferred to Fund</t>
        </is>
      </c>
      <c r="E20" t="n">
        <v>755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1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10" defaultColWidth="8.83203125" defaultRowHeight="15"/>
  <cols>
    <col width="5" customWidth="1" style="2" min="1" max="1"/>
    <col width="22" customWidth="1" style="2" min="2" max="2"/>
    <col width="16" customWidth="1" style="2" min="3" max="3"/>
    <col width="8" customWidth="1" style="2" min="4" max="4"/>
    <col width="9" customWidth="1" style="2" min="5" max="5"/>
    <col width="7" customWidth="1" style="2" min="6" max="7"/>
    <col width="30" customWidth="1" style="2" min="8" max="8"/>
  </cols>
  <sheetData>
    <row r="1" ht="15" customHeight="1" s="2">
      <c r="A1" s="13" t="inlineStr">
        <is>
          <t>FBC Course List &amp; Difficulty</t>
        </is>
      </c>
    </row>
    <row r="2" ht="15" customHeight="1" s="2">
      <c r="A2" s="90" t="inlineStr">
        <is>
          <t>Courses played each FBC (FBC 1–11). Yardage/Slope/Designer from course list; Rating carried from prior data where available.</t>
        </is>
      </c>
    </row>
    <row r="3" ht="15" customHeight="1" s="2"/>
    <row r="4" ht="15" customHeight="1" s="2">
      <c r="A4" s="42" t="inlineStr">
        <is>
          <t>FBC</t>
        </is>
      </c>
      <c r="B4" s="42" t="inlineStr">
        <is>
          <t>Course</t>
        </is>
      </c>
      <c r="C4" s="42" t="inlineStr">
        <is>
          <t>City</t>
        </is>
      </c>
      <c r="D4" s="42" t="inlineStr">
        <is>
          <t>State</t>
        </is>
      </c>
      <c r="E4" s="42" t="inlineStr">
        <is>
          <t>Yardage</t>
        </is>
      </c>
      <c r="F4" s="42" t="inlineStr">
        <is>
          <t>Slope</t>
        </is>
      </c>
      <c r="G4" s="42" t="inlineStr">
        <is>
          <t>Rating</t>
        </is>
      </c>
      <c r="H4" s="42" t="inlineStr">
        <is>
          <t>Designer</t>
        </is>
      </c>
    </row>
    <row r="5" ht="15" customHeight="1" s="2">
      <c r="A5" s="52" t="n">
        <v>1</v>
      </c>
      <c r="B5" s="43" t="inlineStr">
        <is>
          <t>Saratoga National</t>
        </is>
      </c>
      <c r="C5" s="43" t="inlineStr">
        <is>
          <t>Saratoga</t>
        </is>
      </c>
      <c r="D5" s="43" t="inlineStr">
        <is>
          <t>NY</t>
        </is>
      </c>
      <c r="E5" s="52" t="n">
        <v>6225</v>
      </c>
      <c r="F5" s="52" t="n">
        <v>130</v>
      </c>
      <c r="G5" s="52" t="n">
        <v>71.3</v>
      </c>
      <c r="H5" s="43" t="inlineStr">
        <is>
          <t>Roger Rulewich</t>
        </is>
      </c>
    </row>
    <row r="6" ht="15" customHeight="1" s="2">
      <c r="A6" s="55" t="n">
        <v>1</v>
      </c>
      <c r="B6" s="46" t="inlineStr">
        <is>
          <t>Saratoga Spa State Park</t>
        </is>
      </c>
      <c r="C6" s="46" t="inlineStr">
        <is>
          <t>Saratoga</t>
        </is>
      </c>
      <c r="D6" s="46" t="inlineStr">
        <is>
          <t>NY</t>
        </is>
      </c>
      <c r="E6" s="55" t="n">
        <v>6772</v>
      </c>
      <c r="F6" s="55" t="n">
        <v>128</v>
      </c>
      <c r="G6" s="55" t="n">
        <v>72.2</v>
      </c>
      <c r="H6" s="46" t="inlineStr">
        <is>
          <t>William Mitchell</t>
        </is>
      </c>
    </row>
    <row r="7" ht="15" customHeight="1" s="2">
      <c r="A7" s="52" t="n">
        <v>2</v>
      </c>
      <c r="B7" s="43" t="inlineStr">
        <is>
          <t>Shenendoah</t>
        </is>
      </c>
      <c r="C7" s="43" t="inlineStr">
        <is>
          <t>Verona</t>
        </is>
      </c>
      <c r="D7" s="43" t="inlineStr">
        <is>
          <t>NY</t>
        </is>
      </c>
      <c r="E7" s="52" t="n">
        <v>6328</v>
      </c>
      <c r="F7" s="52" t="n">
        <v>133</v>
      </c>
      <c r="G7" s="52" t="n">
        <v>70.59999999999999</v>
      </c>
      <c r="H7" s="43" t="inlineStr">
        <is>
          <t>Rick Smith</t>
        </is>
      </c>
    </row>
    <row r="8" ht="15" customHeight="1" s="2">
      <c r="A8" s="55" t="n">
        <v>2</v>
      </c>
      <c r="B8" s="46" t="inlineStr">
        <is>
          <t>Kaluhyat</t>
        </is>
      </c>
      <c r="C8" s="46" t="inlineStr">
        <is>
          <t>Verona</t>
        </is>
      </c>
      <c r="D8" s="46" t="inlineStr">
        <is>
          <t>NY</t>
        </is>
      </c>
      <c r="E8" s="55" t="n">
        <v>6183</v>
      </c>
      <c r="F8" s="55" t="n">
        <v>132</v>
      </c>
      <c r="G8" s="55" t="n">
        <v>70.90000000000001</v>
      </c>
      <c r="H8" s="46" t="inlineStr">
        <is>
          <t>Robert Trent Jones, Jr.</t>
        </is>
      </c>
    </row>
    <row r="9" ht="15" customHeight="1" s="2">
      <c r="A9" s="52" t="n">
        <v>2</v>
      </c>
      <c r="B9" s="43" t="inlineStr">
        <is>
          <t>Atunyote</t>
        </is>
      </c>
      <c r="C9" s="43" t="inlineStr">
        <is>
          <t>Verona</t>
        </is>
      </c>
      <c r="D9" s="43" t="inlineStr">
        <is>
          <t>NY</t>
        </is>
      </c>
      <c r="E9" s="52" t="n">
        <v>6561</v>
      </c>
      <c r="F9" s="52" t="n">
        <v>131</v>
      </c>
      <c r="G9" s="52" t="n">
        <v>71.59999999999999</v>
      </c>
      <c r="H9" s="43" t="inlineStr">
        <is>
          <t>Tom Fazio</t>
        </is>
      </c>
    </row>
    <row r="10" ht="15" customHeight="1" s="2">
      <c r="A10" s="55" t="n">
        <v>3</v>
      </c>
      <c r="B10" s="46" t="inlineStr">
        <is>
          <t>Seaside</t>
        </is>
      </c>
      <c r="C10" s="46" t="inlineStr">
        <is>
          <t>Sea Island</t>
        </is>
      </c>
      <c r="D10" s="46" t="inlineStr">
        <is>
          <t>GA</t>
        </is>
      </c>
      <c r="E10" s="55" t="n">
        <v>6323</v>
      </c>
      <c r="F10" s="55" t="n">
        <v>135</v>
      </c>
      <c r="G10" s="55" t="n">
        <v>71.09999999999999</v>
      </c>
      <c r="H10" s="46" t="inlineStr">
        <is>
          <t>Harry Colt + Charles Alison / Tom Fazio</t>
        </is>
      </c>
    </row>
    <row r="11" ht="15" customHeight="1" s="2">
      <c r="A11" s="52" t="n">
        <v>3</v>
      </c>
      <c r="B11" s="43" t="inlineStr">
        <is>
          <t>Plantation</t>
        </is>
      </c>
      <c r="C11" s="43" t="inlineStr">
        <is>
          <t>Sea Island</t>
        </is>
      </c>
      <c r="D11" s="43" t="inlineStr">
        <is>
          <t>GA</t>
        </is>
      </c>
      <c r="E11" s="52" t="n">
        <v>6326</v>
      </c>
      <c r="F11" s="52" t="n">
        <v>131</v>
      </c>
      <c r="G11" s="52" t="n">
        <v>71.3</v>
      </c>
      <c r="H11" s="43" t="inlineStr">
        <is>
          <t>Walter Travis / Rees Jones</t>
        </is>
      </c>
    </row>
    <row r="12" ht="15" customHeight="1" s="2">
      <c r="A12" s="55" t="n">
        <v>4</v>
      </c>
      <c r="B12" s="46" t="inlineStr">
        <is>
          <t>Dye Course</t>
        </is>
      </c>
      <c r="C12" s="46" t="inlineStr">
        <is>
          <t>French Lick</t>
        </is>
      </c>
      <c r="D12" s="46" t="inlineStr">
        <is>
          <t>IN</t>
        </is>
      </c>
      <c r="E12" s="55" t="n">
        <v>6111</v>
      </c>
      <c r="F12" s="55" t="n">
        <v>130</v>
      </c>
      <c r="G12" s="55" t="n">
        <v>70.59999999999999</v>
      </c>
      <c r="H12" s="46" t="inlineStr">
        <is>
          <t>Pete Dye</t>
        </is>
      </c>
    </row>
    <row r="13" ht="15" customHeight="1" s="2">
      <c r="A13" s="52" t="n">
        <v>4</v>
      </c>
      <c r="B13" s="43" t="inlineStr">
        <is>
          <t>Ross Course</t>
        </is>
      </c>
      <c r="C13" s="43" t="inlineStr">
        <is>
          <t>French Lick</t>
        </is>
      </c>
      <c r="D13" s="43" t="inlineStr">
        <is>
          <t>IN</t>
        </is>
      </c>
      <c r="E13" s="52" t="n">
        <v>6517</v>
      </c>
      <c r="F13" s="52" t="n">
        <v>132</v>
      </c>
      <c r="G13" s="52" t="n">
        <v>72.3</v>
      </c>
      <c r="H13" s="43" t="inlineStr">
        <is>
          <t>Donald Ross</t>
        </is>
      </c>
    </row>
    <row r="14" ht="15" customHeight="1" s="2">
      <c r="A14" s="55" t="n">
        <v>5</v>
      </c>
      <c r="B14" s="46" t="inlineStr">
        <is>
          <t>Harbour Town</t>
        </is>
      </c>
      <c r="C14" s="46" t="inlineStr">
        <is>
          <t>Hilton Head Island</t>
        </is>
      </c>
      <c r="D14" s="46" t="inlineStr">
        <is>
          <t>SC</t>
        </is>
      </c>
      <c r="E14" s="55" t="n">
        <v>6251</v>
      </c>
      <c r="F14" s="55" t="n">
        <v>136</v>
      </c>
      <c r="G14" s="55" t="n">
        <v>71.40000000000001</v>
      </c>
      <c r="H14" s="46" t="inlineStr">
        <is>
          <t>Pete Dye</t>
        </is>
      </c>
    </row>
    <row r="15" ht="15" customHeight="1" s="2">
      <c r="A15" s="52" t="n">
        <v>5</v>
      </c>
      <c r="B15" s="43" t="inlineStr">
        <is>
          <t>Atlantic Dunes</t>
        </is>
      </c>
      <c r="C15" s="43" t="inlineStr">
        <is>
          <t>Hilton Head Island</t>
        </is>
      </c>
      <c r="D15" s="43" t="inlineStr">
        <is>
          <t>SC</t>
        </is>
      </c>
      <c r="E15" s="52" t="n">
        <v>6522</v>
      </c>
      <c r="F15" s="52" t="n">
        <v>138</v>
      </c>
      <c r="G15" s="52" t="n">
        <v>72.2</v>
      </c>
      <c r="H15" s="43" t="inlineStr">
        <is>
          <t>Davis Love + Mark Love</t>
        </is>
      </c>
    </row>
    <row r="16" ht="15" customHeight="1" s="2">
      <c r="A16" s="55" t="n">
        <v>6</v>
      </c>
      <c r="B16" s="46" t="inlineStr">
        <is>
          <t>Arcadia Bluffs</t>
        </is>
      </c>
      <c r="C16" s="46" t="inlineStr">
        <is>
          <t>Arcadia</t>
        </is>
      </c>
      <c r="D16" s="46" t="inlineStr">
        <is>
          <t>MI</t>
        </is>
      </c>
      <c r="E16" s="55" t="n">
        <v>6389</v>
      </c>
      <c r="F16" s="55" t="n">
        <v>134</v>
      </c>
      <c r="G16" s="55" t="n">
        <v>70.5</v>
      </c>
      <c r="H16" s="46" t="inlineStr">
        <is>
          <t>Warren Henderson</t>
        </is>
      </c>
    </row>
    <row r="17" ht="15" customHeight="1" s="2">
      <c r="A17" s="52" t="n">
        <v>7</v>
      </c>
      <c r="B17" s="43" t="inlineStr">
        <is>
          <t>Pebble Beach</t>
        </is>
      </c>
      <c r="C17" s="43" t="inlineStr">
        <is>
          <t>Pebble Beach</t>
        </is>
      </c>
      <c r="D17" s="43" t="inlineStr">
        <is>
          <t>CA</t>
        </is>
      </c>
      <c r="E17" s="52" t="n">
        <v>6454</v>
      </c>
      <c r="F17" s="52" t="n">
        <v>138</v>
      </c>
      <c r="G17" s="52" t="n"/>
      <c r="H17" s="43" t="inlineStr">
        <is>
          <t>Jack Neville + Douglas Grant / Chandler Egan</t>
        </is>
      </c>
    </row>
    <row r="18" ht="15" customHeight="1" s="2">
      <c r="A18" s="55" t="n">
        <v>7</v>
      </c>
      <c r="B18" s="46" t="inlineStr">
        <is>
          <t>Spyglass Hill</t>
        </is>
      </c>
      <c r="C18" s="46" t="inlineStr">
        <is>
          <t>Pebble Beach</t>
        </is>
      </c>
      <c r="D18" s="46" t="inlineStr">
        <is>
          <t>CA</t>
        </is>
      </c>
      <c r="E18" s="55" t="n">
        <v>6123</v>
      </c>
      <c r="F18" s="55" t="n">
        <v>133</v>
      </c>
      <c r="G18" s="55" t="n"/>
      <c r="H18" s="46" t="inlineStr">
        <is>
          <t>Robert Trent Jones, Sr.</t>
        </is>
      </c>
    </row>
    <row r="19" ht="15" customHeight="1" s="2">
      <c r="A19" s="52" t="n">
        <v>7</v>
      </c>
      <c r="B19" s="43" t="inlineStr">
        <is>
          <t>The Links at Spanish Bay</t>
        </is>
      </c>
      <c r="C19" s="43" t="inlineStr">
        <is>
          <t>Pebble Beach</t>
        </is>
      </c>
      <c r="D19" s="43" t="inlineStr">
        <is>
          <t>CA</t>
        </is>
      </c>
      <c r="E19" s="52" t="n">
        <v>6422</v>
      </c>
      <c r="F19" s="52" t="n">
        <v>136</v>
      </c>
      <c r="G19" s="52" t="n"/>
      <c r="H19" s="43" t="inlineStr">
        <is>
          <t>Robert Trent Jones, Jr.</t>
        </is>
      </c>
    </row>
    <row r="20" ht="15" customHeight="1" s="2">
      <c r="A20" s="55" t="n">
        <v>7</v>
      </c>
      <c r="B20" s="46" t="inlineStr">
        <is>
          <t>Pacific Grove</t>
        </is>
      </c>
      <c r="C20" s="46" t="inlineStr">
        <is>
          <t>Pacific Grove</t>
        </is>
      </c>
      <c r="D20" s="46" t="inlineStr">
        <is>
          <t>CA</t>
        </is>
      </c>
      <c r="E20" s="55" t="n">
        <v>5727</v>
      </c>
      <c r="F20" s="55" t="n">
        <v>113</v>
      </c>
      <c r="G20" s="55" t="n"/>
      <c r="H20" s="46" t="inlineStr">
        <is>
          <t>Chandler Egan / Jack Neville</t>
        </is>
      </c>
    </row>
    <row r="21" ht="15" customHeight="1" s="2">
      <c r="A21" s="52" t="n">
        <v>8</v>
      </c>
      <c r="B21" s="43" t="inlineStr">
        <is>
          <t>Sand Valley</t>
        </is>
      </c>
      <c r="C21" s="43" t="inlineStr">
        <is>
          <t>Nekoosa</t>
        </is>
      </c>
      <c r="D21" s="43" t="inlineStr">
        <is>
          <t>WI</t>
        </is>
      </c>
      <c r="E21" s="52" t="n">
        <v>6535</v>
      </c>
      <c r="F21" s="52" t="n">
        <v>130</v>
      </c>
      <c r="G21" s="52" t="n"/>
      <c r="H21" s="43" t="inlineStr">
        <is>
          <t>Bill Coore + Ben Crenshaw</t>
        </is>
      </c>
    </row>
    <row r="22" ht="15" customHeight="1" s="2">
      <c r="A22" s="55" t="n">
        <v>8</v>
      </c>
      <c r="B22" s="46" t="inlineStr">
        <is>
          <t>Mammoth Dunes</t>
        </is>
      </c>
      <c r="C22" s="46" t="inlineStr">
        <is>
          <t>Nekoosa</t>
        </is>
      </c>
      <c r="D22" s="46" t="inlineStr">
        <is>
          <t>WI</t>
        </is>
      </c>
      <c r="E22" s="55" t="n">
        <v>6587</v>
      </c>
      <c r="F22" s="55" t="n">
        <v>124</v>
      </c>
      <c r="G22" s="55" t="n"/>
      <c r="H22" s="46" t="inlineStr">
        <is>
          <t>David McLay-Kidd</t>
        </is>
      </c>
    </row>
    <row r="23" ht="15" customHeight="1" s="2">
      <c r="A23" s="52" t="n">
        <v>9</v>
      </c>
      <c r="B23" s="43" t="inlineStr">
        <is>
          <t>Seaside</t>
        </is>
      </c>
      <c r="C23" s="43" t="inlineStr">
        <is>
          <t>Sea Island</t>
        </is>
      </c>
      <c r="D23" s="43" t="inlineStr">
        <is>
          <t>GA</t>
        </is>
      </c>
      <c r="E23" s="52" t="n">
        <v>6323</v>
      </c>
      <c r="F23" s="52" t="n">
        <v>136</v>
      </c>
      <c r="G23" s="52" t="n">
        <v>71.09999999999999</v>
      </c>
      <c r="H23" s="43" t="inlineStr">
        <is>
          <t>Harry Colt + Charles Alison / Tom Fazio</t>
        </is>
      </c>
    </row>
    <row r="24" ht="15" customHeight="1" s="2">
      <c r="A24" s="55" t="n">
        <v>9</v>
      </c>
      <c r="B24" s="46" t="inlineStr">
        <is>
          <t>Seaside</t>
        </is>
      </c>
      <c r="C24" s="46" t="inlineStr">
        <is>
          <t>Sea Island</t>
        </is>
      </c>
      <c r="D24" s="46" t="inlineStr">
        <is>
          <t>GA</t>
        </is>
      </c>
      <c r="E24" s="55" t="n">
        <v>6657</v>
      </c>
      <c r="F24" s="55" t="n">
        <v>139</v>
      </c>
      <c r="G24" s="55" t="n"/>
      <c r="H24" s="46" t="inlineStr">
        <is>
          <t>Harry Colt + Charles Alison / Tom Fazio</t>
        </is>
      </c>
    </row>
    <row r="25" ht="15" customHeight="1" s="2">
      <c r="A25" s="52" t="n">
        <v>10</v>
      </c>
      <c r="B25" s="43" t="inlineStr">
        <is>
          <t>The Island</t>
        </is>
      </c>
      <c r="C25" s="43" t="inlineStr">
        <is>
          <t>Dublin</t>
        </is>
      </c>
      <c r="D25" s="43" t="inlineStr">
        <is>
          <t>Ireland</t>
        </is>
      </c>
      <c r="E25" s="52" t="n"/>
      <c r="F25" s="52" t="n"/>
      <c r="G25" s="52" t="n"/>
      <c r="H25" s="43" t="inlineStr">
        <is>
          <t>Eddie Hackett and others</t>
        </is>
      </c>
    </row>
    <row r="26" ht="15" customHeight="1" s="2">
      <c r="A26" s="55" t="n">
        <v>10</v>
      </c>
      <c r="B26" s="46" t="inlineStr">
        <is>
          <t>Portmarnock</t>
        </is>
      </c>
      <c r="C26" s="46" t="inlineStr">
        <is>
          <t>Dublin</t>
        </is>
      </c>
      <c r="D26" s="46" t="inlineStr">
        <is>
          <t>Ireland</t>
        </is>
      </c>
      <c r="E26" s="55" t="n"/>
      <c r="F26" s="55" t="n"/>
      <c r="G26" s="55" t="n"/>
      <c r="H26" s="46" t="inlineStr">
        <is>
          <t>William Pickeman</t>
        </is>
      </c>
    </row>
    <row r="27" ht="15" customHeight="1" s="2">
      <c r="A27" s="52" t="n">
        <v>10</v>
      </c>
      <c r="B27" s="43" t="inlineStr">
        <is>
          <t>The European Club</t>
        </is>
      </c>
      <c r="C27" s="43" t="inlineStr">
        <is>
          <t>Wicklow</t>
        </is>
      </c>
      <c r="D27" s="43" t="inlineStr">
        <is>
          <t>Ireland</t>
        </is>
      </c>
      <c r="E27" s="52" t="n"/>
      <c r="F27" s="52" t="n"/>
      <c r="G27" s="52" t="n"/>
      <c r="H27" s="43" t="inlineStr">
        <is>
          <t>Pat Ruddy</t>
        </is>
      </c>
    </row>
    <row r="28" ht="15" customHeight="1" s="2">
      <c r="A28" s="55" t="n">
        <v>11</v>
      </c>
      <c r="B28" s="46" t="inlineStr">
        <is>
          <t>Pinehurst No. 2</t>
        </is>
      </c>
      <c r="C28" s="46" t="inlineStr">
        <is>
          <t>Pinehurst</t>
        </is>
      </c>
      <c r="D28" s="46" t="inlineStr">
        <is>
          <t>NC</t>
        </is>
      </c>
      <c r="E28" s="55" t="n"/>
      <c r="F28" s="55" t="n"/>
      <c r="G28" s="55" t="n"/>
      <c r="H28" s="46" t="inlineStr">
        <is>
          <t>Donald Ross</t>
        </is>
      </c>
    </row>
    <row r="29" ht="15" customHeight="1" s="2">
      <c r="A29" s="52" t="n">
        <v>11</v>
      </c>
      <c r="B29" s="43" t="inlineStr">
        <is>
          <t>Pinehurst No. 3</t>
        </is>
      </c>
      <c r="C29" s="43" t="inlineStr">
        <is>
          <t>Pinehurst</t>
        </is>
      </c>
      <c r="D29" s="43" t="inlineStr">
        <is>
          <t>NC</t>
        </is>
      </c>
      <c r="E29" s="52" t="n"/>
      <c r="F29" s="52" t="n"/>
      <c r="G29" s="52" t="n"/>
      <c r="H29" s="43" t="inlineStr">
        <is>
          <t>Donald Ross</t>
        </is>
      </c>
    </row>
    <row r="30" ht="15" customHeight="1" s="2">
      <c r="A30" s="55" t="n">
        <v>11</v>
      </c>
      <c r="B30" s="46" t="inlineStr">
        <is>
          <t>Pinehurst No. 10</t>
        </is>
      </c>
      <c r="C30" s="46" t="inlineStr">
        <is>
          <t>Pinehurst</t>
        </is>
      </c>
      <c r="D30" s="46" t="inlineStr">
        <is>
          <t>NC</t>
        </is>
      </c>
      <c r="E30" s="55" t="n"/>
      <c r="F30" s="55" t="n"/>
      <c r="G30" s="55" t="n"/>
      <c r="H30" s="46" t="inlineStr">
        <is>
          <t>Tom Doak</t>
        </is>
      </c>
    </row>
    <row r="31" ht="15" customHeight="1" s="2">
      <c r="A31" s="91" t="n"/>
      <c r="B31" s="49" t="inlineStr">
        <is>
          <t>Average (rated courses)</t>
        </is>
      </c>
      <c r="C31" s="91" t="n"/>
      <c r="D31" s="91" t="n"/>
      <c r="E31" s="92">
        <f>AVERAGE(E5:E30)</f>
        <v/>
      </c>
      <c r="F31" s="92">
        <f>AVERAGE(F5:F30)</f>
        <v/>
      </c>
      <c r="G31" s="92">
        <f>AVERAGE(G5:G30)</f>
        <v/>
      </c>
      <c r="H31" s="9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Q30"/>
  <sheetViews>
    <sheetView zoomScaleNormal="100" workbookViewId="0">
      <selection activeCell="A1" sqref="A1"/>
    </sheetView>
  </sheetViews>
  <sheetFormatPr baseColWidth="10" defaultColWidth="8.83203125" defaultRowHeight="15"/>
  <sheetData>
    <row r="1" ht="15" customHeight="1" s="2">
      <c r="A1" s="26" t="n"/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  <c r="AA1" s="26" t="n"/>
      <c r="AB1" s="26" t="n"/>
      <c r="AC1" s="26" t="n"/>
      <c r="AD1" s="26" t="n"/>
      <c r="AE1" s="26" t="n"/>
      <c r="AF1" s="26" t="n"/>
      <c r="AG1" s="26" t="n"/>
      <c r="AH1" s="26" t="n"/>
      <c r="AI1" s="26" t="n"/>
      <c r="AJ1" s="26" t="n"/>
      <c r="AK1" s="26" t="n"/>
      <c r="AL1" s="26" t="n"/>
      <c r="AM1" s="26" t="n"/>
      <c r="AN1" s="26" t="n"/>
      <c r="AO1" s="26" t="n"/>
      <c r="AP1" s="26" t="n"/>
      <c r="AQ1" s="26" t="n"/>
    </row>
    <row r="2" ht="15" customHeight="1" s="2">
      <c r="A2" t="inlineStr">
        <is>
          <t>Captain Size</t>
        </is>
      </c>
      <c r="B2" t="inlineStr">
        <is>
          <t>Over 6'</t>
        </is>
      </c>
      <c r="H2" t="inlineStr">
        <is>
          <t>Captain Size</t>
        </is>
      </c>
      <c r="I2" t="inlineStr">
        <is>
          <t>Over 6'</t>
        </is>
      </c>
      <c r="Q2" t="inlineStr">
        <is>
          <t>Lifetime Win% w/ Captain Over 6' Tall</t>
        </is>
      </c>
      <c r="W2" t="inlineStr">
        <is>
          <t>Captain Size</t>
        </is>
      </c>
      <c r="X2" t="inlineStr">
        <is>
          <t>Under 6'</t>
        </is>
      </c>
      <c r="AD2" t="inlineStr">
        <is>
          <t>Captain Size</t>
        </is>
      </c>
      <c r="AE2" t="inlineStr">
        <is>
          <t>Under 6'</t>
        </is>
      </c>
      <c r="AM2" t="inlineStr">
        <is>
          <t>Lifetime Win % w/ Captain Under 6' Tall</t>
        </is>
      </c>
    </row>
    <row r="3" ht="15" customHeight="1" s="2">
      <c r="R3" t="inlineStr">
        <is>
          <t>Wins</t>
        </is>
      </c>
      <c r="S3" t="inlineStr">
        <is>
          <t>Matches</t>
        </is>
      </c>
      <c r="T3" t="inlineStr">
        <is>
          <t>Win %</t>
        </is>
      </c>
      <c r="U3" t="inlineStr">
        <is>
          <t>Team</t>
        </is>
      </c>
      <c r="AN3" t="inlineStr">
        <is>
          <t>Wins</t>
        </is>
      </c>
      <c r="AO3" t="inlineStr">
        <is>
          <t>Matches</t>
        </is>
      </c>
      <c r="AP3" t="inlineStr">
        <is>
          <t>Win %</t>
        </is>
      </c>
      <c r="AQ3" t="inlineStr">
        <is>
          <t>Team</t>
        </is>
      </c>
    </row>
    <row r="4" ht="15" customHeight="1" s="2">
      <c r="B4" t="inlineStr">
        <is>
          <t>Sum of W</t>
        </is>
      </c>
      <c r="C4" t="inlineStr">
        <is>
          <t>Sum of L</t>
        </is>
      </c>
      <c r="D4" t="inlineStr">
        <is>
          <t>Sum of T</t>
        </is>
      </c>
      <c r="E4" t="inlineStr">
        <is>
          <t>Pts</t>
        </is>
      </c>
      <c r="F4" t="inlineStr">
        <is>
          <t>Matches</t>
        </is>
      </c>
      <c r="I4" t="inlineStr">
        <is>
          <t>Sum of W</t>
        </is>
      </c>
      <c r="J4" t="inlineStr">
        <is>
          <t>Sum of L</t>
        </is>
      </c>
      <c r="K4" t="inlineStr">
        <is>
          <t>Sum of T</t>
        </is>
      </c>
      <c r="L4" t="inlineStr">
        <is>
          <t>Pts</t>
        </is>
      </c>
      <c r="M4" t="inlineStr">
        <is>
          <t>Matches</t>
        </is>
      </c>
      <c r="Q4" t="inlineStr">
        <is>
          <t>Jackson</t>
        </is>
      </c>
      <c r="R4" t="n">
        <v>5</v>
      </c>
      <c r="S4" t="n">
        <v>5</v>
      </c>
      <c r="T4" t="n">
        <v>1</v>
      </c>
      <c r="U4" t="inlineStr">
        <is>
          <t>Fogan</t>
        </is>
      </c>
      <c r="X4" t="inlineStr">
        <is>
          <t>Sum of W</t>
        </is>
      </c>
      <c r="Y4" t="inlineStr">
        <is>
          <t>Sum of L</t>
        </is>
      </c>
      <c r="Z4" t="inlineStr">
        <is>
          <t>Sum of T</t>
        </is>
      </c>
      <c r="AA4" t="inlineStr">
        <is>
          <t>Pts</t>
        </is>
      </c>
      <c r="AB4" t="inlineStr">
        <is>
          <t>Matches</t>
        </is>
      </c>
      <c r="AE4" t="inlineStr">
        <is>
          <t>Sum of W</t>
        </is>
      </c>
      <c r="AF4" t="inlineStr">
        <is>
          <t>Sum of L</t>
        </is>
      </c>
      <c r="AG4" t="inlineStr">
        <is>
          <t>Sum of T</t>
        </is>
      </c>
      <c r="AH4" t="inlineStr">
        <is>
          <t>Pts</t>
        </is>
      </c>
      <c r="AI4" t="inlineStr">
        <is>
          <t>Matches</t>
        </is>
      </c>
      <c r="AM4" t="inlineStr">
        <is>
          <t>Lynch</t>
        </is>
      </c>
      <c r="AN4" t="n">
        <v>0</v>
      </c>
      <c r="AO4" t="n">
        <v>0</v>
      </c>
      <c r="AQ4" t="inlineStr">
        <is>
          <t>Fogan</t>
        </is>
      </c>
    </row>
    <row r="5" ht="15" customHeight="1" s="2">
      <c r="A5" t="inlineStr">
        <is>
          <t>Buss</t>
        </is>
      </c>
      <c r="B5" t="n">
        <v>5</v>
      </c>
      <c r="C5" t="n">
        <v>5</v>
      </c>
      <c r="D5" t="n">
        <v>1</v>
      </c>
      <c r="E5" t="n">
        <v>5.5</v>
      </c>
      <c r="F5" t="n">
        <v>11</v>
      </c>
      <c r="H5" t="inlineStr">
        <is>
          <t>Connors</t>
        </is>
      </c>
      <c r="I5" t="n">
        <v>1</v>
      </c>
      <c r="J5" t="n">
        <v>2</v>
      </c>
      <c r="K5" t="n">
        <v>1</v>
      </c>
      <c r="L5" t="n">
        <v>1.5</v>
      </c>
      <c r="M5" t="n">
        <v>4</v>
      </c>
      <c r="Q5" t="inlineStr">
        <is>
          <t>Grise</t>
        </is>
      </c>
      <c r="R5" t="n">
        <v>11</v>
      </c>
      <c r="S5" t="n">
        <v>17</v>
      </c>
      <c r="T5" t="n">
        <v>0.647058823529412</v>
      </c>
      <c r="U5" t="inlineStr">
        <is>
          <t>Fogan</t>
        </is>
      </c>
      <c r="W5" t="inlineStr">
        <is>
          <t>Buss</t>
        </is>
      </c>
      <c r="X5" t="n">
        <v>2</v>
      </c>
      <c r="Y5" t="n">
        <v>3</v>
      </c>
      <c r="Z5" t="n">
        <v>0</v>
      </c>
      <c r="AA5" t="n">
        <v>2</v>
      </c>
      <c r="AB5" t="n">
        <v>5</v>
      </c>
      <c r="AD5" t="inlineStr">
        <is>
          <t>Connors</t>
        </is>
      </c>
      <c r="AE5" t="n">
        <v>0</v>
      </c>
      <c r="AF5" t="n">
        <v>2</v>
      </c>
      <c r="AG5" t="n">
        <v>0</v>
      </c>
      <c r="AH5" t="n">
        <v>0</v>
      </c>
      <c r="AI5" t="n">
        <v>2</v>
      </c>
      <c r="AM5" t="inlineStr">
        <is>
          <t>Jackson</t>
        </is>
      </c>
      <c r="AN5" t="n">
        <v>13</v>
      </c>
      <c r="AO5" t="n">
        <v>22</v>
      </c>
      <c r="AP5" t="n">
        <v>0.5909090909090911</v>
      </c>
      <c r="AQ5" t="inlineStr">
        <is>
          <t>Fogan</t>
        </is>
      </c>
    </row>
    <row r="6" ht="15" customHeight="1" s="2">
      <c r="A6" t="inlineStr">
        <is>
          <t>Cole</t>
        </is>
      </c>
      <c r="B6" t="n">
        <v>2</v>
      </c>
      <c r="C6" t="n">
        <v>7</v>
      </c>
      <c r="D6" t="n">
        <v>3</v>
      </c>
      <c r="E6" t="n">
        <v>3.5</v>
      </c>
      <c r="F6" t="n">
        <v>12</v>
      </c>
      <c r="H6" t="inlineStr">
        <is>
          <t>Ferrin</t>
        </is>
      </c>
      <c r="I6" t="n">
        <v>0</v>
      </c>
      <c r="J6" t="n">
        <v>2</v>
      </c>
      <c r="K6" t="n">
        <v>0</v>
      </c>
      <c r="L6" t="n">
        <v>0</v>
      </c>
      <c r="M6" t="n">
        <v>2</v>
      </c>
      <c r="Q6" t="inlineStr">
        <is>
          <t>Mangold</t>
        </is>
      </c>
      <c r="R6" t="n">
        <v>7</v>
      </c>
      <c r="S6" t="n">
        <v>11</v>
      </c>
      <c r="T6" t="n">
        <v>0.636363636363636</v>
      </c>
      <c r="U6" t="inlineStr">
        <is>
          <t>Fogan</t>
        </is>
      </c>
      <c r="W6" t="inlineStr">
        <is>
          <t>Cole</t>
        </is>
      </c>
      <c r="X6" t="n">
        <v>4</v>
      </c>
      <c r="Y6" t="n">
        <v>6</v>
      </c>
      <c r="Z6" t="n">
        <v>0</v>
      </c>
      <c r="AA6" t="n">
        <v>4</v>
      </c>
      <c r="AB6" t="n">
        <v>10</v>
      </c>
      <c r="AD6" t="inlineStr">
        <is>
          <t>Flanders</t>
        </is>
      </c>
      <c r="AE6" t="n">
        <v>2</v>
      </c>
      <c r="AF6" t="n">
        <v>0</v>
      </c>
      <c r="AG6" t="n">
        <v>0</v>
      </c>
      <c r="AH6" t="n">
        <v>2</v>
      </c>
      <c r="AI6" t="n">
        <v>2</v>
      </c>
      <c r="AM6" t="inlineStr">
        <is>
          <t>Buss</t>
        </is>
      </c>
      <c r="AN6" t="n">
        <v>2</v>
      </c>
      <c r="AO6" t="n">
        <v>5</v>
      </c>
      <c r="AP6" t="n">
        <v>0.4</v>
      </c>
      <c r="AQ6" t="inlineStr">
        <is>
          <t>Fogan</t>
        </is>
      </c>
    </row>
    <row r="7" ht="15" customHeight="1" s="2">
      <c r="A7" t="inlineStr">
        <is>
          <t>Connolly</t>
        </is>
      </c>
      <c r="B7" t="n">
        <v>17</v>
      </c>
      <c r="C7" t="n">
        <v>6</v>
      </c>
      <c r="D7" t="n">
        <v>4</v>
      </c>
      <c r="E7" t="n">
        <v>19</v>
      </c>
      <c r="F7" t="n">
        <v>27</v>
      </c>
      <c r="H7" t="inlineStr">
        <is>
          <t>Fogan</t>
        </is>
      </c>
      <c r="I7" t="n">
        <v>0</v>
      </c>
      <c r="J7" t="n">
        <v>2</v>
      </c>
      <c r="K7" t="n">
        <v>0</v>
      </c>
      <c r="L7" t="n">
        <v>0</v>
      </c>
      <c r="M7" t="n">
        <v>2</v>
      </c>
      <c r="Q7" t="inlineStr">
        <is>
          <t>Lynch</t>
        </is>
      </c>
      <c r="R7" t="n">
        <v>15</v>
      </c>
      <c r="S7" t="n">
        <v>27</v>
      </c>
      <c r="T7" t="n">
        <v>0.555555555555556</v>
      </c>
      <c r="U7" t="inlineStr">
        <is>
          <t>Fogan</t>
        </is>
      </c>
      <c r="W7" t="inlineStr">
        <is>
          <t>Connors</t>
        </is>
      </c>
      <c r="X7" t="n">
        <v>5</v>
      </c>
      <c r="Y7" t="n">
        <v>8</v>
      </c>
      <c r="Z7" t="n">
        <v>0</v>
      </c>
      <c r="AA7" t="n">
        <v>5</v>
      </c>
      <c r="AB7" t="n">
        <v>13</v>
      </c>
      <c r="AD7" t="inlineStr">
        <is>
          <t>Forster</t>
        </is>
      </c>
      <c r="AE7" t="n">
        <v>3</v>
      </c>
      <c r="AF7" t="n">
        <v>3</v>
      </c>
      <c r="AG7" t="n">
        <v>0</v>
      </c>
      <c r="AH7" t="n">
        <v>3</v>
      </c>
      <c r="AI7" t="n">
        <v>6</v>
      </c>
      <c r="AM7" t="inlineStr">
        <is>
          <t>Grise</t>
        </is>
      </c>
      <c r="AN7" t="n">
        <v>3.5</v>
      </c>
      <c r="AO7" t="n">
        <v>10</v>
      </c>
      <c r="AP7" t="n">
        <v>0.35</v>
      </c>
      <c r="AQ7" t="inlineStr">
        <is>
          <t>Fogan</t>
        </is>
      </c>
    </row>
    <row r="8" ht="15" customHeight="1" s="2">
      <c r="A8" t="inlineStr">
        <is>
          <t>Connors</t>
        </is>
      </c>
      <c r="B8" t="n">
        <v>1</v>
      </c>
      <c r="C8" t="n">
        <v>2</v>
      </c>
      <c r="D8" t="n">
        <v>0</v>
      </c>
      <c r="E8" t="n">
        <v>1</v>
      </c>
      <c r="F8" t="n">
        <v>3</v>
      </c>
      <c r="H8" t="inlineStr">
        <is>
          <t>Forster</t>
        </is>
      </c>
      <c r="I8" t="n">
        <v>2</v>
      </c>
      <c r="J8" t="n">
        <v>0</v>
      </c>
      <c r="K8" t="n">
        <v>2</v>
      </c>
      <c r="L8" t="n">
        <v>3</v>
      </c>
      <c r="M8" t="n">
        <v>4</v>
      </c>
      <c r="Q8" t="inlineStr">
        <is>
          <t>Buss</t>
        </is>
      </c>
      <c r="R8" t="n">
        <v>5.5</v>
      </c>
      <c r="S8" t="n">
        <v>11</v>
      </c>
      <c r="T8" t="n">
        <v>0.5</v>
      </c>
      <c r="U8" t="inlineStr">
        <is>
          <t>Fogan</t>
        </is>
      </c>
      <c r="W8" t="inlineStr">
        <is>
          <t>Ferrin</t>
        </is>
      </c>
      <c r="X8" t="n">
        <v>14</v>
      </c>
      <c r="Y8" t="n">
        <v>6</v>
      </c>
      <c r="Z8" t="n">
        <v>2</v>
      </c>
      <c r="AA8" t="n">
        <v>15</v>
      </c>
      <c r="AB8" t="n">
        <v>22</v>
      </c>
      <c r="AD8" t="inlineStr">
        <is>
          <t>Grise</t>
        </is>
      </c>
      <c r="AE8" t="n">
        <v>0</v>
      </c>
      <c r="AF8" t="n">
        <v>2</v>
      </c>
      <c r="AG8" t="n">
        <v>0</v>
      </c>
      <c r="AH8" t="n">
        <v>0</v>
      </c>
      <c r="AI8" t="n">
        <v>2</v>
      </c>
      <c r="AM8" t="inlineStr">
        <is>
          <t>Hilts</t>
        </is>
      </c>
      <c r="AN8" t="n">
        <v>2</v>
      </c>
      <c r="AO8" t="n">
        <v>6</v>
      </c>
      <c r="AP8" t="n">
        <v>0.333333333333333</v>
      </c>
      <c r="AQ8" t="inlineStr">
        <is>
          <t>Fogan</t>
        </is>
      </c>
    </row>
    <row r="9" ht="15" customHeight="1" s="2">
      <c r="A9" t="inlineStr">
        <is>
          <t>Delaney</t>
        </is>
      </c>
      <c r="B9" t="n">
        <v>4</v>
      </c>
      <c r="C9" t="n">
        <v>1</v>
      </c>
      <c r="D9" t="n">
        <v>1</v>
      </c>
      <c r="E9" t="n">
        <v>4.5</v>
      </c>
      <c r="F9" t="n">
        <v>6</v>
      </c>
      <c r="H9" t="inlineStr">
        <is>
          <t>Grise</t>
        </is>
      </c>
      <c r="I9" t="n">
        <v>1</v>
      </c>
      <c r="J9" t="n">
        <v>1</v>
      </c>
      <c r="K9" t="n">
        <v>0</v>
      </c>
      <c r="L9" t="n">
        <v>1</v>
      </c>
      <c r="M9" t="n">
        <v>2</v>
      </c>
      <c r="Q9" t="inlineStr">
        <is>
          <t>Shively</t>
        </is>
      </c>
      <c r="R9" t="n">
        <v>9.5</v>
      </c>
      <c r="S9" t="n">
        <v>22</v>
      </c>
      <c r="T9" t="n">
        <v>0.431818181818182</v>
      </c>
      <c r="U9" t="inlineStr">
        <is>
          <t>Fogan</t>
        </is>
      </c>
      <c r="W9" t="inlineStr">
        <is>
          <t>Flanders</t>
        </is>
      </c>
      <c r="X9" t="n">
        <v>7</v>
      </c>
      <c r="Y9" t="n">
        <v>12</v>
      </c>
      <c r="Z9" t="n">
        <v>1</v>
      </c>
      <c r="AA9" t="n">
        <v>7.5</v>
      </c>
      <c r="AB9" t="n">
        <v>20</v>
      </c>
      <c r="AD9" t="inlineStr">
        <is>
          <t>Hickerson</t>
        </is>
      </c>
      <c r="AE9" t="n">
        <v>2</v>
      </c>
      <c r="AF9" t="n">
        <v>1</v>
      </c>
      <c r="AG9" t="n">
        <v>1</v>
      </c>
      <c r="AH9" t="n">
        <v>2.5</v>
      </c>
      <c r="AI9" t="n">
        <v>4</v>
      </c>
      <c r="AM9" t="inlineStr">
        <is>
          <t>Mangold</t>
        </is>
      </c>
      <c r="AN9" t="n">
        <v>5</v>
      </c>
      <c r="AO9" t="n">
        <v>16</v>
      </c>
      <c r="AP9" t="n">
        <v>0.3125</v>
      </c>
      <c r="AQ9" t="inlineStr">
        <is>
          <t>Fogan</t>
        </is>
      </c>
    </row>
    <row r="10" ht="15" customHeight="1" s="2">
      <c r="A10" t="inlineStr">
        <is>
          <t>Ferrin</t>
        </is>
      </c>
      <c r="B10" t="n">
        <v>1</v>
      </c>
      <c r="C10" t="n">
        <v>1</v>
      </c>
      <c r="D10" t="n">
        <v>1</v>
      </c>
      <c r="E10" t="n">
        <v>1.5</v>
      </c>
      <c r="F10" t="n">
        <v>3</v>
      </c>
      <c r="H10" t="inlineStr">
        <is>
          <t>Hickerson</t>
        </is>
      </c>
      <c r="I10" t="n">
        <v>2</v>
      </c>
      <c r="J10" t="n">
        <v>2</v>
      </c>
      <c r="K10" t="n">
        <v>0</v>
      </c>
      <c r="L10" t="n">
        <v>2</v>
      </c>
      <c r="M10" t="n">
        <v>4</v>
      </c>
      <c r="Q10" t="inlineStr">
        <is>
          <t>Hilts</t>
        </is>
      </c>
      <c r="R10" t="n">
        <v>6</v>
      </c>
      <c r="S10" t="n">
        <v>15</v>
      </c>
      <c r="T10" t="n">
        <v>0.4</v>
      </c>
      <c r="U10" t="inlineStr">
        <is>
          <t>Fogan</t>
        </is>
      </c>
      <c r="W10" t="inlineStr">
        <is>
          <t>Fogan</t>
        </is>
      </c>
      <c r="X10" t="n">
        <v>1</v>
      </c>
      <c r="Y10" t="n">
        <v>5</v>
      </c>
      <c r="Z10" t="n">
        <v>0</v>
      </c>
      <c r="AA10" t="n">
        <v>1</v>
      </c>
      <c r="AB10" t="n">
        <v>6</v>
      </c>
      <c r="AD10" t="inlineStr">
        <is>
          <t>Hilts</t>
        </is>
      </c>
      <c r="AE10" t="n">
        <v>1</v>
      </c>
      <c r="AF10" t="n">
        <v>3</v>
      </c>
      <c r="AG10" t="n">
        <v>0</v>
      </c>
      <c r="AH10" t="n">
        <v>1</v>
      </c>
      <c r="AI10" t="n">
        <v>4</v>
      </c>
      <c r="AM10" t="inlineStr">
        <is>
          <t>Shively</t>
        </is>
      </c>
      <c r="AN10" t="n">
        <v>1.5</v>
      </c>
      <c r="AO10" t="n">
        <v>5</v>
      </c>
      <c r="AP10" t="n">
        <v>0.3</v>
      </c>
      <c r="AQ10" t="inlineStr">
        <is>
          <t>Fogan</t>
        </is>
      </c>
    </row>
    <row r="11" ht="15" customHeight="1" s="2">
      <c r="A11" t="inlineStr">
        <is>
          <t>Flanders</t>
        </is>
      </c>
      <c r="B11" t="n">
        <v>1</v>
      </c>
      <c r="C11" t="n">
        <v>3</v>
      </c>
      <c r="D11" t="n">
        <v>1</v>
      </c>
      <c r="E11" t="n">
        <v>1.5</v>
      </c>
      <c r="F11" t="n">
        <v>5</v>
      </c>
      <c r="H11" t="inlineStr">
        <is>
          <t>Hilts</t>
        </is>
      </c>
      <c r="I11" t="n">
        <v>2</v>
      </c>
      <c r="J11" t="n">
        <v>3</v>
      </c>
      <c r="K11" t="n">
        <v>1</v>
      </c>
      <c r="L11" t="n">
        <v>2.5</v>
      </c>
      <c r="M11" t="n">
        <v>6</v>
      </c>
      <c r="Q11" t="inlineStr">
        <is>
          <t>Fogan</t>
        </is>
      </c>
      <c r="R11" t="n">
        <v>6</v>
      </c>
      <c r="S11" t="n">
        <v>16</v>
      </c>
      <c r="T11" t="n">
        <v>0.375</v>
      </c>
      <c r="U11" t="inlineStr">
        <is>
          <t>Fogan</t>
        </is>
      </c>
      <c r="W11" t="inlineStr">
        <is>
          <t>Forster</t>
        </is>
      </c>
      <c r="X11" t="n">
        <v>4</v>
      </c>
      <c r="Y11" t="n">
        <v>0</v>
      </c>
      <c r="Z11" t="n">
        <v>1</v>
      </c>
      <c r="AA11" t="n">
        <v>4.5</v>
      </c>
      <c r="AB11" t="n">
        <v>5</v>
      </c>
      <c r="AD11" t="inlineStr">
        <is>
          <t>Jackson</t>
        </is>
      </c>
      <c r="AE11" t="n">
        <v>9</v>
      </c>
      <c r="AF11" t="n">
        <v>5</v>
      </c>
      <c r="AG11" t="n">
        <v>2</v>
      </c>
      <c r="AH11" t="n">
        <v>10</v>
      </c>
      <c r="AI11" t="n">
        <v>16</v>
      </c>
      <c r="AM11" t="inlineStr">
        <is>
          <t>Fogan</t>
        </is>
      </c>
      <c r="AN11" t="n">
        <v>1</v>
      </c>
      <c r="AO11" t="n">
        <v>6</v>
      </c>
      <c r="AP11" t="n">
        <v>0.166666666666667</v>
      </c>
      <c r="AQ11" t="inlineStr">
        <is>
          <t>Fogan</t>
        </is>
      </c>
    </row>
    <row r="12" ht="15" customHeight="1" s="2">
      <c r="A12" t="inlineStr">
        <is>
          <t>Fogan</t>
        </is>
      </c>
      <c r="B12" t="n">
        <v>6</v>
      </c>
      <c r="C12" t="n">
        <v>8</v>
      </c>
      <c r="D12" t="n">
        <v>0</v>
      </c>
      <c r="E12" t="n">
        <v>6</v>
      </c>
      <c r="F12" t="n">
        <v>14</v>
      </c>
      <c r="H12" t="inlineStr">
        <is>
          <t>Jackson</t>
        </is>
      </c>
      <c r="I12" t="n">
        <v>4</v>
      </c>
      <c r="J12" t="n">
        <v>0</v>
      </c>
      <c r="K12" t="n">
        <v>0</v>
      </c>
      <c r="L12" t="n">
        <v>4</v>
      </c>
      <c r="M12" t="n">
        <v>4</v>
      </c>
      <c r="Q12" t="inlineStr">
        <is>
          <t>Forster</t>
        </is>
      </c>
      <c r="R12" t="n">
        <v>9</v>
      </c>
      <c r="S12" t="n">
        <v>11</v>
      </c>
      <c r="T12" t="n">
        <v>0.818181818181818</v>
      </c>
      <c r="U12" t="inlineStr">
        <is>
          <t>Norat</t>
        </is>
      </c>
      <c r="W12" t="inlineStr">
        <is>
          <t>Gray</t>
        </is>
      </c>
      <c r="X12" t="n">
        <v>5</v>
      </c>
      <c r="Y12" t="n">
        <v>4</v>
      </c>
      <c r="Z12" t="n">
        <v>3</v>
      </c>
      <c r="AA12" t="n">
        <v>6.5</v>
      </c>
      <c r="AB12" t="n">
        <v>12</v>
      </c>
      <c r="AD12" t="inlineStr">
        <is>
          <t>Mangold</t>
        </is>
      </c>
      <c r="AE12" t="n">
        <v>3</v>
      </c>
      <c r="AF12" t="n">
        <v>7</v>
      </c>
      <c r="AG12" t="n">
        <v>0</v>
      </c>
      <c r="AH12" t="n">
        <v>3</v>
      </c>
      <c r="AI12" t="n">
        <v>10</v>
      </c>
      <c r="AM12" t="inlineStr">
        <is>
          <t>McInerney</t>
        </is>
      </c>
      <c r="AN12" t="n">
        <v>0</v>
      </c>
      <c r="AO12" t="n">
        <v>0</v>
      </c>
      <c r="AQ12" t="inlineStr">
        <is>
          <t>Fogan</t>
        </is>
      </c>
    </row>
    <row r="13" ht="15" customHeight="1" s="2">
      <c r="A13" t="inlineStr">
        <is>
          <t>Forster</t>
        </is>
      </c>
      <c r="B13" t="n">
        <v>6</v>
      </c>
      <c r="C13" t="n">
        <v>1</v>
      </c>
      <c r="D13" t="n">
        <v>0</v>
      </c>
      <c r="E13" t="n">
        <v>6</v>
      </c>
      <c r="F13" t="n">
        <v>7</v>
      </c>
      <c r="H13" t="inlineStr">
        <is>
          <t>Lynch</t>
        </is>
      </c>
      <c r="I13" t="n">
        <v>11</v>
      </c>
      <c r="J13" t="n">
        <v>8</v>
      </c>
      <c r="K13" t="n">
        <v>1</v>
      </c>
      <c r="L13" t="n">
        <v>11.5</v>
      </c>
      <c r="M13" t="n">
        <v>20</v>
      </c>
      <c r="Q13" t="inlineStr">
        <is>
          <t>Connolly</t>
        </is>
      </c>
      <c r="R13" t="n">
        <v>19</v>
      </c>
      <c r="S13" t="n">
        <v>27</v>
      </c>
      <c r="T13" t="n">
        <v>0.7037037037037041</v>
      </c>
      <c r="U13" t="inlineStr">
        <is>
          <t>Norat</t>
        </is>
      </c>
      <c r="W13" t="inlineStr">
        <is>
          <t>Grise</t>
        </is>
      </c>
      <c r="X13" t="n">
        <v>3</v>
      </c>
      <c r="Y13" t="n">
        <v>4</v>
      </c>
      <c r="Z13" t="n">
        <v>1</v>
      </c>
      <c r="AA13" t="n">
        <v>3.5</v>
      </c>
      <c r="AB13" t="n">
        <v>8</v>
      </c>
      <c r="AD13" t="inlineStr">
        <is>
          <t>Norat</t>
        </is>
      </c>
      <c r="AE13" t="n">
        <v>2</v>
      </c>
      <c r="AF13" t="n">
        <v>4</v>
      </c>
      <c r="AG13" t="n">
        <v>2</v>
      </c>
      <c r="AH13" t="n">
        <v>3</v>
      </c>
      <c r="AI13" t="n">
        <v>8</v>
      </c>
      <c r="AM13" t="inlineStr">
        <is>
          <t>Gray</t>
        </is>
      </c>
      <c r="AN13" t="n">
        <v>6.5</v>
      </c>
      <c r="AO13" t="n">
        <v>12</v>
      </c>
      <c r="AP13" t="n">
        <v>0.541666666666667</v>
      </c>
      <c r="AQ13" t="inlineStr">
        <is>
          <t>Fogan</t>
        </is>
      </c>
    </row>
    <row r="14" ht="15" customHeight="1" s="2">
      <c r="A14" t="inlineStr">
        <is>
          <t>Gray</t>
        </is>
      </c>
      <c r="B14" t="n">
        <v>3</v>
      </c>
      <c r="C14" t="n">
        <v>2</v>
      </c>
      <c r="D14" t="n">
        <v>0</v>
      </c>
      <c r="E14" t="n">
        <v>3</v>
      </c>
      <c r="F14" t="n">
        <v>5</v>
      </c>
      <c r="H14" t="inlineStr">
        <is>
          <t>Mangold</t>
        </is>
      </c>
      <c r="I14" t="n">
        <v>2</v>
      </c>
      <c r="J14" t="n">
        <v>2</v>
      </c>
      <c r="K14" t="n">
        <v>2</v>
      </c>
      <c r="L14" t="n">
        <v>3</v>
      </c>
      <c r="M14" t="n">
        <v>6</v>
      </c>
      <c r="Q14" t="inlineStr">
        <is>
          <t>Poirier</t>
        </is>
      </c>
      <c r="R14" t="n">
        <v>2.5</v>
      </c>
      <c r="S14" t="n">
        <v>5</v>
      </c>
      <c r="T14" t="n">
        <v>0.5</v>
      </c>
      <c r="U14" t="inlineStr">
        <is>
          <t>Norat</t>
        </is>
      </c>
      <c r="W14" t="inlineStr">
        <is>
          <t>Hickerson</t>
        </is>
      </c>
      <c r="X14" t="n">
        <v>0</v>
      </c>
      <c r="Y14" t="n">
        <v>0</v>
      </c>
      <c r="Z14" t="n">
        <v>1</v>
      </c>
      <c r="AA14" t="n">
        <v>0.5</v>
      </c>
      <c r="AB14" t="n">
        <v>1</v>
      </c>
      <c r="AD14" t="inlineStr">
        <is>
          <t>Poirier</t>
        </is>
      </c>
      <c r="AE14" t="n">
        <v>1</v>
      </c>
      <c r="AF14" t="n">
        <v>2</v>
      </c>
      <c r="AG14" t="n">
        <v>1</v>
      </c>
      <c r="AH14" t="n">
        <v>1.5</v>
      </c>
      <c r="AI14" t="n">
        <v>4</v>
      </c>
    </row>
    <row r="15" ht="15" customHeight="1" s="2">
      <c r="A15" t="inlineStr">
        <is>
          <t>Grise</t>
        </is>
      </c>
      <c r="B15" t="n">
        <v>10</v>
      </c>
      <c r="C15" t="n">
        <v>5</v>
      </c>
      <c r="D15" t="n">
        <v>0</v>
      </c>
      <c r="E15" t="n">
        <v>10</v>
      </c>
      <c r="F15" t="n">
        <v>15</v>
      </c>
      <c r="H15" t="inlineStr">
        <is>
          <t>McInerney</t>
        </is>
      </c>
      <c r="I15" t="n">
        <v>4</v>
      </c>
      <c r="J15" t="n">
        <v>4</v>
      </c>
      <c r="K15" t="n">
        <v>2</v>
      </c>
      <c r="L15" t="n">
        <v>5</v>
      </c>
      <c r="M15" t="n">
        <v>10</v>
      </c>
      <c r="Q15" t="inlineStr">
        <is>
          <t>Connors</t>
        </is>
      </c>
      <c r="R15" t="n">
        <v>2.5</v>
      </c>
      <c r="S15" t="n">
        <v>7</v>
      </c>
      <c r="T15" t="n">
        <v>0.357142857142857</v>
      </c>
      <c r="U15" t="inlineStr">
        <is>
          <t>Norat</t>
        </is>
      </c>
      <c r="W15" t="inlineStr">
        <is>
          <t>Hilts</t>
        </is>
      </c>
      <c r="X15" t="n">
        <v>1</v>
      </c>
      <c r="Y15" t="n">
        <v>1</v>
      </c>
      <c r="Z15" t="n">
        <v>0</v>
      </c>
      <c r="AA15" t="n">
        <v>1</v>
      </c>
      <c r="AB15" t="n">
        <v>2</v>
      </c>
      <c r="AD15" t="inlineStr">
        <is>
          <t>Shively</t>
        </is>
      </c>
      <c r="AE15" t="n">
        <v>1</v>
      </c>
      <c r="AF15" t="n">
        <v>2</v>
      </c>
      <c r="AG15" t="n">
        <v>1</v>
      </c>
      <c r="AH15" t="n">
        <v>1.5</v>
      </c>
      <c r="AI15" t="n">
        <v>4</v>
      </c>
      <c r="AM15" t="inlineStr">
        <is>
          <t>Forster</t>
        </is>
      </c>
      <c r="AN15" t="n">
        <v>7.5</v>
      </c>
      <c r="AO15" t="n">
        <v>11</v>
      </c>
      <c r="AP15" t="n">
        <v>0.681818181818182</v>
      </c>
      <c r="AQ15" t="inlineStr">
        <is>
          <t>Norat</t>
        </is>
      </c>
    </row>
    <row r="16" ht="15" customHeight="1" s="2">
      <c r="A16" t="inlineStr">
        <is>
          <t>Hickerson</t>
        </is>
      </c>
      <c r="B16" t="n">
        <v>2</v>
      </c>
      <c r="C16" t="n">
        <v>9</v>
      </c>
      <c r="D16" t="n">
        <v>1</v>
      </c>
      <c r="E16" t="n">
        <v>2.5</v>
      </c>
      <c r="F16" t="n">
        <v>12</v>
      </c>
      <c r="H16" t="inlineStr">
        <is>
          <t>Poirier</t>
        </is>
      </c>
      <c r="I16" t="n">
        <v>1</v>
      </c>
      <c r="J16" t="n">
        <v>2</v>
      </c>
      <c r="K16" t="n">
        <v>1</v>
      </c>
      <c r="L16" t="n">
        <v>1.5</v>
      </c>
      <c r="M16" t="n">
        <v>4</v>
      </c>
      <c r="Q16" t="inlineStr">
        <is>
          <t>Ferrin</t>
        </is>
      </c>
      <c r="R16" t="n">
        <v>1.5</v>
      </c>
      <c r="S16" t="n">
        <v>5</v>
      </c>
      <c r="T16" t="n">
        <v>0.3</v>
      </c>
      <c r="U16" t="inlineStr">
        <is>
          <t>Norat</t>
        </is>
      </c>
      <c r="W16" t="inlineStr">
        <is>
          <t>Jackson</t>
        </is>
      </c>
      <c r="X16" t="n">
        <v>3</v>
      </c>
      <c r="Y16" t="n">
        <v>3</v>
      </c>
      <c r="Z16" t="n">
        <v>0</v>
      </c>
      <c r="AA16" t="n">
        <v>3</v>
      </c>
      <c r="AB16" t="n">
        <v>6</v>
      </c>
      <c r="AD16" t="inlineStr">
        <is>
          <t>Weisberger</t>
        </is>
      </c>
      <c r="AE16" t="n">
        <v>2</v>
      </c>
      <c r="AF16" t="n">
        <v>1</v>
      </c>
      <c r="AG16" t="n">
        <v>1</v>
      </c>
      <c r="AH16" t="n">
        <v>2.5</v>
      </c>
      <c r="AI16" t="n">
        <v>4</v>
      </c>
      <c r="AM16" t="inlineStr">
        <is>
          <t>Connolly</t>
        </is>
      </c>
      <c r="AN16" t="n">
        <v>0</v>
      </c>
      <c r="AO16" t="n">
        <v>0</v>
      </c>
      <c r="AQ16" t="inlineStr">
        <is>
          <t>Norat</t>
        </is>
      </c>
    </row>
    <row r="17" ht="15" customHeight="1" s="2">
      <c r="A17" t="inlineStr">
        <is>
          <t>Hilts</t>
        </is>
      </c>
      <c r="B17" t="n">
        <v>3</v>
      </c>
      <c r="C17" t="n">
        <v>5</v>
      </c>
      <c r="D17" t="n">
        <v>1</v>
      </c>
      <c r="E17" t="n">
        <v>3.5</v>
      </c>
      <c r="F17" t="n">
        <v>9</v>
      </c>
      <c r="H17" t="inlineStr">
        <is>
          <t>Shively</t>
        </is>
      </c>
      <c r="I17" t="n">
        <v>7</v>
      </c>
      <c r="J17" t="n">
        <v>8</v>
      </c>
      <c r="K17" t="n">
        <v>1</v>
      </c>
      <c r="L17" t="n">
        <v>7.5</v>
      </c>
      <c r="M17" t="n">
        <v>16</v>
      </c>
      <c r="Q17" t="inlineStr">
        <is>
          <t>Flanders</t>
        </is>
      </c>
      <c r="R17" t="n">
        <v>1.5</v>
      </c>
      <c r="S17" t="n">
        <v>5</v>
      </c>
      <c r="T17" t="n">
        <v>0.3</v>
      </c>
      <c r="U17" t="inlineStr">
        <is>
          <t>Norat</t>
        </is>
      </c>
      <c r="W17" t="inlineStr">
        <is>
          <t>Mangold</t>
        </is>
      </c>
      <c r="X17" t="n">
        <v>1</v>
      </c>
      <c r="Y17" t="n">
        <v>3</v>
      </c>
      <c r="Z17" t="n">
        <v>2</v>
      </c>
      <c r="AA17" t="n">
        <v>2</v>
      </c>
      <c r="AB17" t="n">
        <v>6</v>
      </c>
      <c r="AD17" t="inlineStr">
        <is>
          <t>Welker</t>
        </is>
      </c>
      <c r="AE17" t="n">
        <v>3</v>
      </c>
      <c r="AF17" t="n">
        <v>1</v>
      </c>
      <c r="AG17" t="n">
        <v>0</v>
      </c>
      <c r="AH17" t="n">
        <v>3</v>
      </c>
      <c r="AI17" t="n">
        <v>4</v>
      </c>
      <c r="AM17" t="inlineStr">
        <is>
          <t>Ferrin</t>
        </is>
      </c>
      <c r="AN17" t="n">
        <v>15</v>
      </c>
      <c r="AO17" t="n">
        <v>22</v>
      </c>
      <c r="AP17" t="n">
        <v>0.681818181818182</v>
      </c>
      <c r="AQ17" t="inlineStr">
        <is>
          <t>Norat</t>
        </is>
      </c>
    </row>
    <row r="18" ht="15" customHeight="1" s="2">
      <c r="A18" t="inlineStr">
        <is>
          <t>Jackson</t>
        </is>
      </c>
      <c r="B18" t="n">
        <v>1</v>
      </c>
      <c r="C18" t="n">
        <v>0</v>
      </c>
      <c r="D18" t="n">
        <v>0</v>
      </c>
      <c r="E18" t="n">
        <v>1</v>
      </c>
      <c r="F18" t="n">
        <v>1</v>
      </c>
      <c r="H18" t="inlineStr">
        <is>
          <t>Weisberger</t>
        </is>
      </c>
      <c r="I18" t="n">
        <v>3</v>
      </c>
      <c r="J18" t="n">
        <v>4</v>
      </c>
      <c r="K18" t="n">
        <v>1</v>
      </c>
      <c r="L18" t="n">
        <v>3.5</v>
      </c>
      <c r="M18" t="n">
        <v>8</v>
      </c>
      <c r="Q18" t="inlineStr">
        <is>
          <t>Cole</t>
        </is>
      </c>
      <c r="R18" t="n">
        <v>3.5</v>
      </c>
      <c r="S18" t="n">
        <v>12</v>
      </c>
      <c r="T18" t="n">
        <v>0.291666666666667</v>
      </c>
      <c r="U18" t="inlineStr">
        <is>
          <t>Norat</t>
        </is>
      </c>
      <c r="W18" t="inlineStr">
        <is>
          <t>Norat</t>
        </is>
      </c>
      <c r="X18" t="n">
        <v>3</v>
      </c>
      <c r="Y18" t="n">
        <v>1</v>
      </c>
      <c r="Z18" t="n">
        <v>1</v>
      </c>
      <c r="AA18" t="n">
        <v>3.5</v>
      </c>
      <c r="AB18" t="n">
        <v>5</v>
      </c>
      <c r="AD18" t="inlineStr">
        <is>
          <t>Zimmer</t>
        </is>
      </c>
      <c r="AE18" t="n">
        <v>2</v>
      </c>
      <c r="AF18" t="n">
        <v>0</v>
      </c>
      <c r="AG18" t="n">
        <v>0</v>
      </c>
      <c r="AH18" t="n">
        <v>2</v>
      </c>
      <c r="AI18" t="n">
        <v>2</v>
      </c>
      <c r="AM18" t="inlineStr">
        <is>
          <t>Flanders</t>
        </is>
      </c>
      <c r="AN18" t="n">
        <v>9.5</v>
      </c>
      <c r="AO18" t="n">
        <v>22</v>
      </c>
      <c r="AP18" t="n">
        <v>0.431818181818182</v>
      </c>
      <c r="AQ18" t="inlineStr">
        <is>
          <t>Norat</t>
        </is>
      </c>
    </row>
    <row r="19" ht="15" customHeight="1" s="2">
      <c r="A19" t="inlineStr">
        <is>
          <t>Lynch</t>
        </is>
      </c>
      <c r="B19" t="n">
        <v>3</v>
      </c>
      <c r="C19" t="n">
        <v>3</v>
      </c>
      <c r="D19" t="n">
        <v>1</v>
      </c>
      <c r="E19" t="n">
        <v>3.5</v>
      </c>
      <c r="F19" t="n">
        <v>7</v>
      </c>
      <c r="H19" t="inlineStr">
        <is>
          <t>Welker</t>
        </is>
      </c>
      <c r="I19" t="n">
        <v>2</v>
      </c>
      <c r="J19" t="n">
        <v>2</v>
      </c>
      <c r="K19" t="n">
        <v>0</v>
      </c>
      <c r="L19" t="n">
        <v>2</v>
      </c>
      <c r="M19" t="n">
        <v>4</v>
      </c>
      <c r="W19" t="inlineStr">
        <is>
          <t>Poirier</t>
        </is>
      </c>
      <c r="X19" t="n">
        <v>1</v>
      </c>
      <c r="Y19" t="n">
        <v>1</v>
      </c>
      <c r="Z19" t="n">
        <v>0</v>
      </c>
      <c r="AA19" t="n">
        <v>1</v>
      </c>
      <c r="AB19" t="n">
        <v>2</v>
      </c>
      <c r="AD19" t="inlineStr">
        <is>
          <t>(blank)</t>
        </is>
      </c>
      <c r="AE19" t="n">
        <v>24</v>
      </c>
      <c r="AF19" t="n">
        <v>28</v>
      </c>
      <c r="AG19" t="n">
        <v>4</v>
      </c>
      <c r="AM19" t="inlineStr">
        <is>
          <t>Poirier</t>
        </is>
      </c>
      <c r="AN19" t="n">
        <v>2.5</v>
      </c>
      <c r="AO19" t="n">
        <v>6</v>
      </c>
      <c r="AP19" t="n">
        <v>0.416666666666667</v>
      </c>
      <c r="AQ19" t="inlineStr">
        <is>
          <t>Norat</t>
        </is>
      </c>
    </row>
    <row r="20" ht="15" customHeight="1" s="2">
      <c r="A20" t="inlineStr">
        <is>
          <t>Macklin</t>
        </is>
      </c>
      <c r="B20" t="n">
        <v>1</v>
      </c>
      <c r="C20" t="n">
        <v>3</v>
      </c>
      <c r="D20" t="n">
        <v>1</v>
      </c>
      <c r="E20" t="n">
        <v>1.5</v>
      </c>
      <c r="F20" t="n">
        <v>5</v>
      </c>
      <c r="H20" t="inlineStr">
        <is>
          <t>Zimmer</t>
        </is>
      </c>
      <c r="I20" t="n">
        <v>5</v>
      </c>
      <c r="J20" t="n">
        <v>3</v>
      </c>
      <c r="K20" t="n">
        <v>0</v>
      </c>
      <c r="L20" t="n">
        <v>5</v>
      </c>
      <c r="M20" t="n">
        <v>8</v>
      </c>
      <c r="Q20" t="inlineStr">
        <is>
          <t>Team</t>
        </is>
      </c>
      <c r="T20" t="inlineStr">
        <is>
          <t>Avg. Win %</t>
        </is>
      </c>
      <c r="W20" t="inlineStr">
        <is>
          <t>Shively</t>
        </is>
      </c>
      <c r="X20" t="n">
        <v>0</v>
      </c>
      <c r="Y20" t="n">
        <v>1</v>
      </c>
      <c r="Z20" t="n">
        <v>0</v>
      </c>
      <c r="AA20" t="n">
        <v>0</v>
      </c>
      <c r="AB20" t="n">
        <v>1</v>
      </c>
      <c r="AD20" t="inlineStr">
        <is>
          <t>Grand Total</t>
        </is>
      </c>
      <c r="AE20" t="n">
        <v>55</v>
      </c>
      <c r="AF20" t="n">
        <v>61</v>
      </c>
      <c r="AG20" t="n">
        <v>12</v>
      </c>
      <c r="AM20" t="inlineStr">
        <is>
          <t>Cole</t>
        </is>
      </c>
      <c r="AN20" t="n">
        <v>4</v>
      </c>
      <c r="AO20" t="n">
        <v>10</v>
      </c>
      <c r="AP20" t="n">
        <v>0.4</v>
      </c>
      <c r="AQ20" t="inlineStr">
        <is>
          <t>Norat</t>
        </is>
      </c>
    </row>
    <row r="21" ht="15" customHeight="1" s="2">
      <c r="A21" t="inlineStr">
        <is>
          <t>Mangold</t>
        </is>
      </c>
      <c r="B21" t="n">
        <v>4</v>
      </c>
      <c r="C21" t="n">
        <v>1</v>
      </c>
      <c r="D21" t="n">
        <v>0</v>
      </c>
      <c r="E21" t="n">
        <v>4</v>
      </c>
      <c r="F21" t="n">
        <v>5</v>
      </c>
      <c r="H21" t="inlineStr">
        <is>
          <t>(blank)</t>
        </is>
      </c>
      <c r="I21" t="n">
        <v>36</v>
      </c>
      <c r="J21" t="n">
        <v>32</v>
      </c>
      <c r="K21" t="n">
        <v>4</v>
      </c>
      <c r="L21" t="n">
        <v>38</v>
      </c>
      <c r="M21" t="n">
        <v>72</v>
      </c>
      <c r="Q21" t="inlineStr">
        <is>
          <t>Fogan</t>
        </is>
      </c>
      <c r="T21" t="n">
        <v>0.5682245246583481</v>
      </c>
      <c r="W21" t="inlineStr">
        <is>
          <t>Weisberger</t>
        </is>
      </c>
      <c r="X21" t="n">
        <v>1</v>
      </c>
      <c r="Y21" t="n">
        <v>1</v>
      </c>
      <c r="Z21" t="n">
        <v>0</v>
      </c>
      <c r="AA21" t="n">
        <v>1</v>
      </c>
      <c r="AB21" t="n">
        <v>2</v>
      </c>
      <c r="AM21" t="inlineStr">
        <is>
          <t>Connors</t>
        </is>
      </c>
      <c r="AN21" t="n">
        <v>5</v>
      </c>
      <c r="AO21" t="n">
        <v>15</v>
      </c>
      <c r="AP21" t="n">
        <v>0.333333333333333</v>
      </c>
      <c r="AQ21" t="inlineStr">
        <is>
          <t>Norat</t>
        </is>
      </c>
    </row>
    <row r="22" ht="15" customHeight="1" s="2">
      <c r="A22" t="inlineStr">
        <is>
          <t>McInerney</t>
        </is>
      </c>
      <c r="B22" t="n">
        <v>3</v>
      </c>
      <c r="C22" t="n">
        <v>4</v>
      </c>
      <c r="D22" t="n">
        <v>0</v>
      </c>
      <c r="E22" t="n">
        <v>3</v>
      </c>
      <c r="F22" t="n">
        <v>7</v>
      </c>
      <c r="H22" t="inlineStr">
        <is>
          <t>Grand Total</t>
        </is>
      </c>
      <c r="I22" t="n">
        <v>83</v>
      </c>
      <c r="J22" t="n">
        <v>77</v>
      </c>
      <c r="K22" t="n">
        <v>16</v>
      </c>
      <c r="Q22" t="inlineStr">
        <is>
          <t>Norat</t>
        </is>
      </c>
      <c r="T22" t="n">
        <v>0.467242149385007</v>
      </c>
      <c r="W22" t="inlineStr">
        <is>
          <t>Welker</t>
        </is>
      </c>
      <c r="X22" t="n">
        <v>0</v>
      </c>
      <c r="Y22" t="n">
        <v>2</v>
      </c>
      <c r="Z22" t="n">
        <v>0</v>
      </c>
      <c r="AA22" t="n">
        <v>0</v>
      </c>
      <c r="AB22" t="n">
        <v>2</v>
      </c>
      <c r="AM22" t="inlineStr">
        <is>
          <t>Welker</t>
        </is>
      </c>
      <c r="AN22" t="n">
        <v>3</v>
      </c>
      <c r="AO22" t="n">
        <v>6</v>
      </c>
      <c r="AP22" t="n">
        <v>0.5</v>
      </c>
      <c r="AQ22" t="inlineStr">
        <is>
          <t>Norat</t>
        </is>
      </c>
    </row>
    <row r="23" ht="15" customHeight="1" s="2">
      <c r="A23" t="inlineStr">
        <is>
          <t>Norat</t>
        </is>
      </c>
      <c r="B23" t="n">
        <v>3</v>
      </c>
      <c r="C23" t="n">
        <v>1</v>
      </c>
      <c r="D23" t="n">
        <v>0</v>
      </c>
      <c r="E23" t="n">
        <v>3</v>
      </c>
      <c r="F23" t="n">
        <v>4</v>
      </c>
      <c r="W23" t="inlineStr">
        <is>
          <t>Grand Total</t>
        </is>
      </c>
      <c r="X23" t="n">
        <v>55</v>
      </c>
      <c r="Y23" t="n">
        <v>61</v>
      </c>
      <c r="Z23" t="n">
        <v>12</v>
      </c>
      <c r="AM23" t="inlineStr">
        <is>
          <t>Zimmer</t>
        </is>
      </c>
      <c r="AN23" t="n">
        <v>2</v>
      </c>
      <c r="AO23" t="n">
        <v>2</v>
      </c>
      <c r="AP23" t="n">
        <v>1</v>
      </c>
      <c r="AQ23" t="inlineStr">
        <is>
          <t>Norat</t>
        </is>
      </c>
    </row>
    <row r="24" ht="15" customHeight="1" s="2">
      <c r="A24" t="inlineStr">
        <is>
          <t>Poirier</t>
        </is>
      </c>
      <c r="B24" t="n">
        <v>1</v>
      </c>
      <c r="C24" t="n">
        <v>0</v>
      </c>
      <c r="D24" t="n">
        <v>0</v>
      </c>
      <c r="E24" t="n">
        <v>1</v>
      </c>
      <c r="F24" t="n">
        <v>1</v>
      </c>
      <c r="AM24" t="inlineStr">
        <is>
          <t>Norat</t>
        </is>
      </c>
      <c r="AN24" t="n">
        <v>6.5</v>
      </c>
      <c r="AO24" t="n">
        <v>13</v>
      </c>
      <c r="AP24" t="n">
        <v>0.5</v>
      </c>
      <c r="AQ24" t="inlineStr">
        <is>
          <t>Norat</t>
        </is>
      </c>
    </row>
    <row r="25" ht="15" customHeight="1" s="2">
      <c r="A25" t="inlineStr">
        <is>
          <t>Shively</t>
        </is>
      </c>
      <c r="B25" t="n">
        <v>2</v>
      </c>
      <c r="C25" t="n">
        <v>4</v>
      </c>
      <c r="D25" t="n">
        <v>0</v>
      </c>
      <c r="E25" t="n">
        <v>2</v>
      </c>
      <c r="F25" t="n">
        <v>6</v>
      </c>
    </row>
    <row r="26" ht="15" customHeight="1" s="2">
      <c r="A26" t="inlineStr">
        <is>
          <t>Weisberger</t>
        </is>
      </c>
      <c r="B26" t="n">
        <v>1</v>
      </c>
      <c r="C26" t="n">
        <v>1</v>
      </c>
      <c r="D26" t="n">
        <v>0</v>
      </c>
      <c r="E26" t="n">
        <v>1</v>
      </c>
      <c r="F26" t="n">
        <v>2</v>
      </c>
    </row>
    <row r="27" ht="15" customHeight="1" s="2">
      <c r="A27" t="inlineStr">
        <is>
          <t>Welker</t>
        </is>
      </c>
      <c r="B27" t="n">
        <v>0</v>
      </c>
      <c r="C27" t="n">
        <v>2</v>
      </c>
      <c r="D27" t="n">
        <v>0</v>
      </c>
      <c r="E27" t="n">
        <v>0</v>
      </c>
      <c r="F27" t="n">
        <v>2</v>
      </c>
    </row>
    <row r="28" ht="15" customHeight="1" s="2">
      <c r="A28" t="inlineStr">
        <is>
          <t>Zimmer</t>
        </is>
      </c>
      <c r="B28" t="n">
        <v>3</v>
      </c>
      <c r="C28" t="n">
        <v>3</v>
      </c>
      <c r="D28" t="n">
        <v>1</v>
      </c>
      <c r="E28" t="n">
        <v>3.5</v>
      </c>
      <c r="F28" t="n">
        <v>7</v>
      </c>
      <c r="Q28" t="inlineStr">
        <is>
          <t>Team</t>
        </is>
      </c>
      <c r="R28" t="inlineStr">
        <is>
          <t>Points</t>
        </is>
      </c>
      <c r="S28" t="inlineStr">
        <is>
          <t>Matches</t>
        </is>
      </c>
      <c r="T28" t="inlineStr">
        <is>
          <t>Win %</t>
        </is>
      </c>
      <c r="AM28" t="inlineStr">
        <is>
          <t>Team</t>
        </is>
      </c>
      <c r="AN28" t="inlineStr">
        <is>
          <t>Points</t>
        </is>
      </c>
      <c r="AO28" t="inlineStr">
        <is>
          <t>Matches</t>
        </is>
      </c>
      <c r="AP28" t="inlineStr">
        <is>
          <t>Win %</t>
        </is>
      </c>
    </row>
    <row r="29" ht="15" customHeight="1" s="2">
      <c r="A29" t="inlineStr">
        <is>
          <t>Grand Total</t>
        </is>
      </c>
      <c r="B29" t="n">
        <v>83</v>
      </c>
      <c r="C29" t="n">
        <v>77</v>
      </c>
      <c r="D29" t="n">
        <v>16</v>
      </c>
      <c r="E29" t="n">
        <v>91</v>
      </c>
      <c r="F29" t="n">
        <v>176</v>
      </c>
      <c r="Q29" t="inlineStr">
        <is>
          <t>Fogan</t>
        </is>
      </c>
      <c r="R29" t="n">
        <v>65</v>
      </c>
      <c r="S29" t="n">
        <v>124</v>
      </c>
      <c r="T29" t="n">
        <v>0.524193548387097</v>
      </c>
      <c r="AM29" t="inlineStr">
        <is>
          <t>Fogan</t>
        </is>
      </c>
      <c r="AP29" t="n">
        <v>0.37438446969697</v>
      </c>
    </row>
    <row r="30" ht="15" customHeight="1" s="2">
      <c r="Q30" t="inlineStr">
        <is>
          <t>Norat</t>
        </is>
      </c>
      <c r="R30" t="n">
        <v>39.5</v>
      </c>
      <c r="S30" t="n">
        <v>72</v>
      </c>
      <c r="T30" t="n">
        <v>0.548611111111111</v>
      </c>
      <c r="AM30" t="inlineStr">
        <is>
          <t>Norat</t>
        </is>
      </c>
      <c r="AP30" t="n">
        <v>0.54949494949495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23"/>
  <sheetViews>
    <sheetView zoomScaleNormal="100" workbookViewId="0">
      <selection activeCell="A1" sqref="A1"/>
    </sheetView>
  </sheetViews>
  <sheetFormatPr baseColWidth="10" defaultColWidth="8.83203125" defaultRowHeight="15"/>
  <sheetData>
    <row r="1" ht="15" customHeight="1" s="2">
      <c r="A1" s="26" t="n"/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</row>
    <row r="2" ht="15" customHeight="1" s="2">
      <c r="A2" t="inlineStr">
        <is>
          <t>Region</t>
        </is>
      </c>
      <c r="B2" t="inlineStr">
        <is>
          <t>Northeast</t>
        </is>
      </c>
      <c r="H2" t="inlineStr">
        <is>
          <t>Region</t>
        </is>
      </c>
      <c r="I2" t="inlineStr">
        <is>
          <t>Northeast</t>
        </is>
      </c>
      <c r="Q2" t="inlineStr">
        <is>
          <t>Lifetime Performance North of the Mason Dixon Line</t>
        </is>
      </c>
    </row>
    <row r="3" ht="15" customHeight="1" s="2">
      <c r="R3" t="inlineStr">
        <is>
          <t>Wins</t>
        </is>
      </c>
      <c r="S3" t="inlineStr">
        <is>
          <t>Matches</t>
        </is>
      </c>
      <c r="T3" t="inlineStr">
        <is>
          <t>Win %</t>
        </is>
      </c>
      <c r="U3" t="inlineStr">
        <is>
          <t>Team</t>
        </is>
      </c>
    </row>
    <row r="4" ht="15" customHeight="1" s="2">
      <c r="B4" t="inlineStr">
        <is>
          <t>Sum of W</t>
        </is>
      </c>
      <c r="C4" t="inlineStr">
        <is>
          <t>Sum of L</t>
        </is>
      </c>
      <c r="D4" t="inlineStr">
        <is>
          <t>Sum of T</t>
        </is>
      </c>
      <c r="E4" t="inlineStr">
        <is>
          <t>Pts</t>
        </is>
      </c>
      <c r="F4" t="inlineStr">
        <is>
          <t>Matches</t>
        </is>
      </c>
      <c r="I4" t="inlineStr">
        <is>
          <t>Sum of W</t>
        </is>
      </c>
      <c r="J4" t="inlineStr">
        <is>
          <t>Sum of L</t>
        </is>
      </c>
      <c r="K4" t="inlineStr">
        <is>
          <t>Sum of T</t>
        </is>
      </c>
      <c r="L4" t="inlineStr">
        <is>
          <t>Pts</t>
        </is>
      </c>
      <c r="M4" t="inlineStr">
        <is>
          <t>Matches</t>
        </is>
      </c>
      <c r="Q4" t="inlineStr">
        <is>
          <t>Jackson</t>
        </is>
      </c>
      <c r="R4" t="n">
        <v>8.5</v>
      </c>
      <c r="S4" t="n">
        <v>10</v>
      </c>
      <c r="T4" t="n">
        <v>0.85</v>
      </c>
      <c r="U4" t="inlineStr">
        <is>
          <t>Fogan</t>
        </is>
      </c>
    </row>
    <row r="5" ht="15" customHeight="1" s="2">
      <c r="A5" t="inlineStr">
        <is>
          <t>Buss</t>
        </is>
      </c>
      <c r="B5" t="n">
        <v>2</v>
      </c>
      <c r="C5" t="n">
        <v>3</v>
      </c>
      <c r="D5" t="n">
        <v>0</v>
      </c>
      <c r="E5" t="n">
        <v>2</v>
      </c>
      <c r="F5" t="n">
        <v>5</v>
      </c>
      <c r="H5" t="inlineStr">
        <is>
          <t>Connors</t>
        </is>
      </c>
      <c r="I5" t="n">
        <v>1</v>
      </c>
      <c r="J5" t="n">
        <v>0</v>
      </c>
      <c r="K5" t="n">
        <v>1</v>
      </c>
      <c r="L5" t="n">
        <v>1.5</v>
      </c>
      <c r="M5" t="n">
        <v>2</v>
      </c>
      <c r="Q5" t="inlineStr">
        <is>
          <t>Grise</t>
        </is>
      </c>
      <c r="R5" t="n">
        <v>6.5</v>
      </c>
      <c r="S5" t="n">
        <v>10</v>
      </c>
      <c r="T5" t="n">
        <v>0.65</v>
      </c>
      <c r="U5" t="inlineStr">
        <is>
          <t>Fogan</t>
        </is>
      </c>
    </row>
    <row r="6" ht="15" customHeight="1" s="2">
      <c r="A6" t="inlineStr">
        <is>
          <t>Cole</t>
        </is>
      </c>
      <c r="B6" t="n">
        <v>0</v>
      </c>
      <c r="C6" t="n">
        <v>4</v>
      </c>
      <c r="D6" t="n">
        <v>1</v>
      </c>
      <c r="E6" t="n">
        <v>0.5</v>
      </c>
      <c r="F6" t="n">
        <v>5</v>
      </c>
      <c r="H6" t="inlineStr">
        <is>
          <t>Ferrin</t>
        </is>
      </c>
      <c r="I6" t="n">
        <v>0</v>
      </c>
      <c r="J6" t="n">
        <v>2</v>
      </c>
      <c r="K6" t="n">
        <v>0</v>
      </c>
      <c r="L6" t="n">
        <v>0</v>
      </c>
      <c r="M6" t="n">
        <v>2</v>
      </c>
      <c r="Q6" t="inlineStr">
        <is>
          <t>Shively</t>
        </is>
      </c>
      <c r="R6" t="n">
        <v>6</v>
      </c>
      <c r="S6" t="n">
        <v>10</v>
      </c>
      <c r="T6" t="n">
        <v>0.6</v>
      </c>
      <c r="U6" t="inlineStr">
        <is>
          <t>Fogan</t>
        </is>
      </c>
    </row>
    <row r="7" ht="15" customHeight="1" s="2">
      <c r="A7" t="inlineStr">
        <is>
          <t>Connolly</t>
        </is>
      </c>
      <c r="B7" t="n">
        <v>8</v>
      </c>
      <c r="C7" t="n">
        <v>1</v>
      </c>
      <c r="D7" t="n">
        <v>1</v>
      </c>
      <c r="E7" t="n">
        <v>8.5</v>
      </c>
      <c r="F7" t="n">
        <v>10</v>
      </c>
      <c r="H7" t="inlineStr">
        <is>
          <t>Fogan</t>
        </is>
      </c>
      <c r="I7" t="n">
        <v>0</v>
      </c>
      <c r="J7" t="n">
        <v>2</v>
      </c>
      <c r="K7" t="n">
        <v>0</v>
      </c>
      <c r="L7" t="n">
        <v>0</v>
      </c>
      <c r="M7" t="n">
        <v>2</v>
      </c>
      <c r="Q7" t="inlineStr">
        <is>
          <t>Lynch</t>
        </is>
      </c>
      <c r="R7" t="n">
        <v>5</v>
      </c>
      <c r="S7" t="n">
        <v>10</v>
      </c>
      <c r="T7" t="n">
        <v>0.5</v>
      </c>
      <c r="U7" t="inlineStr">
        <is>
          <t>Fogan</t>
        </is>
      </c>
    </row>
    <row r="8" ht="15" customHeight="1" s="2">
      <c r="A8" t="inlineStr">
        <is>
          <t>Connors</t>
        </is>
      </c>
      <c r="B8" t="n">
        <v>1</v>
      </c>
      <c r="C8" t="n">
        <v>2</v>
      </c>
      <c r="D8" t="n">
        <v>0</v>
      </c>
      <c r="E8" t="n">
        <v>1</v>
      </c>
      <c r="F8" t="n">
        <v>3</v>
      </c>
      <c r="H8" t="inlineStr">
        <is>
          <t>Forster</t>
        </is>
      </c>
      <c r="I8" t="n">
        <v>1</v>
      </c>
      <c r="J8" t="n">
        <v>0</v>
      </c>
      <c r="K8" t="n">
        <v>1</v>
      </c>
      <c r="L8" t="n">
        <v>1.5</v>
      </c>
      <c r="M8" t="n">
        <v>2</v>
      </c>
      <c r="Q8" t="inlineStr">
        <is>
          <t>Buss</t>
        </is>
      </c>
      <c r="R8" t="n">
        <v>2</v>
      </c>
      <c r="S8" t="n">
        <v>5</v>
      </c>
      <c r="T8" t="n">
        <v>0.4</v>
      </c>
      <c r="U8" t="inlineStr">
        <is>
          <t>Fogan</t>
        </is>
      </c>
    </row>
    <row r="9" ht="15" customHeight="1" s="2">
      <c r="A9" t="inlineStr">
        <is>
          <t>Ferrin</t>
        </is>
      </c>
      <c r="B9" t="n">
        <v>5</v>
      </c>
      <c r="C9" t="n">
        <v>1</v>
      </c>
      <c r="D9" t="n">
        <v>2</v>
      </c>
      <c r="E9" t="n">
        <v>6</v>
      </c>
      <c r="F9" t="n">
        <v>8</v>
      </c>
      <c r="H9" t="inlineStr">
        <is>
          <t>Grise</t>
        </is>
      </c>
      <c r="I9" t="n">
        <v>1</v>
      </c>
      <c r="J9" t="n">
        <v>1</v>
      </c>
      <c r="K9" t="n">
        <v>0</v>
      </c>
      <c r="L9" t="n">
        <v>1</v>
      </c>
      <c r="M9" t="n">
        <v>2</v>
      </c>
      <c r="Q9" t="inlineStr">
        <is>
          <t>Hilts</t>
        </is>
      </c>
      <c r="R9" t="n">
        <v>3.5</v>
      </c>
      <c r="S9" t="n">
        <v>10</v>
      </c>
      <c r="T9" t="n">
        <v>0.35</v>
      </c>
      <c r="U9" t="inlineStr">
        <is>
          <t>Fogan</t>
        </is>
      </c>
    </row>
    <row r="10" ht="15" customHeight="1" s="2">
      <c r="A10" t="inlineStr">
        <is>
          <t>Flanders</t>
        </is>
      </c>
      <c r="B10" t="n">
        <v>2</v>
      </c>
      <c r="C10" t="n">
        <v>7</v>
      </c>
      <c r="D10" t="n">
        <v>1</v>
      </c>
      <c r="E10" t="n">
        <v>2.5</v>
      </c>
      <c r="F10" t="n">
        <v>10</v>
      </c>
      <c r="H10" t="inlineStr">
        <is>
          <t>Hickerson</t>
        </is>
      </c>
      <c r="I10" t="n">
        <v>4</v>
      </c>
      <c r="J10" t="n">
        <v>1</v>
      </c>
      <c r="K10" t="n">
        <v>1</v>
      </c>
      <c r="L10" t="n">
        <v>4.5</v>
      </c>
      <c r="M10" t="n">
        <v>6</v>
      </c>
      <c r="Q10" t="inlineStr">
        <is>
          <t>Mangold</t>
        </is>
      </c>
      <c r="R10" t="n">
        <v>2.5</v>
      </c>
      <c r="S10" t="n">
        <v>10</v>
      </c>
      <c r="T10" t="n">
        <v>0.25</v>
      </c>
      <c r="U10" t="inlineStr">
        <is>
          <t>Fogan</t>
        </is>
      </c>
    </row>
    <row r="11" ht="15" customHeight="1" s="2">
      <c r="A11" t="inlineStr">
        <is>
          <t>Fogan</t>
        </is>
      </c>
      <c r="B11" t="n">
        <v>1</v>
      </c>
      <c r="C11" t="n">
        <v>2</v>
      </c>
      <c r="D11" t="n">
        <v>0</v>
      </c>
      <c r="E11" t="n">
        <v>1</v>
      </c>
      <c r="F11" t="n">
        <v>3</v>
      </c>
      <c r="H11" t="inlineStr">
        <is>
          <t>Hilts</t>
        </is>
      </c>
      <c r="I11" t="n">
        <v>0</v>
      </c>
      <c r="J11" t="n">
        <v>2</v>
      </c>
      <c r="K11" t="n">
        <v>0</v>
      </c>
      <c r="L11" t="n">
        <v>0</v>
      </c>
      <c r="M11" t="n">
        <v>2</v>
      </c>
      <c r="Q11" t="inlineStr">
        <is>
          <t>Fogan</t>
        </is>
      </c>
      <c r="R11" t="n">
        <v>1</v>
      </c>
      <c r="S11" t="n">
        <v>5</v>
      </c>
      <c r="T11" t="n">
        <v>0.2</v>
      </c>
      <c r="U11" t="inlineStr">
        <is>
          <t>Fogan</t>
        </is>
      </c>
    </row>
    <row r="12" ht="15" customHeight="1" s="2">
      <c r="A12" t="inlineStr">
        <is>
          <t>Forster</t>
        </is>
      </c>
      <c r="B12" t="n">
        <v>3</v>
      </c>
      <c r="C12" t="n">
        <v>0</v>
      </c>
      <c r="D12" t="n">
        <v>0</v>
      </c>
      <c r="E12" t="n">
        <v>3</v>
      </c>
      <c r="F12" t="n">
        <v>3</v>
      </c>
      <c r="H12" t="inlineStr">
        <is>
          <t>Jackson</t>
        </is>
      </c>
      <c r="I12" t="n">
        <v>7</v>
      </c>
      <c r="J12" t="n">
        <v>0</v>
      </c>
      <c r="K12" t="n">
        <v>1</v>
      </c>
      <c r="L12" t="n">
        <v>7.5</v>
      </c>
      <c r="M12" t="n">
        <v>8</v>
      </c>
      <c r="Q12" t="inlineStr">
        <is>
          <t>Forster</t>
        </is>
      </c>
      <c r="R12" t="n">
        <v>4.5</v>
      </c>
      <c r="S12" t="n">
        <v>5</v>
      </c>
      <c r="T12" t="n">
        <v>0.9</v>
      </c>
      <c r="U12" t="inlineStr">
        <is>
          <t>Norat</t>
        </is>
      </c>
    </row>
    <row r="13" ht="15" customHeight="1" s="2">
      <c r="A13" t="inlineStr">
        <is>
          <t>Grise</t>
        </is>
      </c>
      <c r="B13" t="n">
        <v>5</v>
      </c>
      <c r="C13" t="n">
        <v>2</v>
      </c>
      <c r="D13" t="n">
        <v>1</v>
      </c>
      <c r="E13" t="n">
        <v>5.5</v>
      </c>
      <c r="F13" t="n">
        <v>8</v>
      </c>
      <c r="H13" t="inlineStr">
        <is>
          <t>Lynch</t>
        </is>
      </c>
      <c r="I13" t="n">
        <v>4</v>
      </c>
      <c r="J13" t="n">
        <v>3</v>
      </c>
      <c r="K13" t="n">
        <v>1</v>
      </c>
      <c r="L13" t="n">
        <v>4.5</v>
      </c>
      <c r="M13" t="n">
        <v>8</v>
      </c>
      <c r="Q13" t="inlineStr">
        <is>
          <t>Connolly</t>
        </is>
      </c>
      <c r="R13" t="n">
        <v>8.5</v>
      </c>
      <c r="S13" t="n">
        <v>10</v>
      </c>
      <c r="T13" t="n">
        <v>0.85</v>
      </c>
      <c r="U13" t="inlineStr">
        <is>
          <t>Norat</t>
        </is>
      </c>
    </row>
    <row r="14" ht="15" customHeight="1" s="2">
      <c r="A14" t="inlineStr">
        <is>
          <t>Hickerson</t>
        </is>
      </c>
      <c r="B14" t="n">
        <v>0</v>
      </c>
      <c r="C14" t="n">
        <v>3</v>
      </c>
      <c r="D14" t="n">
        <v>1</v>
      </c>
      <c r="E14" t="n">
        <v>0.5</v>
      </c>
      <c r="F14" t="n">
        <v>4</v>
      </c>
      <c r="H14" t="inlineStr">
        <is>
          <t>Mangold</t>
        </is>
      </c>
      <c r="I14" t="n">
        <v>0</v>
      </c>
      <c r="J14" t="n">
        <v>5</v>
      </c>
      <c r="K14" t="n">
        <v>1</v>
      </c>
      <c r="L14" t="n">
        <v>0.5</v>
      </c>
      <c r="M14" t="n">
        <v>6</v>
      </c>
      <c r="Q14" t="inlineStr">
        <is>
          <t>Ferrin</t>
        </is>
      </c>
      <c r="R14" t="n">
        <v>6</v>
      </c>
      <c r="S14" t="n">
        <v>10</v>
      </c>
      <c r="T14" t="n">
        <v>0.6</v>
      </c>
      <c r="U14" t="inlineStr">
        <is>
          <t>Norat</t>
        </is>
      </c>
    </row>
    <row r="15" ht="15" customHeight="1" s="2">
      <c r="A15" t="inlineStr">
        <is>
          <t>Hilts</t>
        </is>
      </c>
      <c r="B15" t="n">
        <v>3</v>
      </c>
      <c r="C15" t="n">
        <v>4</v>
      </c>
      <c r="D15" t="n">
        <v>1</v>
      </c>
      <c r="E15" t="n">
        <v>3.5</v>
      </c>
      <c r="F15" t="n">
        <v>8</v>
      </c>
      <c r="H15" t="inlineStr">
        <is>
          <t>Poirier</t>
        </is>
      </c>
      <c r="I15" t="n">
        <v>1</v>
      </c>
      <c r="J15" t="n">
        <v>2</v>
      </c>
      <c r="K15" t="n">
        <v>1</v>
      </c>
      <c r="L15" t="n">
        <v>1.5</v>
      </c>
      <c r="M15" t="n">
        <v>4</v>
      </c>
      <c r="Q15" t="inlineStr">
        <is>
          <t>Connors</t>
        </is>
      </c>
      <c r="R15" t="n">
        <v>2.5</v>
      </c>
      <c r="S15" t="n">
        <v>5</v>
      </c>
      <c r="T15" t="n">
        <v>0.5</v>
      </c>
      <c r="U15" t="inlineStr">
        <is>
          <t>Norat</t>
        </is>
      </c>
    </row>
    <row r="16" ht="15" customHeight="1" s="2">
      <c r="A16" t="inlineStr">
        <is>
          <t>Jackson</t>
        </is>
      </c>
      <c r="B16" t="n">
        <v>1</v>
      </c>
      <c r="C16" t="n">
        <v>1</v>
      </c>
      <c r="D16" t="n">
        <v>0</v>
      </c>
      <c r="E16" t="n">
        <v>1</v>
      </c>
      <c r="F16" t="n">
        <v>2</v>
      </c>
      <c r="H16" t="inlineStr">
        <is>
          <t>Shively</t>
        </is>
      </c>
      <c r="I16" t="n">
        <v>5</v>
      </c>
      <c r="J16" t="n">
        <v>3</v>
      </c>
      <c r="K16" t="n">
        <v>0</v>
      </c>
      <c r="L16" t="n">
        <v>5</v>
      </c>
      <c r="M16" t="n">
        <v>8</v>
      </c>
      <c r="Q16" t="inlineStr">
        <is>
          <t>Poirier</t>
        </is>
      </c>
      <c r="R16" t="n">
        <v>2.5</v>
      </c>
      <c r="S16" t="n">
        <v>5</v>
      </c>
      <c r="T16" t="n">
        <v>0.5</v>
      </c>
      <c r="U16" t="inlineStr">
        <is>
          <t>Norat</t>
        </is>
      </c>
    </row>
    <row r="17" ht="15" customHeight="1" s="2">
      <c r="A17" t="inlineStr">
        <is>
          <t>Lynch</t>
        </is>
      </c>
      <c r="B17" t="n">
        <v>0</v>
      </c>
      <c r="C17" t="n">
        <v>1</v>
      </c>
      <c r="D17" t="n">
        <v>1</v>
      </c>
      <c r="E17" t="n">
        <v>0.5</v>
      </c>
      <c r="F17" t="n">
        <v>2</v>
      </c>
      <c r="H17" t="inlineStr">
        <is>
          <t>Weisberger</t>
        </is>
      </c>
      <c r="I17" t="n">
        <v>0</v>
      </c>
      <c r="J17" t="n">
        <v>3</v>
      </c>
      <c r="K17" t="n">
        <v>1</v>
      </c>
      <c r="L17" t="n">
        <v>0.5</v>
      </c>
      <c r="M17" t="n">
        <v>4</v>
      </c>
      <c r="Q17" t="inlineStr">
        <is>
          <t>Flanders</t>
        </is>
      </c>
      <c r="R17" t="n">
        <v>2.5</v>
      </c>
      <c r="S17" t="n">
        <v>10</v>
      </c>
      <c r="T17" t="n">
        <v>0.25</v>
      </c>
      <c r="U17" t="inlineStr">
        <is>
          <t>Norat</t>
        </is>
      </c>
    </row>
    <row r="18" ht="15" customHeight="1" s="2">
      <c r="A18" t="inlineStr">
        <is>
          <t>Macklin</t>
        </is>
      </c>
      <c r="B18" t="n">
        <v>1</v>
      </c>
      <c r="C18" t="n">
        <v>3</v>
      </c>
      <c r="D18" t="n">
        <v>1</v>
      </c>
      <c r="E18" t="n">
        <v>1.5</v>
      </c>
      <c r="F18" t="n">
        <v>5</v>
      </c>
      <c r="H18" t="inlineStr">
        <is>
          <t>(blank)</t>
        </is>
      </c>
      <c r="I18" t="n">
        <v>13</v>
      </c>
      <c r="J18" t="n">
        <v>13</v>
      </c>
      <c r="K18" t="n">
        <v>2</v>
      </c>
      <c r="Q18" t="inlineStr">
        <is>
          <t>Cole</t>
        </is>
      </c>
      <c r="R18" t="n">
        <v>0.5</v>
      </c>
      <c r="S18" t="n">
        <v>5</v>
      </c>
      <c r="T18" t="n">
        <v>0.1</v>
      </c>
      <c r="U18" t="inlineStr">
        <is>
          <t>Norat</t>
        </is>
      </c>
    </row>
    <row r="19" ht="15" customHeight="1" s="2">
      <c r="A19" t="inlineStr">
        <is>
          <t>Mangold</t>
        </is>
      </c>
      <c r="B19" t="n">
        <v>2</v>
      </c>
      <c r="C19" t="n">
        <v>2</v>
      </c>
      <c r="D19" t="n">
        <v>0</v>
      </c>
      <c r="E19" t="n">
        <v>2</v>
      </c>
      <c r="F19" t="n">
        <v>4</v>
      </c>
      <c r="H19" t="inlineStr">
        <is>
          <t>Grand Total</t>
        </is>
      </c>
      <c r="I19" t="n">
        <v>37</v>
      </c>
      <c r="J19" t="n">
        <v>37</v>
      </c>
      <c r="K19" t="n">
        <v>10</v>
      </c>
    </row>
    <row r="20" ht="15" customHeight="1" s="2">
      <c r="A20" t="inlineStr">
        <is>
          <t>Poirier</t>
        </is>
      </c>
      <c r="B20" t="n">
        <v>1</v>
      </c>
      <c r="C20" t="n">
        <v>0</v>
      </c>
      <c r="D20" t="n">
        <v>0</v>
      </c>
      <c r="E20" t="n">
        <v>1</v>
      </c>
      <c r="F20" t="n">
        <v>1</v>
      </c>
      <c r="Q20" t="inlineStr">
        <is>
          <t>Team</t>
        </is>
      </c>
      <c r="R20" t="inlineStr">
        <is>
          <t>Points</t>
        </is>
      </c>
      <c r="S20" t="inlineStr">
        <is>
          <t>Matches</t>
        </is>
      </c>
      <c r="T20" t="inlineStr">
        <is>
          <t>Win %</t>
        </is>
      </c>
    </row>
    <row r="21" ht="15" customHeight="1" s="2">
      <c r="A21" t="inlineStr">
        <is>
          <t>Shively</t>
        </is>
      </c>
      <c r="B21" t="n">
        <v>1</v>
      </c>
      <c r="C21" t="n">
        <v>1</v>
      </c>
      <c r="D21" t="n">
        <v>0</v>
      </c>
      <c r="E21" t="n">
        <v>1</v>
      </c>
      <c r="F21" t="n">
        <v>2</v>
      </c>
      <c r="Q21" t="inlineStr">
        <is>
          <t>Fogan</t>
        </is>
      </c>
      <c r="R21" t="n">
        <v>35</v>
      </c>
      <c r="S21" t="n">
        <v>70</v>
      </c>
      <c r="T21" t="n">
        <v>0.5</v>
      </c>
      <c r="X21" t="n">
        <v>0.5</v>
      </c>
    </row>
    <row r="22" ht="15" customHeight="1" s="2">
      <c r="A22" t="inlineStr">
        <is>
          <t>Weisberger</t>
        </is>
      </c>
      <c r="B22" t="n">
        <v>1</v>
      </c>
      <c r="C22" t="n">
        <v>0</v>
      </c>
      <c r="D22" t="n">
        <v>0</v>
      </c>
      <c r="E22" t="n">
        <v>1</v>
      </c>
      <c r="F22" t="n">
        <v>1</v>
      </c>
      <c r="Q22" t="inlineStr">
        <is>
          <t>Norat</t>
        </is>
      </c>
      <c r="R22" t="n">
        <v>27</v>
      </c>
      <c r="S22" t="n">
        <v>50</v>
      </c>
      <c r="T22" t="n">
        <v>0.54</v>
      </c>
      <c r="X22" t="n">
        <v>0.54</v>
      </c>
    </row>
    <row r="23" ht="15" customHeight="1" s="2">
      <c r="A23" t="inlineStr">
        <is>
          <t>Grand Total</t>
        </is>
      </c>
      <c r="B23" t="n">
        <v>37</v>
      </c>
      <c r="C23" t="n">
        <v>37</v>
      </c>
      <c r="D23" t="n">
        <v>10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2026-06-07T21:04:39Z</dcterms:created>
  <dcterms:modified xsi:type="dcterms:W3CDTF">2026-06-11T00:28:16Z</dcterms:modified>
  <cp:lastModifiedBy>Craig Hilts</cp:lastModifiedBy>
  <cp:revision>0</cp:revision>
</cp:coreProperties>
</file>