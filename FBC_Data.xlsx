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Cup Info" sheetId="29" r:id="rId33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Cups!$B$3:$S$33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<sst xmlns="http://schemas.openxmlformats.org/spreadsheetml/2006/main" count="18112" uniqueCount="1310">
  <si>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</si>
  <si>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</si>
  <si>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</si>
  <si>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Fastest path: in the scoring app press Admin → Export CSV once every match is reported, then hand that file to Claude with the prompt in the README (“Importing a cup with Claude”). Claude runs tools/import_cup.py, which appends the Archives rows, fills the Cups column and checks Data Health. Manual path: 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Ratings, Cup Info).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</si>
  <si>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</si>
  <si>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</si>
  <si>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</si>
  <si>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</si>
  <si>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</si>
  <si>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</si>
  <si>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</si>
  <si>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</si>
  <si>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</si>
  <si>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</si>
  <si>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</si>
  <si>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</si>
  <si>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</si>
  <si>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</si>
  <si>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</si>
  <si>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</si>
  <si>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</si>
  <si>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</si>
  <si>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</si>
  <si>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</si>
  <si>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</si>
  <si>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</si>
  <si>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</si>
  <si>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</si>
  <si>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</si>
  <si>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</si>
  <si>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</si>
  <si>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</si>
  <si>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</si>
  <si>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</si>
  <si>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</si>
  <si>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</si>
  <si>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</si>
  <si>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</si>
  <si>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</si>
  <si>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</si>
  <si>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</si>
  <si>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</si>
  <si>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</si>
  <si>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</si>
  <si>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</si>
  <si>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</si>
  <si>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</si>
  <si>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</si>
  <si>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</si>
  <si>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</si>
  <si>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</si>
  <si>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</si>
  <si>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</si>
  <si>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</si>
  <si>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</si>
  <si>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</si>
  <si>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</si>
  <si>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</si>
  <si>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</si>
  <si>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</si>
  <si>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</si>
  <si>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</si>
  <si>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</si>
  <si>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</si>
  <si>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</si>
  <si>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</si>
  <si>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</si>
  <si>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</si>
  <si>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</si>
  <si>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</si>
  <si>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</si>
  <si>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</si>
  <si>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</si>
  <si>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</si>
  <si>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</si>
  <si>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</si>
  <si>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</si>
  <si>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</si>
  <si>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</si>
  <si>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</si>
  <si>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</si>
  <si>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</si>
  <si>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</si>
  <si>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</si>
  <si>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</si>
  <si>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</si>
  <si>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</si>
  <si>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</si>
  <si>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</si>
  <si>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</si>
  <si>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</si>
  <si>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</si>
  <si>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</si>
  <si>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</si>
  <si>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</si>
  <si>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</si>
  <si>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</si>
  <si>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</si>
  <si>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</si>
  <si>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</si>
  <si>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</si>
  <si>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</si>
  <si>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</si>
  <si>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</si>
  <si>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</si>
  <si>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</si>
  <si>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</si>
  <si>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</si>
  <si>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</si>
  <si>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</si>
  <si>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</si>
  <si>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</si>
  <si>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</si>
  <si>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</si>
  <si>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</si>
  <si>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</si>
  <si>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</si>
  <si>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</si>
  <si>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</si>
  <si>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</si>
  <si>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</si>
  <si>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</si>
  <si>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</si>
  <si>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</si>
  <si>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</si>
  <si>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</si>
  <si>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</si>
  <si>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</si>
  <si>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</si>
  <si>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</si>
  <si>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</si>
  <si>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</si>
  <si>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</si>
  <si>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</si>
  <si>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</si>
  <si>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</si>
  <si>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</si>
  <si>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</si>
  <si>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</si>
  <si>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</si>
  <si>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</si>
  <si>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</si>
  <si>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</si>
  <si>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</si>
  <si>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</si>
  <si>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</si>
  <si>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</si>
  <si>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</si>
  <si>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</si>
  <si>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</si>
  <si>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</si>
  <si>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</si>
  <si>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</si>
  <si>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</si>
  <si>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</si>
  <si>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</si>
  <si>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</si>
  <si>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</si>
  <si>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</si>
  <si>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</si>
  <si>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</si>
  <si>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</si>
  <si>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</si>
  <si>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</si>
  <si>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</si>
  <si>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</si>
  <si>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</si>
  <si>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</si>
  <si>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</si>
  <si>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</si>
  <si>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</si>
  <si>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</si>
  <si>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</si>
  <si>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</si>
  <si>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</si>
  <si>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</si>
  <si>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</si>
  <si>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</si>
  <si>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</si>
  <si>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</si>
  <si>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</si>
  <si>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</si>
  <si>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</si>
  <si>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</si>
  <si>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</si>
  <si>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</si>
  <si>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</si>
  <si>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</si>
  <si>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</si>
  <si>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</si>
  <si>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</si>
  <si>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</si>
  <si>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</si>
  <si>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</si>
  <si>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</si>
  <si>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</si>
  <si>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</si>
  <si>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</si>
  <si>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</si>
  <si>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</si>
  <si>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</si>
  <si>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</si>
  <si>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</si>
  <si>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</si>
  <si>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</si>
  <si>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</si>
  <si>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</si>
  <si>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</si>
  <si>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</si>
  <si>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</si>
  <si>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</si>
  <si>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</si>
  <si>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</si>
  <si>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</si>
  <si>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</si>
  <si>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</si>
  <si>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</si>
  <si>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</si>
  <si>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</si>
  <si>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</si>
  <si>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</si>
  <si>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</si>
  <si>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</si>
  <si>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</si>
  <si>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</si>
  <si>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</si>
  <si>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</si>
  <si>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</si>
  <si>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</si>
  <si>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</si>
  <si>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</si>
  <si>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</si>
  <si>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</si>
  <si>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</si>
  <si>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</si>
  <si>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</si>
  <si>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</si>
  <si>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</si>
  <si>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</si>
  <si>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</si>
  <si>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</si>
  <si>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</si>
  <si>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</si>
  <si>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</si>
  <si>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</si>
  <si>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</si>
  <si>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</si>
  <si>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</si>
  <si>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</si>
  <si>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</si>
  <si>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</si>
  <si>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</si>
  <si>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</si>
  <si>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</si>
  <si>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</si>
  <si>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</si>
  <si>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</si>
  <si>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</si>
  <si>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</si>
  <si>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</si>
  <si>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</si>
  <si>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</si>
  <si>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</si>
  <si>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</si>
  <si>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</si>
  <si>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</si>
  <si>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</si>
  <si>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</si>
  <si>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</si>
  <si>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</si>
  <si>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</si>
  <si>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</si>
  <si>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</si>
  <si>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</si>
  <si>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</si>
  <si>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</si>
  <si>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</si>
  <si>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</si>
  <si>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</si>
  <si>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</si>
  <si>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</si>
  <si>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</si>
  <si>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</si>
  <si>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</si>
  <si>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</si>
  <si>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</si>
  <si>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</si>
  <si>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</si>
  <si>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</si>
  <si>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</si>
  <si>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</si>
  <si>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</si>
  <si>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</si>
  <si>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</si>
  <si>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</si>
  <si>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</si>
  <si>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</si>
  <si>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</si>
  <si>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</si>
  <si>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</si>
  <si>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</si>
  <si>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</si>
  <si>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</si>
  <si>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</si>
  <si>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</si>
  <si>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</si>
  <si>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</si>
  <si>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</si>
  <si>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</si>
  <si>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</si>
  <si>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</si>
  <si>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</si>
  <si>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</si>
  <si>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</si>
  <si>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</si>
  <si>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</si>
  <si>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</si>
  <si>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</si>
  <si>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</si>
  <si>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</si>
  <si>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</si>
  <si>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</si>
  <si>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</si>
  <si>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</si>
  <si>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</si>
  <si>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</si>
  <si>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</si>
  <si>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</si>
  <si>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</si>
  <si>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</si>
  <si>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</si>
  <si>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</si>
  <si>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</si>
  <si>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</si>
  <si>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</si>
  <si>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</si>
  <si>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</si>
  <si>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</si>
  <si>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</si>
  <si>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</si>
  <si>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</si>
  <si>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</si>
  <si>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</si>
  <si>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</si>
  <si>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</si>
  <si>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</si>
  <si>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</si>
  <si>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</si>
  <si>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</si>
  <si>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</si>
  <si>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</si>
  <si>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</si>
  <si>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</si>
  <si>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</si>
  <si>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</si>
  <si>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</si>
  <si>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</si>
  <si>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</si>
  <si>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</si>
  <si>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</si>
  <si>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</si>
  <si>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</si>
  <si>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</si>
  <si>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</si>
  <si>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</si>
  <si>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</si>
  <si>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</si>
  <si>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</si>
  <si>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</si>
  <si>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</si>
  <si>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</si>
  <si>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</si>
  <si>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</si>
  <si>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</si>
  <si>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</si>
  <si>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</si>
  <si>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</si>
  <si>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</si>
  <si>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</si>
  <si>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</si>
  <si>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</si>
  <si>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</si>
  <si>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</si>
  <si>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</si>
  <si>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</si>
  <si>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</si>
  <si>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</si>
  <si>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</si>
  <si>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</si>
  <si>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</si>
  <si>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</si>
  <si>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</si>
  <si>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</si>
  <si>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</si>
  <si>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</si>
  <si>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</si>
  <si>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</si>
  <si>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</si>
  <si>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</si>
  <si>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</si>
  <si>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</si>
  <si>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</si>
  <si>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</si>
  <si>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</si>
  <si>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</si>
  <si>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</si>
  <si>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</si>
  <si>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</si>
  <si>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</si>
  <si>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</si>
  <si>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</si>
  <si>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</si>
  <si>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</si>
  <si>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</si>
  <si>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</si>
  <si>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</si>
  <si>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</si>
  <si>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</si>
  <si>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</si>
  <si>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</si>
  <si>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</si>
  <si>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</si>
  <si>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</si>
  <si>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</si>
  <si>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</si>
  <si>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</si>
  <si>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</si>
  <si>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</si>
  <si>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</si>
  <si>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</si>
  <si>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</si>
  <si>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</si>
  <si>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</si>
  <si>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</si>
  <si>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</si>
  <si>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</si>
  <si>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</si>
  <si>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</si>
  <si>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</si>
  <si>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</si>
  <si>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</si>
  <si>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</si>
  <si>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</si>
  <si>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</si>
  <si>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</si>
  <si>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</si>
  <si>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</si>
  <si>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</si>
  <si>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</si>
  <si>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</si>
  <si>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</si>
  <si>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</si>
  <si>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</si>
  <si>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</si>
  <si>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</si>
  <si>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</si>
  <si>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</si>
  <si>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</si>
  <si>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</si>
  <si>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</si>
  <si>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</si>
  <si>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</si>
  <si>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</si>
  <si>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</si>
  <si>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</si>
  <si>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</si>
  <si>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</si>
  <si>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</si>
  <si>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</si>
  <si>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</si>
  <si>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</si>
  <si>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</si>
  <si>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</si>
  <si>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</si>
  <si>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</si>
  <si>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</si>
  <si>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</si>
  <si>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</si>
  <si>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</si>
  <si>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</si>
  <si>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</si>
  <si>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</si>
  <si>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</si>
  <si>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</si>
  <si>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</si>
  <si>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</si>
  <si>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</si>
  <si>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</si>
  <si>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</si>
  <si>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</si>
  <si>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</si>
  <si>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</si>
  <si>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</si>
  <si>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</si>
  <si>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</si>
  <si>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</si>
  <si>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</si>
  <si>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</si>
  <si>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</si>
  <si>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</si>
  <si>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</si>
  <si>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</si>
  <si>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</si>
  <si>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</si>
  <si>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</si>
  <si>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</si>
  <si>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</si>
  <si>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</si>
  <si>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</si>
  <si>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</si>
  <si>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</si>
  <si>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</si>
  <si>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</si>
  <si>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</si>
  <si>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</si>
  <si>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</si>
  <si>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</si>
  <si>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</si>
  <si>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</si>
  <si>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</si>
  <si>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</si>
  <si>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</si>
  <si>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</si>
  <si>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</si>
  <si>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</si>
  <si>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</si>
  <si>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</si>
  <si>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</si>
  <si>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</si>
  <si>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</si>
  <si>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</si>
  <si>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</si>
  <si>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</si>
  <si>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</si>
  <si>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</si>
  <si>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</si>
  <si>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</si>
  <si>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</si>
  <si>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</si>
  <si>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</si>
  <si>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</si>
  <si>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</si>
  <si>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</si>
  <si>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</si>
  <si>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</si>
  <si>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</si>
  <si>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</si>
  <si>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</si>
  <si>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</si>
  <si>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</si>
  <si>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</si>
  <si>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</si>
  <si>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</si>
  <si>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</si>
  <si>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</si>
  <si>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</si>
  <si>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</si>
  <si>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</si>
  <si>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</si>
  <si>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</si>
  <si>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</si>
  <si>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</si>
  <si>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</si>
  <si>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</si>
  <si>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</si>
  <si>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</si>
  <si>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</si>
  <si>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</si>
  <si>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</si>
  <si>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</si>
  <si>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</si>
  <si>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</si>
  <si>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</si>
  <si>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</si>
  <si>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</si>
  <si>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</si>
  <si>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</si>
  <si>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</si>
  <si>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</si>
  <si>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</si>
  <si>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</si>
  <si>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</si>
  <si>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</si>
  <si>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</si>
  <si>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</si>
  <si>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</si>
  <si>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</si>
  <si>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</si>
  <si>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</si>
  <si>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</si>
  <si>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</si>
  <si>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</si>
  <si>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</si>
  <si>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</si>
  <si>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</si>
  <si>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</si>
  <si>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</si>
  <si>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</si>
  <si>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</si>
  <si>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</si>
  <si>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</si>
  <si>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</si>
  <si>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</si>
  <si>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</si>
  <si>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</si>
  <si>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</si>
  <si>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</si>
  <si>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</si>
  <si>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</si>
  <si>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</si>
  <si>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</si>
  <si>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</si>
  <si>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</si>
  <si>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</si>
  <si>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</si>
  <si>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</si>
  <si>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</si>
  <si>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</si>
  <si>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</si>
  <si>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</si>
  <si>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</si>
  <si>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</si>
  <si>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</si>
  <si>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</si>
  <si>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</si>
  <si>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</si>
  <si>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</si>
  <si>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</si>
  <si>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</si>
  <si>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</si>
  <si>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</si>
  <si>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</si>
  <si>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</si>
  <si>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</si>
  <si>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</si>
  <si>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</si>
  <si>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</si>
  <si>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</si>
  <si>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</si>
  <si>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</si>
  <si>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</si>
  <si>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</si>
  <si>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</si>
  <si>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</si>
  <si>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</si>
  <si>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</si>
  <si>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</si>
  <si>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</si>
  <si>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</si>
  <si>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</si>
  <si>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</si>
  <si>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</si>
  <si>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</si>
  <si>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</si>
  <si>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</si>
  <si>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</si>
  <si>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</si>
  <si>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</si>
  <si>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</si>
  <si>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</si>
  <si>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</si>
  <si>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</si>
  <si>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</si>
  <si>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</si>
  <si>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</si>
  <si>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</si>
  <si>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</si>
  <si>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</si>
  <si>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</si>
  <si>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</si>
  <si>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</si>
  <si>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</si>
  <si>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</si>
  <si>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</si>
  <si>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</si>
  <si>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</si>
  <si>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</si>
  <si>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</si>
  <si>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</si>
  <si>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</si>
  <si>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</si>
  <si>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</si>
  <si>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</si>
  <si>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</si>
  <si>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</si>
  <si>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</si>
  <si>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</si>
  <si>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</si>
  <si>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</si>
  <si>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</si>
  <si>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</si>
  <si>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</si>
  <si>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</si>
  <si>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</si>
  <si>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</si>
  <si>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</si>
  <si>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FBC2–13;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</si>
  <si>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</si>
  <si>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</si>
  <si>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</si>
  <si>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</si>
  <si>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</si>
  <si>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</si>
  <si>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</si>
  <si>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</si>
  <si>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</si>
  <si>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</si>
  <si>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</si>
  <si>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</si>
  <si>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</si>
  <si>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</si>
  <si>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</si>
  <si>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</si>
  <si>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</si>
  <si>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</si>
  <si>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</si>
  <si>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</si>
  <si>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</si>
  <si>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</si>
  <si>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</si>
  <si>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</si>
  <si>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</si>
  <si>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</si>
  <si>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</si>
  <si>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</si>
  <si>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</si>
  <si>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</si>
  <si>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</si>
  <si>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</si>
  <si>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</si>
  <si>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</si>
  <si>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</si>
  <si>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</si>
  <si>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</si>
  <si>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</si>
  <si>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</si>
  <si>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</si>
  <si>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</si>
  <si>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</si>
  <si>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</si>
  <si>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</si>
  <si>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</si>
  <si>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</si>
  <si>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</si>
  <si>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</si>
  <si>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</si>
  <si>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</si>
  <si>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</si>
  <si>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</si>
  <si>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</si>
  <si>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</si>
  <si>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</si>
  <si>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</si>
  <si>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</si>
  <si>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</si>
  <si>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</si>
  <si>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</si>
  <si>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</si>
  <si>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</si>
  <si>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</si>
  <si>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</si>
  <si>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</si>
  <si>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</si>
  <si>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</si>
  <si>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</si>
  <si>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</si>
  <si>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</si>
  <si>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</si>
  <si>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</si>
  <si>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</si>
  <si>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</si>
  <si>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</si>
  <si>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</si>
  <si>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</si>
  <si>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</si>
  <si>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</si>
  <si>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</si>
  <si>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</si>
  <si>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</si>
  <si>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</si>
  <si>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</si>
  <si>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</si>
  <si>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</si>
  <si>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</si>
  <si>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</si>
  <si>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</si>
  <si>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</si>
  <si>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</si>
  <si>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</si>
  <si>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</si>
  <si>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</si>
  <si>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</si>
  <si>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</si>
  <si>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</si>
  <si>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</si>
  <si>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</si>
  <si>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</si>
  <si>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</si>
  <si>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</si>
  <si>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</si>
  <si>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</si>
  <si>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</si>
  <si>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</si>
  <si>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</si>
  <si>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</si>
  <si>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</si>
  <si>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</si>
  <si>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</si>
  <si>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</si>
  <si>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</si>
  <si>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</si>
  <si>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</si>
  <si>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</si>
  <si>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</si>
  <si>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</si>
  <si>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</si>
  <si>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</si>
  <si>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</si>
  <si>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</si>
  <si>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</si>
  <si>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</si>
  <si>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</si>
  <si>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</si>
  <si>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</si>
  <si>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</si>
  <si>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</si>
  <si>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</si>
  <si>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</si>
  <si>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</si>
  <si>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</si>
  <si>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</si>
  <si>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</si>
  <si>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</si>
  <si>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</si>
  <si>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</si>
  <si>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</si>
  <si>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</si>
  <si>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</si>
  <si>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</si>
  <si>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</si>
  <si>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</si>
  <si>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</si>
  <si>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</si>
  <si>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</si>
  <si>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</si>
  <si>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</si>
  <si>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</si>
  <si>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</si>
  <si>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</si>
  <si>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</si>
  <si>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</si>
  <si>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</si>
  <si>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</si>
  <si>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</si>
  <si>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</si>
  <si>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</si>
  <si>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</si>
  <si>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</si>
  <si>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</si>
  <si>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</si>
  <si>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</si>
  <si>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</si>
  <si>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</si>
  <si>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</si>
  <si>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</si>
  <si>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</si>
  <si>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</si>
  <si>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</si>
  <si>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</si>
  <si>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</si>
  <si>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</si>
  <si>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</si>
  <si>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</si>
  <si>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</si>
  <si>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</si>
  <si>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</si>
  <si>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</si>
  <si>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</si>
  <si>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</si>
  <si>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</si>
  <si>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</si>
  <si>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</si>
  <si>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</si>
  <si>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</si>
  <si>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</si>
  <si>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</si>
  <si>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</si>
  <si>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</si>
  <si>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</si>
  <si>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</si>
  <si>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</si>
  <si>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</si>
  <si>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</si>
  <si>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</si>
  <si>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</si>
  <si>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</si>
  <si>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</si>
  <si>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</si>
  <si>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</si>
  <si>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</si>
  <si>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</si>
  <si>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</si>
  <si>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</si>
  <si>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</si>
  <si>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</si>
  <si>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</si>
  <si>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</si>
  <si>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</si>
  <si>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</si>
  <si>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</si>
  <si>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</si>
  <si>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</si>
  <si>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</si>
  <si>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</si>
  <si>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</si>
  <si>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</si>
  <si>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</si>
  <si>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</si>
  <si>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</si>
  <si>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</si>
  <si>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</si>
  <si>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</si>
  <si>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</si>
  <si>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</si>
  <si>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</si>
  <si>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</si>
  <si>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</si>
  <si>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</si>
  <si>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</si>
  <si>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</si>
  <si>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</si>
  <si>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</si>
  <si>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</si>
  <si>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</si>
  <si>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</si>
  <si>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</si>
  <si>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</si>
  <si>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</si>
  <si>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</si>
  <si>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</si>
  <si>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</si>
  <si>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</si>
  <si>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</si>
  <si>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</si>
  <si>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</si>
  <si>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</si>
  <si>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</si>
  <si>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</si>
  <si>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</si>
  <si>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</si>
  <si>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</si>
  <si>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</si>
  <si>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</si>
  <si>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</si>
  <si>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</si>
  <si>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</si>
  <si>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</si>
  <si>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</si>
  <si>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</si>
  <si>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</si>
  <si>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</si>
  <si>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</si>
  <si>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</si>
  <si>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</si>
  <si>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</si>
  <si>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</si>
  <si>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</si>
  <si>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</si>
  <si>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</si>
  <si>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</si>
  <si>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</si>
  <si>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</si>
  <si>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</si>
  <si>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</si>
  <si>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</si>
  <si>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</si>
  <si>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</si>
  <si>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</si>
  <si>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</si>
  <si>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</si>
  <si>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</si>
  <si>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</si>
  <si>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</si>
  <si>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</si>
  <si>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</si>
  <si>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</si>
  <si>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</si>
  <si>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</si>
  <si>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</si>
  <si>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</si>
  <si>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</si>
  <si>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</si>
  <si>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</si>
  <si>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</si>
  <si>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</si>
  <si>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</si>
  <si>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</si>
  <si>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</si>
  <si>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</si>
  <si>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</si>
  <si>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</si>
  <si>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</si>
  <si>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</si>
  <si>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</si>
  <si>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</si>
  <si>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</si>
  <si>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</si>
  <si>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</si>
  <si>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</si>
  <si>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</si>
  <si>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</si>
  <si>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</si>
  <si>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</si>
  <si>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</si>
  <si>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</si>
  <si>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</si>
  <si>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</si>
  <si>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</si>
  <si>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</si>
  <si>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</si>
  <si>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</si>
  <si>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</si>
  <si>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</si>
  <si>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</si>
  <si>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</si>
  <si>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</si>
  <si>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</si>
  <si>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</si>
  <si>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</si>
  <si>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</si>
  <si>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</si>
  <si>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</si>
  <si>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</si>
  <si>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</si>
  <si>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</si>
  <si>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</si>
  <si>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</si>
  <si>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</si>
  <si>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</si>
  <si>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</si>
  <si>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</si>
  <si>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</si>
  <si>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</si>
  <si>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</si>
  <si>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</si>
  <si>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</si>
  <si>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</si>
  <si>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</si>
  <si>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</si>
  <si>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</si>
  <si>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</si>
  <si>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</si>
  <si>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</si>
  <si>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</si>
  <si>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</si>
  <si>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</si>
  <si>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</si>
  <si>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</si>
  <si>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</si>
  <si>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</si>
  <si>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</si>
  <si>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</si>
  <si>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</si>
  <si>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</si>
  <si>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</si>
  <si>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</si>
  <si>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</si>
  <si>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</si>
  <si>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</si>
  <si>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</si>
  <si>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</si>
  <si>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</si>
  <si>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</si>
  <si>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</si>
  <si>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</si>
  <si>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</si>
  <si>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</si>
  <si>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</si>
  <si>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</si>
  <si>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</si>
  <si>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</si>
  <si>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</si>
  <si>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</si>
  <si>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</si>
  <si>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</si>
  <si>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</si>
  <si>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</si>
  <si>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</si>
  <si>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</si>
  <si>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</si>
  <si>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</si>
  <si>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</si>
  <si>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</si>
  <si>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</si>
  <si>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</si>
  <si>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</si>
  <si>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</si>
  <si>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</si>
  <si>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</si>
  <si>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</si>
  <si>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</si>
  <si>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</si>
  <si>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</si>
  <si>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</si>
  <si>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</si>
  <si>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</si>
  <si>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</si>
  <si>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</si>
  <si>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</si>
  <si>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</si>
  <si>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</si>
  <si>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</si>
  <si>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</si>
  <si>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</si>
  <si>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</si>
  <si>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</si>
  <si>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</si>
  <si>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</si>
  <si>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</si>
  <si>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</si>
  <si>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</si>
  <si>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</si>
  <si>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</si>
  <si>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</si>
  <si>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</si>
  <si>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</si>
  <si>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</si>
  <si>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</si>
  <si>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</si>
  <si>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</si>
  <si>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</si>
  <si>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</si>
  <si>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</si>
  <si>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</si>
  <si>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</si>
  <si>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</si>
  <si>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</si>
  <si>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</si>
  <si>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</si>
  <si>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</si>
  <si>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</si>
  <si>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</si>
  <si>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</si>
  <si>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</si>
  <si>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</si>
  <si>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</si>
  <si>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</si>
  <si>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</si>
  <si>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</si>
  <si>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</si>
  <si>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</si>
  <si>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</si>
  <si>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</si>
  <si>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</si>
  <si>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</si>
  <si>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</si>
  <si>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</si>
  <si>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</si>
  <si>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</si>
  <si>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</si>
  <si>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</si>
  <si>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</si>
  <si>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</si>
  <si>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</si>
  <si>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</si>
  <si>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</si>
  <si>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</si>
  <si>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</si>
  <si>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</si>
  <si>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</si>
  <si>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</si>
  <si>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</si>
  <si>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</si>
  <si>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</si>
  <si>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</si>
  <si>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</si>
  <si>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</si>
  <si>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</si>
  <si>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</si>
  <si>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</si>
  <si>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</si>
  <si>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</si>
  <si>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</si>
  <si>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</si>
  <si>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</si>
  <si>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</si>
  <si>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</si>
  <si>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</si>
  <si>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</si>
  <si>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</si>
  <si>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</si>
  <si>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</si>
  <si>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</si>
  <si>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</si>
  <si>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</si>
  <si>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</si>
  <si>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</si>
  <si>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</si>
  <si>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</si>
  <si>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</si>
  <si>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</si>
  <si>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</si>
  <si>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</si>
  <si>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</si>
  <si>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</si>
  <si>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</si>
  <si>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</si>
  <si>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</si>
  <si>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</si>
  <si>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</si>
  <si>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</si>
  <si>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</si>
  <si>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</si>
  <si>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</si>
  <si>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</si>
  <si>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</si>
  <si>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</si>
  <si>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</si>
  <si>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</si>
  <si>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</si>
  <si>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</si>
  <si>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</si>
  <si>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</si>
  <si>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</si>
  <si>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</si>
  <si>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</si>
  <si>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</si>
  <si>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</si>
  <si>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</si>
  <si>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</si>
  <si>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</si>
  <si>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</si>
  <si>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</si>
  <si>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</si>
  <si>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</si>
  <si>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</si>
  <si>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</si>
  <si>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</si>
  <si>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</si>
  <si>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</si>
  <si>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</si>
  <si>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</si>
  <si>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</si>
  <si>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</si>
  <si>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</si>
  <si>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</si>
  <si>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</si>
  <si>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</si>
  <si>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</si>
  <si>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</si>
  <si>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</si>
  <si>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</si>
  <si>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</si>
  <si>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</si>
  <si>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</si>
  <si>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</si>
  <si>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</si>
  <si>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</si>
  <si>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</si>
  <si>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</si>
  <si>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</si>
  <si>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</si>
  <si>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</si>
  <si>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</si>
  <si>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</si>
  <si>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</si>
  <si>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</si>
  <si>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</si>
  <si>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</si>
  <si>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</si>
  <si>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</si>
  <si>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</si>
  <si>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</si>
  <si>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</si>
  <si>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</si>
  <si>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</si>
  <si>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</si>
  <si>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</si>
  <si>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</si>
  <si>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</si>
  <si>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</si>
  <si>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</si>
  <si>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</si>
  <si>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</si>
  <si>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</si>
  <si>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</si>
  <si>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</si>
  <si>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</si>
  <si>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</si>
  <si>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</si>
  <si>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</si>
  <si>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</si>
  <si>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</si>
  <si>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</si>
  <si>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</si>
  <si>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</si>
  <si>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</si>
  <si>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</si>
  <si>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</si>
  <si>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</si>
  <si>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</si>
  <si>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</si>
  <si>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</si>
  <si>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</si>
  <si>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</si>
  <si>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</si>
  <si>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</si>
  <si>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</si>
  <si>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</si>
  <si>
    <t>FBC13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</si>
</sst>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7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5" fillId="3" borderId="7" xfId="0" applyNumberFormat="1" applyFont="1" applyFill="1" applyBorder="1" applyAlignment="1">
      <alignment horizontal="center"/>
    </xf>
    <xf numFmtId="0" fontId="23" fillId="0" borderId="0" xfId="0" applyFont="1" applyAlignment="1">
      <alignment vertical="top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3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9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6" spans="2:8" ht="18" customHeight="1">
      <c r="B26" s="86" t="inlineStr">
        <is>
          <t xml:space="preserve">     •   Cup Info: add a row for the new cup — FBC, year, dates, location, region, and Rain (Yes/No).</t>
        </is>
      </c>
      <c r="C26" s="86"/>
      <c r="D26" s="86"/>
      <c r="E26" s="86"/>
      <c r="F26" s="86"/>
      <c r="G26" s="86"/>
      <c r="H26" s="86"/>
    </row>
    <row r="28" spans="2:8" ht="21.75" customHeight="1" x14ac:dyDescent="0.2">
      <c r="B28" s="85" t="s">
        <v>21</v>
      </c>
      <c r="C28" s="85"/>
      <c r="D28" s="85"/>
      <c r="E28" s="85"/>
      <c r="F28" s="85"/>
      <c r="G28" s="85"/>
      <c r="H28" s="85"/>
    </row>
    <row r="29" spans="2:8" ht="30" customHeight="1" x14ac:dyDescent="0.2">
      <c r="B29" s="86" t="s">
        <v>22</v>
      </c>
      <c r="C29" s="86"/>
      <c r="D29" s="86"/>
      <c r="E29" s="86"/>
      <c r="F29" s="86"/>
      <c r="G29" s="86"/>
      <c r="H29" s="86"/>
    </row>
    <row r="31" spans="2:8" ht="21.75" customHeight="1" x14ac:dyDescent="0.2">
      <c r="B31" s="85" t="s">
        <v>23</v>
      </c>
      <c r="C31" s="85"/>
      <c r="D31" s="85"/>
      <c r="E31" s="85"/>
      <c r="F31" s="85"/>
      <c r="G31" s="85"/>
      <c r="H31" s="85"/>
    </row>
    <row r="32" spans="2:8" ht="18" customHeight="1" x14ac:dyDescent="0.2">
      <c r="B32" s="86" t="s">
        <v>24</v>
      </c>
      <c r="C32" s="86"/>
      <c r="D32" s="86"/>
      <c r="E32" s="86"/>
      <c r="F32" s="86"/>
      <c r="G32" s="86"/>
      <c r="H32" s="86"/>
    </row>
    <row r="33" spans="2:8" ht="18" customHeight="1" x14ac:dyDescent="0.2">
      <c r="B33" s="86" t="s">
        <v>25</v>
      </c>
      <c r="C33" s="86"/>
      <c r="D33" s="86"/>
      <c r="E33" s="86"/>
      <c r="F33" s="86"/>
      <c r="G33" s="86"/>
      <c r="H33" s="86"/>
    </row>
    <row r="34" spans="2:8" ht="33" customHeight="1" x14ac:dyDescent="0.2">
      <c r="B34" s="86" t="s">
        <v>26</v>
      </c>
      <c r="C34" s="86"/>
      <c r="D34" s="86"/>
      <c r="E34" s="86"/>
      <c r="F34" s="86"/>
      <c r="G34" s="86"/>
      <c r="H34" s="86"/>
    </row>
    <row r="36" spans="2:8" ht="21.75" customHeight="1" x14ac:dyDescent="0.2">
      <c r="B36" s="85" t="s">
        <v>27</v>
      </c>
      <c r="C36" s="85"/>
      <c r="D36" s="85"/>
      <c r="E36" s="85"/>
      <c r="F36" s="85"/>
      <c r="G36" s="85"/>
      <c r="H36" s="85"/>
    </row>
    <row r="37" spans="2:8" ht="18" customHeight="1" x14ac:dyDescent="0.2">
      <c r="B37" s="4" t="s">
        <v>28</v>
      </c>
      <c r="C37" s="4" t="s">
        <v>29</v>
      </c>
      <c r="D37" s="87" t="s">
        <v>30</v>
      </c>
      <c r="E37" s="87"/>
      <c r="F37" s="87"/>
      <c r="G37" s="87"/>
      <c r="H37" s="87"/>
    </row>
    <row r="38" spans="2:8" ht="25.5" customHeight="1" x14ac:dyDescent="0.2">
      <c r="B38" s="3" t="s">
        <v>31</v>
      </c>
      <c r="C38" s="7" t="s">
        <v>32</v>
      </c>
      <c r="D38" s="88" t="s">
        <v>33</v>
      </c>
      <c r="E38" s="88"/>
      <c r="F38" s="88"/>
      <c r="G38" s="88"/>
      <c r="H38" s="88"/>
    </row>
    <row r="39" spans="2:8" ht="25.5" customHeight="1" x14ac:dyDescent="0.2">
      <c r="B39" s="2" t="s">
        <v>34</v>
      </c>
      <c r="C39" s="8" t="s">
        <v>35</v>
      </c>
      <c r="D39" s="89" t="s">
        <v>36</v>
      </c>
      <c r="E39" s="89"/>
      <c r="F39" s="89"/>
      <c r="G39" s="89"/>
      <c r="H39" s="89"/>
    </row>
    <row r="40" spans="2:8" ht="25.5" customHeight="1" x14ac:dyDescent="0.2">
      <c r="B40" s="3" t="s">
        <v>37</v>
      </c>
      <c r="C40" s="9" t="s">
        <v>35</v>
      </c>
      <c r="D40" s="88" t="s">
        <v>38</v>
      </c>
      <c r="E40" s="88"/>
      <c r="F40" s="88"/>
      <c r="G40" s="88"/>
      <c r="H40" s="88"/>
    </row>
    <row r="41" spans="2:8" ht="25.5" customHeight="1" x14ac:dyDescent="0.2">
      <c r="B41" s="2" t="s">
        <v>39</v>
      </c>
      <c r="C41" s="8" t="s">
        <v>35</v>
      </c>
      <c r="D41" s="89" t="s">
        <v>40</v>
      </c>
      <c r="E41" s="89"/>
      <c r="F41" s="89"/>
      <c r="G41" s="89"/>
      <c r="H41" s="89"/>
    </row>
    <row r="42" spans="2:8" ht="25.5" customHeight="1" x14ac:dyDescent="0.2">
      <c r="B42" s="3" t="s">
        <v>41</v>
      </c>
      <c r="C42" s="9" t="s">
        <v>35</v>
      </c>
      <c r="D42" s="88" t="s">
        <v>42</v>
      </c>
      <c r="E42" s="88"/>
      <c r="F42" s="88"/>
      <c r="G42" s="88"/>
      <c r="H42" s="88"/>
    </row>
    <row r="43" spans="2:8" ht="25.5" customHeight="1" x14ac:dyDescent="0.2">
      <c r="B43" s="2" t="s">
        <v>43</v>
      </c>
      <c r="C43" s="8" t="s">
        <v>44</v>
      </c>
      <c r="D43" s="89" t="s">
        <v>45</v>
      </c>
      <c r="E43" s="89"/>
      <c r="F43" s="89"/>
      <c r="G43" s="89"/>
      <c r="H43" s="89"/>
    </row>
    <row r="44" spans="2:8" ht="25.5" customHeight="1" x14ac:dyDescent="0.2">
      <c r="B44" s="3" t="s">
        <v>46</v>
      </c>
      <c r="C44" s="10" t="s">
        <v>47</v>
      </c>
      <c r="D44" s="88" t="s">
        <v>48</v>
      </c>
      <c r="E44" s="88"/>
      <c r="F44" s="88"/>
      <c r="G44" s="88"/>
      <c r="H44" s="88"/>
    </row>
    <row r="45" spans="2:8" ht="25.5" customHeight="1" x14ac:dyDescent="0.2">
      <c r="B45" s="3" t="s">
        <v>49</v>
      </c>
      <c r="C45" s="10" t="s">
        <v>47</v>
      </c>
      <c r="D45" s="90" t="s">
        <v>50</v>
      </c>
      <c r="E45" s="90"/>
      <c r="F45" s="90"/>
      <c r="G45" s="90"/>
      <c r="H45" s="90"/>
    </row>
    <row r="46" spans="2:8" ht="25.5" customHeight="1" x14ac:dyDescent="0.2">
      <c r="B46" s="2" t="s">
        <v>51</v>
      </c>
      <c r="C46" s="11" t="s">
        <v>52</v>
      </c>
      <c r="D46" s="89" t="s">
        <v>53</v>
      </c>
      <c r="E46" s="89"/>
      <c r="F46" s="89"/>
      <c r="G46" s="89"/>
      <c r="H46" s="89"/>
    </row>
    <row r="47" spans="2:8" ht="25.5" customHeight="1" x14ac:dyDescent="0.2">
      <c r="B47" s="3" t="s">
        <v>54</v>
      </c>
      <c r="C47" s="7" t="s">
        <v>52</v>
      </c>
      <c r="D47" s="88" t="s">
        <v>55</v>
      </c>
      <c r="E47" s="88"/>
      <c r="F47" s="88"/>
      <c r="G47" s="88"/>
      <c r="H47" s="88"/>
    </row>
    <row r="48" spans="2:8" ht="25.5" customHeight="1" x14ac:dyDescent="0.2">
      <c r="B48" s="2" t="s">
        <v>56</v>
      </c>
      <c r="C48" s="11" t="s">
        <v>52</v>
      </c>
      <c r="D48" s="89" t="s">
        <v>57</v>
      </c>
      <c r="E48" s="89"/>
      <c r="F48" s="89"/>
      <c r="G48" s="89"/>
      <c r="H48" s="89"/>
    </row>
    <row r="49" spans="2:8" ht="30" customHeight="1" x14ac:dyDescent="0.2">
      <c r="B49" s="3" t="s">
        <v>58</v>
      </c>
      <c r="C49" s="7" t="s">
        <v>52</v>
      </c>
      <c r="D49" s="88" t="s">
        <v>59</v>
      </c>
      <c r="E49" s="88"/>
      <c r="F49" s="88"/>
      <c r="G49" s="88"/>
      <c r="H49" s="88"/>
    </row>
    <row r="50" spans="2:8" ht="25.5" customHeight="1">
      <c r="B50" s="2" t="inlineStr">
        <is>
          <t xml:space="preserve">Cup Info</t>
        </is>
      </c>
      <c r="C50" s="11" t="inlineStr">
        <is>
          <t xml:space="preserve">Manual</t>
        </is>
      </c>
      <c r="D50" s="89" t="inlineStr">
        <is>
          <t xml:space="preserve">New row each cup, including Rain (Yes/No).</t>
        </is>
      </c>
      <c r="E50" s="89"/>
      <c r="F50" s="89"/>
      <c r="G50" s="89"/>
      <c r="H50" s="89"/>
    </row>
    <row r="51" spans="2:8" ht="34.5" customHeight="1" x14ac:dyDescent="0.2">
      <c r="B51" s="3" t="s">
        <v>60</v>
      </c>
      <c r="C51" s="7" t="s">
        <v>52</v>
      </c>
      <c r="D51" s="88" t="s">
        <v>61</v>
      </c>
      <c r="E51" s="88"/>
      <c r="F51" s="88"/>
      <c r="G51" s="88"/>
      <c r="H51" s="88"/>
    </row>
    <row r="52" spans="2:8" ht="21.75" customHeight="1" x14ac:dyDescent="0.2">
      <c r="B52" s="91"/>
      <c r="C52" s="91"/>
      <c r="D52" s="91"/>
      <c r="E52" s="91"/>
      <c r="F52" s="91"/>
      <c r="G52" s="91"/>
      <c r="H52" s="91"/>
    </row>
    <row r="53" spans="2:8" ht="18" customHeight="1" x14ac:dyDescent="0.2">
      <c r="B53" s="85" t="s">
        <v>62</v>
      </c>
      <c r="C53" s="85"/>
      <c r="D53" s="85"/>
      <c r="E53" s="85"/>
      <c r="F53" s="85"/>
      <c r="G53" s="85"/>
      <c r="H53" s="85"/>
    </row>
    <row r="54" spans="2:8" ht="18" customHeight="1" x14ac:dyDescent="0.2">
      <c r="B54" s="86" t="s">
        <v>63</v>
      </c>
      <c r="C54" s="86"/>
      <c r="D54" s="86"/>
      <c r="E54" s="86"/>
      <c r="F54" s="86"/>
      <c r="G54" s="86"/>
      <c r="H54" s="86"/>
    </row>
    <row r="55" spans="2:8" ht="33" customHeight="1" x14ac:dyDescent="0.2">
      <c r="B55" s="86" t="s">
        <v>64</v>
      </c>
      <c r="C55" s="86"/>
      <c r="D55" s="86"/>
      <c r="E55" s="86"/>
      <c r="F55" s="86"/>
      <c r="G55" s="86"/>
      <c r="H55" s="86"/>
    </row>
    <row r="56" spans="2:8" ht="33" customHeight="1" x14ac:dyDescent="0.2">
      <c r="B56" s="86" t="s">
        <v>65</v>
      </c>
      <c r="C56" s="86"/>
      <c r="D56" s="86"/>
      <c r="E56" s="86"/>
      <c r="F56" s="86"/>
      <c r="G56" s="86"/>
      <c r="H56" s="86"/>
    </row>
    <row r="57" spans="2:8" ht="6" customHeight="1" x14ac:dyDescent="0.2">
      <c r="B57" s="5" t="s">
        <v>66</v>
      </c>
    </row>
    <row r="58" spans="2:8" ht="13.5" customHeight="1" x14ac:dyDescent="0.2">
      <c r="B58" s="91"/>
      <c r="C58" s="91"/>
      <c r="D58" s="91"/>
      <c r="E58" s="91"/>
      <c r="F58" s="91"/>
      <c r="G58" s="91"/>
      <c r="H58" s="91"/>
    </row>
    <row r="59" spans="2:8" ht="21.75" customHeight="1" x14ac:dyDescent="0.2">
      <c r="B59" s="1" t="s">
        <v>67</v>
      </c>
    </row>
  </sheetData>
  <mergeCells count="50">
    <mergeCell ref="D51:H51"/>
    <mergeCell ref="D50:H50"/>
    <mergeCell ref="B26:H26"/>
    <mergeCell ref="B56:H56"/>
    <mergeCell ref="B58:H58"/>
    <mergeCell ref="D49:H49"/>
    <mergeCell ref="B52:H52"/>
    <mergeCell ref="B53:H53"/>
    <mergeCell ref="B54:H54"/>
    <mergeCell ref="B55:H55"/>
    <mergeCell ref="D44:H44"/>
    <mergeCell ref="D45:H45"/>
    <mergeCell ref="D46:H46"/>
    <mergeCell ref="D47:H47"/>
    <mergeCell ref="D48:H48"/>
    <mergeCell ref="D39:H39"/>
    <mergeCell ref="D40:H40"/>
    <mergeCell ref="D41:H41"/>
    <mergeCell ref="D42:H42"/>
    <mergeCell ref="D43:H43"/>
    <mergeCell ref="B33:H33"/>
    <mergeCell ref="B34:H34"/>
    <mergeCell ref="B36:H36"/>
    <mergeCell ref="D37:H37"/>
    <mergeCell ref="D38:H38"/>
    <mergeCell ref="B25:H25"/>
    <mergeCell ref="B28:H28"/>
    <mergeCell ref="B29:H29"/>
    <mergeCell ref="B31:H31"/>
    <mergeCell ref="B32:H32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969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176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130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176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130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227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227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227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227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227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227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227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227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227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227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226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226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226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226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226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226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226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226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226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226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  <row r="874" spans="1:40" ht="15" customHeight="1" x14ac:dyDescent="0.2">
      <c r="B874">
        <v>1</v>
      </c>
      <c r="D874">
        <v>13</v>
      </c>
      <c r="E874" t="inlineStr">
        <is>
          <t xml:space="preserve">FBC13-D1</t>
        </is>
      </c>
      <c r="F874" t="inlineStr">
        <is>
          <t xml:space="preserve">Friday</t>
        </is>
      </c>
      <c r="G874" s="15">
        <v>46297</v>
      </c>
      <c r="H874" t="inlineStr">
        <is>
          <t xml:space="preserve">AM</t>
        </is>
      </c>
      <c r="I874" t="inlineStr">
        <is>
          <t xml:space="preserve">Frisco, TX</t>
        </is>
      </c>
      <c r="J874" t="inlineStr">
        <is>
          <t xml:space="preserve">South</t>
        </is>
      </c>
      <c r="K874">
        <v>9</v>
      </c>
      <c r="L874" t="inlineStr">
        <is>
          <t xml:space="preserve">Front</t>
        </is>
      </c>
      <c r="M874" t="inlineStr">
        <is>
          <t xml:space="preserve">Fields Ranch East</t>
        </is>
      </c>
      <c r="N874" t="inlineStr">
        <is>
          <t xml:space="preserve">III (Green)</t>
        </is>
      </c>
      <c r="O874">
        <v>72.6</v>
      </c>
      <c r="P874">
        <v>140</v>
      </c>
      <c r="Q874">
        <v>6543</v>
      </c>
      <c r="R874" t="inlineStr">
        <is>
          <t xml:space="preserve">Best Ball</t>
        </is>
      </c>
      <c r="S874" t="inlineStr">
        <is>
          <t xml:space="preserve">Doubles</t>
        </is>
      </c>
      <c r="T874" t="inlineStr">
        <is>
          <t xml:space="preserve">Under 6'</t>
        </is>
      </c>
      <c r="U874" t="inlineStr">
        <is>
          <t xml:space="preserve">Mangold</t>
        </is>
      </c>
      <c r="V874" t="inlineStr">
        <is>
          <t xml:space="preserve">Ferrin</t>
        </is>
      </c>
      <c r="X874">
        <v>13</v>
      </c>
      <c r="Y874" t="inlineStr">
        <is>
          <t xml:space="preserve">Shively</t>
        </is>
      </c>
      <c r="Z874">
        <v>17</v>
      </c>
      <c r="AA874">
        <v>1</v>
      </c>
      <c r="AB874" t="inlineStr">
        <is>
          <t xml:space="preserve">L</t>
        </is>
      </c>
      <c r="AC874" t="inlineStr">
        <is>
          <t xml:space="preserve">5 Up</t>
        </is>
      </c>
      <c r="AE874" t="str">
        <f>$V874&amp;$Y874</f>
        <v>FerrinShively</v>
      </c>
      <c r="AF874">
        <v>0</v>
      </c>
      <c r="AG874">
        <v>0</v>
      </c>
      <c r="AH874">
        <v>1</v>
      </c>
      <c r="AI874">
        <v>0</v>
      </c>
      <c r="AK874" t="inlineStr">
        <is>
          <t xml:space="preserve">Poirier</t>
        </is>
      </c>
      <c r="AM874" t="inlineStr">
        <is>
          <t xml:space="preserve">Cole</t>
        </is>
      </c>
    </row>
    <row r="875" spans="1:40" ht="15" customHeight="1" x14ac:dyDescent="0.2">
      <c r="B875">
        <v>1</v>
      </c>
      <c r="D875">
        <v>13</v>
      </c>
      <c r="E875" t="inlineStr">
        <is>
          <t xml:space="preserve">FBC13-D1</t>
        </is>
      </c>
      <c r="F875" t="inlineStr">
        <is>
          <t xml:space="preserve">Friday</t>
        </is>
      </c>
      <c r="G875" s="15">
        <v>46297</v>
      </c>
      <c r="H875" t="inlineStr">
        <is>
          <t xml:space="preserve">AM</t>
        </is>
      </c>
      <c r="I875" t="inlineStr">
        <is>
          <t xml:space="preserve">Frisco, TX</t>
        </is>
      </c>
      <c r="J875" t="inlineStr">
        <is>
          <t xml:space="preserve">South</t>
        </is>
      </c>
      <c r="K875">
        <v>9</v>
      </c>
      <c r="L875" t="inlineStr">
        <is>
          <t xml:space="preserve">Front</t>
        </is>
      </c>
      <c r="M875" t="inlineStr">
        <is>
          <t xml:space="preserve">Fields Ranch East</t>
        </is>
      </c>
      <c r="N875" t="inlineStr">
        <is>
          <t xml:space="preserve">III (Green)</t>
        </is>
      </c>
      <c r="O875">
        <v>72.6</v>
      </c>
      <c r="P875">
        <v>140</v>
      </c>
      <c r="Q875">
        <v>6543</v>
      </c>
      <c r="R875" t="inlineStr">
        <is>
          <t xml:space="preserve">Best Ball</t>
        </is>
      </c>
      <c r="S875" t="inlineStr">
        <is>
          <t xml:space="preserve">Doubles</t>
        </is>
      </c>
      <c r="T875" t="inlineStr">
        <is>
          <t xml:space="preserve">Under 6'</t>
        </is>
      </c>
      <c r="U875" t="inlineStr">
        <is>
          <t xml:space="preserve">Forster</t>
        </is>
      </c>
      <c r="V875" t="inlineStr">
        <is>
          <t xml:space="preserve">Poirier</t>
        </is>
      </c>
      <c r="X875">
        <v>7</v>
      </c>
      <c r="Y875" t="inlineStr">
        <is>
          <t xml:space="preserve">Cole</t>
        </is>
      </c>
      <c r="Z875">
        <v>21</v>
      </c>
      <c r="AA875">
        <v>1</v>
      </c>
      <c r="AB875" t="inlineStr">
        <is>
          <t xml:space="preserve">W</t>
        </is>
      </c>
      <c r="AC875" t="inlineStr">
        <is>
          <t xml:space="preserve">5 Up</t>
        </is>
      </c>
      <c r="AE875" t="str">
        <f>$V875&amp;$Y875</f>
        <v>PoirierCole</v>
      </c>
      <c r="AF875">
        <v>1</v>
      </c>
      <c r="AG875">
        <v>1</v>
      </c>
      <c r="AH875">
        <v>0</v>
      </c>
      <c r="AI875">
        <v>0</v>
      </c>
      <c r="AK875" t="inlineStr">
        <is>
          <t xml:space="preserve">Ferrin</t>
        </is>
      </c>
      <c r="AM875" t="inlineStr">
        <is>
          <t xml:space="preserve">Shively</t>
        </is>
      </c>
    </row>
    <row r="876" spans="1:40" ht="15" customHeight="1" x14ac:dyDescent="0.2">
      <c r="B876">
        <v>2</v>
      </c>
      <c r="D876">
        <v>13</v>
      </c>
      <c r="E876" t="inlineStr">
        <is>
          <t xml:space="preserve">FBC13-D2</t>
        </is>
      </c>
      <c r="F876" t="inlineStr">
        <is>
          <t xml:space="preserve">Friday</t>
        </is>
      </c>
      <c r="G876" s="15">
        <v>46297</v>
      </c>
      <c r="H876" t="inlineStr">
        <is>
          <t xml:space="preserve">AM</t>
        </is>
      </c>
      <c r="I876" t="inlineStr">
        <is>
          <t xml:space="preserve">Frisco, TX</t>
        </is>
      </c>
      <c r="J876" t="inlineStr">
        <is>
          <t xml:space="preserve">South</t>
        </is>
      </c>
      <c r="K876">
        <v>9</v>
      </c>
      <c r="L876" t="inlineStr">
        <is>
          <t xml:space="preserve">Back</t>
        </is>
      </c>
      <c r="M876" t="inlineStr">
        <is>
          <t xml:space="preserve">Fields Ranch East</t>
        </is>
      </c>
      <c r="N876" t="inlineStr">
        <is>
          <t xml:space="preserve">III (Green)</t>
        </is>
      </c>
      <c r="O876">
        <v>72.6</v>
      </c>
      <c r="P876">
        <v>140</v>
      </c>
      <c r="Q876">
        <v>6543</v>
      </c>
      <c r="R876" t="inlineStr">
        <is>
          <t xml:space="preserve">Vegas</t>
        </is>
      </c>
      <c r="S876" t="inlineStr">
        <is>
          <t xml:space="preserve">Doubles</t>
        </is>
      </c>
      <c r="T876" t="inlineStr">
        <is>
          <t xml:space="preserve">Under 6'</t>
        </is>
      </c>
      <c r="U876" t="inlineStr">
        <is>
          <t xml:space="preserve">Mangold</t>
        </is>
      </c>
      <c r="V876" t="inlineStr">
        <is>
          <t xml:space="preserve">Ferrin</t>
        </is>
      </c>
      <c r="X876">
        <v>13</v>
      </c>
      <c r="Y876" t="inlineStr">
        <is>
          <t xml:space="preserve">Shively</t>
        </is>
      </c>
      <c r="Z876">
        <v>17</v>
      </c>
      <c r="AA876">
        <v>1</v>
      </c>
      <c r="AB876" t="inlineStr">
        <is>
          <t xml:space="preserve">W</t>
        </is>
      </c>
      <c r="AC876" t="inlineStr">
        <is>
          <t xml:space="preserve">1 Up</t>
        </is>
      </c>
      <c r="AE876" t="str">
        <f>$V876&amp;$Y876</f>
        <v>FerrinShively</v>
      </c>
      <c r="AF876">
        <v>1</v>
      </c>
      <c r="AG876">
        <v>1</v>
      </c>
      <c r="AH876">
        <v>0</v>
      </c>
      <c r="AI876">
        <v>0</v>
      </c>
      <c r="AK876" t="inlineStr">
        <is>
          <t xml:space="preserve">Poirier</t>
        </is>
      </c>
      <c r="AM876" t="inlineStr">
        <is>
          <t xml:space="preserve">Cole</t>
        </is>
      </c>
    </row>
    <row r="877" spans="1:40" ht="15" customHeight="1" x14ac:dyDescent="0.2">
      <c r="B877">
        <v>2</v>
      </c>
      <c r="D877">
        <v>13</v>
      </c>
      <c r="E877" t="inlineStr">
        <is>
          <t xml:space="preserve">FBC13-D2</t>
        </is>
      </c>
      <c r="F877" t="inlineStr">
        <is>
          <t xml:space="preserve">Friday</t>
        </is>
      </c>
      <c r="G877" s="15">
        <v>46297</v>
      </c>
      <c r="H877" t="inlineStr">
        <is>
          <t xml:space="preserve">AM</t>
        </is>
      </c>
      <c r="I877" t="inlineStr">
        <is>
          <t xml:space="preserve">Frisco, TX</t>
        </is>
      </c>
      <c r="J877" t="inlineStr">
        <is>
          <t xml:space="preserve">South</t>
        </is>
      </c>
      <c r="K877">
        <v>9</v>
      </c>
      <c r="L877" t="inlineStr">
        <is>
          <t xml:space="preserve">Back</t>
        </is>
      </c>
      <c r="M877" t="inlineStr">
        <is>
          <t xml:space="preserve">Fields Ranch East</t>
        </is>
      </c>
      <c r="N877" t="inlineStr">
        <is>
          <t xml:space="preserve">III (Green)</t>
        </is>
      </c>
      <c r="O877">
        <v>72.6</v>
      </c>
      <c r="P877">
        <v>140</v>
      </c>
      <c r="Q877">
        <v>6543</v>
      </c>
      <c r="R877" t="inlineStr">
        <is>
          <t xml:space="preserve">Vegas</t>
        </is>
      </c>
      <c r="S877" t="inlineStr">
        <is>
          <t xml:space="preserve">Doubles</t>
        </is>
      </c>
      <c r="T877" t="inlineStr">
        <is>
          <t xml:space="preserve">Under 6'</t>
        </is>
      </c>
      <c r="U877" t="inlineStr">
        <is>
          <t xml:space="preserve">Forster</t>
        </is>
      </c>
      <c r="V877" t="inlineStr">
        <is>
          <t xml:space="preserve">Poirier</t>
        </is>
      </c>
      <c r="X877">
        <v>7</v>
      </c>
      <c r="Y877" t="inlineStr">
        <is>
          <t xml:space="preserve">Cole</t>
        </is>
      </c>
      <c r="Z877">
        <v>21</v>
      </c>
      <c r="AA877">
        <v>1</v>
      </c>
      <c r="AB877" t="inlineStr">
        <is>
          <t xml:space="preserve">L</t>
        </is>
      </c>
      <c r="AC877" t="inlineStr">
        <is>
          <t xml:space="preserve">1 Up</t>
        </is>
      </c>
      <c r="AE877" t="str">
        <f>$V877&amp;$Y877</f>
        <v>PoirierCole</v>
      </c>
      <c r="AF877">
        <v>0</v>
      </c>
      <c r="AG877">
        <v>0</v>
      </c>
      <c r="AH877">
        <v>1</v>
      </c>
      <c r="AI877">
        <v>0</v>
      </c>
      <c r="AK877" t="inlineStr">
        <is>
          <t xml:space="preserve">Ferrin</t>
        </is>
      </c>
      <c r="AM877" t="inlineStr">
        <is>
          <t xml:space="preserve">Shively</t>
        </is>
      </c>
    </row>
    <row r="878" spans="1:40" ht="15" customHeight="1" x14ac:dyDescent="0.2">
      <c r="B878">
        <v>3</v>
      </c>
      <c r="D878">
        <v>13</v>
      </c>
      <c r="E878" t="inlineStr">
        <is>
          <t xml:space="preserve">FBC13-D3</t>
        </is>
      </c>
      <c r="F878" t="inlineStr">
        <is>
          <t xml:space="preserve">Friday</t>
        </is>
      </c>
      <c r="G878" s="15">
        <v>46297</v>
      </c>
      <c r="H878" t="inlineStr">
        <is>
          <t xml:space="preserve">AM</t>
        </is>
      </c>
      <c r="I878" t="inlineStr">
        <is>
          <t xml:space="preserve">Frisco, TX</t>
        </is>
      </c>
      <c r="J878" t="inlineStr">
        <is>
          <t xml:space="preserve">South</t>
        </is>
      </c>
      <c r="K878">
        <v>9</v>
      </c>
      <c r="L878" t="inlineStr">
        <is>
          <t xml:space="preserve">Front</t>
        </is>
      </c>
      <c r="M878" t="inlineStr">
        <is>
          <t xml:space="preserve">Fields Ranch East</t>
        </is>
      </c>
      <c r="N878" t="inlineStr">
        <is>
          <t xml:space="preserve">III (Green)</t>
        </is>
      </c>
      <c r="O878">
        <v>72.6</v>
      </c>
      <c r="P878">
        <v>140</v>
      </c>
      <c r="Q878">
        <v>6543</v>
      </c>
      <c r="R878" t="inlineStr">
        <is>
          <t xml:space="preserve">Best Ball</t>
        </is>
      </c>
      <c r="S878" t="inlineStr">
        <is>
          <t xml:space="preserve">Doubles</t>
        </is>
      </c>
      <c r="T878" t="inlineStr">
        <is>
          <t xml:space="preserve">Under 6'</t>
        </is>
      </c>
      <c r="U878" t="inlineStr">
        <is>
          <t xml:space="preserve">Mangold</t>
        </is>
      </c>
      <c r="V878" t="inlineStr">
        <is>
          <t xml:space="preserve">Welker</t>
        </is>
      </c>
      <c r="X878">
        <v>17</v>
      </c>
      <c r="Y878" t="inlineStr">
        <is>
          <t xml:space="preserve">Fogan</t>
        </is>
      </c>
      <c r="Z878">
        <v>21</v>
      </c>
      <c r="AA878">
        <v>1</v>
      </c>
      <c r="AB878" t="inlineStr">
        <is>
          <t xml:space="preserve">W</t>
        </is>
      </c>
      <c r="AC878" t="inlineStr">
        <is>
          <t xml:space="preserve">2&amp;1</t>
        </is>
      </c>
      <c r="AE878" t="str">
        <f>$V878&amp;$Y878</f>
        <v>WelkerFogan</v>
      </c>
      <c r="AF878">
        <v>1</v>
      </c>
      <c r="AG878">
        <v>1</v>
      </c>
      <c r="AH878">
        <v>0</v>
      </c>
      <c r="AI878">
        <v>0</v>
      </c>
      <c r="AK878" t="inlineStr">
        <is>
          <t xml:space="preserve">Zimmer</t>
        </is>
      </c>
      <c r="AM878" t="inlineStr">
        <is>
          <t xml:space="preserve">Hilts</t>
        </is>
      </c>
    </row>
    <row r="879" spans="1:40" ht="15" customHeight="1" x14ac:dyDescent="0.2">
      <c r="B879">
        <v>3</v>
      </c>
      <c r="D879">
        <v>13</v>
      </c>
      <c r="E879" t="inlineStr">
        <is>
          <t xml:space="preserve">FBC13-D3</t>
        </is>
      </c>
      <c r="F879" t="inlineStr">
        <is>
          <t xml:space="preserve">Friday</t>
        </is>
      </c>
      <c r="G879" s="15">
        <v>46297</v>
      </c>
      <c r="H879" t="inlineStr">
        <is>
          <t xml:space="preserve">AM</t>
        </is>
      </c>
      <c r="I879" t="inlineStr">
        <is>
          <t xml:space="preserve">Frisco, TX</t>
        </is>
      </c>
      <c r="J879" t="inlineStr">
        <is>
          <t xml:space="preserve">South</t>
        </is>
      </c>
      <c r="K879">
        <v>9</v>
      </c>
      <c r="L879" t="inlineStr">
        <is>
          <t xml:space="preserve">Front</t>
        </is>
      </c>
      <c r="M879" t="inlineStr">
        <is>
          <t xml:space="preserve">Fields Ranch East</t>
        </is>
      </c>
      <c r="N879" t="inlineStr">
        <is>
          <t xml:space="preserve">III (Green)</t>
        </is>
      </c>
      <c r="O879">
        <v>72.6</v>
      </c>
      <c r="P879">
        <v>140</v>
      </c>
      <c r="Q879">
        <v>6543</v>
      </c>
      <c r="R879" t="inlineStr">
        <is>
          <t xml:space="preserve">Best Ball</t>
        </is>
      </c>
      <c r="S879" t="inlineStr">
        <is>
          <t xml:space="preserve">Doubles</t>
        </is>
      </c>
      <c r="T879" t="inlineStr">
        <is>
          <t xml:space="preserve">Under 6'</t>
        </is>
      </c>
      <c r="U879" t="inlineStr">
        <is>
          <t xml:space="preserve">Forster</t>
        </is>
      </c>
      <c r="V879" t="inlineStr">
        <is>
          <t xml:space="preserve">Zimmer</t>
        </is>
      </c>
      <c r="X879">
        <v>10</v>
      </c>
      <c r="Y879" t="inlineStr">
        <is>
          <t xml:space="preserve">Hilts</t>
        </is>
      </c>
      <c r="Z879">
        <v>21</v>
      </c>
      <c r="AA879">
        <v>1</v>
      </c>
      <c r="AB879" t="inlineStr">
        <is>
          <t xml:space="preserve">L</t>
        </is>
      </c>
      <c r="AC879" t="inlineStr">
        <is>
          <t xml:space="preserve">2&amp;1</t>
        </is>
      </c>
      <c r="AE879" t="str">
        <f>$V879&amp;$Y879</f>
        <v>ZimmerHilts</v>
      </c>
      <c r="AF879">
        <v>0</v>
      </c>
      <c r="AG879">
        <v>0</v>
      </c>
      <c r="AH879">
        <v>1</v>
      </c>
      <c r="AI879">
        <v>0</v>
      </c>
      <c r="AK879" t="inlineStr">
        <is>
          <t xml:space="preserve">Welker</t>
        </is>
      </c>
      <c r="AM879" t="inlineStr">
        <is>
          <t xml:space="preserve">Fogan</t>
        </is>
      </c>
    </row>
    <row r="880" spans="1:40" ht="15" customHeight="1" x14ac:dyDescent="0.2">
      <c r="B880">
        <v>4</v>
      </c>
      <c r="D880">
        <v>13</v>
      </c>
      <c r="E880" t="inlineStr">
        <is>
          <t xml:space="preserve">FBC13-D4</t>
        </is>
      </c>
      <c r="F880" t="inlineStr">
        <is>
          <t xml:space="preserve">Friday</t>
        </is>
      </c>
      <c r="G880" s="15">
        <v>46297</v>
      </c>
      <c r="H880" t="inlineStr">
        <is>
          <t xml:space="preserve">AM</t>
        </is>
      </c>
      <c r="I880" t="inlineStr">
        <is>
          <t xml:space="preserve">Frisco, TX</t>
        </is>
      </c>
      <c r="J880" t="inlineStr">
        <is>
          <t xml:space="preserve">South</t>
        </is>
      </c>
      <c r="K880">
        <v>9</v>
      </c>
      <c r="L880" t="inlineStr">
        <is>
          <t xml:space="preserve">Back</t>
        </is>
      </c>
      <c r="M880" t="inlineStr">
        <is>
          <t xml:space="preserve">Fields Ranch East</t>
        </is>
      </c>
      <c r="N880" t="inlineStr">
        <is>
          <t xml:space="preserve">III (Green)</t>
        </is>
      </c>
      <c r="O880">
        <v>72.6</v>
      </c>
      <c r="P880">
        <v>140</v>
      </c>
      <c r="Q880">
        <v>6543</v>
      </c>
      <c r="R880" t="inlineStr">
        <is>
          <t xml:space="preserve">Vegas</t>
        </is>
      </c>
      <c r="S880" t="inlineStr">
        <is>
          <t xml:space="preserve">Doubles</t>
        </is>
      </c>
      <c r="T880" t="inlineStr">
        <is>
          <t xml:space="preserve">Under 6'</t>
        </is>
      </c>
      <c r="U880" t="inlineStr">
        <is>
          <t xml:space="preserve">Mangold</t>
        </is>
      </c>
      <c r="V880" t="inlineStr">
        <is>
          <t xml:space="preserve">Welker</t>
        </is>
      </c>
      <c r="X880">
        <v>17</v>
      </c>
      <c r="Y880" t="inlineStr">
        <is>
          <t xml:space="preserve">Fogan</t>
        </is>
      </c>
      <c r="Z880">
        <v>21</v>
      </c>
      <c r="AA880">
        <v>1</v>
      </c>
      <c r="AB880" t="inlineStr">
        <is>
          <t xml:space="preserve">W</t>
        </is>
      </c>
      <c r="AC880" t="inlineStr">
        <is>
          <t xml:space="preserve">2 Up</t>
        </is>
      </c>
      <c r="AE880" t="str">
        <f>$V880&amp;$Y880</f>
        <v>WelkerFogan</v>
      </c>
      <c r="AF880">
        <v>1</v>
      </c>
      <c r="AG880">
        <v>1</v>
      </c>
      <c r="AH880">
        <v>0</v>
      </c>
      <c r="AI880">
        <v>0</v>
      </c>
      <c r="AK880" t="inlineStr">
        <is>
          <t xml:space="preserve">Zimmer</t>
        </is>
      </c>
      <c r="AM880" t="inlineStr">
        <is>
          <t xml:space="preserve">Hilts</t>
        </is>
      </c>
    </row>
    <row r="881" spans="1:40" ht="15" customHeight="1" x14ac:dyDescent="0.2">
      <c r="B881">
        <v>4</v>
      </c>
      <c r="D881">
        <v>13</v>
      </c>
      <c r="E881" t="inlineStr">
        <is>
          <t xml:space="preserve">FBC13-D4</t>
        </is>
      </c>
      <c r="F881" t="inlineStr">
        <is>
          <t xml:space="preserve">Friday</t>
        </is>
      </c>
      <c r="G881" s="15">
        <v>46297</v>
      </c>
      <c r="H881" t="inlineStr">
        <is>
          <t xml:space="preserve">AM</t>
        </is>
      </c>
      <c r="I881" t="inlineStr">
        <is>
          <t xml:space="preserve">Frisco, TX</t>
        </is>
      </c>
      <c r="J881" t="inlineStr">
        <is>
          <t xml:space="preserve">South</t>
        </is>
      </c>
      <c r="K881">
        <v>9</v>
      </c>
      <c r="L881" t="inlineStr">
        <is>
          <t xml:space="preserve">Back</t>
        </is>
      </c>
      <c r="M881" t="inlineStr">
        <is>
          <t xml:space="preserve">Fields Ranch East</t>
        </is>
      </c>
      <c r="N881" t="inlineStr">
        <is>
          <t xml:space="preserve">III (Green)</t>
        </is>
      </c>
      <c r="O881">
        <v>72.6</v>
      </c>
      <c r="P881">
        <v>140</v>
      </c>
      <c r="Q881">
        <v>6543</v>
      </c>
      <c r="R881" t="inlineStr">
        <is>
          <t xml:space="preserve">Vegas</t>
        </is>
      </c>
      <c r="S881" t="inlineStr">
        <is>
          <t xml:space="preserve">Doubles</t>
        </is>
      </c>
      <c r="T881" t="inlineStr">
        <is>
          <t xml:space="preserve">Under 6'</t>
        </is>
      </c>
      <c r="U881" t="inlineStr">
        <is>
          <t xml:space="preserve">Forster</t>
        </is>
      </c>
      <c r="V881" t="inlineStr">
        <is>
          <t xml:space="preserve">Zimmer</t>
        </is>
      </c>
      <c r="X881">
        <v>10</v>
      </c>
      <c r="Y881" t="inlineStr">
        <is>
          <t xml:space="preserve">Hilts</t>
        </is>
      </c>
      <c r="Z881">
        <v>21</v>
      </c>
      <c r="AA881">
        <v>1</v>
      </c>
      <c r="AB881" t="inlineStr">
        <is>
          <t xml:space="preserve">L</t>
        </is>
      </c>
      <c r="AC881" t="inlineStr">
        <is>
          <t xml:space="preserve">2 Up</t>
        </is>
      </c>
      <c r="AE881" t="str">
        <f>$V881&amp;$Y881</f>
        <v>ZimmerHilts</v>
      </c>
      <c r="AF881">
        <v>0</v>
      </c>
      <c r="AG881">
        <v>0</v>
      </c>
      <c r="AH881">
        <v>1</v>
      </c>
      <c r="AI881">
        <v>0</v>
      </c>
      <c r="AK881" t="inlineStr">
        <is>
          <t xml:space="preserve">Welker</t>
        </is>
      </c>
      <c r="AM881" t="inlineStr">
        <is>
          <t xml:space="preserve">Fogan</t>
        </is>
      </c>
    </row>
    <row r="882" spans="1:40" ht="15" customHeight="1" x14ac:dyDescent="0.2">
      <c r="B882">
        <v>5</v>
      </c>
      <c r="D882">
        <v>13</v>
      </c>
      <c r="E882" t="inlineStr">
        <is>
          <t xml:space="preserve">FBC13-D5</t>
        </is>
      </c>
      <c r="F882" t="inlineStr">
        <is>
          <t xml:space="preserve">Friday</t>
        </is>
      </c>
      <c r="G882" s="15">
        <v>46297</v>
      </c>
      <c r="H882" t="inlineStr">
        <is>
          <t xml:space="preserve">AM</t>
        </is>
      </c>
      <c r="I882" t="inlineStr">
        <is>
          <t xml:space="preserve">Frisco, TX</t>
        </is>
      </c>
      <c r="J882" t="inlineStr">
        <is>
          <t xml:space="preserve">South</t>
        </is>
      </c>
      <c r="K882">
        <v>9</v>
      </c>
      <c r="L882" t="inlineStr">
        <is>
          <t xml:space="preserve">Front</t>
        </is>
      </c>
      <c r="M882" t="inlineStr">
        <is>
          <t xml:space="preserve">Fields Ranch East</t>
        </is>
      </c>
      <c r="N882" t="inlineStr">
        <is>
          <t xml:space="preserve">III (Green)</t>
        </is>
      </c>
      <c r="O882">
        <v>72.6</v>
      </c>
      <c r="P882">
        <v>140</v>
      </c>
      <c r="Q882">
        <v>6543</v>
      </c>
      <c r="R882" t="inlineStr">
        <is>
          <t xml:space="preserve">Best Ball</t>
        </is>
      </c>
      <c r="S882" t="inlineStr">
        <is>
          <t xml:space="preserve">Doubles</t>
        </is>
      </c>
      <c r="T882" t="inlineStr">
        <is>
          <t xml:space="preserve">Under 6'</t>
        </is>
      </c>
      <c r="U882" t="inlineStr">
        <is>
          <t xml:space="preserve">Mangold</t>
        </is>
      </c>
      <c r="V882" t="inlineStr">
        <is>
          <t xml:space="preserve">Mangold</t>
        </is>
      </c>
      <c r="X882">
        <v>19</v>
      </c>
      <c r="Y882" t="inlineStr">
        <is>
          <t xml:space="preserve">DeOteris</t>
        </is>
      </c>
      <c r="Z882">
        <v>15</v>
      </c>
      <c r="AA882">
        <v>1</v>
      </c>
      <c r="AB882" t="inlineStr">
        <is>
          <t xml:space="preserve">L</t>
        </is>
      </c>
      <c r="AC882" t="inlineStr">
        <is>
          <t xml:space="preserve">2&amp;1</t>
        </is>
      </c>
      <c r="AE882" t="str">
        <f>$V882&amp;$Y882</f>
        <v>MangoldDeOteris</v>
      </c>
      <c r="AF882">
        <v>0</v>
      </c>
      <c r="AG882">
        <v>0</v>
      </c>
      <c r="AH882">
        <v>1</v>
      </c>
      <c r="AI882">
        <v>0</v>
      </c>
      <c r="AK882" t="inlineStr">
        <is>
          <t xml:space="preserve">Delaney</t>
        </is>
      </c>
      <c r="AM882" t="inlineStr">
        <is>
          <t xml:space="preserve">Norat</t>
        </is>
      </c>
    </row>
    <row r="883" spans="1:40" ht="15" customHeight="1" x14ac:dyDescent="0.2">
      <c r="B883">
        <v>5</v>
      </c>
      <c r="D883">
        <v>13</v>
      </c>
      <c r="E883" t="inlineStr">
        <is>
          <t xml:space="preserve">FBC13-D5</t>
        </is>
      </c>
      <c r="F883" t="inlineStr">
        <is>
          <t xml:space="preserve">Friday</t>
        </is>
      </c>
      <c r="G883" s="15">
        <v>46297</v>
      </c>
      <c r="H883" t="inlineStr">
        <is>
          <t xml:space="preserve">AM</t>
        </is>
      </c>
      <c r="I883" t="inlineStr">
        <is>
          <t xml:space="preserve">Frisco, TX</t>
        </is>
      </c>
      <c r="J883" t="inlineStr">
        <is>
          <t xml:space="preserve">South</t>
        </is>
      </c>
      <c r="K883">
        <v>9</v>
      </c>
      <c r="L883" t="inlineStr">
        <is>
          <t xml:space="preserve">Front</t>
        </is>
      </c>
      <c r="M883" t="inlineStr">
        <is>
          <t xml:space="preserve">Fields Ranch East</t>
        </is>
      </c>
      <c r="N883" t="inlineStr">
        <is>
          <t xml:space="preserve">III (Green)</t>
        </is>
      </c>
      <c r="O883">
        <v>72.6</v>
      </c>
      <c r="P883">
        <v>140</v>
      </c>
      <c r="Q883">
        <v>6543</v>
      </c>
      <c r="R883" t="inlineStr">
        <is>
          <t xml:space="preserve">Best Ball</t>
        </is>
      </c>
      <c r="S883" t="inlineStr">
        <is>
          <t xml:space="preserve">Doubles</t>
        </is>
      </c>
      <c r="T883" t="inlineStr">
        <is>
          <t xml:space="preserve">Under 6'</t>
        </is>
      </c>
      <c r="U883" t="inlineStr">
        <is>
          <t xml:space="preserve">Forster</t>
        </is>
      </c>
      <c r="V883" t="inlineStr">
        <is>
          <t xml:space="preserve">Delaney</t>
        </is>
      </c>
      <c r="X883">
        <v>18</v>
      </c>
      <c r="Y883" t="inlineStr">
        <is>
          <t xml:space="preserve">Norat</t>
        </is>
      </c>
      <c r="Z883">
        <v>21</v>
      </c>
      <c r="AA883">
        <v>1</v>
      </c>
      <c r="AB883" t="inlineStr">
        <is>
          <t xml:space="preserve">W</t>
        </is>
      </c>
      <c r="AC883" t="inlineStr">
        <is>
          <t xml:space="preserve">2&amp;1</t>
        </is>
      </c>
      <c r="AE883" t="str">
        <f>$V883&amp;$Y883</f>
        <v>DelaneyNorat</v>
      </c>
      <c r="AF883">
        <v>1</v>
      </c>
      <c r="AG883">
        <v>1</v>
      </c>
      <c r="AH883">
        <v>0</v>
      </c>
      <c r="AI883">
        <v>0</v>
      </c>
      <c r="AK883" t="inlineStr">
        <is>
          <t xml:space="preserve">Mangold</t>
        </is>
      </c>
      <c r="AM883" t="inlineStr">
        <is>
          <t xml:space="preserve">DeOteris</t>
        </is>
      </c>
    </row>
    <row r="884" spans="1:40" ht="15" customHeight="1" x14ac:dyDescent="0.2">
      <c r="B884">
        <v>6</v>
      </c>
      <c r="D884">
        <v>13</v>
      </c>
      <c r="E884" t="inlineStr">
        <is>
          <t xml:space="preserve">FBC13-D6</t>
        </is>
      </c>
      <c r="F884" t="inlineStr">
        <is>
          <t xml:space="preserve">Friday</t>
        </is>
      </c>
      <c r="G884" s="15">
        <v>46297</v>
      </c>
      <c r="H884" t="inlineStr">
        <is>
          <t xml:space="preserve">AM</t>
        </is>
      </c>
      <c r="I884" t="inlineStr">
        <is>
          <t xml:space="preserve">Frisco, TX</t>
        </is>
      </c>
      <c r="J884" t="inlineStr">
        <is>
          <t xml:space="preserve">South</t>
        </is>
      </c>
      <c r="K884">
        <v>9</v>
      </c>
      <c r="L884" t="inlineStr">
        <is>
          <t xml:space="preserve">Back</t>
        </is>
      </c>
      <c r="M884" t="inlineStr">
        <is>
          <t xml:space="preserve">Fields Ranch East</t>
        </is>
      </c>
      <c r="N884" t="inlineStr">
        <is>
          <t xml:space="preserve">III (Green)</t>
        </is>
      </c>
      <c r="O884">
        <v>72.6</v>
      </c>
      <c r="P884">
        <v>140</v>
      </c>
      <c r="Q884">
        <v>6543</v>
      </c>
      <c r="R884" t="inlineStr">
        <is>
          <t xml:space="preserve">Vegas</t>
        </is>
      </c>
      <c r="S884" t="inlineStr">
        <is>
          <t xml:space="preserve">Doubles</t>
        </is>
      </c>
      <c r="T884" t="inlineStr">
        <is>
          <t xml:space="preserve">Under 6'</t>
        </is>
      </c>
      <c r="U884" t="inlineStr">
        <is>
          <t xml:space="preserve">Mangold</t>
        </is>
      </c>
      <c r="V884" t="inlineStr">
        <is>
          <t xml:space="preserve">Mangold</t>
        </is>
      </c>
      <c r="X884">
        <v>19</v>
      </c>
      <c r="Y884" t="inlineStr">
        <is>
          <t xml:space="preserve">DeOteris</t>
        </is>
      </c>
      <c r="Z884">
        <v>15</v>
      </c>
      <c r="AA884">
        <v>1</v>
      </c>
      <c r="AB884" t="inlineStr">
        <is>
          <t xml:space="preserve">L</t>
        </is>
      </c>
      <c r="AC884" t="inlineStr">
        <is>
          <t xml:space="preserve">1 Up</t>
        </is>
      </c>
      <c r="AE884" t="str">
        <f>$V884&amp;$Y884</f>
        <v>MangoldDeOteris</v>
      </c>
      <c r="AF884">
        <v>0</v>
      </c>
      <c r="AG884">
        <v>0</v>
      </c>
      <c r="AH884">
        <v>1</v>
      </c>
      <c r="AI884">
        <v>0</v>
      </c>
      <c r="AK884" t="inlineStr">
        <is>
          <t xml:space="preserve">Delaney</t>
        </is>
      </c>
      <c r="AM884" t="inlineStr">
        <is>
          <t xml:space="preserve">Norat</t>
        </is>
      </c>
    </row>
    <row r="885" spans="1:40" ht="15" customHeight="1" x14ac:dyDescent="0.2">
      <c r="B885">
        <v>6</v>
      </c>
      <c r="D885">
        <v>13</v>
      </c>
      <c r="E885" t="inlineStr">
        <is>
          <t xml:space="preserve">FBC13-D6</t>
        </is>
      </c>
      <c r="F885" t="inlineStr">
        <is>
          <t xml:space="preserve">Friday</t>
        </is>
      </c>
      <c r="G885" s="15">
        <v>46297</v>
      </c>
      <c r="H885" t="inlineStr">
        <is>
          <t xml:space="preserve">AM</t>
        </is>
      </c>
      <c r="I885" t="inlineStr">
        <is>
          <t xml:space="preserve">Frisco, TX</t>
        </is>
      </c>
      <c r="J885" t="inlineStr">
        <is>
          <t xml:space="preserve">South</t>
        </is>
      </c>
      <c r="K885">
        <v>9</v>
      </c>
      <c r="L885" t="inlineStr">
        <is>
          <t xml:space="preserve">Back</t>
        </is>
      </c>
      <c r="M885" t="inlineStr">
        <is>
          <t xml:space="preserve">Fields Ranch East</t>
        </is>
      </c>
      <c r="N885" t="inlineStr">
        <is>
          <t xml:space="preserve">III (Green)</t>
        </is>
      </c>
      <c r="O885">
        <v>72.6</v>
      </c>
      <c r="P885">
        <v>140</v>
      </c>
      <c r="Q885">
        <v>6543</v>
      </c>
      <c r="R885" t="inlineStr">
        <is>
          <t xml:space="preserve">Vegas</t>
        </is>
      </c>
      <c r="S885" t="inlineStr">
        <is>
          <t xml:space="preserve">Doubles</t>
        </is>
      </c>
      <c r="T885" t="inlineStr">
        <is>
          <t xml:space="preserve">Under 6'</t>
        </is>
      </c>
      <c r="U885" t="inlineStr">
        <is>
          <t xml:space="preserve">Forster</t>
        </is>
      </c>
      <c r="V885" t="inlineStr">
        <is>
          <t xml:space="preserve">Delaney</t>
        </is>
      </c>
      <c r="X885">
        <v>18</v>
      </c>
      <c r="Y885" t="inlineStr">
        <is>
          <t xml:space="preserve">Norat</t>
        </is>
      </c>
      <c r="Z885">
        <v>21</v>
      </c>
      <c r="AA885">
        <v>1</v>
      </c>
      <c r="AB885" t="inlineStr">
        <is>
          <t xml:space="preserve">W</t>
        </is>
      </c>
      <c r="AC885" t="inlineStr">
        <is>
          <t xml:space="preserve">1 Up</t>
        </is>
      </c>
      <c r="AE885" t="str">
        <f>$V885&amp;$Y885</f>
        <v>DelaneyNorat</v>
      </c>
      <c r="AF885">
        <v>1</v>
      </c>
      <c r="AG885">
        <v>1</v>
      </c>
      <c r="AH885">
        <v>0</v>
      </c>
      <c r="AI885">
        <v>0</v>
      </c>
      <c r="AK885" t="inlineStr">
        <is>
          <t xml:space="preserve">Mangold</t>
        </is>
      </c>
      <c r="AM885" t="inlineStr">
        <is>
          <t xml:space="preserve">DeOteris</t>
        </is>
      </c>
    </row>
    <row r="886" spans="1:40" ht="15" customHeight="1" x14ac:dyDescent="0.2">
      <c r="B886">
        <v>7</v>
      </c>
      <c r="D886">
        <v>13</v>
      </c>
      <c r="E886" t="inlineStr">
        <is>
          <t xml:space="preserve">FBC13-D7</t>
        </is>
      </c>
      <c r="F886" t="inlineStr">
        <is>
          <t xml:space="preserve">Friday</t>
        </is>
      </c>
      <c r="G886" s="15">
        <v>46297</v>
      </c>
      <c r="H886" t="inlineStr">
        <is>
          <t xml:space="preserve">AM</t>
        </is>
      </c>
      <c r="I886" t="inlineStr">
        <is>
          <t xml:space="preserve">Frisco, TX</t>
        </is>
      </c>
      <c r="J886" t="inlineStr">
        <is>
          <t xml:space="preserve">South</t>
        </is>
      </c>
      <c r="K886">
        <v>9</v>
      </c>
      <c r="L886" t="inlineStr">
        <is>
          <t xml:space="preserve">Front</t>
        </is>
      </c>
      <c r="M886" t="inlineStr">
        <is>
          <t xml:space="preserve">Fields Ranch East</t>
        </is>
      </c>
      <c r="N886" t="inlineStr">
        <is>
          <t xml:space="preserve">III (Green)</t>
        </is>
      </c>
      <c r="O886">
        <v>72.6</v>
      </c>
      <c r="P886">
        <v>140</v>
      </c>
      <c r="Q886">
        <v>6543</v>
      </c>
      <c r="R886" t="inlineStr">
        <is>
          <t xml:space="preserve">Best Ball</t>
        </is>
      </c>
      <c r="S886" t="inlineStr">
        <is>
          <t xml:space="preserve">Doubles</t>
        </is>
      </c>
      <c r="T886" t="inlineStr">
        <is>
          <t xml:space="preserve">Under 6'</t>
        </is>
      </c>
      <c r="U886" t="inlineStr">
        <is>
          <t xml:space="preserve">Mangold</t>
        </is>
      </c>
      <c r="V886" t="inlineStr">
        <is>
          <t xml:space="preserve">Gray</t>
        </is>
      </c>
      <c r="X886">
        <v>12</v>
      </c>
      <c r="Y886" t="inlineStr">
        <is>
          <t xml:space="preserve">McInerney</t>
        </is>
      </c>
      <c r="Z886">
        <v>6</v>
      </c>
      <c r="AA886">
        <v>1</v>
      </c>
      <c r="AB886" t="inlineStr">
        <is>
          <t xml:space="preserve">W</t>
        </is>
      </c>
      <c r="AC886" t="inlineStr">
        <is>
          <t xml:space="preserve">2&amp;1</t>
        </is>
      </c>
      <c r="AE886" t="str">
        <f>$V886&amp;$Y886</f>
        <v>GrayMcInerney</v>
      </c>
      <c r="AF886">
        <v>1</v>
      </c>
      <c r="AG886">
        <v>1</v>
      </c>
      <c r="AH886">
        <v>0</v>
      </c>
      <c r="AI886">
        <v>0</v>
      </c>
      <c r="AK886" t="inlineStr">
        <is>
          <t xml:space="preserve">Connolly</t>
        </is>
      </c>
      <c r="AM886" t="inlineStr">
        <is>
          <t xml:space="preserve">Grise</t>
        </is>
      </c>
    </row>
    <row r="887" spans="1:40" ht="15" customHeight="1" x14ac:dyDescent="0.2">
      <c r="B887">
        <v>7</v>
      </c>
      <c r="D887">
        <v>13</v>
      </c>
      <c r="E887" t="inlineStr">
        <is>
          <t xml:space="preserve">FBC13-D7</t>
        </is>
      </c>
      <c r="F887" t="inlineStr">
        <is>
          <t xml:space="preserve">Friday</t>
        </is>
      </c>
      <c r="G887" s="15">
        <v>46297</v>
      </c>
      <c r="H887" t="inlineStr">
        <is>
          <t xml:space="preserve">AM</t>
        </is>
      </c>
      <c r="I887" t="inlineStr">
        <is>
          <t xml:space="preserve">Frisco, TX</t>
        </is>
      </c>
      <c r="J887" t="inlineStr">
        <is>
          <t xml:space="preserve">South</t>
        </is>
      </c>
      <c r="K887">
        <v>9</v>
      </c>
      <c r="L887" t="inlineStr">
        <is>
          <t xml:space="preserve">Front</t>
        </is>
      </c>
      <c r="M887" t="inlineStr">
        <is>
          <t xml:space="preserve">Fields Ranch East</t>
        </is>
      </c>
      <c r="N887" t="inlineStr">
        <is>
          <t xml:space="preserve">III (Green)</t>
        </is>
      </c>
      <c r="O887">
        <v>72.6</v>
      </c>
      <c r="P887">
        <v>140</v>
      </c>
      <c r="Q887">
        <v>6543</v>
      </c>
      <c r="R887" t="inlineStr">
        <is>
          <t xml:space="preserve">Best Ball</t>
        </is>
      </c>
      <c r="S887" t="inlineStr">
        <is>
          <t xml:space="preserve">Doubles</t>
        </is>
      </c>
      <c r="T887" t="inlineStr">
        <is>
          <t xml:space="preserve">Under 6'</t>
        </is>
      </c>
      <c r="U887" t="inlineStr">
        <is>
          <t xml:space="preserve">Forster</t>
        </is>
      </c>
      <c r="V887" t="inlineStr">
        <is>
          <t xml:space="preserve">Connolly</t>
        </is>
      </c>
      <c r="X887">
        <v>12</v>
      </c>
      <c r="Y887" t="inlineStr">
        <is>
          <t xml:space="preserve">Grise</t>
        </is>
      </c>
      <c r="Z887">
        <v>13</v>
      </c>
      <c r="AA887">
        <v>1</v>
      </c>
      <c r="AB887" t="inlineStr">
        <is>
          <t xml:space="preserve">L</t>
        </is>
      </c>
      <c r="AC887" t="inlineStr">
        <is>
          <t xml:space="preserve">2&amp;1</t>
        </is>
      </c>
      <c r="AE887" t="str">
        <f>$V887&amp;$Y887</f>
        <v>ConnollyGrise</v>
      </c>
      <c r="AF887">
        <v>0</v>
      </c>
      <c r="AG887">
        <v>0</v>
      </c>
      <c r="AH887">
        <v>1</v>
      </c>
      <c r="AI887">
        <v>0</v>
      </c>
      <c r="AK887" t="inlineStr">
        <is>
          <t xml:space="preserve">Gray</t>
        </is>
      </c>
      <c r="AM887" t="inlineStr">
        <is>
          <t xml:space="preserve">McInerney</t>
        </is>
      </c>
    </row>
    <row r="888" spans="1:40" ht="15" customHeight="1" x14ac:dyDescent="0.2">
      <c r="B888">
        <v>8</v>
      </c>
      <c r="D888">
        <v>13</v>
      </c>
      <c r="E888" t="inlineStr">
        <is>
          <t xml:space="preserve">FBC13-D8</t>
        </is>
      </c>
      <c r="F888" t="inlineStr">
        <is>
          <t xml:space="preserve">Friday</t>
        </is>
      </c>
      <c r="G888" s="15">
        <v>46297</v>
      </c>
      <c r="H888" t="inlineStr">
        <is>
          <t xml:space="preserve">AM</t>
        </is>
      </c>
      <c r="I888" t="inlineStr">
        <is>
          <t xml:space="preserve">Frisco, TX</t>
        </is>
      </c>
      <c r="J888" t="inlineStr">
        <is>
          <t xml:space="preserve">South</t>
        </is>
      </c>
      <c r="K888">
        <v>9</v>
      </c>
      <c r="L888" t="inlineStr">
        <is>
          <t xml:space="preserve">Back</t>
        </is>
      </c>
      <c r="M888" t="inlineStr">
        <is>
          <t xml:space="preserve">Fields Ranch East</t>
        </is>
      </c>
      <c r="N888" t="inlineStr">
        <is>
          <t xml:space="preserve">III (Green)</t>
        </is>
      </c>
      <c r="O888">
        <v>72.6</v>
      </c>
      <c r="P888">
        <v>140</v>
      </c>
      <c r="Q888">
        <v>6543</v>
      </c>
      <c r="R888" t="inlineStr">
        <is>
          <t xml:space="preserve">Vegas</t>
        </is>
      </c>
      <c r="S888" t="inlineStr">
        <is>
          <t xml:space="preserve">Doubles</t>
        </is>
      </c>
      <c r="T888" t="inlineStr">
        <is>
          <t xml:space="preserve">Under 6'</t>
        </is>
      </c>
      <c r="U888" t="inlineStr">
        <is>
          <t xml:space="preserve">Mangold</t>
        </is>
      </c>
      <c r="V888" t="inlineStr">
        <is>
          <t xml:space="preserve">Gray</t>
        </is>
      </c>
      <c r="X888">
        <v>12</v>
      </c>
      <c r="Y888" t="inlineStr">
        <is>
          <t xml:space="preserve">McInerney</t>
        </is>
      </c>
      <c r="Z888">
        <v>6</v>
      </c>
      <c r="AA888">
        <v>1</v>
      </c>
      <c r="AB888" t="inlineStr">
        <is>
          <t xml:space="preserve">L</t>
        </is>
      </c>
      <c r="AC888" t="inlineStr">
        <is>
          <t xml:space="preserve">2&amp;1</t>
        </is>
      </c>
      <c r="AE888" t="str">
        <f>$V888&amp;$Y888</f>
        <v>GrayMcInerney</v>
      </c>
      <c r="AF888">
        <v>0</v>
      </c>
      <c r="AG888">
        <v>0</v>
      </c>
      <c r="AH888">
        <v>1</v>
      </c>
      <c r="AI888">
        <v>0</v>
      </c>
      <c r="AK888" t="inlineStr">
        <is>
          <t xml:space="preserve">Connolly</t>
        </is>
      </c>
      <c r="AM888" t="inlineStr">
        <is>
          <t xml:space="preserve">Grise</t>
        </is>
      </c>
    </row>
    <row r="889" spans="1:40" ht="15" customHeight="1" x14ac:dyDescent="0.2">
      <c r="B889">
        <v>8</v>
      </c>
      <c r="D889">
        <v>13</v>
      </c>
      <c r="E889" t="inlineStr">
        <is>
          <t xml:space="preserve">FBC13-D8</t>
        </is>
      </c>
      <c r="F889" t="inlineStr">
        <is>
          <t xml:space="preserve">Friday</t>
        </is>
      </c>
      <c r="G889" s="15">
        <v>46297</v>
      </c>
      <c r="H889" t="inlineStr">
        <is>
          <t xml:space="preserve">AM</t>
        </is>
      </c>
      <c r="I889" t="inlineStr">
        <is>
          <t xml:space="preserve">Frisco, TX</t>
        </is>
      </c>
      <c r="J889" t="inlineStr">
        <is>
          <t xml:space="preserve">South</t>
        </is>
      </c>
      <c r="K889">
        <v>9</v>
      </c>
      <c r="L889" t="inlineStr">
        <is>
          <t xml:space="preserve">Back</t>
        </is>
      </c>
      <c r="M889" t="inlineStr">
        <is>
          <t xml:space="preserve">Fields Ranch East</t>
        </is>
      </c>
      <c r="N889" t="inlineStr">
        <is>
          <t xml:space="preserve">III (Green)</t>
        </is>
      </c>
      <c r="O889">
        <v>72.6</v>
      </c>
      <c r="P889">
        <v>140</v>
      </c>
      <c r="Q889">
        <v>6543</v>
      </c>
      <c r="R889" t="inlineStr">
        <is>
          <t xml:space="preserve">Vegas</t>
        </is>
      </c>
      <c r="S889" t="inlineStr">
        <is>
          <t xml:space="preserve">Doubles</t>
        </is>
      </c>
      <c r="T889" t="inlineStr">
        <is>
          <t xml:space="preserve">Under 6'</t>
        </is>
      </c>
      <c r="U889" t="inlineStr">
        <is>
          <t xml:space="preserve">Forster</t>
        </is>
      </c>
      <c r="V889" t="inlineStr">
        <is>
          <t xml:space="preserve">Connolly</t>
        </is>
      </c>
      <c r="X889">
        <v>12</v>
      </c>
      <c r="Y889" t="inlineStr">
        <is>
          <t xml:space="preserve">Grise</t>
        </is>
      </c>
      <c r="Z889">
        <v>13</v>
      </c>
      <c r="AA889">
        <v>1</v>
      </c>
      <c r="AB889" t="inlineStr">
        <is>
          <t xml:space="preserve">W</t>
        </is>
      </c>
      <c r="AC889" t="inlineStr">
        <is>
          <t xml:space="preserve">2&amp;1</t>
        </is>
      </c>
      <c r="AE889" t="str">
        <f>$V889&amp;$Y889</f>
        <v>ConnollyGrise</v>
      </c>
      <c r="AF889">
        <v>1</v>
      </c>
      <c r="AG889">
        <v>1</v>
      </c>
      <c r="AH889">
        <v>0</v>
      </c>
      <c r="AI889">
        <v>0</v>
      </c>
      <c r="AK889" t="inlineStr">
        <is>
          <t xml:space="preserve">Gray</t>
        </is>
      </c>
      <c r="AM889" t="inlineStr">
        <is>
          <t xml:space="preserve">McInerney</t>
        </is>
      </c>
    </row>
    <row r="890" spans="1:40" ht="15" customHeight="1" x14ac:dyDescent="0.2">
      <c r="B890">
        <v>9</v>
      </c>
      <c r="D890">
        <v>13</v>
      </c>
      <c r="E890" t="inlineStr">
        <is>
          <t xml:space="preserve">FBC13-D9</t>
        </is>
      </c>
      <c r="F890" t="inlineStr">
        <is>
          <t xml:space="preserve">Friday</t>
        </is>
      </c>
      <c r="G890" s="15">
        <v>46297</v>
      </c>
      <c r="H890" t="inlineStr">
        <is>
          <t xml:space="preserve">AM</t>
        </is>
      </c>
      <c r="I890" t="inlineStr">
        <is>
          <t xml:space="preserve">Frisco, TX</t>
        </is>
      </c>
      <c r="J890" t="inlineStr">
        <is>
          <t xml:space="preserve">South</t>
        </is>
      </c>
      <c r="K890">
        <v>9</v>
      </c>
      <c r="L890" t="inlineStr">
        <is>
          <t xml:space="preserve">Front</t>
        </is>
      </c>
      <c r="M890" t="inlineStr">
        <is>
          <t xml:space="preserve">Fields Ranch East</t>
        </is>
      </c>
      <c r="N890" t="inlineStr">
        <is>
          <t xml:space="preserve">III (Green)</t>
        </is>
      </c>
      <c r="O890">
        <v>72.6</v>
      </c>
      <c r="P890">
        <v>140</v>
      </c>
      <c r="Q890">
        <v>6543</v>
      </c>
      <c r="R890" t="inlineStr">
        <is>
          <t xml:space="preserve">Best Ball</t>
        </is>
      </c>
      <c r="S890" t="inlineStr">
        <is>
          <t xml:space="preserve">Doubles</t>
        </is>
      </c>
      <c r="T890" t="inlineStr">
        <is>
          <t xml:space="preserve">Under 6'</t>
        </is>
      </c>
      <c r="U890" t="inlineStr">
        <is>
          <t xml:space="preserve">Mangold</t>
        </is>
      </c>
      <c r="V890" t="inlineStr">
        <is>
          <t xml:space="preserve">Lynch</t>
        </is>
      </c>
      <c r="X890">
        <v>11</v>
      </c>
      <c r="Y890" t="inlineStr">
        <is>
          <t xml:space="preserve">Piegari</t>
        </is>
      </c>
      <c r="Z890">
        <v>13</v>
      </c>
      <c r="AA890">
        <v>1</v>
      </c>
      <c r="AB890" t="inlineStr">
        <is>
          <t xml:space="preserve">L</t>
        </is>
      </c>
      <c r="AE890" t="str">
        <f>$V890&amp;$Y890</f>
        <v>LynchPiegari</v>
      </c>
      <c r="AF890">
        <v>0</v>
      </c>
      <c r="AG890">
        <v>0</v>
      </c>
      <c r="AH890">
        <v>1</v>
      </c>
      <c r="AI890">
        <v>0</v>
      </c>
      <c r="AK890" t="inlineStr">
        <is>
          <t xml:space="preserve">Forster</t>
        </is>
      </c>
      <c r="AM890" t="inlineStr">
        <is>
          <t xml:space="preserve">Flanders</t>
        </is>
      </c>
    </row>
    <row r="891" spans="1:40" ht="15" customHeight="1" x14ac:dyDescent="0.2">
      <c r="B891">
        <v>9</v>
      </c>
      <c r="D891">
        <v>13</v>
      </c>
      <c r="E891" t="inlineStr">
        <is>
          <t xml:space="preserve">FBC13-D9</t>
        </is>
      </c>
      <c r="F891" t="inlineStr">
        <is>
          <t xml:space="preserve">Friday</t>
        </is>
      </c>
      <c r="G891" s="15">
        <v>46297</v>
      </c>
      <c r="H891" t="inlineStr">
        <is>
          <t xml:space="preserve">AM</t>
        </is>
      </c>
      <c r="I891" t="inlineStr">
        <is>
          <t xml:space="preserve">Frisco, TX</t>
        </is>
      </c>
      <c r="J891" t="inlineStr">
        <is>
          <t xml:space="preserve">South</t>
        </is>
      </c>
      <c r="K891">
        <v>9</v>
      </c>
      <c r="L891" t="inlineStr">
        <is>
          <t xml:space="preserve">Front</t>
        </is>
      </c>
      <c r="M891" t="inlineStr">
        <is>
          <t xml:space="preserve">Fields Ranch East</t>
        </is>
      </c>
      <c r="N891" t="inlineStr">
        <is>
          <t xml:space="preserve">III (Green)</t>
        </is>
      </c>
      <c r="O891">
        <v>72.6</v>
      </c>
      <c r="P891">
        <v>140</v>
      </c>
      <c r="Q891">
        <v>6543</v>
      </c>
      <c r="R891" t="inlineStr">
        <is>
          <t xml:space="preserve">Best Ball</t>
        </is>
      </c>
      <c r="S891" t="inlineStr">
        <is>
          <t xml:space="preserve">Doubles</t>
        </is>
      </c>
      <c r="T891" t="inlineStr">
        <is>
          <t xml:space="preserve">Under 6'</t>
        </is>
      </c>
      <c r="U891" t="inlineStr">
        <is>
          <t xml:space="preserve">Forster</t>
        </is>
      </c>
      <c r="V891" t="inlineStr">
        <is>
          <t xml:space="preserve">Forster</t>
        </is>
      </c>
      <c r="X891">
        <v>16</v>
      </c>
      <c r="Y891" t="inlineStr">
        <is>
          <t xml:space="preserve">Flanders</t>
        </is>
      </c>
      <c r="Z891">
        <v>14</v>
      </c>
      <c r="AA891">
        <v>1</v>
      </c>
      <c r="AB891" t="inlineStr">
        <is>
          <t xml:space="preserve">W</t>
        </is>
      </c>
      <c r="AE891" t="str">
        <f>$V891&amp;$Y891</f>
        <v>ForsterFlanders</v>
      </c>
      <c r="AF891">
        <v>1</v>
      </c>
      <c r="AG891">
        <v>1</v>
      </c>
      <c r="AH891">
        <v>0</v>
      </c>
      <c r="AI891">
        <v>0</v>
      </c>
      <c r="AK891" t="inlineStr">
        <is>
          <t xml:space="preserve">Lynch</t>
        </is>
      </c>
      <c r="AM891" t="inlineStr">
        <is>
          <t xml:space="preserve">Piegari</t>
        </is>
      </c>
    </row>
    <row r="892" spans="1:40" ht="15" customHeight="1" x14ac:dyDescent="0.2">
      <c r="B892">
        <v>10</v>
      </c>
      <c r="D892">
        <v>13</v>
      </c>
      <c r="E892" t="inlineStr">
        <is>
          <t xml:space="preserve">FBC13-D10</t>
        </is>
      </c>
      <c r="F892" t="inlineStr">
        <is>
          <t xml:space="preserve">Friday</t>
        </is>
      </c>
      <c r="G892" s="15">
        <v>46297</v>
      </c>
      <c r="H892" t="inlineStr">
        <is>
          <t xml:space="preserve">AM</t>
        </is>
      </c>
      <c r="I892" t="inlineStr">
        <is>
          <t xml:space="preserve">Frisco, TX</t>
        </is>
      </c>
      <c r="J892" t="inlineStr">
        <is>
          <t xml:space="preserve">South</t>
        </is>
      </c>
      <c r="K892">
        <v>9</v>
      </c>
      <c r="L892" t="inlineStr">
        <is>
          <t xml:space="preserve">Back</t>
        </is>
      </c>
      <c r="M892" t="inlineStr">
        <is>
          <t xml:space="preserve">Fields Ranch East</t>
        </is>
      </c>
      <c r="N892" t="inlineStr">
        <is>
          <t xml:space="preserve">III (Green)</t>
        </is>
      </c>
      <c r="O892">
        <v>72.6</v>
      </c>
      <c r="P892">
        <v>140</v>
      </c>
      <c r="Q892">
        <v>6543</v>
      </c>
      <c r="R892" t="inlineStr">
        <is>
          <t xml:space="preserve">Vegas</t>
        </is>
      </c>
      <c r="S892" t="inlineStr">
        <is>
          <t xml:space="preserve">Doubles</t>
        </is>
      </c>
      <c r="T892" t="inlineStr">
        <is>
          <t xml:space="preserve">Under 6'</t>
        </is>
      </c>
      <c r="U892" t="inlineStr">
        <is>
          <t xml:space="preserve">Mangold</t>
        </is>
      </c>
      <c r="V892" t="inlineStr">
        <is>
          <t xml:space="preserve">Lynch</t>
        </is>
      </c>
      <c r="X892">
        <v>11</v>
      </c>
      <c r="Y892" t="inlineStr">
        <is>
          <t xml:space="preserve">Piegari</t>
        </is>
      </c>
      <c r="Z892">
        <v>13</v>
      </c>
      <c r="AA892">
        <v>1</v>
      </c>
      <c r="AB892" t="inlineStr">
        <is>
          <t xml:space="preserve">T</t>
        </is>
      </c>
      <c r="AC892" t="inlineStr">
        <is>
          <t xml:space="preserve">A/S</t>
        </is>
      </c>
      <c r="AE892" t="str">
        <f>$V892&amp;$Y892</f>
        <v>LynchPiegari</v>
      </c>
      <c r="AF892">
        <v>0.5</v>
      </c>
      <c r="AG892">
        <v>0</v>
      </c>
      <c r="AH892">
        <v>0</v>
      </c>
      <c r="AI892">
        <v>1</v>
      </c>
      <c r="AK892" t="inlineStr">
        <is>
          <t xml:space="preserve">Forster</t>
        </is>
      </c>
      <c r="AM892" t="inlineStr">
        <is>
          <t xml:space="preserve">Flanders</t>
        </is>
      </c>
    </row>
    <row r="893" spans="1:40" ht="15" customHeight="1" x14ac:dyDescent="0.2">
      <c r="B893">
        <v>10</v>
      </c>
      <c r="D893">
        <v>13</v>
      </c>
      <c r="E893" t="inlineStr">
        <is>
          <t xml:space="preserve">FBC13-D10</t>
        </is>
      </c>
      <c r="F893" t="inlineStr">
        <is>
          <t xml:space="preserve">Friday</t>
        </is>
      </c>
      <c r="G893" s="15">
        <v>46297</v>
      </c>
      <c r="H893" t="inlineStr">
        <is>
          <t xml:space="preserve">AM</t>
        </is>
      </c>
      <c r="I893" t="inlineStr">
        <is>
          <t xml:space="preserve">Frisco, TX</t>
        </is>
      </c>
      <c r="J893" t="inlineStr">
        <is>
          <t xml:space="preserve">South</t>
        </is>
      </c>
      <c r="K893">
        <v>9</v>
      </c>
      <c r="L893" t="inlineStr">
        <is>
          <t xml:space="preserve">Back</t>
        </is>
      </c>
      <c r="M893" t="inlineStr">
        <is>
          <t xml:space="preserve">Fields Ranch East</t>
        </is>
      </c>
      <c r="N893" t="inlineStr">
        <is>
          <t xml:space="preserve">III (Green)</t>
        </is>
      </c>
      <c r="O893">
        <v>72.6</v>
      </c>
      <c r="P893">
        <v>140</v>
      </c>
      <c r="Q893">
        <v>6543</v>
      </c>
      <c r="R893" t="inlineStr">
        <is>
          <t xml:space="preserve">Vegas</t>
        </is>
      </c>
      <c r="S893" t="inlineStr">
        <is>
          <t xml:space="preserve">Doubles</t>
        </is>
      </c>
      <c r="T893" t="inlineStr">
        <is>
          <t xml:space="preserve">Under 6'</t>
        </is>
      </c>
      <c r="U893" t="inlineStr">
        <is>
          <t xml:space="preserve">Forster</t>
        </is>
      </c>
      <c r="V893" t="inlineStr">
        <is>
          <t xml:space="preserve">Forster</t>
        </is>
      </c>
      <c r="X893">
        <v>16</v>
      </c>
      <c r="Y893" t="inlineStr">
        <is>
          <t xml:space="preserve">Flanders</t>
        </is>
      </c>
      <c r="Z893">
        <v>14</v>
      </c>
      <c r="AA893">
        <v>1</v>
      </c>
      <c r="AB893" t="inlineStr">
        <is>
          <t xml:space="preserve">T</t>
        </is>
      </c>
      <c r="AC893" t="inlineStr">
        <is>
          <t xml:space="preserve">A/S</t>
        </is>
      </c>
      <c r="AE893" t="str">
        <f>$V893&amp;$Y893</f>
        <v>ForsterFlanders</v>
      </c>
      <c r="AF893">
        <v>0.5</v>
      </c>
      <c r="AG893">
        <v>0</v>
      </c>
      <c r="AH893">
        <v>0</v>
      </c>
      <c r="AI893">
        <v>1</v>
      </c>
      <c r="AK893" t="inlineStr">
        <is>
          <t xml:space="preserve">Lynch</t>
        </is>
      </c>
      <c r="AM893" t="inlineStr">
        <is>
          <t xml:space="preserve">Piegari</t>
        </is>
      </c>
    </row>
    <row r="894" spans="1:40" ht="15" customHeight="1" x14ac:dyDescent="0.2">
      <c r="B894">
        <v>11</v>
      </c>
      <c r="D894">
        <v>13</v>
      </c>
      <c r="E894" t="inlineStr">
        <is>
          <t xml:space="preserve">FBC13-D11</t>
        </is>
      </c>
      <c r="F894" t="inlineStr">
        <is>
          <t xml:space="preserve">Friday</t>
        </is>
      </c>
      <c r="G894" s="15">
        <v>46297</v>
      </c>
      <c r="H894" t="inlineStr">
        <is>
          <t xml:space="preserve">AM</t>
        </is>
      </c>
      <c r="I894" t="inlineStr">
        <is>
          <t xml:space="preserve">Frisco, TX</t>
        </is>
      </c>
      <c r="J894" t="inlineStr">
        <is>
          <t xml:space="preserve">South</t>
        </is>
      </c>
      <c r="K894">
        <v>9</v>
      </c>
      <c r="L894" t="inlineStr">
        <is>
          <t xml:space="preserve">Front</t>
        </is>
      </c>
      <c r="M894" t="inlineStr">
        <is>
          <t xml:space="preserve">Fields Ranch East</t>
        </is>
      </c>
      <c r="N894" t="inlineStr">
        <is>
          <t xml:space="preserve">III (Green)</t>
        </is>
      </c>
      <c r="O894">
        <v>72.6</v>
      </c>
      <c r="P894">
        <v>140</v>
      </c>
      <c r="Q894">
        <v>6543</v>
      </c>
      <c r="R894" t="inlineStr">
        <is>
          <t xml:space="preserve">Best Ball</t>
        </is>
      </c>
      <c r="S894" t="inlineStr">
        <is>
          <t xml:space="preserve">Doubles</t>
        </is>
      </c>
      <c r="T894" t="inlineStr">
        <is>
          <t xml:space="preserve">Under 6'</t>
        </is>
      </c>
      <c r="U894" t="inlineStr">
        <is>
          <t xml:space="preserve">Mangold</t>
        </is>
      </c>
      <c r="V894" t="inlineStr">
        <is>
          <t xml:space="preserve">Jackson</t>
        </is>
      </c>
      <c r="X894">
        <v>11</v>
      </c>
      <c r="Y894" t="inlineStr">
        <is>
          <t xml:space="preserve">Perkins</t>
        </is>
      </c>
      <c r="Z894">
        <v>10</v>
      </c>
      <c r="AA894">
        <v>1</v>
      </c>
      <c r="AB894" t="inlineStr">
        <is>
          <t xml:space="preserve">L</t>
        </is>
      </c>
      <c r="AC894" t="inlineStr">
        <is>
          <t xml:space="preserve">4&amp;3</t>
        </is>
      </c>
      <c r="AE894" t="str">
        <f>$V894&amp;$Y894</f>
        <v>JacksonPerkins</v>
      </c>
      <c r="AF894">
        <v>0</v>
      </c>
      <c r="AG894">
        <v>0</v>
      </c>
      <c r="AH894">
        <v>1</v>
      </c>
      <c r="AI894">
        <v>0</v>
      </c>
      <c r="AK894" t="inlineStr">
        <is>
          <t xml:space="preserve">Delneky</t>
        </is>
      </c>
      <c r="AM894" t="inlineStr">
        <is>
          <t xml:space="preserve">R. Connolly</t>
        </is>
      </c>
    </row>
    <row r="895" spans="1:40" ht="15" customHeight="1" x14ac:dyDescent="0.2">
      <c r="B895">
        <v>11</v>
      </c>
      <c r="D895">
        <v>13</v>
      </c>
      <c r="E895" t="inlineStr">
        <is>
          <t xml:space="preserve">FBC13-D11</t>
        </is>
      </c>
      <c r="F895" t="inlineStr">
        <is>
          <t xml:space="preserve">Friday</t>
        </is>
      </c>
      <c r="G895" s="15">
        <v>46297</v>
      </c>
      <c r="H895" t="inlineStr">
        <is>
          <t xml:space="preserve">AM</t>
        </is>
      </c>
      <c r="I895" t="inlineStr">
        <is>
          <t xml:space="preserve">Frisco, TX</t>
        </is>
      </c>
      <c r="J895" t="inlineStr">
        <is>
          <t xml:space="preserve">South</t>
        </is>
      </c>
      <c r="K895">
        <v>9</v>
      </c>
      <c r="L895" t="inlineStr">
        <is>
          <t xml:space="preserve">Front</t>
        </is>
      </c>
      <c r="M895" t="inlineStr">
        <is>
          <t xml:space="preserve">Fields Ranch East</t>
        </is>
      </c>
      <c r="N895" t="inlineStr">
        <is>
          <t xml:space="preserve">III (Green)</t>
        </is>
      </c>
      <c r="O895">
        <v>72.6</v>
      </c>
      <c r="P895">
        <v>140</v>
      </c>
      <c r="Q895">
        <v>6543</v>
      </c>
      <c r="R895" t="inlineStr">
        <is>
          <t xml:space="preserve">Best Ball</t>
        </is>
      </c>
      <c r="S895" t="inlineStr">
        <is>
          <t xml:space="preserve">Doubles</t>
        </is>
      </c>
      <c r="T895" t="inlineStr">
        <is>
          <t xml:space="preserve">Under 6'</t>
        </is>
      </c>
      <c r="U895" t="inlineStr">
        <is>
          <t xml:space="preserve">Forster</t>
        </is>
      </c>
      <c r="V895" t="inlineStr">
        <is>
          <t xml:space="preserve">Delneky</t>
        </is>
      </c>
      <c r="X895">
        <v>22</v>
      </c>
      <c r="Y895" t="inlineStr">
        <is>
          <t xml:space="preserve">R. Connolly</t>
        </is>
      </c>
      <c r="Z895">
        <v>14</v>
      </c>
      <c r="AA895">
        <v>1</v>
      </c>
      <c r="AB895" t="inlineStr">
        <is>
          <t xml:space="preserve">W</t>
        </is>
      </c>
      <c r="AC895" t="inlineStr">
        <is>
          <t xml:space="preserve">4&amp;3</t>
        </is>
      </c>
      <c r="AE895" t="str">
        <f>$V895&amp;$Y895</f>
        <v>DelnekyR. Connolly</v>
      </c>
      <c r="AF895">
        <v>1</v>
      </c>
      <c r="AG895">
        <v>1</v>
      </c>
      <c r="AH895">
        <v>0</v>
      </c>
      <c r="AI895">
        <v>0</v>
      </c>
      <c r="AK895" t="inlineStr">
        <is>
          <t xml:space="preserve">Jackson</t>
        </is>
      </c>
      <c r="AM895" t="inlineStr">
        <is>
          <t xml:space="preserve">Perkins</t>
        </is>
      </c>
    </row>
    <row r="896" spans="1:40" ht="15" customHeight="1" x14ac:dyDescent="0.2">
      <c r="B896">
        <v>12</v>
      </c>
      <c r="D896">
        <v>13</v>
      </c>
      <c r="E896" t="inlineStr">
        <is>
          <t xml:space="preserve">FBC13-D12</t>
        </is>
      </c>
      <c r="F896" t="inlineStr">
        <is>
          <t xml:space="preserve">Friday</t>
        </is>
      </c>
      <c r="G896" s="15">
        <v>46297</v>
      </c>
      <c r="H896" t="inlineStr">
        <is>
          <t xml:space="preserve">AM</t>
        </is>
      </c>
      <c r="I896" t="inlineStr">
        <is>
          <t xml:space="preserve">Frisco, TX</t>
        </is>
      </c>
      <c r="J896" t="inlineStr">
        <is>
          <t xml:space="preserve">South</t>
        </is>
      </c>
      <c r="K896">
        <v>9</v>
      </c>
      <c r="L896" t="inlineStr">
        <is>
          <t xml:space="preserve">Back</t>
        </is>
      </c>
      <c r="M896" t="inlineStr">
        <is>
          <t xml:space="preserve">Fields Ranch East</t>
        </is>
      </c>
      <c r="N896" t="inlineStr">
        <is>
          <t xml:space="preserve">III (Green)</t>
        </is>
      </c>
      <c r="O896">
        <v>72.6</v>
      </c>
      <c r="P896">
        <v>140</v>
      </c>
      <c r="Q896">
        <v>6543</v>
      </c>
      <c r="R896" t="inlineStr">
        <is>
          <t xml:space="preserve">Vegas</t>
        </is>
      </c>
      <c r="S896" t="inlineStr">
        <is>
          <t xml:space="preserve">Doubles</t>
        </is>
      </c>
      <c r="T896" t="inlineStr">
        <is>
          <t xml:space="preserve">Under 6'</t>
        </is>
      </c>
      <c r="U896" t="inlineStr">
        <is>
          <t xml:space="preserve">Mangold</t>
        </is>
      </c>
      <c r="V896" t="inlineStr">
        <is>
          <t xml:space="preserve">Jackson</t>
        </is>
      </c>
      <c r="X896">
        <v>11</v>
      </c>
      <c r="Y896" t="inlineStr">
        <is>
          <t xml:space="preserve">Perkins</t>
        </is>
      </c>
      <c r="Z896">
        <v>10</v>
      </c>
      <c r="AA896">
        <v>1</v>
      </c>
      <c r="AB896" t="inlineStr">
        <is>
          <t xml:space="preserve">W</t>
        </is>
      </c>
      <c r="AC896" t="inlineStr">
        <is>
          <t xml:space="preserve">3&amp;2</t>
        </is>
      </c>
      <c r="AE896" t="str">
        <f>$V896&amp;$Y896</f>
        <v>JacksonPerkins</v>
      </c>
      <c r="AF896">
        <v>1</v>
      </c>
      <c r="AG896">
        <v>1</v>
      </c>
      <c r="AH896">
        <v>0</v>
      </c>
      <c r="AI896">
        <v>0</v>
      </c>
      <c r="AK896" t="inlineStr">
        <is>
          <t xml:space="preserve">Delneky</t>
        </is>
      </c>
      <c r="AM896" t="inlineStr">
        <is>
          <t xml:space="preserve">R. Connolly</t>
        </is>
      </c>
    </row>
    <row r="897" spans="1:40" ht="15" customHeight="1" x14ac:dyDescent="0.2">
      <c r="B897">
        <v>12</v>
      </c>
      <c r="D897">
        <v>13</v>
      </c>
      <c r="E897" t="inlineStr">
        <is>
          <t xml:space="preserve">FBC13-D12</t>
        </is>
      </c>
      <c r="F897" t="inlineStr">
        <is>
          <t xml:space="preserve">Friday</t>
        </is>
      </c>
      <c r="G897" s="15">
        <v>46297</v>
      </c>
      <c r="H897" t="inlineStr">
        <is>
          <t xml:space="preserve">AM</t>
        </is>
      </c>
      <c r="I897" t="inlineStr">
        <is>
          <t xml:space="preserve">Frisco, TX</t>
        </is>
      </c>
      <c r="J897" t="inlineStr">
        <is>
          <t xml:space="preserve">South</t>
        </is>
      </c>
      <c r="K897">
        <v>9</v>
      </c>
      <c r="L897" t="inlineStr">
        <is>
          <t xml:space="preserve">Back</t>
        </is>
      </c>
      <c r="M897" t="inlineStr">
        <is>
          <t xml:space="preserve">Fields Ranch East</t>
        </is>
      </c>
      <c r="N897" t="inlineStr">
        <is>
          <t xml:space="preserve">III (Green)</t>
        </is>
      </c>
      <c r="O897">
        <v>72.6</v>
      </c>
      <c r="P897">
        <v>140</v>
      </c>
      <c r="Q897">
        <v>6543</v>
      </c>
      <c r="R897" t="inlineStr">
        <is>
          <t xml:space="preserve">Vegas</t>
        </is>
      </c>
      <c r="S897" t="inlineStr">
        <is>
          <t xml:space="preserve">Doubles</t>
        </is>
      </c>
      <c r="T897" t="inlineStr">
        <is>
          <t xml:space="preserve">Under 6'</t>
        </is>
      </c>
      <c r="U897" t="inlineStr">
        <is>
          <t xml:space="preserve">Forster</t>
        </is>
      </c>
      <c r="V897" t="inlineStr">
        <is>
          <t xml:space="preserve">Delneky</t>
        </is>
      </c>
      <c r="X897">
        <v>22</v>
      </c>
      <c r="Y897" t="inlineStr">
        <is>
          <t xml:space="preserve">R. Connolly</t>
        </is>
      </c>
      <c r="Z897">
        <v>14</v>
      </c>
      <c r="AA897">
        <v>1</v>
      </c>
      <c r="AB897" t="inlineStr">
        <is>
          <t xml:space="preserve">L</t>
        </is>
      </c>
      <c r="AC897" t="inlineStr">
        <is>
          <t xml:space="preserve">3&amp;2</t>
        </is>
      </c>
      <c r="AE897" t="str">
        <f>$V897&amp;$Y897</f>
        <v>DelnekyR. Connolly</v>
      </c>
      <c r="AF897">
        <v>0</v>
      </c>
      <c r="AG897">
        <v>0</v>
      </c>
      <c r="AH897">
        <v>1</v>
      </c>
      <c r="AI897">
        <v>0</v>
      </c>
      <c r="AK897" t="inlineStr">
        <is>
          <t xml:space="preserve">Jackson</t>
        </is>
      </c>
      <c r="AM897" t="inlineStr">
        <is>
          <t xml:space="preserve">Perkins</t>
        </is>
      </c>
    </row>
    <row r="898" spans="1:40" ht="15" customHeight="1" x14ac:dyDescent="0.2">
      <c r="B898">
        <v>13</v>
      </c>
      <c r="D898">
        <v>13</v>
      </c>
      <c r="E898" t="inlineStr">
        <is>
          <t xml:space="preserve">FBC13-D13</t>
        </is>
      </c>
      <c r="F898" t="inlineStr">
        <is>
          <t xml:space="preserve">Friday</t>
        </is>
      </c>
      <c r="G898" s="15">
        <v>46297</v>
      </c>
      <c r="H898" t="inlineStr">
        <is>
          <t xml:space="preserve">PM</t>
        </is>
      </c>
      <c r="I898" t="inlineStr">
        <is>
          <t xml:space="preserve">Frisco, TX</t>
        </is>
      </c>
      <c r="J898" t="inlineStr">
        <is>
          <t xml:space="preserve">South</t>
        </is>
      </c>
      <c r="K898">
        <v>9</v>
      </c>
      <c r="L898" t="inlineStr">
        <is>
          <t xml:space="preserve">Front</t>
        </is>
      </c>
      <c r="M898" t="inlineStr">
        <is>
          <t xml:space="preserve">Fields Ranch West</t>
        </is>
      </c>
      <c r="N898" t="inlineStr">
        <is>
          <t xml:space="preserve">III (White)</t>
        </is>
      </c>
      <c r="O898">
        <v>70.1</v>
      </c>
      <c r="P898">
        <v>129</v>
      </c>
      <c r="Q898">
        <v>6149</v>
      </c>
      <c r="R898" t="inlineStr">
        <is>
          <t xml:space="preserve">Pinehurst</t>
        </is>
      </c>
      <c r="S898" t="inlineStr">
        <is>
          <t xml:space="preserve">Doubles</t>
        </is>
      </c>
      <c r="T898" t="inlineStr">
        <is>
          <t xml:space="preserve">Under 6'</t>
        </is>
      </c>
      <c r="U898" t="inlineStr">
        <is>
          <t xml:space="preserve">Mangold</t>
        </is>
      </c>
      <c r="V898" t="inlineStr">
        <is>
          <t xml:space="preserve">McInerney</t>
        </is>
      </c>
      <c r="X898">
        <v>3</v>
      </c>
      <c r="Y898" t="inlineStr">
        <is>
          <t xml:space="preserve">Shively</t>
        </is>
      </c>
      <c r="Z898">
        <v>13</v>
      </c>
      <c r="AA898">
        <v>1</v>
      </c>
      <c r="AB898" t="inlineStr">
        <is>
          <t xml:space="preserve">L</t>
        </is>
      </c>
      <c r="AC898" t="inlineStr">
        <is>
          <t xml:space="preserve">2&amp;1</t>
        </is>
      </c>
      <c r="AE898" t="str">
        <f>$V898&amp;$Y898</f>
        <v>McInerneyShively</v>
      </c>
      <c r="AF898">
        <v>0</v>
      </c>
      <c r="AG898">
        <v>0</v>
      </c>
      <c r="AH898">
        <v>1</v>
      </c>
      <c r="AI898">
        <v>0</v>
      </c>
      <c r="AK898" t="inlineStr">
        <is>
          <t xml:space="preserve">Poirier</t>
        </is>
      </c>
      <c r="AM898" t="inlineStr">
        <is>
          <t xml:space="preserve">Hilts</t>
        </is>
      </c>
    </row>
    <row r="899" spans="1:40" ht="15" customHeight="1" x14ac:dyDescent="0.2">
      <c r="B899">
        <v>13</v>
      </c>
      <c r="D899">
        <v>13</v>
      </c>
      <c r="E899" t="inlineStr">
        <is>
          <t xml:space="preserve">FBC13-D13</t>
        </is>
      </c>
      <c r="F899" t="inlineStr">
        <is>
          <t xml:space="preserve">Friday</t>
        </is>
      </c>
      <c r="G899" s="15">
        <v>46297</v>
      </c>
      <c r="H899" t="inlineStr">
        <is>
          <t xml:space="preserve">PM</t>
        </is>
      </c>
      <c r="I899" t="inlineStr">
        <is>
          <t xml:space="preserve">Frisco, TX</t>
        </is>
      </c>
      <c r="J899" t="inlineStr">
        <is>
          <t xml:space="preserve">South</t>
        </is>
      </c>
      <c r="K899">
        <v>9</v>
      </c>
      <c r="L899" t="inlineStr">
        <is>
          <t xml:space="preserve">Front</t>
        </is>
      </c>
      <c r="M899" t="inlineStr">
        <is>
          <t xml:space="preserve">Fields Ranch West</t>
        </is>
      </c>
      <c r="N899" t="inlineStr">
        <is>
          <t xml:space="preserve">III (White)</t>
        </is>
      </c>
      <c r="O899">
        <v>70.1</v>
      </c>
      <c r="P899">
        <v>129</v>
      </c>
      <c r="Q899">
        <v>6149</v>
      </c>
      <c r="R899" t="inlineStr">
        <is>
          <t xml:space="preserve">Pinehurst</t>
        </is>
      </c>
      <c r="S899" t="inlineStr">
        <is>
          <t xml:space="preserve">Doubles</t>
        </is>
      </c>
      <c r="T899" t="inlineStr">
        <is>
          <t xml:space="preserve">Under 6'</t>
        </is>
      </c>
      <c r="U899" t="inlineStr">
        <is>
          <t xml:space="preserve">Forster</t>
        </is>
      </c>
      <c r="V899" t="inlineStr">
        <is>
          <t xml:space="preserve">Poirier</t>
        </is>
      </c>
      <c r="X899">
        <v>4</v>
      </c>
      <c r="Y899" t="inlineStr">
        <is>
          <t xml:space="preserve">Hilts</t>
        </is>
      </c>
      <c r="Z899">
        <v>17</v>
      </c>
      <c r="AA899">
        <v>1</v>
      </c>
      <c r="AB899" t="inlineStr">
        <is>
          <t xml:space="preserve">W</t>
        </is>
      </c>
      <c r="AC899" t="inlineStr">
        <is>
          <t xml:space="preserve">2&amp;1</t>
        </is>
      </c>
      <c r="AE899" t="str">
        <f>$V899&amp;$Y899</f>
        <v>PoirierHilts</v>
      </c>
      <c r="AF899">
        <v>1</v>
      </c>
      <c r="AG899">
        <v>1</v>
      </c>
      <c r="AH899">
        <v>0</v>
      </c>
      <c r="AI899">
        <v>0</v>
      </c>
      <c r="AK899" t="inlineStr">
        <is>
          <t xml:space="preserve">McInerney</t>
        </is>
      </c>
      <c r="AM899" t="inlineStr">
        <is>
          <t xml:space="preserve">Shively</t>
        </is>
      </c>
    </row>
    <row r="900" spans="1:40" ht="15" customHeight="1" x14ac:dyDescent="0.2">
      <c r="B900">
        <v>14</v>
      </c>
      <c r="D900">
        <v>13</v>
      </c>
      <c r="E900" t="inlineStr">
        <is>
          <t xml:space="preserve">FBC13-D14</t>
        </is>
      </c>
      <c r="F900" t="inlineStr">
        <is>
          <t xml:space="preserve">Friday</t>
        </is>
      </c>
      <c r="G900" s="15">
        <v>46297</v>
      </c>
      <c r="H900" t="inlineStr">
        <is>
          <t xml:space="preserve">PM</t>
        </is>
      </c>
      <c r="I900" t="inlineStr">
        <is>
          <t xml:space="preserve">Frisco, TX</t>
        </is>
      </c>
      <c r="J900" t="inlineStr">
        <is>
          <t xml:space="preserve">South</t>
        </is>
      </c>
      <c r="K900">
        <v>9</v>
      </c>
      <c r="L900" t="inlineStr">
        <is>
          <t xml:space="preserve">Back</t>
        </is>
      </c>
      <c r="M900" t="inlineStr">
        <is>
          <t xml:space="preserve">Fields Ranch West</t>
        </is>
      </c>
      <c r="N900" t="inlineStr">
        <is>
          <t xml:space="preserve">III (White)</t>
        </is>
      </c>
      <c r="O900">
        <v>70.1</v>
      </c>
      <c r="P900">
        <v>129</v>
      </c>
      <c r="Q900">
        <v>6149</v>
      </c>
      <c r="R900" t="inlineStr">
        <is>
          <t xml:space="preserve">Scramble</t>
        </is>
      </c>
      <c r="S900" t="inlineStr">
        <is>
          <t xml:space="preserve">Doubles</t>
        </is>
      </c>
      <c r="T900" t="inlineStr">
        <is>
          <t xml:space="preserve">Under 6'</t>
        </is>
      </c>
      <c r="U900" t="inlineStr">
        <is>
          <t xml:space="preserve">Mangold</t>
        </is>
      </c>
      <c r="V900" t="inlineStr">
        <is>
          <t xml:space="preserve">McInerney</t>
        </is>
      </c>
      <c r="X900">
        <v>3</v>
      </c>
      <c r="Y900" t="inlineStr">
        <is>
          <t xml:space="preserve">Shively</t>
        </is>
      </c>
      <c r="Z900">
        <v>13</v>
      </c>
      <c r="AA900">
        <v>1</v>
      </c>
      <c r="AB900" t="inlineStr">
        <is>
          <t xml:space="preserve">W</t>
        </is>
      </c>
      <c r="AC900" t="inlineStr">
        <is>
          <t xml:space="preserve">5&amp;4</t>
        </is>
      </c>
      <c r="AE900" t="str">
        <f>$V900&amp;$Y900</f>
        <v>McInerneyShively</v>
      </c>
      <c r="AF900">
        <v>1</v>
      </c>
      <c r="AG900">
        <v>1</v>
      </c>
      <c r="AH900">
        <v>0</v>
      </c>
      <c r="AI900">
        <v>0</v>
      </c>
      <c r="AK900" t="inlineStr">
        <is>
          <t xml:space="preserve">Poirier</t>
        </is>
      </c>
      <c r="AM900" t="inlineStr">
        <is>
          <t xml:space="preserve">Hilts</t>
        </is>
      </c>
    </row>
    <row r="901" spans="1:40" ht="15" customHeight="1" x14ac:dyDescent="0.2">
      <c r="B901">
        <v>14</v>
      </c>
      <c r="D901">
        <v>13</v>
      </c>
      <c r="E901" t="inlineStr">
        <is>
          <t xml:space="preserve">FBC13-D14</t>
        </is>
      </c>
      <c r="F901" t="inlineStr">
        <is>
          <t xml:space="preserve">Friday</t>
        </is>
      </c>
      <c r="G901" s="15">
        <v>46297</v>
      </c>
      <c r="H901" t="inlineStr">
        <is>
          <t xml:space="preserve">PM</t>
        </is>
      </c>
      <c r="I901" t="inlineStr">
        <is>
          <t xml:space="preserve">Frisco, TX</t>
        </is>
      </c>
      <c r="J901" t="inlineStr">
        <is>
          <t xml:space="preserve">South</t>
        </is>
      </c>
      <c r="K901">
        <v>9</v>
      </c>
      <c r="L901" t="inlineStr">
        <is>
          <t xml:space="preserve">Back</t>
        </is>
      </c>
      <c r="M901" t="inlineStr">
        <is>
          <t xml:space="preserve">Fields Ranch West</t>
        </is>
      </c>
      <c r="N901" t="inlineStr">
        <is>
          <t xml:space="preserve">III (White)</t>
        </is>
      </c>
      <c r="O901">
        <v>70.1</v>
      </c>
      <c r="P901">
        <v>129</v>
      </c>
      <c r="Q901">
        <v>6149</v>
      </c>
      <c r="R901" t="inlineStr">
        <is>
          <t xml:space="preserve">Scramble</t>
        </is>
      </c>
      <c r="S901" t="inlineStr">
        <is>
          <t xml:space="preserve">Doubles</t>
        </is>
      </c>
      <c r="T901" t="inlineStr">
        <is>
          <t xml:space="preserve">Under 6'</t>
        </is>
      </c>
      <c r="U901" t="inlineStr">
        <is>
          <t xml:space="preserve">Forster</t>
        </is>
      </c>
      <c r="V901" t="inlineStr">
        <is>
          <t xml:space="preserve">Poirier</t>
        </is>
      </c>
      <c r="X901">
        <v>4</v>
      </c>
      <c r="Y901" t="inlineStr">
        <is>
          <t xml:space="preserve">Hilts</t>
        </is>
      </c>
      <c r="Z901">
        <v>17</v>
      </c>
      <c r="AA901">
        <v>1</v>
      </c>
      <c r="AB901" t="inlineStr">
        <is>
          <t xml:space="preserve">L</t>
        </is>
      </c>
      <c r="AC901" t="inlineStr">
        <is>
          <t xml:space="preserve">5&amp;4</t>
        </is>
      </c>
      <c r="AE901" t="str">
        <f>$V901&amp;$Y901</f>
        <v>PoirierHilts</v>
      </c>
      <c r="AF901">
        <v>0</v>
      </c>
      <c r="AG901">
        <v>0</v>
      </c>
      <c r="AH901">
        <v>1</v>
      </c>
      <c r="AI901">
        <v>0</v>
      </c>
      <c r="AK901" t="inlineStr">
        <is>
          <t xml:space="preserve">McInerney</t>
        </is>
      </c>
      <c r="AM901" t="inlineStr">
        <is>
          <t xml:space="preserve">Shively</t>
        </is>
      </c>
    </row>
    <row r="902" spans="1:40" ht="15" customHeight="1" x14ac:dyDescent="0.2">
      <c r="B902">
        <v>15</v>
      </c>
      <c r="D902">
        <v>13</v>
      </c>
      <c r="E902" t="inlineStr">
        <is>
          <t xml:space="preserve">FBC13-D15</t>
        </is>
      </c>
      <c r="F902" t="inlineStr">
        <is>
          <t xml:space="preserve">Friday</t>
        </is>
      </c>
      <c r="G902" s="15">
        <v>46297</v>
      </c>
      <c r="H902" t="inlineStr">
        <is>
          <t xml:space="preserve">PM</t>
        </is>
      </c>
      <c r="I902" t="inlineStr">
        <is>
          <t xml:space="preserve">Frisco, TX</t>
        </is>
      </c>
      <c r="J902" t="inlineStr">
        <is>
          <t xml:space="preserve">South</t>
        </is>
      </c>
      <c r="K902">
        <v>9</v>
      </c>
      <c r="L902" t="inlineStr">
        <is>
          <t xml:space="preserve">Front</t>
        </is>
      </c>
      <c r="M902" t="inlineStr">
        <is>
          <t xml:space="preserve">Fields Ranch West</t>
        </is>
      </c>
      <c r="N902" t="inlineStr">
        <is>
          <t xml:space="preserve">III (White)</t>
        </is>
      </c>
      <c r="O902">
        <v>70.1</v>
      </c>
      <c r="P902">
        <v>129</v>
      </c>
      <c r="Q902">
        <v>6149</v>
      </c>
      <c r="R902" t="inlineStr">
        <is>
          <t xml:space="preserve">Pinehurst</t>
        </is>
      </c>
      <c r="S902" t="inlineStr">
        <is>
          <t xml:space="preserve">Doubles</t>
        </is>
      </c>
      <c r="T902" t="inlineStr">
        <is>
          <t xml:space="preserve">Under 6'</t>
        </is>
      </c>
      <c r="U902" t="inlineStr">
        <is>
          <t xml:space="preserve">Mangold</t>
        </is>
      </c>
      <c r="V902" t="inlineStr">
        <is>
          <t xml:space="preserve">Ferrin</t>
        </is>
      </c>
      <c r="X902">
        <v>9</v>
      </c>
      <c r="Y902" t="inlineStr">
        <is>
          <t xml:space="preserve">DeOteris</t>
        </is>
      </c>
      <c r="Z902">
        <v>11</v>
      </c>
      <c r="AA902">
        <v>1</v>
      </c>
      <c r="AB902" t="inlineStr">
        <is>
          <t xml:space="preserve">T</t>
        </is>
      </c>
      <c r="AC902" t="inlineStr">
        <is>
          <t xml:space="preserve">A/S</t>
        </is>
      </c>
      <c r="AE902" t="str">
        <f>$V902&amp;$Y902</f>
        <v>FerrinDeOteris</v>
      </c>
      <c r="AF902">
        <v>0.5</v>
      </c>
      <c r="AG902">
        <v>0</v>
      </c>
      <c r="AH902">
        <v>0</v>
      </c>
      <c r="AI902">
        <v>1</v>
      </c>
      <c r="AK902" t="inlineStr">
        <is>
          <t xml:space="preserve">Zimmer</t>
        </is>
      </c>
      <c r="AM902" t="inlineStr">
        <is>
          <t xml:space="preserve">Cole</t>
        </is>
      </c>
    </row>
    <row r="903" spans="1:40" ht="15" customHeight="1" x14ac:dyDescent="0.2">
      <c r="B903">
        <v>15</v>
      </c>
      <c r="D903">
        <v>13</v>
      </c>
      <c r="E903" t="inlineStr">
        <is>
          <t xml:space="preserve">FBC13-D15</t>
        </is>
      </c>
      <c r="F903" t="inlineStr">
        <is>
          <t xml:space="preserve">Friday</t>
        </is>
      </c>
      <c r="G903" s="15">
        <v>46297</v>
      </c>
      <c r="H903" t="inlineStr">
        <is>
          <t xml:space="preserve">PM</t>
        </is>
      </c>
      <c r="I903" t="inlineStr">
        <is>
          <t xml:space="preserve">Frisco, TX</t>
        </is>
      </c>
      <c r="J903" t="inlineStr">
        <is>
          <t xml:space="preserve">South</t>
        </is>
      </c>
      <c r="K903">
        <v>9</v>
      </c>
      <c r="L903" t="inlineStr">
        <is>
          <t xml:space="preserve">Front</t>
        </is>
      </c>
      <c r="M903" t="inlineStr">
        <is>
          <t xml:space="preserve">Fields Ranch West</t>
        </is>
      </c>
      <c r="N903" t="inlineStr">
        <is>
          <t xml:space="preserve">III (White)</t>
        </is>
      </c>
      <c r="O903">
        <v>70.1</v>
      </c>
      <c r="P903">
        <v>129</v>
      </c>
      <c r="Q903">
        <v>6149</v>
      </c>
      <c r="R903" t="inlineStr">
        <is>
          <t xml:space="preserve">Pinehurst</t>
        </is>
      </c>
      <c r="S903" t="inlineStr">
        <is>
          <t xml:space="preserve">Doubles</t>
        </is>
      </c>
      <c r="T903" t="inlineStr">
        <is>
          <t xml:space="preserve">Under 6'</t>
        </is>
      </c>
      <c r="U903" t="inlineStr">
        <is>
          <t xml:space="preserve">Forster</t>
        </is>
      </c>
      <c r="V903" t="inlineStr">
        <is>
          <t xml:space="preserve">Zimmer</t>
        </is>
      </c>
      <c r="X903">
        <v>7</v>
      </c>
      <c r="Y903" t="inlineStr">
        <is>
          <t xml:space="preserve">Cole</t>
        </is>
      </c>
      <c r="Z903">
        <v>17</v>
      </c>
      <c r="AA903">
        <v>1</v>
      </c>
      <c r="AB903" t="inlineStr">
        <is>
          <t xml:space="preserve">T</t>
        </is>
      </c>
      <c r="AC903" t="inlineStr">
        <is>
          <t xml:space="preserve">A/S</t>
        </is>
      </c>
      <c r="AE903" t="str">
        <f>$V903&amp;$Y903</f>
        <v>ZimmerCole</v>
      </c>
      <c r="AF903">
        <v>0.5</v>
      </c>
      <c r="AG903">
        <v>0</v>
      </c>
      <c r="AH903">
        <v>0</v>
      </c>
      <c r="AI903">
        <v>1</v>
      </c>
      <c r="AK903" t="inlineStr">
        <is>
          <t xml:space="preserve">Ferrin</t>
        </is>
      </c>
      <c r="AM903" t="inlineStr">
        <is>
          <t xml:space="preserve">DeOteris</t>
        </is>
      </c>
    </row>
    <row r="904" spans="1:40" ht="15" customHeight="1" x14ac:dyDescent="0.2">
      <c r="B904">
        <v>16</v>
      </c>
      <c r="D904">
        <v>13</v>
      </c>
      <c r="E904" t="inlineStr">
        <is>
          <t xml:space="preserve">FBC13-D16</t>
        </is>
      </c>
      <c r="F904" t="inlineStr">
        <is>
          <t xml:space="preserve">Friday</t>
        </is>
      </c>
      <c r="G904" s="15">
        <v>46297</v>
      </c>
      <c r="H904" t="inlineStr">
        <is>
          <t xml:space="preserve">PM</t>
        </is>
      </c>
      <c r="I904" t="inlineStr">
        <is>
          <t xml:space="preserve">Frisco, TX</t>
        </is>
      </c>
      <c r="J904" t="inlineStr">
        <is>
          <t xml:space="preserve">South</t>
        </is>
      </c>
      <c r="K904">
        <v>9</v>
      </c>
      <c r="L904" t="inlineStr">
        <is>
          <t xml:space="preserve">Back</t>
        </is>
      </c>
      <c r="M904" t="inlineStr">
        <is>
          <t xml:space="preserve">Fields Ranch West</t>
        </is>
      </c>
      <c r="N904" t="inlineStr">
        <is>
          <t xml:space="preserve">III (White)</t>
        </is>
      </c>
      <c r="O904">
        <v>70.1</v>
      </c>
      <c r="P904">
        <v>129</v>
      </c>
      <c r="Q904">
        <v>6149</v>
      </c>
      <c r="R904" t="inlineStr">
        <is>
          <t xml:space="preserve">Scramble</t>
        </is>
      </c>
      <c r="S904" t="inlineStr">
        <is>
          <t xml:space="preserve">Doubles</t>
        </is>
      </c>
      <c r="T904" t="inlineStr">
        <is>
          <t xml:space="preserve">Under 6'</t>
        </is>
      </c>
      <c r="U904" t="inlineStr">
        <is>
          <t xml:space="preserve">Mangold</t>
        </is>
      </c>
      <c r="V904" t="inlineStr">
        <is>
          <t xml:space="preserve">Ferrin</t>
        </is>
      </c>
      <c r="X904">
        <v>9</v>
      </c>
      <c r="Y904" t="inlineStr">
        <is>
          <t xml:space="preserve">DeOteris</t>
        </is>
      </c>
      <c r="Z904">
        <v>11</v>
      </c>
      <c r="AA904">
        <v>1</v>
      </c>
      <c r="AB904" t="inlineStr">
        <is>
          <t xml:space="preserve">W</t>
        </is>
      </c>
      <c r="AE904" t="str">
        <f>$V904&amp;$Y904</f>
        <v>FerrinDeOteris</v>
      </c>
      <c r="AF904">
        <v>1</v>
      </c>
      <c r="AG904">
        <v>1</v>
      </c>
      <c r="AH904">
        <v>0</v>
      </c>
      <c r="AI904">
        <v>0</v>
      </c>
      <c r="AK904" t="inlineStr">
        <is>
          <t xml:space="preserve">Zimmer</t>
        </is>
      </c>
      <c r="AM904" t="inlineStr">
        <is>
          <t xml:space="preserve">Cole</t>
        </is>
      </c>
    </row>
    <row r="905" spans="1:40" ht="15" customHeight="1" x14ac:dyDescent="0.2">
      <c r="B905">
        <v>16</v>
      </c>
      <c r="D905">
        <v>13</v>
      </c>
      <c r="E905" t="inlineStr">
        <is>
          <t xml:space="preserve">FBC13-D16</t>
        </is>
      </c>
      <c r="F905" t="inlineStr">
        <is>
          <t xml:space="preserve">Friday</t>
        </is>
      </c>
      <c r="G905" s="15">
        <v>46297</v>
      </c>
      <c r="H905" t="inlineStr">
        <is>
          <t xml:space="preserve">PM</t>
        </is>
      </c>
      <c r="I905" t="inlineStr">
        <is>
          <t xml:space="preserve">Frisco, TX</t>
        </is>
      </c>
      <c r="J905" t="inlineStr">
        <is>
          <t xml:space="preserve">South</t>
        </is>
      </c>
      <c r="K905">
        <v>9</v>
      </c>
      <c r="L905" t="inlineStr">
        <is>
          <t xml:space="preserve">Back</t>
        </is>
      </c>
      <c r="M905" t="inlineStr">
        <is>
          <t xml:space="preserve">Fields Ranch West</t>
        </is>
      </c>
      <c r="N905" t="inlineStr">
        <is>
          <t xml:space="preserve">III (White)</t>
        </is>
      </c>
      <c r="O905">
        <v>70.1</v>
      </c>
      <c r="P905">
        <v>129</v>
      </c>
      <c r="Q905">
        <v>6149</v>
      </c>
      <c r="R905" t="inlineStr">
        <is>
          <t xml:space="preserve">Scramble</t>
        </is>
      </c>
      <c r="S905" t="inlineStr">
        <is>
          <t xml:space="preserve">Doubles</t>
        </is>
      </c>
      <c r="T905" t="inlineStr">
        <is>
          <t xml:space="preserve">Under 6'</t>
        </is>
      </c>
      <c r="U905" t="inlineStr">
        <is>
          <t xml:space="preserve">Forster</t>
        </is>
      </c>
      <c r="V905" t="inlineStr">
        <is>
          <t xml:space="preserve">Zimmer</t>
        </is>
      </c>
      <c r="X905">
        <v>7</v>
      </c>
      <c r="Y905" t="inlineStr">
        <is>
          <t xml:space="preserve">Cole</t>
        </is>
      </c>
      <c r="Z905">
        <v>17</v>
      </c>
      <c r="AA905">
        <v>1</v>
      </c>
      <c r="AB905" t="inlineStr">
        <is>
          <t xml:space="preserve">L</t>
        </is>
      </c>
      <c r="AE905" t="str">
        <f>$V905&amp;$Y905</f>
        <v>ZimmerCole</v>
      </c>
      <c r="AF905">
        <v>0</v>
      </c>
      <c r="AG905">
        <v>0</v>
      </c>
      <c r="AH905">
        <v>1</v>
      </c>
      <c r="AI905">
        <v>0</v>
      </c>
      <c r="AK905" t="inlineStr">
        <is>
          <t xml:space="preserve">Ferrin</t>
        </is>
      </c>
      <c r="AM905" t="inlineStr">
        <is>
          <t xml:space="preserve">DeOteris</t>
        </is>
      </c>
    </row>
    <row r="906" spans="1:40" ht="15" customHeight="1" x14ac:dyDescent="0.2">
      <c r="B906">
        <v>17</v>
      </c>
      <c r="D906">
        <v>13</v>
      </c>
      <c r="E906" t="inlineStr">
        <is>
          <t xml:space="preserve">FBC13-D17</t>
        </is>
      </c>
      <c r="F906" t="inlineStr">
        <is>
          <t xml:space="preserve">Friday</t>
        </is>
      </c>
      <c r="G906" s="15">
        <v>46297</v>
      </c>
      <c r="H906" t="inlineStr">
        <is>
          <t xml:space="preserve">PM</t>
        </is>
      </c>
      <c r="I906" t="inlineStr">
        <is>
          <t xml:space="preserve">Frisco, TX</t>
        </is>
      </c>
      <c r="J906" t="inlineStr">
        <is>
          <t xml:space="preserve">South</t>
        </is>
      </c>
      <c r="K906">
        <v>9</v>
      </c>
      <c r="L906" t="inlineStr">
        <is>
          <t xml:space="preserve">Front</t>
        </is>
      </c>
      <c r="M906" t="inlineStr">
        <is>
          <t xml:space="preserve">Fields Ranch West</t>
        </is>
      </c>
      <c r="N906" t="inlineStr">
        <is>
          <t xml:space="preserve">III (White)</t>
        </is>
      </c>
      <c r="O906">
        <v>70.1</v>
      </c>
      <c r="P906">
        <v>129</v>
      </c>
      <c r="Q906">
        <v>6149</v>
      </c>
      <c r="R906" t="inlineStr">
        <is>
          <t xml:space="preserve">Pinehurst</t>
        </is>
      </c>
      <c r="S906" t="inlineStr">
        <is>
          <t xml:space="preserve">Doubles</t>
        </is>
      </c>
      <c r="T906" t="inlineStr">
        <is>
          <t xml:space="preserve">Under 6'</t>
        </is>
      </c>
      <c r="U906" t="inlineStr">
        <is>
          <t xml:space="preserve">Mangold</t>
        </is>
      </c>
      <c r="V906" t="inlineStr">
        <is>
          <t xml:space="preserve">Lynch</t>
        </is>
      </c>
      <c r="X906">
        <v>8</v>
      </c>
      <c r="Y906" t="inlineStr">
        <is>
          <t xml:space="preserve">Fogan</t>
        </is>
      </c>
      <c r="Z906">
        <v>17</v>
      </c>
      <c r="AA906">
        <v>1</v>
      </c>
      <c r="AB906" t="inlineStr">
        <is>
          <t xml:space="preserve">L</t>
        </is>
      </c>
      <c r="AC906" t="inlineStr">
        <is>
          <t xml:space="preserve">2 Up</t>
        </is>
      </c>
      <c r="AE906" t="str">
        <f>$V906&amp;$Y906</f>
        <v>LynchFogan</v>
      </c>
      <c r="AF906">
        <v>0</v>
      </c>
      <c r="AG906">
        <v>0</v>
      </c>
      <c r="AH906">
        <v>1</v>
      </c>
      <c r="AI906">
        <v>0</v>
      </c>
      <c r="AK906" t="inlineStr">
        <is>
          <t xml:space="preserve">Flanders</t>
        </is>
      </c>
      <c r="AM906" t="inlineStr">
        <is>
          <t xml:space="preserve">Norat</t>
        </is>
      </c>
    </row>
    <row r="907" spans="1:40" ht="15" customHeight="1" x14ac:dyDescent="0.2">
      <c r="B907">
        <v>17</v>
      </c>
      <c r="D907">
        <v>13</v>
      </c>
      <c r="E907" t="inlineStr">
        <is>
          <t xml:space="preserve">FBC13-D17</t>
        </is>
      </c>
      <c r="F907" t="inlineStr">
        <is>
          <t xml:space="preserve">Friday</t>
        </is>
      </c>
      <c r="G907" s="15">
        <v>46297</v>
      </c>
      <c r="H907" t="inlineStr">
        <is>
          <t xml:space="preserve">PM</t>
        </is>
      </c>
      <c r="I907" t="inlineStr">
        <is>
          <t xml:space="preserve">Frisco, TX</t>
        </is>
      </c>
      <c r="J907" t="inlineStr">
        <is>
          <t xml:space="preserve">South</t>
        </is>
      </c>
      <c r="K907">
        <v>9</v>
      </c>
      <c r="L907" t="inlineStr">
        <is>
          <t xml:space="preserve">Front</t>
        </is>
      </c>
      <c r="M907" t="inlineStr">
        <is>
          <t xml:space="preserve">Fields Ranch West</t>
        </is>
      </c>
      <c r="N907" t="inlineStr">
        <is>
          <t xml:space="preserve">III (White)</t>
        </is>
      </c>
      <c r="O907">
        <v>70.1</v>
      </c>
      <c r="P907">
        <v>129</v>
      </c>
      <c r="Q907">
        <v>6149</v>
      </c>
      <c r="R907" t="inlineStr">
        <is>
          <t xml:space="preserve">Pinehurst</t>
        </is>
      </c>
      <c r="S907" t="inlineStr">
        <is>
          <t xml:space="preserve">Doubles</t>
        </is>
      </c>
      <c r="T907" t="inlineStr">
        <is>
          <t xml:space="preserve">Under 6'</t>
        </is>
      </c>
      <c r="U907" t="inlineStr">
        <is>
          <t xml:space="preserve">Forster</t>
        </is>
      </c>
      <c r="V907" t="inlineStr">
        <is>
          <t xml:space="preserve">Flanders</t>
        </is>
      </c>
      <c r="X907">
        <v>10</v>
      </c>
      <c r="Y907" t="inlineStr">
        <is>
          <t xml:space="preserve">Norat</t>
        </is>
      </c>
      <c r="Z907">
        <v>17</v>
      </c>
      <c r="AA907">
        <v>1</v>
      </c>
      <c r="AB907" t="inlineStr">
        <is>
          <t xml:space="preserve">W</t>
        </is>
      </c>
      <c r="AC907" t="inlineStr">
        <is>
          <t xml:space="preserve">2 Up</t>
        </is>
      </c>
      <c r="AE907" t="str">
        <f>$V907&amp;$Y907</f>
        <v>FlandersNorat</v>
      </c>
      <c r="AF907">
        <v>1</v>
      </c>
      <c r="AG907">
        <v>1</v>
      </c>
      <c r="AH907">
        <v>0</v>
      </c>
      <c r="AI907">
        <v>0</v>
      </c>
      <c r="AK907" t="inlineStr">
        <is>
          <t xml:space="preserve">Lynch</t>
        </is>
      </c>
      <c r="AM907" t="inlineStr">
        <is>
          <t xml:space="preserve">Fogan</t>
        </is>
      </c>
    </row>
    <row r="908" spans="1:40" ht="15" customHeight="1" x14ac:dyDescent="0.2">
      <c r="B908">
        <v>18</v>
      </c>
      <c r="D908">
        <v>13</v>
      </c>
      <c r="E908" t="inlineStr">
        <is>
          <t xml:space="preserve">FBC13-D18</t>
        </is>
      </c>
      <c r="F908" t="inlineStr">
        <is>
          <t xml:space="preserve">Friday</t>
        </is>
      </c>
      <c r="G908" s="15">
        <v>46297</v>
      </c>
      <c r="H908" t="inlineStr">
        <is>
          <t xml:space="preserve">PM</t>
        </is>
      </c>
      <c r="I908" t="inlineStr">
        <is>
          <t xml:space="preserve">Frisco, TX</t>
        </is>
      </c>
      <c r="J908" t="inlineStr">
        <is>
          <t xml:space="preserve">South</t>
        </is>
      </c>
      <c r="K908">
        <v>9</v>
      </c>
      <c r="L908" t="inlineStr">
        <is>
          <t xml:space="preserve">Back</t>
        </is>
      </c>
      <c r="M908" t="inlineStr">
        <is>
          <t xml:space="preserve">Fields Ranch West</t>
        </is>
      </c>
      <c r="N908" t="inlineStr">
        <is>
          <t xml:space="preserve">III (White)</t>
        </is>
      </c>
      <c r="O908">
        <v>70.1</v>
      </c>
      <c r="P908">
        <v>129</v>
      </c>
      <c r="Q908">
        <v>6149</v>
      </c>
      <c r="R908" t="inlineStr">
        <is>
          <t xml:space="preserve">Scramble</t>
        </is>
      </c>
      <c r="S908" t="inlineStr">
        <is>
          <t xml:space="preserve">Doubles</t>
        </is>
      </c>
      <c r="T908" t="inlineStr">
        <is>
          <t xml:space="preserve">Under 6'</t>
        </is>
      </c>
      <c r="U908" t="inlineStr">
        <is>
          <t xml:space="preserve">Mangold</t>
        </is>
      </c>
      <c r="V908" t="inlineStr">
        <is>
          <t xml:space="preserve">Lynch</t>
        </is>
      </c>
      <c r="X908">
        <v>8</v>
      </c>
      <c r="Y908" t="inlineStr">
        <is>
          <t xml:space="preserve">Fogan</t>
        </is>
      </c>
      <c r="Z908">
        <v>17</v>
      </c>
      <c r="AA908">
        <v>1</v>
      </c>
      <c r="AB908" t="inlineStr">
        <is>
          <t xml:space="preserve">W</t>
        </is>
      </c>
      <c r="AC908" t="inlineStr">
        <is>
          <t xml:space="preserve">2 Up</t>
        </is>
      </c>
      <c r="AE908" t="str">
        <f>$V908&amp;$Y908</f>
        <v>LynchFogan</v>
      </c>
      <c r="AF908">
        <v>1</v>
      </c>
      <c r="AG908">
        <v>1</v>
      </c>
      <c r="AH908">
        <v>0</v>
      </c>
      <c r="AI908">
        <v>0</v>
      </c>
      <c r="AK908" t="inlineStr">
        <is>
          <t xml:space="preserve">Flanders</t>
        </is>
      </c>
      <c r="AM908" t="inlineStr">
        <is>
          <t xml:space="preserve">Norat</t>
        </is>
      </c>
    </row>
    <row r="909" spans="1:40" ht="15" customHeight="1" x14ac:dyDescent="0.2">
      <c r="B909">
        <v>18</v>
      </c>
      <c r="D909">
        <v>13</v>
      </c>
      <c r="E909" t="inlineStr">
        <is>
          <t xml:space="preserve">FBC13-D18</t>
        </is>
      </c>
      <c r="F909" t="inlineStr">
        <is>
          <t xml:space="preserve">Friday</t>
        </is>
      </c>
      <c r="G909" s="15">
        <v>46297</v>
      </c>
      <c r="H909" t="inlineStr">
        <is>
          <t xml:space="preserve">PM</t>
        </is>
      </c>
      <c r="I909" t="inlineStr">
        <is>
          <t xml:space="preserve">Frisco, TX</t>
        </is>
      </c>
      <c r="J909" t="inlineStr">
        <is>
          <t xml:space="preserve">South</t>
        </is>
      </c>
      <c r="K909">
        <v>9</v>
      </c>
      <c r="L909" t="inlineStr">
        <is>
          <t xml:space="preserve">Back</t>
        </is>
      </c>
      <c r="M909" t="inlineStr">
        <is>
          <t xml:space="preserve">Fields Ranch West</t>
        </is>
      </c>
      <c r="N909" t="inlineStr">
        <is>
          <t xml:space="preserve">III (White)</t>
        </is>
      </c>
      <c r="O909">
        <v>70.1</v>
      </c>
      <c r="P909">
        <v>129</v>
      </c>
      <c r="Q909">
        <v>6149</v>
      </c>
      <c r="R909" t="inlineStr">
        <is>
          <t xml:space="preserve">Scramble</t>
        </is>
      </c>
      <c r="S909" t="inlineStr">
        <is>
          <t xml:space="preserve">Doubles</t>
        </is>
      </c>
      <c r="T909" t="inlineStr">
        <is>
          <t xml:space="preserve">Under 6'</t>
        </is>
      </c>
      <c r="U909" t="inlineStr">
        <is>
          <t xml:space="preserve">Forster</t>
        </is>
      </c>
      <c r="V909" t="inlineStr">
        <is>
          <t xml:space="preserve">Flanders</t>
        </is>
      </c>
      <c r="X909">
        <v>10</v>
      </c>
      <c r="Y909" t="inlineStr">
        <is>
          <t xml:space="preserve">Norat</t>
        </is>
      </c>
      <c r="Z909">
        <v>17</v>
      </c>
      <c r="AA909">
        <v>1</v>
      </c>
      <c r="AB909" t="inlineStr">
        <is>
          <t xml:space="preserve">L</t>
        </is>
      </c>
      <c r="AC909" t="inlineStr">
        <is>
          <t xml:space="preserve">2 Up</t>
        </is>
      </c>
      <c r="AE909" t="str">
        <f>$V909&amp;$Y909</f>
        <v>FlandersNorat</v>
      </c>
      <c r="AF909">
        <v>0</v>
      </c>
      <c r="AG909">
        <v>0</v>
      </c>
      <c r="AH909">
        <v>1</v>
      </c>
      <c r="AI909">
        <v>0</v>
      </c>
      <c r="AK909" t="inlineStr">
        <is>
          <t xml:space="preserve">Lynch</t>
        </is>
      </c>
      <c r="AM909" t="inlineStr">
        <is>
          <t xml:space="preserve">Fogan</t>
        </is>
      </c>
    </row>
    <row r="910" spans="1:40" ht="15" customHeight="1" x14ac:dyDescent="0.2">
      <c r="B910">
        <v>19</v>
      </c>
      <c r="D910">
        <v>13</v>
      </c>
      <c r="E910" t="inlineStr">
        <is>
          <t xml:space="preserve">FBC13-D19</t>
        </is>
      </c>
      <c r="F910" t="inlineStr">
        <is>
          <t xml:space="preserve">Friday</t>
        </is>
      </c>
      <c r="G910" s="15">
        <v>46297</v>
      </c>
      <c r="H910" t="inlineStr">
        <is>
          <t xml:space="preserve">PM</t>
        </is>
      </c>
      <c r="I910" t="inlineStr">
        <is>
          <t xml:space="preserve">Frisco, TX</t>
        </is>
      </c>
      <c r="J910" t="inlineStr">
        <is>
          <t xml:space="preserve">South</t>
        </is>
      </c>
      <c r="K910">
        <v>9</v>
      </c>
      <c r="L910" t="inlineStr">
        <is>
          <t xml:space="preserve">Front</t>
        </is>
      </c>
      <c r="M910" t="inlineStr">
        <is>
          <t xml:space="preserve">Fields Ranch West</t>
        </is>
      </c>
      <c r="N910" t="inlineStr">
        <is>
          <t xml:space="preserve">III (White)</t>
        </is>
      </c>
      <c r="O910">
        <v>70.1</v>
      </c>
      <c r="P910">
        <v>129</v>
      </c>
      <c r="Q910">
        <v>6149</v>
      </c>
      <c r="R910" t="inlineStr">
        <is>
          <t xml:space="preserve">Pinehurst</t>
        </is>
      </c>
      <c r="S910" t="inlineStr">
        <is>
          <t xml:space="preserve">Doubles</t>
        </is>
      </c>
      <c r="T910" t="inlineStr">
        <is>
          <t xml:space="preserve">Under 6'</t>
        </is>
      </c>
      <c r="U910" t="inlineStr">
        <is>
          <t xml:space="preserve">Mangold</t>
        </is>
      </c>
      <c r="V910" t="inlineStr">
        <is>
          <t xml:space="preserve">Mangold</t>
        </is>
      </c>
      <c r="X910">
        <v>15</v>
      </c>
      <c r="Y910" t="inlineStr">
        <is>
          <t xml:space="preserve">Perkins</t>
        </is>
      </c>
      <c r="Z910">
        <v>7</v>
      </c>
      <c r="AA910">
        <v>1</v>
      </c>
      <c r="AB910" t="inlineStr">
        <is>
          <t xml:space="preserve">T</t>
        </is>
      </c>
      <c r="AC910" t="inlineStr">
        <is>
          <t xml:space="preserve">A/S</t>
        </is>
      </c>
      <c r="AE910" t="str">
        <f>$V910&amp;$Y910</f>
        <v>MangoldPerkins</v>
      </c>
      <c r="AF910">
        <v>0.5</v>
      </c>
      <c r="AG910">
        <v>0</v>
      </c>
      <c r="AH910">
        <v>0</v>
      </c>
      <c r="AI910">
        <v>1</v>
      </c>
      <c r="AK910" t="inlineStr">
        <is>
          <t xml:space="preserve">Forster</t>
        </is>
      </c>
      <c r="AM910" t="inlineStr">
        <is>
          <t xml:space="preserve">Connolly</t>
        </is>
      </c>
    </row>
    <row r="911" spans="1:40" ht="15" customHeight="1" x14ac:dyDescent="0.2">
      <c r="B911">
        <v>19</v>
      </c>
      <c r="D911">
        <v>13</v>
      </c>
      <c r="E911" t="inlineStr">
        <is>
          <t xml:space="preserve">FBC13-D19</t>
        </is>
      </c>
      <c r="F911" t="inlineStr">
        <is>
          <t xml:space="preserve">Friday</t>
        </is>
      </c>
      <c r="G911" s="15">
        <v>46297</v>
      </c>
      <c r="H911" t="inlineStr">
        <is>
          <t xml:space="preserve">PM</t>
        </is>
      </c>
      <c r="I911" t="inlineStr">
        <is>
          <t xml:space="preserve">Frisco, TX</t>
        </is>
      </c>
      <c r="J911" t="inlineStr">
        <is>
          <t xml:space="preserve">South</t>
        </is>
      </c>
      <c r="K911">
        <v>9</v>
      </c>
      <c r="L911" t="inlineStr">
        <is>
          <t xml:space="preserve">Front</t>
        </is>
      </c>
      <c r="M911" t="inlineStr">
        <is>
          <t xml:space="preserve">Fields Ranch West</t>
        </is>
      </c>
      <c r="N911" t="inlineStr">
        <is>
          <t xml:space="preserve">III (White)</t>
        </is>
      </c>
      <c r="O911">
        <v>70.1</v>
      </c>
      <c r="P911">
        <v>129</v>
      </c>
      <c r="Q911">
        <v>6149</v>
      </c>
      <c r="R911" t="inlineStr">
        <is>
          <t xml:space="preserve">Pinehurst</t>
        </is>
      </c>
      <c r="S911" t="inlineStr">
        <is>
          <t xml:space="preserve">Doubles</t>
        </is>
      </c>
      <c r="T911" t="inlineStr">
        <is>
          <t xml:space="preserve">Under 6'</t>
        </is>
      </c>
      <c r="U911" t="inlineStr">
        <is>
          <t xml:space="preserve">Forster</t>
        </is>
      </c>
      <c r="V911" t="inlineStr">
        <is>
          <t xml:space="preserve">Forster</t>
        </is>
      </c>
      <c r="X911">
        <v>12</v>
      </c>
      <c r="Y911" t="inlineStr">
        <is>
          <t xml:space="preserve">Connolly</t>
        </is>
      </c>
      <c r="Z911">
        <v>9</v>
      </c>
      <c r="AA911">
        <v>1</v>
      </c>
      <c r="AB911" t="inlineStr">
        <is>
          <t xml:space="preserve">T</t>
        </is>
      </c>
      <c r="AC911" t="inlineStr">
        <is>
          <t xml:space="preserve">A/S</t>
        </is>
      </c>
      <c r="AE911" t="str">
        <f>$V911&amp;$Y911</f>
        <v>ForsterConnolly</v>
      </c>
      <c r="AF911">
        <v>0.5</v>
      </c>
      <c r="AG911">
        <v>0</v>
      </c>
      <c r="AH911">
        <v>0</v>
      </c>
      <c r="AI911">
        <v>1</v>
      </c>
      <c r="AK911" t="inlineStr">
        <is>
          <t xml:space="preserve">Mangold</t>
        </is>
      </c>
      <c r="AM911" t="inlineStr">
        <is>
          <t xml:space="preserve">Perkins</t>
        </is>
      </c>
    </row>
    <row r="912" spans="1:40" ht="15" customHeight="1" x14ac:dyDescent="0.2">
      <c r="B912">
        <v>20</v>
      </c>
      <c r="D912">
        <v>13</v>
      </c>
      <c r="E912" t="inlineStr">
        <is>
          <t xml:space="preserve">FBC13-D20</t>
        </is>
      </c>
      <c r="F912" t="inlineStr">
        <is>
          <t xml:space="preserve">Friday</t>
        </is>
      </c>
      <c r="G912" s="15">
        <v>46297</v>
      </c>
      <c r="H912" t="inlineStr">
        <is>
          <t xml:space="preserve">PM</t>
        </is>
      </c>
      <c r="I912" t="inlineStr">
        <is>
          <t xml:space="preserve">Frisco, TX</t>
        </is>
      </c>
      <c r="J912" t="inlineStr">
        <is>
          <t xml:space="preserve">South</t>
        </is>
      </c>
      <c r="K912">
        <v>9</v>
      </c>
      <c r="L912" t="inlineStr">
        <is>
          <t xml:space="preserve">Back</t>
        </is>
      </c>
      <c r="M912" t="inlineStr">
        <is>
          <t xml:space="preserve">Fields Ranch West</t>
        </is>
      </c>
      <c r="N912" t="inlineStr">
        <is>
          <t xml:space="preserve">III (White)</t>
        </is>
      </c>
      <c r="O912">
        <v>70.1</v>
      </c>
      <c r="P912">
        <v>129</v>
      </c>
      <c r="Q912">
        <v>6149</v>
      </c>
      <c r="R912" t="inlineStr">
        <is>
          <t xml:space="preserve">Scramble</t>
        </is>
      </c>
      <c r="S912" t="inlineStr">
        <is>
          <t xml:space="preserve">Doubles</t>
        </is>
      </c>
      <c r="T912" t="inlineStr">
        <is>
          <t xml:space="preserve">Under 6'</t>
        </is>
      </c>
      <c r="U912" t="inlineStr">
        <is>
          <t xml:space="preserve">Mangold</t>
        </is>
      </c>
      <c r="V912" t="inlineStr">
        <is>
          <t xml:space="preserve">Mangold</t>
        </is>
      </c>
      <c r="X912">
        <v>15</v>
      </c>
      <c r="Y912" t="inlineStr">
        <is>
          <t xml:space="preserve">Perkins</t>
        </is>
      </c>
      <c r="Z912">
        <v>7</v>
      </c>
      <c r="AA912">
        <v>1</v>
      </c>
      <c r="AB912" t="inlineStr">
        <is>
          <t xml:space="preserve">W</t>
        </is>
      </c>
      <c r="AC912" t="inlineStr">
        <is>
          <t xml:space="preserve">2&amp;1</t>
        </is>
      </c>
      <c r="AE912" t="str">
        <f>$V912&amp;$Y912</f>
        <v>MangoldPerkins</v>
      </c>
      <c r="AF912">
        <v>1</v>
      </c>
      <c r="AG912">
        <v>1</v>
      </c>
      <c r="AH912">
        <v>0</v>
      </c>
      <c r="AI912">
        <v>0</v>
      </c>
      <c r="AK912" t="inlineStr">
        <is>
          <t xml:space="preserve">Forster</t>
        </is>
      </c>
      <c r="AM912" t="inlineStr">
        <is>
          <t xml:space="preserve">Connolly</t>
        </is>
      </c>
    </row>
    <row r="913" spans="1:40" ht="15" customHeight="1" x14ac:dyDescent="0.2">
      <c r="B913">
        <v>20</v>
      </c>
      <c r="D913">
        <v>13</v>
      </c>
      <c r="E913" t="inlineStr">
        <is>
          <t xml:space="preserve">FBC13-D20</t>
        </is>
      </c>
      <c r="F913" t="inlineStr">
        <is>
          <t xml:space="preserve">Friday</t>
        </is>
      </c>
      <c r="G913" s="15">
        <v>46297</v>
      </c>
      <c r="H913" t="inlineStr">
        <is>
          <t xml:space="preserve">PM</t>
        </is>
      </c>
      <c r="I913" t="inlineStr">
        <is>
          <t xml:space="preserve">Frisco, TX</t>
        </is>
      </c>
      <c r="J913" t="inlineStr">
        <is>
          <t xml:space="preserve">South</t>
        </is>
      </c>
      <c r="K913">
        <v>9</v>
      </c>
      <c r="L913" t="inlineStr">
        <is>
          <t xml:space="preserve">Back</t>
        </is>
      </c>
      <c r="M913" t="inlineStr">
        <is>
          <t xml:space="preserve">Fields Ranch West</t>
        </is>
      </c>
      <c r="N913" t="inlineStr">
        <is>
          <t xml:space="preserve">III (White)</t>
        </is>
      </c>
      <c r="O913">
        <v>70.1</v>
      </c>
      <c r="P913">
        <v>129</v>
      </c>
      <c r="Q913">
        <v>6149</v>
      </c>
      <c r="R913" t="inlineStr">
        <is>
          <t xml:space="preserve">Scramble</t>
        </is>
      </c>
      <c r="S913" t="inlineStr">
        <is>
          <t xml:space="preserve">Doubles</t>
        </is>
      </c>
      <c r="T913" t="inlineStr">
        <is>
          <t xml:space="preserve">Under 6'</t>
        </is>
      </c>
      <c r="U913" t="inlineStr">
        <is>
          <t xml:space="preserve">Forster</t>
        </is>
      </c>
      <c r="V913" t="inlineStr">
        <is>
          <t xml:space="preserve">Forster</t>
        </is>
      </c>
      <c r="X913">
        <v>12</v>
      </c>
      <c r="Y913" t="inlineStr">
        <is>
          <t xml:space="preserve">Connolly</t>
        </is>
      </c>
      <c r="Z913">
        <v>9</v>
      </c>
      <c r="AA913">
        <v>1</v>
      </c>
      <c r="AB913" t="inlineStr">
        <is>
          <t xml:space="preserve">L</t>
        </is>
      </c>
      <c r="AC913" t="inlineStr">
        <is>
          <t xml:space="preserve">2&amp;1</t>
        </is>
      </c>
      <c r="AE913" t="str">
        <f>$V913&amp;$Y913</f>
        <v>ForsterConnolly</v>
      </c>
      <c r="AF913">
        <v>0</v>
      </c>
      <c r="AG913">
        <v>0</v>
      </c>
      <c r="AH913">
        <v>1</v>
      </c>
      <c r="AI913">
        <v>0</v>
      </c>
      <c r="AK913" t="inlineStr">
        <is>
          <t xml:space="preserve">Mangold</t>
        </is>
      </c>
      <c r="AM913" t="inlineStr">
        <is>
          <t xml:space="preserve">Perkins</t>
        </is>
      </c>
    </row>
    <row r="914" spans="1:40" ht="15" customHeight="1" x14ac:dyDescent="0.2">
      <c r="B914">
        <v>21</v>
      </c>
      <c r="D914">
        <v>13</v>
      </c>
      <c r="E914" t="inlineStr">
        <is>
          <t xml:space="preserve">FBC13-D21</t>
        </is>
      </c>
      <c r="F914" t="inlineStr">
        <is>
          <t xml:space="preserve">Friday</t>
        </is>
      </c>
      <c r="G914" s="15">
        <v>46297</v>
      </c>
      <c r="H914" t="inlineStr">
        <is>
          <t xml:space="preserve">PM</t>
        </is>
      </c>
      <c r="I914" t="inlineStr">
        <is>
          <t xml:space="preserve">Frisco, TX</t>
        </is>
      </c>
      <c r="J914" t="inlineStr">
        <is>
          <t xml:space="preserve">South</t>
        </is>
      </c>
      <c r="K914">
        <v>9</v>
      </c>
      <c r="L914" t="inlineStr">
        <is>
          <t xml:space="preserve">Front</t>
        </is>
      </c>
      <c r="M914" t="inlineStr">
        <is>
          <t xml:space="preserve">Fields Ranch West</t>
        </is>
      </c>
      <c r="N914" t="inlineStr">
        <is>
          <t xml:space="preserve">III (White)</t>
        </is>
      </c>
      <c r="O914">
        <v>70.1</v>
      </c>
      <c r="P914">
        <v>129</v>
      </c>
      <c r="Q914">
        <v>6149</v>
      </c>
      <c r="R914" t="inlineStr">
        <is>
          <t xml:space="preserve">Pinehurst</t>
        </is>
      </c>
      <c r="S914" t="inlineStr">
        <is>
          <t xml:space="preserve">Doubles</t>
        </is>
      </c>
      <c r="T914" t="inlineStr">
        <is>
          <t xml:space="preserve">Under 6'</t>
        </is>
      </c>
      <c r="U914" t="inlineStr">
        <is>
          <t xml:space="preserve">Mangold</t>
        </is>
      </c>
      <c r="V914" t="inlineStr">
        <is>
          <t xml:space="preserve">Welker</t>
        </is>
      </c>
      <c r="X914">
        <v>14</v>
      </c>
      <c r="Y914" t="inlineStr">
        <is>
          <t xml:space="preserve">Gray</t>
        </is>
      </c>
      <c r="Z914">
        <v>8</v>
      </c>
      <c r="AA914">
        <v>1</v>
      </c>
      <c r="AB914" t="inlineStr">
        <is>
          <t xml:space="preserve">L</t>
        </is>
      </c>
      <c r="AC914" t="inlineStr">
        <is>
          <t xml:space="preserve">2&amp;1</t>
        </is>
      </c>
      <c r="AE914" t="str">
        <f>$V914&amp;$Y914</f>
        <v>WelkerGray</v>
      </c>
      <c r="AF914">
        <v>0</v>
      </c>
      <c r="AG914">
        <v>0</v>
      </c>
      <c r="AH914">
        <v>1</v>
      </c>
      <c r="AI914">
        <v>0</v>
      </c>
      <c r="AK914" t="inlineStr">
        <is>
          <t xml:space="preserve">Delaney</t>
        </is>
      </c>
      <c r="AM914" t="inlineStr">
        <is>
          <t xml:space="preserve">Delneky</t>
        </is>
      </c>
    </row>
    <row r="915" spans="1:40" ht="15" customHeight="1" x14ac:dyDescent="0.2">
      <c r="B915">
        <v>21</v>
      </c>
      <c r="D915">
        <v>13</v>
      </c>
      <c r="E915" t="inlineStr">
        <is>
          <t xml:space="preserve">FBC13-D21</t>
        </is>
      </c>
      <c r="F915" t="inlineStr">
        <is>
          <t xml:space="preserve">Friday</t>
        </is>
      </c>
      <c r="G915" s="15">
        <v>46297</v>
      </c>
      <c r="H915" t="inlineStr">
        <is>
          <t xml:space="preserve">PM</t>
        </is>
      </c>
      <c r="I915" t="inlineStr">
        <is>
          <t xml:space="preserve">Frisco, TX</t>
        </is>
      </c>
      <c r="J915" t="inlineStr">
        <is>
          <t xml:space="preserve">South</t>
        </is>
      </c>
      <c r="K915">
        <v>9</v>
      </c>
      <c r="L915" t="inlineStr">
        <is>
          <t xml:space="preserve">Front</t>
        </is>
      </c>
      <c r="M915" t="inlineStr">
        <is>
          <t xml:space="preserve">Fields Ranch West</t>
        </is>
      </c>
      <c r="N915" t="inlineStr">
        <is>
          <t xml:space="preserve">III (White)</t>
        </is>
      </c>
      <c r="O915">
        <v>70.1</v>
      </c>
      <c r="P915">
        <v>129</v>
      </c>
      <c r="Q915">
        <v>6149</v>
      </c>
      <c r="R915" t="inlineStr">
        <is>
          <t xml:space="preserve">Pinehurst</t>
        </is>
      </c>
      <c r="S915" t="inlineStr">
        <is>
          <t xml:space="preserve">Doubles</t>
        </is>
      </c>
      <c r="T915" t="inlineStr">
        <is>
          <t xml:space="preserve">Under 6'</t>
        </is>
      </c>
      <c r="U915" t="inlineStr">
        <is>
          <t xml:space="preserve">Forster</t>
        </is>
      </c>
      <c r="V915" t="inlineStr">
        <is>
          <t xml:space="preserve">Delaney</t>
        </is>
      </c>
      <c r="X915">
        <v>14</v>
      </c>
      <c r="Y915" t="inlineStr">
        <is>
          <t xml:space="preserve">Delneky</t>
        </is>
      </c>
      <c r="Z915">
        <v>18</v>
      </c>
      <c r="AA915">
        <v>1</v>
      </c>
      <c r="AB915" t="inlineStr">
        <is>
          <t xml:space="preserve">W</t>
        </is>
      </c>
      <c r="AC915" t="inlineStr">
        <is>
          <t xml:space="preserve">2&amp;1</t>
        </is>
      </c>
      <c r="AE915" t="str">
        <f>$V915&amp;$Y915</f>
        <v>DelaneyDelneky</v>
      </c>
      <c r="AF915">
        <v>1</v>
      </c>
      <c r="AG915">
        <v>1</v>
      </c>
      <c r="AH915">
        <v>0</v>
      </c>
      <c r="AI915">
        <v>0</v>
      </c>
      <c r="AK915" t="inlineStr">
        <is>
          <t xml:space="preserve">Welker</t>
        </is>
      </c>
      <c r="AM915" t="inlineStr">
        <is>
          <t xml:space="preserve">Gray</t>
        </is>
      </c>
    </row>
    <row r="916" spans="1:40" ht="15" customHeight="1" x14ac:dyDescent="0.2">
      <c r="B916">
        <v>22</v>
      </c>
      <c r="D916">
        <v>13</v>
      </c>
      <c r="E916" t="inlineStr">
        <is>
          <t xml:space="preserve">FBC13-D22</t>
        </is>
      </c>
      <c r="F916" t="inlineStr">
        <is>
          <t xml:space="preserve">Friday</t>
        </is>
      </c>
      <c r="G916" s="15">
        <v>46297</v>
      </c>
      <c r="H916" t="inlineStr">
        <is>
          <t xml:space="preserve">PM</t>
        </is>
      </c>
      <c r="I916" t="inlineStr">
        <is>
          <t xml:space="preserve">Frisco, TX</t>
        </is>
      </c>
      <c r="J916" t="inlineStr">
        <is>
          <t xml:space="preserve">South</t>
        </is>
      </c>
      <c r="K916">
        <v>9</v>
      </c>
      <c r="L916" t="inlineStr">
        <is>
          <t xml:space="preserve">Back</t>
        </is>
      </c>
      <c r="M916" t="inlineStr">
        <is>
          <t xml:space="preserve">Fields Ranch West</t>
        </is>
      </c>
      <c r="N916" t="inlineStr">
        <is>
          <t xml:space="preserve">III (White)</t>
        </is>
      </c>
      <c r="O916">
        <v>70.1</v>
      </c>
      <c r="P916">
        <v>129</v>
      </c>
      <c r="Q916">
        <v>6149</v>
      </c>
      <c r="R916" t="inlineStr">
        <is>
          <t xml:space="preserve">Scramble</t>
        </is>
      </c>
      <c r="S916" t="inlineStr">
        <is>
          <t xml:space="preserve">Doubles</t>
        </is>
      </c>
      <c r="T916" t="inlineStr">
        <is>
          <t xml:space="preserve">Under 6'</t>
        </is>
      </c>
      <c r="U916" t="inlineStr">
        <is>
          <t xml:space="preserve">Mangold</t>
        </is>
      </c>
      <c r="V916" t="inlineStr">
        <is>
          <t xml:space="preserve">Welker</t>
        </is>
      </c>
      <c r="X916">
        <v>14</v>
      </c>
      <c r="Y916" t="inlineStr">
        <is>
          <t xml:space="preserve">Gray</t>
        </is>
      </c>
      <c r="Z916">
        <v>8</v>
      </c>
      <c r="AA916">
        <v>1</v>
      </c>
      <c r="AB916" t="inlineStr">
        <is>
          <t xml:space="preserve">T</t>
        </is>
      </c>
      <c r="AC916" t="inlineStr">
        <is>
          <t xml:space="preserve">A/S</t>
        </is>
      </c>
      <c r="AE916" t="str">
        <f>$V916&amp;$Y916</f>
        <v>WelkerGray</v>
      </c>
      <c r="AF916">
        <v>0.5</v>
      </c>
      <c r="AG916">
        <v>0</v>
      </c>
      <c r="AH916">
        <v>0</v>
      </c>
      <c r="AI916">
        <v>1</v>
      </c>
      <c r="AK916" t="inlineStr">
        <is>
          <t xml:space="preserve">Delaney</t>
        </is>
      </c>
      <c r="AM916" t="inlineStr">
        <is>
          <t xml:space="preserve">Delneky</t>
        </is>
      </c>
    </row>
    <row r="917" spans="1:40" ht="15" customHeight="1" x14ac:dyDescent="0.2">
      <c r="B917">
        <v>22</v>
      </c>
      <c r="D917">
        <v>13</v>
      </c>
      <c r="E917" t="inlineStr">
        <is>
          <t xml:space="preserve">FBC13-D22</t>
        </is>
      </c>
      <c r="F917" t="inlineStr">
        <is>
          <t xml:space="preserve">Friday</t>
        </is>
      </c>
      <c r="G917" s="15">
        <v>46297</v>
      </c>
      <c r="H917" t="inlineStr">
        <is>
          <t xml:space="preserve">PM</t>
        </is>
      </c>
      <c r="I917" t="inlineStr">
        <is>
          <t xml:space="preserve">Frisco, TX</t>
        </is>
      </c>
      <c r="J917" t="inlineStr">
        <is>
          <t xml:space="preserve">South</t>
        </is>
      </c>
      <c r="K917">
        <v>9</v>
      </c>
      <c r="L917" t="inlineStr">
        <is>
          <t xml:space="preserve">Back</t>
        </is>
      </c>
      <c r="M917" t="inlineStr">
        <is>
          <t xml:space="preserve">Fields Ranch West</t>
        </is>
      </c>
      <c r="N917" t="inlineStr">
        <is>
          <t xml:space="preserve">III (White)</t>
        </is>
      </c>
      <c r="O917">
        <v>70.1</v>
      </c>
      <c r="P917">
        <v>129</v>
      </c>
      <c r="Q917">
        <v>6149</v>
      </c>
      <c r="R917" t="inlineStr">
        <is>
          <t xml:space="preserve">Scramble</t>
        </is>
      </c>
      <c r="S917" t="inlineStr">
        <is>
          <t xml:space="preserve">Doubles</t>
        </is>
      </c>
      <c r="T917" t="inlineStr">
        <is>
          <t xml:space="preserve">Under 6'</t>
        </is>
      </c>
      <c r="U917" t="inlineStr">
        <is>
          <t xml:space="preserve">Forster</t>
        </is>
      </c>
      <c r="V917" t="inlineStr">
        <is>
          <t xml:space="preserve">Delaney</t>
        </is>
      </c>
      <c r="X917">
        <v>14</v>
      </c>
      <c r="Y917" t="inlineStr">
        <is>
          <t xml:space="preserve">Delneky</t>
        </is>
      </c>
      <c r="Z917">
        <v>18</v>
      </c>
      <c r="AA917">
        <v>1</v>
      </c>
      <c r="AB917" t="inlineStr">
        <is>
          <t xml:space="preserve">T</t>
        </is>
      </c>
      <c r="AC917" t="inlineStr">
        <is>
          <t xml:space="preserve">A/S</t>
        </is>
      </c>
      <c r="AE917" t="str">
        <f>$V917&amp;$Y917</f>
        <v>DelaneyDelneky</v>
      </c>
      <c r="AF917">
        <v>0.5</v>
      </c>
      <c r="AG917">
        <v>0</v>
      </c>
      <c r="AH917">
        <v>0</v>
      </c>
      <c r="AI917">
        <v>1</v>
      </c>
      <c r="AK917" t="inlineStr">
        <is>
          <t xml:space="preserve">Welker</t>
        </is>
      </c>
      <c r="AM917" t="inlineStr">
        <is>
          <t xml:space="preserve">Gray</t>
        </is>
      </c>
    </row>
    <row r="918" spans="1:40" ht="15" customHeight="1" x14ac:dyDescent="0.2">
      <c r="B918">
        <v>23</v>
      </c>
      <c r="D918">
        <v>13</v>
      </c>
      <c r="E918" t="inlineStr">
        <is>
          <t xml:space="preserve">FBC13-D23</t>
        </is>
      </c>
      <c r="F918" t="inlineStr">
        <is>
          <t xml:space="preserve">Friday</t>
        </is>
      </c>
      <c r="G918" s="15">
        <v>46297</v>
      </c>
      <c r="H918" t="inlineStr">
        <is>
          <t xml:space="preserve">PM</t>
        </is>
      </c>
      <c r="I918" t="inlineStr">
        <is>
          <t xml:space="preserve">Frisco, TX</t>
        </is>
      </c>
      <c r="J918" t="inlineStr">
        <is>
          <t xml:space="preserve">South</t>
        </is>
      </c>
      <c r="K918">
        <v>9</v>
      </c>
      <c r="L918" t="inlineStr">
        <is>
          <t xml:space="preserve">Front</t>
        </is>
      </c>
      <c r="M918" t="inlineStr">
        <is>
          <t xml:space="preserve">Fields Ranch West</t>
        </is>
      </c>
      <c r="N918" t="inlineStr">
        <is>
          <t xml:space="preserve">III (White)</t>
        </is>
      </c>
      <c r="O918">
        <v>70.1</v>
      </c>
      <c r="P918">
        <v>129</v>
      </c>
      <c r="Q918">
        <v>6149</v>
      </c>
      <c r="R918" t="inlineStr">
        <is>
          <t xml:space="preserve">Pinehurst</t>
        </is>
      </c>
      <c r="S918" t="inlineStr">
        <is>
          <t xml:space="preserve">Doubles</t>
        </is>
      </c>
      <c r="T918" t="inlineStr">
        <is>
          <t xml:space="preserve">Under 6'</t>
        </is>
      </c>
      <c r="U918" t="inlineStr">
        <is>
          <t xml:space="preserve">Mangold</t>
        </is>
      </c>
      <c r="V918" t="inlineStr">
        <is>
          <t xml:space="preserve">Jackson</t>
        </is>
      </c>
      <c r="X918">
        <v>8</v>
      </c>
      <c r="Y918" t="inlineStr">
        <is>
          <t xml:space="preserve">Piegari</t>
        </is>
      </c>
      <c r="Z918">
        <v>9</v>
      </c>
      <c r="AA918">
        <v>1</v>
      </c>
      <c r="AB918" t="inlineStr">
        <is>
          <t xml:space="preserve">W</t>
        </is>
      </c>
      <c r="AC918" t="inlineStr">
        <is>
          <t xml:space="preserve">2&amp;1</t>
        </is>
      </c>
      <c r="AE918" t="str">
        <f>$V918&amp;$Y918</f>
        <v>JacksonPiegari</v>
      </c>
      <c r="AF918">
        <v>1</v>
      </c>
      <c r="AG918">
        <v>1</v>
      </c>
      <c r="AH918">
        <v>0</v>
      </c>
      <c r="AI918">
        <v>0</v>
      </c>
      <c r="AK918" t="inlineStr">
        <is>
          <t xml:space="preserve">Grise</t>
        </is>
      </c>
      <c r="AM918" t="inlineStr">
        <is>
          <t xml:space="preserve">R. Connolly</t>
        </is>
      </c>
    </row>
    <row r="919" spans="1:40" ht="15" customHeight="1" x14ac:dyDescent="0.2">
      <c r="B919">
        <v>23</v>
      </c>
      <c r="D919">
        <v>13</v>
      </c>
      <c r="E919" t="inlineStr">
        <is>
          <t xml:space="preserve">FBC13-D23</t>
        </is>
      </c>
      <c r="F919" t="inlineStr">
        <is>
          <t xml:space="preserve">Friday</t>
        </is>
      </c>
      <c r="G919" s="15">
        <v>46297</v>
      </c>
      <c r="H919" t="inlineStr">
        <is>
          <t xml:space="preserve">PM</t>
        </is>
      </c>
      <c r="I919" t="inlineStr">
        <is>
          <t xml:space="preserve">Frisco, TX</t>
        </is>
      </c>
      <c r="J919" t="inlineStr">
        <is>
          <t xml:space="preserve">South</t>
        </is>
      </c>
      <c r="K919">
        <v>9</v>
      </c>
      <c r="L919" t="inlineStr">
        <is>
          <t xml:space="preserve">Front</t>
        </is>
      </c>
      <c r="M919" t="inlineStr">
        <is>
          <t xml:space="preserve">Fields Ranch West</t>
        </is>
      </c>
      <c r="N919" t="inlineStr">
        <is>
          <t xml:space="preserve">III (White)</t>
        </is>
      </c>
      <c r="O919">
        <v>70.1</v>
      </c>
      <c r="P919">
        <v>129</v>
      </c>
      <c r="Q919">
        <v>6149</v>
      </c>
      <c r="R919" t="inlineStr">
        <is>
          <t xml:space="preserve">Pinehurst</t>
        </is>
      </c>
      <c r="S919" t="inlineStr">
        <is>
          <t xml:space="preserve">Doubles</t>
        </is>
      </c>
      <c r="T919" t="inlineStr">
        <is>
          <t xml:space="preserve">Under 6'</t>
        </is>
      </c>
      <c r="U919" t="inlineStr">
        <is>
          <t xml:space="preserve">Forster</t>
        </is>
      </c>
      <c r="V919" t="inlineStr">
        <is>
          <t xml:space="preserve">Grise</t>
        </is>
      </c>
      <c r="X919">
        <v>10</v>
      </c>
      <c r="Y919" t="inlineStr">
        <is>
          <t xml:space="preserve">R. Connolly</t>
        </is>
      </c>
      <c r="Z919">
        <v>10</v>
      </c>
      <c r="AA919">
        <v>1</v>
      </c>
      <c r="AB919" t="inlineStr">
        <is>
          <t xml:space="preserve">L</t>
        </is>
      </c>
      <c r="AC919" t="inlineStr">
        <is>
          <t xml:space="preserve">2&amp;1</t>
        </is>
      </c>
      <c r="AE919" t="str">
        <f>$V919&amp;$Y919</f>
        <v>GriseR. Connolly</v>
      </c>
      <c r="AF919">
        <v>0</v>
      </c>
      <c r="AG919">
        <v>0</v>
      </c>
      <c r="AH919">
        <v>1</v>
      </c>
      <c r="AI919">
        <v>0</v>
      </c>
      <c r="AK919" t="inlineStr">
        <is>
          <t xml:space="preserve">Jackson</t>
        </is>
      </c>
      <c r="AM919" t="inlineStr">
        <is>
          <t xml:space="preserve">Piegari</t>
        </is>
      </c>
    </row>
    <row r="920" spans="1:40" ht="15" customHeight="1" x14ac:dyDescent="0.2">
      <c r="B920">
        <v>24</v>
      </c>
      <c r="D920">
        <v>13</v>
      </c>
      <c r="E920" t="inlineStr">
        <is>
          <t xml:space="preserve">FBC13-D24</t>
        </is>
      </c>
      <c r="F920" t="inlineStr">
        <is>
          <t xml:space="preserve">Friday</t>
        </is>
      </c>
      <c r="G920" s="15">
        <v>46297</v>
      </c>
      <c r="H920" t="inlineStr">
        <is>
          <t xml:space="preserve">PM</t>
        </is>
      </c>
      <c r="I920" t="inlineStr">
        <is>
          <t xml:space="preserve">Frisco, TX</t>
        </is>
      </c>
      <c r="J920" t="inlineStr">
        <is>
          <t xml:space="preserve">South</t>
        </is>
      </c>
      <c r="K920">
        <v>9</v>
      </c>
      <c r="L920" t="inlineStr">
        <is>
          <t xml:space="preserve">Back</t>
        </is>
      </c>
      <c r="M920" t="inlineStr">
        <is>
          <t xml:space="preserve">Fields Ranch West</t>
        </is>
      </c>
      <c r="N920" t="inlineStr">
        <is>
          <t xml:space="preserve">III (White)</t>
        </is>
      </c>
      <c r="O920">
        <v>70.1</v>
      </c>
      <c r="P920">
        <v>129</v>
      </c>
      <c r="Q920">
        <v>6149</v>
      </c>
      <c r="R920" t="inlineStr">
        <is>
          <t xml:space="preserve">Scramble</t>
        </is>
      </c>
      <c r="S920" t="inlineStr">
        <is>
          <t xml:space="preserve">Doubles</t>
        </is>
      </c>
      <c r="T920" t="inlineStr">
        <is>
          <t xml:space="preserve">Under 6'</t>
        </is>
      </c>
      <c r="U920" t="inlineStr">
        <is>
          <t xml:space="preserve">Mangold</t>
        </is>
      </c>
      <c r="V920" t="inlineStr">
        <is>
          <t xml:space="preserve">Jackson</t>
        </is>
      </c>
      <c r="X920">
        <v>8</v>
      </c>
      <c r="Y920" t="inlineStr">
        <is>
          <t xml:space="preserve">Piegari</t>
        </is>
      </c>
      <c r="Z920">
        <v>9</v>
      </c>
      <c r="AA920">
        <v>1</v>
      </c>
      <c r="AB920" t="inlineStr">
        <is>
          <t xml:space="preserve">W</t>
        </is>
      </c>
      <c r="AC920" t="inlineStr">
        <is>
          <t xml:space="preserve">2&amp;1</t>
        </is>
      </c>
      <c r="AE920" t="str">
        <f>$V920&amp;$Y920</f>
        <v>JacksonPiegari</v>
      </c>
      <c r="AF920">
        <v>1</v>
      </c>
      <c r="AG920">
        <v>1</v>
      </c>
      <c r="AH920">
        <v>0</v>
      </c>
      <c r="AI920">
        <v>0</v>
      </c>
      <c r="AK920" t="inlineStr">
        <is>
          <t xml:space="preserve">Grise</t>
        </is>
      </c>
      <c r="AM920" t="inlineStr">
        <is>
          <t xml:space="preserve">R. Connolly</t>
        </is>
      </c>
    </row>
    <row r="921" spans="1:40" ht="15" customHeight="1" x14ac:dyDescent="0.2">
      <c r="B921">
        <v>24</v>
      </c>
      <c r="D921">
        <v>13</v>
      </c>
      <c r="E921" t="inlineStr">
        <is>
          <t xml:space="preserve">FBC13-D24</t>
        </is>
      </c>
      <c r="F921" t="inlineStr">
        <is>
          <t xml:space="preserve">Friday</t>
        </is>
      </c>
      <c r="G921" s="15">
        <v>46297</v>
      </c>
      <c r="H921" t="inlineStr">
        <is>
          <t xml:space="preserve">PM</t>
        </is>
      </c>
      <c r="I921" t="inlineStr">
        <is>
          <t xml:space="preserve">Frisco, TX</t>
        </is>
      </c>
      <c r="J921" t="inlineStr">
        <is>
          <t xml:space="preserve">South</t>
        </is>
      </c>
      <c r="K921">
        <v>9</v>
      </c>
      <c r="L921" t="inlineStr">
        <is>
          <t xml:space="preserve">Back</t>
        </is>
      </c>
      <c r="M921" t="inlineStr">
        <is>
          <t xml:space="preserve">Fields Ranch West</t>
        </is>
      </c>
      <c r="N921" t="inlineStr">
        <is>
          <t xml:space="preserve">III (White)</t>
        </is>
      </c>
      <c r="O921">
        <v>70.1</v>
      </c>
      <c r="P921">
        <v>129</v>
      </c>
      <c r="Q921">
        <v>6149</v>
      </c>
      <c r="R921" t="inlineStr">
        <is>
          <t xml:space="preserve">Scramble</t>
        </is>
      </c>
      <c r="S921" t="inlineStr">
        <is>
          <t xml:space="preserve">Doubles</t>
        </is>
      </c>
      <c r="T921" t="inlineStr">
        <is>
          <t xml:space="preserve">Under 6'</t>
        </is>
      </c>
      <c r="U921" t="inlineStr">
        <is>
          <t xml:space="preserve">Forster</t>
        </is>
      </c>
      <c r="V921" t="inlineStr">
        <is>
          <t xml:space="preserve">Grise</t>
        </is>
      </c>
      <c r="X921">
        <v>10</v>
      </c>
      <c r="Y921" t="inlineStr">
        <is>
          <t xml:space="preserve">R. Connolly</t>
        </is>
      </c>
      <c r="Z921">
        <v>10</v>
      </c>
      <c r="AA921">
        <v>1</v>
      </c>
      <c r="AB921" t="inlineStr">
        <is>
          <t xml:space="preserve">L</t>
        </is>
      </c>
      <c r="AC921" t="inlineStr">
        <is>
          <t xml:space="preserve">2&amp;1</t>
        </is>
      </c>
      <c r="AE921" t="str">
        <f>$V921&amp;$Y921</f>
        <v>GriseR. Connolly</v>
      </c>
      <c r="AF921">
        <v>0</v>
      </c>
      <c r="AG921">
        <v>0</v>
      </c>
      <c r="AH921">
        <v>1</v>
      </c>
      <c r="AI921">
        <v>0</v>
      </c>
      <c r="AK921" t="inlineStr">
        <is>
          <t xml:space="preserve">Jackson</t>
        </is>
      </c>
      <c r="AM921" t="inlineStr">
        <is>
          <t xml:space="preserve">Piegari</t>
        </is>
      </c>
    </row>
    <row r="922" spans="1:40" ht="15" customHeight="1" x14ac:dyDescent="0.2">
      <c r="B922" t="inlineStr">
        <is>
          <t xml:space="preserve">FT1</t>
        </is>
      </c>
      <c r="D922">
        <v>13</v>
      </c>
      <c r="E922" t="inlineStr">
        <is>
          <t xml:space="preserve">FBC13-FT</t>
        </is>
      </c>
      <c r="F922" t="inlineStr">
        <is>
          <t xml:space="preserve">Friday</t>
        </is>
      </c>
      <c r="G922" s="15">
        <v>46297</v>
      </c>
      <c r="H922" t="inlineStr">
        <is>
          <t xml:space="preserve">PM</t>
        </is>
      </c>
      <c r="I922" t="inlineStr">
        <is>
          <t xml:space="preserve">Frisco, TX</t>
        </is>
      </c>
      <c r="J922" t="inlineStr">
        <is>
          <t xml:space="preserve">South</t>
        </is>
      </c>
      <c r="K922">
        <v>10</v>
      </c>
      <c r="L922" t="inlineStr">
        <is>
          <t xml:space="preserve">Full</t>
        </is>
      </c>
      <c r="M922" t="inlineStr">
        <is>
          <t xml:space="preserve">The Swing</t>
        </is>
      </c>
      <c r="P922">
        <v>110</v>
      </c>
      <c r="Q922">
        <v>694</v>
      </c>
      <c r="R922" t="inlineStr">
        <is>
          <t xml:space="preserve">FTAS</t>
        </is>
      </c>
      <c r="S922" t="inlineStr">
        <is>
          <t xml:space="preserve">FTAS</t>
        </is>
      </c>
      <c r="T922" t="inlineStr">
        <is>
          <t xml:space="preserve">Under 6'</t>
        </is>
      </c>
      <c r="U922" t="inlineStr">
        <is>
          <t xml:space="preserve">Mangold</t>
        </is>
      </c>
      <c r="V922" t="inlineStr">
        <is>
          <t xml:space="preserve">Mangold</t>
        </is>
      </c>
      <c r="AA922">
        <v>0.5</v>
      </c>
      <c r="AB922" t="inlineStr">
        <is>
          <t xml:space="preserve">L</t>
        </is>
      </c>
      <c r="AC922" t="inlineStr">
        <is>
          <t xml:space="preserve">2&amp;1</t>
        </is>
      </c>
      <c r="AE922" t="str">
        <f>$V922&amp;$Y922</f>
        <v>Mangold</v>
      </c>
      <c r="AF922">
        <v>0</v>
      </c>
      <c r="AG922">
        <v>0</v>
      </c>
      <c r="AH922">
        <v>1</v>
      </c>
      <c r="AI922">
        <v>0</v>
      </c>
    </row>
    <row r="923" spans="1:40" ht="15" customHeight="1" x14ac:dyDescent="0.2">
      <c r="B923" t="inlineStr">
        <is>
          <t xml:space="preserve">FT1</t>
        </is>
      </c>
      <c r="D923">
        <v>13</v>
      </c>
      <c r="E923" t="inlineStr">
        <is>
          <t xml:space="preserve">FBC13-FT</t>
        </is>
      </c>
      <c r="F923" t="inlineStr">
        <is>
          <t xml:space="preserve">Friday</t>
        </is>
      </c>
      <c r="G923" s="15">
        <v>46297</v>
      </c>
      <c r="H923" t="inlineStr">
        <is>
          <t xml:space="preserve">PM</t>
        </is>
      </c>
      <c r="I923" t="inlineStr">
        <is>
          <t xml:space="preserve">Frisco, TX</t>
        </is>
      </c>
      <c r="J923" t="inlineStr">
        <is>
          <t xml:space="preserve">South</t>
        </is>
      </c>
      <c r="K923">
        <v>10</v>
      </c>
      <c r="L923" t="inlineStr">
        <is>
          <t xml:space="preserve">Full</t>
        </is>
      </c>
      <c r="M923" t="inlineStr">
        <is>
          <t xml:space="preserve">The Swing</t>
        </is>
      </c>
      <c r="P923">
        <v>110</v>
      </c>
      <c r="Q923">
        <v>694</v>
      </c>
      <c r="R923" t="inlineStr">
        <is>
          <t xml:space="preserve">FTAS</t>
        </is>
      </c>
      <c r="S923" t="inlineStr">
        <is>
          <t xml:space="preserve">FTAS</t>
        </is>
      </c>
      <c r="T923" t="inlineStr">
        <is>
          <t xml:space="preserve">Under 6'</t>
        </is>
      </c>
      <c r="U923" t="inlineStr">
        <is>
          <t xml:space="preserve">Mangold</t>
        </is>
      </c>
      <c r="V923" t="inlineStr">
        <is>
          <t xml:space="preserve">DeOteris</t>
        </is>
      </c>
      <c r="AA923">
        <v>0.5</v>
      </c>
      <c r="AB923" t="inlineStr">
        <is>
          <t xml:space="preserve">L</t>
        </is>
      </c>
      <c r="AC923" t="inlineStr">
        <is>
          <t xml:space="preserve">2&amp;1</t>
        </is>
      </c>
      <c r="AE923" t="str">
        <f>$V923&amp;$Y923</f>
        <v>DeOteris</v>
      </c>
      <c r="AF923">
        <v>0</v>
      </c>
      <c r="AG923">
        <v>0</v>
      </c>
      <c r="AH923">
        <v>1</v>
      </c>
      <c r="AI923">
        <v>0</v>
      </c>
    </row>
    <row r="924" spans="1:40" ht="15" customHeight="1" x14ac:dyDescent="0.2">
      <c r="B924" t="inlineStr">
        <is>
          <t xml:space="preserve">FT1</t>
        </is>
      </c>
      <c r="D924">
        <v>13</v>
      </c>
      <c r="E924" t="inlineStr">
        <is>
          <t xml:space="preserve">FBC13-FT</t>
        </is>
      </c>
      <c r="F924" t="inlineStr">
        <is>
          <t xml:space="preserve">Friday</t>
        </is>
      </c>
      <c r="G924" s="15">
        <v>46297</v>
      </c>
      <c r="H924" t="inlineStr">
        <is>
          <t xml:space="preserve">PM</t>
        </is>
      </c>
      <c r="I924" t="inlineStr">
        <is>
          <t xml:space="preserve">Frisco, TX</t>
        </is>
      </c>
      <c r="J924" t="inlineStr">
        <is>
          <t xml:space="preserve">South</t>
        </is>
      </c>
      <c r="K924">
        <v>10</v>
      </c>
      <c r="L924" t="inlineStr">
        <is>
          <t xml:space="preserve">Full</t>
        </is>
      </c>
      <c r="M924" t="inlineStr">
        <is>
          <t xml:space="preserve">The Swing</t>
        </is>
      </c>
      <c r="P924">
        <v>110</v>
      </c>
      <c r="Q924">
        <v>694</v>
      </c>
      <c r="R924" t="inlineStr">
        <is>
          <t xml:space="preserve">FTAS</t>
        </is>
      </c>
      <c r="S924" t="inlineStr">
        <is>
          <t xml:space="preserve">FTAS</t>
        </is>
      </c>
      <c r="T924" t="inlineStr">
        <is>
          <t xml:space="preserve">Under 6'</t>
        </is>
      </c>
      <c r="U924" t="inlineStr">
        <is>
          <t xml:space="preserve">Mangold</t>
        </is>
      </c>
      <c r="V924" t="inlineStr">
        <is>
          <t xml:space="preserve">Ferrin</t>
        </is>
      </c>
      <c r="AA924">
        <v>0.5</v>
      </c>
      <c r="AB924" t="inlineStr">
        <is>
          <t xml:space="preserve">L</t>
        </is>
      </c>
      <c r="AC924" t="inlineStr">
        <is>
          <t xml:space="preserve">2&amp;1</t>
        </is>
      </c>
      <c r="AE924" t="str">
        <f>$V924&amp;$Y924</f>
        <v>Ferrin</v>
      </c>
      <c r="AF924">
        <v>0</v>
      </c>
      <c r="AG924">
        <v>0</v>
      </c>
      <c r="AH924">
        <v>1</v>
      </c>
      <c r="AI924">
        <v>0</v>
      </c>
    </row>
    <row r="925" spans="1:40" ht="15" customHeight="1" x14ac:dyDescent="0.2">
      <c r="B925" t="inlineStr">
        <is>
          <t xml:space="preserve">FT1</t>
        </is>
      </c>
      <c r="D925">
        <v>13</v>
      </c>
      <c r="E925" t="inlineStr">
        <is>
          <t xml:space="preserve">FBC13-FT</t>
        </is>
      </c>
      <c r="F925" t="inlineStr">
        <is>
          <t xml:space="preserve">Friday</t>
        </is>
      </c>
      <c r="G925" s="15">
        <v>46297</v>
      </c>
      <c r="H925" t="inlineStr">
        <is>
          <t xml:space="preserve">PM</t>
        </is>
      </c>
      <c r="I925" t="inlineStr">
        <is>
          <t xml:space="preserve">Frisco, TX</t>
        </is>
      </c>
      <c r="J925" t="inlineStr">
        <is>
          <t xml:space="preserve">South</t>
        </is>
      </c>
      <c r="K925">
        <v>10</v>
      </c>
      <c r="L925" t="inlineStr">
        <is>
          <t xml:space="preserve">Full</t>
        </is>
      </c>
      <c r="M925" t="inlineStr">
        <is>
          <t xml:space="preserve">The Swing</t>
        </is>
      </c>
      <c r="P925">
        <v>110</v>
      </c>
      <c r="Q925">
        <v>694</v>
      </c>
      <c r="R925" t="inlineStr">
        <is>
          <t xml:space="preserve">FTAS</t>
        </is>
      </c>
      <c r="S925" t="inlineStr">
        <is>
          <t xml:space="preserve">FTAS</t>
        </is>
      </c>
      <c r="T925" t="inlineStr">
        <is>
          <t xml:space="preserve">Under 6'</t>
        </is>
      </c>
      <c r="U925" t="inlineStr">
        <is>
          <t xml:space="preserve">Mangold</t>
        </is>
      </c>
      <c r="V925" t="inlineStr">
        <is>
          <t xml:space="preserve">Fogan</t>
        </is>
      </c>
      <c r="AA925">
        <v>0.5</v>
      </c>
      <c r="AB925" t="inlineStr">
        <is>
          <t xml:space="preserve">L</t>
        </is>
      </c>
      <c r="AC925" t="inlineStr">
        <is>
          <t xml:space="preserve">2&amp;1</t>
        </is>
      </c>
      <c r="AE925" t="str">
        <f>$V925&amp;$Y925</f>
        <v>Fogan</v>
      </c>
      <c r="AF925">
        <v>0</v>
      </c>
      <c r="AG925">
        <v>0</v>
      </c>
      <c r="AH925">
        <v>1</v>
      </c>
      <c r="AI925">
        <v>0</v>
      </c>
    </row>
    <row r="926" spans="1:40" ht="15" customHeight="1" x14ac:dyDescent="0.2">
      <c r="B926" t="inlineStr">
        <is>
          <t xml:space="preserve">FT1</t>
        </is>
      </c>
      <c r="D926">
        <v>13</v>
      </c>
      <c r="E926" t="inlineStr">
        <is>
          <t xml:space="preserve">FBC13-FT</t>
        </is>
      </c>
      <c r="F926" t="inlineStr">
        <is>
          <t xml:space="preserve">Friday</t>
        </is>
      </c>
      <c r="G926" s="15">
        <v>46297</v>
      </c>
      <c r="H926" t="inlineStr">
        <is>
          <t xml:space="preserve">PM</t>
        </is>
      </c>
      <c r="I926" t="inlineStr">
        <is>
          <t xml:space="preserve">Frisco, TX</t>
        </is>
      </c>
      <c r="J926" t="inlineStr">
        <is>
          <t xml:space="preserve">South</t>
        </is>
      </c>
      <c r="K926">
        <v>10</v>
      </c>
      <c r="L926" t="inlineStr">
        <is>
          <t xml:space="preserve">Full</t>
        </is>
      </c>
      <c r="M926" t="inlineStr">
        <is>
          <t xml:space="preserve">The Swing</t>
        </is>
      </c>
      <c r="P926">
        <v>110</v>
      </c>
      <c r="Q926">
        <v>694</v>
      </c>
      <c r="R926" t="inlineStr">
        <is>
          <t xml:space="preserve">FTAS</t>
        </is>
      </c>
      <c r="S926" t="inlineStr">
        <is>
          <t xml:space="preserve">FTAS</t>
        </is>
      </c>
      <c r="T926" t="inlineStr">
        <is>
          <t xml:space="preserve">Under 6'</t>
        </is>
      </c>
      <c r="U926" t="inlineStr">
        <is>
          <t xml:space="preserve">Mangold</t>
        </is>
      </c>
      <c r="V926" t="inlineStr">
        <is>
          <t xml:space="preserve">Gray</t>
        </is>
      </c>
      <c r="AA926">
        <v>0.5</v>
      </c>
      <c r="AB926" t="inlineStr">
        <is>
          <t xml:space="preserve">L</t>
        </is>
      </c>
      <c r="AC926" t="inlineStr">
        <is>
          <t xml:space="preserve">2&amp;1</t>
        </is>
      </c>
      <c r="AE926" t="str">
        <f>$V926&amp;$Y926</f>
        <v>Gray</v>
      </c>
      <c r="AF926">
        <v>0</v>
      </c>
      <c r="AG926">
        <v>0</v>
      </c>
      <c r="AH926">
        <v>1</v>
      </c>
      <c r="AI926">
        <v>0</v>
      </c>
    </row>
    <row r="927" spans="1:40" ht="15" customHeight="1" x14ac:dyDescent="0.2">
      <c r="B927" t="inlineStr">
        <is>
          <t xml:space="preserve">FT1</t>
        </is>
      </c>
      <c r="D927">
        <v>13</v>
      </c>
      <c r="E927" t="inlineStr">
        <is>
          <t xml:space="preserve">FBC13-FT</t>
        </is>
      </c>
      <c r="F927" t="inlineStr">
        <is>
          <t xml:space="preserve">Friday</t>
        </is>
      </c>
      <c r="G927" s="15">
        <v>46297</v>
      </c>
      <c r="H927" t="inlineStr">
        <is>
          <t xml:space="preserve">PM</t>
        </is>
      </c>
      <c r="I927" t="inlineStr">
        <is>
          <t xml:space="preserve">Frisco, TX</t>
        </is>
      </c>
      <c r="J927" t="inlineStr">
        <is>
          <t xml:space="preserve">South</t>
        </is>
      </c>
      <c r="K927">
        <v>10</v>
      </c>
      <c r="L927" t="inlineStr">
        <is>
          <t xml:space="preserve">Full</t>
        </is>
      </c>
      <c r="M927" t="inlineStr">
        <is>
          <t xml:space="preserve">The Swing</t>
        </is>
      </c>
      <c r="P927">
        <v>110</v>
      </c>
      <c r="Q927">
        <v>694</v>
      </c>
      <c r="R927" t="inlineStr">
        <is>
          <t xml:space="preserve">FTAS</t>
        </is>
      </c>
      <c r="S927" t="inlineStr">
        <is>
          <t xml:space="preserve">FTAS</t>
        </is>
      </c>
      <c r="T927" t="inlineStr">
        <is>
          <t xml:space="preserve">Under 6'</t>
        </is>
      </c>
      <c r="U927" t="inlineStr">
        <is>
          <t xml:space="preserve">Mangold</t>
        </is>
      </c>
      <c r="V927" t="inlineStr">
        <is>
          <t xml:space="preserve">Jackson</t>
        </is>
      </c>
      <c r="AA927">
        <v>0.5</v>
      </c>
      <c r="AB927" t="inlineStr">
        <is>
          <t xml:space="preserve">L</t>
        </is>
      </c>
      <c r="AC927" t="inlineStr">
        <is>
          <t xml:space="preserve">2&amp;1</t>
        </is>
      </c>
      <c r="AE927" t="str">
        <f>$V927&amp;$Y927</f>
        <v>Jackson</v>
      </c>
      <c r="AF927">
        <v>0</v>
      </c>
      <c r="AG927">
        <v>0</v>
      </c>
      <c r="AH927">
        <v>1</v>
      </c>
      <c r="AI927">
        <v>0</v>
      </c>
    </row>
    <row r="928" spans="1:40" ht="15" customHeight="1" x14ac:dyDescent="0.2">
      <c r="B928" t="inlineStr">
        <is>
          <t xml:space="preserve">FT1</t>
        </is>
      </c>
      <c r="D928">
        <v>13</v>
      </c>
      <c r="E928" t="inlineStr">
        <is>
          <t xml:space="preserve">FBC13-FT</t>
        </is>
      </c>
      <c r="F928" t="inlineStr">
        <is>
          <t xml:space="preserve">Friday</t>
        </is>
      </c>
      <c r="G928" s="15">
        <v>46297</v>
      </c>
      <c r="H928" t="inlineStr">
        <is>
          <t xml:space="preserve">PM</t>
        </is>
      </c>
      <c r="I928" t="inlineStr">
        <is>
          <t xml:space="preserve">Frisco, TX</t>
        </is>
      </c>
      <c r="J928" t="inlineStr">
        <is>
          <t xml:space="preserve">South</t>
        </is>
      </c>
      <c r="K928">
        <v>10</v>
      </c>
      <c r="L928" t="inlineStr">
        <is>
          <t xml:space="preserve">Full</t>
        </is>
      </c>
      <c r="M928" t="inlineStr">
        <is>
          <t xml:space="preserve">The Swing</t>
        </is>
      </c>
      <c r="P928">
        <v>110</v>
      </c>
      <c r="Q928">
        <v>694</v>
      </c>
      <c r="R928" t="inlineStr">
        <is>
          <t xml:space="preserve">FTAS</t>
        </is>
      </c>
      <c r="S928" t="inlineStr">
        <is>
          <t xml:space="preserve">FTAS</t>
        </is>
      </c>
      <c r="T928" t="inlineStr">
        <is>
          <t xml:space="preserve">Under 6'</t>
        </is>
      </c>
      <c r="U928" t="inlineStr">
        <is>
          <t xml:space="preserve">Mangold</t>
        </is>
      </c>
      <c r="V928" t="inlineStr">
        <is>
          <t xml:space="preserve">Lynch</t>
        </is>
      </c>
      <c r="AA928">
        <v>0.5</v>
      </c>
      <c r="AB928" t="inlineStr">
        <is>
          <t xml:space="preserve">L</t>
        </is>
      </c>
      <c r="AC928" t="inlineStr">
        <is>
          <t xml:space="preserve">2&amp;1</t>
        </is>
      </c>
      <c r="AE928" t="str">
        <f>$V928&amp;$Y928</f>
        <v>Lynch</v>
      </c>
      <c r="AF928">
        <v>0</v>
      </c>
      <c r="AG928">
        <v>0</v>
      </c>
      <c r="AH928">
        <v>1</v>
      </c>
      <c r="AI928">
        <v>0</v>
      </c>
    </row>
    <row r="929" spans="1:40" ht="15" customHeight="1" x14ac:dyDescent="0.2">
      <c r="B929" t="inlineStr">
        <is>
          <t xml:space="preserve">FT1</t>
        </is>
      </c>
      <c r="D929">
        <v>13</v>
      </c>
      <c r="E929" t="inlineStr">
        <is>
          <t xml:space="preserve">FBC13-FT</t>
        </is>
      </c>
      <c r="F929" t="inlineStr">
        <is>
          <t xml:space="preserve">Friday</t>
        </is>
      </c>
      <c r="G929" s="15">
        <v>46297</v>
      </c>
      <c r="H929" t="inlineStr">
        <is>
          <t xml:space="preserve">PM</t>
        </is>
      </c>
      <c r="I929" t="inlineStr">
        <is>
          <t xml:space="preserve">Frisco, TX</t>
        </is>
      </c>
      <c r="J929" t="inlineStr">
        <is>
          <t xml:space="preserve">South</t>
        </is>
      </c>
      <c r="K929">
        <v>10</v>
      </c>
      <c r="L929" t="inlineStr">
        <is>
          <t xml:space="preserve">Full</t>
        </is>
      </c>
      <c r="M929" t="inlineStr">
        <is>
          <t xml:space="preserve">The Swing</t>
        </is>
      </c>
      <c r="P929">
        <v>110</v>
      </c>
      <c r="Q929">
        <v>694</v>
      </c>
      <c r="R929" t="inlineStr">
        <is>
          <t xml:space="preserve">FTAS</t>
        </is>
      </c>
      <c r="S929" t="inlineStr">
        <is>
          <t xml:space="preserve">FTAS</t>
        </is>
      </c>
      <c r="T929" t="inlineStr">
        <is>
          <t xml:space="preserve">Under 6'</t>
        </is>
      </c>
      <c r="U929" t="inlineStr">
        <is>
          <t xml:space="preserve">Mangold</t>
        </is>
      </c>
      <c r="V929" t="inlineStr">
        <is>
          <t xml:space="preserve">McInerney</t>
        </is>
      </c>
      <c r="AA929">
        <v>0.5</v>
      </c>
      <c r="AB929" t="inlineStr">
        <is>
          <t xml:space="preserve">L</t>
        </is>
      </c>
      <c r="AC929" t="inlineStr">
        <is>
          <t xml:space="preserve">2&amp;1</t>
        </is>
      </c>
      <c r="AE929" t="str">
        <f>$V929&amp;$Y929</f>
        <v>McInerney</v>
      </c>
      <c r="AF929">
        <v>0</v>
      </c>
      <c r="AG929">
        <v>0</v>
      </c>
      <c r="AH929">
        <v>1</v>
      </c>
      <c r="AI929">
        <v>0</v>
      </c>
    </row>
    <row r="930" spans="1:40" ht="15" customHeight="1" x14ac:dyDescent="0.2">
      <c r="B930" t="inlineStr">
        <is>
          <t xml:space="preserve">FT1</t>
        </is>
      </c>
      <c r="D930">
        <v>13</v>
      </c>
      <c r="E930" t="inlineStr">
        <is>
          <t xml:space="preserve">FBC13-FT</t>
        </is>
      </c>
      <c r="F930" t="inlineStr">
        <is>
          <t xml:space="preserve">Friday</t>
        </is>
      </c>
      <c r="G930" s="15">
        <v>46297</v>
      </c>
      <c r="H930" t="inlineStr">
        <is>
          <t xml:space="preserve">PM</t>
        </is>
      </c>
      <c r="I930" t="inlineStr">
        <is>
          <t xml:space="preserve">Frisco, TX</t>
        </is>
      </c>
      <c r="J930" t="inlineStr">
        <is>
          <t xml:space="preserve">South</t>
        </is>
      </c>
      <c r="K930">
        <v>10</v>
      </c>
      <c r="L930" t="inlineStr">
        <is>
          <t xml:space="preserve">Full</t>
        </is>
      </c>
      <c r="M930" t="inlineStr">
        <is>
          <t xml:space="preserve">The Swing</t>
        </is>
      </c>
      <c r="P930">
        <v>110</v>
      </c>
      <c r="Q930">
        <v>694</v>
      </c>
      <c r="R930" t="inlineStr">
        <is>
          <t xml:space="preserve">FTAS</t>
        </is>
      </c>
      <c r="S930" t="inlineStr">
        <is>
          <t xml:space="preserve">FTAS</t>
        </is>
      </c>
      <c r="T930" t="inlineStr">
        <is>
          <t xml:space="preserve">Under 6'</t>
        </is>
      </c>
      <c r="U930" t="inlineStr">
        <is>
          <t xml:space="preserve">Mangold</t>
        </is>
      </c>
      <c r="V930" t="inlineStr">
        <is>
          <t xml:space="preserve">Perkins</t>
        </is>
      </c>
      <c r="AA930">
        <v>0.5</v>
      </c>
      <c r="AB930" t="inlineStr">
        <is>
          <t xml:space="preserve">L</t>
        </is>
      </c>
      <c r="AC930" t="inlineStr">
        <is>
          <t xml:space="preserve">2&amp;1</t>
        </is>
      </c>
      <c r="AE930" t="str">
        <f>$V930&amp;$Y930</f>
        <v>Perkins</v>
      </c>
      <c r="AF930">
        <v>0</v>
      </c>
      <c r="AG930">
        <v>0</v>
      </c>
      <c r="AH930">
        <v>1</v>
      </c>
      <c r="AI930">
        <v>0</v>
      </c>
    </row>
    <row r="931" spans="1:40" ht="15" customHeight="1" x14ac:dyDescent="0.2">
      <c r="B931" t="inlineStr">
        <is>
          <t xml:space="preserve">FT1</t>
        </is>
      </c>
      <c r="D931">
        <v>13</v>
      </c>
      <c r="E931" t="inlineStr">
        <is>
          <t xml:space="preserve">FBC13-FT</t>
        </is>
      </c>
      <c r="F931" t="inlineStr">
        <is>
          <t xml:space="preserve">Friday</t>
        </is>
      </c>
      <c r="G931" s="15">
        <v>46297</v>
      </c>
      <c r="H931" t="inlineStr">
        <is>
          <t xml:space="preserve">PM</t>
        </is>
      </c>
      <c r="I931" t="inlineStr">
        <is>
          <t xml:space="preserve">Frisco, TX</t>
        </is>
      </c>
      <c r="J931" t="inlineStr">
        <is>
          <t xml:space="preserve">South</t>
        </is>
      </c>
      <c r="K931">
        <v>10</v>
      </c>
      <c r="L931" t="inlineStr">
        <is>
          <t xml:space="preserve">Full</t>
        </is>
      </c>
      <c r="M931" t="inlineStr">
        <is>
          <t xml:space="preserve">The Swing</t>
        </is>
      </c>
      <c r="P931">
        <v>110</v>
      </c>
      <c r="Q931">
        <v>694</v>
      </c>
      <c r="R931" t="inlineStr">
        <is>
          <t xml:space="preserve">FTAS</t>
        </is>
      </c>
      <c r="S931" t="inlineStr">
        <is>
          <t xml:space="preserve">FTAS</t>
        </is>
      </c>
      <c r="T931" t="inlineStr">
        <is>
          <t xml:space="preserve">Under 6'</t>
        </is>
      </c>
      <c r="U931" t="inlineStr">
        <is>
          <t xml:space="preserve">Mangold</t>
        </is>
      </c>
      <c r="V931" t="inlineStr">
        <is>
          <t xml:space="preserve">Piegari</t>
        </is>
      </c>
      <c r="AA931">
        <v>0.5</v>
      </c>
      <c r="AB931" t="inlineStr">
        <is>
          <t xml:space="preserve">L</t>
        </is>
      </c>
      <c r="AC931" t="inlineStr">
        <is>
          <t xml:space="preserve">2&amp;1</t>
        </is>
      </c>
      <c r="AE931" t="str">
        <f>$V931&amp;$Y931</f>
        <v>Piegari</v>
      </c>
      <c r="AF931">
        <v>0</v>
      </c>
      <c r="AG931">
        <v>0</v>
      </c>
      <c r="AH931">
        <v>1</v>
      </c>
      <c r="AI931">
        <v>0</v>
      </c>
    </row>
    <row r="932" spans="1:40" ht="15" customHeight="1" x14ac:dyDescent="0.2">
      <c r="B932" t="inlineStr">
        <is>
          <t xml:space="preserve">FT1</t>
        </is>
      </c>
      <c r="D932">
        <v>13</v>
      </c>
      <c r="E932" t="inlineStr">
        <is>
          <t xml:space="preserve">FBC13-FT</t>
        </is>
      </c>
      <c r="F932" t="inlineStr">
        <is>
          <t xml:space="preserve">Friday</t>
        </is>
      </c>
      <c r="G932" s="15">
        <v>46297</v>
      </c>
      <c r="H932" t="inlineStr">
        <is>
          <t xml:space="preserve">PM</t>
        </is>
      </c>
      <c r="I932" t="inlineStr">
        <is>
          <t xml:space="preserve">Frisco, TX</t>
        </is>
      </c>
      <c r="J932" t="inlineStr">
        <is>
          <t xml:space="preserve">South</t>
        </is>
      </c>
      <c r="K932">
        <v>10</v>
      </c>
      <c r="L932" t="inlineStr">
        <is>
          <t xml:space="preserve">Full</t>
        </is>
      </c>
      <c r="M932" t="inlineStr">
        <is>
          <t xml:space="preserve">The Swing</t>
        </is>
      </c>
      <c r="P932">
        <v>110</v>
      </c>
      <c r="Q932">
        <v>694</v>
      </c>
      <c r="R932" t="inlineStr">
        <is>
          <t xml:space="preserve">FTAS</t>
        </is>
      </c>
      <c r="S932" t="inlineStr">
        <is>
          <t xml:space="preserve">FTAS</t>
        </is>
      </c>
      <c r="T932" t="inlineStr">
        <is>
          <t xml:space="preserve">Under 6'</t>
        </is>
      </c>
      <c r="U932" t="inlineStr">
        <is>
          <t xml:space="preserve">Mangold</t>
        </is>
      </c>
      <c r="V932" t="inlineStr">
        <is>
          <t xml:space="preserve">Shively</t>
        </is>
      </c>
      <c r="AA932">
        <v>0.5</v>
      </c>
      <c r="AB932" t="inlineStr">
        <is>
          <t xml:space="preserve">L</t>
        </is>
      </c>
      <c r="AC932" t="inlineStr">
        <is>
          <t xml:space="preserve">2&amp;1</t>
        </is>
      </c>
      <c r="AE932" t="str">
        <f>$V932&amp;$Y932</f>
        <v>Shively</v>
      </c>
      <c r="AF932">
        <v>0</v>
      </c>
      <c r="AG932">
        <v>0</v>
      </c>
      <c r="AH932">
        <v>1</v>
      </c>
      <c r="AI932">
        <v>0</v>
      </c>
    </row>
    <row r="933" spans="1:40" ht="15" customHeight="1" x14ac:dyDescent="0.2">
      <c r="B933" t="inlineStr">
        <is>
          <t xml:space="preserve">FT1</t>
        </is>
      </c>
      <c r="D933">
        <v>13</v>
      </c>
      <c r="E933" t="inlineStr">
        <is>
          <t xml:space="preserve">FBC13-FT</t>
        </is>
      </c>
      <c r="F933" t="inlineStr">
        <is>
          <t xml:space="preserve">Friday</t>
        </is>
      </c>
      <c r="G933" s="15">
        <v>46297</v>
      </c>
      <c r="H933" t="inlineStr">
        <is>
          <t xml:space="preserve">PM</t>
        </is>
      </c>
      <c r="I933" t="inlineStr">
        <is>
          <t xml:space="preserve">Frisco, TX</t>
        </is>
      </c>
      <c r="J933" t="inlineStr">
        <is>
          <t xml:space="preserve">South</t>
        </is>
      </c>
      <c r="K933">
        <v>10</v>
      </c>
      <c r="L933" t="inlineStr">
        <is>
          <t xml:space="preserve">Full</t>
        </is>
      </c>
      <c r="M933" t="inlineStr">
        <is>
          <t xml:space="preserve">The Swing</t>
        </is>
      </c>
      <c r="P933">
        <v>110</v>
      </c>
      <c r="Q933">
        <v>694</v>
      </c>
      <c r="R933" t="inlineStr">
        <is>
          <t xml:space="preserve">FTAS</t>
        </is>
      </c>
      <c r="S933" t="inlineStr">
        <is>
          <t xml:space="preserve">FTAS</t>
        </is>
      </c>
      <c r="T933" t="inlineStr">
        <is>
          <t xml:space="preserve">Under 6'</t>
        </is>
      </c>
      <c r="U933" t="inlineStr">
        <is>
          <t xml:space="preserve">Mangold</t>
        </is>
      </c>
      <c r="V933" t="inlineStr">
        <is>
          <t xml:space="preserve">Welker</t>
        </is>
      </c>
      <c r="AA933">
        <v>0.5</v>
      </c>
      <c r="AB933" t="inlineStr">
        <is>
          <t xml:space="preserve">L</t>
        </is>
      </c>
      <c r="AC933" t="inlineStr">
        <is>
          <t xml:space="preserve">2&amp;1</t>
        </is>
      </c>
      <c r="AE933" t="str">
        <f>$V933&amp;$Y933</f>
        <v>Welker</v>
      </c>
      <c r="AF933">
        <v>0</v>
      </c>
      <c r="AG933">
        <v>0</v>
      </c>
      <c r="AH933">
        <v>1</v>
      </c>
      <c r="AI933">
        <v>0</v>
      </c>
    </row>
    <row r="934" spans="1:40" ht="15" customHeight="1" x14ac:dyDescent="0.2">
      <c r="B934" t="inlineStr">
        <is>
          <t xml:space="preserve">FT1</t>
        </is>
      </c>
      <c r="D934">
        <v>13</v>
      </c>
      <c r="E934" t="inlineStr">
        <is>
          <t xml:space="preserve">FBC13-FT</t>
        </is>
      </c>
      <c r="F934" t="inlineStr">
        <is>
          <t xml:space="preserve">Friday</t>
        </is>
      </c>
      <c r="G934" s="15">
        <v>46297</v>
      </c>
      <c r="H934" t="inlineStr">
        <is>
          <t xml:space="preserve">PM</t>
        </is>
      </c>
      <c r="I934" t="inlineStr">
        <is>
          <t xml:space="preserve">Frisco, TX</t>
        </is>
      </c>
      <c r="J934" t="inlineStr">
        <is>
          <t xml:space="preserve">South</t>
        </is>
      </c>
      <c r="K934">
        <v>10</v>
      </c>
      <c r="L934" t="inlineStr">
        <is>
          <t xml:space="preserve">Full</t>
        </is>
      </c>
      <c r="M934" t="inlineStr">
        <is>
          <t xml:space="preserve">The Swing</t>
        </is>
      </c>
      <c r="P934">
        <v>110</v>
      </c>
      <c r="Q934">
        <v>694</v>
      </c>
      <c r="R934" t="inlineStr">
        <is>
          <t xml:space="preserve">FTAS</t>
        </is>
      </c>
      <c r="S934" t="inlineStr">
        <is>
          <t xml:space="preserve">FTAS</t>
        </is>
      </c>
      <c r="T934" t="inlineStr">
        <is>
          <t xml:space="preserve">Under 6'</t>
        </is>
      </c>
      <c r="U934" t="inlineStr">
        <is>
          <t xml:space="preserve">Forster</t>
        </is>
      </c>
      <c r="V934" t="inlineStr">
        <is>
          <t xml:space="preserve">Forster</t>
        </is>
      </c>
      <c r="AA934">
        <v>0.5</v>
      </c>
      <c r="AB934" t="inlineStr">
        <is>
          <t xml:space="preserve">W</t>
        </is>
      </c>
      <c r="AC934" t="inlineStr">
        <is>
          <t xml:space="preserve">2&amp;1</t>
        </is>
      </c>
      <c r="AE934" t="str">
        <f>$V934&amp;$Y934</f>
        <v>Forster</v>
      </c>
      <c r="AF934">
        <v>0.5</v>
      </c>
      <c r="AG934">
        <v>1</v>
      </c>
      <c r="AH934">
        <v>0</v>
      </c>
      <c r="AI934">
        <v>0</v>
      </c>
    </row>
    <row r="935" spans="1:40" ht="15" customHeight="1" x14ac:dyDescent="0.2">
      <c r="B935" t="inlineStr">
        <is>
          <t xml:space="preserve">FT1</t>
        </is>
      </c>
      <c r="D935">
        <v>13</v>
      </c>
      <c r="E935" t="inlineStr">
        <is>
          <t xml:space="preserve">FBC13-FT</t>
        </is>
      </c>
      <c r="F935" t="inlineStr">
        <is>
          <t xml:space="preserve">Friday</t>
        </is>
      </c>
      <c r="G935" s="15">
        <v>46297</v>
      </c>
      <c r="H935" t="inlineStr">
        <is>
          <t xml:space="preserve">PM</t>
        </is>
      </c>
      <c r="I935" t="inlineStr">
        <is>
          <t xml:space="preserve">Frisco, TX</t>
        </is>
      </c>
      <c r="J935" t="inlineStr">
        <is>
          <t xml:space="preserve">South</t>
        </is>
      </c>
      <c r="K935">
        <v>10</v>
      </c>
      <c r="L935" t="inlineStr">
        <is>
          <t xml:space="preserve">Full</t>
        </is>
      </c>
      <c r="M935" t="inlineStr">
        <is>
          <t xml:space="preserve">The Swing</t>
        </is>
      </c>
      <c r="P935">
        <v>110</v>
      </c>
      <c r="Q935">
        <v>694</v>
      </c>
      <c r="R935" t="inlineStr">
        <is>
          <t xml:space="preserve">FTAS</t>
        </is>
      </c>
      <c r="S935" t="inlineStr">
        <is>
          <t xml:space="preserve">FTAS</t>
        </is>
      </c>
      <c r="T935" t="inlineStr">
        <is>
          <t xml:space="preserve">Under 6'</t>
        </is>
      </c>
      <c r="U935" t="inlineStr">
        <is>
          <t xml:space="preserve">Forster</t>
        </is>
      </c>
      <c r="V935" t="inlineStr">
        <is>
          <t xml:space="preserve">Cole</t>
        </is>
      </c>
      <c r="AA935">
        <v>0.5</v>
      </c>
      <c r="AB935" t="inlineStr">
        <is>
          <t xml:space="preserve">W</t>
        </is>
      </c>
      <c r="AC935" t="inlineStr">
        <is>
          <t xml:space="preserve">2&amp;1</t>
        </is>
      </c>
      <c r="AE935" t="str">
        <f>$V935&amp;$Y935</f>
        <v>Cole</v>
      </c>
      <c r="AF935">
        <v>0.5</v>
      </c>
      <c r="AG935">
        <v>1</v>
      </c>
      <c r="AH935">
        <v>0</v>
      </c>
      <c r="AI935">
        <v>0</v>
      </c>
    </row>
    <row r="936" spans="1:40" ht="15" customHeight="1" x14ac:dyDescent="0.2">
      <c r="B936" t="inlineStr">
        <is>
          <t xml:space="preserve">FT1</t>
        </is>
      </c>
      <c r="D936">
        <v>13</v>
      </c>
      <c r="E936" t="inlineStr">
        <is>
          <t xml:space="preserve">FBC13-FT</t>
        </is>
      </c>
      <c r="F936" t="inlineStr">
        <is>
          <t xml:space="preserve">Friday</t>
        </is>
      </c>
      <c r="G936" s="15">
        <v>46297</v>
      </c>
      <c r="H936" t="inlineStr">
        <is>
          <t xml:space="preserve">PM</t>
        </is>
      </c>
      <c r="I936" t="inlineStr">
        <is>
          <t xml:space="preserve">Frisco, TX</t>
        </is>
      </c>
      <c r="J936" t="inlineStr">
        <is>
          <t xml:space="preserve">South</t>
        </is>
      </c>
      <c r="K936">
        <v>10</v>
      </c>
      <c r="L936" t="inlineStr">
        <is>
          <t xml:space="preserve">Full</t>
        </is>
      </c>
      <c r="M936" t="inlineStr">
        <is>
          <t xml:space="preserve">The Swing</t>
        </is>
      </c>
      <c r="P936">
        <v>110</v>
      </c>
      <c r="Q936">
        <v>694</v>
      </c>
      <c r="R936" t="inlineStr">
        <is>
          <t xml:space="preserve">FTAS</t>
        </is>
      </c>
      <c r="S936" t="inlineStr">
        <is>
          <t xml:space="preserve">FTAS</t>
        </is>
      </c>
      <c r="T936" t="inlineStr">
        <is>
          <t xml:space="preserve">Under 6'</t>
        </is>
      </c>
      <c r="U936" t="inlineStr">
        <is>
          <t xml:space="preserve">Forster</t>
        </is>
      </c>
      <c r="V936" t="inlineStr">
        <is>
          <t xml:space="preserve">Connolly</t>
        </is>
      </c>
      <c r="AA936">
        <v>0.5</v>
      </c>
      <c r="AB936" t="inlineStr">
        <is>
          <t xml:space="preserve">W</t>
        </is>
      </c>
      <c r="AC936" t="inlineStr">
        <is>
          <t xml:space="preserve">2&amp;1</t>
        </is>
      </c>
      <c r="AE936" t="str">
        <f>$V936&amp;$Y936</f>
        <v>Connolly</v>
      </c>
      <c r="AF936">
        <v>0.5</v>
      </c>
      <c r="AG936">
        <v>1</v>
      </c>
      <c r="AH936">
        <v>0</v>
      </c>
      <c r="AI936">
        <v>0</v>
      </c>
    </row>
    <row r="937" spans="1:40" ht="15" customHeight="1" x14ac:dyDescent="0.2">
      <c r="B937" t="inlineStr">
        <is>
          <t xml:space="preserve">FT1</t>
        </is>
      </c>
      <c r="D937">
        <v>13</v>
      </c>
      <c r="E937" t="inlineStr">
        <is>
          <t xml:space="preserve">FBC13-FT</t>
        </is>
      </c>
      <c r="F937" t="inlineStr">
        <is>
          <t xml:space="preserve">Friday</t>
        </is>
      </c>
      <c r="G937" s="15">
        <v>46297</v>
      </c>
      <c r="H937" t="inlineStr">
        <is>
          <t xml:space="preserve">PM</t>
        </is>
      </c>
      <c r="I937" t="inlineStr">
        <is>
          <t xml:space="preserve">Frisco, TX</t>
        </is>
      </c>
      <c r="J937" t="inlineStr">
        <is>
          <t xml:space="preserve">South</t>
        </is>
      </c>
      <c r="K937">
        <v>10</v>
      </c>
      <c r="L937" t="inlineStr">
        <is>
          <t xml:space="preserve">Full</t>
        </is>
      </c>
      <c r="M937" t="inlineStr">
        <is>
          <t xml:space="preserve">The Swing</t>
        </is>
      </c>
      <c r="P937">
        <v>110</v>
      </c>
      <c r="Q937">
        <v>694</v>
      </c>
      <c r="R937" t="inlineStr">
        <is>
          <t xml:space="preserve">FTAS</t>
        </is>
      </c>
      <c r="S937" t="inlineStr">
        <is>
          <t xml:space="preserve">FTAS</t>
        </is>
      </c>
      <c r="T937" t="inlineStr">
        <is>
          <t xml:space="preserve">Under 6'</t>
        </is>
      </c>
      <c r="U937" t="inlineStr">
        <is>
          <t xml:space="preserve">Forster</t>
        </is>
      </c>
      <c r="V937" t="inlineStr">
        <is>
          <t xml:space="preserve">R. Connolly</t>
        </is>
      </c>
      <c r="AA937">
        <v>0.5</v>
      </c>
      <c r="AB937" t="inlineStr">
        <is>
          <t xml:space="preserve">W</t>
        </is>
      </c>
      <c r="AC937" t="inlineStr">
        <is>
          <t xml:space="preserve">2&amp;1</t>
        </is>
      </c>
      <c r="AE937" t="str">
        <f>$V937&amp;$Y937</f>
        <v>R. Connolly</v>
      </c>
      <c r="AF937">
        <v>0.5</v>
      </c>
      <c r="AG937">
        <v>1</v>
      </c>
      <c r="AH937">
        <v>0</v>
      </c>
      <c r="AI937">
        <v>0</v>
      </c>
    </row>
    <row r="938" spans="1:40" ht="15" customHeight="1" x14ac:dyDescent="0.2">
      <c r="B938" t="inlineStr">
        <is>
          <t xml:space="preserve">FT1</t>
        </is>
      </c>
      <c r="D938">
        <v>13</v>
      </c>
      <c r="E938" t="inlineStr">
        <is>
          <t xml:space="preserve">FBC13-FT</t>
        </is>
      </c>
      <c r="F938" t="inlineStr">
        <is>
          <t xml:space="preserve">Friday</t>
        </is>
      </c>
      <c r="G938" s="15">
        <v>46297</v>
      </c>
      <c r="H938" t="inlineStr">
        <is>
          <t xml:space="preserve">PM</t>
        </is>
      </c>
      <c r="I938" t="inlineStr">
        <is>
          <t xml:space="preserve">Frisco, TX</t>
        </is>
      </c>
      <c r="J938" t="inlineStr">
        <is>
          <t xml:space="preserve">South</t>
        </is>
      </c>
      <c r="K938">
        <v>10</v>
      </c>
      <c r="L938" t="inlineStr">
        <is>
          <t xml:space="preserve">Full</t>
        </is>
      </c>
      <c r="M938" t="inlineStr">
        <is>
          <t xml:space="preserve">The Swing</t>
        </is>
      </c>
      <c r="P938">
        <v>110</v>
      </c>
      <c r="Q938">
        <v>694</v>
      </c>
      <c r="R938" t="inlineStr">
        <is>
          <t xml:space="preserve">FTAS</t>
        </is>
      </c>
      <c r="S938" t="inlineStr">
        <is>
          <t xml:space="preserve">FTAS</t>
        </is>
      </c>
      <c r="T938" t="inlineStr">
        <is>
          <t xml:space="preserve">Under 6'</t>
        </is>
      </c>
      <c r="U938" t="inlineStr">
        <is>
          <t xml:space="preserve">Forster</t>
        </is>
      </c>
      <c r="V938" t="inlineStr">
        <is>
          <t xml:space="preserve">Delaney</t>
        </is>
      </c>
      <c r="AA938">
        <v>0.5</v>
      </c>
      <c r="AB938" t="inlineStr">
        <is>
          <t xml:space="preserve">W</t>
        </is>
      </c>
      <c r="AC938" t="inlineStr">
        <is>
          <t xml:space="preserve">2&amp;1</t>
        </is>
      </c>
      <c r="AE938" t="str">
        <f>$V938&amp;$Y938</f>
        <v>Delaney</v>
      </c>
      <c r="AF938">
        <v>0.5</v>
      </c>
      <c r="AG938">
        <v>1</v>
      </c>
      <c r="AH938">
        <v>0</v>
      </c>
      <c r="AI938">
        <v>0</v>
      </c>
    </row>
    <row r="939" spans="1:40" ht="15" customHeight="1" x14ac:dyDescent="0.2">
      <c r="B939" t="inlineStr">
        <is>
          <t xml:space="preserve">FT1</t>
        </is>
      </c>
      <c r="D939">
        <v>13</v>
      </c>
      <c r="E939" t="inlineStr">
        <is>
          <t xml:space="preserve">FBC13-FT</t>
        </is>
      </c>
      <c r="F939" t="inlineStr">
        <is>
          <t xml:space="preserve">Friday</t>
        </is>
      </c>
      <c r="G939" s="15">
        <v>46297</v>
      </c>
      <c r="H939" t="inlineStr">
        <is>
          <t xml:space="preserve">PM</t>
        </is>
      </c>
      <c r="I939" t="inlineStr">
        <is>
          <t xml:space="preserve">Frisco, TX</t>
        </is>
      </c>
      <c r="J939" t="inlineStr">
        <is>
          <t xml:space="preserve">South</t>
        </is>
      </c>
      <c r="K939">
        <v>10</v>
      </c>
      <c r="L939" t="inlineStr">
        <is>
          <t xml:space="preserve">Full</t>
        </is>
      </c>
      <c r="M939" t="inlineStr">
        <is>
          <t xml:space="preserve">The Swing</t>
        </is>
      </c>
      <c r="P939">
        <v>110</v>
      </c>
      <c r="Q939">
        <v>694</v>
      </c>
      <c r="R939" t="inlineStr">
        <is>
          <t xml:space="preserve">FTAS</t>
        </is>
      </c>
      <c r="S939" t="inlineStr">
        <is>
          <t xml:space="preserve">FTAS</t>
        </is>
      </c>
      <c r="T939" t="inlineStr">
        <is>
          <t xml:space="preserve">Under 6'</t>
        </is>
      </c>
      <c r="U939" t="inlineStr">
        <is>
          <t xml:space="preserve">Forster</t>
        </is>
      </c>
      <c r="V939" t="inlineStr">
        <is>
          <t xml:space="preserve">Delneky</t>
        </is>
      </c>
      <c r="AA939">
        <v>0.5</v>
      </c>
      <c r="AB939" t="inlineStr">
        <is>
          <t xml:space="preserve">W</t>
        </is>
      </c>
      <c r="AC939" t="inlineStr">
        <is>
          <t xml:space="preserve">2&amp;1</t>
        </is>
      </c>
      <c r="AE939" t="str">
        <f>$V939&amp;$Y939</f>
        <v>Delneky</v>
      </c>
      <c r="AF939">
        <v>0.5</v>
      </c>
      <c r="AG939">
        <v>1</v>
      </c>
      <c r="AH939">
        <v>0</v>
      </c>
      <c r="AI939">
        <v>0</v>
      </c>
    </row>
    <row r="940" spans="1:40" ht="15" customHeight="1" x14ac:dyDescent="0.2">
      <c r="B940" t="inlineStr">
        <is>
          <t xml:space="preserve">FT1</t>
        </is>
      </c>
      <c r="D940">
        <v>13</v>
      </c>
      <c r="E940" t="inlineStr">
        <is>
          <t xml:space="preserve">FBC13-FT</t>
        </is>
      </c>
      <c r="F940" t="inlineStr">
        <is>
          <t xml:space="preserve">Friday</t>
        </is>
      </c>
      <c r="G940" s="15">
        <v>46297</v>
      </c>
      <c r="H940" t="inlineStr">
        <is>
          <t xml:space="preserve">PM</t>
        </is>
      </c>
      <c r="I940" t="inlineStr">
        <is>
          <t xml:space="preserve">Frisco, TX</t>
        </is>
      </c>
      <c r="J940" t="inlineStr">
        <is>
          <t xml:space="preserve">South</t>
        </is>
      </c>
      <c r="K940">
        <v>10</v>
      </c>
      <c r="L940" t="inlineStr">
        <is>
          <t xml:space="preserve">Full</t>
        </is>
      </c>
      <c r="M940" t="inlineStr">
        <is>
          <t xml:space="preserve">The Swing</t>
        </is>
      </c>
      <c r="P940">
        <v>110</v>
      </c>
      <c r="Q940">
        <v>694</v>
      </c>
      <c r="R940" t="inlineStr">
        <is>
          <t xml:space="preserve">FTAS</t>
        </is>
      </c>
      <c r="S940" t="inlineStr">
        <is>
          <t xml:space="preserve">FTAS</t>
        </is>
      </c>
      <c r="T940" t="inlineStr">
        <is>
          <t xml:space="preserve">Under 6'</t>
        </is>
      </c>
      <c r="U940" t="inlineStr">
        <is>
          <t xml:space="preserve">Forster</t>
        </is>
      </c>
      <c r="V940" t="inlineStr">
        <is>
          <t xml:space="preserve">Flanders</t>
        </is>
      </c>
      <c r="AA940">
        <v>0.5</v>
      </c>
      <c r="AB940" t="inlineStr">
        <is>
          <t xml:space="preserve">W</t>
        </is>
      </c>
      <c r="AC940" t="inlineStr">
        <is>
          <t xml:space="preserve">2&amp;1</t>
        </is>
      </c>
      <c r="AE940" t="str">
        <f>$V940&amp;$Y940</f>
        <v>Flanders</v>
      </c>
      <c r="AF940">
        <v>0.5</v>
      </c>
      <c r="AG940">
        <v>1</v>
      </c>
      <c r="AH940">
        <v>0</v>
      </c>
      <c r="AI940">
        <v>0</v>
      </c>
    </row>
    <row r="941" spans="1:40" ht="15" customHeight="1" x14ac:dyDescent="0.2">
      <c r="B941" t="inlineStr">
        <is>
          <t xml:space="preserve">FT1</t>
        </is>
      </c>
      <c r="D941">
        <v>13</v>
      </c>
      <c r="E941" t="inlineStr">
        <is>
          <t xml:space="preserve">FBC13-FT</t>
        </is>
      </c>
      <c r="F941" t="inlineStr">
        <is>
          <t xml:space="preserve">Friday</t>
        </is>
      </c>
      <c r="G941" s="15">
        <v>46297</v>
      </c>
      <c r="H941" t="inlineStr">
        <is>
          <t xml:space="preserve">PM</t>
        </is>
      </c>
      <c r="I941" t="inlineStr">
        <is>
          <t xml:space="preserve">Frisco, TX</t>
        </is>
      </c>
      <c r="J941" t="inlineStr">
        <is>
          <t xml:space="preserve">South</t>
        </is>
      </c>
      <c r="K941">
        <v>10</v>
      </c>
      <c r="L941" t="inlineStr">
        <is>
          <t xml:space="preserve">Full</t>
        </is>
      </c>
      <c r="M941" t="inlineStr">
        <is>
          <t xml:space="preserve">The Swing</t>
        </is>
      </c>
      <c r="P941">
        <v>110</v>
      </c>
      <c r="Q941">
        <v>694</v>
      </c>
      <c r="R941" t="inlineStr">
        <is>
          <t xml:space="preserve">FTAS</t>
        </is>
      </c>
      <c r="S941" t="inlineStr">
        <is>
          <t xml:space="preserve">FTAS</t>
        </is>
      </c>
      <c r="T941" t="inlineStr">
        <is>
          <t xml:space="preserve">Under 6'</t>
        </is>
      </c>
      <c r="U941" t="inlineStr">
        <is>
          <t xml:space="preserve">Forster</t>
        </is>
      </c>
      <c r="V941" t="inlineStr">
        <is>
          <t xml:space="preserve">Grise</t>
        </is>
      </c>
      <c r="AA941">
        <v>0.5</v>
      </c>
      <c r="AB941" t="inlineStr">
        <is>
          <t xml:space="preserve">W</t>
        </is>
      </c>
      <c r="AC941" t="inlineStr">
        <is>
          <t xml:space="preserve">2&amp;1</t>
        </is>
      </c>
      <c r="AE941" t="str">
        <f>$V941&amp;$Y941</f>
        <v>Grise</v>
      </c>
      <c r="AF941">
        <v>0.5</v>
      </c>
      <c r="AG941">
        <v>1</v>
      </c>
      <c r="AH941">
        <v>0</v>
      </c>
      <c r="AI941">
        <v>0</v>
      </c>
    </row>
    <row r="942" spans="1:40" ht="15" customHeight="1" x14ac:dyDescent="0.2">
      <c r="B942" t="inlineStr">
        <is>
          <t xml:space="preserve">FT1</t>
        </is>
      </c>
      <c r="D942">
        <v>13</v>
      </c>
      <c r="E942" t="inlineStr">
        <is>
          <t xml:space="preserve">FBC13-FT</t>
        </is>
      </c>
      <c r="F942" t="inlineStr">
        <is>
          <t xml:space="preserve">Friday</t>
        </is>
      </c>
      <c r="G942" s="15">
        <v>46297</v>
      </c>
      <c r="H942" t="inlineStr">
        <is>
          <t xml:space="preserve">PM</t>
        </is>
      </c>
      <c r="I942" t="inlineStr">
        <is>
          <t xml:space="preserve">Frisco, TX</t>
        </is>
      </c>
      <c r="J942" t="inlineStr">
        <is>
          <t xml:space="preserve">South</t>
        </is>
      </c>
      <c r="K942">
        <v>10</v>
      </c>
      <c r="L942" t="inlineStr">
        <is>
          <t xml:space="preserve">Full</t>
        </is>
      </c>
      <c r="M942" t="inlineStr">
        <is>
          <t xml:space="preserve">The Swing</t>
        </is>
      </c>
      <c r="P942">
        <v>110</v>
      </c>
      <c r="Q942">
        <v>694</v>
      </c>
      <c r="R942" t="inlineStr">
        <is>
          <t xml:space="preserve">FTAS</t>
        </is>
      </c>
      <c r="S942" t="inlineStr">
        <is>
          <t xml:space="preserve">FTAS</t>
        </is>
      </c>
      <c r="T942" t="inlineStr">
        <is>
          <t xml:space="preserve">Under 6'</t>
        </is>
      </c>
      <c r="U942" t="inlineStr">
        <is>
          <t xml:space="preserve">Forster</t>
        </is>
      </c>
      <c r="V942" t="inlineStr">
        <is>
          <t xml:space="preserve">Hilts</t>
        </is>
      </c>
      <c r="AA942">
        <v>0.5</v>
      </c>
      <c r="AB942" t="inlineStr">
        <is>
          <t xml:space="preserve">W</t>
        </is>
      </c>
      <c r="AC942" t="inlineStr">
        <is>
          <t xml:space="preserve">2&amp;1</t>
        </is>
      </c>
      <c r="AE942" t="str">
        <f>$V942&amp;$Y942</f>
        <v>Hilts</v>
      </c>
      <c r="AF942">
        <v>0.5</v>
      </c>
      <c r="AG942">
        <v>1</v>
      </c>
      <c r="AH942">
        <v>0</v>
      </c>
      <c r="AI942">
        <v>0</v>
      </c>
    </row>
    <row r="943" spans="1:40" ht="15" customHeight="1" x14ac:dyDescent="0.2">
      <c r="B943" t="inlineStr">
        <is>
          <t xml:space="preserve">FT1</t>
        </is>
      </c>
      <c r="D943">
        <v>13</v>
      </c>
      <c r="E943" t="inlineStr">
        <is>
          <t xml:space="preserve">FBC13-FT</t>
        </is>
      </c>
      <c r="F943" t="inlineStr">
        <is>
          <t xml:space="preserve">Friday</t>
        </is>
      </c>
      <c r="G943" s="15">
        <v>46297</v>
      </c>
      <c r="H943" t="inlineStr">
        <is>
          <t xml:space="preserve">PM</t>
        </is>
      </c>
      <c r="I943" t="inlineStr">
        <is>
          <t xml:space="preserve">Frisco, TX</t>
        </is>
      </c>
      <c r="J943" t="inlineStr">
        <is>
          <t xml:space="preserve">South</t>
        </is>
      </c>
      <c r="K943">
        <v>10</v>
      </c>
      <c r="L943" t="inlineStr">
        <is>
          <t xml:space="preserve">Full</t>
        </is>
      </c>
      <c r="M943" t="inlineStr">
        <is>
          <t xml:space="preserve">The Swing</t>
        </is>
      </c>
      <c r="P943">
        <v>110</v>
      </c>
      <c r="Q943">
        <v>694</v>
      </c>
      <c r="R943" t="inlineStr">
        <is>
          <t xml:space="preserve">FTAS</t>
        </is>
      </c>
      <c r="S943" t="inlineStr">
        <is>
          <t xml:space="preserve">FTAS</t>
        </is>
      </c>
      <c r="T943" t="inlineStr">
        <is>
          <t xml:space="preserve">Under 6'</t>
        </is>
      </c>
      <c r="U943" t="inlineStr">
        <is>
          <t xml:space="preserve">Forster</t>
        </is>
      </c>
      <c r="V943" t="inlineStr">
        <is>
          <t xml:space="preserve">Norat</t>
        </is>
      </c>
      <c r="AA943">
        <v>0.5</v>
      </c>
      <c r="AB943" t="inlineStr">
        <is>
          <t xml:space="preserve">W</t>
        </is>
      </c>
      <c r="AC943" t="inlineStr">
        <is>
          <t xml:space="preserve">2&amp;1</t>
        </is>
      </c>
      <c r="AE943" t="str">
        <f>$V943&amp;$Y943</f>
        <v>Norat</v>
      </c>
      <c r="AF943">
        <v>0.5</v>
      </c>
      <c r="AG943">
        <v>1</v>
      </c>
      <c r="AH943">
        <v>0</v>
      </c>
      <c r="AI943">
        <v>0</v>
      </c>
    </row>
    <row r="944" spans="1:40" ht="15" customHeight="1" x14ac:dyDescent="0.2">
      <c r="B944" t="inlineStr">
        <is>
          <t xml:space="preserve">FT1</t>
        </is>
      </c>
      <c r="D944">
        <v>13</v>
      </c>
      <c r="E944" t="inlineStr">
        <is>
          <t xml:space="preserve">FBC13-FT</t>
        </is>
      </c>
      <c r="F944" t="inlineStr">
        <is>
          <t xml:space="preserve">Friday</t>
        </is>
      </c>
      <c r="G944" s="15">
        <v>46297</v>
      </c>
      <c r="H944" t="inlineStr">
        <is>
          <t xml:space="preserve">PM</t>
        </is>
      </c>
      <c r="I944" t="inlineStr">
        <is>
          <t xml:space="preserve">Frisco, TX</t>
        </is>
      </c>
      <c r="J944" t="inlineStr">
        <is>
          <t xml:space="preserve">South</t>
        </is>
      </c>
      <c r="K944">
        <v>10</v>
      </c>
      <c r="L944" t="inlineStr">
        <is>
          <t xml:space="preserve">Full</t>
        </is>
      </c>
      <c r="M944" t="inlineStr">
        <is>
          <t xml:space="preserve">The Swing</t>
        </is>
      </c>
      <c r="P944">
        <v>110</v>
      </c>
      <c r="Q944">
        <v>694</v>
      </c>
      <c r="R944" t="inlineStr">
        <is>
          <t xml:space="preserve">FTAS</t>
        </is>
      </c>
      <c r="S944" t="inlineStr">
        <is>
          <t xml:space="preserve">FTAS</t>
        </is>
      </c>
      <c r="T944" t="inlineStr">
        <is>
          <t xml:space="preserve">Under 6'</t>
        </is>
      </c>
      <c r="U944" t="inlineStr">
        <is>
          <t xml:space="preserve">Forster</t>
        </is>
      </c>
      <c r="V944" t="inlineStr">
        <is>
          <t xml:space="preserve">Poirier</t>
        </is>
      </c>
      <c r="AA944">
        <v>0.5</v>
      </c>
      <c r="AB944" t="inlineStr">
        <is>
          <t xml:space="preserve">W</t>
        </is>
      </c>
      <c r="AC944" t="inlineStr">
        <is>
          <t xml:space="preserve">2&amp;1</t>
        </is>
      </c>
      <c r="AE944" t="str">
        <f>$V944&amp;$Y944</f>
        <v>Poirier</v>
      </c>
      <c r="AF944">
        <v>0.5</v>
      </c>
      <c r="AG944">
        <v>1</v>
      </c>
      <c r="AH944">
        <v>0</v>
      </c>
      <c r="AI944">
        <v>0</v>
      </c>
    </row>
    <row r="945" spans="1:40" ht="15" customHeight="1" x14ac:dyDescent="0.2">
      <c r="B945" t="inlineStr">
        <is>
          <t xml:space="preserve">FT1</t>
        </is>
      </c>
      <c r="D945">
        <v>13</v>
      </c>
      <c r="E945" t="inlineStr">
        <is>
          <t xml:space="preserve">FBC13-FT</t>
        </is>
      </c>
      <c r="F945" t="inlineStr">
        <is>
          <t xml:space="preserve">Friday</t>
        </is>
      </c>
      <c r="G945" s="15">
        <v>46297</v>
      </c>
      <c r="H945" t="inlineStr">
        <is>
          <t xml:space="preserve">PM</t>
        </is>
      </c>
      <c r="I945" t="inlineStr">
        <is>
          <t xml:space="preserve">Frisco, TX</t>
        </is>
      </c>
      <c r="J945" t="inlineStr">
        <is>
          <t xml:space="preserve">South</t>
        </is>
      </c>
      <c r="K945">
        <v>10</v>
      </c>
      <c r="L945" t="inlineStr">
        <is>
          <t xml:space="preserve">Full</t>
        </is>
      </c>
      <c r="M945" t="inlineStr">
        <is>
          <t xml:space="preserve">The Swing</t>
        </is>
      </c>
      <c r="P945">
        <v>110</v>
      </c>
      <c r="Q945">
        <v>694</v>
      </c>
      <c r="R945" t="inlineStr">
        <is>
          <t xml:space="preserve">FTAS</t>
        </is>
      </c>
      <c r="S945" t="inlineStr">
        <is>
          <t xml:space="preserve">FTAS</t>
        </is>
      </c>
      <c r="T945" t="inlineStr">
        <is>
          <t xml:space="preserve">Under 6'</t>
        </is>
      </c>
      <c r="U945" t="inlineStr">
        <is>
          <t xml:space="preserve">Forster</t>
        </is>
      </c>
      <c r="V945" t="inlineStr">
        <is>
          <t xml:space="preserve">Zimmer</t>
        </is>
      </c>
      <c r="AA945">
        <v>0.5</v>
      </c>
      <c r="AB945" t="inlineStr">
        <is>
          <t xml:space="preserve">W</t>
        </is>
      </c>
      <c r="AC945" t="inlineStr">
        <is>
          <t xml:space="preserve">2&amp;1</t>
        </is>
      </c>
      <c r="AE945" t="str">
        <f>$V945&amp;$Y945</f>
        <v>Zimmer</v>
      </c>
      <c r="AF945">
        <v>0.5</v>
      </c>
      <c r="AG945">
        <v>1</v>
      </c>
      <c r="AH945">
        <v>0</v>
      </c>
      <c r="AI945">
        <v>0</v>
      </c>
    </row>
    <row r="946" spans="1:40" ht="15" customHeight="1" x14ac:dyDescent="0.2">
      <c r="B946">
        <v>25</v>
      </c>
      <c r="D946">
        <v>13</v>
      </c>
      <c r="E946" t="inlineStr">
        <is>
          <t xml:space="preserve">FBC13-S-Forster-Mangold</t>
        </is>
      </c>
      <c r="F946" t="inlineStr">
        <is>
          <t xml:space="preserve">Saturday</t>
        </is>
      </c>
      <c r="G946" s="15">
        <v>46298</v>
      </c>
      <c r="H946" t="inlineStr">
        <is>
          <t xml:space="preserve">PM</t>
        </is>
      </c>
      <c r="I946" t="inlineStr">
        <is>
          <t xml:space="preserve">Frisco, TX</t>
        </is>
      </c>
      <c r="J946" t="inlineStr">
        <is>
          <t xml:space="preserve">South</t>
        </is>
      </c>
      <c r="K946">
        <v>18</v>
      </c>
      <c r="L946" t="inlineStr">
        <is>
          <t xml:space="preserve">Full</t>
        </is>
      </c>
      <c r="M946" t="inlineStr">
        <is>
          <t xml:space="preserve">Fields Ranch East</t>
        </is>
      </c>
      <c r="N946" t="inlineStr">
        <is>
          <t xml:space="preserve">III (Green)</t>
        </is>
      </c>
      <c r="O946">
        <v>72.6</v>
      </c>
      <c r="P946">
        <v>140</v>
      </c>
      <c r="Q946">
        <v>6543</v>
      </c>
      <c r="R946" t="inlineStr">
        <is>
          <t xml:space="preserve">Match Play</t>
        </is>
      </c>
      <c r="S946" t="inlineStr">
        <is>
          <t xml:space="preserve">Singles</t>
        </is>
      </c>
      <c r="T946" t="inlineStr">
        <is>
          <t xml:space="preserve">Under 6'</t>
        </is>
      </c>
      <c r="U946" t="inlineStr">
        <is>
          <t xml:space="preserve">Mangold</t>
        </is>
      </c>
      <c r="V946" t="inlineStr">
        <is>
          <t xml:space="preserve">Mangold</t>
        </is>
      </c>
      <c r="X946">
        <v>19</v>
      </c>
      <c r="AA946">
        <v>2</v>
      </c>
      <c r="AB946" t="inlineStr">
        <is>
          <t xml:space="preserve">L</t>
        </is>
      </c>
      <c r="AC946" t="inlineStr">
        <is>
          <t xml:space="preserve">4 Up</t>
        </is>
      </c>
      <c r="AD946" t="inlineStr">
        <is>
          <t xml:space="preserve">Forster</t>
        </is>
      </c>
      <c r="AE946" t="str">
        <f>$V946&amp;$Y946</f>
        <v>Mangold</v>
      </c>
      <c r="AF946">
        <v>0</v>
      </c>
      <c r="AG946">
        <v>0</v>
      </c>
      <c r="AH946">
        <v>1</v>
      </c>
      <c r="AI946">
        <v>0</v>
      </c>
    </row>
    <row r="947" spans="1:40" ht="15" customHeight="1" x14ac:dyDescent="0.2">
      <c r="B947">
        <v>25</v>
      </c>
      <c r="D947">
        <v>13</v>
      </c>
      <c r="E947" t="inlineStr">
        <is>
          <t xml:space="preserve">FBC13-S-Forster-Mangold</t>
        </is>
      </c>
      <c r="F947" t="inlineStr">
        <is>
          <t xml:space="preserve">Saturday</t>
        </is>
      </c>
      <c r="G947" s="15">
        <v>46298</v>
      </c>
      <c r="H947" t="inlineStr">
        <is>
          <t xml:space="preserve">PM</t>
        </is>
      </c>
      <c r="I947" t="inlineStr">
        <is>
          <t xml:space="preserve">Frisco, TX</t>
        </is>
      </c>
      <c r="J947" t="inlineStr">
        <is>
          <t xml:space="preserve">South</t>
        </is>
      </c>
      <c r="K947">
        <v>18</v>
      </c>
      <c r="L947" t="inlineStr">
        <is>
          <t xml:space="preserve">Full</t>
        </is>
      </c>
      <c r="M947" t="inlineStr">
        <is>
          <t xml:space="preserve">Fields Ranch East</t>
        </is>
      </c>
      <c r="N947" t="inlineStr">
        <is>
          <t xml:space="preserve">III (Green)</t>
        </is>
      </c>
      <c r="O947">
        <v>72.6</v>
      </c>
      <c r="P947">
        <v>140</v>
      </c>
      <c r="Q947">
        <v>6543</v>
      </c>
      <c r="R947" t="inlineStr">
        <is>
          <t xml:space="preserve">Match Play</t>
        </is>
      </c>
      <c r="S947" t="inlineStr">
        <is>
          <t xml:space="preserve">Singles</t>
        </is>
      </c>
      <c r="T947" t="inlineStr">
        <is>
          <t xml:space="preserve">Under 6'</t>
        </is>
      </c>
      <c r="U947" t="inlineStr">
        <is>
          <t xml:space="preserve">Forster</t>
        </is>
      </c>
      <c r="V947" t="inlineStr">
        <is>
          <t xml:space="preserve">Forster</t>
        </is>
      </c>
      <c r="X947">
        <v>16</v>
      </c>
      <c r="AA947">
        <v>2</v>
      </c>
      <c r="AB947" t="inlineStr">
        <is>
          <t xml:space="preserve">W</t>
        </is>
      </c>
      <c r="AC947" t="inlineStr">
        <is>
          <t xml:space="preserve">4 Up</t>
        </is>
      </c>
      <c r="AD947" t="inlineStr">
        <is>
          <t xml:space="preserve">Mangold</t>
        </is>
      </c>
      <c r="AE947" t="str">
        <f>$V947&amp;$Y947</f>
        <v>Forster</v>
      </c>
      <c r="AF947">
        <v>2</v>
      </c>
      <c r="AG947">
        <v>1</v>
      </c>
      <c r="AH947">
        <v>0</v>
      </c>
      <c r="AI947">
        <v>0</v>
      </c>
    </row>
    <row r="948" spans="1:40" ht="15" customHeight="1" x14ac:dyDescent="0.2">
      <c r="B948">
        <v>26</v>
      </c>
      <c r="D948">
        <v>13</v>
      </c>
      <c r="E948" t="inlineStr">
        <is>
          <t xml:space="preserve">FBC13-S-Norat-Shively</t>
        </is>
      </c>
      <c r="F948" t="inlineStr">
        <is>
          <t xml:space="preserve">Saturday</t>
        </is>
      </c>
      <c r="G948" s="15">
        <v>46298</v>
      </c>
      <c r="H948" t="inlineStr">
        <is>
          <t xml:space="preserve">PM</t>
        </is>
      </c>
      <c r="I948" t="inlineStr">
        <is>
          <t xml:space="preserve">Frisco, TX</t>
        </is>
      </c>
      <c r="J948" t="inlineStr">
        <is>
          <t xml:space="preserve">South</t>
        </is>
      </c>
      <c r="K948">
        <v>18</v>
      </c>
      <c r="L948" t="inlineStr">
        <is>
          <t xml:space="preserve">Full</t>
        </is>
      </c>
      <c r="M948" t="inlineStr">
        <is>
          <t xml:space="preserve">Fields Ranch East</t>
        </is>
      </c>
      <c r="N948" t="inlineStr">
        <is>
          <t xml:space="preserve">III (Green)</t>
        </is>
      </c>
      <c r="O948">
        <v>72.6</v>
      </c>
      <c r="P948">
        <v>140</v>
      </c>
      <c r="Q948">
        <v>6543</v>
      </c>
      <c r="R948" t="inlineStr">
        <is>
          <t xml:space="preserve">Match Play</t>
        </is>
      </c>
      <c r="S948" t="inlineStr">
        <is>
          <t xml:space="preserve">Singles</t>
        </is>
      </c>
      <c r="T948" t="inlineStr">
        <is>
          <t xml:space="preserve">Under 6'</t>
        </is>
      </c>
      <c r="U948" t="inlineStr">
        <is>
          <t xml:space="preserve">Mangold</t>
        </is>
      </c>
      <c r="V948" t="inlineStr">
        <is>
          <t xml:space="preserve">Shively</t>
        </is>
      </c>
      <c r="X948">
        <v>17</v>
      </c>
      <c r="AA948">
        <v>2</v>
      </c>
      <c r="AB948" t="inlineStr">
        <is>
          <t xml:space="preserve">L</t>
        </is>
      </c>
      <c r="AC948" t="inlineStr">
        <is>
          <t xml:space="preserve">2&amp;1</t>
        </is>
      </c>
      <c r="AD948" t="inlineStr">
        <is>
          <t xml:space="preserve">Norat</t>
        </is>
      </c>
      <c r="AE948" t="str">
        <f>$V948&amp;$Y948</f>
        <v>Shively</v>
      </c>
      <c r="AF948">
        <v>0</v>
      </c>
      <c r="AG948">
        <v>0</v>
      </c>
      <c r="AH948">
        <v>1</v>
      </c>
      <c r="AI948">
        <v>0</v>
      </c>
    </row>
    <row r="949" spans="1:40" ht="15" customHeight="1" x14ac:dyDescent="0.2">
      <c r="B949">
        <v>26</v>
      </c>
      <c r="D949">
        <v>13</v>
      </c>
      <c r="E949" t="inlineStr">
        <is>
          <t xml:space="preserve">FBC13-S-Norat-Shively</t>
        </is>
      </c>
      <c r="F949" t="inlineStr">
        <is>
          <t xml:space="preserve">Saturday</t>
        </is>
      </c>
      <c r="G949" s="15">
        <v>46298</v>
      </c>
      <c r="H949" t="inlineStr">
        <is>
          <t xml:space="preserve">PM</t>
        </is>
      </c>
      <c r="I949" t="inlineStr">
        <is>
          <t xml:space="preserve">Frisco, TX</t>
        </is>
      </c>
      <c r="J949" t="inlineStr">
        <is>
          <t xml:space="preserve">South</t>
        </is>
      </c>
      <c r="K949">
        <v>18</v>
      </c>
      <c r="L949" t="inlineStr">
        <is>
          <t xml:space="preserve">Full</t>
        </is>
      </c>
      <c r="M949" t="inlineStr">
        <is>
          <t xml:space="preserve">Fields Ranch East</t>
        </is>
      </c>
      <c r="N949" t="inlineStr">
        <is>
          <t xml:space="preserve">III (Green)</t>
        </is>
      </c>
      <c r="O949">
        <v>72.6</v>
      </c>
      <c r="P949">
        <v>140</v>
      </c>
      <c r="Q949">
        <v>6543</v>
      </c>
      <c r="R949" t="inlineStr">
        <is>
          <t xml:space="preserve">Match Play</t>
        </is>
      </c>
      <c r="S949" t="inlineStr">
        <is>
          <t xml:space="preserve">Singles</t>
        </is>
      </c>
      <c r="T949" t="inlineStr">
        <is>
          <t xml:space="preserve">Under 6'</t>
        </is>
      </c>
      <c r="U949" t="inlineStr">
        <is>
          <t xml:space="preserve">Forster</t>
        </is>
      </c>
      <c r="V949" t="inlineStr">
        <is>
          <t xml:space="preserve">Norat</t>
        </is>
      </c>
      <c r="X949">
        <v>21</v>
      </c>
      <c r="AA949">
        <v>2</v>
      </c>
      <c r="AB949" t="inlineStr">
        <is>
          <t xml:space="preserve">W</t>
        </is>
      </c>
      <c r="AC949" t="inlineStr">
        <is>
          <t xml:space="preserve">2&amp;1</t>
        </is>
      </c>
      <c r="AD949" t="inlineStr">
        <is>
          <t xml:space="preserve">Shively</t>
        </is>
      </c>
      <c r="AE949" t="str">
        <f>$V949&amp;$Y949</f>
        <v>Norat</v>
      </c>
      <c r="AF949">
        <v>2</v>
      </c>
      <c r="AG949">
        <v>1</v>
      </c>
      <c r="AH949">
        <v>0</v>
      </c>
      <c r="AI949">
        <v>0</v>
      </c>
    </row>
    <row r="950" spans="1:40" ht="15" customHeight="1" x14ac:dyDescent="0.2">
      <c r="B950">
        <v>27</v>
      </c>
      <c r="D950">
        <v>13</v>
      </c>
      <c r="E950" t="inlineStr">
        <is>
          <t xml:space="preserve">FBC13-S-Flanders-Perkins</t>
        </is>
      </c>
      <c r="F950" t="inlineStr">
        <is>
          <t xml:space="preserve">Saturday</t>
        </is>
      </c>
      <c r="G950" s="15">
        <v>46298</v>
      </c>
      <c r="H950" t="inlineStr">
        <is>
          <t xml:space="preserve">PM</t>
        </is>
      </c>
      <c r="I950" t="inlineStr">
        <is>
          <t xml:space="preserve">Frisco, TX</t>
        </is>
      </c>
      <c r="J950" t="inlineStr">
        <is>
          <t xml:space="preserve">South</t>
        </is>
      </c>
      <c r="K950">
        <v>18</v>
      </c>
      <c r="L950" t="inlineStr">
        <is>
          <t xml:space="preserve">Full</t>
        </is>
      </c>
      <c r="M950" t="inlineStr">
        <is>
          <t xml:space="preserve">Fields Ranch East</t>
        </is>
      </c>
      <c r="N950" t="inlineStr">
        <is>
          <t xml:space="preserve">III (Green)</t>
        </is>
      </c>
      <c r="O950">
        <v>72.6</v>
      </c>
      <c r="P950">
        <v>140</v>
      </c>
      <c r="Q950">
        <v>6543</v>
      </c>
      <c r="R950" t="inlineStr">
        <is>
          <t xml:space="preserve">Match Play</t>
        </is>
      </c>
      <c r="S950" t="inlineStr">
        <is>
          <t xml:space="preserve">Singles</t>
        </is>
      </c>
      <c r="T950" t="inlineStr">
        <is>
          <t xml:space="preserve">Under 6'</t>
        </is>
      </c>
      <c r="U950" t="inlineStr">
        <is>
          <t xml:space="preserve">Mangold</t>
        </is>
      </c>
      <c r="V950" t="inlineStr">
        <is>
          <t xml:space="preserve">Perkins</t>
        </is>
      </c>
      <c r="X950">
        <v>10</v>
      </c>
      <c r="AA950">
        <v>2</v>
      </c>
      <c r="AB950" t="inlineStr">
        <is>
          <t xml:space="preserve">L</t>
        </is>
      </c>
      <c r="AC950" t="inlineStr">
        <is>
          <t xml:space="preserve">5&amp;4</t>
        </is>
      </c>
      <c r="AD950" t="inlineStr">
        <is>
          <t xml:space="preserve">Flanders</t>
        </is>
      </c>
      <c r="AE950" t="str">
        <f>$V950&amp;$Y950</f>
        <v>Perkins</v>
      </c>
      <c r="AF950">
        <v>0</v>
      </c>
      <c r="AG950">
        <v>0</v>
      </c>
      <c r="AH950">
        <v>1</v>
      </c>
      <c r="AI950">
        <v>0</v>
      </c>
    </row>
    <row r="951" spans="1:40" ht="15" customHeight="1" x14ac:dyDescent="0.2">
      <c r="B951">
        <v>27</v>
      </c>
      <c r="D951">
        <v>13</v>
      </c>
      <c r="E951" t="inlineStr">
        <is>
          <t xml:space="preserve">FBC13-S-Flanders-Perkins</t>
        </is>
      </c>
      <c r="F951" t="inlineStr">
        <is>
          <t xml:space="preserve">Saturday</t>
        </is>
      </c>
      <c r="G951" s="15">
        <v>46298</v>
      </c>
      <c r="H951" t="inlineStr">
        <is>
          <t xml:space="preserve">PM</t>
        </is>
      </c>
      <c r="I951" t="inlineStr">
        <is>
          <t xml:space="preserve">Frisco, TX</t>
        </is>
      </c>
      <c r="J951" t="inlineStr">
        <is>
          <t xml:space="preserve">South</t>
        </is>
      </c>
      <c r="K951">
        <v>18</v>
      </c>
      <c r="L951" t="inlineStr">
        <is>
          <t xml:space="preserve">Full</t>
        </is>
      </c>
      <c r="M951" t="inlineStr">
        <is>
          <t xml:space="preserve">Fields Ranch East</t>
        </is>
      </c>
      <c r="N951" t="inlineStr">
        <is>
          <t xml:space="preserve">III (Green)</t>
        </is>
      </c>
      <c r="O951">
        <v>72.6</v>
      </c>
      <c r="P951">
        <v>140</v>
      </c>
      <c r="Q951">
        <v>6543</v>
      </c>
      <c r="R951" t="inlineStr">
        <is>
          <t xml:space="preserve">Match Play</t>
        </is>
      </c>
      <c r="S951" t="inlineStr">
        <is>
          <t xml:space="preserve">Singles</t>
        </is>
      </c>
      <c r="T951" t="inlineStr">
        <is>
          <t xml:space="preserve">Under 6'</t>
        </is>
      </c>
      <c r="U951" t="inlineStr">
        <is>
          <t xml:space="preserve">Forster</t>
        </is>
      </c>
      <c r="V951" t="inlineStr">
        <is>
          <t xml:space="preserve">Flanders</t>
        </is>
      </c>
      <c r="X951">
        <v>14</v>
      </c>
      <c r="AA951">
        <v>2</v>
      </c>
      <c r="AB951" t="inlineStr">
        <is>
          <t xml:space="preserve">W</t>
        </is>
      </c>
      <c r="AC951" t="inlineStr">
        <is>
          <t xml:space="preserve">5&amp;4</t>
        </is>
      </c>
      <c r="AD951" t="inlineStr">
        <is>
          <t xml:space="preserve">Perkins</t>
        </is>
      </c>
      <c r="AE951" t="str">
        <f>$V951&amp;$Y951</f>
        <v>Flanders</v>
      </c>
      <c r="AF951">
        <v>2</v>
      </c>
      <c r="AG951">
        <v>1</v>
      </c>
      <c r="AH951">
        <v>0</v>
      </c>
      <c r="AI951">
        <v>0</v>
      </c>
    </row>
    <row r="952" spans="1:40" ht="15" customHeight="1" x14ac:dyDescent="0.2">
      <c r="B952">
        <v>28</v>
      </c>
      <c r="D952">
        <v>13</v>
      </c>
      <c r="E952" t="inlineStr">
        <is>
          <t xml:space="preserve">FBC13-S-Piegari-Poirier</t>
        </is>
      </c>
      <c r="F952" t="inlineStr">
        <is>
          <t xml:space="preserve">Saturday</t>
        </is>
      </c>
      <c r="G952" s="15">
        <v>46298</v>
      </c>
      <c r="H952" t="inlineStr">
        <is>
          <t xml:space="preserve">PM</t>
        </is>
      </c>
      <c r="I952" t="inlineStr">
        <is>
          <t xml:space="preserve">Frisco, TX</t>
        </is>
      </c>
      <c r="J952" t="inlineStr">
        <is>
          <t xml:space="preserve">South</t>
        </is>
      </c>
      <c r="K952">
        <v>18</v>
      </c>
      <c r="L952" t="inlineStr">
        <is>
          <t xml:space="preserve">Full</t>
        </is>
      </c>
      <c r="M952" t="inlineStr">
        <is>
          <t xml:space="preserve">Fields Ranch East</t>
        </is>
      </c>
      <c r="N952" t="inlineStr">
        <is>
          <t xml:space="preserve">III (Green)</t>
        </is>
      </c>
      <c r="O952">
        <v>72.6</v>
      </c>
      <c r="P952">
        <v>140</v>
      </c>
      <c r="Q952">
        <v>6543</v>
      </c>
      <c r="R952" t="inlineStr">
        <is>
          <t xml:space="preserve">Match Play</t>
        </is>
      </c>
      <c r="S952" t="inlineStr">
        <is>
          <t xml:space="preserve">Singles</t>
        </is>
      </c>
      <c r="T952" t="inlineStr">
        <is>
          <t xml:space="preserve">Under 6'</t>
        </is>
      </c>
      <c r="U952" t="inlineStr">
        <is>
          <t xml:space="preserve">Mangold</t>
        </is>
      </c>
      <c r="V952" t="inlineStr">
        <is>
          <t xml:space="preserve">Piegari</t>
        </is>
      </c>
      <c r="X952">
        <v>13</v>
      </c>
      <c r="AA952">
        <v>2</v>
      </c>
      <c r="AB952" t="inlineStr">
        <is>
          <t xml:space="preserve">W</t>
        </is>
      </c>
      <c r="AC952" t="inlineStr">
        <is>
          <t xml:space="preserve">7&amp;6</t>
        </is>
      </c>
      <c r="AD952" t="inlineStr">
        <is>
          <t xml:space="preserve">Poirier</t>
        </is>
      </c>
      <c r="AE952" t="str">
        <f>$V952&amp;$Y952</f>
        <v>Piegari</v>
      </c>
      <c r="AF952">
        <v>2</v>
      </c>
      <c r="AG952">
        <v>1</v>
      </c>
      <c r="AH952">
        <v>0</v>
      </c>
      <c r="AI952">
        <v>0</v>
      </c>
    </row>
    <row r="953" spans="1:40" ht="15" customHeight="1" x14ac:dyDescent="0.2">
      <c r="B953">
        <v>28</v>
      </c>
      <c r="D953">
        <v>13</v>
      </c>
      <c r="E953" t="inlineStr">
        <is>
          <t xml:space="preserve">FBC13-S-Piegari-Poirier</t>
        </is>
      </c>
      <c r="F953" t="inlineStr">
        <is>
          <t xml:space="preserve">Saturday</t>
        </is>
      </c>
      <c r="G953" s="15">
        <v>46298</v>
      </c>
      <c r="H953" t="inlineStr">
        <is>
          <t xml:space="preserve">PM</t>
        </is>
      </c>
      <c r="I953" t="inlineStr">
        <is>
          <t xml:space="preserve">Frisco, TX</t>
        </is>
      </c>
      <c r="J953" t="inlineStr">
        <is>
          <t xml:space="preserve">South</t>
        </is>
      </c>
      <c r="K953">
        <v>18</v>
      </c>
      <c r="L953" t="inlineStr">
        <is>
          <t xml:space="preserve">Full</t>
        </is>
      </c>
      <c r="M953" t="inlineStr">
        <is>
          <t xml:space="preserve">Fields Ranch East</t>
        </is>
      </c>
      <c r="N953" t="inlineStr">
        <is>
          <t xml:space="preserve">III (Green)</t>
        </is>
      </c>
      <c r="O953">
        <v>72.6</v>
      </c>
      <c r="P953">
        <v>140</v>
      </c>
      <c r="Q953">
        <v>6543</v>
      </c>
      <c r="R953" t="inlineStr">
        <is>
          <t xml:space="preserve">Match Play</t>
        </is>
      </c>
      <c r="S953" t="inlineStr">
        <is>
          <t xml:space="preserve">Singles</t>
        </is>
      </c>
      <c r="T953" t="inlineStr">
        <is>
          <t xml:space="preserve">Under 6'</t>
        </is>
      </c>
      <c r="U953" t="inlineStr">
        <is>
          <t xml:space="preserve">Forster</t>
        </is>
      </c>
      <c r="V953" t="inlineStr">
        <is>
          <t xml:space="preserve">Poirier</t>
        </is>
      </c>
      <c r="X953">
        <v>7</v>
      </c>
      <c r="AA953">
        <v>2</v>
      </c>
      <c r="AB953" t="inlineStr">
        <is>
          <t xml:space="preserve">L</t>
        </is>
      </c>
      <c r="AC953" t="inlineStr">
        <is>
          <t xml:space="preserve">7&amp;6</t>
        </is>
      </c>
      <c r="AD953" t="inlineStr">
        <is>
          <t xml:space="preserve">Piegari</t>
        </is>
      </c>
      <c r="AE953" t="str">
        <f>$V953&amp;$Y953</f>
        <v>Poirier</v>
      </c>
      <c r="AF953">
        <v>0</v>
      </c>
      <c r="AG953">
        <v>0</v>
      </c>
      <c r="AH953">
        <v>1</v>
      </c>
      <c r="AI953">
        <v>0</v>
      </c>
    </row>
    <row r="954" spans="1:40" ht="15" customHeight="1" x14ac:dyDescent="0.2">
      <c r="B954">
        <v>29</v>
      </c>
      <c r="D954">
        <v>13</v>
      </c>
      <c r="E954" t="inlineStr">
        <is>
          <t xml:space="preserve">FBC13-S-Grise-McInerney</t>
        </is>
      </c>
      <c r="F954" t="inlineStr">
        <is>
          <t xml:space="preserve">Saturday</t>
        </is>
      </c>
      <c r="G954" s="15">
        <v>46298</v>
      </c>
      <c r="H954" t="inlineStr">
        <is>
          <t xml:space="preserve">PM</t>
        </is>
      </c>
      <c r="I954" t="inlineStr">
        <is>
          <t xml:space="preserve">Frisco, TX</t>
        </is>
      </c>
      <c r="J954" t="inlineStr">
        <is>
          <t xml:space="preserve">South</t>
        </is>
      </c>
      <c r="K954">
        <v>18</v>
      </c>
      <c r="L954" t="inlineStr">
        <is>
          <t xml:space="preserve">Full</t>
        </is>
      </c>
      <c r="M954" t="inlineStr">
        <is>
          <t xml:space="preserve">Fields Ranch East</t>
        </is>
      </c>
      <c r="N954" t="inlineStr">
        <is>
          <t xml:space="preserve">III (Green)</t>
        </is>
      </c>
      <c r="O954">
        <v>72.6</v>
      </c>
      <c r="P954">
        <v>140</v>
      </c>
      <c r="Q954">
        <v>6543</v>
      </c>
      <c r="R954" t="inlineStr">
        <is>
          <t xml:space="preserve">Match Play</t>
        </is>
      </c>
      <c r="S954" t="inlineStr">
        <is>
          <t xml:space="preserve">Singles</t>
        </is>
      </c>
      <c r="T954" t="inlineStr">
        <is>
          <t xml:space="preserve">Under 6'</t>
        </is>
      </c>
      <c r="U954" t="inlineStr">
        <is>
          <t xml:space="preserve">Mangold</t>
        </is>
      </c>
      <c r="V954" t="inlineStr">
        <is>
          <t xml:space="preserve">McInerney</t>
        </is>
      </c>
      <c r="X954">
        <v>6</v>
      </c>
      <c r="AA954">
        <v>2</v>
      </c>
      <c r="AB954" t="inlineStr">
        <is>
          <t xml:space="preserve">L</t>
        </is>
      </c>
      <c r="AC954" t="inlineStr">
        <is>
          <t xml:space="preserve">2&amp;1</t>
        </is>
      </c>
      <c r="AD954" t="inlineStr">
        <is>
          <t xml:space="preserve">Grise</t>
        </is>
      </c>
      <c r="AE954" t="str">
        <f>$V954&amp;$Y954</f>
        <v>McInerney</v>
      </c>
      <c r="AF954">
        <v>0</v>
      </c>
      <c r="AG954">
        <v>0</v>
      </c>
      <c r="AH954">
        <v>1</v>
      </c>
      <c r="AI954">
        <v>0</v>
      </c>
    </row>
    <row r="955" spans="1:40" ht="15" customHeight="1" x14ac:dyDescent="0.2">
      <c r="B955">
        <v>29</v>
      </c>
      <c r="D955">
        <v>13</v>
      </c>
      <c r="E955" t="inlineStr">
        <is>
          <t xml:space="preserve">FBC13-S-Grise-McInerney</t>
        </is>
      </c>
      <c r="F955" t="inlineStr">
        <is>
          <t xml:space="preserve">Saturday</t>
        </is>
      </c>
      <c r="G955" s="15">
        <v>46298</v>
      </c>
      <c r="H955" t="inlineStr">
        <is>
          <t xml:space="preserve">PM</t>
        </is>
      </c>
      <c r="I955" t="inlineStr">
        <is>
          <t xml:space="preserve">Frisco, TX</t>
        </is>
      </c>
      <c r="J955" t="inlineStr">
        <is>
          <t xml:space="preserve">South</t>
        </is>
      </c>
      <c r="K955">
        <v>18</v>
      </c>
      <c r="L955" t="inlineStr">
        <is>
          <t xml:space="preserve">Full</t>
        </is>
      </c>
      <c r="M955" t="inlineStr">
        <is>
          <t xml:space="preserve">Fields Ranch East</t>
        </is>
      </c>
      <c r="N955" t="inlineStr">
        <is>
          <t xml:space="preserve">III (Green)</t>
        </is>
      </c>
      <c r="O955">
        <v>72.6</v>
      </c>
      <c r="P955">
        <v>140</v>
      </c>
      <c r="Q955">
        <v>6543</v>
      </c>
      <c r="R955" t="inlineStr">
        <is>
          <t xml:space="preserve">Match Play</t>
        </is>
      </c>
      <c r="S955" t="inlineStr">
        <is>
          <t xml:space="preserve">Singles</t>
        </is>
      </c>
      <c r="T955" t="inlineStr">
        <is>
          <t xml:space="preserve">Under 6'</t>
        </is>
      </c>
      <c r="U955" t="inlineStr">
        <is>
          <t xml:space="preserve">Forster</t>
        </is>
      </c>
      <c r="V955" t="inlineStr">
        <is>
          <t xml:space="preserve">Grise</t>
        </is>
      </c>
      <c r="X955">
        <v>13</v>
      </c>
      <c r="AA955">
        <v>2</v>
      </c>
      <c r="AB955" t="inlineStr">
        <is>
          <t xml:space="preserve">W</t>
        </is>
      </c>
      <c r="AC955" t="inlineStr">
        <is>
          <t xml:space="preserve">2&amp;1</t>
        </is>
      </c>
      <c r="AD955" t="inlineStr">
        <is>
          <t xml:space="preserve">McInerney</t>
        </is>
      </c>
      <c r="AE955" t="str">
        <f>$V955&amp;$Y955</f>
        <v>Grise</v>
      </c>
      <c r="AF955">
        <v>2</v>
      </c>
      <c r="AG955">
        <v>1</v>
      </c>
      <c r="AH955">
        <v>0</v>
      </c>
      <c r="AI955">
        <v>0</v>
      </c>
    </row>
    <row r="956" spans="1:40" ht="15" customHeight="1" x14ac:dyDescent="0.2">
      <c r="B956">
        <v>30</v>
      </c>
      <c r="D956">
        <v>13</v>
      </c>
      <c r="E956" t="inlineStr">
        <is>
          <t xml:space="preserve">FBC13-S-Cole-Fogan</t>
        </is>
      </c>
      <c r="F956" t="inlineStr">
        <is>
          <t xml:space="preserve">Saturday</t>
        </is>
      </c>
      <c r="G956" s="15">
        <v>46298</v>
      </c>
      <c r="H956" t="inlineStr">
        <is>
          <t xml:space="preserve">PM</t>
        </is>
      </c>
      <c r="I956" t="inlineStr">
        <is>
          <t xml:space="preserve">Frisco, TX</t>
        </is>
      </c>
      <c r="J956" t="inlineStr">
        <is>
          <t xml:space="preserve">South</t>
        </is>
      </c>
      <c r="K956">
        <v>18</v>
      </c>
      <c r="L956" t="inlineStr">
        <is>
          <t xml:space="preserve">Full</t>
        </is>
      </c>
      <c r="M956" t="inlineStr">
        <is>
          <t xml:space="preserve">Fields Ranch East</t>
        </is>
      </c>
      <c r="N956" t="inlineStr">
        <is>
          <t xml:space="preserve">III (Green)</t>
        </is>
      </c>
      <c r="O956">
        <v>72.6</v>
      </c>
      <c r="P956">
        <v>140</v>
      </c>
      <c r="Q956">
        <v>6543</v>
      </c>
      <c r="R956" t="inlineStr">
        <is>
          <t xml:space="preserve">Match Play</t>
        </is>
      </c>
      <c r="S956" t="inlineStr">
        <is>
          <t xml:space="preserve">Singles</t>
        </is>
      </c>
      <c r="T956" t="inlineStr">
        <is>
          <t xml:space="preserve">Under 6'</t>
        </is>
      </c>
      <c r="U956" t="inlineStr">
        <is>
          <t xml:space="preserve">Mangold</t>
        </is>
      </c>
      <c r="V956" t="inlineStr">
        <is>
          <t xml:space="preserve">Fogan</t>
        </is>
      </c>
      <c r="X956">
        <v>21</v>
      </c>
      <c r="AA956">
        <v>2</v>
      </c>
      <c r="AB956" t="inlineStr">
        <is>
          <t xml:space="preserve">L</t>
        </is>
      </c>
      <c r="AC956" t="inlineStr">
        <is>
          <t xml:space="preserve">3&amp;2</t>
        </is>
      </c>
      <c r="AD956" t="inlineStr">
        <is>
          <t xml:space="preserve">Cole</t>
        </is>
      </c>
      <c r="AE956" t="str">
        <f>$V956&amp;$Y956</f>
        <v>Fogan</v>
      </c>
      <c r="AF956">
        <v>0</v>
      </c>
      <c r="AG956">
        <v>0</v>
      </c>
      <c r="AH956">
        <v>1</v>
      </c>
      <c r="AI956">
        <v>0</v>
      </c>
    </row>
    <row r="957" spans="1:40" ht="15" customHeight="1" x14ac:dyDescent="0.2">
      <c r="B957">
        <v>30</v>
      </c>
      <c r="D957">
        <v>13</v>
      </c>
      <c r="E957" t="inlineStr">
        <is>
          <t xml:space="preserve">FBC13-S-Cole-Fogan</t>
        </is>
      </c>
      <c r="F957" t="inlineStr">
        <is>
          <t xml:space="preserve">Saturday</t>
        </is>
      </c>
      <c r="G957" s="15">
        <v>46298</v>
      </c>
      <c r="H957" t="inlineStr">
        <is>
          <t xml:space="preserve">PM</t>
        </is>
      </c>
      <c r="I957" t="inlineStr">
        <is>
          <t xml:space="preserve">Frisco, TX</t>
        </is>
      </c>
      <c r="J957" t="inlineStr">
        <is>
          <t xml:space="preserve">South</t>
        </is>
      </c>
      <c r="K957">
        <v>18</v>
      </c>
      <c r="L957" t="inlineStr">
        <is>
          <t xml:space="preserve">Full</t>
        </is>
      </c>
      <c r="M957" t="inlineStr">
        <is>
          <t xml:space="preserve">Fields Ranch East</t>
        </is>
      </c>
      <c r="N957" t="inlineStr">
        <is>
          <t xml:space="preserve">III (Green)</t>
        </is>
      </c>
      <c r="O957">
        <v>72.6</v>
      </c>
      <c r="P957">
        <v>140</v>
      </c>
      <c r="Q957">
        <v>6543</v>
      </c>
      <c r="R957" t="inlineStr">
        <is>
          <t xml:space="preserve">Match Play</t>
        </is>
      </c>
      <c r="S957" t="inlineStr">
        <is>
          <t xml:space="preserve">Singles</t>
        </is>
      </c>
      <c r="T957" t="inlineStr">
        <is>
          <t xml:space="preserve">Under 6'</t>
        </is>
      </c>
      <c r="U957" t="inlineStr">
        <is>
          <t xml:space="preserve">Forster</t>
        </is>
      </c>
      <c r="V957" t="inlineStr">
        <is>
          <t xml:space="preserve">Cole</t>
        </is>
      </c>
      <c r="X957">
        <v>21</v>
      </c>
      <c r="AA957">
        <v>2</v>
      </c>
      <c r="AB957" t="inlineStr">
        <is>
          <t xml:space="preserve">W</t>
        </is>
      </c>
      <c r="AC957" t="inlineStr">
        <is>
          <t xml:space="preserve">3&amp;2</t>
        </is>
      </c>
      <c r="AD957" t="inlineStr">
        <is>
          <t xml:space="preserve">Fogan</t>
        </is>
      </c>
      <c r="AE957" t="str">
        <f>$V957&amp;$Y957</f>
        <v>Cole</v>
      </c>
      <c r="AF957">
        <v>2</v>
      </c>
      <c r="AG957">
        <v>1</v>
      </c>
      <c r="AH957">
        <v>0</v>
      </c>
      <c r="AI957">
        <v>0</v>
      </c>
    </row>
    <row r="958" spans="1:40" ht="15" customHeight="1" x14ac:dyDescent="0.2">
      <c r="B958">
        <v>31</v>
      </c>
      <c r="D958">
        <v>13</v>
      </c>
      <c r="E958" t="inlineStr">
        <is>
          <t xml:space="preserve">FBC13-S-R. Connolly-Welker</t>
        </is>
      </c>
      <c r="F958" t="inlineStr">
        <is>
          <t xml:space="preserve">Saturday</t>
        </is>
      </c>
      <c r="G958" s="15">
        <v>46298</v>
      </c>
      <c r="H958" t="inlineStr">
        <is>
          <t xml:space="preserve">PM</t>
        </is>
      </c>
      <c r="I958" t="inlineStr">
        <is>
          <t xml:space="preserve">Frisco, TX</t>
        </is>
      </c>
      <c r="J958" t="inlineStr">
        <is>
          <t xml:space="preserve">South</t>
        </is>
      </c>
      <c r="K958">
        <v>18</v>
      </c>
      <c r="L958" t="inlineStr">
        <is>
          <t xml:space="preserve">Full</t>
        </is>
      </c>
      <c r="M958" t="inlineStr">
        <is>
          <t xml:space="preserve">Fields Ranch East</t>
        </is>
      </c>
      <c r="N958" t="inlineStr">
        <is>
          <t xml:space="preserve">III (Green)</t>
        </is>
      </c>
      <c r="O958">
        <v>72.6</v>
      </c>
      <c r="P958">
        <v>140</v>
      </c>
      <c r="Q958">
        <v>6543</v>
      </c>
      <c r="R958" t="inlineStr">
        <is>
          <t xml:space="preserve">Match Play</t>
        </is>
      </c>
      <c r="S958" t="inlineStr">
        <is>
          <t xml:space="preserve">Singles</t>
        </is>
      </c>
      <c r="T958" t="inlineStr">
        <is>
          <t xml:space="preserve">Under 6'</t>
        </is>
      </c>
      <c r="U958" t="inlineStr">
        <is>
          <t xml:space="preserve">Mangold</t>
        </is>
      </c>
      <c r="V958" t="inlineStr">
        <is>
          <t xml:space="preserve">Welker</t>
        </is>
      </c>
      <c r="X958">
        <v>17</v>
      </c>
      <c r="AA958">
        <v>2</v>
      </c>
      <c r="AB958" t="inlineStr">
        <is>
          <t xml:space="preserve">W</t>
        </is>
      </c>
      <c r="AC958" t="inlineStr">
        <is>
          <t xml:space="preserve">7&amp;6</t>
        </is>
      </c>
      <c r="AD958" t="inlineStr">
        <is>
          <t xml:space="preserve">R. Connolly</t>
        </is>
      </c>
      <c r="AE958" t="str">
        <f>$V958&amp;$Y958</f>
        <v>Welker</v>
      </c>
      <c r="AF958">
        <v>2</v>
      </c>
      <c r="AG958">
        <v>1</v>
      </c>
      <c r="AH958">
        <v>0</v>
      </c>
      <c r="AI958">
        <v>0</v>
      </c>
    </row>
    <row r="959" spans="1:40" ht="15" customHeight="1" x14ac:dyDescent="0.2">
      <c r="B959">
        <v>31</v>
      </c>
      <c r="D959">
        <v>13</v>
      </c>
      <c r="E959" t="inlineStr">
        <is>
          <t xml:space="preserve">FBC13-S-R. Connolly-Welker</t>
        </is>
      </c>
      <c r="F959" t="inlineStr">
        <is>
          <t xml:space="preserve">Saturday</t>
        </is>
      </c>
      <c r="G959" s="15">
        <v>46298</v>
      </c>
      <c r="H959" t="inlineStr">
        <is>
          <t xml:space="preserve">PM</t>
        </is>
      </c>
      <c r="I959" t="inlineStr">
        <is>
          <t xml:space="preserve">Frisco, TX</t>
        </is>
      </c>
      <c r="J959" t="inlineStr">
        <is>
          <t xml:space="preserve">South</t>
        </is>
      </c>
      <c r="K959">
        <v>18</v>
      </c>
      <c r="L959" t="inlineStr">
        <is>
          <t xml:space="preserve">Full</t>
        </is>
      </c>
      <c r="M959" t="inlineStr">
        <is>
          <t xml:space="preserve">Fields Ranch East</t>
        </is>
      </c>
      <c r="N959" t="inlineStr">
        <is>
          <t xml:space="preserve">III (Green)</t>
        </is>
      </c>
      <c r="O959">
        <v>72.6</v>
      </c>
      <c r="P959">
        <v>140</v>
      </c>
      <c r="Q959">
        <v>6543</v>
      </c>
      <c r="R959" t="inlineStr">
        <is>
          <t xml:space="preserve">Match Play</t>
        </is>
      </c>
      <c r="S959" t="inlineStr">
        <is>
          <t xml:space="preserve">Singles</t>
        </is>
      </c>
      <c r="T959" t="inlineStr">
        <is>
          <t xml:space="preserve">Under 6'</t>
        </is>
      </c>
      <c r="U959" t="inlineStr">
        <is>
          <t xml:space="preserve">Forster</t>
        </is>
      </c>
      <c r="V959" t="inlineStr">
        <is>
          <t xml:space="preserve">R. Connolly</t>
        </is>
      </c>
      <c r="X959">
        <v>14</v>
      </c>
      <c r="AA959">
        <v>2</v>
      </c>
      <c r="AB959" t="inlineStr">
        <is>
          <t xml:space="preserve">L</t>
        </is>
      </c>
      <c r="AC959" t="inlineStr">
        <is>
          <t xml:space="preserve">7&amp;6</t>
        </is>
      </c>
      <c r="AD959" t="inlineStr">
        <is>
          <t xml:space="preserve">Welker</t>
        </is>
      </c>
      <c r="AE959" t="str">
        <f>$V959&amp;$Y959</f>
        <v>R. Connolly</v>
      </c>
      <c r="AF959">
        <v>0</v>
      </c>
      <c r="AG959">
        <v>0</v>
      </c>
      <c r="AH959">
        <v>1</v>
      </c>
      <c r="AI959">
        <v>0</v>
      </c>
    </row>
    <row r="960" spans="1:40" ht="15" customHeight="1" x14ac:dyDescent="0.2">
      <c r="B960">
        <v>32</v>
      </c>
      <c r="D960">
        <v>13</v>
      </c>
      <c r="E960" t="inlineStr">
        <is>
          <t xml:space="preserve">FBC13-S-Jackson-Zimmer</t>
        </is>
      </c>
      <c r="F960" t="inlineStr">
        <is>
          <t xml:space="preserve">Saturday</t>
        </is>
      </c>
      <c r="G960" s="15">
        <v>46298</v>
      </c>
      <c r="H960" t="inlineStr">
        <is>
          <t xml:space="preserve">PM</t>
        </is>
      </c>
      <c r="I960" t="inlineStr">
        <is>
          <t xml:space="preserve">Frisco, TX</t>
        </is>
      </c>
      <c r="J960" t="inlineStr">
        <is>
          <t xml:space="preserve">South</t>
        </is>
      </c>
      <c r="K960">
        <v>18</v>
      </c>
      <c r="L960" t="inlineStr">
        <is>
          <t xml:space="preserve">Full</t>
        </is>
      </c>
      <c r="M960" t="inlineStr">
        <is>
          <t xml:space="preserve">Fields Ranch East</t>
        </is>
      </c>
      <c r="N960" t="inlineStr">
        <is>
          <t xml:space="preserve">III (Green)</t>
        </is>
      </c>
      <c r="O960">
        <v>72.6</v>
      </c>
      <c r="P960">
        <v>140</v>
      </c>
      <c r="Q960">
        <v>6543</v>
      </c>
      <c r="R960" t="inlineStr">
        <is>
          <t xml:space="preserve">Match Play</t>
        </is>
      </c>
      <c r="S960" t="inlineStr">
        <is>
          <t xml:space="preserve">Singles</t>
        </is>
      </c>
      <c r="T960" t="inlineStr">
        <is>
          <t xml:space="preserve">Under 6'</t>
        </is>
      </c>
      <c r="U960" t="inlineStr">
        <is>
          <t xml:space="preserve">Mangold</t>
        </is>
      </c>
      <c r="V960" t="inlineStr">
        <is>
          <t xml:space="preserve">Jackson</t>
        </is>
      </c>
      <c r="X960">
        <v>11</v>
      </c>
      <c r="AA960">
        <v>2</v>
      </c>
      <c r="AB960" t="inlineStr">
        <is>
          <t xml:space="preserve">W</t>
        </is>
      </c>
      <c r="AC960" t="inlineStr">
        <is>
          <t xml:space="preserve">6&amp;5</t>
        </is>
      </c>
      <c r="AD960" t="inlineStr">
        <is>
          <t xml:space="preserve">Zimmer</t>
        </is>
      </c>
      <c r="AE960" t="str">
        <f>$V960&amp;$Y960</f>
        <v>Jackson</v>
      </c>
      <c r="AF960">
        <v>2</v>
      </c>
      <c r="AG960">
        <v>1</v>
      </c>
      <c r="AH960">
        <v>0</v>
      </c>
      <c r="AI960">
        <v>0</v>
      </c>
    </row>
    <row r="961" spans="1:40" ht="15" customHeight="1" x14ac:dyDescent="0.2">
      <c r="B961">
        <v>32</v>
      </c>
      <c r="D961">
        <v>13</v>
      </c>
      <c r="E961" t="inlineStr">
        <is>
          <t xml:space="preserve">FBC13-S-Jackson-Zimmer</t>
        </is>
      </c>
      <c r="F961" t="inlineStr">
        <is>
          <t xml:space="preserve">Saturday</t>
        </is>
      </c>
      <c r="G961" s="15">
        <v>46298</v>
      </c>
      <c r="H961" t="inlineStr">
        <is>
          <t xml:space="preserve">PM</t>
        </is>
      </c>
      <c r="I961" t="inlineStr">
        <is>
          <t xml:space="preserve">Frisco, TX</t>
        </is>
      </c>
      <c r="J961" t="inlineStr">
        <is>
          <t xml:space="preserve">South</t>
        </is>
      </c>
      <c r="K961">
        <v>18</v>
      </c>
      <c r="L961" t="inlineStr">
        <is>
          <t xml:space="preserve">Full</t>
        </is>
      </c>
      <c r="M961" t="inlineStr">
        <is>
          <t xml:space="preserve">Fields Ranch East</t>
        </is>
      </c>
      <c r="N961" t="inlineStr">
        <is>
          <t xml:space="preserve">III (Green)</t>
        </is>
      </c>
      <c r="O961">
        <v>72.6</v>
      </c>
      <c r="P961">
        <v>140</v>
      </c>
      <c r="Q961">
        <v>6543</v>
      </c>
      <c r="R961" t="inlineStr">
        <is>
          <t xml:space="preserve">Match Play</t>
        </is>
      </c>
      <c r="S961" t="inlineStr">
        <is>
          <t xml:space="preserve">Singles</t>
        </is>
      </c>
      <c r="T961" t="inlineStr">
        <is>
          <t xml:space="preserve">Under 6'</t>
        </is>
      </c>
      <c r="U961" t="inlineStr">
        <is>
          <t xml:space="preserve">Forster</t>
        </is>
      </c>
      <c r="V961" t="inlineStr">
        <is>
          <t xml:space="preserve">Zimmer</t>
        </is>
      </c>
      <c r="X961">
        <v>10</v>
      </c>
      <c r="AA961">
        <v>2</v>
      </c>
      <c r="AB961" t="inlineStr">
        <is>
          <t xml:space="preserve">L</t>
        </is>
      </c>
      <c r="AC961" t="inlineStr">
        <is>
          <t xml:space="preserve">6&amp;5</t>
        </is>
      </c>
      <c r="AD961" t="inlineStr">
        <is>
          <t xml:space="preserve">Jackson</t>
        </is>
      </c>
      <c r="AE961" t="str">
        <f>$V961&amp;$Y961</f>
        <v>Zimmer</v>
      </c>
      <c r="AF961">
        <v>0</v>
      </c>
      <c r="AG961">
        <v>0</v>
      </c>
      <c r="AH961">
        <v>1</v>
      </c>
      <c r="AI961">
        <v>0</v>
      </c>
    </row>
    <row r="962" spans="1:40" ht="15" customHeight="1" x14ac:dyDescent="0.2">
      <c r="B962">
        <v>33</v>
      </c>
      <c r="D962">
        <v>13</v>
      </c>
      <c r="E962" t="inlineStr">
        <is>
          <t xml:space="preserve">FBC13-S-Connolly-Gray</t>
        </is>
      </c>
      <c r="F962" t="inlineStr">
        <is>
          <t xml:space="preserve">Saturday</t>
        </is>
      </c>
      <c r="G962" s="15">
        <v>46298</v>
      </c>
      <c r="H962" t="inlineStr">
        <is>
          <t xml:space="preserve">PM</t>
        </is>
      </c>
      <c r="I962" t="inlineStr">
        <is>
          <t xml:space="preserve">Frisco, TX</t>
        </is>
      </c>
      <c r="J962" t="inlineStr">
        <is>
          <t xml:space="preserve">South</t>
        </is>
      </c>
      <c r="K962">
        <v>18</v>
      </c>
      <c r="L962" t="inlineStr">
        <is>
          <t xml:space="preserve">Full</t>
        </is>
      </c>
      <c r="M962" t="inlineStr">
        <is>
          <t xml:space="preserve">Fields Ranch East</t>
        </is>
      </c>
      <c r="N962" t="inlineStr">
        <is>
          <t xml:space="preserve">III (Green)</t>
        </is>
      </c>
      <c r="O962">
        <v>72.6</v>
      </c>
      <c r="P962">
        <v>140</v>
      </c>
      <c r="Q962">
        <v>6543</v>
      </c>
      <c r="R962" t="inlineStr">
        <is>
          <t xml:space="preserve">Match Play</t>
        </is>
      </c>
      <c r="S962" t="inlineStr">
        <is>
          <t xml:space="preserve">Singles</t>
        </is>
      </c>
      <c r="T962" t="inlineStr">
        <is>
          <t xml:space="preserve">Under 6'</t>
        </is>
      </c>
      <c r="U962" t="inlineStr">
        <is>
          <t xml:space="preserve">Mangold</t>
        </is>
      </c>
      <c r="V962" t="inlineStr">
        <is>
          <t xml:space="preserve">Gray</t>
        </is>
      </c>
      <c r="X962">
        <v>12</v>
      </c>
      <c r="AA962">
        <v>2</v>
      </c>
      <c r="AB962" t="inlineStr">
        <is>
          <t xml:space="preserve">W</t>
        </is>
      </c>
      <c r="AC962" t="inlineStr">
        <is>
          <t xml:space="preserve">1 Up</t>
        </is>
      </c>
      <c r="AD962" t="inlineStr">
        <is>
          <t xml:space="preserve">Connolly</t>
        </is>
      </c>
      <c r="AE962" t="str">
        <f>$V962&amp;$Y962</f>
        <v>Gray</v>
      </c>
      <c r="AF962">
        <v>2</v>
      </c>
      <c r="AG962">
        <v>1</v>
      </c>
      <c r="AH962">
        <v>0</v>
      </c>
      <c r="AI962">
        <v>0</v>
      </c>
    </row>
    <row r="963" spans="1:40" ht="15" customHeight="1" x14ac:dyDescent="0.2">
      <c r="B963">
        <v>33</v>
      </c>
      <c r="D963">
        <v>13</v>
      </c>
      <c r="E963" t="inlineStr">
        <is>
          <t xml:space="preserve">FBC13-S-Connolly-Gray</t>
        </is>
      </c>
      <c r="F963" t="inlineStr">
        <is>
          <t xml:space="preserve">Saturday</t>
        </is>
      </c>
      <c r="G963" s="15">
        <v>46298</v>
      </c>
      <c r="H963" t="inlineStr">
        <is>
          <t xml:space="preserve">PM</t>
        </is>
      </c>
      <c r="I963" t="inlineStr">
        <is>
          <t xml:space="preserve">Frisco, TX</t>
        </is>
      </c>
      <c r="J963" t="inlineStr">
        <is>
          <t xml:space="preserve">South</t>
        </is>
      </c>
      <c r="K963">
        <v>18</v>
      </c>
      <c r="L963" t="inlineStr">
        <is>
          <t xml:space="preserve">Full</t>
        </is>
      </c>
      <c r="M963" t="inlineStr">
        <is>
          <t xml:space="preserve">Fields Ranch East</t>
        </is>
      </c>
      <c r="N963" t="inlineStr">
        <is>
          <t xml:space="preserve">III (Green)</t>
        </is>
      </c>
      <c r="O963">
        <v>72.6</v>
      </c>
      <c r="P963">
        <v>140</v>
      </c>
      <c r="Q963">
        <v>6543</v>
      </c>
      <c r="R963" t="inlineStr">
        <is>
          <t xml:space="preserve">Match Play</t>
        </is>
      </c>
      <c r="S963" t="inlineStr">
        <is>
          <t xml:space="preserve">Singles</t>
        </is>
      </c>
      <c r="T963" t="inlineStr">
        <is>
          <t xml:space="preserve">Under 6'</t>
        </is>
      </c>
      <c r="U963" t="inlineStr">
        <is>
          <t xml:space="preserve">Forster</t>
        </is>
      </c>
      <c r="V963" t="inlineStr">
        <is>
          <t xml:space="preserve">Connolly</t>
        </is>
      </c>
      <c r="X963">
        <v>12</v>
      </c>
      <c r="AA963">
        <v>2</v>
      </c>
      <c r="AB963" t="inlineStr">
        <is>
          <t xml:space="preserve">L</t>
        </is>
      </c>
      <c r="AC963" t="inlineStr">
        <is>
          <t xml:space="preserve">1 Up</t>
        </is>
      </c>
      <c r="AD963" t="inlineStr">
        <is>
          <t xml:space="preserve">Gray</t>
        </is>
      </c>
      <c r="AE963" t="str">
        <f>$V963&amp;$Y963</f>
        <v>Connolly</v>
      </c>
      <c r="AF963">
        <v>0</v>
      </c>
      <c r="AG963">
        <v>0</v>
      </c>
      <c r="AH963">
        <v>1</v>
      </c>
      <c r="AI963">
        <v>0</v>
      </c>
    </row>
    <row r="964" spans="1:40" ht="15" customHeight="1" x14ac:dyDescent="0.2">
      <c r="B964">
        <v>34</v>
      </c>
      <c r="D964">
        <v>13</v>
      </c>
      <c r="E964" t="inlineStr">
        <is>
          <t xml:space="preserve">FBC13-S-Hilts-Lynch</t>
        </is>
      </c>
      <c r="F964" t="inlineStr">
        <is>
          <t xml:space="preserve">Saturday</t>
        </is>
      </c>
      <c r="G964" s="15">
        <v>46298</v>
      </c>
      <c r="H964" t="inlineStr">
        <is>
          <t xml:space="preserve">PM</t>
        </is>
      </c>
      <c r="I964" t="inlineStr">
        <is>
          <t xml:space="preserve">Frisco, TX</t>
        </is>
      </c>
      <c r="J964" t="inlineStr">
        <is>
          <t xml:space="preserve">South</t>
        </is>
      </c>
      <c r="K964">
        <v>18</v>
      </c>
      <c r="L964" t="inlineStr">
        <is>
          <t xml:space="preserve">Full</t>
        </is>
      </c>
      <c r="M964" t="inlineStr">
        <is>
          <t xml:space="preserve">Fields Ranch East</t>
        </is>
      </c>
      <c r="N964" t="inlineStr">
        <is>
          <t xml:space="preserve">III (Green)</t>
        </is>
      </c>
      <c r="O964">
        <v>72.6</v>
      </c>
      <c r="P964">
        <v>140</v>
      </c>
      <c r="Q964">
        <v>6543</v>
      </c>
      <c r="R964" t="inlineStr">
        <is>
          <t xml:space="preserve">Match Play</t>
        </is>
      </c>
      <c r="S964" t="inlineStr">
        <is>
          <t xml:space="preserve">Singles</t>
        </is>
      </c>
      <c r="T964" t="inlineStr">
        <is>
          <t xml:space="preserve">Under 6'</t>
        </is>
      </c>
      <c r="U964" t="inlineStr">
        <is>
          <t xml:space="preserve">Mangold</t>
        </is>
      </c>
      <c r="V964" t="inlineStr">
        <is>
          <t xml:space="preserve">Lynch</t>
        </is>
      </c>
      <c r="X964">
        <v>11</v>
      </c>
      <c r="AA964">
        <v>2</v>
      </c>
      <c r="AB964" t="inlineStr">
        <is>
          <t xml:space="preserve">L</t>
        </is>
      </c>
      <c r="AC964" t="inlineStr">
        <is>
          <t xml:space="preserve">3&amp;2</t>
        </is>
      </c>
      <c r="AD964" t="inlineStr">
        <is>
          <t xml:space="preserve">Hilts</t>
        </is>
      </c>
      <c r="AE964" t="str">
        <f>$V964&amp;$Y964</f>
        <v>Lynch</v>
      </c>
      <c r="AF964">
        <v>0</v>
      </c>
      <c r="AG964">
        <v>0</v>
      </c>
      <c r="AH964">
        <v>1</v>
      </c>
      <c r="AI964">
        <v>0</v>
      </c>
    </row>
    <row r="965" spans="1:40" ht="15" customHeight="1" x14ac:dyDescent="0.2">
      <c r="B965">
        <v>34</v>
      </c>
      <c r="D965">
        <v>13</v>
      </c>
      <c r="E965" t="inlineStr">
        <is>
          <t xml:space="preserve">FBC13-S-Hilts-Lynch</t>
        </is>
      </c>
      <c r="F965" t="inlineStr">
        <is>
          <t xml:space="preserve">Saturday</t>
        </is>
      </c>
      <c r="G965" s="15">
        <v>46298</v>
      </c>
      <c r="H965" t="inlineStr">
        <is>
          <t xml:space="preserve">PM</t>
        </is>
      </c>
      <c r="I965" t="inlineStr">
        <is>
          <t xml:space="preserve">Frisco, TX</t>
        </is>
      </c>
      <c r="J965" t="inlineStr">
        <is>
          <t xml:space="preserve">South</t>
        </is>
      </c>
      <c r="K965">
        <v>18</v>
      </c>
      <c r="L965" t="inlineStr">
        <is>
          <t xml:space="preserve">Full</t>
        </is>
      </c>
      <c r="M965" t="inlineStr">
        <is>
          <t xml:space="preserve">Fields Ranch East</t>
        </is>
      </c>
      <c r="N965" t="inlineStr">
        <is>
          <t xml:space="preserve">III (Green)</t>
        </is>
      </c>
      <c r="O965">
        <v>72.6</v>
      </c>
      <c r="P965">
        <v>140</v>
      </c>
      <c r="Q965">
        <v>6543</v>
      </c>
      <c r="R965" t="inlineStr">
        <is>
          <t xml:space="preserve">Match Play</t>
        </is>
      </c>
      <c r="S965" t="inlineStr">
        <is>
          <t xml:space="preserve">Singles</t>
        </is>
      </c>
      <c r="T965" t="inlineStr">
        <is>
          <t xml:space="preserve">Under 6'</t>
        </is>
      </c>
      <c r="U965" t="inlineStr">
        <is>
          <t xml:space="preserve">Forster</t>
        </is>
      </c>
      <c r="V965" t="inlineStr">
        <is>
          <t xml:space="preserve">Hilts</t>
        </is>
      </c>
      <c r="X965">
        <v>21</v>
      </c>
      <c r="AA965">
        <v>2</v>
      </c>
      <c r="AB965" t="inlineStr">
        <is>
          <t xml:space="preserve">W</t>
        </is>
      </c>
      <c r="AC965" t="inlineStr">
        <is>
          <t xml:space="preserve">3&amp;2</t>
        </is>
      </c>
      <c r="AD965" t="inlineStr">
        <is>
          <t xml:space="preserve">Lynch</t>
        </is>
      </c>
      <c r="AE965" t="str">
        <f>$V965&amp;$Y965</f>
        <v>Hilts</v>
      </c>
      <c r="AF965">
        <v>2</v>
      </c>
      <c r="AG965">
        <v>1</v>
      </c>
      <c r="AH965">
        <v>0</v>
      </c>
      <c r="AI965">
        <v>0</v>
      </c>
    </row>
    <row r="966" spans="1:40" ht="15" customHeight="1" x14ac:dyDescent="0.2">
      <c r="B966">
        <v>35</v>
      </c>
      <c r="D966">
        <v>13</v>
      </c>
      <c r="E966" t="inlineStr">
        <is>
          <t xml:space="preserve">FBC13-S-Delaney-Ferrin</t>
        </is>
      </c>
      <c r="F966" t="inlineStr">
        <is>
          <t xml:space="preserve">Saturday</t>
        </is>
      </c>
      <c r="G966" s="15">
        <v>46298</v>
      </c>
      <c r="H966" t="inlineStr">
        <is>
          <t xml:space="preserve">PM</t>
        </is>
      </c>
      <c r="I966" t="inlineStr">
        <is>
          <t xml:space="preserve">Frisco, TX</t>
        </is>
      </c>
      <c r="J966" t="inlineStr">
        <is>
          <t xml:space="preserve">South</t>
        </is>
      </c>
      <c r="K966">
        <v>18</v>
      </c>
      <c r="L966" t="inlineStr">
        <is>
          <t xml:space="preserve">Full</t>
        </is>
      </c>
      <c r="M966" t="inlineStr">
        <is>
          <t xml:space="preserve">Fields Ranch East</t>
        </is>
      </c>
      <c r="N966" t="inlineStr">
        <is>
          <t xml:space="preserve">III (Green)</t>
        </is>
      </c>
      <c r="O966">
        <v>72.6</v>
      </c>
      <c r="P966">
        <v>140</v>
      </c>
      <c r="Q966">
        <v>6543</v>
      </c>
      <c r="R966" t="inlineStr">
        <is>
          <t xml:space="preserve">Match Play</t>
        </is>
      </c>
      <c r="S966" t="inlineStr">
        <is>
          <t xml:space="preserve">Singles</t>
        </is>
      </c>
      <c r="T966" t="inlineStr">
        <is>
          <t xml:space="preserve">Under 6'</t>
        </is>
      </c>
      <c r="U966" t="inlineStr">
        <is>
          <t xml:space="preserve">Mangold</t>
        </is>
      </c>
      <c r="V966" t="inlineStr">
        <is>
          <t xml:space="preserve">Ferrin</t>
        </is>
      </c>
      <c r="X966">
        <v>13</v>
      </c>
      <c r="AA966">
        <v>2</v>
      </c>
      <c r="AB966" t="inlineStr">
        <is>
          <t xml:space="preserve">W</t>
        </is>
      </c>
      <c r="AC966" t="inlineStr">
        <is>
          <t xml:space="preserve">3&amp;2</t>
        </is>
      </c>
      <c r="AD966" t="inlineStr">
        <is>
          <t xml:space="preserve">Delaney</t>
        </is>
      </c>
      <c r="AE966" t="str">
        <f>$V966&amp;$Y966</f>
        <v>Ferrin</v>
      </c>
      <c r="AF966">
        <v>2</v>
      </c>
      <c r="AG966">
        <v>1</v>
      </c>
      <c r="AH966">
        <v>0</v>
      </c>
      <c r="AI966">
        <v>0</v>
      </c>
    </row>
    <row r="967" spans="1:40" ht="15" customHeight="1" x14ac:dyDescent="0.2">
      <c r="B967">
        <v>35</v>
      </c>
      <c r="D967">
        <v>13</v>
      </c>
      <c r="E967" t="inlineStr">
        <is>
          <t xml:space="preserve">FBC13-S-Delaney-Ferrin</t>
        </is>
      </c>
      <c r="F967" t="inlineStr">
        <is>
          <t xml:space="preserve">Saturday</t>
        </is>
      </c>
      <c r="G967" s="15">
        <v>46298</v>
      </c>
      <c r="H967" t="inlineStr">
        <is>
          <t xml:space="preserve">PM</t>
        </is>
      </c>
      <c r="I967" t="inlineStr">
        <is>
          <t xml:space="preserve">Frisco, TX</t>
        </is>
      </c>
      <c r="J967" t="inlineStr">
        <is>
          <t xml:space="preserve">South</t>
        </is>
      </c>
      <c r="K967">
        <v>18</v>
      </c>
      <c r="L967" t="inlineStr">
        <is>
          <t xml:space="preserve">Full</t>
        </is>
      </c>
      <c r="M967" t="inlineStr">
        <is>
          <t xml:space="preserve">Fields Ranch East</t>
        </is>
      </c>
      <c r="N967" t="inlineStr">
        <is>
          <t xml:space="preserve">III (Green)</t>
        </is>
      </c>
      <c r="O967">
        <v>72.6</v>
      </c>
      <c r="P967">
        <v>140</v>
      </c>
      <c r="Q967">
        <v>6543</v>
      </c>
      <c r="R967" t="inlineStr">
        <is>
          <t xml:space="preserve">Match Play</t>
        </is>
      </c>
      <c r="S967" t="inlineStr">
        <is>
          <t xml:space="preserve">Singles</t>
        </is>
      </c>
      <c r="T967" t="inlineStr">
        <is>
          <t xml:space="preserve">Under 6'</t>
        </is>
      </c>
      <c r="U967" t="inlineStr">
        <is>
          <t xml:space="preserve">Forster</t>
        </is>
      </c>
      <c r="V967" t="inlineStr">
        <is>
          <t xml:space="preserve">Delaney</t>
        </is>
      </c>
      <c r="X967">
        <v>18</v>
      </c>
      <c r="AA967">
        <v>2</v>
      </c>
      <c r="AB967" t="inlineStr">
        <is>
          <t xml:space="preserve">L</t>
        </is>
      </c>
      <c r="AC967" t="inlineStr">
        <is>
          <t xml:space="preserve">3&amp;2</t>
        </is>
      </c>
      <c r="AD967" t="inlineStr">
        <is>
          <t xml:space="preserve">Ferrin</t>
        </is>
      </c>
      <c r="AE967" t="str">
        <f>$V967&amp;$Y967</f>
        <v>Delaney</v>
      </c>
      <c r="AF967">
        <v>0</v>
      </c>
      <c r="AG967">
        <v>0</v>
      </c>
      <c r="AH967">
        <v>1</v>
      </c>
      <c r="AI967">
        <v>0</v>
      </c>
    </row>
    <row r="968" spans="1:40" ht="15" customHeight="1" x14ac:dyDescent="0.2">
      <c r="B968">
        <v>36</v>
      </c>
      <c r="D968">
        <v>13</v>
      </c>
      <c r="E968" t="inlineStr">
        <is>
          <t xml:space="preserve">FBC13-S-Delneky-DeOteris</t>
        </is>
      </c>
      <c r="F968" t="inlineStr">
        <is>
          <t xml:space="preserve">Saturday</t>
        </is>
      </c>
      <c r="G968" s="15">
        <v>46298</v>
      </c>
      <c r="H968" t="inlineStr">
        <is>
          <t xml:space="preserve">PM</t>
        </is>
      </c>
      <c r="I968" t="inlineStr">
        <is>
          <t xml:space="preserve">Frisco, TX</t>
        </is>
      </c>
      <c r="J968" t="inlineStr">
        <is>
          <t xml:space="preserve">South</t>
        </is>
      </c>
      <c r="K968">
        <v>18</v>
      </c>
      <c r="L968" t="inlineStr">
        <is>
          <t xml:space="preserve">Full</t>
        </is>
      </c>
      <c r="M968" t="inlineStr">
        <is>
          <t xml:space="preserve">Fields Ranch East</t>
        </is>
      </c>
      <c r="N968" t="inlineStr">
        <is>
          <t xml:space="preserve">III (Green)</t>
        </is>
      </c>
      <c r="O968">
        <v>72.6</v>
      </c>
      <c r="P968">
        <v>140</v>
      </c>
      <c r="Q968">
        <v>6543</v>
      </c>
      <c r="R968" t="inlineStr">
        <is>
          <t xml:space="preserve">Match Play</t>
        </is>
      </c>
      <c r="S968" t="inlineStr">
        <is>
          <t xml:space="preserve">Singles</t>
        </is>
      </c>
      <c r="T968" t="inlineStr">
        <is>
          <t xml:space="preserve">Under 6'</t>
        </is>
      </c>
      <c r="U968" t="inlineStr">
        <is>
          <t xml:space="preserve">Mangold</t>
        </is>
      </c>
      <c r="V968" t="inlineStr">
        <is>
          <t xml:space="preserve">DeOteris</t>
        </is>
      </c>
      <c r="X968">
        <v>15</v>
      </c>
      <c r="AA968">
        <v>2</v>
      </c>
      <c r="AB968" t="inlineStr">
        <is>
          <t xml:space="preserve">T</t>
        </is>
      </c>
      <c r="AC968" t="inlineStr">
        <is>
          <t xml:space="preserve">A/S</t>
        </is>
      </c>
      <c r="AD968" t="inlineStr">
        <is>
          <t xml:space="preserve">Delneky</t>
        </is>
      </c>
      <c r="AE968" t="str">
        <f>$V968&amp;$Y968</f>
        <v>DeOteris</v>
      </c>
      <c r="AF968">
        <v>1</v>
      </c>
      <c r="AG968">
        <v>0</v>
      </c>
      <c r="AH968">
        <v>0</v>
      </c>
      <c r="AI968">
        <v>1</v>
      </c>
    </row>
    <row r="969" spans="1:40" ht="15" customHeight="1" x14ac:dyDescent="0.2">
      <c r="B969">
        <v>36</v>
      </c>
      <c r="D969">
        <v>13</v>
      </c>
      <c r="E969" t="inlineStr">
        <is>
          <t xml:space="preserve">FBC13-S-Delneky-DeOteris</t>
        </is>
      </c>
      <c r="F969" t="inlineStr">
        <is>
          <t xml:space="preserve">Saturday</t>
        </is>
      </c>
      <c r="G969" s="15">
        <v>46298</v>
      </c>
      <c r="H969" t="inlineStr">
        <is>
          <t xml:space="preserve">PM</t>
        </is>
      </c>
      <c r="I969" t="inlineStr">
        <is>
          <t xml:space="preserve">Frisco, TX</t>
        </is>
      </c>
      <c r="J969" t="inlineStr">
        <is>
          <t xml:space="preserve">South</t>
        </is>
      </c>
      <c r="K969">
        <v>18</v>
      </c>
      <c r="L969" t="inlineStr">
        <is>
          <t xml:space="preserve">Full</t>
        </is>
      </c>
      <c r="M969" t="inlineStr">
        <is>
          <t xml:space="preserve">Fields Ranch East</t>
        </is>
      </c>
      <c r="N969" t="inlineStr">
        <is>
          <t xml:space="preserve">III (Green)</t>
        </is>
      </c>
      <c r="O969">
        <v>72.6</v>
      </c>
      <c r="P969">
        <v>140</v>
      </c>
      <c r="Q969">
        <v>6543</v>
      </c>
      <c r="R969" t="inlineStr">
        <is>
          <t xml:space="preserve">Match Play</t>
        </is>
      </c>
      <c r="S969" t="inlineStr">
        <is>
          <t xml:space="preserve">Singles</t>
        </is>
      </c>
      <c r="T969" t="inlineStr">
        <is>
          <t xml:space="preserve">Under 6'</t>
        </is>
      </c>
      <c r="U969" t="inlineStr">
        <is>
          <t xml:space="preserve">Forster</t>
        </is>
      </c>
      <c r="V969" t="inlineStr">
        <is>
          <t xml:space="preserve">Delneky</t>
        </is>
      </c>
      <c r="X969">
        <v>22</v>
      </c>
      <c r="AA969">
        <v>2</v>
      </c>
      <c r="AB969" t="inlineStr">
        <is>
          <t xml:space="preserve">T</t>
        </is>
      </c>
      <c r="AC969" t="inlineStr">
        <is>
          <t xml:space="preserve">A/S</t>
        </is>
      </c>
      <c r="AD969" t="inlineStr">
        <is>
          <t xml:space="preserve">DeOteris</t>
        </is>
      </c>
      <c r="AE969" t="str">
        <f>$V969&amp;$Y969</f>
        <v>Delneky</v>
      </c>
      <c r="AF969">
        <v>1</v>
      </c>
      <c r="AG969">
        <v>0</v>
      </c>
      <c r="AH969">
        <v>0</v>
      </c>
      <c r="AI969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5" width="8" style="16" customWidth="1"/>
    <col min="16" max="17" width="8.83203125" style="16"/>
    <col min="18" max="19" width="10" style="16" customWidth="1"/>
    <col min="20" max="16384" width="8.83203125" style="16"/>
  </cols>
  <sheetData>
    <row r="1" spans="1:22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P1" s="17"/>
      <c r="Q1" s="17"/>
      <c r="R1" s="17"/>
      <c r="S1" s="17"/>
      <c r="T1" s="17"/>
      <c r="U1" s="17"/>
      <c r="V1" s="17"/>
    </row>
    <row r="2" spans="1:22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19" t="inlineStr">
        <is>
          <t xml:space="preserve">FBC 13</t>
        </is>
      </c>
      <c r="P2" s="20" t="s">
        <v>687</v>
      </c>
      <c r="Q2" s="19" t="s">
        <v>688</v>
      </c>
      <c r="R2" s="19" t="s">
        <v>689</v>
      </c>
      <c r="S2" s="19" t="s">
        <v>690</v>
      </c>
      <c r="T2" s="17"/>
      <c r="U2" s="17"/>
      <c r="V2" s="17"/>
    </row>
    <row r="3" spans="1:22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v>0</v>
      </c>
      <c r="P3" s="21">
        <f t="shared" ref="P3:P32" si="0">SUM(C3:O3)</f>
        <v>10</v>
      </c>
      <c r="Q3" s="21">
        <v>13</v>
      </c>
      <c r="R3" s="22">
        <f t="shared" ref="R3:R32" si="1">P3/Q3</f>
        <v>0.7692307692307693</v>
      </c>
      <c r="S3" s="21">
        <f t="shared" ref="S3:S32" si="2">Q3-P3</f>
        <v>3</v>
      </c>
      <c r="T3" s="17"/>
      <c r="U3" s="17"/>
      <c r="V3" s="17"/>
    </row>
    <row r="4" spans="1:22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v>1</v>
      </c>
      <c r="P4" s="21">
        <f t="shared" si="0"/>
        <v>10</v>
      </c>
      <c r="Q4" s="21">
        <v>13</v>
      </c>
      <c r="R4" s="22">
        <f t="shared" si="1"/>
        <v>0.7692307692307693</v>
      </c>
      <c r="S4" s="21">
        <f t="shared" si="2"/>
        <v>3</v>
      </c>
      <c r="T4" s="17"/>
      <c r="U4" s="17"/>
      <c r="V4" s="17"/>
    </row>
    <row r="5" spans="1:22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v>1</v>
      </c>
      <c r="P5" s="21">
        <f t="shared" si="0"/>
        <v>9</v>
      </c>
      <c r="Q5" s="21">
        <v>13</v>
      </c>
      <c r="R5" s="22">
        <f t="shared" si="1"/>
        <v>0.6923076923076923</v>
      </c>
      <c r="S5" s="21">
        <f t="shared" si="2"/>
        <v>4</v>
      </c>
      <c r="T5" s="17"/>
      <c r="U5" s="17"/>
      <c r="V5" s="17"/>
    </row>
    <row r="6" spans="1:22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v>1</v>
      </c>
      <c r="P6" s="21">
        <f t="shared" si="0"/>
        <v>9</v>
      </c>
      <c r="Q6" s="21">
        <v>12</v>
      </c>
      <c r="R6" s="22">
        <f t="shared" si="1"/>
        <v>0.75</v>
      </c>
      <c r="S6" s="21">
        <f t="shared" si="2"/>
        <v>3</v>
      </c>
      <c r="T6" s="17"/>
      <c r="U6" s="17"/>
      <c r="V6" s="17"/>
    </row>
    <row r="7" spans="1:22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v>0</v>
      </c>
      <c r="P7" s="21">
        <f t="shared" si="0"/>
        <v>7</v>
      </c>
      <c r="Q7" s="21">
        <v>12</v>
      </c>
      <c r="R7" s="22">
        <f t="shared" si="1"/>
        <v>0.5833333333333334</v>
      </c>
      <c r="S7" s="21">
        <f t="shared" si="2"/>
        <v>5</v>
      </c>
      <c r="T7" s="17"/>
      <c r="U7" s="17"/>
      <c r="V7" s="17"/>
    </row>
    <row r="8" spans="1:22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v>1</v>
      </c>
      <c r="P8" s="21">
        <f t="shared" si="0"/>
        <v>7</v>
      </c>
      <c r="Q8" s="21">
        <v>11</v>
      </c>
      <c r="R8" s="22">
        <f t="shared" si="1"/>
        <v>0.6363636363636364</v>
      </c>
      <c r="S8" s="21">
        <f t="shared" si="2"/>
        <v>4</v>
      </c>
      <c r="T8" s="17"/>
      <c r="U8" s="17"/>
      <c r="V8" s="17"/>
    </row>
    <row r="9" spans="1:22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v>0</v>
      </c>
      <c r="P9" s="21">
        <f t="shared" si="0"/>
        <v>5</v>
      </c>
      <c r="Q9" s="21">
        <v>9</v>
      </c>
      <c r="R9" s="22">
        <f t="shared" si="1"/>
        <v>0.5555555555555556</v>
      </c>
      <c r="S9" s="21">
        <f t="shared" si="2"/>
        <v>4</v>
      </c>
      <c r="T9" s="17"/>
      <c r="U9" s="17"/>
      <c r="V9" s="17"/>
    </row>
    <row r="10" spans="1:22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v>1</v>
      </c>
      <c r="P10" s="21">
        <f t="shared" si="0"/>
        <v>6</v>
      </c>
      <c r="Q10" s="21">
        <v>13</v>
      </c>
      <c r="R10" s="22">
        <f t="shared" si="1"/>
        <v>0.46153846153846156</v>
      </c>
      <c r="S10" s="21">
        <f t="shared" si="2"/>
        <v>7</v>
      </c>
      <c r="T10" s="17"/>
      <c r="U10" s="17"/>
      <c r="V10" s="17"/>
    </row>
    <row r="11" spans="1:22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v>0</v>
      </c>
      <c r="P11" s="21">
        <f t="shared" si="0"/>
        <v>4</v>
      </c>
      <c r="Q11" s="21">
        <v>12</v>
      </c>
      <c r="R11" s="22">
        <f t="shared" si="1"/>
        <v>0.3333333333333333</v>
      </c>
      <c r="S11" s="21">
        <f t="shared" si="2"/>
        <v>8</v>
      </c>
      <c r="T11" s="17"/>
      <c r="U11" s="17"/>
      <c r="V11" s="17"/>
    </row>
    <row r="12" spans="1:22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 t="s">
        <v>692</v>
      </c>
      <c r="P12" s="21">
        <f t="shared" si="0"/>
        <v>4</v>
      </c>
      <c r="Q12" s="21">
        <v>10</v>
      </c>
      <c r="R12" s="22">
        <f t="shared" si="1"/>
        <v>0.4</v>
      </c>
      <c r="S12" s="21">
        <f t="shared" si="2"/>
        <v>6</v>
      </c>
      <c r="T12" s="17"/>
      <c r="U12" s="17"/>
      <c r="V12" s="17"/>
    </row>
    <row r="13" spans="1:22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v>1</v>
      </c>
      <c r="P13" s="21">
        <f t="shared" si="0"/>
        <v>5</v>
      </c>
      <c r="Q13" s="21">
        <v>11</v>
      </c>
      <c r="R13" s="22">
        <f t="shared" si="1"/>
        <v>0.45454545454545453</v>
      </c>
      <c r="S13" s="21">
        <f t="shared" si="2"/>
        <v>6</v>
      </c>
      <c r="T13" s="17"/>
      <c r="U13" s="17"/>
      <c r="V13" s="17"/>
    </row>
    <row r="14" spans="1:22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v>1</v>
      </c>
      <c r="P14" s="21">
        <f t="shared" si="0"/>
        <v>5</v>
      </c>
      <c r="Q14" s="21">
        <v>7</v>
      </c>
      <c r="R14" s="22">
        <f t="shared" si="1"/>
        <v>0.7142857142857143</v>
      </c>
      <c r="S14" s="21">
        <f t="shared" si="2"/>
        <v>2</v>
      </c>
      <c r="T14" s="17"/>
      <c r="U14" s="17"/>
      <c r="V14" s="17"/>
    </row>
    <row r="15" spans="1:22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v>0</v>
      </c>
      <c r="P15" s="21">
        <f t="shared" si="0"/>
        <v>4</v>
      </c>
      <c r="Q15" s="21">
        <v>8</v>
      </c>
      <c r="R15" s="22">
        <f t="shared" si="1"/>
        <v>0.5</v>
      </c>
      <c r="S15" s="21">
        <f t="shared" si="2"/>
        <v>4</v>
      </c>
      <c r="T15" s="17"/>
      <c r="U15" s="17"/>
      <c r="V15" s="17"/>
    </row>
    <row r="16" spans="1:22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v>0</v>
      </c>
      <c r="P16" s="21">
        <f t="shared" si="0"/>
        <v>4</v>
      </c>
      <c r="Q16" s="21">
        <v>13</v>
      </c>
      <c r="R16" s="22">
        <f t="shared" si="1"/>
        <v>0.3076923076923077</v>
      </c>
      <c r="S16" s="21">
        <f t="shared" si="2"/>
        <v>9</v>
      </c>
      <c r="T16" s="17"/>
      <c r="U16" s="17"/>
      <c r="V16" s="17"/>
    </row>
    <row r="17" spans="1:22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v>0</v>
      </c>
      <c r="P17" s="21">
        <f t="shared" si="0"/>
        <v>4</v>
      </c>
      <c r="Q17" s="21">
        <v>5</v>
      </c>
      <c r="R17" s="22">
        <f t="shared" si="1"/>
        <v>0.8</v>
      </c>
      <c r="S17" s="21">
        <f t="shared" si="2"/>
        <v>1</v>
      </c>
      <c r="T17" s="17"/>
      <c r="U17" s="17"/>
      <c r="V17" s="17"/>
    </row>
    <row r="18" spans="1:22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v>1</v>
      </c>
      <c r="P18" s="21">
        <f t="shared" si="0"/>
        <v>5</v>
      </c>
      <c r="Q18" s="21">
        <v>12</v>
      </c>
      <c r="R18" s="22">
        <f t="shared" si="1"/>
        <v>0.4166666666666667</v>
      </c>
      <c r="S18" s="21">
        <f t="shared" si="2"/>
        <v>7</v>
      </c>
      <c r="T18" s="17"/>
      <c r="U18" s="17"/>
      <c r="V18" s="17"/>
    </row>
    <row r="19" spans="1:22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 t="s">
        <v>692</v>
      </c>
      <c r="P19" s="21">
        <f t="shared" si="0"/>
        <v>3</v>
      </c>
      <c r="Q19" s="21">
        <v>6</v>
      </c>
      <c r="R19" s="22">
        <f t="shared" si="1"/>
        <v>0.5</v>
      </c>
      <c r="S19" s="21">
        <f t="shared" si="2"/>
        <v>3</v>
      </c>
      <c r="T19" s="17"/>
      <c r="U19" s="17"/>
      <c r="V19" s="17"/>
    </row>
    <row r="20" spans="1:22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f t="shared" si="0"/>
        <v>3</v>
      </c>
      <c r="Q20" s="21">
        <v>13</v>
      </c>
      <c r="R20" s="22">
        <f t="shared" si="1"/>
        <v>0.23076923076923078</v>
      </c>
      <c r="S20" s="21">
        <f t="shared" si="2"/>
        <v>10</v>
      </c>
      <c r="T20" s="17"/>
      <c r="U20" s="17"/>
      <c r="V20" s="17"/>
    </row>
    <row r="21" spans="1:22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v>0</v>
      </c>
      <c r="P21" s="21">
        <f t="shared" si="0"/>
        <v>3</v>
      </c>
      <c r="Q21" s="21">
        <v>12</v>
      </c>
      <c r="R21" s="22">
        <f t="shared" si="1"/>
        <v>0.25</v>
      </c>
      <c r="S21" s="21">
        <f t="shared" si="2"/>
        <v>9</v>
      </c>
      <c r="T21" s="17"/>
      <c r="U21" s="17"/>
      <c r="V21" s="17"/>
    </row>
    <row r="22" spans="1:22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v>1</v>
      </c>
      <c r="P22" s="21">
        <f t="shared" si="0"/>
        <v>4</v>
      </c>
      <c r="Q22" s="21">
        <v>8</v>
      </c>
      <c r="R22" s="22">
        <f t="shared" si="1"/>
        <v>0.5</v>
      </c>
      <c r="S22" s="21">
        <f t="shared" si="2"/>
        <v>4</v>
      </c>
      <c r="T22" s="17"/>
      <c r="U22" s="17"/>
      <c r="V22" s="17"/>
    </row>
    <row r="23" spans="1:22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 t="s">
        <v>692</v>
      </c>
      <c r="P23" s="21">
        <f t="shared" si="0"/>
        <v>2</v>
      </c>
      <c r="Q23" s="21">
        <v>4</v>
      </c>
      <c r="R23" s="22">
        <f t="shared" si="1"/>
        <v>0.5</v>
      </c>
      <c r="S23" s="21">
        <f t="shared" si="2"/>
        <v>2</v>
      </c>
      <c r="T23" s="17"/>
      <c r="U23" s="17"/>
      <c r="V23" s="17"/>
    </row>
    <row r="24" spans="1:22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v>0</v>
      </c>
      <c r="P24" s="21">
        <f t="shared" si="0"/>
        <v>2</v>
      </c>
      <c r="Q24" s="21">
        <v>9</v>
      </c>
      <c r="R24" s="22">
        <f t="shared" si="1"/>
        <v>0.2222222222222222</v>
      </c>
      <c r="S24" s="21">
        <f t="shared" si="2"/>
        <v>7</v>
      </c>
      <c r="T24" s="17"/>
      <c r="U24" s="17"/>
      <c r="V24" s="17"/>
    </row>
    <row r="25" spans="1:22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v>1</v>
      </c>
      <c r="P25" s="21">
        <f t="shared" si="0"/>
        <v>3</v>
      </c>
      <c r="Q25" s="21">
        <v>6</v>
      </c>
      <c r="R25" s="22">
        <f t="shared" si="1"/>
        <v>0.5</v>
      </c>
      <c r="S25" s="21">
        <f t="shared" si="2"/>
        <v>3</v>
      </c>
      <c r="T25" s="17"/>
      <c r="U25" s="17"/>
      <c r="V25" s="17"/>
    </row>
    <row r="26" spans="1:22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v>1</v>
      </c>
      <c r="P26" s="21">
        <f t="shared" si="0"/>
        <v>3</v>
      </c>
      <c r="Q26" s="21">
        <v>8</v>
      </c>
      <c r="R26" s="22">
        <f t="shared" si="1"/>
        <v>0.375</v>
      </c>
      <c r="S26" s="21">
        <f t="shared" si="2"/>
        <v>5</v>
      </c>
      <c r="T26" s="17"/>
      <c r="U26" s="17"/>
      <c r="V26" s="17"/>
    </row>
    <row r="27" spans="1:22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v>0</v>
      </c>
      <c r="P27" s="21">
        <f t="shared" si="0"/>
        <v>1</v>
      </c>
      <c r="Q27" s="21">
        <v>4</v>
      </c>
      <c r="R27" s="22">
        <f t="shared" si="1"/>
        <v>0.25</v>
      </c>
      <c r="S27" s="21">
        <f t="shared" si="2"/>
        <v>3</v>
      </c>
      <c r="T27" s="17"/>
      <c r="U27" s="17"/>
      <c r="V27" s="17"/>
    </row>
    <row r="28" spans="1:22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 t="s">
        <v>692</v>
      </c>
      <c r="P28" s="21">
        <f t="shared" si="0"/>
        <v>1</v>
      </c>
      <c r="Q28" s="21">
        <v>1</v>
      </c>
      <c r="R28" s="22">
        <f t="shared" si="1"/>
        <v>1.0</v>
      </c>
      <c r="S28" s="21">
        <f t="shared" si="2"/>
        <v>0</v>
      </c>
      <c r="T28" s="17"/>
      <c r="U28" s="17"/>
      <c r="V28" s="17"/>
    </row>
    <row r="29" spans="1:22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 t="s">
        <v>692</v>
      </c>
      <c r="P29" s="21">
        <f t="shared" si="0"/>
        <v>1</v>
      </c>
      <c r="Q29" s="21">
        <v>2</v>
      </c>
      <c r="R29" s="22">
        <f t="shared" si="1"/>
        <v>0.5</v>
      </c>
      <c r="S29" s="21">
        <f t="shared" si="2"/>
        <v>1</v>
      </c>
      <c r="T29" s="17"/>
      <c r="U29" s="17"/>
      <c r="V29" s="17"/>
    </row>
    <row r="30" spans="1:22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v>1</v>
      </c>
      <c r="P30" s="21">
        <f t="shared" si="0"/>
        <v>2</v>
      </c>
      <c r="Q30" s="21">
        <v>3</v>
      </c>
      <c r="R30" s="22">
        <f t="shared" si="1"/>
        <v>0.6666666666666666</v>
      </c>
      <c r="S30" s="21">
        <f t="shared" si="2"/>
        <v>1</v>
      </c>
      <c r="T30" s="17"/>
      <c r="U30" s="17"/>
      <c r="V30" s="17"/>
    </row>
    <row r="31" spans="1:22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 t="s">
        <v>692</v>
      </c>
      <c r="P31" s="21">
        <f t="shared" si="0"/>
        <v>1</v>
      </c>
      <c r="Q31" s="21">
        <v>1</v>
      </c>
      <c r="R31" s="22">
        <f t="shared" si="1"/>
        <v>1.0</v>
      </c>
      <c r="S31" s="21">
        <f t="shared" si="2"/>
        <v>0</v>
      </c>
      <c r="T31" s="17"/>
      <c r="U31" s="17"/>
      <c r="V31" s="17"/>
    </row>
    <row r="32" spans="1:22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v>0</v>
      </c>
      <c r="P32" s="21">
        <f t="shared" si="0"/>
        <v>0</v>
      </c>
      <c r="Q32" s="21">
        <v>3</v>
      </c>
      <c r="R32" s="22">
        <f t="shared" si="1"/>
        <v>0.0</v>
      </c>
      <c r="S32" s="21">
        <f t="shared" si="2"/>
        <v>3</v>
      </c>
      <c r="T32" s="17"/>
      <c r="U32" s="17"/>
      <c r="V32" s="17"/>
    </row>
    <row r="33" spans="1:22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 t="s">
        <v>692</v>
      </c>
      <c r="P33" s="21">
        <f t="shared" ref="P33" si="3">SUM(C33:O33)</f>
        <v>0</v>
      </c>
      <c r="Q33" s="21">
        <v>2</v>
      </c>
      <c r="R33" s="22">
        <f t="shared" ref="R33" si="4">P33/Q33</f>
        <v>0.0</v>
      </c>
      <c r="S33" s="21">
        <f t="shared" ref="S33" si="5">Q33-P33</f>
        <v>1</v>
      </c>
      <c r="T33" s="17"/>
      <c r="U33" s="17"/>
      <c r="V33" s="17"/>
    </row>
    <row r="34" spans="1:22" ht="15.75" customHeight="1" x14ac:dyDescent="0.2">
      <c r="A34" s="17"/>
      <c r="B34" s="17" t="s">
        <v>687</v>
      </c>
      <c r="C34" s="21">
        <f t="shared" ref="C34:Q34" si="6">SUM(C3:C33)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12</v>
      </c>
      <c r="P34" s="21">
        <f t="shared" si="6"/>
        <v>127</v>
      </c>
      <c r="Q34" s="21">
        <f t="shared" si="6"/>
        <v>256</v>
      </c>
      <c r="R34" s="17"/>
      <c r="S34" s="21">
        <f>SUM(S3:S33)</f>
        <v>128</v>
      </c>
      <c r="T34" s="17"/>
      <c r="U34" s="17"/>
      <c r="V34" s="17"/>
    </row>
    <row r="35" spans="1:22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</row>
    <row r="36" spans="1:22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</row>
    <row r="37" spans="1:22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</row>
    <row r="38" spans="1:22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</row>
    <row r="39" spans="1:22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</row>
    <row r="40" spans="1:21" ht="15.75" customHeight="1" x14ac:dyDescent="0.2"/>
  </sheetData>
  <autoFilter ref="B3:S33" xr:uid="{00000000-0009-0000-0000-000002000000}">
    <sortState xmlns:xlrd2="http://schemas.microsoft.com/office/spreadsheetml/2017/richdata2" ref="B4:S33">
      <sortCondition descending="1" ref="C4:C33"/>
    </sortState>
  </autoFilter>
  <conditionalFormatting sqref="C3:O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6" width="7" customWidth="1"/>
  </cols>
  <sheetData>
    <row r="1" spans="2:16" ht="15.75" customHeight="1" x14ac:dyDescent="0.2">
      <c r="B1" s="23" t="s">
        <v>695</v>
      </c>
    </row>
    <row r="2" spans="2:16" ht="15" customHeight="1" x14ac:dyDescent="0.2">
      <c r="B2" s="24" t="s">
        <v>696</v>
      </c>
    </row>
    <row r="3" spans="2:16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1309</v>
      </c>
      <c r="P3" s="25" t="s">
        <v>709</v>
      </c>
    </row>
    <row r="4" spans="2:16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spans="2:16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v>16.3</v>
      </c>
      <c r="P5" s="28">
        <f>IFERROR(AVERAGE(C5:O5),"")</f>
        <v>19.599999999999998</v>
      </c>
    </row>
    <row r="6" spans="2:16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v>9.3</v>
      </c>
      <c r="P6" s="28">
        <f>IFERROR(AVERAGE(C6:O6),"")</f>
        <v>10.46923076923077</v>
      </c>
    </row>
    <row r="7" spans="2:16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7" t="s">
        <v>692</v>
      </c>
      <c r="P7" s="28">
        <f>IFERROR(AVERAGE(C7:O7),"")</f>
        <v>16.96</v>
      </c>
    </row>
    <row r="8" spans="2:16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v>14</v>
      </c>
      <c r="P8" s="28">
        <f>IFERROR(AVERAGE(C8:O8),"")</f>
        <v>11.942857142857141</v>
      </c>
    </row>
    <row r="9" spans="2:16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v>17.1</v>
      </c>
      <c r="P9" s="28">
        <f>IFERROR(AVERAGE(C9:O9),"")</f>
        <v>17.7</v>
      </c>
    </row>
    <row r="10" spans="2:16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8">
        <v>12.8</v>
      </c>
      <c r="K10" s="28">
        <v>12.5</v>
      </c>
      <c r="L10" s="27" t="s">
        <v>692</v>
      </c>
      <c r="M10" s="27" t="s">
        <v>692</v>
      </c>
      <c r="N10" s="28">
        <v>12.4</v>
      </c>
      <c r="O10" s="28">
        <v>11.3</v>
      </c>
      <c r="P10" s="28">
        <f>IFERROR(AVERAGE(C10:O10),"")</f>
      </c>
    </row>
    <row r="11" spans="2:16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v>9.8</v>
      </c>
      <c r="P11" s="28">
        <f>IFERROR(AVERAGE(C11:O11),"")</f>
        <v>15.430769230769231</v>
      </c>
    </row>
    <row r="12" spans="2:16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v>10.7</v>
      </c>
      <c r="P12" s="28">
        <f>IFERROR(AVERAGE(C12:O12),"")</f>
        <v>8.153846153846153</v>
      </c>
    </row>
    <row r="13" spans="2:16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v>16.6</v>
      </c>
      <c r="P13" s="28">
        <f>IFERROR(AVERAGE(C13:O13),"")</f>
        <v>22.375</v>
      </c>
    </row>
    <row r="14" spans="2:16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v>12.1</v>
      </c>
      <c r="P14" s="28">
        <f>IFERROR(AVERAGE(C14:O14),"")</f>
        <v>17.099999999999998</v>
      </c>
    </row>
    <row r="15" spans="2:16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v>8.8</v>
      </c>
      <c r="P15" s="28">
        <f>IFERROR(AVERAGE(C15:O15),"")</f>
        <v>8.475</v>
      </c>
    </row>
    <row r="16" spans="2:16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v>10.4</v>
      </c>
      <c r="P16" s="28">
        <f>IFERROR(AVERAGE(C16:O16),"")</f>
        <v>12.415384615384616</v>
      </c>
    </row>
    <row r="17" spans="2:16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8">
        <f>IFERROR(AVERAGE(C17:O17),"")</f>
        <v>20.0</v>
      </c>
    </row>
    <row r="18" spans="2:16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v>16.5</v>
      </c>
      <c r="P18" s="28">
        <f>IFERROR(AVERAGE(C18:O18),"")</f>
        <v>17.958333333333332</v>
      </c>
    </row>
    <row r="19" spans="2:16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v>8.4</v>
      </c>
      <c r="P19" s="28">
        <f>IFERROR(AVERAGE(C19:O19),"")</f>
        <v>10.838461538461539</v>
      </c>
    </row>
    <row r="20" spans="2:16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v>8.5</v>
      </c>
      <c r="P20" s="28">
        <f>IFERROR(AVERAGE(C20:O20),"")</f>
        <v>12.346153846153848</v>
      </c>
    </row>
    <row r="21" spans="2:16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>
        <f>IFERROR(AVERAGE(C21:O21),"")</f>
        <v>15.0</v>
      </c>
    </row>
    <row r="22" spans="2:16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v>15.2</v>
      </c>
      <c r="P22" s="28">
        <f>IFERROR(AVERAGE(C22:O22),"")</f>
        <v>15.266666666666664</v>
      </c>
    </row>
    <row r="23" spans="2:16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v>4.1</v>
      </c>
      <c r="P23" s="28">
        <f>IFERROR(AVERAGE(C23:O23),"")</f>
        <v>6.877777777777777</v>
      </c>
    </row>
    <row r="24" spans="2:16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v>16.85</v>
      </c>
      <c r="P24" s="28">
        <f>IFERROR(AVERAGE(C24:O24),"")</f>
        <v>17.75</v>
      </c>
    </row>
    <row r="25" spans="2:16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v>7.9</v>
      </c>
      <c r="P25" s="28">
        <f>IFERROR(AVERAGE(C25:O25),"")</f>
        <v>7.94</v>
      </c>
    </row>
    <row r="26" spans="2:16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v>9.9</v>
      </c>
      <c r="P26" s="28">
        <f>IFERROR(AVERAGE(C26:O26),"")</f>
        <v>9.666666666666666</v>
      </c>
    </row>
    <row r="27" spans="2:16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v>5.2</v>
      </c>
      <c r="P27" s="28">
        <f>IFERROR(AVERAGE(C27:O27),"")</f>
        <v>6.800000000000001</v>
      </c>
    </row>
    <row r="28" spans="2:16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v>10.8</v>
      </c>
      <c r="P28" s="28">
        <f>IFERROR(AVERAGE(C28:O28),"")</f>
        <v>12.5</v>
      </c>
    </row>
    <row r="29" spans="2:16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2:16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v>13</v>
      </c>
      <c r="P30" s="28">
        <f>IFERROR(AVERAGE(C30:O30),"")</f>
        <v>16.825</v>
      </c>
    </row>
    <row r="31" spans="2:16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 spans="2:16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2:16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v>13.5</v>
      </c>
      <c r="P33" s="28">
        <f>IFERROR(AVERAGE(C33:O33),"")</f>
        <v>11.8</v>
      </c>
    </row>
    <row r="34" spans="2:16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v>7.5</v>
      </c>
      <c r="P34" s="28">
        <f>IFERROR(AVERAGE(C34:O34),"")</f>
        <v>10.545454545454547</v>
      </c>
    </row>
  </sheetData>
  <conditionalFormatting sqref="C4:O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39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11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45" customHeight="1" x14ac:dyDescent="0.2">
      <c r="B3" s="96" t="inlineStr">
        <is>
          <t xml:space="preserve">What it measures</t>
        </is>
      </c>
      <c r="C3" s="93" t="inlineStr">
        <is>
          <t xml:space="preserve">Expected points in a standard FBC 13-format cup (four 1-pt doubles matches, one 2-pt singles match, FTAS) with an average partner against average opponents. Through FBC13.</t>
        </is>
      </c>
      <c r="D3" s="93"/>
      <c r="E3" s="93"/>
      <c r="F3" s="93"/>
      <c r="G3" s="93"/>
      <c r="H3" s="93"/>
      <c r="I3" s="93"/>
      <c r="J3" s="93"/>
    </row>
    <row r="4" spans="2:10" ht="60" customHeight="1" x14ac:dyDescent="0.2">
      <c r="B4" s="96" t="inlineStr">
        <is>
          <t xml:space="preserve">Model</t>
        </is>
      </c>
      <c r="C4" s="93" t="inlineStr">
        <is>
          <t xml:space="preserve">Joint rating fit to all 401 head-to-head matches (FTAS excluded): side A share − 0.5 = mean(A ratings) − mean(B ratings), weighted by points at stake, ridge-regularized (λ=30, chosen by leave-one-cup-out cross-validation). CAPA = 3.25 + 4 × rating.</t>
        </is>
      </c>
      <c r="D4" s="93"/>
      <c r="E4" s="93"/>
      <c r="F4" s="93"/>
      <c r="G4" s="93"/>
      <c r="H4" s="93"/>
      <c r="I4" s="93"/>
      <c r="J4" s="93"/>
    </row>
    <row r="5" spans="2:10" ht="60" customHeight="1" x14ac:dyDescent="0.2">
      <c r="B5" s="96" t="inlineStr">
        <is>
          <t xml:space="preserve">Columns</t>
        </is>
      </c>
      <c r="C5" s="93" t="inlineStr">
        <is>
          <t xml:space="preserve">Raw = own results only, in standard-cup points. Partner / Opponent Adj = removes the help or hurt from partners’ and opponents’ ratings. Shrinkage = pull toward average for players with fewer matches. CAPA = Raw + Partner + Opponent + Shrinkage.</t>
        </is>
      </c>
      <c r="D5" s="93"/>
      <c r="E5" s="93"/>
      <c r="F5" s="93"/>
      <c r="G5" s="93"/>
      <c r="H5" s="93"/>
      <c r="I5" s="93"/>
      <c r="J5" s="93"/>
    </row>
    <row r="6" spans="2:10" ht="45" customHeight="1" x14ac:dyDescent="0.2">
      <c r="B6" s="96" t="inlineStr">
        <is>
          <t xml:space="preserve">Handicaps</t>
        </is>
      </c>
      <c r="C6" s="93" t="inlineStr">
        <is>
          <t xml:space="preserve">No separate handicap term. Strokes already level matches: adding an opponent-minus-own index term made out-of-sample predictions worse, so it was dropped (Oct 2026 revision).</t>
        </is>
      </c>
      <c r="D6" s="93"/>
      <c r="E6" s="93"/>
      <c r="F6" s="93"/>
      <c r="G6" s="93"/>
      <c r="H6" s="93"/>
      <c r="I6" s="93"/>
      <c r="J6" s="93"/>
    </row>
    <row r="7" spans="2:10" ht="60" customHeight="1" x14ac:dyDescent="0.2">
      <c r="B7" s="96" t="inlineStr">
        <is>
          <t xml:space="preserve">Precision</t>
        </is>
      </c>
      <c r="C7" s="93" t="inlineStr">
        <is>
          <t xml:space="preserve">The signal is weak: the model predicts match results about 2% better than a coin flip (the previous win%-based CAPA was worse than a coin flip at predicting the next cup). ± = one standard deviation; gaps smaller than that are noise. Min 24 matches.</t>
        </is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inlineStr">
        <is>
          <t xml:space="preserve">Player</t>
        </is>
      </c>
      <c r="C9" s="51" t="inlineStr">
        <is>
          <t xml:space="preserve">Cups</t>
        </is>
      </c>
      <c r="D9" s="51" t="inlineStr">
        <is>
          <t xml:space="preserve">Matches</t>
        </is>
      </c>
      <c r="E9" s="51" t="inlineStr">
        <is>
          <t xml:space="preserve">Raw PPC</t>
        </is>
      </c>
      <c r="F9" s="52" t="inlineStr">
        <is>
          <t xml:space="preserve">Partner Adj</t>
        </is>
      </c>
      <c r="G9" s="52" t="inlineStr">
        <is>
          <t xml:space="preserve">Opponent Adj</t>
        </is>
      </c>
      <c r="H9" s="53" t="inlineStr">
        <is>
          <t xml:space="preserve">Shrinkage</t>
        </is>
      </c>
      <c r="I9" s="51" t="inlineStr">
        <is>
          <t xml:space="preserve">CAPA PPC</t>
        </is>
      </c>
      <c r="J9" s="54" t="inlineStr">
        <is>
          <t xml:space="preserve">± (1 SD)</t>
        </is>
      </c>
    </row>
    <row r="10" spans="2:10" ht="15" customHeight="1" x14ac:dyDescent="0.2">
      <c r="B10" s="55" t="inlineStr">
        <is>
          <t xml:space="preserve">Gray</t>
        </is>
      </c>
      <c r="C10" s="56">
        <v>8</v>
      </c>
      <c r="D10" s="56">
        <v>48</v>
      </c>
      <c r="E10" s="57">
        <v>4.27</v>
      </c>
      <c r="F10" s="57">
        <v>-0.03</v>
      </c>
      <c r="G10" s="57">
        <v>0.18</v>
      </c>
      <c r="H10" s="57">
        <v>-0.64</v>
      </c>
      <c r="I10" s="59">
        <f>E10+F10+G10+H10</f>
      </c>
      <c r="J10" s="57">
        <v>0.25</v>
      </c>
    </row>
    <row r="11" spans="2:10" ht="15" customHeight="1" x14ac:dyDescent="0.2">
      <c r="B11" s="55" t="inlineStr">
        <is>
          <t xml:space="preserve">Connolly</t>
        </is>
      </c>
      <c r="C11" s="56">
        <v>13</v>
      </c>
      <c r="D11" s="56">
        <v>77</v>
      </c>
      <c r="E11" s="57">
        <v>3.9</v>
      </c>
      <c r="F11" s="57">
        <v>0</v>
      </c>
      <c r="G11" s="57">
        <v>0.11</v>
      </c>
      <c r="H11" s="57">
        <v>-0.33</v>
      </c>
      <c r="I11" s="59">
        <f>E11+F11+G11+H11</f>
      </c>
      <c r="J11" s="57">
        <v>0.22</v>
      </c>
    </row>
    <row r="12" spans="2:10" ht="15" customHeight="1" x14ac:dyDescent="0.2">
      <c r="B12" s="55" t="inlineStr">
        <is>
          <t xml:space="preserve">Forster</t>
        </is>
      </c>
      <c r="C12" s="56">
        <v>12</v>
      </c>
      <c r="D12" s="56">
        <v>71</v>
      </c>
      <c r="E12" s="57">
        <v>3.85</v>
      </c>
      <c r="F12" s="57">
        <v>-0.04</v>
      </c>
      <c r="G12" s="57">
        <v>-0.02</v>
      </c>
      <c r="H12" s="57">
        <v>-0.25</v>
      </c>
      <c r="I12" s="59">
        <f>E12+F12+G12+H12</f>
      </c>
      <c r="J12" s="57">
        <v>0.22</v>
      </c>
    </row>
    <row r="13" spans="2:10" ht="15" customHeight="1" x14ac:dyDescent="0.2">
      <c r="B13" s="55" t="inlineStr">
        <is>
          <t xml:space="preserve">Perkins</t>
        </is>
      </c>
      <c r="C13" s="56">
        <v>5</v>
      </c>
      <c r="D13" s="56">
        <v>31</v>
      </c>
      <c r="E13" s="57">
        <v>3.95</v>
      </c>
      <c r="F13" s="57">
        <v>0.05</v>
      </c>
      <c r="G13" s="57">
        <v>0.09</v>
      </c>
      <c r="H13" s="57">
        <v>-0.55</v>
      </c>
      <c r="I13" s="59">
        <f>E13+F13+G13+H13</f>
      </c>
      <c r="J13" s="57">
        <v>0.27</v>
      </c>
    </row>
    <row r="14" spans="2:10" ht="15" customHeight="1" x14ac:dyDescent="0.2">
      <c r="B14" s="55" t="inlineStr">
        <is>
          <t xml:space="preserve">Ferrin</t>
        </is>
      </c>
      <c r="C14" s="56">
        <v>13</v>
      </c>
      <c r="D14" s="56">
        <v>77</v>
      </c>
      <c r="E14" s="57">
        <v>3.73</v>
      </c>
      <c r="F14" s="57">
        <v>-0.01</v>
      </c>
      <c r="G14" s="57">
        <v>0.01</v>
      </c>
      <c r="H14" s="57">
        <v>-0.2</v>
      </c>
      <c r="I14" s="59">
        <f>E14+F14+G14+H14</f>
      </c>
      <c r="J14" s="57">
        <v>0.22</v>
      </c>
    </row>
    <row r="15" spans="2:10" ht="15" customHeight="1" x14ac:dyDescent="0.2">
      <c r="B15" s="55" t="inlineStr">
        <is>
          <t xml:space="preserve">Welker</t>
        </is>
      </c>
      <c r="C15" s="56">
        <v>9</v>
      </c>
      <c r="D15" s="56">
        <v>55</v>
      </c>
      <c r="E15" s="57">
        <v>3.65</v>
      </c>
      <c r="F15" s="57">
        <v>0.03</v>
      </c>
      <c r="G15" s="57">
        <v>0.1</v>
      </c>
      <c r="H15" s="57">
        <v>-0.28</v>
      </c>
      <c r="I15" s="59">
        <f>E15+F15+G15+H15</f>
      </c>
      <c r="J15" s="57">
        <v>0.24</v>
      </c>
    </row>
    <row r="16" spans="2:10" ht="15" customHeight="1" x14ac:dyDescent="0.2">
      <c r="B16" s="55" t="inlineStr">
        <is>
          <t xml:space="preserve">Jackson</t>
        </is>
      </c>
      <c r="C16" s="56">
        <v>13</v>
      </c>
      <c r="D16" s="56">
        <v>77</v>
      </c>
      <c r="E16" s="57">
        <v>3.62</v>
      </c>
      <c r="F16" s="57">
        <v>-0.03</v>
      </c>
      <c r="G16" s="57">
        <v>0.07</v>
      </c>
      <c r="H16" s="57">
        <v>-0.18</v>
      </c>
      <c r="I16" s="59">
        <f>E16+F16+G16+H16</f>
      </c>
      <c r="J16" s="57">
        <v>0.22</v>
      </c>
    </row>
    <row r="17" spans="2:10" ht="15" customHeight="1" x14ac:dyDescent="0.2">
      <c r="B17" s="55" t="inlineStr">
        <is>
          <t xml:space="preserve">McInerney</t>
        </is>
      </c>
      <c r="C17" s="56">
        <v>9</v>
      </c>
      <c r="D17" s="56">
        <v>54</v>
      </c>
      <c r="E17" s="57">
        <v>3.46</v>
      </c>
      <c r="F17" s="57">
        <v>0.02</v>
      </c>
      <c r="G17" s="57">
        <v>0.22</v>
      </c>
      <c r="H17" s="57">
        <v>-0.23</v>
      </c>
      <c r="I17" s="59">
        <f>E17+F17+G17+H17</f>
      </c>
      <c r="J17" s="57">
        <v>0.24</v>
      </c>
    </row>
    <row r="18" spans="2:10" ht="15" customHeight="1" x14ac:dyDescent="0.2">
      <c r="B18" s="55" t="inlineStr">
        <is>
          <t xml:space="preserve">Delneky</t>
        </is>
      </c>
      <c r="C18" s="56">
        <v>6</v>
      </c>
      <c r="D18" s="56">
        <v>36</v>
      </c>
      <c r="E18" s="57">
        <v>3.91</v>
      </c>
      <c r="F18" s="57">
        <v>-0.03</v>
      </c>
      <c r="G18" s="57">
        <v>-0.06</v>
      </c>
      <c r="H18" s="57">
        <v>-0.35</v>
      </c>
      <c r="I18" s="59">
        <f>E18+F18+G18+H18</f>
      </c>
      <c r="J18" s="57">
        <v>0.26</v>
      </c>
    </row>
    <row r="19" spans="2:10" ht="15" customHeight="1" x14ac:dyDescent="0.2">
      <c r="B19" s="55" t="inlineStr">
        <is>
          <t xml:space="preserve">Poirier</t>
        </is>
      </c>
      <c r="C19" s="56">
        <v>8</v>
      </c>
      <c r="D19" s="56">
        <v>49</v>
      </c>
      <c r="E19" s="57">
        <v>3.69</v>
      </c>
      <c r="F19" s="57">
        <v>0.01</v>
      </c>
      <c r="G19" s="57">
        <v>-0.01</v>
      </c>
      <c r="H19" s="57">
        <v>-0.24</v>
      </c>
      <c r="I19" s="59">
        <f>E19+F19+G19+H19</f>
      </c>
      <c r="J19" s="57">
        <v>0.24</v>
      </c>
    </row>
    <row r="20" spans="2:10" ht="15" customHeight="1" x14ac:dyDescent="0.2">
      <c r="B20" s="55" t="inlineStr">
        <is>
          <t xml:space="preserve">Grise</t>
        </is>
      </c>
      <c r="C20" s="56">
        <v>13</v>
      </c>
      <c r="D20" s="56">
        <v>77</v>
      </c>
      <c r="E20" s="57">
        <v>3.45</v>
      </c>
      <c r="F20" s="57">
        <v>0</v>
      </c>
      <c r="G20" s="57">
        <v>0.08</v>
      </c>
      <c r="H20" s="57">
        <v>-0.12</v>
      </c>
      <c r="I20" s="59">
        <f>E20+F20+G20+H20</f>
      </c>
      <c r="J20" s="57">
        <v>0.22</v>
      </c>
    </row>
    <row r="21" spans="2:10" ht="15" customHeight="1" x14ac:dyDescent="0.2">
      <c r="B21" s="55" t="inlineStr">
        <is>
          <t xml:space="preserve">Norat</t>
        </is>
      </c>
      <c r="C21" s="56">
        <v>7</v>
      </c>
      <c r="D21" s="56">
        <v>42</v>
      </c>
      <c r="E21" s="57">
        <v>3.72</v>
      </c>
      <c r="F21" s="57">
        <v>-0.05</v>
      </c>
      <c r="G21" s="57">
        <v>-0.19</v>
      </c>
      <c r="H21" s="57">
        <v>-0.13</v>
      </c>
      <c r="I21" s="59">
        <f>E21+F21+G21+H21</f>
      </c>
      <c r="J21" s="57">
        <v>0.25</v>
      </c>
    </row>
    <row r="22" spans="2:10" ht="15" customHeight="1" x14ac:dyDescent="0.2">
      <c r="B22" s="55" t="inlineStr">
        <is>
          <t xml:space="preserve">Hilts</t>
        </is>
      </c>
      <c r="C22" s="56">
        <v>12</v>
      </c>
      <c r="D22" s="56">
        <v>71</v>
      </c>
      <c r="E22" s="57">
        <v>3.44</v>
      </c>
      <c r="F22" s="57">
        <v>-0.01</v>
      </c>
      <c r="G22" s="57">
        <v>-0.06</v>
      </c>
      <c r="H22" s="57">
        <v>-0.05</v>
      </c>
      <c r="I22" s="59">
        <f>E22+F22+G22+H22</f>
      </c>
      <c r="J22" s="57">
        <v>0.22</v>
      </c>
    </row>
    <row r="23" spans="2:10" ht="15" customHeight="1" x14ac:dyDescent="0.2">
      <c r="B23" s="55" t="inlineStr">
        <is>
          <t xml:space="preserve">Flanders</t>
        </is>
      </c>
      <c r="C23" s="56">
        <v>13</v>
      </c>
      <c r="D23" s="56">
        <v>77</v>
      </c>
      <c r="E23" s="57">
        <v>3.12</v>
      </c>
      <c r="F23" s="57">
        <v>-0.01</v>
      </c>
      <c r="G23" s="57">
        <v>0.16</v>
      </c>
      <c r="H23" s="57">
        <v>-0.01</v>
      </c>
      <c r="I23" s="59">
        <f>E23+F23+G23+H23</f>
      </c>
      <c r="J23" s="57">
        <v>0.22</v>
      </c>
    </row>
    <row r="24" spans="2:10" ht="15" customHeight="1" x14ac:dyDescent="0.2">
      <c r="B24" s="55" t="inlineStr">
        <is>
          <t xml:space="preserve">Zimmer</t>
        </is>
      </c>
      <c r="C24" s="56">
        <v>11</v>
      </c>
      <c r="D24" s="56">
        <v>67</v>
      </c>
      <c r="E24" s="57">
        <v>3.11</v>
      </c>
      <c r="F24" s="57">
        <v>-0.03</v>
      </c>
      <c r="G24" s="57">
        <v>0.09</v>
      </c>
      <c r="H24" s="57">
        <v>0.04</v>
      </c>
      <c r="I24" s="59">
        <f>E24+F24+G24+H24</f>
      </c>
      <c r="J24" s="57">
        <v>0.23</v>
      </c>
    </row>
    <row r="25" spans="2:10" ht="15" customHeight="1" x14ac:dyDescent="0.2">
      <c r="B25" s="55" t="inlineStr">
        <is>
          <t xml:space="preserve">Cole</t>
        </is>
      </c>
      <c r="C25" s="56">
        <v>11</v>
      </c>
      <c r="D25" s="56">
        <v>65</v>
      </c>
      <c r="E25" s="57">
        <v>3.25</v>
      </c>
      <c r="F25" s="57">
        <v>0</v>
      </c>
      <c r="G25" s="57">
        <v>-0.11</v>
      </c>
      <c r="H25" s="57">
        <v>0.05</v>
      </c>
      <c r="I25" s="59">
        <f>E25+F25+G25+H25</f>
      </c>
      <c r="J25" s="57">
        <v>0.23</v>
      </c>
    </row>
    <row r="26" spans="2:10" ht="15" customHeight="1" x14ac:dyDescent="0.2">
      <c r="B26" s="55" t="inlineStr">
        <is>
          <t xml:space="preserve">Lynch</t>
        </is>
      </c>
      <c r="C26" s="56">
        <v>13</v>
      </c>
      <c r="D26" s="56">
        <v>77</v>
      </c>
      <c r="E26" s="57">
        <v>3.02</v>
      </c>
      <c r="F26" s="57">
        <v>0.01</v>
      </c>
      <c r="G26" s="57">
        <v>0.07</v>
      </c>
      <c r="H26" s="57">
        <v>0.06</v>
      </c>
      <c r="I26" s="59">
        <f>E26+F26+G26+H26</f>
      </c>
      <c r="J26" s="57">
        <v>0.22</v>
      </c>
    </row>
    <row r="27" spans="2:10" ht="15" customHeight="1" x14ac:dyDescent="0.2">
      <c r="B27" s="55" t="inlineStr">
        <is>
          <t xml:space="preserve">Delaney</t>
        </is>
      </c>
      <c r="C27" s="56">
        <v>7</v>
      </c>
      <c r="D27" s="56">
        <v>43</v>
      </c>
      <c r="E27" s="57">
        <v>2.88</v>
      </c>
      <c r="F27" s="57">
        <v>0.02</v>
      </c>
      <c r="G27" s="57">
        <v>-0.01</v>
      </c>
      <c r="H27" s="57">
        <v>0.21</v>
      </c>
      <c r="I27" s="59">
        <f>E27+F27+G27+H27</f>
      </c>
      <c r="J27" s="57">
        <v>0.25</v>
      </c>
    </row>
    <row r="28" spans="2:10" ht="15" customHeight="1" x14ac:dyDescent="0.2">
      <c r="B28" s="55" t="inlineStr">
        <is>
          <t xml:space="preserve">DeOteris</t>
        </is>
      </c>
      <c r="C28" s="56">
        <v>4</v>
      </c>
      <c r="D28" s="56">
        <v>24</v>
      </c>
      <c r="E28" s="57">
        <v>2.49</v>
      </c>
      <c r="F28" s="57">
        <v>-0.02</v>
      </c>
      <c r="G28" s="57">
        <v>-0.05</v>
      </c>
      <c r="H28" s="57">
        <v>0.62</v>
      </c>
      <c r="I28" s="59">
        <f>E28+F28+G28+H28</f>
      </c>
      <c r="J28" s="57">
        <v>0.28</v>
      </c>
    </row>
    <row r="29" spans="2:10" ht="15" customHeight="1" x14ac:dyDescent="0.2">
      <c r="B29" s="55" t="inlineStr">
        <is>
          <t xml:space="preserve">Bussiculo</t>
        </is>
      </c>
      <c r="C29" s="56">
        <v>5</v>
      </c>
      <c r="D29" s="56">
        <v>29</v>
      </c>
      <c r="E29" s="57">
        <v>2.4</v>
      </c>
      <c r="F29" s="57">
        <v>0.12</v>
      </c>
      <c r="G29" s="57">
        <v>0.09</v>
      </c>
      <c r="H29" s="57">
        <v>0.43</v>
      </c>
      <c r="I29" s="59">
        <f>E29+F29+G29+H29</f>
      </c>
      <c r="J29" s="57">
        <v>0.27</v>
      </c>
    </row>
    <row r="30" spans="2:10" ht="15" customHeight="1" x14ac:dyDescent="0.2">
      <c r="B30" s="55" t="inlineStr">
        <is>
          <t xml:space="preserve">Fogan</t>
        </is>
      </c>
      <c r="C30" s="56">
        <v>12</v>
      </c>
      <c r="D30" s="56">
        <v>72</v>
      </c>
      <c r="E30" s="57">
        <v>2.87</v>
      </c>
      <c r="F30" s="57">
        <v>-0.02</v>
      </c>
      <c r="G30" s="57">
        <v>-0.07</v>
      </c>
      <c r="H30" s="57">
        <v>0.21</v>
      </c>
      <c r="I30" s="59">
        <f>E30+F30+G30+H30</f>
      </c>
      <c r="J30" s="57">
        <v>0.22</v>
      </c>
    </row>
    <row r="31" spans="2:10" ht="15" customHeight="1" x14ac:dyDescent="0.2">
      <c r="B31" s="55" t="inlineStr">
        <is>
          <t xml:space="preserve">Mangold</t>
        </is>
      </c>
      <c r="C31" s="56">
        <v>12</v>
      </c>
      <c r="D31" s="56">
        <v>71</v>
      </c>
      <c r="E31" s="57">
        <v>2.39</v>
      </c>
      <c r="F31" s="57">
        <v>0.02</v>
      </c>
      <c r="G31" s="57">
        <v>0</v>
      </c>
      <c r="H31" s="57">
        <v>0.38</v>
      </c>
      <c r="I31" s="59">
        <f>E31+F31+G31+H31</f>
      </c>
      <c r="J31" s="57">
        <v>0.22</v>
      </c>
    </row>
    <row r="32" spans="2:10" ht="15" customHeight="1" x14ac:dyDescent="0.2">
      <c r="B32" s="55" t="inlineStr">
        <is>
          <t xml:space="preserve">Shively</t>
        </is>
      </c>
      <c r="C32" s="56">
        <v>12</v>
      </c>
      <c r="D32" s="56">
        <v>71</v>
      </c>
      <c r="E32" s="57">
        <v>2.35</v>
      </c>
      <c r="F32" s="57">
        <v>-0.03</v>
      </c>
      <c r="G32" s="57">
        <v>0.02</v>
      </c>
      <c r="H32" s="57">
        <v>0.41</v>
      </c>
      <c r="I32" s="59">
        <f>E32+F32+G32+H32</f>
      </c>
      <c r="J32" s="57">
        <v>0.22</v>
      </c>
    </row>
    <row r="33" spans="2:10" ht="15" customHeight="1" x14ac:dyDescent="0.2">
      <c r="B33" s="55" t="inlineStr">
        <is>
          <t xml:space="preserve">Connors</t>
        </is>
      </c>
      <c r="C33" s="56">
        <v>10</v>
      </c>
      <c r="D33" s="56">
        <v>59</v>
      </c>
      <c r="E33" s="57">
        <v>2.27</v>
      </c>
      <c r="F33" s="57">
        <v>-0.02</v>
      </c>
      <c r="G33" s="57">
        <v>-0.22</v>
      </c>
      <c r="H33" s="57">
        <v>0.61</v>
      </c>
      <c r="I33" s="59">
        <f>E33+F33+G33+H33</f>
      </c>
      <c r="J33" s="57">
        <v>0.23</v>
      </c>
    </row>
    <row r="34" spans="2:10" ht="15" customHeight="1" x14ac:dyDescent="0.2"/>
    <row r="35" spans="2:10" ht="15" customHeight="1" x14ac:dyDescent="0.2">
      <c r="B35" s="60" t="inlineStr">
        <is>
          <t xml:space="preserve">Belts (through FBC13)</t>
        </is>
      </c>
    </row>
    <row r="36" spans="2:10" ht="15" customHeight="1" x14ac:dyDescent="0.2">
      <c r="B36" s="61" t="s">
        <v>742</v>
      </c>
      <c r="C36" s="62" t="inlineStr">
        <is>
          <t xml:space="preserve">McInerney</t>
        </is>
      </c>
      <c r="D36" s="92" t="s">
        <v>743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744</v>
      </c>
      <c r="C37" s="62" t="inlineStr">
        <is>
          <t xml:space="preserve">Norat</t>
        </is>
      </c>
      <c r="D37" s="92" t="s">
        <v>745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746</v>
      </c>
      <c r="C38" s="62" t="inlineStr">
        <is>
          <t xml:space="preserve">Bussiculo</t>
        </is>
      </c>
      <c r="D38" s="92" t="s">
        <v>747</v>
      </c>
      <c r="E38" s="92"/>
      <c r="F38" s="92"/>
      <c r="G38" s="92"/>
      <c r="H38" s="92"/>
      <c r="I38" s="92"/>
      <c r="J38" s="92"/>
    </row>
    <row r="39" spans="2:10" ht="15" customHeight="1" x14ac:dyDescent="0.2">
      <c r="B39" s="61" t="s">
        <v>748</v>
      </c>
      <c r="C39" s="62" t="inlineStr">
        <is>
          <t xml:space="preserve">Connors</t>
        </is>
      </c>
      <c r="D39" s="92" t="s">
        <v>749</v>
      </c>
      <c r="E39" s="92"/>
      <c r="F39" s="92"/>
      <c r="G39" s="92"/>
      <c r="H39" s="92"/>
      <c r="I39" s="92"/>
      <c r="J39" s="92"/>
    </row>
  </sheetData>
  <mergeCells count="9">
    <mergeCell ref="D36:J36"/>
    <mergeCell ref="D37:J37"/>
    <mergeCell ref="D38:J38"/>
    <mergeCell ref="D39:J39"/>
    <mergeCell ref="C3:J3"/>
    <mergeCell ref="C4:J4"/>
    <mergeCell ref="C5:J5"/>
    <mergeCell ref="C6:J6"/>
    <mergeCell ref="C7:J7"/>
  </mergeCells>
  <conditionalFormatting sqref="F10:F33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3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3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inlineStr">
        <is>
          <t xml:space="preserve">Delneky</t>
        </is>
      </c>
      <c r="C5" s="64">
        <v>17.7</v>
      </c>
      <c r="D5" s="40">
        <v>36</v>
      </c>
      <c r="E5" s="41">
        <v>0.625</v>
      </c>
      <c r="F5" s="65">
        <v>0.125</v>
      </c>
      <c r="G5" s="42">
        <v>2.21</v>
      </c>
    </row>
    <row r="6" spans="2:7" ht="15" customHeight="1" x14ac:dyDescent="0.2">
      <c r="B6" s="34" t="inlineStr">
        <is>
          <t xml:space="preserve">Forster</t>
        </is>
      </c>
      <c r="C6" s="66">
        <v>17.1</v>
      </c>
      <c r="D6" s="43">
        <v>71</v>
      </c>
      <c r="E6" s="44">
        <v>0.5845</v>
      </c>
      <c r="F6" s="67">
        <v>0.0845</v>
      </c>
      <c r="G6" s="45">
        <v>1.45</v>
      </c>
    </row>
    <row r="7" spans="2:7" ht="15" customHeight="1" x14ac:dyDescent="0.2">
      <c r="B7" s="31" t="inlineStr">
        <is>
          <t xml:space="preserve">Ferrin</t>
        </is>
      </c>
      <c r="C7" s="64">
        <v>15.4</v>
      </c>
      <c r="D7" s="40">
        <v>77</v>
      </c>
      <c r="E7" s="41">
        <v>0.5844</v>
      </c>
      <c r="F7" s="65">
        <v>0.0844</v>
      </c>
      <c r="G7" s="42">
        <v>1.3</v>
      </c>
    </row>
    <row r="8" spans="2:7" ht="15" customHeight="1" x14ac:dyDescent="0.2">
      <c r="B8" s="34" t="inlineStr">
        <is>
          <t xml:space="preserve">Norat</t>
        </is>
      </c>
      <c r="C8" s="66">
        <v>17.8</v>
      </c>
      <c r="D8" s="43">
        <v>42</v>
      </c>
      <c r="E8" s="44">
        <v>0.5714</v>
      </c>
      <c r="F8" s="67">
        <v>0.0714</v>
      </c>
      <c r="G8" s="45">
        <v>1.27</v>
      </c>
    </row>
    <row r="9" spans="2:7" ht="15" customHeight="1" x14ac:dyDescent="0.2">
      <c r="B9" s="31" t="inlineStr">
        <is>
          <t xml:space="preserve">Jackson</t>
        </is>
      </c>
      <c r="C9" s="64">
        <v>10.8</v>
      </c>
      <c r="D9" s="40">
        <v>77</v>
      </c>
      <c r="E9" s="41">
        <v>0.6104</v>
      </c>
      <c r="F9" s="65">
        <v>0.1104</v>
      </c>
      <c r="G9" s="42">
        <v>1.2</v>
      </c>
    </row>
    <row r="10" spans="2:7" ht="15" customHeight="1" x14ac:dyDescent="0.2">
      <c r="B10" s="34" t="inlineStr">
        <is>
          <t xml:space="preserve">Gray</t>
        </is>
      </c>
      <c r="C10" s="66">
        <v>8.5</v>
      </c>
      <c r="D10" s="43">
        <v>48</v>
      </c>
      <c r="E10" s="44">
        <v>0.625</v>
      </c>
      <c r="F10" s="67">
        <v>0.125</v>
      </c>
      <c r="G10" s="45">
        <v>1.06</v>
      </c>
    </row>
    <row r="11" spans="2:7" ht="15" customHeight="1" x14ac:dyDescent="0.2">
      <c r="B11" s="31" t="inlineStr">
        <is>
          <t xml:space="preserve">Connolly</t>
        </is>
      </c>
      <c r="C11" s="64">
        <v>10.5</v>
      </c>
      <c r="D11" s="40">
        <v>77</v>
      </c>
      <c r="E11" s="41">
        <v>0.5974</v>
      </c>
      <c r="F11" s="65">
        <v>0.0974</v>
      </c>
      <c r="G11" s="42">
        <v>1.02</v>
      </c>
    </row>
    <row r="12" spans="2:7" ht="15" customHeight="1" x14ac:dyDescent="0.2">
      <c r="B12" s="34" t="inlineStr">
        <is>
          <t xml:space="preserve">Perkins</t>
        </is>
      </c>
      <c r="C12" s="66">
        <v>7.9</v>
      </c>
      <c r="D12" s="43">
        <v>31</v>
      </c>
      <c r="E12" s="44">
        <v>0.5806</v>
      </c>
      <c r="F12" s="67">
        <v>0.0806</v>
      </c>
      <c r="G12" s="45">
        <v>0.64</v>
      </c>
    </row>
    <row r="13" spans="2:7" ht="15" customHeight="1" x14ac:dyDescent="0.2">
      <c r="B13" s="31" t="inlineStr">
        <is>
          <t xml:space="preserve">Grise</t>
        </is>
      </c>
      <c r="C13" s="64">
        <v>12.4</v>
      </c>
      <c r="D13" s="40">
        <v>77</v>
      </c>
      <c r="E13" s="41">
        <v>0.5455</v>
      </c>
      <c r="F13" s="65">
        <v>0.0455</v>
      </c>
      <c r="G13" s="42">
        <v>0.56</v>
      </c>
    </row>
    <row r="14" spans="2:7" ht="15" customHeight="1" x14ac:dyDescent="0.2">
      <c r="B14" s="34" t="inlineStr">
        <is>
          <t xml:space="preserve">Lynch</t>
        </is>
      </c>
      <c r="C14" s="66">
        <v>12.3</v>
      </c>
      <c r="D14" s="43">
        <v>77</v>
      </c>
      <c r="E14" s="44">
        <v>0.5195</v>
      </c>
      <c r="F14" s="67">
        <v>0.0195</v>
      </c>
      <c r="G14" s="45">
        <v>0.24</v>
      </c>
    </row>
    <row r="15" spans="2:7" ht="15" customHeight="1" x14ac:dyDescent="0.2">
      <c r="B15" s="31" t="inlineStr">
        <is>
          <t xml:space="preserve">Welker</t>
        </is>
      </c>
      <c r="C15" s="64">
        <v>11.8</v>
      </c>
      <c r="D15" s="40">
        <v>55</v>
      </c>
      <c r="E15" s="41">
        <v>0.5182</v>
      </c>
      <c r="F15" s="65">
        <v>0.0182</v>
      </c>
      <c r="G15" s="42">
        <v>0.21</v>
      </c>
    </row>
    <row r="16" spans="2:7" ht="15" customHeight="1" x14ac:dyDescent="0.2">
      <c r="B16" s="34" t="inlineStr">
        <is>
          <t xml:space="preserve">Poirier</t>
        </is>
      </c>
      <c r="C16" s="66">
        <v>6.8</v>
      </c>
      <c r="D16" s="43">
        <v>49</v>
      </c>
      <c r="E16" s="44">
        <v>0.5204</v>
      </c>
      <c r="F16" s="67">
        <v>0.0204</v>
      </c>
      <c r="G16" s="45">
        <v>0.14</v>
      </c>
    </row>
    <row r="17" spans="2:7" ht="15" customHeight="1" x14ac:dyDescent="0.2">
      <c r="B17" s="31" t="inlineStr">
        <is>
          <t xml:space="preserve">Delaney</t>
        </is>
      </c>
      <c r="C17" s="64">
        <v>11.9</v>
      </c>
      <c r="D17" s="40">
        <v>43</v>
      </c>
      <c r="E17" s="41">
        <v>0.5</v>
      </c>
      <c r="F17" s="65">
        <v>0</v>
      </c>
      <c r="G17" s="42">
        <v>0</v>
      </c>
    </row>
    <row r="18" spans="2:7" ht="15" customHeight="1" x14ac:dyDescent="0.2">
      <c r="B18" s="34" t="inlineStr">
        <is>
          <t xml:space="preserve">Flanders</t>
        </is>
      </c>
      <c r="C18" s="66">
        <v>8.2</v>
      </c>
      <c r="D18" s="43">
        <v>77</v>
      </c>
      <c r="E18" s="44">
        <v>0.487</v>
      </c>
      <c r="F18" s="67">
        <v>-0.013</v>
      </c>
      <c r="G18" s="45">
        <v>-0.11</v>
      </c>
    </row>
    <row r="19" spans="2:7" ht="15" customHeight="1" x14ac:dyDescent="0.2">
      <c r="B19" s="31" t="inlineStr">
        <is>
          <t xml:space="preserve">McInerney</t>
        </is>
      </c>
      <c r="C19" s="64">
        <v>6.9</v>
      </c>
      <c r="D19" s="40">
        <v>54</v>
      </c>
      <c r="E19" s="41">
        <v>0.4815</v>
      </c>
      <c r="F19" s="65">
        <v>-0.0185</v>
      </c>
      <c r="G19" s="42">
        <v>-0.13</v>
      </c>
    </row>
    <row r="20" spans="2:7" ht="15" customHeight="1" x14ac:dyDescent="0.2">
      <c r="B20" s="34" t="inlineStr">
        <is>
          <t xml:space="preserve">Hilts</t>
        </is>
      </c>
      <c r="C20" s="66">
        <v>18</v>
      </c>
      <c r="D20" s="43">
        <v>71</v>
      </c>
      <c r="E20" s="44">
        <v>0.4859</v>
      </c>
      <c r="F20" s="67">
        <v>-0.0141</v>
      </c>
      <c r="G20" s="45">
        <v>-0.25</v>
      </c>
    </row>
    <row r="21" spans="2:7" ht="15" customHeight="1" x14ac:dyDescent="0.2">
      <c r="B21" s="31" t="inlineStr">
        <is>
          <t xml:space="preserve">R. Connolly</t>
        </is>
      </c>
      <c r="C21" s="64">
        <v>12.5</v>
      </c>
      <c r="D21" s="40">
        <v>19</v>
      </c>
      <c r="E21" s="41">
        <v>0.4737</v>
      </c>
      <c r="F21" s="65">
        <v>-0.0263</v>
      </c>
      <c r="G21" s="42">
        <v>-0.33</v>
      </c>
    </row>
    <row r="22" spans="2:7" ht="15" customHeight="1" x14ac:dyDescent="0.2">
      <c r="B22" s="34" t="inlineStr">
        <is>
          <t xml:space="preserve">Zimmer</t>
        </is>
      </c>
      <c r="C22" s="66">
        <v>10.5</v>
      </c>
      <c r="D22" s="43">
        <v>67</v>
      </c>
      <c r="E22" s="44">
        <v>0.4478</v>
      </c>
      <c r="F22" s="67">
        <v>-0.0522</v>
      </c>
      <c r="G22" s="45">
        <v>-0.55</v>
      </c>
    </row>
    <row r="23" spans="2:7" ht="15" customHeight="1" x14ac:dyDescent="0.2">
      <c r="B23" s="31" t="inlineStr">
        <is>
          <t xml:space="preserve">Cole</t>
        </is>
      </c>
      <c r="C23" s="64">
        <v>19.6</v>
      </c>
      <c r="D23" s="40">
        <v>65</v>
      </c>
      <c r="E23" s="41">
        <v>0.4538</v>
      </c>
      <c r="F23" s="65">
        <v>-0.0462</v>
      </c>
      <c r="G23" s="42">
        <v>-0.9</v>
      </c>
    </row>
    <row r="24" spans="2:7" ht="15" customHeight="1" x14ac:dyDescent="0.2">
      <c r="B24" s="34" t="inlineStr">
        <is>
          <t xml:space="preserve">Mangold</t>
        </is>
      </c>
      <c r="C24" s="66">
        <v>15.3</v>
      </c>
      <c r="D24" s="43">
        <v>71</v>
      </c>
      <c r="E24" s="44">
        <v>0.4085</v>
      </c>
      <c r="F24" s="67">
        <v>-0.0915</v>
      </c>
      <c r="G24" s="45">
        <v>-1.4</v>
      </c>
    </row>
    <row r="25" spans="2:7" ht="15" customHeight="1" x14ac:dyDescent="0.2">
      <c r="B25" s="31" t="inlineStr">
        <is>
          <t xml:space="preserve">DeOteris</t>
        </is>
      </c>
      <c r="C25" s="64">
        <v>12.2</v>
      </c>
      <c r="D25" s="40">
        <v>24</v>
      </c>
      <c r="E25" s="41">
        <v>0.375</v>
      </c>
      <c r="F25" s="65">
        <v>-0.125</v>
      </c>
      <c r="G25" s="42">
        <v>-1.53</v>
      </c>
    </row>
    <row r="26" spans="2:7" ht="15" customHeight="1" x14ac:dyDescent="0.2">
      <c r="B26" s="34" t="inlineStr">
        <is>
          <t xml:space="preserve">Piegari</t>
        </is>
      </c>
      <c r="C26" s="66">
        <v>9.7</v>
      </c>
      <c r="D26" s="43">
        <v>19</v>
      </c>
      <c r="E26" s="44">
        <v>0.3421</v>
      </c>
      <c r="F26" s="67">
        <v>-0.1579</v>
      </c>
      <c r="G26" s="45">
        <v>-1.53</v>
      </c>
    </row>
    <row r="27" spans="2:7" ht="15" customHeight="1" x14ac:dyDescent="0.2">
      <c r="B27" s="31" t="inlineStr">
        <is>
          <t xml:space="preserve">Shively</t>
        </is>
      </c>
      <c r="C27" s="64">
        <v>16.8</v>
      </c>
      <c r="D27" s="40">
        <v>71</v>
      </c>
      <c r="E27" s="41">
        <v>0.3944</v>
      </c>
      <c r="F27" s="65">
        <v>-0.1056</v>
      </c>
      <c r="G27" s="42">
        <v>-1.78</v>
      </c>
    </row>
    <row r="28" spans="2:7" ht="15" customHeight="1" x14ac:dyDescent="0.2">
      <c r="B28" s="34" t="inlineStr">
        <is>
          <t xml:space="preserve">Fogan</t>
        </is>
      </c>
      <c r="C28" s="66">
        <v>22.4</v>
      </c>
      <c r="D28" s="43">
        <v>72</v>
      </c>
      <c r="E28" s="44">
        <v>0.4028</v>
      </c>
      <c r="F28" s="67">
        <v>-0.0972</v>
      </c>
      <c r="G28" s="45">
        <v>-2.18</v>
      </c>
    </row>
    <row r="29" spans="2:7" ht="15" customHeight="1" x14ac:dyDescent="0.2">
      <c r="B29" s="31" t="inlineStr">
        <is>
          <t xml:space="preserve">Connors</t>
        </is>
      </c>
      <c r="C29" s="64">
        <v>17</v>
      </c>
      <c r="D29" s="40">
        <v>59</v>
      </c>
      <c r="E29" s="41">
        <v>0.3475</v>
      </c>
      <c r="F29" s="65">
        <v>-0.1525</v>
      </c>
      <c r="G29" s="42">
        <v>-2.59</v>
      </c>
    </row>
    <row r="30" spans="2:7" ht="15" customHeight="1" x14ac:dyDescent="0.2">
      <c r="B30" s="34" t="inlineStr">
        <is>
          <t xml:space="preserve">Hickerson</t>
        </is>
      </c>
      <c r="C30" s="66">
        <v>20</v>
      </c>
      <c r="D30" s="43">
        <v>21</v>
      </c>
      <c r="E30" s="44">
        <v>0.3571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6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inlineStr">
        <is>
          <t xml:space="preserve">Mangold / Perkins</t>
        </is>
      </c>
      <c r="C5" s="40">
        <v>4</v>
      </c>
      <c r="D5" s="41">
        <v>0.875</v>
      </c>
      <c r="E5" s="41">
        <v>0.4945</v>
      </c>
      <c r="F5" s="65">
        <v>0.3805</v>
      </c>
    </row>
    <row r="6" spans="2:6" ht="15" customHeight="1" x14ac:dyDescent="0.2">
      <c r="B6" s="34" t="inlineStr">
        <is>
          <t xml:space="preserve">Ferrin / Flanders</t>
        </is>
      </c>
      <c r="C6" s="43">
        <v>8</v>
      </c>
      <c r="D6" s="44">
        <v>0.875</v>
      </c>
      <c r="E6" s="44">
        <v>0.5357</v>
      </c>
      <c r="F6" s="67">
        <v>0.3393</v>
      </c>
    </row>
    <row r="7" spans="2:6" ht="15" customHeight="1" x14ac:dyDescent="0.2">
      <c r="B7" s="31" t="inlineStr">
        <is>
          <t xml:space="preserve">Delaney / Perkins</t>
        </is>
      </c>
      <c r="C7" s="40">
        <v>4</v>
      </c>
      <c r="D7" s="41">
        <v>0.875</v>
      </c>
      <c r="E7" s="41">
        <v>0.5403</v>
      </c>
      <c r="F7" s="65">
        <v>0.3347</v>
      </c>
    </row>
    <row r="8" spans="2:6" ht="15" customHeight="1" x14ac:dyDescent="0.2">
      <c r="B8" s="34" t="inlineStr">
        <is>
          <t xml:space="preserve">Connolly / Jackson</t>
        </is>
      </c>
      <c r="C8" s="43">
        <v>4</v>
      </c>
      <c r="D8" s="44">
        <v>0.875</v>
      </c>
      <c r="E8" s="44">
        <v>0.6039</v>
      </c>
      <c r="F8" s="67">
        <v>0.2711</v>
      </c>
    </row>
    <row r="9" spans="2:6" ht="15" customHeight="1" x14ac:dyDescent="0.2">
      <c r="B9" s="31" t="inlineStr">
        <is>
          <t xml:space="preserve">Connolly / R. Connolly</t>
        </is>
      </c>
      <c r="C9" s="40">
        <v>4</v>
      </c>
      <c r="D9" s="41">
        <v>0.75</v>
      </c>
      <c r="E9" s="41">
        <v>0.5355</v>
      </c>
      <c r="F9" s="65">
        <v>0.2145</v>
      </c>
    </row>
    <row r="10" spans="2:6" ht="15" customHeight="1" x14ac:dyDescent="0.2">
      <c r="B10" s="34" t="inlineStr">
        <is>
          <t xml:space="preserve">Bussiculo / Shively</t>
        </is>
      </c>
      <c r="C10" s="43">
        <v>4</v>
      </c>
      <c r="D10" s="44">
        <v>0.625</v>
      </c>
      <c r="E10" s="44">
        <v>0.4213</v>
      </c>
      <c r="F10" s="67">
        <v>0.2037</v>
      </c>
    </row>
    <row r="11" spans="2:6" ht="15" customHeight="1" x14ac:dyDescent="0.2">
      <c r="B11" s="31" t="inlineStr">
        <is>
          <t xml:space="preserve">Connors / Welker</t>
        </is>
      </c>
      <c r="C11" s="40">
        <v>4</v>
      </c>
      <c r="D11" s="41">
        <v>0.625</v>
      </c>
      <c r="E11" s="41">
        <v>0.4328</v>
      </c>
      <c r="F11" s="65">
        <v>0.1922</v>
      </c>
    </row>
    <row r="12" spans="2:6" ht="15" customHeight="1" x14ac:dyDescent="0.2">
      <c r="B12" s="34" t="inlineStr">
        <is>
          <t xml:space="preserve">DeOteris / Ferrin</t>
        </is>
      </c>
      <c r="C12" s="43">
        <v>6</v>
      </c>
      <c r="D12" s="44">
        <v>0.6667</v>
      </c>
      <c r="E12" s="44">
        <v>0.4797</v>
      </c>
      <c r="F12" s="67">
        <v>0.187</v>
      </c>
    </row>
    <row r="13" spans="2:6" ht="15" customHeight="1" x14ac:dyDescent="0.2">
      <c r="B13" s="31" t="inlineStr">
        <is>
          <t xml:space="preserve">Hilts / Lynch</t>
        </is>
      </c>
      <c r="C13" s="40">
        <v>11</v>
      </c>
      <c r="D13" s="41">
        <v>0.6818</v>
      </c>
      <c r="E13" s="41">
        <v>0.5027</v>
      </c>
      <c r="F13" s="65">
        <v>0.1791</v>
      </c>
    </row>
    <row r="14" spans="2:6" ht="15" customHeight="1" x14ac:dyDescent="0.2">
      <c r="B14" s="34" t="inlineStr">
        <is>
          <t xml:space="preserve">Connolly / Grise</t>
        </is>
      </c>
      <c r="C14" s="43">
        <v>4</v>
      </c>
      <c r="D14" s="44">
        <v>0.75</v>
      </c>
      <c r="E14" s="44">
        <v>0.5714</v>
      </c>
      <c r="F14" s="67">
        <v>0.1786</v>
      </c>
    </row>
    <row r="15" spans="2:6" ht="15" customHeight="1" x14ac:dyDescent="0.2">
      <c r="B15" s="31" t="inlineStr">
        <is>
          <t xml:space="preserve">Grise / Hickerson</t>
        </is>
      </c>
      <c r="C15" s="40">
        <v>4</v>
      </c>
      <c r="D15" s="41">
        <v>0.625</v>
      </c>
      <c r="E15" s="41">
        <v>0.4513</v>
      </c>
      <c r="F15" s="65">
        <v>0.1737</v>
      </c>
    </row>
    <row r="16" spans="2:6" ht="15" customHeight="1" x14ac:dyDescent="0.2">
      <c r="B16" s="34" t="inlineStr">
        <is>
          <t xml:space="preserve">Grise / Jackson</t>
        </is>
      </c>
      <c r="C16" s="43">
        <v>10</v>
      </c>
      <c r="D16" s="44">
        <v>0.75</v>
      </c>
      <c r="E16" s="44">
        <v>0.5779</v>
      </c>
      <c r="F16" s="67">
        <v>0.1721</v>
      </c>
    </row>
    <row r="17" spans="2:6" ht="15" customHeight="1" x14ac:dyDescent="0.2">
      <c r="B17" s="31" t="inlineStr">
        <is>
          <t xml:space="preserve">Connolly / Shively</t>
        </is>
      </c>
      <c r="C17" s="40">
        <v>6</v>
      </c>
      <c r="D17" s="41">
        <v>0.6667</v>
      </c>
      <c r="E17" s="41">
        <v>0.4959</v>
      </c>
      <c r="F17" s="65">
        <v>0.1708</v>
      </c>
    </row>
    <row r="18" spans="2:6" ht="15" customHeight="1" x14ac:dyDescent="0.2">
      <c r="B18" s="34" t="inlineStr">
        <is>
          <t xml:space="preserve">Delaney / Mangold</t>
        </is>
      </c>
      <c r="C18" s="43">
        <v>4</v>
      </c>
      <c r="D18" s="44">
        <v>0.625</v>
      </c>
      <c r="E18" s="44">
        <v>0.4542</v>
      </c>
      <c r="F18" s="67">
        <v>0.1708</v>
      </c>
    </row>
    <row r="19" spans="2:6" ht="15" customHeight="1" x14ac:dyDescent="0.2">
      <c r="B19" s="31" t="inlineStr">
        <is>
          <t xml:space="preserve">Mangold / Welker</t>
        </is>
      </c>
      <c r="C19" s="40">
        <v>4</v>
      </c>
      <c r="D19" s="41">
        <v>0.625</v>
      </c>
      <c r="E19" s="41">
        <v>0.4633</v>
      </c>
      <c r="F19" s="65">
        <v>0.1617</v>
      </c>
    </row>
    <row r="20" spans="2:6" ht="15" customHeight="1" x14ac:dyDescent="0.2">
      <c r="B20" s="34" t="inlineStr">
        <is>
          <t xml:space="preserve">Cole / McInerney</t>
        </is>
      </c>
      <c r="C20" s="43">
        <v>4</v>
      </c>
      <c r="D20" s="44">
        <v>0.625</v>
      </c>
      <c r="E20" s="44">
        <v>0.4677</v>
      </c>
      <c r="F20" s="67">
        <v>0.1573</v>
      </c>
    </row>
    <row r="21" spans="2:6" ht="15" customHeight="1" x14ac:dyDescent="0.2">
      <c r="B21" s="31" t="inlineStr">
        <is>
          <t xml:space="preserve">Connolly / Connors</t>
        </is>
      </c>
      <c r="C21" s="40">
        <v>4</v>
      </c>
      <c r="D21" s="41">
        <v>0.625</v>
      </c>
      <c r="E21" s="41">
        <v>0.4724</v>
      </c>
      <c r="F21" s="65">
        <v>0.1526</v>
      </c>
    </row>
    <row r="22" spans="2:6" ht="15" customHeight="1" x14ac:dyDescent="0.2">
      <c r="B22" s="34" t="inlineStr">
        <is>
          <t xml:space="preserve">Fogan / Welker</t>
        </is>
      </c>
      <c r="C22" s="43">
        <v>5</v>
      </c>
      <c r="D22" s="44">
        <v>0.6</v>
      </c>
      <c r="E22" s="44">
        <v>0.4605</v>
      </c>
      <c r="F22" s="67">
        <v>0.1395</v>
      </c>
    </row>
    <row r="23" spans="2:6" ht="15" customHeight="1" x14ac:dyDescent="0.2">
      <c r="B23" s="31" t="inlineStr">
        <is>
          <t xml:space="preserve">Flanders / Poirier</t>
        </is>
      </c>
      <c r="C23" s="40">
        <v>4</v>
      </c>
      <c r="D23" s="41">
        <v>0.625</v>
      </c>
      <c r="E23" s="41">
        <v>0.5037</v>
      </c>
      <c r="F23" s="65">
        <v>0.1213</v>
      </c>
    </row>
    <row r="24" spans="2:6" ht="15" customHeight="1" x14ac:dyDescent="0.2">
      <c r="B24" s="34" t="inlineStr">
        <is>
          <t xml:space="preserve">Delneky / Fogan</t>
        </is>
      </c>
      <c r="C24" s="43">
        <v>4</v>
      </c>
      <c r="D24" s="44">
        <v>0.625</v>
      </c>
      <c r="E24" s="44">
        <v>0.5139</v>
      </c>
      <c r="F24" s="67">
        <v>0.1111</v>
      </c>
    </row>
    <row r="25" spans="2:6" ht="15" customHeight="1" x14ac:dyDescent="0.2">
      <c r="B25" s="31" t="inlineStr">
        <is>
          <t xml:space="preserve">Connolly / Forster</t>
        </is>
      </c>
      <c r="C25" s="40">
        <v>8</v>
      </c>
      <c r="D25" s="41">
        <v>0.6875</v>
      </c>
      <c r="E25" s="41">
        <v>0.591</v>
      </c>
      <c r="F25" s="65">
        <v>0.0965</v>
      </c>
    </row>
    <row r="26" spans="2:6" ht="15" customHeight="1" x14ac:dyDescent="0.2">
      <c r="B26" s="34" t="inlineStr">
        <is>
          <t xml:space="preserve">Grise / Poirier</t>
        </is>
      </c>
      <c r="C26" s="43">
        <v>4</v>
      </c>
      <c r="D26" s="44">
        <v>0.625</v>
      </c>
      <c r="E26" s="44">
        <v>0.5329</v>
      </c>
      <c r="F26" s="67">
        <v>0.0921</v>
      </c>
    </row>
    <row r="27" spans="2:6" ht="15" customHeight="1" x14ac:dyDescent="0.2">
      <c r="B27" s="31" t="inlineStr">
        <is>
          <t xml:space="preserve">Norat / Welker</t>
        </is>
      </c>
      <c r="C27" s="40">
        <v>4</v>
      </c>
      <c r="D27" s="41">
        <v>0.625</v>
      </c>
      <c r="E27" s="41">
        <v>0.5448</v>
      </c>
      <c r="F27" s="65">
        <v>0.0802</v>
      </c>
    </row>
    <row r="28" spans="2:6" ht="15" customHeight="1" x14ac:dyDescent="0.2">
      <c r="B28" s="34" t="inlineStr">
        <is>
          <t xml:space="preserve">Norat / Zimmer</t>
        </is>
      </c>
      <c r="C28" s="43">
        <v>6</v>
      </c>
      <c r="D28" s="44">
        <v>0.5833</v>
      </c>
      <c r="E28" s="44">
        <v>0.5096</v>
      </c>
      <c r="F28" s="67">
        <v>0.0737</v>
      </c>
    </row>
    <row r="29" spans="2:6" ht="15" customHeight="1" x14ac:dyDescent="0.2">
      <c r="B29" s="31" t="inlineStr">
        <is>
          <t xml:space="preserve">Hickerson / Lynch</t>
        </is>
      </c>
      <c r="C29" s="40">
        <v>4</v>
      </c>
      <c r="D29" s="41">
        <v>0.5</v>
      </c>
      <c r="E29" s="41">
        <v>0.4383</v>
      </c>
      <c r="F29" s="65">
        <v>0.0617</v>
      </c>
    </row>
    <row r="30" spans="2:6" ht="15" customHeight="1" x14ac:dyDescent="0.2">
      <c r="B30" s="34" t="inlineStr">
        <is>
          <t xml:space="preserve">Ferrin / Grise</t>
        </is>
      </c>
      <c r="C30" s="43">
        <v>4</v>
      </c>
      <c r="D30" s="44">
        <v>0.625</v>
      </c>
      <c r="E30" s="44">
        <v>0.5649</v>
      </c>
      <c r="F30" s="67">
        <v>0.0601</v>
      </c>
    </row>
    <row r="31" spans="2:6" ht="15" customHeight="1" x14ac:dyDescent="0.2">
      <c r="B31" s="31" t="inlineStr">
        <is>
          <t xml:space="preserve">Gray / Welker</t>
        </is>
      </c>
      <c r="C31" s="40">
        <v>4</v>
      </c>
      <c r="D31" s="41">
        <v>0.625</v>
      </c>
      <c r="E31" s="41">
        <v>0.5716</v>
      </c>
      <c r="F31" s="65">
        <v>0.0534</v>
      </c>
    </row>
    <row r="32" spans="2:6" ht="15" customHeight="1" x14ac:dyDescent="0.2">
      <c r="B32" s="34" t="inlineStr">
        <is>
          <t xml:space="preserve">Fogan / Weisberger</t>
        </is>
      </c>
      <c r="C32" s="43">
        <v>6</v>
      </c>
      <c r="D32" s="44">
        <v>0.5</v>
      </c>
      <c r="E32" s="44">
        <v>0.4514</v>
      </c>
      <c r="F32" s="67">
        <v>0.0486</v>
      </c>
    </row>
    <row r="33" spans="2:6" ht="15" customHeight="1" x14ac:dyDescent="0.2">
      <c r="B33" s="31" t="inlineStr">
        <is>
          <t xml:space="preserve">Gray / Zimmer</t>
        </is>
      </c>
      <c r="C33" s="40">
        <v>6</v>
      </c>
      <c r="D33" s="41">
        <v>0.5833</v>
      </c>
      <c r="E33" s="41">
        <v>0.5364</v>
      </c>
      <c r="F33" s="65">
        <v>0.047</v>
      </c>
    </row>
    <row r="34" spans="2:6" ht="15" customHeight="1" x14ac:dyDescent="0.2">
      <c r="B34" s="34" t="inlineStr">
        <is>
          <t xml:space="preserve">Lynch / Mangold</t>
        </is>
      </c>
      <c r="C34" s="43">
        <v>4</v>
      </c>
      <c r="D34" s="44">
        <v>0.5</v>
      </c>
      <c r="E34" s="44">
        <v>0.464</v>
      </c>
      <c r="F34" s="67">
        <v>0.036</v>
      </c>
    </row>
    <row r="35" spans="2:6" ht="15" customHeight="1" x14ac:dyDescent="0.2">
      <c r="B35" s="31" t="inlineStr">
        <is>
          <t xml:space="preserve">Connolly / Hilts</t>
        </is>
      </c>
      <c r="C35" s="40">
        <v>7</v>
      </c>
      <c r="D35" s="41">
        <v>0.5714</v>
      </c>
      <c r="E35" s="41">
        <v>0.5417</v>
      </c>
      <c r="F35" s="65">
        <v>0.0298</v>
      </c>
    </row>
    <row r="36" spans="2:6" ht="15" customHeight="1" x14ac:dyDescent="0.2">
      <c r="B36" s="34" t="inlineStr">
        <is>
          <t xml:space="preserve">Connors / Jackson</t>
        </is>
      </c>
      <c r="C36" s="43">
        <v>6</v>
      </c>
      <c r="D36" s="44">
        <v>0.5</v>
      </c>
      <c r="E36" s="44">
        <v>0.4789</v>
      </c>
      <c r="F36" s="67">
        <v>0.0211</v>
      </c>
    </row>
    <row r="37" spans="2:6" ht="15" customHeight="1" x14ac:dyDescent="0.2">
      <c r="B37" s="31" t="inlineStr">
        <is>
          <t xml:space="preserve">Ferrin / Shively</t>
        </is>
      </c>
      <c r="C37" s="40">
        <v>4</v>
      </c>
      <c r="D37" s="41">
        <v>0.5</v>
      </c>
      <c r="E37" s="41">
        <v>0.4894</v>
      </c>
      <c r="F37" s="65">
        <v>0.0106</v>
      </c>
    </row>
    <row r="38" spans="2:6" ht="15" customHeight="1" x14ac:dyDescent="0.2">
      <c r="B38" s="34" t="inlineStr">
        <is>
          <t xml:space="preserve">Delaney / Hilts</t>
        </is>
      </c>
      <c r="C38" s="43">
        <v>6</v>
      </c>
      <c r="D38" s="44">
        <v>0.5</v>
      </c>
      <c r="E38" s="44">
        <v>0.493</v>
      </c>
      <c r="F38" s="67">
        <v>0.007</v>
      </c>
    </row>
    <row r="39" spans="2:6" ht="15" customHeight="1" x14ac:dyDescent="0.2">
      <c r="B39" s="31" t="inlineStr">
        <is>
          <t xml:space="preserve">Ferrin / Jackson</t>
        </is>
      </c>
      <c r="C39" s="40">
        <v>15</v>
      </c>
      <c r="D39" s="41">
        <v>0.6</v>
      </c>
      <c r="E39" s="41">
        <v>0.5974</v>
      </c>
      <c r="F39" s="65">
        <v>0.0026</v>
      </c>
    </row>
    <row r="40" spans="2:6" ht="15" customHeight="1" x14ac:dyDescent="0.2">
      <c r="B40" s="34" t="inlineStr">
        <is>
          <t xml:space="preserve">Connors / Mangold</t>
        </is>
      </c>
      <c r="C40" s="43">
        <v>4</v>
      </c>
      <c r="D40" s="44">
        <v>0.375</v>
      </c>
      <c r="E40" s="44">
        <v>0.378</v>
      </c>
      <c r="F40" s="67">
        <v>-0.003</v>
      </c>
    </row>
    <row r="41" spans="2:6" ht="15" customHeight="1" x14ac:dyDescent="0.2">
      <c r="B41" s="31" t="inlineStr">
        <is>
          <t xml:space="preserve">Hilts / Poirier</t>
        </is>
      </c>
      <c r="C41" s="40">
        <v>6</v>
      </c>
      <c r="D41" s="41">
        <v>0.5</v>
      </c>
      <c r="E41" s="41">
        <v>0.5032</v>
      </c>
      <c r="F41" s="65">
        <v>-0.0032</v>
      </c>
    </row>
    <row r="42" spans="2:6" ht="15" customHeight="1" x14ac:dyDescent="0.2">
      <c r="B42" s="34" t="inlineStr">
        <is>
          <t xml:space="preserve">Bussiculo / Mangold</t>
        </is>
      </c>
      <c r="C42" s="43">
        <v>6</v>
      </c>
      <c r="D42" s="44">
        <v>0.4167</v>
      </c>
      <c r="E42" s="44">
        <v>0.4284</v>
      </c>
      <c r="F42" s="67">
        <v>-0.0117</v>
      </c>
    </row>
    <row r="43" spans="2:6" ht="15" customHeight="1" x14ac:dyDescent="0.2">
      <c r="B43" s="31" t="inlineStr">
        <is>
          <t xml:space="preserve">Gray / Norat</t>
        </is>
      </c>
      <c r="C43" s="40">
        <v>6</v>
      </c>
      <c r="D43" s="41">
        <v>0.5833</v>
      </c>
      <c r="E43" s="41">
        <v>0.5982</v>
      </c>
      <c r="F43" s="65">
        <v>-0.0149</v>
      </c>
    </row>
    <row r="44" spans="2:6" ht="15" customHeight="1" x14ac:dyDescent="0.2">
      <c r="B44" s="34" t="inlineStr">
        <is>
          <t xml:space="preserve">Cole / Ferrin</t>
        </is>
      </c>
      <c r="C44" s="43">
        <v>6</v>
      </c>
      <c r="D44" s="44">
        <v>0.5</v>
      </c>
      <c r="E44" s="44">
        <v>0.5191</v>
      </c>
      <c r="F44" s="67">
        <v>-0.0191</v>
      </c>
    </row>
    <row r="45" spans="2:6" ht="15" customHeight="1" x14ac:dyDescent="0.2">
      <c r="B45" s="31" t="inlineStr">
        <is>
          <t xml:space="preserve">Connolly / Zimmer</t>
        </is>
      </c>
      <c r="C45" s="40">
        <v>4</v>
      </c>
      <c r="D45" s="41">
        <v>0.5</v>
      </c>
      <c r="E45" s="41">
        <v>0.5226</v>
      </c>
      <c r="F45" s="65">
        <v>-0.0226</v>
      </c>
    </row>
    <row r="46" spans="2:6" ht="15" customHeight="1" x14ac:dyDescent="0.2">
      <c r="B46" s="34" t="inlineStr">
        <is>
          <t xml:space="preserve">Cole / Jackson</t>
        </is>
      </c>
      <c r="C46" s="43">
        <v>4</v>
      </c>
      <c r="D46" s="44">
        <v>0.5</v>
      </c>
      <c r="E46" s="44">
        <v>0.5321</v>
      </c>
      <c r="F46" s="67">
        <v>-0.0321</v>
      </c>
    </row>
    <row r="47" spans="2:6" ht="15" customHeight="1" x14ac:dyDescent="0.2">
      <c r="B47" s="31" t="inlineStr">
        <is>
          <t xml:space="preserve">Macklin / Poirier</t>
        </is>
      </c>
      <c r="C47" s="40">
        <v>4</v>
      </c>
      <c r="D47" s="41">
        <v>0.375</v>
      </c>
      <c r="E47" s="41">
        <v>0.4102</v>
      </c>
      <c r="F47" s="65">
        <v>-0.0352</v>
      </c>
    </row>
    <row r="48" spans="2:6" ht="15" customHeight="1" x14ac:dyDescent="0.2">
      <c r="B48" s="34" t="inlineStr">
        <is>
          <t xml:space="preserve">Flanders / Forster</t>
        </is>
      </c>
      <c r="C48" s="43">
        <v>14</v>
      </c>
      <c r="D48" s="44">
        <v>0.5</v>
      </c>
      <c r="E48" s="44">
        <v>0.5358</v>
      </c>
      <c r="F48" s="67">
        <v>-0.0358</v>
      </c>
    </row>
    <row r="49" spans="2:6" ht="15" customHeight="1" x14ac:dyDescent="0.2">
      <c r="B49" s="31" t="inlineStr">
        <is>
          <t xml:space="preserve">DeOteris / Zimmer</t>
        </is>
      </c>
      <c r="C49" s="40">
        <v>4</v>
      </c>
      <c r="D49" s="41">
        <v>0.375</v>
      </c>
      <c r="E49" s="41">
        <v>0.4114</v>
      </c>
      <c r="F49" s="65">
        <v>-0.0364</v>
      </c>
    </row>
    <row r="50" spans="2:6" ht="15" customHeight="1" x14ac:dyDescent="0.2">
      <c r="B50" s="34" t="inlineStr">
        <is>
          <t xml:space="preserve">Delneky / R. Connolly</t>
        </is>
      </c>
      <c r="C50" s="43">
        <v>4</v>
      </c>
      <c r="D50" s="44">
        <v>0.5</v>
      </c>
      <c r="E50" s="44">
        <v>0.5493</v>
      </c>
      <c r="F50" s="67">
        <v>-0.0493</v>
      </c>
    </row>
    <row r="51" spans="2:6" ht="15" customHeight="1" x14ac:dyDescent="0.2">
      <c r="B51" s="31" t="inlineStr">
        <is>
          <t xml:space="preserve">Gray / McInerney</t>
        </is>
      </c>
      <c r="C51" s="40">
        <v>4</v>
      </c>
      <c r="D51" s="41">
        <v>0.5</v>
      </c>
      <c r="E51" s="41">
        <v>0.5532</v>
      </c>
      <c r="F51" s="65">
        <v>-0.0532</v>
      </c>
    </row>
    <row r="52" spans="2:6" ht="15" customHeight="1" x14ac:dyDescent="0.2">
      <c r="B52" s="34" t="inlineStr">
        <is>
          <t xml:space="preserve">McInerney / Shively</t>
        </is>
      </c>
      <c r="C52" s="43">
        <v>8</v>
      </c>
      <c r="D52" s="44">
        <v>0.375</v>
      </c>
      <c r="E52" s="44">
        <v>0.4379</v>
      </c>
      <c r="F52" s="67">
        <v>-0.0629</v>
      </c>
    </row>
    <row r="53" spans="2:6" ht="15" customHeight="1" x14ac:dyDescent="0.2">
      <c r="B53" s="31" t="inlineStr">
        <is>
          <t xml:space="preserve">Cole / Lynch</t>
        </is>
      </c>
      <c r="C53" s="40">
        <v>6</v>
      </c>
      <c r="D53" s="41">
        <v>0.4167</v>
      </c>
      <c r="E53" s="41">
        <v>0.4867</v>
      </c>
      <c r="F53" s="65">
        <v>-0.07</v>
      </c>
    </row>
    <row r="54" spans="2:6" ht="15" customHeight="1" x14ac:dyDescent="0.2">
      <c r="B54" s="34" t="inlineStr">
        <is>
          <t xml:space="preserve">Forster / Norat</t>
        </is>
      </c>
      <c r="C54" s="43">
        <v>4</v>
      </c>
      <c r="D54" s="44">
        <v>0.5</v>
      </c>
      <c r="E54" s="44">
        <v>0.578</v>
      </c>
      <c r="F54" s="67">
        <v>-0.078</v>
      </c>
    </row>
    <row r="55" spans="2:6" ht="15" customHeight="1" x14ac:dyDescent="0.2">
      <c r="B55" s="31" t="inlineStr">
        <is>
          <t xml:space="preserve">Connolly / Delneky</t>
        </is>
      </c>
      <c r="C55" s="40">
        <v>4</v>
      </c>
      <c r="D55" s="41">
        <v>0.5</v>
      </c>
      <c r="E55" s="41">
        <v>0.6112</v>
      </c>
      <c r="F55" s="65">
        <v>-0.1112</v>
      </c>
    </row>
    <row r="56" spans="2:6" ht="15" customHeight="1" x14ac:dyDescent="0.2">
      <c r="B56" s="34" t="inlineStr">
        <is>
          <t xml:space="preserve">Flanders / Mangold</t>
        </is>
      </c>
      <c r="C56" s="43">
        <v>6</v>
      </c>
      <c r="D56" s="44">
        <v>0.3333</v>
      </c>
      <c r="E56" s="44">
        <v>0.4477</v>
      </c>
      <c r="F56" s="67">
        <v>-0.1144</v>
      </c>
    </row>
    <row r="57" spans="2:6" ht="15" customHeight="1" x14ac:dyDescent="0.2">
      <c r="B57" s="31" t="inlineStr">
        <is>
          <t xml:space="preserve">Fogan / Lynch</t>
        </is>
      </c>
      <c r="C57" s="40">
        <v>6</v>
      </c>
      <c r="D57" s="41">
        <v>0.3333</v>
      </c>
      <c r="E57" s="41">
        <v>0.4611</v>
      </c>
      <c r="F57" s="65">
        <v>-0.1278</v>
      </c>
    </row>
    <row r="58" spans="2:6" ht="15" customHeight="1" x14ac:dyDescent="0.2">
      <c r="B58" s="34" t="inlineStr">
        <is>
          <t xml:space="preserve">Lynch / Perkins</t>
        </is>
      </c>
      <c r="C58" s="43">
        <v>4</v>
      </c>
      <c r="D58" s="44">
        <v>0.375</v>
      </c>
      <c r="E58" s="44">
        <v>0.5501</v>
      </c>
      <c r="F58" s="67">
        <v>-0.1751</v>
      </c>
    </row>
    <row r="59" spans="2:6" ht="15" customHeight="1" x14ac:dyDescent="0.2">
      <c r="B59" s="31" t="inlineStr">
        <is>
          <t xml:space="preserve">Grise / Mangold</t>
        </is>
      </c>
      <c r="C59" s="40">
        <v>4</v>
      </c>
      <c r="D59" s="41">
        <v>0.25</v>
      </c>
      <c r="E59" s="41">
        <v>0.477</v>
      </c>
      <c r="F59" s="65">
        <v>-0.227</v>
      </c>
    </row>
    <row r="60" spans="2:6" ht="15" customHeight="1" x14ac:dyDescent="0.2">
      <c r="B60" s="34" t="inlineStr">
        <is>
          <t xml:space="preserve">Flanders / Hilts</t>
        </is>
      </c>
      <c r="C60" s="43">
        <v>4</v>
      </c>
      <c r="D60" s="44">
        <v>0.25</v>
      </c>
      <c r="E60" s="44">
        <v>0.4865</v>
      </c>
      <c r="F60" s="67">
        <v>-0.2365</v>
      </c>
    </row>
    <row r="61" spans="2:6" ht="15" customHeight="1" x14ac:dyDescent="0.2">
      <c r="B61" s="31" t="inlineStr">
        <is>
          <t xml:space="preserve">Cole / Poirier</t>
        </is>
      </c>
      <c r="C61" s="40">
        <v>4</v>
      </c>
      <c r="D61" s="41">
        <v>0.25</v>
      </c>
      <c r="E61" s="41">
        <v>0.4871</v>
      </c>
      <c r="F61" s="65">
        <v>-0.2371</v>
      </c>
    </row>
    <row r="62" spans="2:6" ht="15" customHeight="1" x14ac:dyDescent="0.2">
      <c r="B62" s="34" t="inlineStr">
        <is>
          <t xml:space="preserve">Connors / Grise</t>
        </is>
      </c>
      <c r="C62" s="43">
        <v>5</v>
      </c>
      <c r="D62" s="44">
        <v>0.2</v>
      </c>
      <c r="E62" s="44">
        <v>0.4465</v>
      </c>
      <c r="F62" s="67">
        <v>-0.2465</v>
      </c>
    </row>
    <row r="63" spans="2:6" ht="15" customHeight="1" x14ac:dyDescent="0.2">
      <c r="B63" s="31" t="inlineStr">
        <is>
          <t xml:space="preserve">Fogan / Hilts</t>
        </is>
      </c>
      <c r="C63" s="40">
        <v>6</v>
      </c>
      <c r="D63" s="41">
        <v>0.1667</v>
      </c>
      <c r="E63" s="41">
        <v>0.4443</v>
      </c>
      <c r="F63" s="65">
        <v>-0.2777</v>
      </c>
    </row>
    <row r="64" spans="2:6" ht="15" customHeight="1" x14ac:dyDescent="0.2">
      <c r="B64" s="34" t="inlineStr">
        <is>
          <t xml:space="preserve">Cole / Connors</t>
        </is>
      </c>
      <c r="C64" s="43">
        <v>4</v>
      </c>
      <c r="D64" s="44">
        <v>0</v>
      </c>
      <c r="E64" s="44">
        <v>0.4007</v>
      </c>
      <c r="F64" s="67">
        <v>-0.4007</v>
      </c>
    </row>
    <row r="65" spans="2:6" ht="15" customHeight="1" x14ac:dyDescent="0.2">
      <c r="B65" s="31" t="inlineStr">
        <is>
          <t xml:space="preserve">Fogan / McInerney</t>
        </is>
      </c>
      <c r="C65" s="40">
        <v>4</v>
      </c>
      <c r="D65" s="41">
        <v>0</v>
      </c>
      <c r="E65" s="41">
        <v>0.4421</v>
      </c>
      <c r="F65" s="65">
        <v>-0.4421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inlineStr">
        <is>
          <t xml:space="preserve">Welker</t>
        </is>
      </c>
      <c r="C5" s="40">
        <v>55</v>
      </c>
      <c r="D5" s="41">
        <v>0.5182</v>
      </c>
      <c r="E5" s="41">
        <v>0.55</v>
      </c>
      <c r="F5" s="65">
        <v>0.0318</v>
      </c>
    </row>
    <row r="6" spans="2:6" ht="15" customHeight="1" x14ac:dyDescent="0.2">
      <c r="B6" s="34" t="inlineStr">
        <is>
          <t xml:space="preserve">Perkins</t>
        </is>
      </c>
      <c r="C6" s="43">
        <v>31</v>
      </c>
      <c r="D6" s="44">
        <v>0.5806</v>
      </c>
      <c r="E6" s="44">
        <v>0.6087</v>
      </c>
      <c r="F6" s="67">
        <v>0.0281</v>
      </c>
    </row>
    <row r="7" spans="2:6" ht="15" customHeight="1" x14ac:dyDescent="0.2">
      <c r="B7" s="31" t="inlineStr">
        <is>
          <t xml:space="preserve">Gray</t>
        </is>
      </c>
      <c r="C7" s="40">
        <v>48</v>
      </c>
      <c r="D7" s="41">
        <v>0.625</v>
      </c>
      <c r="E7" s="41">
        <v>0.6509</v>
      </c>
      <c r="F7" s="65">
        <v>0.0259</v>
      </c>
    </row>
    <row r="8" spans="2:6" ht="15" customHeight="1" x14ac:dyDescent="0.2">
      <c r="B8" s="34" t="inlineStr">
        <is>
          <t xml:space="preserve">Poirier</t>
        </is>
      </c>
      <c r="C8" s="43">
        <v>49</v>
      </c>
      <c r="D8" s="44">
        <v>0.5204</v>
      </c>
      <c r="E8" s="44">
        <v>0.5463</v>
      </c>
      <c r="F8" s="67">
        <v>0.0259</v>
      </c>
    </row>
    <row r="9" spans="2:6" ht="15" customHeight="1" x14ac:dyDescent="0.2">
      <c r="B9" s="31" t="inlineStr">
        <is>
          <t xml:space="preserve">Hilts</t>
        </is>
      </c>
      <c r="C9" s="40">
        <v>71</v>
      </c>
      <c r="D9" s="41">
        <v>0.4859</v>
      </c>
      <c r="E9" s="41">
        <v>0.5094</v>
      </c>
      <c r="F9" s="65">
        <v>0.0235</v>
      </c>
    </row>
    <row r="10" spans="2:6" ht="15" customHeight="1" x14ac:dyDescent="0.2">
      <c r="B10" s="34" t="inlineStr">
        <is>
          <t xml:space="preserve">McInerney</t>
        </is>
      </c>
      <c r="C10" s="43">
        <v>54</v>
      </c>
      <c r="D10" s="44">
        <v>0.4815</v>
      </c>
      <c r="E10" s="44">
        <v>0.5042</v>
      </c>
      <c r="F10" s="67">
        <v>0.0227</v>
      </c>
    </row>
    <row r="11" spans="2:6" ht="15" customHeight="1" x14ac:dyDescent="0.2">
      <c r="B11" s="31" t="inlineStr">
        <is>
          <t xml:space="preserve">Cole</t>
        </is>
      </c>
      <c r="C11" s="40">
        <v>65</v>
      </c>
      <c r="D11" s="41">
        <v>0.4538</v>
      </c>
      <c r="E11" s="41">
        <v>0.4722</v>
      </c>
      <c r="F11" s="65">
        <v>0.0184</v>
      </c>
    </row>
    <row r="12" spans="2:6" ht="15" customHeight="1" x14ac:dyDescent="0.2">
      <c r="B12" s="34" t="inlineStr">
        <is>
          <t xml:space="preserve">R. Connolly</t>
        </is>
      </c>
      <c r="C12" s="43">
        <v>19</v>
      </c>
      <c r="D12" s="44">
        <v>0.4737</v>
      </c>
      <c r="E12" s="44">
        <v>0.4884</v>
      </c>
      <c r="F12" s="67">
        <v>0.0147</v>
      </c>
    </row>
    <row r="13" spans="2:6" ht="15" customHeight="1" x14ac:dyDescent="0.2">
      <c r="B13" s="31" t="inlineStr">
        <is>
          <t xml:space="preserve">Connolly</t>
        </is>
      </c>
      <c r="C13" s="40">
        <v>77</v>
      </c>
      <c r="D13" s="41">
        <v>0.5974</v>
      </c>
      <c r="E13" s="41">
        <v>0.6105</v>
      </c>
      <c r="F13" s="65">
        <v>0.0131</v>
      </c>
    </row>
    <row r="14" spans="2:6" ht="15" customHeight="1" x14ac:dyDescent="0.2">
      <c r="B14" s="34" t="inlineStr">
        <is>
          <t xml:space="preserve">Forster</t>
        </is>
      </c>
      <c r="C14" s="43">
        <v>71</v>
      </c>
      <c r="D14" s="44">
        <v>0.5845</v>
      </c>
      <c r="E14" s="44">
        <v>0.5962</v>
      </c>
      <c r="F14" s="67">
        <v>0.0116</v>
      </c>
    </row>
    <row r="15" spans="2:6" ht="15" customHeight="1" x14ac:dyDescent="0.2">
      <c r="B15" s="31" t="inlineStr">
        <is>
          <t xml:space="preserve">Fogan</t>
        </is>
      </c>
      <c r="C15" s="40">
        <v>72</v>
      </c>
      <c r="D15" s="41">
        <v>0.4028</v>
      </c>
      <c r="E15" s="41">
        <v>0.4125</v>
      </c>
      <c r="F15" s="65">
        <v>0.0097</v>
      </c>
    </row>
    <row r="16" spans="2:6" ht="15" customHeight="1" x14ac:dyDescent="0.2">
      <c r="B16" s="34" t="inlineStr">
        <is>
          <t xml:space="preserve">Zimmer</t>
        </is>
      </c>
      <c r="C16" s="43">
        <v>67</v>
      </c>
      <c r="D16" s="44">
        <v>0.4478</v>
      </c>
      <c r="E16" s="44">
        <v>0.4527</v>
      </c>
      <c r="F16" s="67">
        <v>0.0049</v>
      </c>
    </row>
    <row r="17" spans="2:6" ht="15" customHeight="1" x14ac:dyDescent="0.2">
      <c r="B17" s="31" t="inlineStr">
        <is>
          <t xml:space="preserve">Norat</t>
        </is>
      </c>
      <c r="C17" s="40">
        <v>42</v>
      </c>
      <c r="D17" s="41">
        <v>0.5714</v>
      </c>
      <c r="E17" s="41">
        <v>0.5761</v>
      </c>
      <c r="F17" s="65">
        <v>0.0047</v>
      </c>
    </row>
    <row r="18" spans="2:6" ht="15" customHeight="1" x14ac:dyDescent="0.2">
      <c r="B18" s="34" t="inlineStr">
        <is>
          <t xml:space="preserve">Delneky</t>
        </is>
      </c>
      <c r="C18" s="43">
        <v>36</v>
      </c>
      <c r="D18" s="44">
        <v>0.625</v>
      </c>
      <c r="E18" s="44">
        <v>0.6282</v>
      </c>
      <c r="F18" s="67">
        <v>0.0032</v>
      </c>
    </row>
    <row r="19" spans="2:6" ht="15" customHeight="1" x14ac:dyDescent="0.2">
      <c r="B19" s="31" t="inlineStr">
        <is>
          <t xml:space="preserve">Ferrin</t>
        </is>
      </c>
      <c r="C19" s="40">
        <v>77</v>
      </c>
      <c r="D19" s="41">
        <v>0.5844</v>
      </c>
      <c r="E19" s="41">
        <v>0.5872</v>
      </c>
      <c r="F19" s="65">
        <v>0.0028</v>
      </c>
    </row>
    <row r="20" spans="2:6" ht="15" customHeight="1" x14ac:dyDescent="0.2">
      <c r="B20" s="34" t="inlineStr">
        <is>
          <t xml:space="preserve">DeOteris</t>
        </is>
      </c>
      <c r="C20" s="43">
        <v>24</v>
      </c>
      <c r="D20" s="44">
        <v>0.375</v>
      </c>
      <c r="E20" s="44">
        <v>0.3725</v>
      </c>
      <c r="F20" s="67">
        <v>-0.0025</v>
      </c>
    </row>
    <row r="21" spans="2:6" ht="15" customHeight="1" x14ac:dyDescent="0.2">
      <c r="B21" s="31" t="inlineStr">
        <is>
          <t xml:space="preserve">Flanders</t>
        </is>
      </c>
      <c r="C21" s="40">
        <v>77</v>
      </c>
      <c r="D21" s="41">
        <v>0.487</v>
      </c>
      <c r="E21" s="41">
        <v>0.4826</v>
      </c>
      <c r="F21" s="65">
        <v>-0.0045</v>
      </c>
    </row>
    <row r="22" spans="2:6" ht="15" customHeight="1" x14ac:dyDescent="0.2">
      <c r="B22" s="34" t="inlineStr">
        <is>
          <t xml:space="preserve">Grise</t>
        </is>
      </c>
      <c r="C22" s="43">
        <v>77</v>
      </c>
      <c r="D22" s="44">
        <v>0.5455</v>
      </c>
      <c r="E22" s="44">
        <v>0.5407</v>
      </c>
      <c r="F22" s="67">
        <v>-0.0048</v>
      </c>
    </row>
    <row r="23" spans="2:6" ht="15" customHeight="1" x14ac:dyDescent="0.2">
      <c r="B23" s="31" t="inlineStr">
        <is>
          <t xml:space="preserve">Piegari</t>
        </is>
      </c>
      <c r="C23" s="40">
        <v>19</v>
      </c>
      <c r="D23" s="41">
        <v>0.3421</v>
      </c>
      <c r="E23" s="41">
        <v>0.3333</v>
      </c>
      <c r="F23" s="65">
        <v>-0.0088</v>
      </c>
    </row>
    <row r="24" spans="2:6" ht="15" customHeight="1" x14ac:dyDescent="0.2">
      <c r="B24" s="34" t="inlineStr">
        <is>
          <t xml:space="preserve">Hickerson</t>
        </is>
      </c>
      <c r="C24" s="43">
        <v>21</v>
      </c>
      <c r="D24" s="44">
        <v>0.3571</v>
      </c>
      <c r="E24" s="44">
        <v>0.3469</v>
      </c>
      <c r="F24" s="67">
        <v>-0.0102</v>
      </c>
    </row>
    <row r="25" spans="2:6" ht="15" customHeight="1" x14ac:dyDescent="0.2">
      <c r="B25" s="31" t="inlineStr">
        <is>
          <t xml:space="preserve">Connors</t>
        </is>
      </c>
      <c r="C25" s="40">
        <v>59</v>
      </c>
      <c r="D25" s="41">
        <v>0.3475</v>
      </c>
      <c r="E25" s="41">
        <v>0.3359</v>
      </c>
      <c r="F25" s="65">
        <v>-0.0116</v>
      </c>
    </row>
    <row r="26" spans="2:6" ht="15" customHeight="1" x14ac:dyDescent="0.2">
      <c r="B26" s="34" t="inlineStr">
        <is>
          <t xml:space="preserve">Jackson</t>
        </is>
      </c>
      <c r="C26" s="43">
        <v>77</v>
      </c>
      <c r="D26" s="44">
        <v>0.6104</v>
      </c>
      <c r="E26" s="44">
        <v>0.593</v>
      </c>
      <c r="F26" s="67">
        <v>-0.0174</v>
      </c>
    </row>
    <row r="27" spans="2:6" ht="15" customHeight="1" x14ac:dyDescent="0.2">
      <c r="B27" s="31" t="inlineStr">
        <is>
          <t xml:space="preserve">Lynch</t>
        </is>
      </c>
      <c r="C27" s="40">
        <v>77</v>
      </c>
      <c r="D27" s="41">
        <v>0.5195</v>
      </c>
      <c r="E27" s="41">
        <v>0.4942</v>
      </c>
      <c r="F27" s="65">
        <v>-0.0253</v>
      </c>
    </row>
    <row r="28" spans="2:6" ht="15" customHeight="1" x14ac:dyDescent="0.2">
      <c r="B28" s="34" t="inlineStr">
        <is>
          <t xml:space="preserve">Delaney</t>
        </is>
      </c>
      <c r="C28" s="43">
        <v>43</v>
      </c>
      <c r="D28" s="44">
        <v>0.5</v>
      </c>
      <c r="E28" s="44">
        <v>0.4737</v>
      </c>
      <c r="F28" s="67">
        <v>-0.0263</v>
      </c>
    </row>
    <row r="29" spans="2:6" ht="15" customHeight="1" x14ac:dyDescent="0.2">
      <c r="B29" s="31" t="inlineStr">
        <is>
          <t xml:space="preserve">Shively</t>
        </is>
      </c>
      <c r="C29" s="40">
        <v>71</v>
      </c>
      <c r="D29" s="41">
        <v>0.3944</v>
      </c>
      <c r="E29" s="41">
        <v>0.3671</v>
      </c>
      <c r="F29" s="65">
        <v>-0.0273</v>
      </c>
    </row>
    <row r="30" spans="2:6" ht="15" customHeight="1" x14ac:dyDescent="0.2">
      <c r="B30" s="34" t="inlineStr">
        <is>
          <t xml:space="preserve">Mangold</t>
        </is>
      </c>
      <c r="C30" s="43">
        <v>71</v>
      </c>
      <c r="D30" s="44">
        <v>0.4085</v>
      </c>
      <c r="E30" s="44">
        <v>0.3774</v>
      </c>
      <c r="F30" s="67">
        <v>-0.0311</v>
      </c>
    </row>
    <row r="31" spans="2:6" ht="15" customHeight="1" x14ac:dyDescent="0.2">
      <c r="B31" s="31" t="inlineStr">
        <is>
          <t xml:space="preserve">Weisberger</t>
        </is>
      </c>
      <c r="C31" s="40">
        <v>16</v>
      </c>
      <c r="D31" s="41">
        <v>0.5</v>
      </c>
      <c r="E31" s="41">
        <v>0.4595</v>
      </c>
      <c r="F31" s="65">
        <v>-0.0405</v>
      </c>
    </row>
    <row r="32" spans="2:6" ht="15" customHeight="1" x14ac:dyDescent="0.2">
      <c r="B32" s="34" t="inlineStr">
        <is>
          <t xml:space="preserve">Bussiculo</t>
        </is>
      </c>
      <c r="C32" s="43">
        <v>29</v>
      </c>
      <c r="D32" s="44">
        <v>0.4483</v>
      </c>
      <c r="E32" s="44">
        <v>0.4</v>
      </c>
      <c r="F32" s="67">
        <v>-0.0483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inlineStr">
        <is>
          <t xml:space="preserve">Lynch</t>
        </is>
      </c>
      <c r="C5" s="40">
        <v>13</v>
      </c>
      <c r="D5" s="40">
        <v>10</v>
      </c>
      <c r="E5" s="42">
        <v>6.99</v>
      </c>
      <c r="F5" s="68">
        <v>3.01</v>
      </c>
    </row>
    <row r="6" spans="2:6" ht="15" customHeight="1" x14ac:dyDescent="0.2">
      <c r="B6" s="34" t="inlineStr">
        <is>
          <t xml:space="preserve">Connolly</t>
        </is>
      </c>
      <c r="C6" s="43">
        <v>13</v>
      </c>
      <c r="D6" s="43">
        <v>10</v>
      </c>
      <c r="E6" s="45">
        <v>7.24</v>
      </c>
      <c r="F6" s="69">
        <v>2.76</v>
      </c>
    </row>
    <row r="7" spans="2:6" ht="15" customHeight="1" x14ac:dyDescent="0.2">
      <c r="B7" s="31" t="inlineStr">
        <is>
          <t xml:space="preserve">Hilts</t>
        </is>
      </c>
      <c r="C7" s="40">
        <v>12</v>
      </c>
      <c r="D7" s="40">
        <v>9</v>
      </c>
      <c r="E7" s="42">
        <v>6.51</v>
      </c>
      <c r="F7" s="68">
        <v>2.49</v>
      </c>
    </row>
    <row r="8" spans="2:6" ht="15" customHeight="1" x14ac:dyDescent="0.2">
      <c r="B8" s="34" t="inlineStr">
        <is>
          <t xml:space="preserve">Grise</t>
        </is>
      </c>
      <c r="C8" s="43">
        <v>13</v>
      </c>
      <c r="D8" s="43">
        <v>9</v>
      </c>
      <c r="E8" s="45">
        <v>6.86</v>
      </c>
      <c r="F8" s="69">
        <v>2.14</v>
      </c>
    </row>
    <row r="9" spans="2:6" ht="15" customHeight="1" x14ac:dyDescent="0.2">
      <c r="B9" s="31" t="inlineStr">
        <is>
          <t xml:space="preserve">Delaney</t>
        </is>
      </c>
      <c r="C9" s="40">
        <v>7</v>
      </c>
      <c r="D9" s="40">
        <v>5</v>
      </c>
      <c r="E9" s="42">
        <v>3.68</v>
      </c>
      <c r="F9" s="68">
        <v>1.32</v>
      </c>
    </row>
    <row r="10" spans="2:6" ht="15" customHeight="1" x14ac:dyDescent="0.2">
      <c r="B10" s="34" t="inlineStr">
        <is>
          <t xml:space="preserve">Zimmer</t>
        </is>
      </c>
      <c r="C10" s="43">
        <v>11</v>
      </c>
      <c r="D10" s="43">
        <v>7</v>
      </c>
      <c r="E10" s="45">
        <v>5.9</v>
      </c>
      <c r="F10" s="69">
        <v>1.1</v>
      </c>
    </row>
    <row r="11" spans="2:6" ht="15" customHeight="1" x14ac:dyDescent="0.2">
      <c r="B11" s="31" t="inlineStr">
        <is>
          <t xml:space="preserve">Perkins</t>
        </is>
      </c>
      <c r="C11" s="40">
        <v>5</v>
      </c>
      <c r="D11" s="40">
        <v>4</v>
      </c>
      <c r="E11" s="42">
        <v>2.98</v>
      </c>
      <c r="F11" s="68">
        <v>1.02</v>
      </c>
    </row>
    <row r="12" spans="2:6" ht="15" customHeight="1" x14ac:dyDescent="0.2">
      <c r="B12" s="34" t="inlineStr">
        <is>
          <t xml:space="preserve">Shively</t>
        </is>
      </c>
      <c r="C12" s="43">
        <v>12</v>
      </c>
      <c r="D12" s="43">
        <v>7</v>
      </c>
      <c r="E12" s="45">
        <v>6.23</v>
      </c>
      <c r="F12" s="69">
        <v>0.77</v>
      </c>
    </row>
    <row r="13" spans="2:6" ht="15" customHeight="1" x14ac:dyDescent="0.2">
      <c r="B13" s="31" t="inlineStr">
        <is>
          <t xml:space="preserve">McInerney</t>
        </is>
      </c>
      <c r="C13" s="40">
        <v>9</v>
      </c>
      <c r="D13" s="40">
        <v>5</v>
      </c>
      <c r="E13" s="42">
        <v>4.68</v>
      </c>
      <c r="F13" s="68">
        <v>0.32</v>
      </c>
    </row>
    <row r="14" spans="2:6" ht="15" customHeight="1" x14ac:dyDescent="0.2">
      <c r="B14" s="34" t="inlineStr">
        <is>
          <t xml:space="preserve">Bussiculo</t>
        </is>
      </c>
      <c r="C14" s="43">
        <v>6</v>
      </c>
      <c r="D14" s="43">
        <v>3</v>
      </c>
      <c r="E14" s="45">
        <v>2.93</v>
      </c>
      <c r="F14" s="69">
        <v>0.07</v>
      </c>
    </row>
    <row r="15" spans="2:6" ht="15" customHeight="1" x14ac:dyDescent="0.2">
      <c r="B15" s="31" t="inlineStr">
        <is>
          <t xml:space="preserve">Poirier</t>
        </is>
      </c>
      <c r="C15" s="40">
        <v>8</v>
      </c>
      <c r="D15" s="40">
        <v>4</v>
      </c>
      <c r="E15" s="42">
        <v>3.97</v>
      </c>
      <c r="F15" s="68">
        <v>0.03</v>
      </c>
    </row>
    <row r="16" spans="2:6" ht="15" customHeight="1" x14ac:dyDescent="0.2">
      <c r="B16" s="34" t="inlineStr">
        <is>
          <t xml:space="preserve">Hickerson</t>
        </is>
      </c>
      <c r="C16" s="43">
        <v>4</v>
      </c>
      <c r="D16" s="43">
        <v>2</v>
      </c>
      <c r="E16" s="45">
        <v>2.01</v>
      </c>
      <c r="F16" s="69">
        <v>-0.01</v>
      </c>
    </row>
    <row r="17" spans="2:6" ht="15" customHeight="1" x14ac:dyDescent="0.2">
      <c r="B17" s="31" t="inlineStr">
        <is>
          <t xml:space="preserve">Cole</t>
        </is>
      </c>
      <c r="C17" s="40">
        <v>11</v>
      </c>
      <c r="D17" s="40">
        <v>5</v>
      </c>
      <c r="E17" s="42">
        <v>5.06</v>
      </c>
      <c r="F17" s="68">
        <v>-0.06</v>
      </c>
    </row>
    <row r="18" spans="2:6" ht="15" customHeight="1" x14ac:dyDescent="0.2">
      <c r="B18" s="34" t="inlineStr">
        <is>
          <t xml:space="preserve">Delneky</t>
        </is>
      </c>
      <c r="C18" s="43">
        <v>6</v>
      </c>
      <c r="D18" s="43">
        <v>3</v>
      </c>
      <c r="E18" s="45">
        <v>3.13</v>
      </c>
      <c r="F18" s="69">
        <v>-0.13</v>
      </c>
    </row>
    <row r="19" spans="2:6" ht="15" customHeight="1" x14ac:dyDescent="0.2">
      <c r="B19" s="31" t="inlineStr">
        <is>
          <t xml:space="preserve">Flanders</t>
        </is>
      </c>
      <c r="C19" s="40">
        <v>13</v>
      </c>
      <c r="D19" s="40">
        <v>6</v>
      </c>
      <c r="E19" s="42">
        <v>6.17</v>
      </c>
      <c r="F19" s="68">
        <v>-0.17</v>
      </c>
    </row>
    <row r="20" spans="2:6" ht="15" customHeight="1" x14ac:dyDescent="0.2">
      <c r="B20" s="34" t="inlineStr">
        <is>
          <t xml:space="preserve">Gray</t>
        </is>
      </c>
      <c r="C20" s="43">
        <v>8</v>
      </c>
      <c r="D20" s="43">
        <v>4</v>
      </c>
      <c r="E20" s="45">
        <v>4.23</v>
      </c>
      <c r="F20" s="69">
        <v>-0.23</v>
      </c>
    </row>
    <row r="21" spans="2:6" ht="15" customHeight="1" x14ac:dyDescent="0.2">
      <c r="B21" s="31" t="inlineStr">
        <is>
          <t xml:space="preserve">Forster</t>
        </is>
      </c>
      <c r="C21" s="40">
        <v>12</v>
      </c>
      <c r="D21" s="40">
        <v>5</v>
      </c>
      <c r="E21" s="42">
        <v>5.81</v>
      </c>
      <c r="F21" s="68">
        <v>-0.81</v>
      </c>
    </row>
    <row r="22" spans="2:6" ht="15" customHeight="1" x14ac:dyDescent="0.2">
      <c r="B22" s="34" t="inlineStr">
        <is>
          <t xml:space="preserve">Norat</t>
        </is>
      </c>
      <c r="C22" s="43">
        <v>8</v>
      </c>
      <c r="D22" s="43">
        <v>3</v>
      </c>
      <c r="E22" s="45">
        <v>3.82</v>
      </c>
      <c r="F22" s="69">
        <v>-0.82</v>
      </c>
    </row>
    <row r="23" spans="2:6" ht="15" customHeight="1" x14ac:dyDescent="0.2">
      <c r="B23" s="31" t="inlineStr">
        <is>
          <t xml:space="preserve">DeOteris</t>
        </is>
      </c>
      <c r="C23" s="40">
        <v>4</v>
      </c>
      <c r="D23" s="40">
        <v>1</v>
      </c>
      <c r="E23" s="42">
        <v>1.95</v>
      </c>
      <c r="F23" s="68">
        <v>-0.95</v>
      </c>
    </row>
    <row r="24" spans="2:6" ht="15" customHeight="1" x14ac:dyDescent="0.2">
      <c r="B24" s="34" t="inlineStr">
        <is>
          <t xml:space="preserve">Connors</t>
        </is>
      </c>
      <c r="C24" s="43">
        <v>10</v>
      </c>
      <c r="D24" s="43">
        <v>4</v>
      </c>
      <c r="E24" s="45">
        <v>4.98</v>
      </c>
      <c r="F24" s="69">
        <v>-0.98</v>
      </c>
    </row>
    <row r="25" spans="2:6" ht="15" customHeight="1" x14ac:dyDescent="0.2">
      <c r="B25" s="31" t="inlineStr">
        <is>
          <t xml:space="preserve">Fogan</t>
        </is>
      </c>
      <c r="C25" s="40">
        <v>12</v>
      </c>
      <c r="D25" s="40">
        <v>4</v>
      </c>
      <c r="E25" s="42">
        <v>5.66</v>
      </c>
      <c r="F25" s="68">
        <v>-1.66</v>
      </c>
    </row>
    <row r="26" spans="2:6" ht="15" customHeight="1" x14ac:dyDescent="0.2">
      <c r="B26" s="34" t="inlineStr">
        <is>
          <t xml:space="preserve">Ferrin</t>
        </is>
      </c>
      <c r="C26" s="43">
        <v>13</v>
      </c>
      <c r="D26" s="43">
        <v>4</v>
      </c>
      <c r="E26" s="45">
        <v>6.18</v>
      </c>
      <c r="F26" s="69">
        <v>-2.18</v>
      </c>
    </row>
    <row r="27" spans="2:6" ht="15" customHeight="1" x14ac:dyDescent="0.2">
      <c r="B27" s="31" t="inlineStr">
        <is>
          <t xml:space="preserve">Welker</t>
        </is>
      </c>
      <c r="C27" s="40">
        <v>9</v>
      </c>
      <c r="D27" s="40">
        <v>2</v>
      </c>
      <c r="E27" s="42">
        <v>4.19</v>
      </c>
      <c r="F27" s="68">
        <v>-2.19</v>
      </c>
    </row>
    <row r="28" spans="2:6" ht="15" customHeight="1" x14ac:dyDescent="0.2">
      <c r="B28" s="34" t="inlineStr">
        <is>
          <t xml:space="preserve">Mangold</t>
        </is>
      </c>
      <c r="C28" s="43">
        <v>12</v>
      </c>
      <c r="D28" s="43">
        <v>3</v>
      </c>
      <c r="E28" s="45">
        <v>5.44</v>
      </c>
      <c r="F28" s="69">
        <v>-2.44</v>
      </c>
    </row>
    <row r="29" spans="2:6" ht="15" customHeight="1" x14ac:dyDescent="0.2">
      <c r="B29" s="31" t="inlineStr">
        <is>
          <t xml:space="preserve">Jackson</t>
        </is>
      </c>
      <c r="C29" s="40">
        <v>13</v>
      </c>
      <c r="D29" s="40">
        <v>3</v>
      </c>
      <c r="E29" s="42">
        <v>5.77</v>
      </c>
      <c r="F29" s="68">
        <v>-2.77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inlineStr">
        <is>
          <t xml:space="preserve">Who’s heating up going into FBC 14. PPC = points per cup. Last 3 = the three most recent cups each player appeared in. Form = recent − career. Sorted by current form. Min 4 cups.</t>
        </is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inlineStr">
        <is>
          <t xml:space="preserve">Connolly</t>
        </is>
      </c>
      <c r="C5" s="40">
        <v>13</v>
      </c>
      <c r="D5" s="42">
        <v>4.04</v>
      </c>
      <c r="E5" s="42">
        <v>4.5</v>
      </c>
      <c r="F5" s="68">
        <v>0.46</v>
      </c>
      <c r="G5" s="73" t="inlineStr">
        <is>
          <t xml:space="preserve">—  Steady</t>
        </is>
      </c>
    </row>
    <row r="6" spans="2:7" ht="15" customHeight="1" x14ac:dyDescent="0.2">
      <c r="B6" s="34" t="inlineStr">
        <is>
          <t xml:space="preserve">Delneky</t>
        </is>
      </c>
      <c r="C6" s="43">
        <v>6</v>
      </c>
      <c r="D6" s="45">
        <v>4.08</v>
      </c>
      <c r="E6" s="45">
        <v>4.5</v>
      </c>
      <c r="F6" s="69">
        <v>0.42</v>
      </c>
      <c r="G6" s="72" t="inlineStr">
        <is>
          <t xml:space="preserve">—  Steady</t>
        </is>
      </c>
    </row>
    <row r="7" spans="2:7" ht="15" customHeight="1" x14ac:dyDescent="0.2">
      <c r="B7" s="31" t="inlineStr">
        <is>
          <t xml:space="preserve">Hilts</t>
        </is>
      </c>
      <c r="C7" s="40">
        <v>12</v>
      </c>
      <c r="D7" s="42">
        <v>3.38</v>
      </c>
      <c r="E7" s="42">
        <v>4.5</v>
      </c>
      <c r="F7" s="68">
        <v>1.12</v>
      </c>
      <c r="G7" s="70" t="inlineStr">
        <is>
          <t xml:space="preserve">▲  Hot</t>
        </is>
      </c>
    </row>
    <row r="8" spans="2:7" ht="15" customHeight="1" x14ac:dyDescent="0.2">
      <c r="B8" s="34" t="inlineStr">
        <is>
          <t xml:space="preserve">Poirier</t>
        </is>
      </c>
      <c r="C8" s="43">
        <v>8</v>
      </c>
      <c r="D8" s="45">
        <v>3.69</v>
      </c>
      <c r="E8" s="45">
        <v>4.5</v>
      </c>
      <c r="F8" s="69">
        <v>0.81</v>
      </c>
      <c r="G8" s="71" t="inlineStr">
        <is>
          <t xml:space="preserve">▲  Hot</t>
        </is>
      </c>
    </row>
    <row r="9" spans="2:7" ht="15" customHeight="1" x14ac:dyDescent="0.2">
      <c r="B9" s="31" t="inlineStr">
        <is>
          <t xml:space="preserve">Welker</t>
        </is>
      </c>
      <c r="C9" s="40">
        <v>9</v>
      </c>
      <c r="D9" s="42">
        <v>3.67</v>
      </c>
      <c r="E9" s="42">
        <v>4.5</v>
      </c>
      <c r="F9" s="68">
        <v>0.83</v>
      </c>
      <c r="G9" s="70" t="inlineStr">
        <is>
          <t xml:space="preserve">▲  Hot</t>
        </is>
      </c>
    </row>
    <row r="10" spans="2:7" ht="15" customHeight="1" x14ac:dyDescent="0.2">
      <c r="B10" s="34" t="inlineStr">
        <is>
          <t xml:space="preserve">Ferrin</t>
        </is>
      </c>
      <c r="C10" s="43">
        <v>13</v>
      </c>
      <c r="D10" s="45">
        <v>3.88</v>
      </c>
      <c r="E10" s="45">
        <v>4.33</v>
      </c>
      <c r="F10" s="69">
        <v>0.45</v>
      </c>
      <c r="G10" s="72" t="inlineStr">
        <is>
          <t xml:space="preserve">—  Steady</t>
        </is>
      </c>
    </row>
    <row r="11" spans="2:7" ht="15" customHeight="1" x14ac:dyDescent="0.2">
      <c r="B11" s="31" t="inlineStr">
        <is>
          <t xml:space="preserve">Flanders</t>
        </is>
      </c>
      <c r="C11" s="40">
        <v>13</v>
      </c>
      <c r="D11" s="42">
        <v>3.19</v>
      </c>
      <c r="E11" s="42">
        <v>4.33</v>
      </c>
      <c r="F11" s="68">
        <v>1.14</v>
      </c>
      <c r="G11" s="70" t="inlineStr">
        <is>
          <t xml:space="preserve">▲  Hot</t>
        </is>
      </c>
    </row>
    <row r="12" spans="2:7" ht="15" customHeight="1" x14ac:dyDescent="0.2">
      <c r="B12" s="34" t="inlineStr">
        <is>
          <t xml:space="preserve">Norat</t>
        </is>
      </c>
      <c r="C12" s="43">
        <v>7</v>
      </c>
      <c r="D12" s="45">
        <v>3.79</v>
      </c>
      <c r="E12" s="45">
        <v>4.17</v>
      </c>
      <c r="F12" s="69">
        <v>0.38</v>
      </c>
      <c r="G12" s="72" t="inlineStr">
        <is>
          <t xml:space="preserve">—  Steady</t>
        </is>
      </c>
    </row>
    <row r="13" spans="2:7" ht="15" customHeight="1" x14ac:dyDescent="0.2">
      <c r="B13" s="31" t="inlineStr">
        <is>
          <t xml:space="preserve">Cole</t>
        </is>
      </c>
      <c r="C13" s="40">
        <v>11</v>
      </c>
      <c r="D13" s="42">
        <v>3.09</v>
      </c>
      <c r="E13" s="42">
        <v>4</v>
      </c>
      <c r="F13" s="68">
        <v>0.91</v>
      </c>
      <c r="G13" s="70" t="inlineStr">
        <is>
          <t xml:space="preserve">▲  Hot</t>
        </is>
      </c>
    </row>
    <row r="14" spans="2:7" ht="15" customHeight="1" x14ac:dyDescent="0.2">
      <c r="B14" s="34" t="inlineStr">
        <is>
          <t xml:space="preserve">Forster</t>
        </is>
      </c>
      <c r="C14" s="43">
        <v>12</v>
      </c>
      <c r="D14" s="45">
        <v>3.88</v>
      </c>
      <c r="E14" s="45">
        <v>4</v>
      </c>
      <c r="F14" s="69">
        <v>0.12</v>
      </c>
      <c r="G14" s="72" t="inlineStr">
        <is>
          <t xml:space="preserve">—  Steady</t>
        </is>
      </c>
    </row>
    <row r="15" spans="2:7" ht="15" customHeight="1" x14ac:dyDescent="0.2">
      <c r="B15" s="31" t="inlineStr">
        <is>
          <t xml:space="preserve">Fogan</t>
        </is>
      </c>
      <c r="C15" s="40">
        <v>12</v>
      </c>
      <c r="D15" s="42">
        <v>2.75</v>
      </c>
      <c r="E15" s="42">
        <v>3.83</v>
      </c>
      <c r="F15" s="68">
        <v>1.08</v>
      </c>
      <c r="G15" s="70" t="inlineStr">
        <is>
          <t xml:space="preserve">▲  Hot</t>
        </is>
      </c>
    </row>
    <row r="16" spans="2:7" ht="15" customHeight="1" x14ac:dyDescent="0.2">
      <c r="B16" s="34" t="inlineStr">
        <is>
          <t xml:space="preserve">Gray</t>
        </is>
      </c>
      <c r="C16" s="43">
        <v>8</v>
      </c>
      <c r="D16" s="45">
        <v>4.31</v>
      </c>
      <c r="E16" s="45">
        <v>3.83</v>
      </c>
      <c r="F16" s="69">
        <v>-0.48</v>
      </c>
      <c r="G16" s="72" t="inlineStr">
        <is>
          <t xml:space="preserve">—  Steady</t>
        </is>
      </c>
    </row>
    <row r="17" spans="2:7" ht="15" customHeight="1" x14ac:dyDescent="0.2">
      <c r="B17" s="31" t="inlineStr">
        <is>
          <t xml:space="preserve">Jackson</t>
        </is>
      </c>
      <c r="C17" s="40">
        <v>13</v>
      </c>
      <c r="D17" s="42">
        <v>3.92</v>
      </c>
      <c r="E17" s="42">
        <v>3.67</v>
      </c>
      <c r="F17" s="68">
        <v>-0.26</v>
      </c>
      <c r="G17" s="73" t="inlineStr">
        <is>
          <t xml:space="preserve">—  Steady</t>
        </is>
      </c>
    </row>
    <row r="18" spans="2:7" ht="15" customHeight="1" x14ac:dyDescent="0.2">
      <c r="B18" s="34" t="inlineStr">
        <is>
          <t xml:space="preserve">Delaney</t>
        </is>
      </c>
      <c r="C18" s="43">
        <v>7</v>
      </c>
      <c r="D18" s="45">
        <v>3.21</v>
      </c>
      <c r="E18" s="45">
        <v>3.5</v>
      </c>
      <c r="F18" s="69">
        <v>0.29</v>
      </c>
      <c r="G18" s="72" t="inlineStr">
        <is>
          <t xml:space="preserve">—  Steady</t>
        </is>
      </c>
    </row>
    <row r="19" spans="2:7" ht="15" customHeight="1" x14ac:dyDescent="0.2">
      <c r="B19" s="31" t="inlineStr">
        <is>
          <t xml:space="preserve">Perkins</t>
        </is>
      </c>
      <c r="C19" s="40">
        <v>5</v>
      </c>
      <c r="D19" s="42">
        <v>4.2</v>
      </c>
      <c r="E19" s="42">
        <v>3.17</v>
      </c>
      <c r="F19" s="68">
        <v>-1.03</v>
      </c>
      <c r="G19" s="74" t="inlineStr">
        <is>
          <t xml:space="preserve">▼  Cold</t>
        </is>
      </c>
    </row>
    <row r="20" spans="2:7" ht="15" customHeight="1" x14ac:dyDescent="0.2">
      <c r="B20" s="34" t="inlineStr">
        <is>
          <t xml:space="preserve">Bussiculo</t>
        </is>
      </c>
      <c r="C20" s="43">
        <v>5</v>
      </c>
      <c r="D20" s="45">
        <v>2.6</v>
      </c>
      <c r="E20" s="45">
        <v>3</v>
      </c>
      <c r="F20" s="69">
        <v>0.4</v>
      </c>
      <c r="G20" s="72" t="inlineStr">
        <is>
          <t xml:space="preserve">—  Steady</t>
        </is>
      </c>
    </row>
    <row r="21" spans="2:7" ht="15" customHeight="1" x14ac:dyDescent="0.2">
      <c r="B21" s="31" t="inlineStr">
        <is>
          <t xml:space="preserve">McInerney</t>
        </is>
      </c>
      <c r="C21" s="40">
        <v>9</v>
      </c>
      <c r="D21" s="42">
        <v>3.33</v>
      </c>
      <c r="E21" s="42">
        <v>3</v>
      </c>
      <c r="F21" s="68">
        <v>-0.33</v>
      </c>
      <c r="G21" s="73" t="inlineStr">
        <is>
          <t xml:space="preserve">—  Steady</t>
        </is>
      </c>
    </row>
    <row r="22" spans="2:7" ht="15" customHeight="1" x14ac:dyDescent="0.2">
      <c r="B22" s="34" t="inlineStr">
        <is>
          <t xml:space="preserve">Mangold</t>
        </is>
      </c>
      <c r="C22" s="43">
        <v>12</v>
      </c>
      <c r="D22" s="45">
        <v>2.5</v>
      </c>
      <c r="E22" s="45">
        <v>2.83</v>
      </c>
      <c r="F22" s="69">
        <v>0.33</v>
      </c>
      <c r="G22" s="72" t="inlineStr">
        <is>
          <t xml:space="preserve">—  Steady</t>
        </is>
      </c>
    </row>
    <row r="23" spans="2:7" ht="15" customHeight="1" x14ac:dyDescent="0.2">
      <c r="B23" s="31" t="inlineStr">
        <is>
          <t xml:space="preserve">Grise</t>
        </is>
      </c>
      <c r="C23" s="40">
        <v>13</v>
      </c>
      <c r="D23" s="42">
        <v>3.58</v>
      </c>
      <c r="E23" s="42">
        <v>2.67</v>
      </c>
      <c r="F23" s="68">
        <v>-0.91</v>
      </c>
      <c r="G23" s="74" t="inlineStr">
        <is>
          <t xml:space="preserve">▼  Cold</t>
        </is>
      </c>
    </row>
    <row r="24" spans="2:7" ht="15" customHeight="1" x14ac:dyDescent="0.2">
      <c r="B24" s="34" t="inlineStr">
        <is>
          <t xml:space="preserve">Connors</t>
        </is>
      </c>
      <c r="C24" s="43">
        <v>10</v>
      </c>
      <c r="D24" s="45">
        <v>2.2</v>
      </c>
      <c r="E24" s="45">
        <v>2.17</v>
      </c>
      <c r="F24" s="69">
        <v>-0.03</v>
      </c>
      <c r="G24" s="72" t="inlineStr">
        <is>
          <t xml:space="preserve">—  Steady</t>
        </is>
      </c>
    </row>
    <row r="25" spans="2:7" ht="15" customHeight="1" x14ac:dyDescent="0.2">
      <c r="B25" s="31" t="inlineStr">
        <is>
          <t xml:space="preserve">DeOteris</t>
        </is>
      </c>
      <c r="C25" s="40">
        <v>4</v>
      </c>
      <c r="D25" s="42">
        <v>2.38</v>
      </c>
      <c r="E25" s="42">
        <v>2.17</v>
      </c>
      <c r="F25" s="68">
        <v>-0.21</v>
      </c>
      <c r="G25" s="73" t="inlineStr">
        <is>
          <t xml:space="preserve">—  Steady</t>
        </is>
      </c>
    </row>
    <row r="26" spans="2:7" ht="15" customHeight="1" x14ac:dyDescent="0.2">
      <c r="B26" s="34" t="inlineStr">
        <is>
          <t xml:space="preserve">Lynch</t>
        </is>
      </c>
      <c r="C26" s="43">
        <v>13</v>
      </c>
      <c r="D26" s="45">
        <v>3.27</v>
      </c>
      <c r="E26" s="45">
        <v>2.17</v>
      </c>
      <c r="F26" s="69">
        <v>-1.1</v>
      </c>
      <c r="G26" s="75" t="inlineStr">
        <is>
          <t xml:space="preserve">▼  Cold</t>
        </is>
      </c>
    </row>
    <row r="27" spans="2:7" ht="15" customHeight="1" x14ac:dyDescent="0.2">
      <c r="B27" s="31" t="inlineStr">
        <is>
          <t xml:space="preserve">Hickerson</t>
        </is>
      </c>
      <c r="C27" s="40">
        <v>4</v>
      </c>
      <c r="D27" s="42">
        <v>2.12</v>
      </c>
      <c r="E27" s="42">
        <v>1.67</v>
      </c>
      <c r="F27" s="68">
        <v>-0.46</v>
      </c>
      <c r="G27" s="73" t="inlineStr">
        <is>
          <t xml:space="preserve">—  Steady</t>
        </is>
      </c>
    </row>
    <row r="28" spans="2:7" ht="15" customHeight="1" x14ac:dyDescent="0.2">
      <c r="B28" s="34" t="inlineStr">
        <is>
          <t xml:space="preserve">Shively</t>
        </is>
      </c>
      <c r="C28" s="43">
        <v>12</v>
      </c>
      <c r="D28" s="45">
        <v>2.42</v>
      </c>
      <c r="E28" s="45">
        <v>1.67</v>
      </c>
      <c r="F28" s="69">
        <v>-0.75</v>
      </c>
      <c r="G28" s="75" t="inlineStr">
        <is>
          <t xml:space="preserve">▼  Cold</t>
        </is>
      </c>
    </row>
    <row r="29" spans="2:7" ht="15" customHeight="1" x14ac:dyDescent="0.2">
      <c r="B29" s="31" t="inlineStr">
        <is>
          <t xml:space="preserve">Zimmer</t>
        </is>
      </c>
      <c r="C29" s="40">
        <v>11</v>
      </c>
      <c r="D29" s="42">
        <v>3.05</v>
      </c>
      <c r="E29" s="42">
        <v>1.67</v>
      </c>
      <c r="F29" s="68">
        <v>-1.38</v>
      </c>
      <c r="G29" s="74" t="inlineStr">
        <is>
          <t xml:space="preserve">▼  Cold</t>
        </is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inlineStr">
        <is>
          <t xml:space="preserve">Gray</t>
        </is>
      </c>
      <c r="D5" s="40" t="inlineStr">
        <is>
          <t xml:space="preserve">FBC 7</t>
        </is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inlineStr">
        <is>
          <t xml:space="preserve">Jackson</t>
        </is>
      </c>
      <c r="D6" s="43" t="inlineStr">
        <is>
          <t xml:space="preserve">FBC 6</t>
        </is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inlineStr">
        <is>
          <t xml:space="preserve">Connolly</t>
        </is>
      </c>
      <c r="D7" s="40" t="inlineStr">
        <is>
          <t xml:space="preserve">FBC 1</t>
        </is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inlineStr">
        <is>
          <t xml:space="preserve">Jackson</t>
        </is>
      </c>
      <c r="D8" s="43" t="inlineStr">
        <is>
          <t xml:space="preserve">FBC 2</t>
        </is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inlineStr">
        <is>
          <t xml:space="preserve">Connolly</t>
        </is>
      </c>
      <c r="D9" s="40" t="inlineStr">
        <is>
          <t xml:space="preserve">FBC 10</t>
        </is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inlineStr">
        <is>
          <t xml:space="preserve">McInerney</t>
        </is>
      </c>
      <c r="D10" s="43" t="inlineStr">
        <is>
          <t xml:space="preserve">FBC 6</t>
        </is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inlineStr">
        <is>
          <t xml:space="preserve">Ferrin</t>
        </is>
      </c>
      <c r="D11" s="40" t="inlineStr">
        <is>
          <t xml:space="preserve">FBC 1</t>
        </is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inlineStr">
        <is>
          <t xml:space="preserve">Forster</t>
        </is>
      </c>
      <c r="D12" s="43" t="inlineStr">
        <is>
          <t xml:space="preserve">FBC 2</t>
        </is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inlineStr">
        <is>
          <t xml:space="preserve">Gray</t>
        </is>
      </c>
      <c r="D13" s="40" t="inlineStr">
        <is>
          <t xml:space="preserve">FBC 10</t>
        </is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inlineStr">
        <is>
          <t xml:space="preserve">Bussiculo</t>
        </is>
      </c>
      <c r="C5" s="40" t="inlineStr">
        <is>
          <t xml:space="preserve">Flanders</t>
        </is>
      </c>
      <c r="D5" s="40" t="inlineStr">
        <is>
          <t xml:space="preserve">3–1–0</t>
        </is>
      </c>
      <c r="E5" s="40" t="inlineStr">
        <is>
          <t xml:space="preserve">Jackson</t>
        </is>
      </c>
      <c r="F5" s="40" t="inlineStr">
        <is>
          <t xml:space="preserve">1–3–0</t>
        </is>
      </c>
    </row>
    <row r="6" spans="2:6" ht="15" customHeight="1" x14ac:dyDescent="0.2">
      <c r="B6" s="34" t="inlineStr">
        <is>
          <t xml:space="preserve">Cole</t>
        </is>
      </c>
      <c r="C6" s="43" t="inlineStr">
        <is>
          <t xml:space="preserve">Connors</t>
        </is>
      </c>
      <c r="D6" s="43" t="inlineStr">
        <is>
          <t xml:space="preserve">5–1–2</t>
        </is>
      </c>
      <c r="E6" s="43" t="inlineStr">
        <is>
          <t xml:space="preserve">Forster</t>
        </is>
      </c>
      <c r="F6" s="43" t="inlineStr">
        <is>
          <t xml:space="preserve">1–5–1</t>
        </is>
      </c>
    </row>
    <row r="7" spans="2:6" ht="15" customHeight="1" x14ac:dyDescent="0.2">
      <c r="B7" s="31" t="inlineStr">
        <is>
          <t xml:space="preserve">Connolly</t>
        </is>
      </c>
      <c r="C7" s="40" t="inlineStr">
        <is>
          <t xml:space="preserve">Fogan</t>
        </is>
      </c>
      <c r="D7" s="40" t="inlineStr">
        <is>
          <t xml:space="preserve">6–0–0</t>
        </is>
      </c>
      <c r="E7" s="40" t="inlineStr">
        <is>
          <t xml:space="preserve">Gray</t>
        </is>
      </c>
      <c r="F7" s="40" t="inlineStr">
        <is>
          <t xml:space="preserve">2–6–3</t>
        </is>
      </c>
    </row>
    <row r="8" spans="2:6" ht="15" customHeight="1" x14ac:dyDescent="0.2">
      <c r="B8" s="34" t="inlineStr">
        <is>
          <t xml:space="preserve">Connors</t>
        </is>
      </c>
      <c r="C8" s="43" t="inlineStr">
        <is>
          <t xml:space="preserve">Bussiculo</t>
        </is>
      </c>
      <c r="D8" s="43" t="inlineStr">
        <is>
          <t xml:space="preserve">2–1–1</t>
        </is>
      </c>
      <c r="E8" s="43" t="inlineStr">
        <is>
          <t xml:space="preserve">Fogan</t>
        </is>
      </c>
      <c r="F8" s="43" t="inlineStr">
        <is>
          <t xml:space="preserve">2–7–1</t>
        </is>
      </c>
    </row>
    <row r="9" spans="2:6" ht="15" customHeight="1" x14ac:dyDescent="0.2">
      <c r="B9" s="31" t="inlineStr">
        <is>
          <t xml:space="preserve">Delaney</t>
        </is>
      </c>
      <c r="C9" s="40" t="inlineStr">
        <is>
          <t xml:space="preserve">Mangold</t>
        </is>
      </c>
      <c r="D9" s="40" t="inlineStr">
        <is>
          <t xml:space="preserve">5–3–1</t>
        </is>
      </c>
      <c r="E9" s="40" t="inlineStr">
        <is>
          <t xml:space="preserve">Jackson</t>
        </is>
      </c>
      <c r="F9" s="40" t="inlineStr">
        <is>
          <t xml:space="preserve">0–2–1</t>
        </is>
      </c>
    </row>
    <row r="10" spans="2:6" ht="15" customHeight="1" x14ac:dyDescent="0.2">
      <c r="B10" s="34" t="inlineStr">
        <is>
          <t xml:space="preserve">Delneky</t>
        </is>
      </c>
      <c r="C10" s="43" t="inlineStr">
        <is>
          <t xml:space="preserve">Connors</t>
        </is>
      </c>
      <c r="D10" s="43" t="inlineStr">
        <is>
          <t xml:space="preserve">5–1–0</t>
        </is>
      </c>
      <c r="E10" s="43" t="inlineStr">
        <is>
          <t xml:space="preserve">Delaney</t>
        </is>
      </c>
      <c r="F10" s="43" t="inlineStr">
        <is>
          <t xml:space="preserve">1–3–1</t>
        </is>
      </c>
    </row>
    <row r="11" spans="2:6" ht="15" customHeight="1" x14ac:dyDescent="0.2">
      <c r="B11" s="31" t="inlineStr">
        <is>
          <t xml:space="preserve">DeOteris</t>
        </is>
      </c>
      <c r="C11" s="40" t="inlineStr">
        <is>
          <t xml:space="preserve">—</t>
        </is>
      </c>
      <c r="D11" s="40"/>
      <c r="E11" s="40" t="inlineStr">
        <is>
          <t xml:space="preserve">Delaney</t>
        </is>
      </c>
      <c r="F11" s="40" t="inlineStr">
        <is>
          <t xml:space="preserve">1–3–0</t>
        </is>
      </c>
    </row>
    <row r="12" spans="2:6" ht="15" customHeight="1" x14ac:dyDescent="0.2">
      <c r="B12" s="34" t="inlineStr">
        <is>
          <t xml:space="preserve">Ferrin</t>
        </is>
      </c>
      <c r="C12" s="43" t="inlineStr">
        <is>
          <t xml:space="preserve">Zimmer</t>
        </is>
      </c>
      <c r="D12" s="43" t="inlineStr">
        <is>
          <t xml:space="preserve">8–1–1</t>
        </is>
      </c>
      <c r="E12" s="43" t="inlineStr">
        <is>
          <t xml:space="preserve">Perkins</t>
        </is>
      </c>
      <c r="F12" s="43" t="inlineStr">
        <is>
          <t xml:space="preserve">0–4–0</t>
        </is>
      </c>
    </row>
    <row r="13" spans="2:6" ht="15" customHeight="1" x14ac:dyDescent="0.2">
      <c r="B13" s="31" t="inlineStr">
        <is>
          <t xml:space="preserve">Flanders</t>
        </is>
      </c>
      <c r="C13" s="40" t="inlineStr">
        <is>
          <t xml:space="preserve">Welker</t>
        </is>
      </c>
      <c r="D13" s="40" t="inlineStr">
        <is>
          <t xml:space="preserve">4–0–0</t>
        </is>
      </c>
      <c r="E13" s="40" t="inlineStr">
        <is>
          <t xml:space="preserve">Gray</t>
        </is>
      </c>
      <c r="F13" s="40" t="inlineStr">
        <is>
          <t xml:space="preserve">2–7–0</t>
        </is>
      </c>
    </row>
    <row r="14" spans="2:6" ht="15" customHeight="1" x14ac:dyDescent="0.2">
      <c r="B14" s="34" t="inlineStr">
        <is>
          <t xml:space="preserve">Fogan</t>
        </is>
      </c>
      <c r="C14" s="43" t="inlineStr">
        <is>
          <t xml:space="preserve">Connors</t>
        </is>
      </c>
      <c r="D14" s="43" t="inlineStr">
        <is>
          <t xml:space="preserve">7–2–1</t>
        </is>
      </c>
      <c r="E14" s="43" t="inlineStr">
        <is>
          <t xml:space="preserve">Lynch</t>
        </is>
      </c>
      <c r="F14" s="43" t="inlineStr">
        <is>
          <t xml:space="preserve">0–8–0</t>
        </is>
      </c>
    </row>
    <row r="15" spans="2:6" ht="15" customHeight="1" x14ac:dyDescent="0.2">
      <c r="B15" s="31" t="inlineStr">
        <is>
          <t xml:space="preserve">Forster</t>
        </is>
      </c>
      <c r="C15" s="40" t="inlineStr">
        <is>
          <t xml:space="preserve">McInerney</t>
        </is>
      </c>
      <c r="D15" s="40" t="inlineStr">
        <is>
          <t xml:space="preserve">5–0–1</t>
        </is>
      </c>
      <c r="E15" s="40" t="inlineStr">
        <is>
          <t xml:space="preserve">Flanders</t>
        </is>
      </c>
      <c r="F15" s="40" t="inlineStr">
        <is>
          <t xml:space="preserve">2–5–1</t>
        </is>
      </c>
    </row>
    <row r="16" spans="2:6" ht="15" customHeight="1" x14ac:dyDescent="0.2">
      <c r="B16" s="34" t="inlineStr">
        <is>
          <t xml:space="preserve">Gray</t>
        </is>
      </c>
      <c r="C16" s="43" t="inlineStr">
        <is>
          <t xml:space="preserve">Flanders</t>
        </is>
      </c>
      <c r="D16" s="43" t="inlineStr">
        <is>
          <t xml:space="preserve">7–2–0</t>
        </is>
      </c>
      <c r="E16" s="43" t="inlineStr">
        <is>
          <t xml:space="preserve">Hilts</t>
        </is>
      </c>
      <c r="F16" s="43" t="inlineStr">
        <is>
          <t xml:space="preserve">0–3–0</t>
        </is>
      </c>
    </row>
    <row r="17" spans="2:6" ht="15" customHeight="1" x14ac:dyDescent="0.2">
      <c r="B17" s="31" t="inlineStr">
        <is>
          <t xml:space="preserve">Grise</t>
        </is>
      </c>
      <c r="C17" s="40" t="inlineStr">
        <is>
          <t xml:space="preserve">Mangold</t>
        </is>
      </c>
      <c r="D17" s="40" t="inlineStr">
        <is>
          <t xml:space="preserve">6–2–1</t>
        </is>
      </c>
      <c r="E17" s="40" t="inlineStr">
        <is>
          <t xml:space="preserve">Poirier</t>
        </is>
      </c>
      <c r="F17" s="40" t="inlineStr">
        <is>
          <t xml:space="preserve">2–6–0</t>
        </is>
      </c>
    </row>
    <row r="18" spans="2:6" ht="15" customHeight="1" x14ac:dyDescent="0.2">
      <c r="B18" s="34" t="inlineStr">
        <is>
          <t xml:space="preserve">Hickerson</t>
        </is>
      </c>
      <c r="C18" s="43" t="inlineStr">
        <is>
          <t xml:space="preserve">Hilts</t>
        </is>
      </c>
      <c r="D18" s="43" t="inlineStr">
        <is>
          <t xml:space="preserve">3–2–1</t>
        </is>
      </c>
      <c r="E18" s="43" t="inlineStr">
        <is>
          <t xml:space="preserve">Forster</t>
        </is>
      </c>
      <c r="F18" s="43" t="inlineStr">
        <is>
          <t xml:space="preserve">0–3–0</t>
        </is>
      </c>
    </row>
    <row r="19" spans="2:6" ht="15" customHeight="1" x14ac:dyDescent="0.2">
      <c r="B19" s="31" t="inlineStr">
        <is>
          <t xml:space="preserve">Hilts</t>
        </is>
      </c>
      <c r="C19" s="40" t="inlineStr">
        <is>
          <t xml:space="preserve">Shively</t>
        </is>
      </c>
      <c r="D19" s="40" t="inlineStr">
        <is>
          <t xml:space="preserve">7–3–2</t>
        </is>
      </c>
      <c r="E19" s="40" t="inlineStr">
        <is>
          <t xml:space="preserve">Jackson</t>
        </is>
      </c>
      <c r="F19" s="40" t="inlineStr">
        <is>
          <t xml:space="preserve">1–5–1</t>
        </is>
      </c>
    </row>
    <row r="20" spans="2:6" ht="15" customHeight="1" x14ac:dyDescent="0.2">
      <c r="B20" s="34" t="inlineStr">
        <is>
          <t xml:space="preserve">Jackson</t>
        </is>
      </c>
      <c r="C20" s="43" t="inlineStr">
        <is>
          <t xml:space="preserve">Zimmer</t>
        </is>
      </c>
      <c r="D20" s="43" t="inlineStr">
        <is>
          <t xml:space="preserve">8–1–1</t>
        </is>
      </c>
      <c r="E20" s="43" t="inlineStr">
        <is>
          <t xml:space="preserve">Perkins</t>
        </is>
      </c>
      <c r="F20" s="43" t="inlineStr">
        <is>
          <t xml:space="preserve">1–3–0</t>
        </is>
      </c>
    </row>
    <row r="21" spans="2:6" ht="15" customHeight="1" x14ac:dyDescent="0.2">
      <c r="B21" s="31" t="inlineStr">
        <is>
          <t xml:space="preserve">Lynch</t>
        </is>
      </c>
      <c r="C21" s="40" t="inlineStr">
        <is>
          <t xml:space="preserve">Fogan</t>
        </is>
      </c>
      <c r="D21" s="40" t="inlineStr">
        <is>
          <t xml:space="preserve">8–0–0</t>
        </is>
      </c>
      <c r="E21" s="40" t="inlineStr">
        <is>
          <t xml:space="preserve">Jackson</t>
        </is>
      </c>
      <c r="F21" s="40" t="inlineStr">
        <is>
          <t xml:space="preserve">4–6–2</t>
        </is>
      </c>
    </row>
    <row r="22" spans="2:6" ht="15" customHeight="1" x14ac:dyDescent="0.2">
      <c r="B22" s="34" t="inlineStr">
        <is>
          <t xml:space="preserve">Mangold</t>
        </is>
      </c>
      <c r="C22" s="43" t="inlineStr">
        <is>
          <t xml:space="preserve">Piegari</t>
        </is>
      </c>
      <c r="D22" s="43" t="inlineStr">
        <is>
          <t xml:space="preserve">3–0–1</t>
        </is>
      </c>
      <c r="E22" s="43" t="inlineStr">
        <is>
          <t xml:space="preserve">Shively</t>
        </is>
      </c>
      <c r="F22" s="43" t="inlineStr">
        <is>
          <t xml:space="preserve">1–6–1</t>
        </is>
      </c>
    </row>
    <row r="23" spans="2:6" ht="15" customHeight="1" x14ac:dyDescent="0.2">
      <c r="B23" s="31" t="inlineStr">
        <is>
          <t xml:space="preserve">McInerney</t>
        </is>
      </c>
      <c r="C23" s="40" t="inlineStr">
        <is>
          <t xml:space="preserve">Norat</t>
        </is>
      </c>
      <c r="D23" s="40" t="inlineStr">
        <is>
          <t xml:space="preserve">5–1–2</t>
        </is>
      </c>
      <c r="E23" s="40" t="inlineStr">
        <is>
          <t xml:space="preserve">Forster</t>
        </is>
      </c>
      <c r="F23" s="40" t="inlineStr">
        <is>
          <t xml:space="preserve">0–5–1</t>
        </is>
      </c>
    </row>
    <row r="24" spans="2:6" ht="15" customHeight="1" x14ac:dyDescent="0.2">
      <c r="B24" s="34" t="inlineStr">
        <is>
          <t xml:space="preserve">Norat</t>
        </is>
      </c>
      <c r="C24" s="43" t="inlineStr">
        <is>
          <t xml:space="preserve">Mangold</t>
        </is>
      </c>
      <c r="D24" s="43" t="inlineStr">
        <is>
          <t xml:space="preserve">4–0–0</t>
        </is>
      </c>
      <c r="E24" s="43" t="inlineStr">
        <is>
          <t xml:space="preserve">McInerney</t>
        </is>
      </c>
      <c r="F24" s="43" t="inlineStr">
        <is>
          <t xml:space="preserve">1–5–2</t>
        </is>
      </c>
    </row>
    <row r="25" spans="2:6" ht="15" customHeight="1" x14ac:dyDescent="0.2">
      <c r="B25" s="31" t="inlineStr">
        <is>
          <t xml:space="preserve">Perkins</t>
        </is>
      </c>
      <c r="C25" s="40" t="inlineStr">
        <is>
          <t xml:space="preserve">Piegari</t>
        </is>
      </c>
      <c r="D25" s="40" t="inlineStr">
        <is>
          <t xml:space="preserve">5–0–0</t>
        </is>
      </c>
      <c r="E25" s="40" t="inlineStr">
        <is>
          <t xml:space="preserve">R. Connolly</t>
        </is>
      </c>
      <c r="F25" s="40" t="inlineStr">
        <is>
          <t xml:space="preserve">2–4–0</t>
        </is>
      </c>
    </row>
    <row r="26" spans="2:6" ht="15" customHeight="1" x14ac:dyDescent="0.2">
      <c r="B26" s="34" t="inlineStr">
        <is>
          <t xml:space="preserve">Piegari</t>
        </is>
      </c>
      <c r="C26" s="43" t="inlineStr">
        <is>
          <t xml:space="preserve">Grise</t>
        </is>
      </c>
      <c r="D26" s="43" t="inlineStr">
        <is>
          <t xml:space="preserve">2–1–1</t>
        </is>
      </c>
      <c r="E26" s="43" t="inlineStr">
        <is>
          <t xml:space="preserve">Perkins</t>
        </is>
      </c>
      <c r="F26" s="43" t="inlineStr">
        <is>
          <t xml:space="preserve">0–5–0</t>
        </is>
      </c>
    </row>
    <row r="27" spans="2:6" ht="15" customHeight="1" x14ac:dyDescent="0.2">
      <c r="B27" s="31" t="inlineStr">
        <is>
          <t xml:space="preserve">Poirier</t>
        </is>
      </c>
      <c r="C27" s="40" t="inlineStr">
        <is>
          <t xml:space="preserve">Flanders</t>
        </is>
      </c>
      <c r="D27" s="40" t="inlineStr">
        <is>
          <t xml:space="preserve">6–2–2</t>
        </is>
      </c>
      <c r="E27" s="40" t="inlineStr">
        <is>
          <t xml:space="preserve">McInerney</t>
        </is>
      </c>
      <c r="F27" s="40" t="inlineStr">
        <is>
          <t xml:space="preserve">1–5–0</t>
        </is>
      </c>
    </row>
    <row r="28" spans="2:6" ht="15" customHeight="1" x14ac:dyDescent="0.2">
      <c r="B28" s="34" t="inlineStr">
        <is>
          <t xml:space="preserve">R. Connolly</t>
        </is>
      </c>
      <c r="C28" s="43" t="inlineStr">
        <is>
          <t xml:space="preserve">Shively</t>
        </is>
      </c>
      <c r="D28" s="43" t="inlineStr">
        <is>
          <t xml:space="preserve">3–0–0</t>
        </is>
      </c>
      <c r="E28" s="43" t="inlineStr">
        <is>
          <t xml:space="preserve">Welker</t>
        </is>
      </c>
      <c r="F28" s="43" t="inlineStr">
        <is>
          <t xml:space="preserve">0–3–0</t>
        </is>
      </c>
    </row>
    <row r="29" spans="2:6" ht="15" customHeight="1" x14ac:dyDescent="0.2">
      <c r="B29" s="31" t="inlineStr">
        <is>
          <t xml:space="preserve">Shively</t>
        </is>
      </c>
      <c r="C29" s="40" t="inlineStr">
        <is>
          <t xml:space="preserve">Mangold</t>
        </is>
      </c>
      <c r="D29" s="40" t="inlineStr">
        <is>
          <t xml:space="preserve">6–1–1</t>
        </is>
      </c>
      <c r="E29" s="40" t="inlineStr">
        <is>
          <t xml:space="preserve">Ferrin</t>
        </is>
      </c>
      <c r="F29" s="40" t="inlineStr">
        <is>
          <t xml:space="preserve">1–7–0</t>
        </is>
      </c>
    </row>
    <row r="30" spans="2:6" ht="15" customHeight="1" x14ac:dyDescent="0.2">
      <c r="B30" s="34" t="inlineStr">
        <is>
          <t xml:space="preserve">Weisberger</t>
        </is>
      </c>
      <c r="C30" s="43" t="inlineStr">
        <is>
          <t xml:space="preserve">Grise</t>
        </is>
      </c>
      <c r="D30" s="43" t="inlineStr">
        <is>
          <t xml:space="preserve">3–2–0</t>
        </is>
      </c>
      <c r="E30" s="43" t="inlineStr">
        <is>
          <t xml:space="preserve">Jackson</t>
        </is>
      </c>
      <c r="F30" s="43" t="inlineStr">
        <is>
          <t xml:space="preserve">1–3–0</t>
        </is>
      </c>
    </row>
    <row r="31" spans="2:6" ht="15" customHeight="1" x14ac:dyDescent="0.2">
      <c r="B31" s="31" t="inlineStr">
        <is>
          <t xml:space="preserve">Welker</t>
        </is>
      </c>
      <c r="C31" s="40" t="inlineStr">
        <is>
          <t xml:space="preserve">Cole</t>
        </is>
      </c>
      <c r="D31" s="40" t="inlineStr">
        <is>
          <t xml:space="preserve">4–1–1</t>
        </is>
      </c>
      <c r="E31" s="40" t="inlineStr">
        <is>
          <t xml:space="preserve">Lynch</t>
        </is>
      </c>
      <c r="F31" s="40" t="inlineStr">
        <is>
          <t xml:space="preserve">1–5–1</t>
        </is>
      </c>
    </row>
    <row r="32" spans="2:6" ht="15" customHeight="1" x14ac:dyDescent="0.2">
      <c r="B32" s="34" t="inlineStr">
        <is>
          <t xml:space="preserve">Zimmer</t>
        </is>
      </c>
      <c r="C32" s="43" t="inlineStr">
        <is>
          <t xml:space="preserve">Connors</t>
        </is>
      </c>
      <c r="D32" s="43" t="inlineStr">
        <is>
          <t xml:space="preserve">5–1–0</t>
        </is>
      </c>
      <c r="E32" s="43" t="inlineStr">
        <is>
          <t xml:space="preserve">Ferrin</t>
        </is>
      </c>
      <c r="F32" s="43" t="inlineStr">
        <is>
          <t xml:space="preserve">1–8–1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inlineStr">
        <is>
          <t xml:space="preserve">Jackson</t>
        </is>
      </c>
      <c r="C5" s="40">
        <v>69</v>
      </c>
      <c r="D5" s="40">
        <v>8</v>
      </c>
      <c r="E5" s="40">
        <v>4</v>
      </c>
      <c r="F5" s="74" t="inlineStr">
        <is>
          <t xml:space="preserve">W4</t>
        </is>
      </c>
    </row>
    <row r="6" spans="2:6" ht="15" customHeight="1" x14ac:dyDescent="0.2">
      <c r="B6" s="34" t="inlineStr">
        <is>
          <t xml:space="preserve">Perkins</t>
        </is>
      </c>
      <c r="C6" s="43">
        <v>28</v>
      </c>
      <c r="D6" s="43">
        <v>7</v>
      </c>
      <c r="E6" s="43">
        <v>4</v>
      </c>
      <c r="F6" s="71" t="inlineStr">
        <is>
          <t xml:space="preserve">L1</t>
        </is>
      </c>
    </row>
    <row r="7" spans="2:6" ht="15" customHeight="1" x14ac:dyDescent="0.2">
      <c r="B7" s="31" t="inlineStr">
        <is>
          <t xml:space="preserve">Delneky</t>
        </is>
      </c>
      <c r="C7" s="40">
        <v>32</v>
      </c>
      <c r="D7" s="40">
        <v>5</v>
      </c>
      <c r="E7" s="40">
        <v>2</v>
      </c>
      <c r="F7" s="74" t="inlineStr">
        <is>
          <t xml:space="preserve">T2</t>
        </is>
      </c>
    </row>
    <row r="8" spans="2:6" ht="15" customHeight="1" x14ac:dyDescent="0.2">
      <c r="B8" s="34" t="inlineStr">
        <is>
          <t xml:space="preserve">Grise</t>
        </is>
      </c>
      <c r="C8" s="43">
        <v>69</v>
      </c>
      <c r="D8" s="43">
        <v>5</v>
      </c>
      <c r="E8" s="43">
        <v>3</v>
      </c>
      <c r="F8" s="71" t="inlineStr">
        <is>
          <t xml:space="preserve">W1</t>
        </is>
      </c>
    </row>
    <row r="9" spans="2:6" ht="15" customHeight="1" x14ac:dyDescent="0.2">
      <c r="B9" s="31" t="inlineStr">
        <is>
          <t xml:space="preserve">McInerney</t>
        </is>
      </c>
      <c r="C9" s="40">
        <v>47</v>
      </c>
      <c r="D9" s="40">
        <v>5</v>
      </c>
      <c r="E9" s="40">
        <v>4</v>
      </c>
      <c r="F9" s="74" t="inlineStr">
        <is>
          <t xml:space="preserve">L1</t>
        </is>
      </c>
    </row>
    <row r="10" spans="2:6" ht="15" customHeight="1" x14ac:dyDescent="0.2">
      <c r="B10" s="34" t="inlineStr">
        <is>
          <t xml:space="preserve">Connolly</t>
        </is>
      </c>
      <c r="C10" s="43">
        <v>69</v>
      </c>
      <c r="D10" s="43">
        <v>5</v>
      </c>
      <c r="E10" s="43">
        <v>6</v>
      </c>
      <c r="F10" s="71" t="inlineStr">
        <is>
          <t xml:space="preserve">L2</t>
        </is>
      </c>
    </row>
    <row r="11" spans="2:6" ht="15" customHeight="1" x14ac:dyDescent="0.2">
      <c r="B11" s="31" t="inlineStr">
        <is>
          <t xml:space="preserve">Gray</t>
        </is>
      </c>
      <c r="C11" s="40">
        <v>42</v>
      </c>
      <c r="D11" s="40">
        <v>4</v>
      </c>
      <c r="E11" s="40">
        <v>3</v>
      </c>
      <c r="F11" s="74" t="inlineStr">
        <is>
          <t xml:space="preserve">W1</t>
        </is>
      </c>
    </row>
    <row r="12" spans="2:6" ht="15" customHeight="1" x14ac:dyDescent="0.2">
      <c r="B12" s="34" t="inlineStr">
        <is>
          <t xml:space="preserve">Delaney</t>
        </is>
      </c>
      <c r="C12" s="43">
        <v>38</v>
      </c>
      <c r="D12" s="43">
        <v>4</v>
      </c>
      <c r="E12" s="43">
        <v>3</v>
      </c>
      <c r="F12" s="71" t="inlineStr">
        <is>
          <t xml:space="preserve">L1</t>
        </is>
      </c>
    </row>
    <row r="13" spans="2:6" ht="15" customHeight="1" x14ac:dyDescent="0.2">
      <c r="B13" s="31" t="inlineStr">
        <is>
          <t xml:space="preserve">Norat</t>
        </is>
      </c>
      <c r="C13" s="40">
        <v>36</v>
      </c>
      <c r="D13" s="40">
        <v>4</v>
      </c>
      <c r="E13" s="40">
        <v>3</v>
      </c>
      <c r="F13" s="74" t="inlineStr">
        <is>
          <t xml:space="preserve">W1</t>
        </is>
      </c>
    </row>
    <row r="14" spans="2:6" ht="15" customHeight="1" x14ac:dyDescent="0.2">
      <c r="B14" s="34" t="inlineStr">
        <is>
          <t xml:space="preserve">Lynch</t>
        </is>
      </c>
      <c r="C14" s="43">
        <v>69</v>
      </c>
      <c r="D14" s="43">
        <v>4</v>
      </c>
      <c r="E14" s="43">
        <v>4</v>
      </c>
      <c r="F14" s="71" t="inlineStr">
        <is>
          <t xml:space="preserve">L1</t>
        </is>
      </c>
    </row>
    <row r="15" spans="2:6" ht="15" customHeight="1" x14ac:dyDescent="0.2">
      <c r="B15" s="31" t="inlineStr">
        <is>
          <t xml:space="preserve">Hilts</t>
        </is>
      </c>
      <c r="C15" s="40">
        <v>64</v>
      </c>
      <c r="D15" s="40">
        <v>4</v>
      </c>
      <c r="E15" s="40">
        <v>4</v>
      </c>
      <c r="F15" s="74" t="inlineStr">
        <is>
          <t xml:space="preserve">W1</t>
        </is>
      </c>
    </row>
    <row r="16" spans="2:6" ht="15" customHeight="1" x14ac:dyDescent="0.2">
      <c r="B16" s="34" t="inlineStr">
        <is>
          <t xml:space="preserve">Welker</t>
        </is>
      </c>
      <c r="C16" s="43">
        <v>47</v>
      </c>
      <c r="D16" s="43">
        <v>4</v>
      </c>
      <c r="E16" s="43">
        <v>4</v>
      </c>
      <c r="F16" s="71" t="inlineStr">
        <is>
          <t xml:space="preserve">W1</t>
        </is>
      </c>
    </row>
    <row r="17" spans="2:6" ht="15" customHeight="1" x14ac:dyDescent="0.2">
      <c r="B17" s="31" t="inlineStr">
        <is>
          <t xml:space="preserve">R. Connolly</t>
        </is>
      </c>
      <c r="C17" s="40">
        <v>18</v>
      </c>
      <c r="D17" s="40">
        <v>4</v>
      </c>
      <c r="E17" s="40">
        <v>4</v>
      </c>
      <c r="F17" s="74" t="inlineStr">
        <is>
          <t xml:space="preserve">L4</t>
        </is>
      </c>
    </row>
    <row r="18" spans="2:6" ht="15" customHeight="1" x14ac:dyDescent="0.2">
      <c r="B18" s="34" t="inlineStr">
        <is>
          <t xml:space="preserve">Ferrin</t>
        </is>
      </c>
      <c r="C18" s="43">
        <v>69</v>
      </c>
      <c r="D18" s="43">
        <v>4</v>
      </c>
      <c r="E18" s="43">
        <v>5</v>
      </c>
      <c r="F18" s="71" t="inlineStr">
        <is>
          <t xml:space="preserve">W2</t>
        </is>
      </c>
    </row>
    <row r="19" spans="2:6" ht="15" customHeight="1" x14ac:dyDescent="0.2">
      <c r="B19" s="31" t="inlineStr">
        <is>
          <t xml:space="preserve">Flanders</t>
        </is>
      </c>
      <c r="C19" s="40">
        <v>69</v>
      </c>
      <c r="D19" s="40">
        <v>4</v>
      </c>
      <c r="E19" s="40">
        <v>5</v>
      </c>
      <c r="F19" s="74" t="inlineStr">
        <is>
          <t xml:space="preserve">W1</t>
        </is>
      </c>
    </row>
    <row r="20" spans="2:6" ht="15" customHeight="1" x14ac:dyDescent="0.2">
      <c r="B20" s="34" t="inlineStr">
        <is>
          <t xml:space="preserve">Mangold</t>
        </is>
      </c>
      <c r="C20" s="43">
        <v>64</v>
      </c>
      <c r="D20" s="43">
        <v>4</v>
      </c>
      <c r="E20" s="43">
        <v>5</v>
      </c>
      <c r="F20" s="71" t="inlineStr">
        <is>
          <t xml:space="preserve">L1</t>
        </is>
      </c>
    </row>
    <row r="21" spans="2:6" ht="15" customHeight="1" x14ac:dyDescent="0.2">
      <c r="B21" s="31" t="inlineStr">
        <is>
          <t xml:space="preserve">Shively</t>
        </is>
      </c>
      <c r="C21" s="40">
        <v>63</v>
      </c>
      <c r="D21" s="40">
        <v>4</v>
      </c>
      <c r="E21" s="40">
        <v>6</v>
      </c>
      <c r="F21" s="74" t="inlineStr">
        <is>
          <t xml:space="preserve">L1</t>
        </is>
      </c>
    </row>
    <row r="22" spans="2:6" ht="15" customHeight="1" x14ac:dyDescent="0.2">
      <c r="B22" s="34" t="inlineStr">
        <is>
          <t xml:space="preserve">Forster</t>
        </is>
      </c>
      <c r="C22" s="43">
        <v>63</v>
      </c>
      <c r="D22" s="43">
        <v>4</v>
      </c>
      <c r="E22" s="43">
        <v>7</v>
      </c>
      <c r="F22" s="71" t="inlineStr">
        <is>
          <t xml:space="preserve">W1</t>
        </is>
      </c>
    </row>
    <row r="23" spans="2:6" ht="15" customHeight="1" x14ac:dyDescent="0.2">
      <c r="B23" s="31" t="inlineStr">
        <is>
          <t xml:space="preserve">Fogan</t>
        </is>
      </c>
      <c r="C23" s="40">
        <v>64</v>
      </c>
      <c r="D23" s="40">
        <v>4</v>
      </c>
      <c r="E23" s="40">
        <v>13</v>
      </c>
      <c r="F23" s="74" t="inlineStr">
        <is>
          <t xml:space="preserve">L1</t>
        </is>
      </c>
    </row>
    <row r="24" spans="2:6" ht="15" customHeight="1" x14ac:dyDescent="0.2">
      <c r="B24" s="34" t="inlineStr">
        <is>
          <t xml:space="preserve">Piegari</t>
        </is>
      </c>
      <c r="C24" s="43">
        <v>17</v>
      </c>
      <c r="D24" s="43">
        <v>3</v>
      </c>
      <c r="E24" s="43">
        <v>3</v>
      </c>
      <c r="F24" s="71" t="inlineStr">
        <is>
          <t xml:space="preserve">W3</t>
        </is>
      </c>
    </row>
    <row r="25" spans="2:6" ht="15" customHeight="1" x14ac:dyDescent="0.2">
      <c r="B25" s="31" t="inlineStr">
        <is>
          <t xml:space="preserve">DeOteris</t>
        </is>
      </c>
      <c r="C25" s="40">
        <v>21</v>
      </c>
      <c r="D25" s="40">
        <v>3</v>
      </c>
      <c r="E25" s="40">
        <v>5</v>
      </c>
      <c r="F25" s="74" t="inlineStr">
        <is>
          <t xml:space="preserve">T1</t>
        </is>
      </c>
    </row>
    <row r="26" spans="2:6" ht="15" customHeight="1" x14ac:dyDescent="0.2">
      <c r="B26" s="34" t="inlineStr">
        <is>
          <t xml:space="preserve">Zimmer</t>
        </is>
      </c>
      <c r="C26" s="43">
        <v>59</v>
      </c>
      <c r="D26" s="43">
        <v>3</v>
      </c>
      <c r="E26" s="43">
        <v>6</v>
      </c>
      <c r="F26" s="71" t="inlineStr">
        <is>
          <t xml:space="preserve">L2</t>
        </is>
      </c>
    </row>
    <row r="27" spans="2:6" ht="15" customHeight="1" x14ac:dyDescent="0.2">
      <c r="B27" s="31" t="inlineStr">
        <is>
          <t xml:space="preserve">Bussiculo</t>
        </is>
      </c>
      <c r="C27" s="40">
        <v>26</v>
      </c>
      <c r="D27" s="40">
        <v>2</v>
      </c>
      <c r="E27" s="40">
        <v>3</v>
      </c>
      <c r="F27" s="74" t="inlineStr">
        <is>
          <t xml:space="preserve">L2</t>
        </is>
      </c>
    </row>
    <row r="28" spans="2:6" ht="15" customHeight="1" x14ac:dyDescent="0.2">
      <c r="B28" s="34" t="inlineStr">
        <is>
          <t xml:space="preserve">Weisberger</t>
        </is>
      </c>
      <c r="C28" s="43">
        <v>15</v>
      </c>
      <c r="D28" s="43">
        <v>2</v>
      </c>
      <c r="E28" s="43">
        <v>3</v>
      </c>
      <c r="F28" s="71" t="inlineStr">
        <is>
          <t xml:space="preserve">L1</t>
        </is>
      </c>
    </row>
    <row r="29" spans="2:6" ht="15" customHeight="1" x14ac:dyDescent="0.2">
      <c r="B29" s="31" t="inlineStr">
        <is>
          <t xml:space="preserve">Cole</t>
        </is>
      </c>
      <c r="C29" s="40">
        <v>57</v>
      </c>
      <c r="D29" s="40">
        <v>2</v>
      </c>
      <c r="E29" s="40">
        <v>4</v>
      </c>
      <c r="F29" s="74" t="inlineStr">
        <is>
          <t xml:space="preserve">W1</t>
        </is>
      </c>
    </row>
    <row r="30" spans="2:6" ht="15" customHeight="1" x14ac:dyDescent="0.2">
      <c r="B30" s="34" t="inlineStr">
        <is>
          <t xml:space="preserve">Connors</t>
        </is>
      </c>
      <c r="C30" s="43">
        <v>52</v>
      </c>
      <c r="D30" s="43">
        <v>2</v>
      </c>
      <c r="E30" s="43">
        <v>5</v>
      </c>
      <c r="F30" s="71" t="inlineStr">
        <is>
          <t xml:space="preserve">L1</t>
        </is>
      </c>
    </row>
    <row r="31" spans="2:6" ht="15" customHeight="1" x14ac:dyDescent="0.2">
      <c r="B31" s="31" t="inlineStr">
        <is>
          <t xml:space="preserve">Poirier</t>
        </is>
      </c>
      <c r="C31" s="40">
        <v>43</v>
      </c>
      <c r="D31" s="40">
        <v>2</v>
      </c>
      <c r="E31" s="40">
        <v>5</v>
      </c>
      <c r="F31" s="74" t="inlineStr">
        <is>
          <t xml:space="preserve">L2</t>
        </is>
      </c>
    </row>
    <row r="32" spans="2:6" ht="15" customHeight="1" x14ac:dyDescent="0.2">
      <c r="B32" s="34" t="inlineStr">
        <is>
          <t xml:space="preserve">Hickerson</t>
        </is>
      </c>
      <c r="C32" s="43">
        <v>20</v>
      </c>
      <c r="D32" s="43">
        <v>2</v>
      </c>
      <c r="E32" s="43">
        <v>5</v>
      </c>
      <c r="F32" s="71" t="inlineStr">
        <is>
          <t xml:space="preserve">L5</t>
        </is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MAX(Cups!$P$3:$P$33)</f>
        <v>10</v>
      </c>
      <c r="H7" t="str">
        <f>INDEX(Cups!$B$3:$B$33,MATCH(F7,Cups!$P$3:$P$33,0))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0">
        <v>11</v>
      </c>
      <c r="B30" s="31" t="s">
        <v>614</v>
      </c>
      <c r="C30" s="31" t="s">
        <v>145</v>
      </c>
      <c r="D30" s="31" t="s">
        <v>1276</v>
      </c>
      <c r="E30" s="40"/>
      <c r="F30" s="40"/>
      <c r="G30" s="40"/>
      <c r="H30" s="31" t="s">
        <v>1277</v>
      </c>
    </row>
    <row r="31" spans="1:8" ht="15" customHeight="1" x14ac:dyDescent="0.2">
      <c r="A31" s="40">
        <v>13</v>
      </c>
      <c r="B31" s="31" t="inlineStr">
        <is>
          <t xml:space="preserve">Fields Ranch East</t>
        </is>
      </c>
      <c r="C31" s="31" t="inlineStr">
        <is>
          <t xml:space="preserve">Frisco</t>
        </is>
      </c>
      <c r="D31" s="31" t="inlineStr">
        <is>
          <t xml:space="preserve">TX</t>
        </is>
      </c>
      <c r="E31" s="40">
        <v>6543</v>
      </c>
      <c r="F31" s="40">
        <v>140</v>
      </c>
      <c r="G31" s="40">
        <v>72.6</v>
      </c>
      <c r="H31" s="31" t="inlineStr">
        <is>
          <t xml:space="preserve">Gil Hanse</t>
        </is>
      </c>
    </row>
    <row r="32" spans="1:8" ht="15" customHeight="1" x14ac:dyDescent="0.2">
      <c r="A32" s="43">
        <v>13</v>
      </c>
      <c r="B32" s="34" t="inlineStr">
        <is>
          <t xml:space="preserve">Fields Ranch West</t>
        </is>
      </c>
      <c r="C32" s="34" t="inlineStr">
        <is>
          <t xml:space="preserve">Frisco</t>
        </is>
      </c>
      <c r="D32" s="34" t="inlineStr">
        <is>
          <t xml:space="preserve">TX</t>
        </is>
      </c>
      <c r="E32" s="43">
        <v>6149</v>
      </c>
      <c r="F32" s="43">
        <v>129</v>
      </c>
      <c r="G32" s="43">
        <v>70.1</v>
      </c>
      <c r="H32" s="34" t="inlineStr">
        <is>
          <t xml:space="preserve">Beau Welling</t>
        </is>
      </c>
    </row>
    <row r="33" spans="1:8" ht="15" customHeight="1" x14ac:dyDescent="0.2">
      <c r="A33" s="80"/>
      <c r="B33" s="37" t="s">
        <v>1278</v>
      </c>
      <c r="C33" s="80"/>
      <c r="D33" s="80"/>
      <c r="E33" s="81">
        <f>AVERAGE(E5:E32)</f>
      </c>
      <c r="F33" s="81">
        <f>AVERAGE(F5:F32)</f>
      </c>
      <c r="G33" s="81">
        <f>AVERAGE(G5:G32)</f>
      </c>
      <c r="H33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>
  <dimension ref="B1:I17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8.83203125" defaultRowHeight="15"/>
  <cols>
    <col min="1" max="1" width="2.5" customWidth="1"/>
    <col min="2" max="3" width="7" customWidth="1"/>
    <col min="4" max="5" width="11" customWidth="1"/>
    <col min="6" max="6" width="26" customWidth="1"/>
    <col min="7" max="7" width="11" customWidth="1"/>
    <col min="8" max="8" width="7" customWidth="1"/>
    <col min="9" max="9" width="60" customWidth="1"/>
  </cols>
  <sheetData>
    <row r="1" spans="2:9">
      <c r="B1" s="6" t="inlineStr">
        <is>
          <t xml:space="preserve">Cup Info</t>
        </is>
      </c>
    </row>
    <row r="2" spans="2:9">
      <c r="B2" s="29" t="inlineStr">
        <is>
          <t xml:space="preserve">One row per cup — manual entry. Dates are the match days recorded in Archives. Rain = it rained during the cup (per-cup, not per-round). Add a row after each FBC.</t>
        </is>
      </c>
    </row>
    <row r="4" spans="2:9">
      <c r="B4" s="30" t="inlineStr">
        <is>
          <t xml:space="preserve">FBC</t>
        </is>
      </c>
      <c r="C4" s="30" t="inlineStr">
        <is>
          <t xml:space="preserve">Year</t>
        </is>
      </c>
      <c r="D4" s="30" t="inlineStr">
        <is>
          <t xml:space="preserve">Start</t>
        </is>
      </c>
      <c r="E4" s="30" t="inlineStr">
        <is>
          <t xml:space="preserve">End</t>
        </is>
      </c>
      <c r="F4" s="30" t="inlineStr">
        <is>
          <t xml:space="preserve">Location</t>
        </is>
      </c>
      <c r="G4" s="30" t="inlineStr">
        <is>
          <t xml:space="preserve">Region</t>
        </is>
      </c>
      <c r="H4" s="30" t="inlineStr">
        <is>
          <t xml:space="preserve">Rain</t>
        </is>
      </c>
      <c r="I4" s="30" t="inlineStr">
        <is>
          <t xml:space="preserve">Notes</t>
        </is>
      </c>
    </row>
    <row r="5" spans="2:9">
      <c r="B5" s="40">
        <v>1</v>
      </c>
      <c r="C5" s="40">
        <v>2013</v>
      </c>
      <c r="D5" s="95">
        <v>41447</v>
      </c>
      <c r="E5" s="95">
        <v>41448</v>
      </c>
      <c r="F5" s="31" t="inlineStr">
        <is>
          <t xml:space="preserve">Saratoga, NY</t>
        </is>
      </c>
      <c r="G5" s="31" t="inlineStr">
        <is>
          <t xml:space="preserve">Northeast</t>
        </is>
      </c>
      <c r="H5" s="40" t="inlineStr">
        <is>
          <t xml:space="preserve">No</t>
        </is>
      </c>
      <c r="I5" s="31"/>
    </row>
    <row r="6" spans="2:9">
      <c r="B6" s="40">
        <v>2</v>
      </c>
      <c r="C6" s="40">
        <v>2014</v>
      </c>
      <c r="D6" s="95">
        <v>41797</v>
      </c>
      <c r="E6" s="95">
        <v>41798</v>
      </c>
      <c r="F6" s="31" t="inlineStr">
        <is>
          <t xml:space="preserve">Verona, NY (Turning Stone)</t>
        </is>
      </c>
      <c r="G6" s="31" t="inlineStr">
        <is>
          <t xml:space="preserve">Northeast</t>
        </is>
      </c>
      <c r="H6" s="40" t="inlineStr">
        <is>
          <t xml:space="preserve">No</t>
        </is>
      </c>
      <c r="I6" s="31"/>
    </row>
    <row r="7" spans="2:9">
      <c r="B7" s="40">
        <v>3</v>
      </c>
      <c r="C7" s="40">
        <v>2015</v>
      </c>
      <c r="D7" s="95">
        <v>42168</v>
      </c>
      <c r="E7" s="95">
        <v>42169</v>
      </c>
      <c r="F7" s="31" t="inlineStr">
        <is>
          <t xml:space="preserve">Sea Island, GA</t>
        </is>
      </c>
      <c r="G7" s="31" t="inlineStr">
        <is>
          <t xml:space="preserve">South</t>
        </is>
      </c>
      <c r="H7" s="40" t="inlineStr">
        <is>
          <t xml:space="preserve">No</t>
        </is>
      </c>
      <c r="I7" s="31"/>
    </row>
    <row r="8" spans="2:9">
      <c r="B8" s="40">
        <v>4</v>
      </c>
      <c r="C8" s="40">
        <v>2016</v>
      </c>
      <c r="D8" s="95">
        <v>42573</v>
      </c>
      <c r="E8" s="95">
        <v>42574</v>
      </c>
      <c r="F8" s="31" t="inlineStr">
        <is>
          <t xml:space="preserve">French Lick, IN</t>
        </is>
      </c>
      <c r="G8" s="31" t="inlineStr">
        <is>
          <t xml:space="preserve">Midwest</t>
        </is>
      </c>
      <c r="H8" s="40" t="inlineStr">
        <is>
          <t xml:space="preserve">Yes</t>
        </is>
      </c>
      <c r="I8" s="31"/>
    </row>
    <row r="9" spans="2:9">
      <c r="B9" s="40">
        <v>5</v>
      </c>
      <c r="C9" s="40">
        <v>2017</v>
      </c>
      <c r="D9" s="95">
        <v>42937</v>
      </c>
      <c r="E9" s="95">
        <v>42938</v>
      </c>
      <c r="F9" s="31" t="inlineStr">
        <is>
          <t xml:space="preserve">Hilton Head, SC</t>
        </is>
      </c>
      <c r="G9" s="31" t="inlineStr">
        <is>
          <t xml:space="preserve">South</t>
        </is>
      </c>
      <c r="H9" s="40" t="inlineStr">
        <is>
          <t xml:space="preserve">No</t>
        </is>
      </c>
      <c r="I9" s="31"/>
    </row>
    <row r="10" spans="2:9">
      <c r="B10" s="40">
        <v>6</v>
      </c>
      <c r="C10" s="40">
        <v>2018</v>
      </c>
      <c r="D10" s="95">
        <v>43308</v>
      </c>
      <c r="E10" s="95">
        <v>43309</v>
      </c>
      <c r="F10" s="31" t="inlineStr">
        <is>
          <t xml:space="preserve">Arcadia, MI</t>
        </is>
      </c>
      <c r="G10" s="31" t="inlineStr">
        <is>
          <t xml:space="preserve">Midwest</t>
        </is>
      </c>
      <c r="H10" s="40" t="inlineStr">
        <is>
          <t xml:space="preserve">No</t>
        </is>
      </c>
      <c r="I10" s="31"/>
    </row>
    <row r="11" spans="2:9">
      <c r="B11" s="40">
        <v>7</v>
      </c>
      <c r="C11" s="40">
        <v>2019</v>
      </c>
      <c r="D11" s="95">
        <v>43685</v>
      </c>
      <c r="E11" s="95">
        <v>43687</v>
      </c>
      <c r="F11" s="31" t="inlineStr">
        <is>
          <t xml:space="preserve">Monterey, CA</t>
        </is>
      </c>
      <c r="G11" s="31" t="inlineStr">
        <is>
          <t xml:space="preserve">West</t>
        </is>
      </c>
      <c r="H11" s="40" t="inlineStr">
        <is>
          <t xml:space="preserve">No</t>
        </is>
      </c>
      <c r="I11" s="31"/>
    </row>
    <row r="12" spans="2:9">
      <c r="B12" s="40">
        <v>8</v>
      </c>
      <c r="C12" s="40">
        <v>2021</v>
      </c>
      <c r="D12" s="95">
        <v>44414</v>
      </c>
      <c r="E12" s="95">
        <v>44414</v>
      </c>
      <c r="F12" s="31" t="inlineStr">
        <is>
          <t xml:space="preserve">Nekoosa, WI</t>
        </is>
      </c>
      <c r="G12" s="31" t="inlineStr">
        <is>
          <t xml:space="preserve">Midwest</t>
        </is>
      </c>
      <c r="H12" s="40" t="inlineStr">
        <is>
          <t xml:space="preserve">Yes</t>
        </is>
      </c>
      <c r="I12" s="31" t="inlineStr">
        <is>
          <t xml:space="preserve">Singles rained out; played later at other courses on different dates (last at Old Barnwell, 2026).</t>
        </is>
      </c>
    </row>
    <row r="13" spans="2:9">
      <c r="B13" s="40">
        <v>9</v>
      </c>
      <c r="C13" s="40">
        <v>2022</v>
      </c>
      <c r="D13" s="95">
        <v>44757</v>
      </c>
      <c r="E13" s="95">
        <v>44758</v>
      </c>
      <c r="F13" s="31" t="inlineStr">
        <is>
          <t xml:space="preserve">Sea Island, GA</t>
        </is>
      </c>
      <c r="G13" s="31" t="inlineStr">
        <is>
          <t xml:space="preserve">South</t>
        </is>
      </c>
      <c r="H13" s="40" t="inlineStr">
        <is>
          <t xml:space="preserve">No</t>
        </is>
      </c>
      <c r="I13" s="31"/>
    </row>
    <row r="14" spans="2:9">
      <c r="B14" s="40">
        <v>10</v>
      </c>
      <c r="C14" s="40">
        <v>2023</v>
      </c>
      <c r="D14" s="95">
        <v>45141</v>
      </c>
      <c r="E14" s="95">
        <v>45143</v>
      </c>
      <c r="F14" s="31" t="inlineStr">
        <is>
          <t xml:space="preserve">Dublin, IE</t>
        </is>
      </c>
      <c r="G14" s="31" t="inlineStr">
        <is>
          <t xml:space="preserve">Europe</t>
        </is>
      </c>
      <c r="H14" s="40" t="inlineStr">
        <is>
          <t xml:space="preserve">Yes</t>
        </is>
      </c>
      <c r="I14" s="31"/>
    </row>
    <row r="15" spans="2:9">
      <c r="B15" s="40">
        <v>11</v>
      </c>
      <c r="C15" s="40">
        <v>2024</v>
      </c>
      <c r="D15" s="95">
        <v>45583</v>
      </c>
      <c r="E15" s="95">
        <v>45584</v>
      </c>
      <c r="F15" s="31" t="inlineStr">
        <is>
          <t xml:space="preserve">Pinehurst, NC</t>
        </is>
      </c>
      <c r="G15" s="31" t="inlineStr">
        <is>
          <t xml:space="preserve">South</t>
        </is>
      </c>
      <c r="H15" s="40" t="inlineStr">
        <is>
          <t xml:space="preserve">No</t>
        </is>
      </c>
      <c r="I15" s="31"/>
    </row>
    <row r="16" spans="2:9">
      <c r="B16" s="40">
        <v>12</v>
      </c>
      <c r="C16" s="40">
        <v>2025</v>
      </c>
      <c r="D16" s="95">
        <v>45876</v>
      </c>
      <c r="E16" s="95">
        <v>45878</v>
      </c>
      <c r="F16" s="31" t="inlineStr">
        <is>
          <t xml:space="preserve">Killarney, IE</t>
        </is>
      </c>
      <c r="G16" s="31" t="inlineStr">
        <is>
          <t xml:space="preserve">Europe</t>
        </is>
      </c>
      <c r="H16" s="40" t="inlineStr">
        <is>
          <t xml:space="preserve">Yes</t>
        </is>
      </c>
      <c r="I16" s="31"/>
    </row>
    <row r="17" spans="2:9">
      <c r="B17" s="40">
        <v>13</v>
      </c>
      <c r="C17" s="40">
        <v>2026</v>
      </c>
      <c r="D17" s="95">
        <v>46297</v>
      </c>
      <c r="E17" s="95">
        <v>46298</v>
      </c>
      <c r="F17" s="31" t="inlineStr">
        <is>
          <t xml:space="preserve">Frisco, TX</t>
        </is>
      </c>
      <c r="G17" s="31" t="inlineStr">
        <is>
          <t xml:space="preserve">South</t>
        </is>
      </c>
      <c r="H17" s="40" t="inlineStr">
        <is>
          <t xml:space="preserve">Yes</t>
        </is>
      </c>
      <c r="I17" s="31"/>
    </row>
  </sheetData>
  <dataValidations count="1">
    <dataValidation type="list" allowBlank="1" showErrorMessage="1" sqref="H5:H60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Cup Info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